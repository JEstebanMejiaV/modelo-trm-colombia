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3.xml" ContentType="application/vnd.openxmlformats-officedocument.spreadsheetml.table+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tables/table10.xml" ContentType="application/vnd.openxmlformats-officedocument.spreadsheetml.table+xml"/>
  <Override PartName="/xl/worksheets/sheet7.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9.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10.xml" ContentType="application/vnd.openxmlformats-officedocument.spreadsheetml.worksheet+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6f1781a04fa4f87" /></Relationships>
</file>

<file path=xl/workbook.xml><?xml version="1.0" encoding="utf-8"?>
<x:workbook xmlns:x="http://schemas.openxmlformats.org/spreadsheetml/2006/main">
  <x:sheets>
    <x:sheet xmlns:r="http://schemas.openxmlformats.org/officeDocument/2006/relationships" name="Resumen" sheetId="1" r:id="Raea3fdff2fcd4ae5"/>
    <x:sheet xmlns:r="http://schemas.openxmlformats.org/officeDocument/2006/relationships" name="Datos_fuente" sheetId="2" r:id="Rea516072ef2c40cb"/>
    <x:sheet xmlns:r="http://schemas.openxmlformats.org/officeDocument/2006/relationships" name="Transformaciones" sheetId="3" r:id="R69da31128166425d"/>
    <x:sheet xmlns:r="http://schemas.openxmlformats.org/officeDocument/2006/relationships" name="Modelo_principal" sheetId="4" r:id="Rad24a2a8d6114aec"/>
    <x:sheet xmlns:r="http://schemas.openxmlformats.org/officeDocument/2006/relationships" name="Modelo_ampliado" sheetId="5" r:id="R1cd9df10deca4d5f"/>
    <x:sheet xmlns:r="http://schemas.openxmlformats.org/officeDocument/2006/relationships" name="Pesos_explicativos" sheetId="6" r:id="Rc022487903374a4b"/>
    <x:sheet xmlns:r="http://schemas.openxmlformats.org/officeDocument/2006/relationships" name="Validacion" sheetId="7" r:id="R0624ead9a75c4c9b"/>
    <x:sheet xmlns:r="http://schemas.openxmlformats.org/officeDocument/2006/relationships" name="ECM_exploratorio" sheetId="8" r:id="R4f47b52f68774fd0"/>
    <x:sheet xmlns:r="http://schemas.openxmlformats.org/officeDocument/2006/relationships" name="Diagnosticos" sheetId="9" r:id="R5cc9a745f3774b59"/>
    <x:sheet xmlns:r="http://schemas.openxmlformats.org/officeDocument/2006/relationships" name="Variables" sheetId="10" r:id="R2e86448a5eba4826"/>
    <x:sheet xmlns:r="http://schemas.openxmlformats.org/officeDocument/2006/relationships" name="Fuentes" sheetId="11" r:id="Rc3c246f3496848cd"/>
  </x:sheets>
</x:workbook>
</file>

<file path=xl/comments1.xml><?xml version="1.0" encoding="utf-8"?>
<x:comments xmlns:x="http://schemas.openxmlformats.org/spreadsheetml/2006/main">
  <x:authors>
    <x:author>tc={F27A9CA5-A4B1-4C68-B868-95C91FFEB24D}</x:author>
    <x:author>tc={D0AB460B-0628-3F7B-A59B-5E0FDFCFC82E}</x:author>
    <x:author>tc={16697303-22E8-8CDA-9146-04F305139BFA}</x:author>
    <x:author>tc={9AB776C9-51DD-5C23-FB55-03CA22E83FD8}</x:author>
    <x:author>tc={902D1BB0-BEFD-5BE2-8643-15C64703DBE4}</x:author>
    <x:author>tc={7CCBFBCE-791E-523F-AFD1-DB97FA824BB0}</x:author>
    <x:author>tc={A1C37BB2-2B19-3BF2-A1A1-1EC93CC0064B}</x:author>
    <x:author>tc={B02DA955-FCD7-E47F-A165-B867726D015B}</x:author>
    <x:author>tc={C0F7E604-3E01-CE93-E7D9-4D48FF943B8A}</x:author>
    <x:author>tc={A07CC718-49E6-A4AC-C1F9-9FE713E89567}</x:author>
    <x:author>tc={74461D25-02D4-C809-DD6B-A5B8730F83B5}</x:author>
    <x:author>tc={33FF6C87-99C4-EE17-A9C6-1DBF063E9E54}</x:author>
    <x:author>tc={3B9153BC-D146-2C94-66B5-C9194FDFC879}</x:author>
    <x:author>tc={1303ADA2-0D80-74C9-D713-FBA014FDCF46}</x:author>
    <x:author>tc={D187EBAC-0FB3-4E4A-58E9-8584EB0B7DAE}</x:author>
    <x:author>tc={E2338EF9-553E-6817-CCE6-4AC3EC9299B6}</x:author>
    <x:author>tc={CB6305D6-7C5E-BFEB-D0D4-E42D855D22C9}</x:author>
    <x:author>tc={424DAAC2-EF49-8A14-1F01-5075D8877031}</x:author>
    <x:author>tc={DBD331A1-E504-120A-57AB-1907BE89F45B}</x:author>
    <x:author>tc={0BFA80AE-F90F-D288-32EA-447F856425A9}</x:author>
    <x:author>tc={EF520764-22B8-A926-F9B7-28C0B39A7462}</x:author>
    <x:author>tc={41A6DC98-12D8-92E3-BDD2-AB07ADCB230E}</x:author>
    <x:author>tc={015E3052-78A0-F03A-2D68-E04A6EC7B385}</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Fuente: Banco de la República, serie diaria TRM 1; promedio mensual. https://suameca.banrep.gov.co/graficador-series/rest/graficadorService/consultaSerieParaGraficar?idSerie=1</x:t>
        </x:r>
      </x:text>
    </x:comment>
    <x:comment ref="C5" authorId="1">
      <x:text>
        <x:r>
          <x:t>[Threaded comment]
Your version of Excel allows you to read this threaded comment; however, any edits to it will get removed if the file is opened in a newer version of Excel. Learn more: https://go.microsoft.com/fwlink/?linkid=870924
Comment:
    Fuente: EIA vía FRED, DCOILBRENTEU; promedio mensual de observaciones diarias.</x:t>
        </x:r>
      </x:text>
    </x:comment>
    <x:comment ref="D5" authorId="2">
      <x:text>
        <x:r>
          <x:t>[Threaded comment]
Your version of Excel allows you to read this threaded comment; however, any edits to it will get removed if the file is opened in a newer version of Excel. Learn more: https://go.microsoft.com/fwlink/?linkid=870924
Comment:
    Fuente: Banco de la República, remesas de trabajadores, serie 15363.</x:t>
        </x:r>
      </x:text>
    </x:comment>
    <x:comment ref="F5" authorId="3">
      <x:text>
        <x:r>
          <x:t>[Threaded comment]
Your version of Excel allows you to read this threaded comment; however, any edits to it will get removed if the file is opened in a newer version of Excel. Learn more: https://go.microsoft.com/fwlink/?linkid=870924
Comment:
    Fuente: Banco de la República, tasa de política, serie diaria 59; promedio mensual.</x:t>
        </x:r>
      </x:text>
    </x:comment>
    <x:comment ref="G5" authorId="4">
      <x:text>
        <x:r>
          <x:t>[Threaded comment]
Your version of Excel allows you to read this threaded comment; however, any edits to it will get removed if the file is opened in a newer version of Excel. Learn more: https://go.microsoft.com/fwlink/?linkid=870924
Comment:
    Fuente: Federal Reserve/FRED, FEDFUNDS, promedio mensual.</x:t>
        </x:r>
      </x:text>
    </x:comment>
    <x:comment ref="I5" authorId="5">
      <x:text>
        <x:r>
          <x:t>[Threaded comment]
Your version of Excel allows you to read this threaded comment; however, any edits to it will get removed if the file is opened in a newer version of Excel. Learn more: https://go.microsoft.com/fwlink/?linkid=870924
Comment:
    Fuente: Ministerio de Hacienda, balance fiscal del Gobierno Nacional Central, metodología de caja.</x:t>
        </x:r>
      </x:text>
    </x:comment>
    <x:comment ref="K5" authorId="6">
      <x:text>
        <x:r>
          <x:t>[Threaded comment]
Your version of Excel allows you to read this threaded comment; however, any edits to it will get removed if the file is opened in a newer version of Excel. Learn more: https://go.microsoft.com/fwlink/?linkid=870924
Comment:
    Fuente: Federal Reserve/FRED, índice nominal amplio del dólar DTWEXBGS; promedio mensual.</x:t>
        </x:r>
      </x:text>
    </x:comment>
    <x:comment ref="L5" authorId="7">
      <x:text>
        <x:r>
          <x:t>[Threaded comment]
Your version of Excel allows you to read this threaded comment; however, any edits to it will get removed if the file is opened in a newer version of Excel. Learn more: https://go.microsoft.com/fwlink/?linkid=870924
Comment:
    Fuente: Cboe vía FRED, VIXCLS; promedio mensual.</x:t>
        </x:r>
      </x:text>
    </x:comment>
    <x:comment ref="M5" authorId="8">
      <x:text>
        <x:r>
          <x:t>[Threaded comment]
Your version of Excel allows you to read this threaded comment; however, any edits to it will get removed if the file is opened in a newer version of Excel. Learn more: https://go.microsoft.com/fwlink/?linkid=870924
Comment:
    Fuente: Banco de la República, índice de términos de intercambio, serie 15360. Se conserva como variable de robustez, no entra al modelo base junto con Brent.</x:t>
        </x:r>
      </x:text>
    </x:comment>
    <x:comment ref="O5" authorId="9">
      <x:text>
        <x:r>
          <x:t>[Threaded comment]
Your version of Excel allows you to read this threaded comment; however, any edits to it will get removed if the file is opened in a newer version of Excel. Learn more: https://go.microsoft.com/fwlink/?linkid=870924
Comment:
    Fuente: Banco de la República, reservas internacionales netas sin FLAR, serie 15053.</x:t>
        </x:r>
      </x:text>
    </x:comment>
    <x:comment ref="P5" authorId="10">
      <x:text>
        <x:r>
          <x:t>[Threaded comment]
Your version of Excel allows you to read this threaded comment; however, any edits to it will get removed if the file is opened in a newer version of Excel. Learn more: https://go.microsoft.com/fwlink/?linkid=870924
Comment:
    Fuente: Banco de la República, tasa cero cupón TES en pesos a 10 años, serie 15274; promedio mensual.</x:t>
        </x:r>
      </x:text>
    </x:comment>
    <x:comment ref="Q5" authorId="11">
      <x:text>
        <x:r>
          <x:t>[Threaded comment]
Your version of Excel allows you to read this threaded comment; however, any edits to it will get removed if the file is opened in a newer version of Excel. Learn more: https://go.microsoft.com/fwlink/?linkid=870924
Comment:
    Fuente: U.S. Treasury/FRED, DGS10; promedio mensual de observaciones diarias.</x:t>
        </x:r>
      </x:text>
    </x:comment>
    <x:comment ref="R5" authorId="12">
      <x:text>
        <x:r>
          <x:t>[Threaded comment]
Your version of Excel allows you to read this threaded comment; however, any edits to it will get removed if the file is opened in a newer version of Excel. Learn more: https://go.microsoft.com/fwlink/?linkid=870924
Comment:
    Construcción: TES Colombia 10 años menos Treasury de EE. UU. a 10 años.</x:t>
        </x:r>
      </x:text>
    </x:comment>
    <x:comment ref="S5" authorId="13">
      <x:text>
        <x:r>
          <x:t>[Threaded comment]
Your version of Excel allows you to read this threaded comment; however, any edits to it will get removed if the file is opened in a newer version of Excel. Learn more: https://go.microsoft.com/fwlink/?linkid=870924
Comment:
    Fuente: Banco de la República, balanza comercial cambiaria, serie 16702.</x:t>
        </x:r>
      </x:text>
    </x:comment>
    <x:comment ref="T5" authorId="14">
      <x:text>
        <x:r>
          <x:t>[Threaded comment]
Your version of Excel allows you to read this threaded comment; however, any edits to it will get removed if the file is opened in a newer version of Excel. Learn more: https://go.microsoft.com/fwlink/?linkid=870924
Comment:
    Fuente: Banco de la República, flujo neto total de capital, serie 16706.</x:t>
        </x:r>
      </x:text>
    </x:comment>
    <x:comment ref="U5" authorId="15">
      <x:text>
        <x:r>
          <x:t>[Threaded comment]
Your version of Excel allows you to read this threaded comment; however, any edits to it will get removed if the file is opened in a newer version of Excel. Learn more: https://go.microsoft.com/fwlink/?linkid=870924
Comment:
    Fuente: Banco de la República, IPC total nacional, serie 15000.</x:t>
        </x:r>
      </x:text>
    </x:comment>
    <x:comment ref="V5" authorId="16">
      <x:text>
        <x:r>
          <x:t>[Threaded comment]
Your version of Excel allows you to read this threaded comment; however, any edits to it will get removed if the file is opened in a newer version of Excel. Learn more: https://go.microsoft.com/fwlink/?linkid=870924
Comment:
    Fuente: U.S. Bureau of Labor Statistics/FRED, CPIAUCNS. Octubre de 2025 se interpola linealmente por ser la única observación interna faltante.</x:t>
        </x:r>
      </x:text>
    </x:comment>
    <x:comment ref="W5" authorId="17">
      <x:text>
        <x:r>
          <x:t>[Threaded comment]
Your version of Excel allows you to read this threaded comment; however, any edits to it will get removed if the file is opened in a newer version of Excel. Learn more: https://go.microsoft.com/fwlink/?linkid=870924
Comment:
    Construcción: inflación interanual de Colombia menos inflación interanual de EE. UU., en puntos porcentuales.</x:t>
        </x:r>
      </x:text>
    </x:comment>
    <x:comment ref="X5" authorId="18">
      <x:text>
        <x:r>
          <x:t>[Threaded comment]
Your version of Excel allows you to read this threaded comment; however, any edits to it will get removed if the file is opened in a newer version of Excel. Learn more: https://go.microsoft.com/fwlink/?linkid=870924
Comment:
    Fuente: OECD vía FRED, CCUSMA02BRM618N; reales brasileños por dólar.</x:t>
        </x:r>
      </x:text>
    </x:comment>
    <x:comment ref="Y5" authorId="19">
      <x:text>
        <x:r>
          <x:t>[Threaded comment]
Your version of Excel allows you to read this threaded comment; however, any edits to it will get removed if the file is opened in a newer version of Excel. Learn more: https://go.microsoft.com/fwlink/?linkid=870924
Comment:
    Fuente: OECD vía FRED, CCUSMA02CLM618N; pesos chilenos por dólar.</x:t>
        </x:r>
      </x:text>
    </x:comment>
    <x:comment ref="Z5" authorId="20">
      <x:text>
        <x:r>
          <x:t>[Threaded comment]
Your version of Excel allows you to read this threaded comment; however, any edits to it will get removed if the file is opened in a newer version of Excel. Learn more: https://go.microsoft.com/fwlink/?linkid=870924
Comment:
    Fuente: OECD vía FRED, CCUSMA02MXM618N; pesos mexicanos por dólar.</x:t>
        </x:r>
      </x:text>
    </x:comment>
    <x:comment ref="AA5" authorId="21">
      <x:text>
        <x:r>
          <x:t>[Threaded comment]
Your version of Excel allows you to read this threaded comment; however, any edits to it will get removed if the file is opened in a newer version of Excel. Learn more: https://go.microsoft.com/fwlink/?linkid=870924
Comment:
    Construcción: promedio igual ponderado de los retornos mensuales estandarizados de BRL, CLP y MXN por USD. Las medias y desviaciones se calibran con 2006–2019.</x:t>
        </x:r>
      </x:text>
    </x:comment>
    <x:comment ref="AB5" authorId="22">
      <x:text>
        <x:r>
          <x:t>[Threaded comment]
Your version of Excel allows you to read this threaded comment; however, any edits to it will get removed if the file is opened in a newer version of Excel. Learn more: https://go.microsoft.com/fwlink/?linkid=870924
Comment:
    Bandera de trazabilidad: 1 únicamente en octubre de 2025, cuando CPIAUCNS se interpola linealmente para no cortar el diferencial de inflación interanual; 0 en los demás meses.</x:t>
        </x:r>
      </x:text>
    </x:comment>
  </x:commentList>
</x:comments>
</file>

<file path=xl/comments2.xml><?xml version="1.0" encoding="utf-8"?>
<x:comments xmlns:x="http://schemas.openxmlformats.org/spreadsheetml/2006/main">
  <x:authors>
    <x:author>tc={5CDC0CED-7B36-56E1-C519-2FBFB47C252C}</x:author>
    <x:author>tc={2CF0F68D-1828-713A-9BB2-29C246479633}</x:author>
    <x:author>tc={BCBD3588-D695-1A0F-E5E9-FB06CAF7543C}</x:author>
  </x:authors>
  <x:commentList>
    <x:comment ref="U5" authorId="0">
      <x:text>
        <x:r>
          <x:t>[Threaded comment]
Your version of Excel allows you to read this threaded comment; however, any edits to it will get removed if the file is opened in a newer version of Excel. Learn more: https://go.microsoft.com/fwlink/?linkid=870924
Comment:
    Escala auditable: el flujo original en USD millones se divide por 1.000 antes de aplicar asinh, igual que en la estimación en Python.</x:t>
        </x:r>
      </x:text>
    </x:comment>
    <x:comment ref="W5" authorId="1">
      <x:text>
        <x:r>
          <x:t>[Threaded comment]
Your version of Excel allows you to read this threaded comment; however, any edits to it will get removed if the file is opened in a newer version of Excel. Learn more: https://go.microsoft.com/fwlink/?linkid=870924
Comment:
    Escala auditable: el flujo original en USD millones se divide por 1.000 antes de aplicar asinh, igual que en la estimación en Python.</x:t>
        </x:r>
      </x:text>
    </x:comment>
    <x:comment ref="AA5" authorId="2">
      <x:text>
        <x:r>
          <x:t>[Threaded comment]
Your version of Excel allows you to read this threaded comment; however, any edits to it will get removed if the file is opened in a newer version of Excel. Learn more: https://go.microsoft.com/fwlink/?linkid=870924
Comment:
    Promedio igual ponderado de retornos mensuales estandarizados de BRL, CLP y MXN por USD. Medias y desviaciones calibradas entre enero de 2006 y diciembre de 2019.</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000"/>
    <x:numFmt numFmtId="201" formatCode="0.0%"/>
    <x:numFmt numFmtId="202" formatCode="0.00"/>
    <x:numFmt numFmtId="203" formatCode="#,##0"/>
    <x:numFmt numFmtId="204" formatCode="#,##0.00"/>
    <x:numFmt numFmtId="205" formatCode="#,##0.00;[Red]-#,##0.00"/>
    <x:numFmt numFmtId="206" formatCode="0"/>
    <x:numFmt numFmtId="207" formatCode="#,##0.0000"/>
    <x:numFmt numFmtId="208" formatCode="0.000000"/>
    <x:numFmt numFmtId="209" formatCode="0.0000%"/>
    <x:numFmt numFmtId="210" formatCode="0.00 &quot;p.p.&quot;"/>
    <x:numFmt numFmtId="211" formatCode="0.000"/>
  </x:numFmts>
  <x:fonts count="5">
    <x:font>
      <x:sz val="11"/>
      <x:name val="Carlito"/>
    </x:font>
    <x:font>
      <x:sz val="11"/>
      <x:color rgb="FF1F2937"/>
      <x:name val="Aptos"/>
    </x:font>
    <x:font>
      <x:b/>
      <x:sz val="11"/>
      <x:color rgb="FFFFFFFF"/>
      <x:name val="Aptos"/>
    </x:font>
    <x:font>
      <x:b/>
      <x:sz val="11"/>
      <x:color rgb="FF17365D"/>
      <x:name val="Aptos"/>
    </x:font>
    <x:font>
      <x:b/>
      <x:sz val="11"/>
      <x:color rgb="FF1F2937"/>
      <x:name val="Aptos"/>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FFF"/>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F2F2F2"/>
      </x:patternFill>
    </x:fill>
    <x:fill>
      <x:patternFill patternType="solid">
        <x:fgColor rgb="FFFCE4D6"/>
      </x:patternFill>
    </x:fill>
  </x:fills>
  <x:borders count="10">
    <x:border/>
    <x:border>
      <x:left style="thin">
        <x:color rgb="FF2F75B5"/>
      </x:left>
      <x:top style="thin">
        <x:color rgb="FF2F75B5"/>
      </x:top>
      <x:bottom style="thin">
        <x:color rgb="FF2F75B5"/>
      </x:bottom>
    </x:border>
    <x:border>
      <x:right style="thin">
        <x:color rgb="FF2F75B5"/>
      </x:right>
      <x:top style="thin">
        <x:color rgb="FF2F75B5"/>
      </x:top>
      <x:bottom style="thin">
        <x:color rgb="FF2F75B5"/>
      </x:bottom>
    </x:border>
    <x:border>
      <x:left style="thin">
        <x:color rgb="FF2F75B5"/>
      </x:left>
      <x:top style="thin">
        <x:color rgb="FF2F75B5"/>
      </x:top>
    </x:border>
    <x:border>
      <x:right style="thin">
        <x:color rgb="FF2F75B5"/>
      </x:right>
      <x:top style="thin">
        <x:color rgb="FF2F75B5"/>
      </x:top>
    </x:border>
    <x:border>
      <x:left style="thin">
        <x:color rgb="FF2F75B5"/>
      </x:left>
      <x:bottom style="thin">
        <x:color rgb="FF2F75B5"/>
      </x:bottom>
    </x:border>
    <x:border>
      <x:right style="thin">
        <x:color rgb="FF2F75B5"/>
      </x:right>
      <x:bottom style="thin">
        <x:color rgb="FF2F75B5"/>
      </x:bottom>
    </x:border>
    <x:border>
      <x:left style="thin">
        <x:color rgb="FFB4C6E7"/>
      </x:left>
      <x:right style="thin">
        <x:color rgb="FFB4C6E7"/>
      </x:right>
      <x:top style="thin">
        <x:color rgb="FFB4C6E7"/>
      </x:top>
      <x:bottom style="thin">
        <x:color rgb="FFB4C6E7"/>
      </x:bottom>
    </x:border>
    <x:border>
      <x:left style="thin">
        <x:color rgb="FFD9E1F2"/>
      </x:left>
      <x:right style="thin">
        <x:color rgb="FFD9E1F2"/>
      </x:right>
      <x:top style="thin">
        <x:color rgb="FFD9E1F2"/>
      </x:top>
      <x:bottom style="thin">
        <x:color rgb="FFD9E1F2"/>
      </x:bottom>
    </x:border>
    <x:border>
      <x:left style="thin">
        <x:color rgb="FFE6B800"/>
      </x:left>
      <x:right style="thin">
        <x:color rgb="FFE6B800"/>
      </x:right>
      <x:top style="thin">
        <x:color rgb="FFE6B800"/>
      </x:top>
      <x:bottom style="thin">
        <x:color rgb="FFE6B800"/>
      </x:bottom>
    </x:border>
  </x:borders>
  <x:cellStyleXfs count="1">
    <x:xf numFmtId="0" fontId="0" fillId="0" borderId="0"/>
  </x:cellStyleXfs>
  <x:cellXfs count="12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1" xfId="0" applyNumberFormat="1" applyFont="1" applyFill="1" applyBorder="1" applyAlignment="1">
      <x:alignment horizontal="center"/>
    </x:xf>
    <x:xf numFmtId="0" fontId="3" fillId="3" borderId="2"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3" fillId="3" borderId="2" xfId="0" applyNumberFormat="1" applyFont="1" applyFill="1" applyBorder="1" applyAlignment="1">
      <x:alignment horizontal="center" vertical="center"/>
    </x:xf>
    <x:xf numFmtId="0" fontId="1" fillId="4" borderId="0" xfId="0" applyNumberFormat="1" applyFont="1" applyFill="1" applyBorder="1"/>
    <x:xf numFmtId="0" fontId="3" fillId="4" borderId="0"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1"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1" xfId="0" applyNumberFormat="1" applyFont="1" applyFill="1" applyBorder="1" applyAlignment="1">
      <x:alignment horizontal="center"/>
    </x:xf>
    <x:xf numFmtId="0" fontId="3" fillId="5" borderId="2"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3" fillId="5" borderId="2" xfId="0" applyNumberFormat="1" applyFont="1" applyFill="1" applyBorder="1" applyAlignment="1">
      <x:alignment horizontal="center" vertical="center"/>
    </x:xf>
    <x:xf numFmtId="0" fontId="1"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2" xfId="0" applyNumberFormat="1" applyFont="1" applyFill="1" applyBorder="1"/>
    <x:xf numFmtId="0" fontId="3" fillId="6" borderId="1" xfId="0" applyNumberFormat="1" applyFont="1" applyFill="1" applyBorder="1" applyAlignment="1">
      <x:alignment horizontal="center"/>
    </x:xf>
    <x:xf numFmtId="0" fontId="3" fillId="6" borderId="2"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0" fontId="3" fillId="6" borderId="2" xfId="0" applyNumberFormat="1" applyFont="1" applyFill="1" applyBorder="1" applyAlignment="1">
      <x:alignment horizontal="center" vertical="center"/>
    </x:xf>
    <x:xf numFmtId="0" fontId="1"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2" fillId="2" borderId="7" xfId="0" applyNumberFormat="1" applyFont="1" applyFill="1" applyBorder="1"/>
    <x:xf numFmtId="0" fontId="2" fillId="2" borderId="7" xfId="0" applyNumberFormat="1" applyFont="1" applyFill="1" applyBorder="1" applyAlignment="1">
      <x:alignment wrapText="1"/>
    </x:xf>
    <x:xf numFmtId="0" fontId="2" fillId="2" borderId="7" xfId="0" applyNumberFormat="1" applyFont="1" applyFill="1" applyBorder="1" applyAlignment="1">
      <x:alignment horizontal="center" wrapText="1"/>
    </x:xf>
    <x:xf numFmtId="0" fontId="2" fillId="2" borderId="7" xfId="0" applyNumberFormat="1" applyFont="1" applyFill="1" applyBorder="1" applyAlignment="1">
      <x:alignment horizontal="center" vertical="center" wrapText="1"/>
    </x:xf>
    <x:xf numFmtId="200" fontId="1"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2" fillId="2" borderId="8" xfId="0" applyNumberFormat="1" applyFont="1" applyFill="1" applyBorder="1" applyAlignment="1">
      <x:alignment horizontal="center" vertical="center" wrapText="1"/>
    </x:xf>
    <x:xf numFmtId="0" fontId="1" fillId="0" borderId="8" xfId="0" applyNumberFormat="1" applyFont="1" applyFill="1" applyBorder="1" applyAlignment="1">
      <x:alignment wrapText="1"/>
    </x:xf>
    <x:xf numFmtId="200" fontId="1" fillId="0" borderId="8" xfId="0" applyNumberFormat="1" applyFont="1" applyFill="1" applyBorder="1" applyAlignment="1">
      <x:alignment wrapText="1"/>
    </x:xf>
    <x:xf numFmtId="0" fontId="1" fillId="5" borderId="8" xfId="0" applyNumberFormat="1" applyFont="1" applyFill="1" applyBorder="1" applyAlignment="1">
      <x:alignment wrapText="1"/>
    </x:xf>
    <x:xf numFmtId="200" fontId="1" fillId="5" borderId="8" xfId="0" applyNumberFormat="1" applyFont="1" applyFill="1" applyBorder="1" applyAlignment="1">
      <x:alignment wrapText="1"/>
    </x:xf>
    <x:xf numFmtId="0" fontId="4" fillId="5" borderId="8" xfId="0" applyNumberFormat="1" applyFont="1" applyFill="1" applyBorder="1" applyAlignment="1">
      <x:alignment wrapText="1"/>
    </x:xf>
    <x:xf numFmtId="200" fontId="4" fillId="5" borderId="8" xfId="0" applyNumberFormat="1" applyFont="1" applyFill="1" applyBorder="1" applyAlignment="1">
      <x:alignment wrapText="1"/>
    </x:xf>
    <x:xf numFmtId="0" fontId="1" fillId="6" borderId="9" xfId="0" applyNumberFormat="1" applyFont="1" applyFill="1" applyBorder="1"/>
    <x:xf numFmtId="0" fontId="1" fillId="6" borderId="9" xfId="0" applyNumberFormat="1" applyFont="1" applyFill="1" applyBorder="1" applyAlignment="1">
      <x:alignment wrapText="1"/>
    </x:xf>
    <x:xf numFmtId="0" fontId="1" fillId="2" borderId="9" xfId="0" applyNumberFormat="1" applyFont="1" applyFill="1" applyBorder="1" applyAlignment="1">
      <x:alignment wrapText="1"/>
    </x:xf>
    <x:xf numFmtId="0" fontId="2" fillId="2" borderId="9" xfId="0" applyNumberFormat="1" applyFont="1" applyFill="1" applyBorder="1" applyAlignment="1">
      <x:alignment wrapText="1"/>
    </x:xf>
    <x:xf numFmtId="0" fontId="2" fillId="2" borderId="9" xfId="0" applyNumberFormat="1" applyFont="1" applyFill="1" applyBorder="1" applyAlignment="1">
      <x:alignment horizontal="center" wrapText="1"/>
    </x:xf>
    <x:xf numFmtId="0" fontId="2" fillId="2" borderId="9" xfId="0" applyNumberFormat="1" applyFont="1" applyFill="1" applyBorder="1" applyAlignment="1">
      <x:alignment horizontal="center" vertical="center" wrapText="1"/>
    </x:xf>
    <x:xf numFmtId="201" fontId="1" fillId="0" borderId="0" xfId="0" applyNumberFormat="1" applyFont="1" applyFill="1" applyBorder="1"/>
    <x:xf numFmtId="202" fontId="1" fillId="0" borderId="0" xfId="0" applyNumberFormat="1" applyFont="1" applyFill="1" applyBorder="1"/>
    <x:xf numFmtId="201" fontId="1" fillId="0" borderId="0" xfId="0" applyNumberFormat="1" applyFont="1" applyFill="1" applyBorder="1" applyAlignment="1">
      <x:alignment wrapText="1"/>
    </x:xf>
    <x:xf numFmtId="203" fontId="1" fillId="0" borderId="0" xfId="0" applyNumberFormat="1" applyFont="1" applyFill="1" applyBorder="1"/>
    <x:xf numFmtId="0" fontId="1" fillId="0" borderId="0" xfId="0" applyNumberFormat="1" applyFont="1" applyFill="1" applyBorder="1" applyAlignment="1">
      <x:alignment vertical="center"/>
    </x:xf>
    <x:xf numFmtId="0" fontId="1" fillId="0" borderId="8" xfId="0" applyNumberFormat="1" applyFont="1" applyFill="1" applyBorder="1" applyAlignment="1">
      <x:alignment vertical="center" wrapText="1"/>
    </x:xf>
    <x:xf numFmtId="200" fontId="1" fillId="0" borderId="8"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200" fontId="4" fillId="5" borderId="8"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4" fontId="1" fillId="0" borderId="0" xfId="0" applyNumberFormat="1" applyFont="1" applyFill="1" applyBorder="1"/>
    <x:xf numFmtId="205" fontId="1" fillId="0" borderId="0" xfId="0" applyNumberFormat="1" applyFont="1" applyFill="1" applyBorder="1"/>
    <x:xf numFmtId="206" fontId="1" fillId="0" borderId="0" xfId="0" applyNumberFormat="1" applyFont="1" applyFill="1" applyBorder="1"/>
    <x:xf numFmtId="207" fontId="1" fillId="0" borderId="0" xfId="0" applyNumberFormat="1" applyFont="1" applyFill="1" applyBorder="1"/>
    <x:xf numFmtId="208" fontId="1" fillId="0" borderId="0" xfId="0" applyNumberFormat="1" applyFont="1" applyFill="1" applyBorder="1"/>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0" fontId="1" fillId="0" borderId="8" xfId="0" applyNumberFormat="1" applyFont="1" applyFill="1" applyBorder="1"/>
    <x:xf numFmtId="201" fontId="1" fillId="0" borderId="8" xfId="0" applyNumberFormat="1" applyFont="1" applyFill="1" applyBorder="1"/>
    <x:xf numFmtId="202" fontId="1" fillId="0" borderId="8" xfId="0" applyNumberFormat="1" applyFont="1" applyFill="1" applyBorder="1"/>
    <x:xf numFmtId="201" fontId="1" fillId="0" borderId="8" xfId="0" applyNumberFormat="1" applyFont="1" applyFill="1" applyBorder="1" applyAlignment="1">
      <x:alignment wrapText="1"/>
    </x:xf>
    <x:xf numFmtId="202" fontId="1" fillId="0" borderId="8" xfId="0" applyNumberFormat="1" applyFont="1" applyFill="1" applyBorder="1" applyAlignment="1">
      <x:alignment wrapText="1"/>
    </x:xf>
    <x:xf numFmtId="208" fontId="1" fillId="3" borderId="0" xfId="0" applyNumberFormat="1" applyFont="1" applyFill="1" applyBorder="1"/>
    <x:xf numFmtId="208" fontId="1" fillId="0"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204" fontId="1" fillId="0" borderId="0" xfId="0" applyNumberFormat="1" applyFont="1" applyFill="1" applyBorder="1" applyAlignment="1">
      <x:alignment wrapText="1"/>
    </x:xf>
    <x:xf numFmtId="208" fontId="1" fillId="3" borderId="0" xfId="0" applyNumberFormat="1" applyFont="1" applyFill="1" applyBorder="1" applyAlignment="1">
      <x:alignment wrapText="1"/>
    </x:xf>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209" fontId="1" fillId="0" borderId="8" xfId="0" applyNumberFormat="1" applyFont="1" applyFill="1" applyBorder="1" applyAlignment="1">
      <x:alignment wrapText="1"/>
    </x:xf>
    <x:xf numFmtId="200" fontId="1" fillId="3" borderId="0" xfId="0" applyNumberFormat="1" applyFont="1" applyFill="1" applyBorder="1"/>
    <x:xf numFmtId="201" fontId="1" fillId="3" borderId="0" xfId="0" applyNumberFormat="1" applyFont="1" applyFill="1" applyBorder="1"/>
    <x:xf numFmtId="200" fontId="1" fillId="5" borderId="0" xfId="0" applyNumberFormat="1" applyFont="1" applyFill="1" applyBorder="1"/>
    <x:xf numFmtId="201" fontId="1" fillId="5" borderId="0" xfId="0" applyNumberFormat="1" applyFont="1" applyFill="1" applyBorder="1"/>
    <x:xf numFmtId="210" fontId="1" fillId="0" borderId="8" xfId="0" applyNumberFormat="1" applyFont="1" applyFill="1" applyBorder="1"/>
    <x:xf numFmtId="210" fontId="1" fillId="0" borderId="8" xfId="0" applyNumberFormat="1" applyFont="1" applyFill="1" applyBorder="1" applyAlignment="1">
      <x:alignment wrapText="1"/>
    </x:xf>
    <x:xf numFmtId="200" fontId="1" fillId="0" borderId="8" xfId="0" applyNumberFormat="1" applyFont="1" applyFill="1" applyBorder="1"/>
    <x:xf numFmtId="0" fontId="1" fillId="6" borderId="8" xfId="0" applyNumberFormat="1" applyFont="1" applyFill="1" applyBorder="1"/>
    <x:xf numFmtId="211" fontId="1" fillId="0" borderId="0" xfId="0" applyNumberFormat="1" applyFont="1" applyFill="1" applyBorder="1"/>
    <x:xf numFmtId="0" fontId="1" fillId="9" borderId="0" xfId="0" applyNumberFormat="1" applyFont="1" applyFill="1" applyBorder="1"/>
    <x:xf numFmtId="200" fontId="1" fillId="9" borderId="0" xfId="0" applyNumberFormat="1" applyFont="1" applyFill="1" applyBorder="1"/>
    <x:xf numFmtId="202" fontId="1" fillId="5" borderId="0" xfId="0" applyNumberFormat="1" applyFont="1" applyFill="1" applyBorder="1"/>
    <x:xf numFmtId="0" fontId="1" fillId="6" borderId="8" xfId="0" applyNumberFormat="1" applyFont="1" applyFill="1" applyBorder="1" applyAlignment="1">
      <x:alignment wrapText="1"/>
    </x:xf>
    <x:xf numFmtId="0" fontId="1" fillId="5" borderId="0" xfId="0" applyNumberFormat="1" applyFont="1" applyFill="1" applyBorder="1" applyAlignment="1">
      <x:alignment wrapText="1"/>
    </x:xf>
  </x:cellXfs>
  <x:cellStyles count="1">
    <x:cellStyle name="Normal" xfId="0"/>
  </x:cellStyles>
  <x:dxfs count="6">
    <x:dxf>
      <x:font>
        <x:b/>
        <x:color rgb="FF1F2937"/>
      </x:font>
      <x:fill>
        <x:patternFill patternType="solid">
          <x:bgColor rgb="FFFFF2CC"/>
        </x:patternFill>
      </x:fill>
    </x:dxf>
    <x:dxf>
      <x:font>
        <x:b/>
        <x:color rgb="FF006100"/>
      </x:font>
      <x:fill>
        <x:patternFill patternType="solid">
          <x:bgColor rgb="FFE2F0D9"/>
        </x:patternFill>
      </x:fill>
    </x:dxf>
    <x:dxf>
      <x:font>
        <x:b/>
        <x:color rgb="FF006100"/>
      </x:font>
      <x:fill>
        <x:patternFill patternType="solid">
          <x:bgColor rgb="FFE2F0D9"/>
        </x:patternFill>
      </x:fill>
    </x:dxf>
    <x:dxf>
      <x:font>
        <x:b/>
        <x:color rgb="FF006100"/>
      </x:font>
      <x:fill>
        <x:patternFill patternType="solid">
          <x:bgColor rgb="FFE2F0D9"/>
        </x:patternFill>
      </x:fill>
    </x:dxf>
    <x:dxf>
      <x:font>
        <x:b/>
        <x:color rgb="FF006100"/>
      </x:font>
      <x:fill>
        <x:patternFill patternType="solid">
          <x:bgColor rgb="FFE2F0D9"/>
        </x:patternFill>
      </x:fill>
    </x:dxf>
    <x:dxf>
      <x:font>
        <x:b/>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931639a4754720" /><Relationship Type="http://schemas.openxmlformats.org/officeDocument/2006/relationships/theme" Target="/xl/theme/theme1.xml" Id="Re2a399a681924af4" /><Relationship Type="http://schemas.openxmlformats.org/officeDocument/2006/relationships/sharedStrings" Target="/xl/sharedStrings.xml" Id="Rea17fd4590b54b9c" /><Relationship Type="http://schemas.openxmlformats.org/officeDocument/2006/relationships/worksheet" Target="/xl/worksheets/sheet1.xml" Id="Raea3fdff2fcd4ae5" /><Relationship Type="http://schemas.openxmlformats.org/officeDocument/2006/relationships/worksheet" Target="/xl/worksheets/sheet2.xml" Id="Rea516072ef2c40cb" /><Relationship Type="http://schemas.openxmlformats.org/officeDocument/2006/relationships/worksheet" Target="/xl/worksheets/sheet3.xml" Id="R69da31128166425d" /><Relationship Type="http://schemas.openxmlformats.org/officeDocument/2006/relationships/worksheet" Target="/xl/worksheets/sheet4.xml" Id="Rad24a2a8d6114aec" /><Relationship Type="http://schemas.openxmlformats.org/officeDocument/2006/relationships/worksheet" Target="/xl/worksheets/sheet5.xml" Id="R1cd9df10deca4d5f" /><Relationship Type="http://schemas.openxmlformats.org/officeDocument/2006/relationships/worksheet" Target="/xl/worksheets/sheet6.xml" Id="Rc022487903374a4b" /><Relationship Type="http://schemas.openxmlformats.org/officeDocument/2006/relationships/worksheet" Target="/xl/worksheets/sheet7.xml" Id="R0624ead9a75c4c9b" /><Relationship Type="http://schemas.openxmlformats.org/officeDocument/2006/relationships/worksheet" Target="/xl/worksheets/sheet8.xml" Id="R4f47b52f68774fd0" /><Relationship Type="http://schemas.openxmlformats.org/officeDocument/2006/relationships/worksheet" Target="/xl/worksheets/sheet9.xml" Id="R5cc9a745f3774b59" /><Relationship Type="http://schemas.openxmlformats.org/officeDocument/2006/relationships/worksheet" Target="/xl/worksheets/sheet10.xml" Id="R2e86448a5eba4826" /><Relationship Type="http://schemas.openxmlformats.org/officeDocument/2006/relationships/worksheet" Target="/xl/worksheets/sheet11.xml" Id="Rc3c246f3496848cd" /><Relationship Type="http://schemas.microsoft.com/office/2017/10/relationships/person" Target="/xl/persons/person.xml" Id="R02b0c2908c5145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2945de43f74ae6" /></Relationships>
</file>

<file path=xl/drawings/_rels/drawing2.xml.rels>&#65279;<?xml version="1.0" encoding="utf-8"?><Relationships xmlns="http://schemas.openxmlformats.org/package/2006/relationships"><Relationship Type="http://schemas.openxmlformats.org/officeDocument/2006/relationships/chart" Target="/xl/drawings/charts/chart2.xml" Id="R20357f923ea64f66" /></Relationships>
</file>

<file path=xl/drawings/_rels/drawing3.xml.rels>&#65279;<?xml version="1.0" encoding="utf-8"?><Relationships xmlns="http://schemas.openxmlformats.org/package/2006/relationships"><Relationship Type="http://schemas.openxmlformats.org/officeDocument/2006/relationships/chart" Target="/xl/drawings/charts/chart3.xml" Id="R82e6761806034269" /></Relationships>
</file>

<file path=xl/drawings/_rels/drawing4.xml.rels>&#65279;<?xml version="1.0" encoding="utf-8"?><Relationships xmlns="http://schemas.openxmlformats.org/package/2006/relationships"><Relationship Type="http://schemas.openxmlformats.org/officeDocument/2006/relationships/chart" Target="/xl/drawings/charts/chart4.xml" Id="Rf9087e5ed8734dd3" /></Relationships>
</file>

<file path=xl/drawings/_rels/drawing5.xml.rels>&#65279;<?xml version="1.0" encoding="utf-8"?><Relationships xmlns="http://schemas.openxmlformats.org/package/2006/relationships"><Relationship Type="http://schemas.openxmlformats.org/officeDocument/2006/relationships/chart" Target="/xl/drawings/charts/chart5.xml" Id="Ra321e6a46cf042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El modelo reproduce parte importante de los giros de la TRM</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TRM observada</c:v>
          </c:tx>
          <c:marker>
            <c:symbol val="none"/>
          </c:marker>
          <c:cat>
            <c:strRef>
              <c:f>'Resumen'!$H$38:$H$58</c:f>
              <c:strCache>
                <c:ptCount val="0"/>
              </c:strCache>
            </c:strRef>
          </c:cat>
          <c:val>
            <c:numRef>
              <c:f>'Resumen'!$I$38:$I$58</c:f>
              <c:numCache>
                <c:formatCode>#,##0</c:formatCode>
                <c:ptCount val="0"/>
              </c:numCache>
            </c:numRef>
          </c:val>
          <c:smooth val="0"/>
        </c:ser>
        <c:ser>
          <c:idx val="1"/>
          <c:order val="1"/>
          <c:tx>
            <c:v>TRM ajustada</c:v>
          </c:tx>
          <c:marker>
            <c:symbol val="none"/>
          </c:marker>
          <c:cat>
            <c:strRef>
              <c:f>'Resumen'!$H$38:$H$58</c:f>
              <c:strCache>
                <c:ptCount val="0"/>
              </c:strCache>
            </c:strRef>
          </c:cat>
          <c:val>
            <c:numRef>
              <c:f>'Resumen'!$J$38:$J$58</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Ajuste de un paso, muestra anual</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TRM observada</c:v>
          </c:tx>
          <c:marker>
            <c:symbol val="none"/>
          </c:marker>
          <c:cat>
            <c:strRef>
              <c:f>'Modelo_principal'!$P$18:$P$38</c:f>
              <c:strCache>
                <c:ptCount val="0"/>
              </c:strCache>
            </c:strRef>
          </c:cat>
          <c:val>
            <c:numRef>
              <c:f>'Modelo_principal'!$Q$18:$Q$38</c:f>
              <c:numCache>
                <c:formatCode>#,##0</c:formatCode>
                <c:ptCount val="0"/>
              </c:numCache>
            </c:numRef>
          </c:val>
          <c:smooth val="0"/>
        </c:ser>
        <c:ser>
          <c:idx val="1"/>
          <c:order val="1"/>
          <c:tx>
            <c:v>TRM ajustada</c:v>
          </c:tx>
          <c:marker>
            <c:symbol val="none"/>
          </c:marker>
          <c:cat>
            <c:strRef>
              <c:f>'Modelo_principal'!$P$18:$P$38</c:f>
              <c:strCache>
                <c:ptCount val="0"/>
              </c:strCache>
            </c:strRef>
          </c:cat>
          <c:val>
            <c:numRef>
              <c:f>'Modelo_principal'!$R$18:$R$38</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TRM observada y ajuste ampliado</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TRM observada</c:v>
          </c:tx>
          <c:spPr>
            <a:solidFill xmlns:a="http://schemas.openxmlformats.org/drawingml/2006/main">
              <a:srgbClr val="17365D"/>
            </a:solidFill>
          </c:spPr>
          <c:marker>
            <c:symbol val="none"/>
          </c:marker>
          <c:cat>
            <c:strRef>
              <c:f>'Modelo_ampliado'!$A$25:$A$264</c:f>
              <c:strCache>
                <c:ptCount val="0"/>
              </c:strCache>
            </c:strRef>
          </c:cat>
          <c:val>
            <c:numRef>
              <c:f>'Modelo_ampliado'!$E$25:$E$264</c:f>
              <c:numCache>
                <c:formatCode>#,##0</c:formatCode>
                <c:ptCount val="0"/>
              </c:numCache>
            </c:numRef>
          </c:val>
          <c:smooth val="0"/>
        </c:ser>
        <c:ser>
          <c:idx val="1"/>
          <c:order val="1"/>
          <c:tx>
            <c:v>TRM ajustada</c:v>
          </c:tx>
          <c:spPr>
            <a:solidFill xmlns:a="http://schemas.openxmlformats.org/drawingml/2006/main">
              <a:srgbClr val="0F766E"/>
            </a:solidFill>
          </c:spPr>
          <c:marker>
            <c:symbol val="none"/>
          </c:marker>
          <c:cat>
            <c:strRef>
              <c:f>'Modelo_ampliado'!$A$25:$A$264</c:f>
              <c:strCache>
                <c:ptCount val="0"/>
              </c:strCache>
            </c:strRef>
          </c:cat>
          <c:val>
            <c:numRef>
              <c:f>'Modelo_ampliado'!$F$25:$F$264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Participación de cada factor en la explicación incremental</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Peso entre factores</c:v>
          </c:tx>
          <c:spPr>
            <a:solidFill xmlns:a="http://schemas.openxmlformats.org/drawingml/2006/main">
              <a:srgbClr val="2F75B5"/>
            </a:solidFill>
          </c:spPr>
          <c:cat>
            <c:strRef>
              <c:f>'Pesos_explicativos'!$A$11:$A$22</c:f>
              <c:strCache>
                <c:ptCount val="0"/>
              </c:strCache>
            </c:strRef>
          </c:cat>
          <c:val>
            <c:numRef>
              <c:f>'Pesos_explicativos'!$D$11:$D$22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Validación condicional: observada, modelos y caminata</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TRM observada</c:v>
          </c:tx>
          <c:marker>
            <c:symbol val="none"/>
          </c:marker>
          <c:cat>
            <c:strRef>
              <c:f>'Validacion'!$K$26:$K$73</c:f>
              <c:strCache>
                <c:ptCount val="0"/>
              </c:strCache>
            </c:strRef>
          </c:cat>
          <c:val>
            <c:numRef>
              <c:f>'Validacion'!$L$26:$L$73</c:f>
              <c:numCache>
                <c:formatCode>#,##0</c:formatCode>
                <c:ptCount val="0"/>
              </c:numCache>
            </c:numRef>
          </c:val>
          <c:smooth val="0"/>
        </c:ser>
        <c:ser>
          <c:idx val="1"/>
          <c:order val="1"/>
          <c:tx>
            <c:v>Modelo principal condicional</c:v>
          </c:tx>
          <c:marker>
            <c:symbol val="none"/>
          </c:marker>
          <c:cat>
            <c:strRef>
              <c:f>'Validacion'!$K$26:$K$73</c:f>
              <c:strCache>
                <c:ptCount val="0"/>
              </c:strCache>
            </c:strRef>
          </c:cat>
          <c:val>
            <c:numRef>
              <c:f>'Validacion'!$M$26:$M$73</c:f>
              <c:numCache>
                <c:formatCode>#,##0</c:formatCode>
                <c:ptCount val="0"/>
              </c:numCache>
            </c:numRef>
          </c:val>
          <c:smooth val="0"/>
        </c:ser>
        <c:ser>
          <c:idx val="2"/>
          <c:order val="2"/>
          <c:tx>
            <c:v>Modelo ampliado condicional</c:v>
          </c:tx>
          <c:marker>
            <c:symbol val="none"/>
          </c:marker>
          <c:cat>
            <c:strRef>
              <c:f>'Validacion'!$K$26:$K$73</c:f>
              <c:strCache>
                <c:ptCount val="0"/>
              </c:strCache>
            </c:strRef>
          </c:cat>
          <c:val>
            <c:numRef>
              <c:f>'Validacion'!$N$26:$N$73</c:f>
              <c:numCache>
                <c:formatCode>#,##0</c:formatCode>
                <c:ptCount val="0"/>
              </c:numCache>
            </c:numRef>
          </c:val>
          <c:smooth val="0"/>
        </c:ser>
        <c:ser>
          <c:idx val="3"/>
          <c:order val="3"/>
          <c:tx>
            <c:v>Caminata aleatoria</c:v>
          </c:tx>
          <c:marker>
            <c:symbol val="none"/>
          </c:marker>
          <c:cat>
            <c:strRef>
              <c:f>'Validacion'!$K$26:$K$73</c:f>
              <c:strCache>
                <c:ptCount val="0"/>
              </c:strCache>
            </c:strRef>
          </c:cat>
          <c:val>
            <c:numRef>
              <c:f>'Validacion'!$O$26:$O$73</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5</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2945de43f74ae6"/>
        </a:graphicData>
      </a:graphic>
    </xdr:graphicFrame>
    <xdr:clientData/>
  </xdr:twoCellAnchor>
</xdr:wsDr>
</file>

<file path=xl/drawings/drawing2.xml><?xml version="1.0" encoding="utf-8"?>
<xdr:wsDr xmlns:xdr="http://schemas.openxmlformats.org/drawingml/2006/spreadsheetDrawing">
  <xdr:twoCellAnchor>
    <xdr:from>
      <xdr:col>15</xdr:col>
      <xdr:colOff>0</xdr:colOff>
      <xdr:row>1</xdr:row>
      <xdr:rowOff>0</xdr:rowOff>
    </xdr:from>
    <xdr:to>
      <xdr:col>23</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357f923ea64f66"/>
        </a:graphicData>
      </a:graphic>
    </xdr:graphicFrame>
    <xdr:clientData/>
  </xdr:twoCellAnchor>
</xdr:wsDr>
</file>

<file path=xl/drawings/drawing3.xml><?xml version="1.0" encoding="utf-8"?>
<xdr:wsDr xmlns:xdr="http://schemas.openxmlformats.org/drawingml/2006/spreadsheetDrawing">
  <xdr:twoCellAnchor>
    <xdr:from>
      <xdr:col>14</xdr:col>
      <xdr:colOff>0</xdr:colOff>
      <xdr:row>4</xdr:row>
      <xdr:rowOff>0</xdr:rowOff>
    </xdr:from>
    <xdr:to>
      <xdr:col>23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e6761806034269"/>
        </a:graphicData>
      </a:graphic>
    </xdr:graphicFrame>
    <xdr:clientData/>
  </xdr:twoCellAnchor>
</xdr:wsDr>
</file>

<file path=xl/drawings/drawing4.xml><?xml version="1.0" encoding="utf-8"?>
<xdr:wsDr xmlns:xdr="http://schemas.openxmlformats.org/drawingml/2006/spreadsheetDrawing">
  <xdr:twoCellAnchor>
    <xdr:from>
      <xdr:col>9</xdr:col>
      <xdr:colOff>0</xdr:colOff>
      <xdr:row>4</xdr:row>
      <xdr:rowOff>0</xdr:rowOff>
    </xdr:from>
    <xdr:to>
      <xdr:col>18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087e5ed8734dd3"/>
        </a:graphicData>
      </a:graphic>
    </xdr:graphicFrame>
    <xdr:clientData/>
  </xdr:twoCellAnchor>
</xdr:wsDr>
</file>

<file path=xl/drawings/drawing5.xml><?xml version="1.0" encoding="utf-8"?>
<xdr:wsDr xmlns:xdr="http://schemas.openxmlformats.org/drawingml/2006/spreadsheetDrawing">
  <xdr:twoCellAnchor>
    <xdr:from>
      <xdr:col>10</xdr:col>
      <xdr:colOff>0</xdr:colOff>
      <xdr:row>4</xdr:row>
      <xdr:rowOff>0</xdr:rowOff>
    </xdr:from>
    <xdr:to>
      <xdr:col>18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21e6a46cf042fc"/>
        </a:graphicData>
      </a:graphic>
    </xdr:graphicFrame>
    <xdr:clientData/>
  </xdr:twoCellAnchor>
</xdr:wsDr>
</file>

<file path=xl/persons/person.xml><?xml version="1.0" encoding="utf-8"?>
<xltc:personList xmlns:xltc="http://schemas.microsoft.com/office/spreadsheetml/2018/threadedcomments">
  <xltc:person displayName="Equipo de análisis" id="{FAB4E9FF-1CA2-4CF2-A9D3-8012BCB92016}"/>
</xltc:personList>
</file>

<file path=xl/tables/table1.xml><?xml version="1.0" encoding="utf-8"?>
<x:table xmlns:x="http://schemas.openxmlformats.org/spreadsheetml/2006/main" id="1" name="ComparacionModelosResumenTable" displayName="ComparacionModelosResumenTable" ref="H30:N32" headerRowCount="1" totalsRowCount="0" totalsRowShown="0">
  <x:autoFilter ref="H30:N32"/>
  <x:tableColumns count="7">
    <x:tableColumn id="1" name="Modelo"/>
    <x:tableColumn id="2" name="Obs."/>
    <x:tableColumn id="3" name="R² ajustado"/>
    <x:tableColumn id="4" name="AIC"/>
    <x:tableColumn id="5" name="BIC"/>
    <x:tableColumn id="6" name="MAPE"/>
    <x:tableColumn id="7" name="Dirección"/>
  </x:tableColumns>
  <x:tableStyleInfo name="TableStyleMedium2" showFirstColumn="0" showLastColumn="0" showRowStripes="1" showColumnStripes="0"/>
</x:table>
</file>

<file path=xl/tables/table2.xml><?xml version="1.0" encoding="utf-8"?>
<x:table xmlns:x="http://schemas.openxmlformats.org/spreadsheetml/2006/main" id="2" name="PesosResumenTable" displayName="PesosResumenTable" ref="A39:F47" headerRowCount="1" totalsRowCount="0" totalsRowShown="0">
  <x:autoFilter ref="A39:F47"/>
  <x:tableColumns count="6">
    <x:tableColumn id="1" name="Factor"/>
    <x:tableColumn id="2" name="Grupo"/>
    <x:tableColumn id="3" name="Contribución al R²"/>
    <x:tableColumn id="4" name="Peso entre factores"/>
    <x:tableColumn id="5" name="Peso del R² total"/>
    <x:tableColumn id="6" name="Lectura"/>
  </x:tableColumns>
  <x:tableStyleInfo name="TableStyleMedium2" showFirstColumn="0" showLastColumn="0" showRowStripes="1" showColumnStripes="0"/>
</x:table>
</file>

<file path=xl/tables/table3.xml><?xml version="1.0" encoding="utf-8"?>
<x:table xmlns:x="http://schemas.openxmlformats.org/spreadsheetml/2006/main" id="3" name="DatosFuenteTable" displayName="DatosFuenteTable" ref="A5:AB250" headerRowCount="1" totalsRowCount="0" totalsRowShown="0">
  <x:autoFilter ref="A5:AB250"/>
  <x:tableColumns count="28">
    <x:tableColumn id="1" name="Mes"/>
    <x:tableColumn id="2" name="TRM (COP/USD)"/>
    <x:tableColumn id="3" name="Brent (USD/barril)"/>
    <x:tableColumn id="4" name="Remesas (USD mill.)"/>
    <x:tableColumn id="5" name="Remesas 12m (USD mill.)"/>
    <x:tableColumn id="6" name="Tasa política Colombia (%)"/>
    <x:tableColumn id="7" name="Fed funds (%)"/>
    <x:tableColumn id="8" name="Diferencial tasas (pp)"/>
    <x:tableColumn id="9" name="Balance fiscal mensual (miles mill. COP)"/>
    <x:tableColumn id="10" name="Déficit fiscal 12m (% PIB)"/>
    <x:tableColumn id="11" name="Índice dólar amplio"/>
    <x:tableColumn id="12" name="VIX"/>
    <x:tableColumn id="13" name="Términos de intercambio"/>
    <x:tableColumn id="14" name="Dummy pandemia"/>
    <x:tableColumn id="15" name="Reservas netas sin FLAR (USD mill.)"/>
    <x:tableColumn id="16" name="TES Colombia 10 años (%)"/>
    <x:tableColumn id="17" name="Treasury EE. UU. 10 años (%)"/>
    <x:tableColumn id="18" name="Spread TES−UST (pp)"/>
    <x:tableColumn id="19" name="Balanza comercial cambiaria (USD mill.)"/>
    <x:tableColumn id="20" name="Flujo neto total de capital (USD mill.)"/>
    <x:tableColumn id="21" name="IPC Colombia"/>
    <x:tableColumn id="22" name="IPC EE. UU."/>
    <x:tableColumn id="23" name="Diferencial inflación interanual (pp)"/>
    <x:tableColumn id="24" name="BRL por USD"/>
    <x:tableColumn id="25" name="CLP por USD"/>
    <x:tableColumn id="26" name="MXN por USD"/>
    <x:tableColumn id="27" name="Factor monedas regionales"/>
    <x:tableColumn id="28" name="IPC EE. UU. interpolado"/>
  </x:tableColumns>
  <x:tableStyleInfo name="TableStyleMedium2" showFirstColumn="0" showLastColumn="0" showRowStripes="1" showColumnStripes="0"/>
</x:table>
</file>

<file path=xl/tables/table4.xml><?xml version="1.0" encoding="utf-8"?>
<x:table xmlns:x="http://schemas.openxmlformats.org/spreadsheetml/2006/main" id="4" name="TransformacionesTable" displayName="TransformacionesTable" ref="A5:AA250" headerRowCount="1" totalsRowCount="0" totalsRowShown="0">
  <x:autoFilter ref="A5:AA250"/>
  <x:tableColumns count="27">
    <x:tableColumn id="1" name="Mes"/>
    <x:tableColumn id="2" name="ln TRM"/>
    <x:tableColumn id="3" name="Δln TRM"/>
    <x:tableColumn id="4" name="ln Brent"/>
    <x:tableColumn id="5" name="Δln Brent"/>
    <x:tableColumn id="6" name="ln remesas 12m"/>
    <x:tableColumn id="7" name="Δln remesas 12m"/>
    <x:tableColumn id="8" name="Diferencial tasas"/>
    <x:tableColumn id="9" name="Δ diferencial"/>
    <x:tableColumn id="10" name="Déficit 12m/PIB"/>
    <x:tableColumn id="11" name="Δ déficit"/>
    <x:tableColumn id="12" name="ln dólar amplio"/>
    <x:tableColumn id="13" name="Δln dólar amplio"/>
    <x:tableColumn id="14" name="ln VIX"/>
    <x:tableColumn id="15" name="Δln VIX"/>
    <x:tableColumn id="16" name="Pandemia"/>
    <x:tableColumn id="17" name="ln reservas netas sin FLAR"/>
    <x:tableColumn id="18" name="Δln reservas"/>
    <x:tableColumn id="19" name="Spread TES−UST 10 años"/>
    <x:tableColumn id="20" name="Δ spread TES−UST"/>
    <x:tableColumn id="21" name="asinh balanza (USD miles de millones)"/>
    <x:tableColumn id="22" name="Δ asinh balanza"/>
    <x:tableColumn id="23" name="asinh flujos (USD miles de millones)"/>
    <x:tableColumn id="24" name="Δ asinh flujos"/>
    <x:tableColumn id="25" name="Diferencial inflación"/>
    <x:tableColumn id="26" name="Δ diferencial inflación"/>
    <x:tableColumn id="27" name="Factor regional estandarizado"/>
  </x:tableColumns>
  <x:tableStyleInfo name="TableStyleMedium2" showFirstColumn="0" showLastColumn="0" showRowStripes="1" showColumnStripes="0"/>
</x:table>
</file>

<file path=xl/tables/table5.xml><?xml version="1.0" encoding="utf-8"?>
<x:table xmlns:x="http://schemas.openxmlformats.org/spreadsheetml/2006/main" id="5" name="CoeficientesModeloTable" displayName="CoeficientesModeloTable" ref="A5:G13" headerRowCount="1" totalsRowCount="0" totalsRowShown="0">
  <x:autoFilter ref="A5:G13"/>
  <x:tableColumns count="7">
    <x:tableColumn id="1" name="Variable"/>
    <x:tableColumn id="2" name="Coeficiente"/>
    <x:tableColumn id="3" name="EE HAC"/>
    <x:tableColumn id="4" name="t"/>
    <x:tableColumn id="5" name="p-valor"/>
    <x:tableColumn id="6" name="IC 95% inferior"/>
    <x:tableColumn id="7" name="IC 95% superior"/>
  </x:tableColumns>
  <x:tableStyleInfo name="TableStyleMedium2" showFirstColumn="0" showLastColumn="0" showRowStripes="1" showColumnStripes="0"/>
</x:table>
</file>

<file path=xl/tables/table6.xml><?xml version="1.0" encoding="utf-8"?>
<x:table xmlns:x="http://schemas.openxmlformats.org/spreadsheetml/2006/main" id="6" name="AjusteModeloTable" displayName="AjusteModeloTable" ref="A17:N257" headerRowCount="1" totalsRowCount="0" totalsRowShown="0">
  <x:autoFilter ref="A17:N257"/>
  <x:tableColumns count="14">
    <x:tableColumn id="1" name="Mes"/>
    <x:tableColumn id="2" name="Δln TRM observado"/>
    <x:tableColumn id="3" name="Constante"/>
    <x:tableColumn id="4" name="Brent"/>
    <x:tableColumn id="5" name="Dólar amplio"/>
    <x:tableColumn id="6" name="VIX"/>
    <x:tableColumn id="7" name="Remesas t−1"/>
    <x:tableColumn id="8" name="Tasas t−1"/>
    <x:tableColumn id="9" name="Fiscal t−1"/>
    <x:tableColumn id="10" name="Pandemia"/>
    <x:tableColumn id="11" name="Δln TRM ajustado"/>
    <x:tableColumn id="12" name="Residuo"/>
    <x:tableColumn id="13" name="TRM observada"/>
    <x:tableColumn id="14" name="TRM ajustada 1 paso"/>
  </x:tableColumns>
  <x:tableStyleInfo name="TableStyleMedium2" showFirstColumn="0" showLastColumn="0" showRowStripes="1" showColumnStripes="0"/>
</x:table>
</file>

<file path=xl/tables/table7.xml><?xml version="1.0" encoding="utf-8"?>
<x:table xmlns:x="http://schemas.openxmlformats.org/spreadsheetml/2006/main" id="7" name="CoeficientesModeloAmpliadoTable" displayName="CoeficientesModeloAmpliadoTable" ref="A5:G19" headerRowCount="1" totalsRowCount="0" totalsRowShown="0">
  <x:autoFilter ref="A5:G19"/>
  <x:tableColumns count="7">
    <x:tableColumn id="1" name="Variable"/>
    <x:tableColumn id="2" name="Coeficiente"/>
    <x:tableColumn id="3" name="EE HAC"/>
    <x:tableColumn id="4" name="t"/>
    <x:tableColumn id="5" name="p-valor"/>
    <x:tableColumn id="6" name="IC 95% inferior"/>
    <x:tableColumn id="7" name="IC 95% superior"/>
  </x:tableColumns>
  <x:tableStyleInfo name="TableStyleMedium2" showFirstColumn="0" showLastColumn="0" showRowStripes="1" showColumnStripes="0"/>
</x:table>
</file>

<file path=xl/tables/table8.xml><?xml version="1.0" encoding="utf-8"?>
<x:table xmlns:x="http://schemas.openxmlformats.org/spreadsheetml/2006/main" id="8" name="DiagnosticosModeloAmpliadoTable" displayName="DiagnosticosModeloAmpliadoTable" ref="I13:L21" headerRowCount="1" totalsRowCount="0" totalsRowShown="0">
  <x:autoFilter ref="I13:L21"/>
  <x:tableColumns count="4">
    <x:tableColumn id="1" name="Prueba"/>
    <x:tableColumn id="2" name="Estadístico"/>
    <x:tableColumn id="3" name="p-valor"/>
    <x:tableColumn id="4" name="Lectura"/>
  </x:tableColumns>
  <x:tableStyleInfo name="TableStyleMedium2" showFirstColumn="0" showLastColumn="0" showRowStripes="1" showColumnStripes="0"/>
</x:table>
</file>

<file path=xl/tables/table9.xml><?xml version="1.0" encoding="utf-8"?>
<x:table xmlns:x="http://schemas.openxmlformats.org/spreadsheetml/2006/main" id="9" name="AjusteModeloAmpliadoTable" displayName="AjusteModeloAmpliadoTable" ref="A24:V264" headerRowCount="1" totalsRowCount="0" totalsRowShown="0">
  <x:autoFilter ref="A24:V264"/>
  <x:tableColumns count="22">
    <x:tableColumn id="1" name="Mes"/>
    <x:tableColumn id="2" name="Δln TRM observado"/>
    <x:tableColumn id="3" name="Δln TRM ajustado"/>
    <x:tableColumn id="4" name="Residuo"/>
    <x:tableColumn id="5" name="TRM observada"/>
    <x:tableColumn id="6" name="TRM ajustada 1 paso"/>
    <x:tableColumn id="7" name="Intercepto"/>
    <x:tableColumn id="8" name="Δ ln Brent (t)"/>
    <x:tableColumn id="9" name="Δ ln remesas 12m (t−1)"/>
    <x:tableColumn id="10" name="Δ diferencial tasas (t−1)"/>
    <x:tableColumn id="11" name="Δ déficit fiscal 12m/PIB (t−1)"/>
    <x:tableColumn id="12" name="Δ ln índice dólar amplio (t)"/>
    <x:tableColumn id="13" name="Δ ln VIX (t)"/>
    <x:tableColumn id="14" name="Δ spread TES–UST 10 años (t)"/>
    <x:tableColumn id="15" name="Δ ln reservas netas sin FLAR (t−1)"/>
    <x:tableColumn id="16" name="Δ asinh balanza comercial cambiaria (t−1)"/>
    <x:tableColumn id="17" name="Δ asinh flujo neto de capital (t−1)"/>
    <x:tableColumn id="18" name="Diferencial de inflación interanual (t−1)"/>
    <x:tableColumn id="19" name="Factor de monedas regionales (t)"/>
    <x:tableColumn id="20" name="Dummy pandemia 2020"/>
    <x:tableColumn id="21" name="Ajuste total de contribuciones"/>
    <x:tableColumn id="22" name="Diferencia de control"/>
  </x:tableColumns>
  <x:tableStyleInfo name="TableStyleMedium2" showFirstColumn="0" showLastColumn="0" showRowStripes="1" showColumnStripes="0"/>
</x:table>
</file>

<file path=xl/tables/table10.xml><?xml version="1.0" encoding="utf-8"?>
<x:table xmlns:x="http://schemas.openxmlformats.org/spreadsheetml/2006/main" id="10" name="PesosExplicativosTable" displayName="PesosExplicativosTable" ref="A10:H22" headerRowCount="1" totalsRowCount="0" totalsRowShown="0">
  <x:autoFilter ref="A10:H22"/>
  <x:tableColumns count="8">
    <x:tableColumn id="1" name="Factor"/>
    <x:tableColumn id="2" name="Grupo"/>
    <x:tableColumn id="3" name="Shapley R²"/>
    <x:tableColumn id="4" name="Peso entre factores"/>
    <x:tableColumn id="5" name="Peso del R² total"/>
    <x:tableColumn id="6" name="R² base"/>
    <x:tableColumn id="7" name="R² completo"/>
    <x:tableColumn id="8" name="R² incremental"/>
  </x:tableColumns>
  <x:tableStyleInfo name="TableStyleMedium2" showFirstColumn="0" showLastColumn="0" showRowStripes="1" showColumnStripes="0"/>
</x:table>
</file>

<file path=xl/tables/table11.xml><?xml version="1.0" encoding="utf-8"?>
<x:table xmlns:x="http://schemas.openxmlformats.org/spreadsheetml/2006/main" id="11" name="MetricasValidacionTable" displayName="MetricasValidacionTable" ref="A5:F8" headerRowCount="1" totalsRowCount="0" totalsRowShown="0">
  <x:autoFilter ref="A5:F8"/>
  <x:tableColumns count="6">
    <x:tableColumn id="1" name="Modelo"/>
    <x:tableColumn id="2" name="Observaciones"/>
    <x:tableColumn id="3" name="MAE (log)"/>
    <x:tableColumn id="4" name="RMSE (log)"/>
    <x:tableColumn id="5" name="MAPE"/>
    <x:tableColumn id="6" name="Acierto dirección"/>
  </x:tableColumns>
  <x:tableStyleInfo name="TableStyleMedium2" showFirstColumn="0" showLastColumn="0" showRowStripes="1" showColumnStripes="0"/>
</x:table>
</file>

<file path=xl/tables/table12.xml><?xml version="1.0" encoding="utf-8"?>
<x:table xmlns:x="http://schemas.openxmlformats.org/spreadsheetml/2006/main" id="12" name="PrediccionesValidacionTable" displayName="PrediccionesValidacionTable" ref="A11:I59" headerRowCount="1" totalsRowCount="0" totalsRowShown="0">
  <x:autoFilter ref="A11:I59"/>
  <x:tableColumns count="9">
    <x:tableColumn id="1" name="Mes"/>
    <x:tableColumn id="2" name="ln TRM observada"/>
    <x:tableColumn id="3" name="ln TRM modelo principal"/>
    <x:tableColumn id="4" name="ln TRM caminata"/>
    <x:tableColumn id="5" name="Δln observado"/>
    <x:tableColumn id="6" name="Δln modelo principal"/>
    <x:tableColumn id="7" name="TRM observada"/>
    <x:tableColumn id="8" name="TRM modelo principal"/>
    <x:tableColumn id="9" name="TRM caminata"/>
  </x:tableColumns>
  <x:tableStyleInfo name="TableStyleMedium2" showFirstColumn="0" showLastColumn="0" showRowStripes="1" showColumnStripes="0"/>
</x:table>
</file>

<file path=xl/tables/table13.xml><?xml version="1.0" encoding="utf-8"?>
<x:table xmlns:x="http://schemas.openxmlformats.org/spreadsheetml/2006/main" id="13" name="PrediccionesValidacionAmpliadaTable" displayName="PrediccionesValidacionAmpliadaTable" ref="A62:I110" headerRowCount="1" totalsRowCount="0" totalsRowShown="0">
  <x:autoFilter ref="A62:I110"/>
  <x:tableColumns count="9">
    <x:tableColumn id="1" name="Mes"/>
    <x:tableColumn id="2" name="ln TRM observada"/>
    <x:tableColumn id="3" name="ln TRM modelo ampliado"/>
    <x:tableColumn id="4" name="ln TRM caminata"/>
    <x:tableColumn id="5" name="Δln observado"/>
    <x:tableColumn id="6" name="Δln modelo ampliado"/>
    <x:tableColumn id="7" name="TRM observada"/>
    <x:tableColumn id="8" name="TRM modelo ampliado"/>
    <x:tableColumn id="9" name="TRM caminata"/>
  </x:tableColumns>
  <x:tableStyleInfo name="TableStyleMedium2" showFirstColumn="0" showLastColumn="0" showRowStripes="1" showColumnStripes="0"/>
</x:table>
</file>

<file path=xl/tables/table14.xml><?xml version="1.0" encoding="utf-8"?>
<x:table xmlns:x="http://schemas.openxmlformats.org/spreadsheetml/2006/main" id="14" name="BoundsCriticosTable" displayName="BoundsCriticosTable" ref="A11:C15" headerRowCount="1" totalsRowCount="0" totalsRowShown="0">
  <x:autoFilter ref="A11:C15"/>
  <x:tableColumns count="3">
    <x:tableColumn id="1" name="Percentil"/>
    <x:tableColumn id="2" name="Límite inferior I(0)"/>
    <x:tableColumn id="3" name="Límite superior I(1)"/>
  </x:tableColumns>
  <x:tableStyleInfo name="TableStyleMedium2" showFirstColumn="0" showLastColumn="0" showRowStripes="1" showColumnStripes="0"/>
</x:table>
</file>

<file path=xl/tables/table15.xml><?xml version="1.0" encoding="utf-8"?>
<x:table xmlns:x="http://schemas.openxmlformats.org/spreadsheetml/2006/main" id="15" name="ECMLargoPlazoTable" displayName="ECMLargoPlazoTable" ref="A19:G26" headerRowCount="1" totalsRowCount="0" totalsRowShown="0">
  <x:autoFilter ref="A19:G26"/>
  <x:tableColumns count="7">
    <x:tableColumn id="1" name="Variable"/>
    <x:tableColumn id="2" name="Coeficiente"/>
    <x:tableColumn id="3" name="EE"/>
    <x:tableColumn id="4" name="t"/>
    <x:tableColumn id="5" name="p-valor"/>
    <x:tableColumn id="6" name="IC 95% inferior"/>
    <x:tableColumn id="7" name="IC 95% superior"/>
  </x:tableColumns>
  <x:tableStyleInfo name="TableStyleMedium2" showFirstColumn="0" showLastColumn="0" showRowStripes="1" showColumnStripes="0"/>
</x:table>
</file>

<file path=xl/tables/table16.xml><?xml version="1.0" encoding="utf-8"?>
<x:table xmlns:x="http://schemas.openxmlformats.org/spreadsheetml/2006/main" id="16" name="DiagnosticosModeloTable" displayName="DiagnosticosModeloTable" ref="A6:D14" headerRowCount="1" totalsRowCount="0" totalsRowShown="0">
  <x:autoFilter ref="A6:D14"/>
  <x:tableColumns count="4">
    <x:tableColumn id="1" name="Prueba"/>
    <x:tableColumn id="2" name="Estadístico"/>
    <x:tableColumn id="3" name="p-valor"/>
    <x:tableColumn id="4" name="Lectura"/>
  </x:tableColumns>
  <x:tableStyleInfo name="TableStyleMedium2" showFirstColumn="0" showLastColumn="0" showRowStripes="1" showColumnStripes="0"/>
</x:table>
</file>

<file path=xl/tables/table17.xml><?xml version="1.0" encoding="utf-8"?>
<x:table xmlns:x="http://schemas.openxmlformats.org/spreadsheetml/2006/main" id="17" name="SeleccionRezagosTable" displayName="SeleccionRezagosTable" ref="F6:I10" headerRowCount="1" totalsRowCount="0" totalsRowShown="0">
  <x:autoFilter ref="F6:I10"/>
  <x:tableColumns count="4">
    <x:tableColumn id="1" name="p"/>
    <x:tableColumn id="2" name="AIC"/>
    <x:tableColumn id="3" name="BIC"/>
    <x:tableColumn id="4" name="R² ajustado"/>
  </x:tableColumns>
  <x:tableStyleInfo name="TableStyleMedium2" showFirstColumn="0" showLastColumn="0" showRowStripes="1" showColumnStripes="0"/>
</x:table>
</file>

<file path=xl/tables/table18.xml><?xml version="1.0" encoding="utf-8"?>
<x:table xmlns:x="http://schemas.openxmlformats.org/spreadsheetml/2006/main" id="18" name="IntegracionTable" displayName="IntegracionTable" ref="A18:H42" headerRowCount="1" totalsRowCount="0" totalsRowShown="0">
  <x:autoFilter ref="A18:H42"/>
  <x:tableColumns count="8">
    <x:tableColumn id="1" name="Variable"/>
    <x:tableColumn id="2" name="Transformación"/>
    <x:tableColumn id="3" name="n"/>
    <x:tableColumn id="4" name="ADF"/>
    <x:tableColumn id="5" name="p ADF"/>
    <x:tableColumn id="6" name="Rezagos ADF"/>
    <x:tableColumn id="7" name="KPSS"/>
    <x:tableColumn id="8" name="p KPSS"/>
  </x:tableColumns>
  <x:tableStyleInfo name="TableStyleMedium2" showFirstColumn="0" showLastColumn="0" showRowStripes="1" showColumnStripes="0"/>
</x:table>
</file>

<file path=xl/tables/table19.xml><?xml version="1.0" encoding="utf-8"?>
<x:table xmlns:x="http://schemas.openxmlformats.org/spreadsheetml/2006/main" id="19" name="DiagnosticosAmpliadosTable" displayName="DiagnosticosAmpliadosTable" ref="J15:M23" headerRowCount="1" totalsRowCount="0" totalsRowShown="0">
  <x:autoFilter ref="J15:M23"/>
  <x:tableColumns count="4">
    <x:tableColumn id="1" name="Prueba"/>
    <x:tableColumn id="2" name="Estadístico"/>
    <x:tableColumn id="3" name="p-valor"/>
    <x:tableColumn id="4" name="Lectura"/>
  </x:tableColumns>
  <x:tableStyleInfo name="TableStyleMedium2" showFirstColumn="0" showLastColumn="0" showRowStripes="1" showColumnStripes="0"/>
</x:table>
</file>

<file path=xl/tables/table20.xml><?xml version="1.0" encoding="utf-8"?>
<x:table xmlns:x="http://schemas.openxmlformats.org/spreadsheetml/2006/main" id="20" name="MapaVariablesTable" displayName="MapaVariablesTable" ref="A5:I21" headerRowCount="1" totalsRowCount="0" totalsRowShown="0">
  <x:autoFilter ref="A5:I21"/>
  <x:tableColumns count="9">
    <x:tableColumn id="1" name="Bloque"/>
    <x:tableColumn id="2" name="Variable"/>
    <x:tableColumn id="3" name="Estatus"/>
    <x:tableColumn id="4" name="Proxy/medición"/>
    <x:tableColumn id="5" name="Transformación"/>
    <x:tableColumn id="6" name="Signo sobre COP/USD"/>
    <x:tableColumn id="7" name="Canal"/>
    <x:tableColumn id="8" name="Justificación"/>
    <x:tableColumn id="9" name="Cautela"/>
  </x:tableColumns>
  <x:tableStyleInfo name="TableStyleMedium2" showFirstColumn="0" showLastColumn="0" showRowStripes="1" showColumnStripes="0"/>
</x:table>
</file>

<file path=xl/tables/table21.xml><?xml version="1.0" encoding="utf-8"?>
<x:table xmlns:x="http://schemas.openxmlformats.org/spreadsheetml/2006/main" id="21" name="FuentesTable" displayName="FuentesTable" ref="A5:G27" headerRowCount="1" totalsRowCount="0" totalsRowShown="0">
  <x:autoFilter ref="A5:G27"/>
  <x:tableColumns count="7">
    <x:tableColumn id="1" name="Organismo"/>
    <x:tableColumn id="2" name="Serie/código"/>
    <x:tableColumn id="3" name="Frecuencia"/>
    <x:tableColumn id="4" name="Cobertura"/>
    <x:tableColumn id="5" name="Uso"/>
    <x:tableColumn id="6" name="Tratamiento"/>
    <x:tableColumn id="7"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22T23:38:31.683" personId="{FAB4E9FF-1CA2-4CF2-A9D3-8012BCB92016}" id="{F27A9CA5-A4B1-4C68-B868-95C91FFEB24D}">
    <xltc:text>Fuente: Banco de la República, serie diaria TRM 1; promedio mensual. https://suameca.banrep.gov.co/graficador-series/rest/graficadorService/consultaSerieParaGraficar?idSerie=1</xltc:text>
  </xltc:threadedComment>
  <xltc:threadedComment ref="C5" dT="2026-08-22T23:38:31.684" personId="{FAB4E9FF-1CA2-4CF2-A9D3-8012BCB92016}" id="{D0AB460B-0628-3F7B-A59B-5E0FDFCFC82E}">
    <xltc:text>Fuente: EIA vía FRED, DCOILBRENTEU; promedio mensual de observaciones diarias.</xltc:text>
  </xltc:threadedComment>
  <xltc:threadedComment ref="D5" dT="2026-08-22T23:38:31.684" personId="{FAB4E9FF-1CA2-4CF2-A9D3-8012BCB92016}" id="{16697303-22E8-8CDA-9146-04F305139BFA}">
    <xltc:text>Fuente: Banco de la República, remesas de trabajadores, serie 15363.</xltc:text>
  </xltc:threadedComment>
  <xltc:threadedComment ref="F5" dT="2026-08-22T23:38:31.684" personId="{FAB4E9FF-1CA2-4CF2-A9D3-8012BCB92016}" id="{9AB776C9-51DD-5C23-FB55-03CA22E83FD8}">
    <xltc:text>Fuente: Banco de la República, tasa de política, serie diaria 59; promedio mensual.</xltc:text>
  </xltc:threadedComment>
  <xltc:threadedComment ref="G5" dT="2026-08-22T23:38:31.684" personId="{FAB4E9FF-1CA2-4CF2-A9D3-8012BCB92016}" id="{902D1BB0-BEFD-5BE2-8643-15C64703DBE4}">
    <xltc:text>Fuente: Federal Reserve/FRED, FEDFUNDS, promedio mensual.</xltc:text>
  </xltc:threadedComment>
  <xltc:threadedComment ref="I5" dT="2026-08-22T23:38:31.684" personId="{FAB4E9FF-1CA2-4CF2-A9D3-8012BCB92016}" id="{7CCBFBCE-791E-523F-AFD1-DB97FA824BB0}">
    <xltc:text>Fuente: Ministerio de Hacienda, balance fiscal del Gobierno Nacional Central, metodología de caja.</xltc:text>
  </xltc:threadedComment>
  <xltc:threadedComment ref="K5" dT="2026-08-22T23:38:31.684" personId="{FAB4E9FF-1CA2-4CF2-A9D3-8012BCB92016}" id="{A1C37BB2-2B19-3BF2-A1A1-1EC93CC0064B}">
    <xltc:text>Fuente: Federal Reserve/FRED, índice nominal amplio del dólar DTWEXBGS; promedio mensual.</xltc:text>
  </xltc:threadedComment>
  <xltc:threadedComment ref="L5" dT="2026-08-22T23:38:31.685" personId="{FAB4E9FF-1CA2-4CF2-A9D3-8012BCB92016}" id="{B02DA955-FCD7-E47F-A165-B867726D015B}">
    <xltc:text>Fuente: Cboe vía FRED, VIXCLS; promedio mensual.</xltc:text>
  </xltc:threadedComment>
  <xltc:threadedComment ref="M5" dT="2026-08-22T23:38:31.685" personId="{FAB4E9FF-1CA2-4CF2-A9D3-8012BCB92016}" id="{C0F7E604-3E01-CE93-E7D9-4D48FF943B8A}">
    <xltc:text>Fuente: Banco de la República, índice de términos de intercambio, serie 15360. Se conserva como variable de robustez, no entra al modelo base junto con Brent.</xltc:text>
  </xltc:threadedComment>
  <xltc:threadedComment ref="O5" dT="2026-08-22T23:38:31.685" personId="{FAB4E9FF-1CA2-4CF2-A9D3-8012BCB92016}" id="{A07CC718-49E6-A4AC-C1F9-9FE713E89567}">
    <xltc:text>Fuente: Banco de la República, reservas internacionales netas sin FLAR, serie 15053.</xltc:text>
  </xltc:threadedComment>
  <xltc:threadedComment ref="P5" dT="2026-08-22T23:38:31.685" personId="{FAB4E9FF-1CA2-4CF2-A9D3-8012BCB92016}" id="{74461D25-02D4-C809-DD6B-A5B8730F83B5}">
    <xltc:text>Fuente: Banco de la República, tasa cero cupón TES en pesos a 10 años, serie 15274; promedio mensual.</xltc:text>
  </xltc:threadedComment>
  <xltc:threadedComment ref="Q5" dT="2026-08-22T23:38:31.685" personId="{FAB4E9FF-1CA2-4CF2-A9D3-8012BCB92016}" id="{33FF6C87-99C4-EE17-A9C6-1DBF063E9E54}">
    <xltc:text>Fuente: U.S. Treasury/FRED, DGS10; promedio mensual de observaciones diarias.</xltc:text>
  </xltc:threadedComment>
  <xltc:threadedComment ref="R5" dT="2026-08-22T23:38:31.685" personId="{FAB4E9FF-1CA2-4CF2-A9D3-8012BCB92016}" id="{3B9153BC-D146-2C94-66B5-C9194FDFC879}">
    <xltc:text>Construcción: TES Colombia 10 años menos Treasury de EE. UU. a 10 años.</xltc:text>
  </xltc:threadedComment>
  <xltc:threadedComment ref="S5" dT="2026-08-22T23:38:31.685" personId="{FAB4E9FF-1CA2-4CF2-A9D3-8012BCB92016}" id="{1303ADA2-0D80-74C9-D713-FBA014FDCF46}">
    <xltc:text>Fuente: Banco de la República, balanza comercial cambiaria, serie 16702.</xltc:text>
  </xltc:threadedComment>
  <xltc:threadedComment ref="T5" dT="2026-08-22T23:38:31.686" personId="{FAB4E9FF-1CA2-4CF2-A9D3-8012BCB92016}" id="{D187EBAC-0FB3-4E4A-58E9-8584EB0B7DAE}">
    <xltc:text>Fuente: Banco de la República, flujo neto total de capital, serie 16706.</xltc:text>
  </xltc:threadedComment>
  <xltc:threadedComment ref="U5" dT="2026-08-22T23:38:31.686" personId="{FAB4E9FF-1CA2-4CF2-A9D3-8012BCB92016}" id="{E2338EF9-553E-6817-CCE6-4AC3EC9299B6}">
    <xltc:text>Fuente: Banco de la República, IPC total nacional, serie 15000.</xltc:text>
  </xltc:threadedComment>
  <xltc:threadedComment ref="V5" dT="2026-08-22T23:38:31.686" personId="{FAB4E9FF-1CA2-4CF2-A9D3-8012BCB92016}" id="{CB6305D6-7C5E-BFEB-D0D4-E42D855D22C9}">
    <xltc:text>Fuente: U.S. Bureau of Labor Statistics/FRED, CPIAUCNS. Octubre de 2025 se interpola linealmente por ser la única observación interna faltante.</xltc:text>
  </xltc:threadedComment>
  <xltc:threadedComment ref="W5" dT="2026-08-22T23:38:31.686" personId="{FAB4E9FF-1CA2-4CF2-A9D3-8012BCB92016}" id="{424DAAC2-EF49-8A14-1F01-5075D8877031}">
    <xltc:text>Construcción: inflación interanual de Colombia menos inflación interanual de EE. UU., en puntos porcentuales.</xltc:text>
  </xltc:threadedComment>
  <xltc:threadedComment ref="X5" dT="2026-08-22T23:38:31.686" personId="{FAB4E9FF-1CA2-4CF2-A9D3-8012BCB92016}" id="{DBD331A1-E504-120A-57AB-1907BE89F45B}">
    <xltc:text>Fuente: OECD vía FRED, CCUSMA02BRM618N; reales brasileños por dólar.</xltc:text>
  </xltc:threadedComment>
  <xltc:threadedComment ref="Y5" dT="2026-08-22T23:38:31.686" personId="{FAB4E9FF-1CA2-4CF2-A9D3-8012BCB92016}" id="{0BFA80AE-F90F-D288-32EA-447F856425A9}">
    <xltc:text>Fuente: OECD vía FRED, CCUSMA02CLM618N; pesos chilenos por dólar.</xltc:text>
  </xltc:threadedComment>
  <xltc:threadedComment ref="Z5" dT="2026-08-22T23:38:31.686" personId="{FAB4E9FF-1CA2-4CF2-A9D3-8012BCB92016}" id="{EF520764-22B8-A926-F9B7-28C0B39A7462}">
    <xltc:text>Fuente: OECD vía FRED, CCUSMA02MXM618N; pesos mexicanos por dólar.</xltc:text>
  </xltc:threadedComment>
  <xltc:threadedComment ref="AA5" dT="2026-08-22T23:38:31.686" personId="{FAB4E9FF-1CA2-4CF2-A9D3-8012BCB92016}" id="{41A6DC98-12D8-92E3-BDD2-AB07ADCB230E}">
    <xltc:text>Construcción: promedio igual ponderado de los retornos mensuales estandarizados de BRL, CLP y MXN por USD. Las medias y desviaciones se calibran con 2006–2019.</xltc:text>
  </xltc:threadedComment>
  <xltc:threadedComment ref="AB5" dT="2026-08-22T23:38:31.686" personId="{FAB4E9FF-1CA2-4CF2-A9D3-8012BCB92016}" id="{015E3052-78A0-F03A-2D68-E04A6EC7B385}">
    <xltc:text>Bandera de trazabilidad: 1 únicamente en octubre de 2025, cuando CPIAUCNS se interpola linealmente para no cortar el diferencial de inflación interanual; 0 en los demás meses.</xltc:text>
  </xltc:threadedComment>
</xltc:ThreadedComments>
</file>

<file path=xl/threadedcomments/threadedcomment2.xml><?xml version="1.0" encoding="utf-8"?>
<xltc:ThreadedComments xmlns:xltc="http://schemas.microsoft.com/office/spreadsheetml/2018/threadedcomments">
  <xltc:threadedComment ref="U5" dT="2026-08-22T23:38:32.144" personId="{FAB4E9FF-1CA2-4CF2-A9D3-8012BCB92016}" id="{5CDC0CED-7B36-56E1-C519-2FBFB47C252C}">
    <xltc:text>Escala auditable: el flujo original en USD millones se divide por 1.000 antes de aplicar asinh, igual que en la estimación en Python.</xltc:text>
  </xltc:threadedComment>
  <xltc:threadedComment ref="W5" dT="2026-08-22T23:38:32.144" personId="{FAB4E9FF-1CA2-4CF2-A9D3-8012BCB92016}" id="{2CF0F68D-1828-713A-9BB2-29C246479633}">
    <xltc:text>Escala auditable: el flujo original en USD millones se divide por 1.000 antes de aplicar asinh, igual que en la estimación en Python.</xltc:text>
  </xltc:threadedComment>
  <xltc:threadedComment ref="AA5" dT="2026-08-22T23:38:32.144" personId="{FAB4E9FF-1CA2-4CF2-A9D3-8012BCB92016}" id="{BCBD3588-D695-1A0F-E5E9-FB06CAF7543C}">
    <xltc:text>Promedio igual ponderado de retornos mensuales estandarizados de BRL, CLP y MXN por USD. Medias y desviaciones calibradas entre enero de 2006 y diciembre de 2019.</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b9a272e44cf349ce" /><Relationship Type="http://schemas.openxmlformats.org/officeDocument/2006/relationships/table" Target="/xl/tables/table1.xml" Id="Rd0df8c69dffa4803" /><Relationship Type="http://schemas.openxmlformats.org/officeDocument/2006/relationships/table" Target="/xl/tables/table2.xml" Id="Ra61337a721214ee3" /></Relationships>
</file>

<file path=xl/worksheets/_rels/sheet2.xml.rels>&#65279;<?xml version="1.0" encoding="utf-8"?><Relationships xmlns="http://schemas.openxmlformats.org/package/2006/relationships"><Relationship Type="http://schemas.openxmlformats.org/officeDocument/2006/relationships/comments" Target="/xl/comments1.xml" Id="R35cdd637a6d34c13" /><Relationship Type="http://schemas.openxmlformats.org/officeDocument/2006/relationships/vmlDrawing" Target="/xl/drawings/vmldrawing.vml" Id="R35b231ef290642c0" /><Relationship Type="http://schemas.microsoft.com/office/2017/10/relationships/threadedComment" Target="/xl/threadedcomments/threadedcomment.xml" Id="Rb647a92bd4134977" /><Relationship Type="http://schemas.openxmlformats.org/officeDocument/2006/relationships/table" Target="/xl/tables/table3.xml" Id="Rbc1e0953b3e640ee" /></Relationships>
</file>

<file path=xl/worksheets/_rels/sheet3.xml.rels>&#65279;<?xml version="1.0" encoding="utf-8"?><Relationships xmlns="http://schemas.openxmlformats.org/package/2006/relationships"><Relationship Type="http://schemas.openxmlformats.org/officeDocument/2006/relationships/comments" Target="/xl/comments2.xml" Id="R10e984aaa579499e" /><Relationship Type="http://schemas.openxmlformats.org/officeDocument/2006/relationships/vmlDrawing" Target="/xl/drawings/vmldrawing2.vml" Id="R10edcbc66c704c4b" /><Relationship Type="http://schemas.microsoft.com/office/2017/10/relationships/threadedComment" Target="/xl/threadedcomments/threadedcomment2.xml" Id="R062e14fd5c6f4db9" /><Relationship Type="http://schemas.openxmlformats.org/officeDocument/2006/relationships/table" Target="/xl/tables/table4.xml" Id="R0d3689d1dede4a75" /></Relationships>
</file>

<file path=xl/worksheets/_rels/sheet4.xml.rels>&#65279;<?xml version="1.0" encoding="utf-8"?><Relationships xmlns="http://schemas.openxmlformats.org/package/2006/relationships"><Relationship Type="http://schemas.openxmlformats.org/officeDocument/2006/relationships/drawing" Target="/xl/drawings/drawing2.xml" Id="Rf0779f33928c437c" /><Relationship Type="http://schemas.openxmlformats.org/officeDocument/2006/relationships/table" Target="/xl/tables/table5.xml" Id="R133bab3f9d864356" /><Relationship Type="http://schemas.openxmlformats.org/officeDocument/2006/relationships/table" Target="/xl/tables/table6.xml" Id="R1c47dfa3bf234e0d" /></Relationships>
</file>

<file path=xl/worksheets/_rels/sheet5.xml.rels>&#65279;<?xml version="1.0" encoding="utf-8"?><Relationships xmlns="http://schemas.openxmlformats.org/package/2006/relationships"><Relationship Type="http://schemas.openxmlformats.org/officeDocument/2006/relationships/drawing" Target="/xl/drawings/drawing3.xml" Id="R2fd4bbe99f4a443e" /><Relationship Type="http://schemas.openxmlformats.org/officeDocument/2006/relationships/table" Target="/xl/tables/table7.xml" Id="R5bbf43a833614746" /><Relationship Type="http://schemas.openxmlformats.org/officeDocument/2006/relationships/table" Target="/xl/tables/table8.xml" Id="R352a6c4f148440b2" /><Relationship Type="http://schemas.openxmlformats.org/officeDocument/2006/relationships/table" Target="/xl/tables/table9.xml" Id="R9eaa280dd432403a" /></Relationships>
</file>

<file path=xl/worksheets/_rels/sheet6.xml.rels>&#65279;<?xml version="1.0" encoding="utf-8"?><Relationships xmlns="http://schemas.openxmlformats.org/package/2006/relationships"><Relationship Type="http://schemas.openxmlformats.org/officeDocument/2006/relationships/drawing" Target="/xl/drawings/drawing4.xml" Id="R68c455064179483a" /><Relationship Type="http://schemas.openxmlformats.org/officeDocument/2006/relationships/table" Target="/xl/tables/table10.xml" Id="R99c34558939f43c9" /></Relationships>
</file>

<file path=xl/worksheets/_rels/sheet7.xml.rels>&#65279;<?xml version="1.0" encoding="utf-8"?><Relationships xmlns="http://schemas.openxmlformats.org/package/2006/relationships"><Relationship Type="http://schemas.openxmlformats.org/officeDocument/2006/relationships/drawing" Target="/xl/drawings/drawing5.xml" Id="Rb6774a9e9d1c4007" /><Relationship Type="http://schemas.openxmlformats.org/officeDocument/2006/relationships/table" Target="/xl/tables/table11.xml" Id="R910354c2de4c42e2" /><Relationship Type="http://schemas.openxmlformats.org/officeDocument/2006/relationships/table" Target="/xl/tables/table12.xml" Id="Rde164ec6fe6d4118" /><Relationship Type="http://schemas.openxmlformats.org/officeDocument/2006/relationships/table" Target="/xl/tables/table13.xml" Id="Rc7e23f2c336e4770" /></Relationships>
</file>

<file path=xl/worksheets/_rels/sheet8.xml.rels>&#65279;<?xml version="1.0" encoding="utf-8"?><Relationships xmlns="http://schemas.openxmlformats.org/package/2006/relationships"><Relationship Type="http://schemas.openxmlformats.org/officeDocument/2006/relationships/table" Target="/xl/tables/table14.xml" Id="R9a50e0ae1c754760" /><Relationship Type="http://schemas.openxmlformats.org/officeDocument/2006/relationships/table" Target="/xl/tables/table15.xml" Id="Re21561506c5a4483" /></Relationships>
</file>

<file path=xl/worksheets/_rels/sheet9.xml.rels>&#65279;<?xml version="1.0" encoding="utf-8"?><Relationships xmlns="http://schemas.openxmlformats.org/package/2006/relationships"><Relationship Type="http://schemas.openxmlformats.org/officeDocument/2006/relationships/table" Target="/xl/tables/table16.xml" Id="R7e21b1e47e4a411c" /><Relationship Type="http://schemas.openxmlformats.org/officeDocument/2006/relationships/table" Target="/xl/tables/table17.xml" Id="Rd268e953880a4778" /><Relationship Type="http://schemas.openxmlformats.org/officeDocument/2006/relationships/table" Target="/xl/tables/table18.xml" Id="R1e9fb52d38cb41aa" /><Relationship Type="http://schemas.openxmlformats.org/officeDocument/2006/relationships/table" Target="/xl/tables/table19.xml" Id="R630845d124e64a7b" /></Relationships>
</file>

<file path=xl/worksheets/_rels/sheet10.xml.rels>&#65279;<?xml version="1.0" encoding="utf-8"?><Relationships xmlns="http://schemas.openxmlformats.org/package/2006/relationships"><Relationship Type="http://schemas.openxmlformats.org/officeDocument/2006/relationships/table" Target="/xl/tables/table20.xml" Id="Ra46ca4c4ecbc46d0" /></Relationships>
</file>

<file path=xl/worksheets/_rels/sheet11.xml.rels>&#65279;<?xml version="1.0" encoding="utf-8"?><Relationships xmlns="http://schemas.openxmlformats.org/package/2006/relationships"><Relationship Type="http://schemas.openxmlformats.org/officeDocument/2006/relationships/table" Target="/xl/tables/table21.xml" Id="R5a8d718cd9de443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17" hidden="0" customWidth="1"/>
    <x:col min="4" max="4" width="17" hidden="0" customWidth="1"/>
    <x:col min="5" max="5" width="14" hidden="0" customWidth="1"/>
    <x:col min="6" max="6" width="34" hidden="0" customWidth="1"/>
    <x:col min="7" max="7" width="3" hidden="0" customWidth="1"/>
    <x:col min="8" max="8" width="14" hidden="0" customWidth="1"/>
    <x:col min="9" max="9" width="16" hidden="0" customWidth="1"/>
    <x:col min="10" max="10" width="16" hidden="0" customWidth="1"/>
    <x:col min="11" max="11" width="12" hidden="0" customWidth="1"/>
    <x:col min="12" max="12" width="12" hidden="0" customWidth="1"/>
    <x:col min="13" max="13" width="12" hidden="0" customWidth="1"/>
    <x:col min="14" max="14" width="12" hidden="0" customWidth="1"/>
  </x:cols>
  <x:sheetData>
    <x:row r="1" ht="30" customHeight="1">
      <x:c r="A1" s="4" t="str">
        <x:v>Modelo econométrico de la TRM en Colombia</x:v>
      </x:c>
      <x:c r="B1" s="4" t="str">
        <x:v>Modelo econométrico de la TRM en Colombia</x:v>
      </x:c>
      <x:c r="C1" s="4" t="str">
        <x:v>Modelo econométrico de la TRM en Colombia</x:v>
      </x:c>
      <x:c r="D1" s="4" t="str">
        <x:v>Modelo econométrico de la TRM en Colombia</x:v>
      </x:c>
      <x:c r="E1" s="4" t="str">
        <x:v>Modelo econométrico de la TRM en Colombia</x:v>
      </x:c>
      <x:c r="F1" s="4" t="str">
        <x:v>Modelo econométrico de la TRM en Colombia</x:v>
      </x:c>
      <x:c r="G1" s="4" t="str">
        <x:v>Modelo econométrico de la TRM en Colombia</x:v>
      </x:c>
      <x:c r="H1" s="4" t="str">
        <x:v>Modelo econométrico de la TRM en Colombia</x:v>
      </x:c>
      <x:c r="I1" s="4" t="str">
        <x:v>Modelo econométrico de la TRM en Colombia</x:v>
      </x:c>
      <x:c r="J1" s="4" t="str">
        <x:v>Modelo econométrico de la TRM en Colombia</x:v>
      </x:c>
      <x:c r="K1" s="4" t="str">
        <x:v>Modelo econométrico de la TRM en Colombia</x:v>
      </x:c>
      <x:c r="L1" s="4" t="str">
        <x:v>Modelo econométrico de la TRM en Colombia</x:v>
      </x:c>
      <x:c r="M1" s="4" t="str">
        <x:v>Modelo econométrico de la TRM en Colombia</x:v>
      </x:c>
      <x:c r="N1" s="4" t="str">
        <x:v>Modelo econométrico de la TRM en Colombia</x:v>
      </x:c>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4" t="str">
        <x:v>Modelo econométrico de la TRM en Colombia</x:v>
      </x:c>
      <x:c r="B2" s="4" t="str">
        <x:v>Modelo econométrico de la TRM en Colombia</x:v>
      </x:c>
      <x:c r="C2" s="4" t="str">
        <x:v>Modelo econométrico de la TRM en Colombia</x:v>
      </x:c>
      <x:c r="D2" s="4" t="str">
        <x:v>Modelo econométrico de la TRM en Colombia</x:v>
      </x:c>
      <x:c r="E2" s="4" t="str">
        <x:v>Modelo econométrico de la TRM en Colombia</x:v>
      </x:c>
      <x:c r="F2" s="4" t="str">
        <x:v>Modelo econométrico de la TRM en Colombia</x:v>
      </x:c>
      <x:c r="G2" s="4" t="str">
        <x:v>Modelo econométrico de la TRM en Colombia</x:v>
      </x:c>
      <x:c r="H2" s="4" t="str">
        <x:v>Modelo econométrico de la TRM en Colombia</x:v>
      </x:c>
      <x:c r="I2" s="4" t="str">
        <x:v>Modelo econométrico de la TRM en Colombia</x:v>
      </x:c>
      <x:c r="J2" s="4" t="str">
        <x:v>Modelo econométrico de la TRM en Colombia</x:v>
      </x:c>
      <x:c r="K2" s="4" t="str">
        <x:v>Modelo econométrico de la TRM en Colombia</x:v>
      </x:c>
      <x:c r="L2" s="4" t="str">
        <x:v>Modelo econométrico de la TRM en Colombia</x:v>
      </x:c>
      <x:c r="M2" s="4" t="str">
        <x:v>Modelo econométrico de la TRM en Colombia</x:v>
      </x:c>
      <x:c r="N2" s="4" t="str">
        <x:v>Modelo econométrico de la TRM en Colombia</x:v>
      </x:c>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Modelo mensual para explicar variaciones de COP por USD. Muestra común: enero de 2006 a abril de 2026; estimación principal en primeras diferencias con errores HAC.</x:v>
      </x:c>
      <x:c r="B3" s="7" t="str">
        <x:v>Modelo mensual para explicar variaciones de COP por USD. Muestra común: enero de 2006 a abril de 2026; estimación principal en primeras diferencias con errores HAC.</x:v>
      </x:c>
      <x:c r="C3" s="7" t="str">
        <x:v>Modelo mensual para explicar variaciones de COP por USD. Muestra común: enero de 2006 a abril de 2026; estimación principal en primeras diferencias con errores HAC.</x:v>
      </x:c>
      <x:c r="D3" s="7" t="str">
        <x:v>Modelo mensual para explicar variaciones de COP por USD. Muestra común: enero de 2006 a abril de 2026; estimación principal en primeras diferencias con errores HAC.</x:v>
      </x:c>
      <x:c r="E3" s="7" t="str">
        <x:v>Modelo mensual para explicar variaciones de COP por USD. Muestra común: enero de 2006 a abril de 2026; estimación principal en primeras diferencias con errores HAC.</x:v>
      </x:c>
      <x:c r="F3" s="7" t="str">
        <x:v>Modelo mensual para explicar variaciones de COP por USD. Muestra común: enero de 2006 a abril de 2026; estimación principal en primeras diferencias con errores HAC.</x:v>
      </x:c>
      <x:c r="G3" s="7" t="str">
        <x:v>Modelo mensual para explicar variaciones de COP por USD. Muestra común: enero de 2006 a abril de 2026; estimación principal en primeras diferencias con errores HAC.</x:v>
      </x:c>
      <x:c r="H3" s="7" t="str">
        <x:v>Modelo mensual para explicar variaciones de COP por USD. Muestra común: enero de 2006 a abril de 2026; estimación principal en primeras diferencias con errores HAC.</x:v>
      </x:c>
      <x:c r="I3" s="7" t="str">
        <x:v>Modelo mensual para explicar variaciones de COP por USD. Muestra común: enero de 2006 a abril de 2026; estimación principal en primeras diferencias con errores HAC.</x:v>
      </x:c>
      <x:c r="J3" s="7" t="str">
        <x:v>Modelo mensual para explicar variaciones de COP por USD. Muestra común: enero de 2006 a abril de 2026; estimación principal en primeras diferencias con errores HAC.</x:v>
      </x:c>
      <x:c r="K3" s="7" t="str">
        <x:v>Modelo mensual para explicar variaciones de COP por USD. Muestra común: enero de 2006 a abril de 2026; estimación principal en primeras diferencias con errores HAC.</x:v>
      </x:c>
      <x:c r="L3" s="7" t="str">
        <x:v>Modelo mensual para explicar variaciones de COP por USD. Muestra común: enero de 2006 a abril de 2026; estimación principal en primeras diferencias con errores HAC.</x:v>
      </x:c>
      <x:c r="M3" s="7" t="str">
        <x:v>Modelo mensual para explicar variaciones de COP por USD. Muestra común: enero de 2006 a abril de 2026; estimación principal en primeras diferencias con errores HAC.</x:v>
      </x:c>
      <x:c r="N3" s="7" t="str">
        <x:v>Modelo mensual para explicar variaciones de COP por USD. Muestra común: enero de 2006 a abril de 2026; estimación principal en primeras diferencias con errores HAC.</x:v>
      </x:c>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75"/>
      <x:c r="B4" s="75"/>
      <x:c r="C4" s="75"/>
      <x:c r="D4" s="75"/>
      <x:c r="E4" s="75"/>
      <x:c r="F4" s="75"/>
      <x:c r="G4" s="75"/>
      <x:c r="H4" s="75"/>
      <x:c r="I4" s="75"/>
      <x:c r="J4" s="75"/>
      <x:c r="K4" s="75"/>
      <x:c r="L4" s="75"/>
      <x:c r="M4" s="75"/>
      <x:c r="N4" s="75"/>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22" customHeight="1">
      <x:c r="A5" s="13" t="str">
        <x:v>Observaciones modelo ampliado</x:v>
      </x:c>
      <x:c r="B5" s="14" t="str">
        <x:v>Observaciones modelo ampliado</x:v>
      </x:c>
      <x:c r="C5" s="13" t="str">
        <x:v>R² ajustado principal</x:v>
      </x:c>
      <x:c r="D5" s="14" t="str">
        <x:v>R² ajustado principal</x:v>
      </x:c>
      <x:c r="E5" s="35" t="str">
        <x:v>R² ajustado ampliado</x:v>
      </x:c>
      <x:c r="F5" s="36" t="str">
        <x:v>R² ajustado ampliado</x:v>
      </x:c>
      <x:c r="G5" s="75"/>
      <x:c r="H5" s="47" t="str">
        <x:v>TRM observada y ajuste de un paso (muestra anual)</x:v>
      </x:c>
      <x:c r="I5" s="47" t="str">
        <x:v>TRM observada y ajuste de un paso (muestra anual)</x:v>
      </x:c>
      <x:c r="J5" s="47" t="str">
        <x:v>TRM observada y ajuste de un paso (muestra anual)</x:v>
      </x:c>
      <x:c r="K5" s="47" t="str">
        <x:v>TRM observada y ajuste de un paso (muestra anual)</x:v>
      </x:c>
      <x:c r="L5" s="47" t="str">
        <x:v>TRM observada y ajuste de un paso (muestra anual)</x:v>
      </x:c>
      <x:c r="M5" s="47" t="str">
        <x:v>TRM observada y ajuste de un paso (muestra anual)</x:v>
      </x:c>
      <x:c r="N5" s="47" t="str">
        <x:v>TRM observada y ajuste de un paso (muestra anual)</x:v>
      </x:c>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ht="30" customHeight="1">
      <x:c r="A6" s="25" t="n">
        <x:v>240</x:v>
      </x:c>
      <x:c r="B6" s="26" t="n">
        <x:v>240</x:v>
      </x:c>
      <x:c r="C6" s="25" t="str">
        <x:v>48.6%</x:v>
      </x:c>
      <x:c r="D6" s="26" t="str">
        <x:v>48.6%</x:v>
      </x:c>
      <x:c r="E6" s="25" t="str">
        <x:v>57.2%</x:v>
      </x:c>
      <x:c r="F6" s="26" t="str">
        <x:v>57.2%</x:v>
      </x:c>
      <x:c r="G6" s="75"/>
      <x:c r="H6" s="75"/>
      <x:c r="I6" s="75"/>
      <x:c r="J6" s="75"/>
      <x:c r="K6" s="75"/>
      <x:c r="L6" s="75"/>
      <x:c r="M6" s="75"/>
      <x:c r="N6" s="75"/>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ht="30" customHeight="1">
      <x:c r="A7" s="27" t="n">
        <x:v>240</x:v>
      </x:c>
      <x:c r="B7" s="28" t="n">
        <x:v>240</x:v>
      </x:c>
      <x:c r="C7" s="27" t="str">
        <x:v>48.6%</x:v>
      </x:c>
      <x:c r="D7" s="28" t="str">
        <x:v>48.6%</x:v>
      </x:c>
      <x:c r="E7" s="27" t="str">
        <x:v>57.2%</x:v>
      </x:c>
      <x:c r="F7" s="28" t="str">
        <x:v>57.2%</x:v>
      </x:c>
      <x:c r="G7" s="75"/>
      <x:c r="H7" s="75"/>
      <x:c r="I7" s="75"/>
      <x:c r="J7" s="75"/>
      <x:c r="K7" s="75"/>
      <x:c r="L7" s="75"/>
      <x:c r="M7" s="75"/>
      <x:c r="N7" s="75"/>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75"/>
      <x:c r="B8" s="75"/>
      <x:c r="C8" s="75"/>
      <x:c r="D8" s="75"/>
      <x:c r="E8" s="75"/>
      <x:c r="F8" s="75"/>
      <x:c r="G8" s="75"/>
      <x:c r="H8" s="75"/>
      <x:c r="I8" s="75"/>
      <x:c r="J8" s="75"/>
      <x:c r="K8" s="75"/>
      <x:c r="L8" s="75"/>
      <x:c r="M8" s="75"/>
      <x:c r="N8" s="75"/>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ht="22" customHeight="1">
      <x:c r="A9" s="35" t="str">
        <x:v>MAPE ampliado</x:v>
      </x:c>
      <x:c r="B9" s="36" t="str">
        <x:v>MAPE ampliado</x:v>
      </x:c>
      <x:c r="C9" s="35" t="str">
        <x:v>Acierto de dirección ampliado</x:v>
      </x:c>
      <x:c r="D9" s="36" t="str">
        <x:v>Acierto de dirección ampliado</x:v>
      </x:c>
      <x:c r="E9" s="43" t="str">
        <x:v>Cointegración al 5%</x:v>
      </x:c>
      <x:c r="F9" s="44" t="str">
        <x:v>Cointegración al 5%</x:v>
      </x:c>
      <x:c r="G9" s="75"/>
      <x:c r="H9" s="75"/>
      <x:c r="I9" s="75"/>
      <x:c r="J9" s="75"/>
      <x:c r="K9" s="75"/>
      <x:c r="L9" s="75"/>
      <x:c r="M9" s="75"/>
      <x:c r="N9" s="75"/>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ht="30" customHeight="1">
      <x:c r="A10" s="25" t="str">
        <x:v>1.77%</x:v>
      </x:c>
      <x:c r="B10" s="26" t="str">
        <x:v>1.77%</x:v>
      </x:c>
      <x:c r="C10" s="25" t="str">
        <x:v>72.9%</x:v>
      </x:c>
      <x:c r="D10" s="26" t="str">
        <x:v>72.9%</x:v>
      </x:c>
      <x:c r="E10" s="25" t="str">
        <x:v>No concluyente</x:v>
      </x:c>
      <x:c r="F10" s="26" t="str">
        <x:v>No concluyente</x:v>
      </x:c>
      <x:c r="G10" s="75"/>
      <x:c r="H10" s="75"/>
      <x:c r="I10" s="75"/>
      <x:c r="J10" s="75"/>
      <x:c r="K10" s="75"/>
      <x:c r="L10" s="75"/>
      <x:c r="M10" s="75"/>
      <x:c r="N10" s="75"/>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30" customHeight="1">
      <x:c r="A11" s="27" t="str">
        <x:v>1.77%</x:v>
      </x:c>
      <x:c r="B11" s="28" t="str">
        <x:v>1.77%</x:v>
      </x:c>
      <x:c r="C11" s="27" t="str">
        <x:v>72.9%</x:v>
      </x:c>
      <x:c r="D11" s="28" t="str">
        <x:v>72.9%</x:v>
      </x:c>
      <x:c r="E11" s="27" t="str">
        <x:v>No concluyente</x:v>
      </x:c>
      <x:c r="F11" s="28" t="str">
        <x:v>No concluyente</x:v>
      </x:c>
      <x:c r="G11" s="75"/>
      <x:c r="H11" s="75"/>
      <x:c r="I11" s="75"/>
      <x:c r="J11" s="75"/>
      <x:c r="K11" s="75"/>
      <x:c r="L11" s="75"/>
      <x:c r="M11" s="75"/>
      <x:c r="N11" s="75"/>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75"/>
      <x:c r="B12" s="75"/>
      <x:c r="C12" s="75"/>
      <x:c r="D12" s="75"/>
      <x:c r="E12" s="75"/>
      <x:c r="F12" s="75"/>
      <x:c r="G12" s="75"/>
      <x:c r="H12" s="75"/>
      <x:c r="I12" s="75"/>
      <x:c r="J12" s="75"/>
      <x:c r="K12" s="75"/>
      <x:c r="L12" s="75"/>
      <x:c r="M12" s="75"/>
      <x:c r="N12" s="75"/>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ht="22" customHeight="1">
      <x:c r="A13" s="47" t="str">
        <x:v>Especificación principal</x:v>
      </x:c>
      <x:c r="B13" s="47" t="str">
        <x:v>Especificación principal</x:v>
      </x:c>
      <x:c r="C13" s="47" t="str">
        <x:v>Especificación principal</x:v>
      </x:c>
      <x:c r="D13" s="47" t="str">
        <x:v>Especificación principal</x:v>
      </x:c>
      <x:c r="E13" s="47" t="str">
        <x:v>Especificación principal</x:v>
      </x:c>
      <x:c r="F13" s="47" t="str">
        <x:v>Especificación principal</x:v>
      </x:c>
      <x:c r="G13" s="75"/>
      <x:c r="H13" s="75"/>
      <x:c r="I13" s="75"/>
      <x:c r="J13" s="75"/>
      <x:c r="K13" s="75"/>
      <x:c r="L13" s="75"/>
      <x:c r="M13" s="75"/>
      <x:c r="N13" s="75"/>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ht="36" customHeight="1">
      <x:c r="A14" s="50" t="str">
        <x:v>Δln(TRM)t = c + β1Δln(Brent)t + β2Δln(dólar amplio)t + β3Δln(VIX)t + β4Δln(remesas 12m)t−1 + β5Δ(diferencial de tasas)t−1 + β6Δ(déficit 12m/PIB)t−1 + β7 pandemia + ut</x:v>
      </x:c>
      <x:c r="B14" s="50" t="str">
        <x:v>Δln(TRM)t = c + β1Δln(Brent)t + β2Δln(dólar amplio)t + β3Δln(VIX)t + β4Δln(remesas 12m)t−1 + β5Δ(diferencial de tasas)t−1 + β6Δ(déficit 12m/PIB)t−1 + β7 pandemia + ut</x:v>
      </x:c>
      <x:c r="C14" s="50" t="str">
        <x:v>Δln(TRM)t = c + β1Δln(Brent)t + β2Δln(dólar amplio)t + β3Δln(VIX)t + β4Δln(remesas 12m)t−1 + β5Δ(diferencial de tasas)t−1 + β6Δ(déficit 12m/PIB)t−1 + β7 pandemia + ut</x:v>
      </x:c>
      <x:c r="D14" s="50" t="str">
        <x:v>Δln(TRM)t = c + β1Δln(Brent)t + β2Δln(dólar amplio)t + β3Δln(VIX)t + β4Δln(remesas 12m)t−1 + β5Δ(diferencial de tasas)t−1 + β6Δ(déficit 12m/PIB)t−1 + β7 pandemia + ut</x:v>
      </x:c>
      <x:c r="E14" s="50" t="str">
        <x:v>Δln(TRM)t = c + β1Δln(Brent)t + β2Δln(dólar amplio)t + β3Δln(VIX)t + β4Δln(remesas 12m)t−1 + β5Δ(diferencial de tasas)t−1 + β6Δ(déficit 12m/PIB)t−1 + β7 pandemia + ut</x:v>
      </x:c>
      <x:c r="F14" s="50" t="str">
        <x:v>Δln(TRM)t = c + β1Δln(Brent)t + β2Δln(dólar amplio)t + β3Δln(VIX)t + β4Δln(remesas 12m)t−1 + β5Δ(diferencial de tasas)t−1 + β6Δ(déficit 12m/PIB)t−1 + β7 pandemia + ut</x:v>
      </x:c>
      <x:c r="G14" s="75"/>
      <x:c r="H14" s="75"/>
      <x:c r="I14" s="75"/>
      <x:c r="J14" s="75"/>
      <x:c r="K14" s="75"/>
      <x:c r="L14" s="75"/>
      <x:c r="M14" s="75"/>
      <x:c r="N14" s="75"/>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ht="36" customHeight="1">
      <x:c r="A15" s="50" t="str">
        <x:v>Δln(TRM)t = c + β1Δln(Brent)t + β2Δln(dólar amplio)t + β3Δln(VIX)t + β4Δln(remesas 12m)t−1 + β5Δ(diferencial de tasas)t−1 + β6Δ(déficit 12m/PIB)t−1 + β7 pandemia + ut</x:v>
      </x:c>
      <x:c r="B15" s="50" t="str">
        <x:v>Δln(TRM)t = c + β1Δln(Brent)t + β2Δln(dólar amplio)t + β3Δln(VIX)t + β4Δln(remesas 12m)t−1 + β5Δ(diferencial de tasas)t−1 + β6Δ(déficit 12m/PIB)t−1 + β7 pandemia + ut</x:v>
      </x:c>
      <x:c r="C15" s="50" t="str">
        <x:v>Δln(TRM)t = c + β1Δln(Brent)t + β2Δln(dólar amplio)t + β3Δln(VIX)t + β4Δln(remesas 12m)t−1 + β5Δ(diferencial de tasas)t−1 + β6Δ(déficit 12m/PIB)t−1 + β7 pandemia + ut</x:v>
      </x:c>
      <x:c r="D15" s="50" t="str">
        <x:v>Δln(TRM)t = c + β1Δln(Brent)t + β2Δln(dólar amplio)t + β3Δln(VIX)t + β4Δln(remesas 12m)t−1 + β5Δ(diferencial de tasas)t−1 + β6Δ(déficit 12m/PIB)t−1 + β7 pandemia + ut</x:v>
      </x:c>
      <x:c r="E15" s="50" t="str">
        <x:v>Δln(TRM)t = c + β1Δln(Brent)t + β2Δln(dólar amplio)t + β3Δln(VIX)t + β4Δln(remesas 12m)t−1 + β5Δ(diferencial de tasas)t−1 + β6Δ(déficit 12m/PIB)t−1 + β7 pandemia + ut</x:v>
      </x:c>
      <x:c r="F15" s="50" t="str">
        <x:v>Δln(TRM)t = c + β1Δln(Brent)t + β2Δln(dólar amplio)t + β3Δln(VIX)t + β4Δln(remesas 12m)t−1 + β5Δ(diferencial de tasas)t−1 + β6Δ(déficit 12m/PIB)t−1 + β7 pandemia + ut</x:v>
      </x:c>
      <x:c r="G15" s="75"/>
      <x:c r="H15" s="75"/>
      <x:c r="I15" s="75"/>
      <x:c r="J15" s="75"/>
      <x:c r="K15" s="75"/>
      <x:c r="L15" s="75"/>
      <x:c r="M15" s="75"/>
      <x:c r="N15" s="75"/>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ht="36" customHeight="1">
      <x:c r="A16" s="50" t="str">
        <x:v>Δln(TRM)t = c + β1Δln(Brent)t + β2Δln(dólar amplio)t + β3Δln(VIX)t + β4Δln(remesas 12m)t−1 + β5Δ(diferencial de tasas)t−1 + β6Δ(déficit 12m/PIB)t−1 + β7 pandemia + ut</x:v>
      </x:c>
      <x:c r="B16" s="50" t="str">
        <x:v>Δln(TRM)t = c + β1Δln(Brent)t + β2Δln(dólar amplio)t + β3Δln(VIX)t + β4Δln(remesas 12m)t−1 + β5Δ(diferencial de tasas)t−1 + β6Δ(déficit 12m/PIB)t−1 + β7 pandemia + ut</x:v>
      </x:c>
      <x:c r="C16" s="50" t="str">
        <x:v>Δln(TRM)t = c + β1Δln(Brent)t + β2Δln(dólar amplio)t + β3Δln(VIX)t + β4Δln(remesas 12m)t−1 + β5Δ(diferencial de tasas)t−1 + β6Δ(déficit 12m/PIB)t−1 + β7 pandemia + ut</x:v>
      </x:c>
      <x:c r="D16" s="50" t="str">
        <x:v>Δln(TRM)t = c + β1Δln(Brent)t + β2Δln(dólar amplio)t + β3Δln(VIX)t + β4Δln(remesas 12m)t−1 + β5Δ(diferencial de tasas)t−1 + β6Δ(déficit 12m/PIB)t−1 + β7 pandemia + ut</x:v>
      </x:c>
      <x:c r="E16" s="50" t="str">
        <x:v>Δln(TRM)t = c + β1Δln(Brent)t + β2Δln(dólar amplio)t + β3Δln(VIX)t + β4Δln(remesas 12m)t−1 + β5Δ(diferencial de tasas)t−1 + β6Δ(déficit 12m/PIB)t−1 + β7 pandemia + ut</x:v>
      </x:c>
      <x:c r="F16" s="50" t="str">
        <x:v>Δln(TRM)t = c + β1Δln(Brent)t + β2Δln(dólar amplio)t + β3Δln(VIX)t + β4Δln(remesas 12m)t−1 + β5Δ(diferencial de tasas)t−1 + β6Δ(déficit 12m/PIB)t−1 + β7 pandemia + ut</x:v>
      </x:c>
      <x:c r="G16" s="75"/>
      <x:c r="H16" s="75"/>
      <x:c r="I16" s="75"/>
      <x:c r="J16" s="75"/>
      <x:c r="K16" s="75"/>
      <x:c r="L16" s="75"/>
      <x:c r="M16" s="75"/>
      <x:c r="N16" s="75"/>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75"/>
      <x:c r="B17" s="75"/>
      <x:c r="C17" s="75"/>
      <x:c r="D17" s="75"/>
      <x:c r="E17" s="75"/>
      <x:c r="F17" s="75"/>
      <x:c r="G17" s="75"/>
      <x:c r="H17" s="75"/>
      <x:c r="I17" s="75"/>
      <x:c r="J17" s="75"/>
      <x:c r="K17" s="75"/>
      <x:c r="L17" s="75"/>
      <x:c r="M17" s="75"/>
      <x:c r="N17" s="75"/>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ht="22" customHeight="1">
      <x:c r="A18" s="47" t="str">
        <x:v>Lectura de los resultados (asociaciones, no efectos causales)</x:v>
      </x:c>
      <x:c r="B18" s="47" t="str">
        <x:v>Lectura de los resultados (asociaciones, no efectos causales)</x:v>
      </x:c>
      <x:c r="C18" s="47" t="str">
        <x:v>Lectura de los resultados (asociaciones, no efectos causales)</x:v>
      </x:c>
      <x:c r="D18" s="47" t="str">
        <x:v>Lectura de los resultados (asociaciones, no efectos causales)</x:v>
      </x:c>
      <x:c r="E18" s="47" t="str">
        <x:v>Lectura de los resultados (asociaciones, no efectos causales)</x:v>
      </x:c>
      <x:c r="F18" s="47" t="str">
        <x:v>Lectura de los resultados (asociaciones, no efectos causales)</x:v>
      </x:c>
      <x:c r="G18" s="75"/>
      <x:c r="H18" s="75"/>
      <x:c r="I18" s="75"/>
      <x:c r="J18" s="75"/>
      <x:c r="K18" s="75"/>
      <x:c r="L18" s="75"/>
      <x:c r="M18" s="75"/>
      <x:c r="N18" s="75"/>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58" t="str">
        <x:v>Variable</x:v>
      </x:c>
      <x:c r="B19" s="58" t="str">
        <x:v>Movimiento ilustrativo</x:v>
      </x:c>
      <x:c r="C19" s="58" t="str">
        <x:v>Efecto aproximado en TRM</x:v>
      </x:c>
      <x:c r="D19" s="58" t="str">
        <x:v>Signo</x:v>
      </x:c>
      <x:c r="E19" s="58" t="str">
        <x:v>p-valor</x:v>
      </x:c>
      <x:c r="F19" s="58" t="str">
        <x:v>Lectura</x:v>
      </x:c>
      <x:c r="G19" s="75"/>
      <x:c r="H19" s="75"/>
      <x:c r="I19" s="75"/>
      <x:c r="J19" s="75"/>
      <x:c r="K19" s="75"/>
      <x:c r="L19" s="75"/>
      <x:c r="M19" s="75"/>
      <x:c r="N19" s="75"/>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76" t="str">
        <x:v>Brent</x:v>
      </x:c>
      <x:c r="B20" s="76" t="str">
        <x:v>+10%</x:v>
      </x:c>
      <x:c r="C20" s="76" t="str">
        <x:v>−0,49%</x:v>
      </x:c>
      <x:c r="D20" s="76" t="str">
        <x:v>Aprecia el COP</x:v>
      </x:c>
      <x:c r="E20" s="77" t="n">
        <x:v>0.00019627464502223457</x:v>
      </x:c>
      <x:c r="F20" s="76" t="str">
        <x:v>Consistente con mayor ingreso externo petrolero</x:v>
      </x:c>
      <x:c r="G20" s="75"/>
      <x:c r="H20" s="75"/>
      <x:c r="I20" s="75"/>
      <x:c r="J20" s="75"/>
      <x:c r="K20" s="75"/>
      <x:c r="L20" s="75"/>
      <x:c r="M20" s="75"/>
      <x:c r="N20" s="75"/>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76" t="str">
        <x:v>Índice amplio del dólar</x:v>
      </x:c>
      <x:c r="B21" s="76" t="str">
        <x:v>+1%</x:v>
      </x:c>
      <x:c r="C21" s="76" t="str">
        <x:v>+1,22%</x:v>
      </x:c>
      <x:c r="D21" s="76" t="str">
        <x:v>Deprecia el COP</x:v>
      </x:c>
      <x:c r="E21" s="77" t="n">
        <x:v>3.847432891826518e-14</x:v>
      </x:c>
      <x:c r="F21" s="76" t="str">
        <x:v>Es el factor con mayor precisión estadística</x:v>
      </x:c>
      <x:c r="G21" s="75"/>
      <x:c r="H21" s="75"/>
      <x:c r="I21" s="75"/>
      <x:c r="J21" s="75"/>
      <x:c r="K21" s="75"/>
      <x:c r="L21" s="75"/>
      <x:c r="M21" s="75"/>
      <x:c r="N21" s="75"/>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76" t="str">
        <x:v>VIX</x:v>
      </x:c>
      <x:c r="B22" s="76" t="str">
        <x:v>+10%</x:v>
      </x:c>
      <x:c r="C22" s="76" t="str">
        <x:v>+0,37%</x:v>
      </x:c>
      <x:c r="D22" s="76" t="str">
        <x:v>Deprecia el COP</x:v>
      </x:c>
      <x:c r="E22" s="77" t="n">
        <x:v>0.000019443514629041652</x:v>
      </x:c>
      <x:c r="F22" s="76" t="str">
        <x:v>Captura episodios globales de aversión al riesgo</x:v>
      </x:c>
      <x:c r="G22" s="75"/>
      <x:c r="H22" s="75"/>
      <x:c r="I22" s="75"/>
      <x:c r="J22" s="75"/>
      <x:c r="K22" s="75"/>
      <x:c r="L22" s="75"/>
      <x:c r="M22" s="75"/>
      <x:c r="N22" s="75"/>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76" t="str">
        <x:v>Remesas, acumulado 12m (t−1)</x:v>
      </x:c>
      <x:c r="B23" s="76" t="str">
        <x:v>+10%</x:v>
      </x:c>
      <x:c r="C23" s="76" t="str">
        <x:v>+2,50%</x:v>
      </x:c>
      <x:c r="D23" s="76" t="str">
        <x:v>Deprecia el COP</x:v>
      </x:c>
      <x:c r="E23" s="77" t="n">
        <x:v>0.024103628329838245</x:v>
      </x:c>
      <x:c r="F23" s="76" t="str">
        <x:v>Signo contrario al canal de oferta; probable endogeneidad</x:v>
      </x:c>
      <x:c r="G23" s="75"/>
      <x:c r="H23" s="75"/>
      <x:c r="I23" s="75"/>
      <x:c r="J23" s="75"/>
      <x:c r="K23" s="75"/>
      <x:c r="L23" s="75"/>
      <x:c r="M23" s="75"/>
      <x:c r="N23" s="75"/>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76" t="str">
        <x:v>Diferencial tasas CO−EE. UU. (t−1)</x:v>
      </x:c>
      <x:c r="B24" s="76" t="str">
        <x:v>+1 pp</x:v>
      </x:c>
      <x:c r="C24" s="76" t="str">
        <x:v>−0,99%</x:v>
      </x:c>
      <x:c r="D24" s="76" t="str">
        <x:v>Aprecia el COP</x:v>
      </x:c>
      <x:c r="E24" s="77" t="n">
        <x:v>0.039147897101459515</x:v>
      </x:c>
      <x:c r="F24" s="76" t="str">
        <x:v>Compatible con un mayor retorno relativo</x:v>
      </x:c>
      <x:c r="G24" s="75"/>
      <x:c r="H24" s="75"/>
      <x:c r="I24" s="75"/>
      <x:c r="J24" s="75"/>
      <x:c r="K24" s="75"/>
      <x:c r="L24" s="75"/>
      <x:c r="M24" s="75"/>
      <x:c r="N24" s="75"/>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76" t="str">
        <x:v>Déficit fiscal 12m/PIB (t−1)</x:v>
      </x:c>
      <x:c r="B25" s="76" t="str">
        <x:v>+1 pp</x:v>
      </x:c>
      <x:c r="C25" s="76" t="str">
        <x:v>+0,43%</x:v>
      </x:c>
      <x:c r="D25" s="76" t="str">
        <x:v>Deprecia el COP</x:v>
      </x:c>
      <x:c r="E25" s="77" t="n">
        <x:v>0.18943609908729123</x:v>
      </x:c>
      <x:c r="F25" s="76" t="str">
        <x:v>Signo esperado, pero estimación imprecisa</x:v>
      </x:c>
      <x:c r="G25" s="75"/>
      <x:c r="H25" s="75"/>
      <x:c r="I25" s="75"/>
      <x:c r="J25" s="75"/>
      <x:c r="K25" s="75"/>
      <x:c r="L25" s="75"/>
      <x:c r="M25" s="75"/>
      <x:c r="N25" s="75"/>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76" t="str">
        <x:v>Pandemia, mar–may 2020</x:v>
      </x:c>
      <x:c r="B26" s="76" t="str">
        <x:v>Dummy = 1</x:v>
      </x:c>
      <x:c r="C26" s="76" t="str">
        <x:v>+0,82%</x:v>
      </x:c>
      <x:c r="D26" s="76" t="str">
        <x:v>Deprecia el COP</x:v>
      </x:c>
      <x:c r="E26" s="77" t="n">
        <x:v>0.08415926707538017</x:v>
      </x:c>
      <x:c r="F26" s="76" t="str">
        <x:v>Control de episodio extraordinario</x:v>
      </x:c>
      <x:c r="G26" s="75"/>
      <x:c r="H26" s="75"/>
      <x:c r="I26" s="75"/>
      <x:c r="J26" s="75"/>
      <x:c r="K26" s="75"/>
      <x:c r="L26" s="75"/>
      <x:c r="M26" s="75"/>
      <x:c r="N26" s="75"/>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78" t="str">
        <x:v>Conclusión</x:v>
      </x:c>
      <x:c r="B27" s="78" t="str">
        <x:v>—</x:v>
      </x:c>
      <x:c r="C27" s="78" t="str">
        <x:v>—</x:v>
      </x:c>
      <x:c r="D27" s="78" t="str">
        <x:v>—</x:v>
      </x:c>
      <x:c r="E27" s="79"/>
      <x:c r="F27" s="78" t="str">
        <x:v>Dólar global, petróleo y VIX dominan el movimiento mensual</x:v>
      </x:c>
      <x:c r="G27" s="75"/>
      <x:c r="H27" s="75"/>
      <x:c r="I27" s="75"/>
      <x:c r="J27" s="75"/>
      <x:c r="K27" s="75"/>
      <x:c r="L27" s="75"/>
      <x:c r="M27" s="75"/>
      <x:c r="N27" s="75"/>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75"/>
      <x:c r="B28" s="75"/>
      <x:c r="C28" s="75"/>
      <x:c r="D28" s="75"/>
      <x:c r="E28" s="75"/>
      <x:c r="F28" s="75"/>
      <x:c r="G28" s="75"/>
      <x:c r="H28" s="75"/>
      <x:c r="I28" s="75"/>
      <x:c r="J28" s="75"/>
      <x:c r="K28" s="75"/>
      <x:c r="L28" s="75"/>
      <x:c r="M28" s="75"/>
      <x:c r="N28" s="75"/>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ht="22" customHeight="1">
      <x:c r="A29" s="47" t="str">
        <x:v>Alcance y cautelas</x:v>
      </x:c>
      <x:c r="B29" s="47" t="str">
        <x:v>Alcance y cautelas</x:v>
      </x:c>
      <x:c r="C29" s="47" t="str">
        <x:v>Alcance y cautelas</x:v>
      </x:c>
      <x:c r="D29" s="47" t="str">
        <x:v>Alcance y cautelas</x:v>
      </x:c>
      <x:c r="E29" s="47" t="str">
        <x:v>Alcance y cautelas</x:v>
      </x:c>
      <x:c r="F29" s="47" t="str">
        <x:v>Alcance y cautelas</x:v>
      </x:c>
      <x:c r="G29" s="75"/>
      <x:c r="H29" s="47" t="str">
        <x:v>Comparación del modelo principal y el ampliado</x:v>
      </x:c>
      <x:c r="I29" s="47" t="str">
        <x:v>Comparación del modelo principal y el ampliado</x:v>
      </x:c>
      <x:c r="J29" s="47" t="str">
        <x:v>Comparación del modelo principal y el ampliado</x:v>
      </x:c>
      <x:c r="K29" s="47" t="str">
        <x:v>Comparación del modelo principal y el ampliado</x:v>
      </x:c>
      <x:c r="L29" s="47" t="str">
        <x:v>Comparación del modelo principal y el ampliado</x:v>
      </x:c>
      <x:c r="M29" s="47" t="str">
        <x:v>Comparación del modelo principal y el ampliado</x:v>
      </x:c>
      <x:c r="N29" s="47" t="str">
        <x:v>Comparación del modelo principal y el ampliado</x:v>
      </x:c>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70" t="str">
        <x:v>1</x:v>
      </x:c>
      <x:c r="B30" s="80" t="str">
        <x:v>La regresión identifica asociaciones dinámicas; no demuestra causalidad.</x:v>
      </x:c>
      <x:c r="C30" s="80"/>
      <x:c r="D30" s="80"/>
      <x:c r="E30" s="80"/>
      <x:c r="F30" s="80"/>
      <x:c r="G30" s="75"/>
      <x:c r="H30" s="54" t="str">
        <x:v>Modelo</x:v>
      </x:c>
      <x:c r="I30" s="54" t="str">
        <x:v>Obs.</x:v>
      </x:c>
      <x:c r="J30" s="54" t="str">
        <x:v>R² ajustado</x:v>
      </x:c>
      <x:c r="K30" s="54" t="str">
        <x:v>AIC</x:v>
      </x:c>
      <x:c r="L30" s="54" t="str">
        <x:v>BIC</x:v>
      </x:c>
      <x:c r="M30" s="54" t="str">
        <x:v>MAPE</x:v>
      </x:c>
      <x:c r="N30" s="54" t="str">
        <x:v>Dirección</x:v>
      </x:c>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70" t="str">
        <x:v>2</x:v>
      </x:c>
      <x:c r="B31" s="80" t="str">
        <x:v>La validación es condicional: usa realizaciones contemporáneas de Brent, dólar amplio y VIX; no equivale a un pronóstico en tiempo real.</x:v>
      </x:c>
      <x:c r="C31" s="80"/>
      <x:c r="D31" s="80"/>
      <x:c r="E31" s="80"/>
      <x:c r="F31" s="80"/>
      <x:c r="G31" s="75"/>
      <x:c r="H31" s="75" t="str">
        <x:v>Base</x:v>
      </x:c>
      <x:c r="I31" s="75" t="n">
        <x:v>240</x:v>
      </x:c>
      <x:c r="J31" s="81" t="n">
        <x:v>0.48554953959626557</x:v>
      </x:c>
      <x:c r="K31" s="82" t="n">
        <x:v>-1106.246508405773</x:v>
      </x:c>
      <x:c r="L31" s="82" t="n">
        <x:v>-1078.4013970190372</x:v>
      </x:c>
      <x:c r="M31" s="81" t="n">
        <x:v>0.020259524944389446</x:v>
      </x:c>
      <x:c r="N31" s="81" t="n">
        <x:v>0.7291666666666665</x:v>
      </x:c>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70" t="str">
        <x:v>3</x:v>
      </x:c>
      <x:c r="B32" s="80" t="str">
        <x:v>Los residuos presentan colas no normales; para inferencia se reportan errores HAC.</x:v>
      </x:c>
      <x:c r="C32" s="80"/>
      <x:c r="D32" s="80"/>
      <x:c r="E32" s="80"/>
      <x:c r="F32" s="80"/>
      <x:c r="G32" s="75"/>
      <x:c r="H32" s="75" t="str">
        <x:v>Ampliado historico</x:v>
      </x:c>
      <x:c r="I32" s="75" t="n">
        <x:v>240</x:v>
      </x:c>
      <x:c r="J32" s="81" t="n">
        <x:v>0.5719074245428268</x:v>
      </x:c>
      <x:c r="K32" s="82" t="n">
        <x:v>-1144.6374282863587</x:v>
      </x:c>
      <x:c r="L32" s="82" t="n">
        <x:v>-1095.908483359571</x:v>
      </x:c>
      <x:c r="M32" s="81" t="n">
        <x:v>0.017703823757030515</x:v>
      </x:c>
      <x:c r="N32" s="81" t="n">
        <x:v>0.7291666666666665</x:v>
      </x:c>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70" t="str">
        <x:v>4</x:v>
      </x:c>
      <x:c r="B33" s="80" t="str">
        <x:v>El resultado positivo de remesas puede reflejar respuesta de los hogares a depreciaciones u otros shocks simultáneos.</x:v>
      </x:c>
      <x:c r="C33" s="80"/>
      <x:c r="D33" s="80"/>
      <x:c r="E33" s="80"/>
      <x:c r="F33" s="80"/>
      <x:c r="G33" s="75"/>
      <x:c r="H33" s="75"/>
      <x:c r="I33" s="75"/>
      <x:c r="J33" s="75"/>
      <x:c r="K33" s="75"/>
      <x:c r="L33" s="75"/>
      <x:c r="M33" s="75"/>
      <x:c r="N33" s="75"/>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70" t="str">
        <x:v>5</x:v>
      </x:c>
      <x:c r="B34" s="80" t="str">
        <x:v>La prueba bounds no confirma cointegración al 5%; el ECM se muestra solo como contraste exploratorio.</x:v>
      </x:c>
      <x:c r="C34" s="80"/>
      <x:c r="D34" s="80"/>
      <x:c r="E34" s="80"/>
      <x:c r="F34" s="80"/>
      <x:c r="G34" s="75"/>
      <x:c r="H34" s="75"/>
      <x:c r="I34" s="75"/>
      <x:c r="J34" s="75"/>
      <x:c r="K34" s="75"/>
      <x:c r="L34" s="75"/>
      <x:c r="M34" s="75"/>
      <x:c r="N34" s="75"/>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70" t="str">
        <x:v>6</x:v>
      </x:c>
      <x:c r="B35" s="80" t="str">
        <x:v>El déficit fiscal tiene el signo esperado, pero su p-valor de 0,189 no permite afirmar un efecto distinto de cero al 5%.</x:v>
      </x:c>
      <x:c r="C35" s="80"/>
      <x:c r="D35" s="80"/>
      <x:c r="E35" s="80"/>
      <x:c r="F35" s="80"/>
      <x:c r="G35" s="75"/>
      <x:c r="H35" s="75"/>
      <x:c r="I35" s="75"/>
      <x:c r="J35" s="75"/>
      <x:c r="K35" s="75"/>
      <x:c r="L35" s="75"/>
      <x:c r="M35" s="75"/>
      <x:c r="N35" s="75"/>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70" t="str">
        <x:v>7</x:v>
      </x:c>
      <x:c r="B36" s="80" t="str">
        <x:v>En el modelo ampliado, ARCH-LM tiene p&lt;0,001: persiste volatilidad condicional no explicada.</x:v>
      </x:c>
      <x:c r="C36" s="80"/>
      <x:c r="D36" s="80"/>
      <x:c r="E36" s="80"/>
      <x:c r="F36" s="80"/>
      <x:c r="G36" s="75"/>
      <x:c r="H36" s="75"/>
      <x:c r="I36" s="75"/>
      <x:c r="J36" s="75"/>
      <x:c r="K36" s="75"/>
      <x:c r="L36" s="75"/>
      <x:c r="M36" s="75"/>
      <x:c r="N36" s="75"/>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70" t="str">
        <x:v>8</x:v>
      </x:c>
      <x:c r="B37" s="80" t="str">
        <x:v>Los residuos ampliados tampoco son normales. HAC protege la inferencia sobre la media, pero no sustituye un modelo explícito de volatilidad.</x:v>
      </x:c>
      <x:c r="C37" s="80"/>
      <x:c r="D37" s="80"/>
      <x:c r="E37" s="80"/>
      <x:c r="F37" s="80"/>
      <x:c r="G37" s="75"/>
      <x:c r="H37" s="54" t="str">
        <x:v>Mes</x:v>
      </x:c>
      <x:c r="I37" s="54" t="str">
        <x:v>TRM observada</x:v>
      </x:c>
      <x:c r="J37" s="54" t="str">
        <x:v>TRM ajustada</x:v>
      </x:c>
      <x:c r="K37" s="75"/>
      <x:c r="L37" s="75"/>
      <x:c r="M37" s="75"/>
      <x:c r="N37" s="75"/>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ht="22" customHeight="1">
      <x:c r="A38" s="47" t="str">
        <x:v>Peso explicativo Shapley del modelo ampliado</x:v>
      </x:c>
      <x:c r="B38" s="47" t="str">
        <x:v>Peso explicativo Shapley del modelo ampliado</x:v>
      </x:c>
      <x:c r="C38" s="47" t="str">
        <x:v>Peso explicativo Shapley del modelo ampliado</x:v>
      </x:c>
      <x:c r="D38" s="47" t="str">
        <x:v>Peso explicativo Shapley del modelo ampliado</x:v>
      </x:c>
      <x:c r="E38" s="47" t="str">
        <x:v>Peso explicativo Shapley del modelo ampliado</x:v>
      </x:c>
      <x:c r="F38" s="47" t="str">
        <x:v>Peso explicativo Shapley del modelo ampliado</x:v>
      </x:c>
      <x:c r="G38" s="75"/>
      <x:c r="H38" s="75" t="str">
        <x:f>'Modelo_principal'!A18</x:f>
        <x:v>2006-05</x:v>
      </x:c>
      <x:c r="I38" s="83" t="n">
        <x:f>'Modelo_principal'!M18</x:f>
        <x:v>2418.649355</x:v>
      </x:c>
      <x:c r="J38" s="83" t="n">
        <x:f>'Modelo_principal'!N18</x:f>
        <x:v>2304.647015670126</x:v>
      </x:c>
      <x:c r="K38" s="75"/>
      <x:c r="L38" s="75"/>
      <x:c r="M38" s="75"/>
      <x:c r="N38" s="75"/>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54" t="str">
        <x:v>Factor</x:v>
      </x:c>
      <x:c r="B39" s="54" t="str">
        <x:v>Grupo</x:v>
      </x:c>
      <x:c r="C39" s="54" t="str">
        <x:v>Contribución al R²</x:v>
      </x:c>
      <x:c r="D39" s="54" t="str">
        <x:v>Peso entre factores</x:v>
      </x:c>
      <x:c r="E39" s="54" t="str">
        <x:v>Peso del R² total</x:v>
      </x:c>
      <x:c r="F39" s="54" t="str">
        <x:v>Lectura</x:v>
      </x:c>
      <x:c r="G39" s="75"/>
      <x:c r="H39" s="75" t="str">
        <x:f>'Modelo_principal'!A30</x:f>
        <x:v>2007-05</x:v>
      </x:c>
      <x:c r="I39" s="83" t="n">
        <x:f>'Modelo_principal'!M30</x:f>
        <x:v>2009.415484</x:v>
      </x:c>
      <x:c r="J39" s="83" t="n">
        <x:f>'Modelo_principal'!N30</x:f>
        <x:v>2120.0840560403044</x:v>
      </x:c>
      <x:c r="K39" s="75"/>
      <x:c r="L39" s="75"/>
      <x:c r="M39" s="75"/>
      <x:c r="N39" s="75"/>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ht="30" customHeight="1">
      <x:c r="A40" s="84" t="str">
        <x:v>Monedas regionales</x:v>
      </x:c>
      <x:c r="B40" s="84" t="str">
        <x:v>Regional</x:v>
      </x:c>
      <x:c r="C40" s="85" t="n">
        <x:v>0.15362430879511446</x:v>
      </x:c>
      <x:c r="D40" s="85" t="n">
        <x:v>0.266084219754093</x:v>
      </x:c>
      <x:c r="E40" s="85" t="n">
        <x:v>0.25810848207276854</x:v>
      </x:c>
      <x:c r="F40" s="84" t="str">
        <x:v>Participación explicativa, no efecto causal</x:v>
      </x:c>
      <x:c r="G40" s="75"/>
      <x:c r="H40" s="75" t="str">
        <x:f>'Modelo_principal'!A42</x:f>
        <x:v>2008-05</x:v>
      </x:c>
      <x:c r="I40" s="83" t="n">
        <x:f>'Modelo_principal'!M42</x:f>
        <x:v>1775.156129</x:v>
      </x:c>
      <x:c r="J40" s="83" t="n">
        <x:f>'Modelo_principal'!N42</x:f>
        <x:v>1776.938175392384</x:v>
      </x:c>
      <x:c r="K40" s="75"/>
      <x:c r="L40" s="75"/>
      <x:c r="M40" s="75"/>
      <x:c r="N40" s="75"/>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ht="30" customHeight="1">
      <x:c r="A41" s="84" t="str">
        <x:v>Dólar amplio</x:v>
      </x:c>
      <x:c r="B41" s="84" t="str">
        <x:v>Global</x:v>
      </x:c>
      <x:c r="C41" s="85" t="n">
        <x:v>0.1365760606685034</x:v>
      </x:c>
      <x:c r="D41" s="85" t="n">
        <x:v>0.23655588640293426</x:v>
      </x:c>
      <x:c r="E41" s="85" t="n">
        <x:v>0.22946524533197324</x:v>
      </x:c>
      <x:c r="F41" s="84" t="str">
        <x:v>Participación explicativa, no efecto causal</x:v>
      </x:c>
      <x:c r="G41" s="75"/>
      <x:c r="H41" s="75" t="str">
        <x:f>'Modelo_principal'!A54</x:f>
        <x:v>2009-05</x:v>
      </x:c>
      <x:c r="I41" s="83" t="n">
        <x:f>'Modelo_principal'!M54</x:f>
        <x:v>2227.317742</x:v>
      </x:c>
      <x:c r="J41" s="83" t="n">
        <x:f>'Modelo_principal'!N54</x:f>
        <x:v>2257.3664729427514</x:v>
      </x:c>
      <x:c r="K41" s="75"/>
      <x:c r="L41" s="75"/>
      <x:c r="M41" s="75"/>
      <x:c r="N41" s="75"/>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ht="30" customHeight="1">
      <x:c r="A42" s="84" t="str">
        <x:v>Spread TES-Treasury 10 años</x:v>
      </x:c>
      <x:c r="B42" s="84" t="str">
        <x:v>Riesgo local</x:v>
      </x:c>
      <x:c r="C42" s="85" t="n">
        <x:v>0.07881952310617955</x:v>
      </x:c>
      <x:c r="D42" s="85" t="n">
        <x:v>0.13651896286197943</x:v>
      </x:c>
      <x:c r="E42" s="85" t="n">
        <x:v>0.1324268771406995</x:v>
      </x:c>
      <x:c r="F42" s="84" t="str">
        <x:v>Participación explicativa, no efecto causal</x:v>
      </x:c>
      <x:c r="G42" s="75"/>
      <x:c r="H42" s="75" t="str">
        <x:f>'Modelo_principal'!A66</x:f>
        <x:v>2010-05</x:v>
      </x:c>
      <x:c r="I42" s="83" t="n">
        <x:f>'Modelo_principal'!M66</x:f>
        <x:v>1983.593226</x:v>
      </x:c>
      <x:c r="J42" s="83" t="n">
        <x:f>'Modelo_principal'!N66</x:f>
        <x:v>2071.5626756355246</x:v>
      </x:c>
      <x:c r="K42" s="75"/>
      <x:c r="L42" s="75"/>
      <x:c r="M42" s="75"/>
      <x:c r="N42" s="75"/>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ht="30" customHeight="1">
      <x:c r="A43" s="84" t="str">
        <x:v>Petróleo Brent</x:v>
      </x:c>
      <x:c r="B43" s="84" t="str">
        <x:v>Global</x:v>
      </x:c>
      <x:c r="C43" s="85" t="n">
        <x:v>0.055173008893095676</x:v>
      </x:c>
      <x:c r="D43" s="85" t="n">
        <x:v>0.0955621355627012</x:v>
      </x:c>
      <x:c r="E43" s="85" t="n">
        <x:v>0.09269770968197945</x:v>
      </x:c>
      <x:c r="F43" s="84" t="str">
        <x:v>Participación explicativa, no efecto causal</x:v>
      </x:c>
      <x:c r="G43" s="75"/>
      <x:c r="H43" s="75" t="str">
        <x:f>'Modelo_principal'!A78</x:f>
        <x:v>2011-05</x:v>
      </x:c>
      <x:c r="I43" s="83" t="n">
        <x:f>'Modelo_principal'!M78</x:f>
        <x:v>1800.50871</x:v>
      </x:c>
      <x:c r="J43" s="83" t="n">
        <x:f>'Modelo_principal'!N78</x:f>
        <x:v>1809.5286687191576</x:v>
      </x:c>
      <x:c r="K43" s="75"/>
      <x:c r="L43" s="75"/>
      <x:c r="M43" s="75"/>
      <x:c r="N43" s="75"/>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ht="30" customHeight="1">
      <x:c r="A44" s="84" t="str">
        <x:v>VIX</x:v>
      </x:c>
      <x:c r="B44" s="84" t="str">
        <x:v>Global</x:v>
      </x:c>
      <x:c r="C44" s="85" t="n">
        <x:v>0.05329718043198232</x:v>
      </x:c>
      <x:c r="D44" s="85" t="n">
        <x:v>0.09231311620904181</x:v>
      </x:c>
      <x:c r="E44" s="85" t="n">
        <x:v>0.08954607801297979</x:v>
      </x:c>
      <x:c r="F44" s="84" t="str">
        <x:v>Participación explicativa, no efecto causal</x:v>
      </x:c>
      <x:c r="G44" s="75"/>
      <x:c r="H44" s="75" t="str">
        <x:f>'Modelo_principal'!A90</x:f>
        <x:v>2012-05</x:v>
      </x:c>
      <x:c r="I44" s="83" t="n">
        <x:f>'Modelo_principal'!M90</x:f>
        <x:v>1793.276774</x:v>
      </x:c>
      <x:c r="J44" s="83" t="n">
        <x:f>'Modelo_principal'!N90</x:f>
        <x:v>1828.32084747434</x:v>
      </x:c>
      <x:c r="K44" s="75"/>
      <x:c r="L44" s="75"/>
      <x:c r="M44" s="75"/>
      <x:c r="N44" s="75"/>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ht="30" customHeight="1">
      <x:c r="A45" s="84" t="str">
        <x:v>Balanza comercial cambiaria</x:v>
      </x:c>
      <x:c r="B45" s="84" t="str">
        <x:v>Sector externo Colombia</x:v>
      </x:c>
      <x:c r="C45" s="85" t="n">
        <x:v>0.044018473797316056</x:v>
      </x:c>
      <x:c r="D45" s="85" t="n">
        <x:v>0.07624197854485196</x:v>
      </x:c>
      <x:c r="E45" s="85" t="n">
        <x:v>0.07395666443738297</x:v>
      </x:c>
      <x:c r="F45" s="84" t="str">
        <x:v>Participación explicativa, no efecto causal</x:v>
      </x:c>
      <x:c r="G45" s="75"/>
      <x:c r="H45" s="75" t="str">
        <x:f>'Modelo_principal'!A102</x:f>
        <x:v>2013-05</x:v>
      </x:c>
      <x:c r="I45" s="83" t="n">
        <x:f>'Modelo_principal'!M102</x:f>
        <x:v>1847.92129</x:v>
      </x:c>
      <x:c r="J45" s="83" t="n">
        <x:f>'Modelo_principal'!N102</x:f>
        <x:v>1859.1066349959656</x:v>
      </x:c>
      <x:c r="K45" s="75"/>
      <x:c r="L45" s="75"/>
      <x:c r="M45" s="75"/>
      <x:c r="N45" s="75"/>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ht="30" customHeight="1">
      <x:c r="A46" s="84" t="str">
        <x:v>Flujos netos de capital</x:v>
      </x:c>
      <x:c r="B46" s="84" t="str">
        <x:v>Sector externo Colombia</x:v>
      </x:c>
      <x:c r="C46" s="85" t="n">
        <x:v>0.02554860871492124</x:v>
      </x:c>
      <x:c r="D46" s="85" t="n">
        <x:v>0.04425134061809774</x:v>
      </x:c>
      <x:c r="E46" s="85" t="n">
        <x:v>0.04292492943466469</x:v>
      </x:c>
      <x:c r="F46" s="84" t="str">
        <x:v>Participación explicativa, no efecto causal</x:v>
      </x:c>
      <x:c r="G46" s="75"/>
      <x:c r="H46" s="75" t="str">
        <x:f>'Modelo_principal'!A114</x:f>
        <x:v>2014-05</x:v>
      </x:c>
      <x:c r="I46" s="83" t="n">
        <x:f>'Modelo_principal'!M114</x:f>
        <x:v>1915.360968</x:v>
      </x:c>
      <x:c r="J46" s="83" t="n">
        <x:f>'Modelo_principal'!N114</x:f>
        <x:v>1911.3236328498701</x:v>
      </x:c>
      <x:c r="K46" s="75"/>
      <x:c r="L46" s="75"/>
      <x:c r="M46" s="75"/>
      <x:c r="N46" s="75"/>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ht="30" customHeight="1">
      <x:c r="A47" s="84" t="str">
        <x:v>Reservas internacionales</x:v>
      </x:c>
      <x:c r="B47" s="84" t="str">
        <x:v>Sector externo Colombia</x:v>
      </x:c>
      <x:c r="C47" s="85" t="n">
        <x:v>0.013943448847255301</x:v>
      </x:c>
      <x:c r="D47" s="85" t="n">
        <x:v>0.0241506812060008</x:v>
      </x:c>
      <x:c r="E47" s="85" t="n">
        <x:v>0.02342677695379686</x:v>
      </x:c>
      <x:c r="F47" s="84" t="str">
        <x:v>Participación explicativa, no efecto causal</x:v>
      </x:c>
      <x:c r="G47" s="75"/>
      <x:c r="H47" s="75" t="str">
        <x:f>'Modelo_principal'!A126</x:f>
        <x:v>2015-05</x:v>
      </x:c>
      <x:c r="I47" s="83" t="n">
        <x:f>'Modelo_principal'!M126</x:f>
        <x:v>2437.535161</x:v>
      </x:c>
      <x:c r="J47" s="83" t="n">
        <x:f>'Modelo_principal'!N126</x:f>
        <x:v>2472.6599791808585</x:v>
      </x:c>
      <x:c r="K47" s="75"/>
      <x:c r="L47" s="75"/>
      <x:c r="M47" s="75"/>
      <x:c r="N47" s="75"/>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75"/>
      <x:c r="B48" s="75"/>
      <x:c r="C48" s="75"/>
      <x:c r="D48" s="75"/>
      <x:c r="E48" s="75"/>
      <x:c r="F48" s="75"/>
      <x:c r="G48" s="75"/>
      <x:c r="H48" s="75" t="str">
        <x:f>'Modelo_principal'!A138</x:f>
        <x:v>2016-05</x:v>
      </x:c>
      <x:c r="I48" s="83" t="n">
        <x:f>'Modelo_principal'!M138</x:f>
        <x:v>2993.508387</x:v>
      </x:c>
      <x:c r="J48" s="83" t="n">
        <x:f>'Modelo_principal'!N138</x:f>
        <x:v>3026.3463937234837</x:v>
      </x:c>
      <x:c r="K48" s="75"/>
      <x:c r="L48" s="75"/>
      <x:c r="M48" s="75"/>
      <x:c r="N48" s="75"/>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75"/>
      <x:c r="B49" s="75"/>
      <x:c r="C49" s="75"/>
      <x:c r="D49" s="75"/>
      <x:c r="E49" s="75"/>
      <x:c r="F49" s="75"/>
      <x:c r="G49" s="75"/>
      <x:c r="H49" s="75" t="str">
        <x:f>'Modelo_principal'!A150</x:f>
        <x:v>2017-05</x:v>
      </x:c>
      <x:c r="I49" s="83" t="n">
        <x:f>'Modelo_principal'!M150</x:f>
        <x:v>2923.612903</x:v>
      </x:c>
      <x:c r="J49" s="83" t="n">
        <x:f>'Modelo_principal'!N150</x:f>
        <x:v>2852.2611558891167</x:v>
      </x:c>
      <x:c r="K49" s="75"/>
      <x:c r="L49" s="75"/>
      <x:c r="M49" s="75"/>
      <x:c r="N49" s="75"/>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75"/>
      <x:c r="B50" s="75"/>
      <x:c r="C50" s="75"/>
      <x:c r="D50" s="75"/>
      <x:c r="E50" s="75"/>
      <x:c r="F50" s="75"/>
      <x:c r="G50" s="75"/>
      <x:c r="H50" s="75" t="str">
        <x:f>'Modelo_principal'!A162</x:f>
        <x:v>2018-05</x:v>
      </x:c>
      <x:c r="I50" s="83" t="n">
        <x:f>'Modelo_principal'!M162</x:f>
        <x:v>2861.825806</x:v>
      </x:c>
      <x:c r="J50" s="83" t="n">
        <x:f>'Modelo_principal'!N162</x:f>
        <x:v>2850.0031100428205</x:v>
      </x:c>
      <x:c r="K50" s="75"/>
      <x:c r="L50" s="75"/>
      <x:c r="M50" s="75"/>
      <x:c r="N50" s="75"/>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75"/>
      <x:c r="B51" s="75"/>
      <x:c r="C51" s="75"/>
      <x:c r="D51" s="75"/>
      <x:c r="E51" s="75"/>
      <x:c r="F51" s="75"/>
      <x:c r="G51" s="75"/>
      <x:c r="H51" s="75" t="str">
        <x:f>'Modelo_principal'!A174</x:f>
        <x:v>2019-05</x:v>
      </x:c>
      <x:c r="I51" s="83" t="n">
        <x:f>'Modelo_principal'!M174</x:f>
        <x:v>3304.494516</x:v>
      </x:c>
      <x:c r="J51" s="83" t="n">
        <x:f>'Modelo_principal'!N174</x:f>
        <x:v>3225.2593772962546</x:v>
      </x:c>
      <x:c r="K51" s="75"/>
      <x:c r="L51" s="75"/>
      <x:c r="M51" s="75"/>
      <x:c r="N51" s="75"/>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75"/>
      <x:c r="B52" s="75"/>
      <x:c r="C52" s="75"/>
      <x:c r="D52" s="75"/>
      <x:c r="E52" s="75"/>
      <x:c r="F52" s="75"/>
      <x:c r="G52" s="75"/>
      <x:c r="H52" s="75" t="str">
        <x:f>'Modelo_principal'!A186</x:f>
        <x:v>2020-05</x:v>
      </x:c>
      <x:c r="I52" s="83" t="n">
        <x:f>'Modelo_principal'!M186</x:f>
        <x:v>3858.191613</x:v>
      </x:c>
      <x:c r="J52" s="83" t="n">
        <x:f>'Modelo_principal'!N186</x:f>
        <x:v>3818.2946632891867</x:v>
      </x:c>
      <x:c r="K52" s="75"/>
      <x:c r="L52" s="75"/>
      <x:c r="M52" s="75"/>
      <x:c r="N52" s="75"/>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75"/>
      <x:c r="B53" s="75"/>
      <x:c r="C53" s="75"/>
      <x:c r="D53" s="75"/>
      <x:c r="E53" s="75"/>
      <x:c r="F53" s="75"/>
      <x:c r="G53" s="75"/>
      <x:c r="H53" s="75" t="str">
        <x:f>'Modelo_principal'!A198</x:f>
        <x:v>2021-05</x:v>
      </x:c>
      <x:c r="I53" s="83" t="n">
        <x:f>'Modelo_principal'!M198</x:f>
        <x:v>3735.666129</x:v>
      </x:c>
      <x:c r="J53" s="83" t="n">
        <x:f>'Modelo_principal'!N198</x:f>
        <x:v>3644.0558323059327</x:v>
      </x:c>
      <x:c r="K53" s="75"/>
      <x:c r="L53" s="75"/>
      <x:c r="M53" s="75"/>
      <x:c r="N53" s="75"/>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75"/>
      <x:c r="B54" s="75"/>
      <x:c r="C54" s="75"/>
      <x:c r="D54" s="75"/>
      <x:c r="E54" s="75"/>
      <x:c r="F54" s="75"/>
      <x:c r="G54" s="75"/>
      <x:c r="H54" s="75" t="str">
        <x:f>'Modelo_principal'!A210</x:f>
        <x:v>2022-05</x:v>
      </x:c>
      <x:c r="I54" s="83" t="n">
        <x:f>'Modelo_principal'!M210</x:f>
        <x:v>4019.079355</x:v>
      </x:c>
      <x:c r="J54" s="83" t="n">
        <x:f>'Modelo_principal'!N210</x:f>
        <x:v>3867.602623542247</x:v>
      </x:c>
      <x:c r="K54" s="75"/>
      <x:c r="L54" s="75"/>
      <x:c r="M54" s="75"/>
      <x:c r="N54" s="75"/>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75"/>
      <x:c r="B55" s="75"/>
      <x:c r="C55" s="75"/>
      <x:c r="D55" s="75"/>
      <x:c r="E55" s="75"/>
      <x:c r="F55" s="75"/>
      <x:c r="G55" s="75"/>
      <x:c r="H55" s="75" t="str">
        <x:f>'Modelo_principal'!A222</x:f>
        <x:v>2023-05</x:v>
      </x:c>
      <x:c r="I55" s="83" t="n">
        <x:f>'Modelo_principal'!M222</x:f>
        <x:v>4540.089032</x:v>
      </x:c>
      <x:c r="J55" s="83" t="n">
        <x:f>'Modelo_principal'!N222</x:f>
        <x:v>4571.162417651084</x:v>
      </x:c>
      <x:c r="K55" s="75"/>
      <x:c r="L55" s="75"/>
      <x:c r="M55" s="75"/>
      <x:c r="N55" s="75"/>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75"/>
      <x:c r="B56" s="75"/>
      <x:c r="C56" s="75"/>
      <x:c r="D56" s="75"/>
      <x:c r="E56" s="75"/>
      <x:c r="F56" s="75"/>
      <x:c r="G56" s="75"/>
      <x:c r="H56" s="75" t="str">
        <x:f>'Modelo_principal'!A234</x:f>
        <x:v>2024-05</x:v>
      </x:c>
      <x:c r="I56" s="83" t="n">
        <x:f>'Modelo_principal'!M234</x:f>
        <x:v>3869.100645</x:v>
      </x:c>
      <x:c r="J56" s="83" t="n">
        <x:f>'Modelo_principal'!N234</x:f>
        <x:v>3901.358819101147</x:v>
      </x:c>
      <x:c r="K56" s="75"/>
      <x:c r="L56" s="75"/>
      <x:c r="M56" s="75"/>
      <x:c r="N56" s="75"/>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75"/>
      <x:c r="B57" s="75"/>
      <x:c r="C57" s="75"/>
      <x:c r="D57" s="75"/>
      <x:c r="E57" s="75"/>
      <x:c r="F57" s="75"/>
      <x:c r="G57" s="75"/>
      <x:c r="H57" s="75" t="str">
        <x:f>'Modelo_principal'!A246</x:f>
        <x:v>2025-05</x:v>
      </x:c>
      <x:c r="I57" s="83" t="n">
        <x:f>'Modelo_principal'!M246</x:f>
        <x:v>4203.377097</x:v>
      </x:c>
      <x:c r="J57" s="83" t="n">
        <x:f>'Modelo_principal'!N246</x:f>
        <x:v>4153.232440736634</x:v>
      </x:c>
      <x:c r="K57" s="75"/>
      <x:c r="L57" s="75"/>
      <x:c r="M57" s="75"/>
      <x:c r="N57" s="75"/>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75"/>
      <x:c r="B58" s="75"/>
      <x:c r="C58" s="75"/>
      <x:c r="D58" s="75"/>
      <x:c r="E58" s="75"/>
      <x:c r="F58" s="75"/>
      <x:c r="G58" s="75"/>
      <x:c r="H58" s="75" t="str">
        <x:f>'Modelo_principal'!A257</x:f>
        <x:v>2026-04</x:v>
      </x:c>
      <x:c r="I58" s="83" t="n">
        <x:f>'Modelo_principal'!M257</x:f>
        <x:v>3617.518667</x:v>
      </x:c>
      <x:c r="J58" s="83" t="n">
        <x:f>'Modelo_principal'!N257</x:f>
        <x:v>3626.6960070441955</x:v>
      </x:c>
      <x:c r="K58" s="75"/>
      <x:c r="L58" s="75"/>
      <x:c r="M58" s="75"/>
      <x:c r="N58" s="75"/>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N2"/>
    <x:mergeCell ref="A3:N3"/>
    <x:mergeCell ref="A5:B5"/>
    <x:mergeCell ref="A6:B7"/>
    <x:mergeCell ref="C5:D5"/>
    <x:mergeCell ref="C6:D7"/>
    <x:mergeCell ref="E5:F5"/>
    <x:mergeCell ref="E6:F7"/>
    <x:mergeCell ref="A9:B9"/>
    <x:mergeCell ref="A10:B11"/>
    <x:mergeCell ref="C9:D9"/>
    <x:mergeCell ref="C10:D11"/>
    <x:mergeCell ref="E9:F9"/>
    <x:mergeCell ref="E10:F11"/>
    <x:mergeCell ref="A13:F13"/>
    <x:mergeCell ref="A14:F16"/>
    <x:mergeCell ref="A18:F18"/>
    <x:mergeCell ref="A29:F29"/>
    <x:mergeCell ref="B30:F30"/>
    <x:mergeCell ref="B31:F31"/>
    <x:mergeCell ref="B32:F32"/>
    <x:mergeCell ref="B33:F33"/>
    <x:mergeCell ref="B34:F34"/>
    <x:mergeCell ref="B35:F35"/>
    <x:mergeCell ref="B36:F36"/>
    <x:mergeCell ref="B37:F37"/>
    <x:mergeCell ref="H29:N29"/>
    <x:mergeCell ref="A38:F38"/>
    <x:mergeCell ref="H5:N5"/>
  </x:mergeCells>
  <x:pageMargins left="0.7" right="0.7" top="0.75" bottom="0.75" header="0.3" footer="0.3"/>
  <x:drawing xmlns:r="http://schemas.openxmlformats.org/officeDocument/2006/relationships" r:id="Rb9a272e44cf349ce"/>
  <x:tableParts count="2">
    <x:tablePart xmlns:r="http://schemas.openxmlformats.org/officeDocument/2006/relationships" r:id="Rd0df8c69dffa4803"/>
    <x:tablePart xmlns:r="http://schemas.openxmlformats.org/officeDocument/2006/relationships" r:id="Ra61337a721214ee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8" hidden="0" customWidth="1"/>
    <x:col min="5" max="5" width="18" hidden="0" customWidth="1"/>
    <x:col min="6" max="6" width="16" hidden="0" customWidth="1"/>
    <x:col min="7" max="7" width="16" hidden="0" customWidth="1"/>
    <x:col min="8" max="8" width="16" hidden="0" customWidth="1"/>
    <x:col min="9" max="9" width="24" hidden="0" customWidth="1"/>
    <x:col min="10" max="10" width="18" hidden="0" customWidth="1"/>
    <x:col min="11" max="11" width="18" hidden="0" customWidth="1"/>
    <x:col min="12" max="12" width="18" hidden="0" customWidth="1"/>
    <x:col min="13" max="13" width="18" hidden="0" customWidth="1"/>
    <x:col min="14" max="14" width="18" hidden="0" customWidth="1"/>
    <x:col min="15" max="15" width="21"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21" hidden="0" customWidth="1"/>
    <x:col min="23" max="23" width="21" hidden="0" customWidth="1"/>
    <x:col min="24" max="24" width="18" hidden="0" customWidth="1"/>
    <x:col min="25" max="25" width="18" hidden="0" customWidth="1"/>
    <x:col min="26" max="26" width="18" hidden="0" customWidth="1"/>
    <x:col min="27" max="27" width="18" hidden="0" customWidth="1"/>
    <x:col min="28" max="28" width="18" hidden="0" customWidth="1"/>
  </x:cols>
  <x:sheetData>
    <x:row r="1" ht="30" customHeight="1">
      <x:c r="A1" s="4" t="str">
        <x:v>Datos fuente mensuales</x:v>
      </x:c>
      <x:c r="B1" s="4" t="str">
        <x:v>Datos fuente mensuales</x:v>
      </x:c>
      <x:c r="C1" s="4" t="str">
        <x:v>Datos fuente mensuales</x:v>
      </x:c>
      <x:c r="D1" s="4" t="str">
        <x:v>Datos fuente mensuales</x:v>
      </x:c>
      <x:c r="E1" s="4" t="str">
        <x:v>Datos fuente mensuales</x:v>
      </x:c>
      <x:c r="F1" s="4" t="str">
        <x:v>Datos fuente mensuales</x:v>
      </x:c>
      <x:c r="G1" s="4" t="str">
        <x:v>Datos fuente mensuales</x:v>
      </x:c>
      <x:c r="H1" s="4" t="str">
        <x:v>Datos fuente mensuales</x:v>
      </x:c>
      <x:c r="I1" s="4" t="str">
        <x:v>Datos fuente mensuales</x:v>
      </x:c>
      <x:c r="J1" s="4" t="str">
        <x:v>Datos fuente mensuales</x:v>
      </x:c>
      <x:c r="K1" s="4" t="str">
        <x:v>Datos fuente mensuales</x:v>
      </x:c>
      <x:c r="L1" s="4" t="str">
        <x:v>Datos fuente mensuales</x:v>
      </x:c>
      <x:c r="M1" s="4" t="str">
        <x:v>Datos fuente mensuales</x:v>
      </x:c>
      <x:c r="N1" s="4" t="str">
        <x:v>Datos fuente mensuales</x:v>
      </x:c>
      <x:c r="O1" s="4" t="str">
        <x:v>Datos fuente mensuales</x:v>
      </x:c>
      <x:c r="P1" s="4" t="str">
        <x:v>Datos fuente mensuales</x:v>
      </x:c>
      <x:c r="Q1" s="4" t="str">
        <x:v>Datos fuente mensuales</x:v>
      </x:c>
      <x:c r="R1" s="4" t="str">
        <x:v>Datos fuente mensuales</x:v>
      </x:c>
      <x:c r="S1" s="4" t="str">
        <x:v>Datos fuente mensuales</x:v>
      </x:c>
      <x:c r="T1" s="4" t="str">
        <x:v>Datos fuente mensuales</x:v>
      </x:c>
      <x:c r="U1" s="4" t="str">
        <x:v>Datos fuente mensuales</x:v>
      </x:c>
      <x:c r="V1" s="4" t="str">
        <x:v>Datos fuente mensuales</x:v>
      </x:c>
      <x:c r="W1" s="4" t="str">
        <x:v>Datos fuente mensuales</x:v>
      </x:c>
      <x:c r="X1" s="4" t="str">
        <x:v>Datos fuente mensuales</x:v>
      </x:c>
      <x:c r="Y1" s="4" t="str">
        <x:v>Datos fuente mensuales</x:v>
      </x:c>
      <x:c r="Z1" s="4" t="str">
        <x:v>Datos fuente mensuales</x:v>
      </x:c>
      <x:c r="AA1" s="4" t="str">
        <x:v>Datos fuente mensuales</x:v>
      </x:c>
      <x:c r="AB1" s="4" t="str">
        <x:v>Datos fuente mensuales</x:v>
      </x:c>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B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C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D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E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F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G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H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I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J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K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L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M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N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O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P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Q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R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S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T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U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V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W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X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Y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Z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A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B2"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B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C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D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E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F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G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H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I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J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K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L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M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N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O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P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Q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R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S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T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U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V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W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X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Y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Z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A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B3" s="7" t="str">
        <x:v>Niveles utilizados para construir los modelos principal y ampliado. Los indicadores diarios se convierten a promedio mensual. Los espacios en blanco representan observaciones no disponibles y nunca se sustituyen por cero. Única excepción: el IPC de EE. UU. de octubre de 2025 se interpola linealmente y se identifica con una bandera visible.</x:v>
      </x:c>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54" customHeight="1">
      <x:c r="A5" s="54" t="str">
        <x:v>Mes</x:v>
      </x:c>
      <x:c r="B5" s="54" t="str">
        <x:v>TRM (COP/USD)</x:v>
      </x:c>
      <x:c r="C5" s="54" t="str">
        <x:v>Brent (USD/barril)</x:v>
      </x:c>
      <x:c r="D5" s="54" t="str">
        <x:v>Remesas (USD mill.)</x:v>
      </x:c>
      <x:c r="E5" s="54" t="str">
        <x:v>Remesas 12m (USD mill.)</x:v>
      </x:c>
      <x:c r="F5" s="54" t="str">
        <x:v>Tasa política Colombia (%)</x:v>
      </x:c>
      <x:c r="G5" s="54" t="str">
        <x:v>Fed funds (%)</x:v>
      </x:c>
      <x:c r="H5" s="54" t="str">
        <x:v>Diferencial tasas (pp)</x:v>
      </x:c>
      <x:c r="I5" s="54" t="str">
        <x:v>Balance fiscal mensual (miles mill. COP)</x:v>
      </x:c>
      <x:c r="J5" s="54" t="str">
        <x:v>Déficit fiscal 12m (% PIB)</x:v>
      </x:c>
      <x:c r="K5" s="54" t="str">
        <x:v>Índice dólar amplio</x:v>
      </x:c>
      <x:c r="L5" s="54" t="str">
        <x:v>VIX</x:v>
      </x:c>
      <x:c r="M5" s="54" t="str">
        <x:v>Términos de intercambio</x:v>
      </x:c>
      <x:c r="N5" s="54" t="str">
        <x:v>Dummy pandemia</x:v>
      </x:c>
      <x:c r="O5" s="54" t="str">
        <x:v>Reservas netas sin FLAR (USD mill.)</x:v>
      </x:c>
      <x:c r="P5" s="54" t="str">
        <x:v>TES Colombia 10 años (%)</x:v>
      </x:c>
      <x:c r="Q5" s="54" t="str">
        <x:v>Treasury EE. UU. 10 años (%)</x:v>
      </x:c>
      <x:c r="R5" s="54" t="str">
        <x:v>Spread TES−UST (pp)</x:v>
      </x:c>
      <x:c r="S5" s="54" t="str">
        <x:v>Balanza comercial cambiaria (USD mill.)</x:v>
      </x:c>
      <x:c r="T5" s="54" t="str">
        <x:v>Flujo neto total de capital (USD mill.)</x:v>
      </x:c>
      <x:c r="U5" s="54" t="str">
        <x:v>IPC Colombia</x:v>
      </x:c>
      <x:c r="V5" s="54" t="str">
        <x:v>IPC EE. UU.</x:v>
      </x:c>
      <x:c r="W5" s="54" t="str">
        <x:v>Diferencial inflación interanual (pp)</x:v>
      </x:c>
      <x:c r="X5" s="54" t="str">
        <x:v>BRL por USD</x:v>
      </x:c>
      <x:c r="Y5" s="54" t="str">
        <x:v>CLP por USD</x:v>
      </x:c>
      <x:c r="Z5" s="54" t="str">
        <x:v>MXN por USD</x:v>
      </x:c>
      <x:c r="AA5" s="54" t="str">
        <x:v>Factor monedas regionales</x:v>
      </x:c>
      <x:c r="AB5" s="54" t="str">
        <x:v>IPC EE. UU. interpolado</x:v>
      </x:c>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75" t="str">
        <x:v>2005-12</x:v>
      </x:c>
      <x:c r="B6" s="91" t="n">
        <x:v>2278.539355</x:v>
      </x:c>
      <x:c r="C6" s="91" t="n">
        <x:v>56.85571429</x:v>
      </x:c>
      <x:c r="D6" s="91" t="n">
        <x:v>348.03</x:v>
      </x:c>
      <x:c r="E6" s="91" t="n">
        <x:v>3313.73</x:v>
      </x:c>
      <x:c r="F6" s="82" t="n">
        <x:v>6</x:v>
      </x:c>
      <x:c r="G6" s="82" t="n">
        <x:v>4.16</x:v>
      </x:c>
      <x:c r="H6" s="82" t="n">
        <x:v>1.84</x:v>
      </x:c>
      <x:c r="I6" s="92" t="n">
        <x:v>-2824.564673</x:v>
      </x:c>
      <x:c r="J6" s="82" t="n">
        <x:v>3.997397732</x:v>
      </x:c>
      <x:c r="K6" s="82"/>
      <x:c r="L6" s="82" t="n">
        <x:v>11.26</x:v>
      </x:c>
      <x:c r="M6" s="82" t="n">
        <x:v>122.69</x:v>
      </x:c>
      <x:c r="N6" s="93" t="n">
        <x:v>0</x:v>
      </x:c>
      <x:c r="O6" s="91" t="n">
        <x:v>14947.31</x:v>
      </x:c>
      <x:c r="P6" s="82" t="n">
        <x:v>9.3955</x:v>
      </x:c>
      <x:c r="Q6" s="82" t="n">
        <x:v>4.467142857</x:v>
      </x:c>
      <x:c r="R6" s="82" t="n">
        <x:v>4.928357143</x:v>
      </x:c>
      <x:c r="S6" s="92" t="n">
        <x:v>-449.16</x:v>
      </x:c>
      <x:c r="T6" s="92" t="n">
        <x:v>275.02</x:v>
      </x:c>
      <x:c r="U6" s="82" t="n">
        <x:v>58.7</x:v>
      </x:c>
      <x:c r="V6" s="82" t="n">
        <x:v>196.8</x:v>
      </x:c>
      <x:c r="W6" s="82" t="n">
        <x:v>1.424490542</x:v>
      </x:c>
      <x:c r="X6" s="94" t="n">
        <x:v>2.284454541</x:v>
      </x:c>
      <x:c r="Y6" s="94" t="n">
        <x:v>514.285</x:v>
      </x:c>
      <x:c r="Z6" s="94" t="n">
        <x:v>10.6285</x:v>
      </x:c>
      <x:c r="AA6" s="95" t="n">
        <x:v>-0.2144618765</x:v>
      </x:c>
      <x:c r="AB6" s="93" t="n">
        <x:v>0</x:v>
      </x:c>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75" t="str">
        <x:v>2006-01</x:v>
      </x:c>
      <x:c r="B7" s="91" t="n">
        <x:v>2273.710968</x:v>
      </x:c>
      <x:c r="C7" s="91" t="n">
        <x:v>62.9852381</x:v>
      </x:c>
      <x:c r="D7" s="91" t="n">
        <x:v>266.88</x:v>
      </x:c>
      <x:c r="E7" s="91" t="n">
        <x:v>3356.38</x:v>
      </x:c>
      <x:c r="F7" s="82" t="n">
        <x:v>6</x:v>
      </x:c>
      <x:c r="G7" s="82" t="n">
        <x:v>4.29</x:v>
      </x:c>
      <x:c r="H7" s="82" t="n">
        <x:v>1.71</x:v>
      </x:c>
      <x:c r="I7" s="92" t="n">
        <x:v>-2383.791927</x:v>
      </x:c>
      <x:c r="J7" s="82" t="n">
        <x:v>3.697683412</x:v>
      </x:c>
      <x:c r="K7" s="82" t="n">
        <x:v>100.0000045</x:v>
      </x:c>
      <x:c r="L7" s="82" t="n">
        <x:v>12.036</x:v>
      </x:c>
      <x:c r="M7" s="82" t="n">
        <x:v>128.63</x:v>
      </x:c>
      <x:c r="N7" s="93" t="n">
        <x:v>0</x:v>
      </x:c>
      <x:c r="O7" s="91" t="n">
        <x:v>14741.24</x:v>
      </x:c>
      <x:c r="P7" s="82" t="n">
        <x:v>8.655714286</x:v>
      </x:c>
      <x:c r="Q7" s="82" t="n">
        <x:v>4.416</x:v>
      </x:c>
      <x:c r="R7" s="82" t="n">
        <x:v>4.239714286</x:v>
      </x:c>
      <x:c r="S7" s="92" t="n">
        <x:v>-442.48</x:v>
      </x:c>
      <x:c r="T7" s="92" t="n">
        <x:v>-7.88</x:v>
      </x:c>
      <x:c r="U7" s="82" t="n">
        <x:v>59.02</x:v>
      </x:c>
      <x:c r="V7" s="82" t="n">
        <x:v>198.3</x:v>
      </x:c>
      <x:c r="W7" s="82" t="n">
        <x:v>0.5673842535</x:v>
      </x:c>
      <x:c r="X7" s="94" t="n">
        <x:v>2.272227266</x:v>
      </x:c>
      <x:c r="Y7" s="94" t="n">
        <x:v>524.4768182</x:v>
      </x:c>
      <x:c r="Z7" s="94" t="n">
        <x:v>10.55181818</x:v>
      </x:c>
      <x:c r="AA7" s="95" t="n">
        <x:v>0.006506135375</x:v>
      </x:c>
      <x:c r="AB7" s="93" t="n">
        <x:v>0</x:v>
      </x:c>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75" t="str">
        <x:v>2006-02</x:v>
      </x:c>
      <x:c r="B8" s="91" t="n">
        <x:v>2255.771429</x:v>
      </x:c>
      <x:c r="C8" s="91" t="n">
        <x:v>60.21</x:v>
      </x:c>
      <x:c r="D8" s="91" t="n">
        <x:v>264.75</x:v>
      </x:c>
      <x:c r="E8" s="91" t="n">
        <x:v>3385.22</x:v>
      </x:c>
      <x:c r="F8" s="82" t="n">
        <x:v>6</x:v>
      </x:c>
      <x:c r="G8" s="82" t="n">
        <x:v>4.49</x:v>
      </x:c>
      <x:c r="H8" s="82" t="n">
        <x:v>1.51</x:v>
      </x:c>
      <x:c r="I8" s="92" t="n">
        <x:v>-3256.28879</x:v>
      </x:c>
      <x:c r="J8" s="82" t="n">
        <x:v>3.95151495</x:v>
      </x:c>
      <x:c r="K8" s="82" t="n">
        <x:v>100.21117</x:v>
      </x:c>
      <x:c r="L8" s="82" t="n">
        <x:v>12.47105263</x:v>
      </x:c>
      <x:c r="M8" s="82" t="n">
        <x:v>128.04</x:v>
      </x:c>
      <x:c r="N8" s="93" t="n">
        <x:v>0</x:v>
      </x:c>
      <x:c r="O8" s="91" t="n">
        <x:v>15103.27</x:v>
      </x:c>
      <x:c r="P8" s="82" t="n">
        <x:v>7.776315789</x:v>
      </x:c>
      <x:c r="Q8" s="82" t="n">
        <x:v>4.568947368</x:v>
      </x:c>
      <x:c r="R8" s="82" t="n">
        <x:v>3.207368421</x:v>
      </x:c>
      <x:c r="S8" s="92" t="n">
        <x:v>-504.99</x:v>
      </x:c>
      <x:c r="T8" s="92" t="n">
        <x:v>646.81</x:v>
      </x:c>
      <x:c r="U8" s="82" t="n">
        <x:v>59.41</x:v>
      </x:c>
      <x:c r="V8" s="82" t="n">
        <x:v>198.7</x:v>
      </x:c>
      <x:c r="W8" s="82" t="n">
        <x:v>0.5940143571</x:v>
      </x:c>
      <x:c r="X8" s="94" t="n">
        <x:v>2.15720005</x:v>
      </x:c>
      <x:c r="Y8" s="94" t="n">
        <x:v>525.8985</x:v>
      </x:c>
      <x:c r="Z8" s="94" t="n">
        <x:v>10.4855</x:v>
      </x:c>
      <x:c r="AA8" s="95" t="n">
        <x:v>-0.616990728</x:v>
      </x:c>
      <x:c r="AB8" s="93" t="n">
        <x:v>0</x:v>
      </x:c>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75" t="str">
        <x:v>2006-03</x:v>
      </x:c>
      <x:c r="B9" s="91" t="n">
        <x:v>2261.91871</x:v>
      </x:c>
      <x:c r="C9" s="91" t="n">
        <x:v>62.06478261</x:v>
      </x:c>
      <x:c r="D9" s="91" t="n">
        <x:v>324.26</x:v>
      </x:c>
      <x:c r="E9" s="91" t="n">
        <x:v>3438.49</x:v>
      </x:c>
      <x:c r="F9" s="82" t="n">
        <x:v>6</x:v>
      </x:c>
      <x:c r="G9" s="82" t="n">
        <x:v>4.59</x:v>
      </x:c>
      <x:c r="H9" s="82" t="n">
        <x:v>1.41</x:v>
      </x:c>
      <x:c r="I9" s="92" t="n">
        <x:v>-855.8288329</x:v>
      </x:c>
      <x:c r="J9" s="82" t="n">
        <x:v>3.6276424</x:v>
      </x:c>
      <x:c r="K9" s="82" t="n">
        <x:v>100.428087</x:v>
      </x:c>
      <x:c r="L9" s="82" t="n">
        <x:v>11.69391304</x:v>
      </x:c>
      <x:c r="M9" s="82" t="n">
        <x:v>130.99</x:v>
      </x:c>
      <x:c r="N9" s="93" t="n">
        <x:v>0</x:v>
      </x:c>
      <x:c r="O9" s="91" t="n">
        <x:v>15153.2</x:v>
      </x:c>
      <x:c r="P9" s="82" t="n">
        <x:v>7.615</x:v>
      </x:c>
      <x:c r="Q9" s="82" t="n">
        <x:v>4.723913043</x:v>
      </x:c>
      <x:c r="R9" s="82" t="n">
        <x:v>2.891086957</x:v>
      </x:c>
      <x:c r="S9" s="92" t="n">
        <x:v>-418.94</x:v>
      </x:c>
      <x:c r="T9" s="92" t="n">
        <x:v>31.86</x:v>
      </x:c>
      <x:c r="U9" s="82" t="n">
        <x:v>59.83</x:v>
      </x:c>
      <x:c r="V9" s="82" t="n">
        <x:v>199.8</x:v>
      </x:c>
      <x:c r="W9" s="82" t="n">
        <x:v>0.7619596907</x:v>
      </x:c>
      <x:c r="X9" s="94" t="n">
        <x:v>2.153695646</x:v>
      </x:c>
      <x:c r="Y9" s="94" t="n">
        <x:v>528.6352174</x:v>
      </x:c>
      <x:c r="Z9" s="94" t="n">
        <x:v>10.75530435</x:v>
      </x:c>
      <x:c r="AA9" s="95" t="n">
        <x:v>0.2511489501</x:v>
      </x:c>
      <x:c r="AB9" s="93" t="n">
        <x:v>0</x:v>
      </x:c>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75" t="str">
        <x:v>2006-04</x:v>
      </x:c>
      <x:c r="B10" s="91" t="n">
        <x:v>2335.137667</x:v>
      </x:c>
      <x:c r="C10" s="91" t="n">
        <x:v>70.26</x:v>
      </x:c>
      <x:c r="D10" s="91" t="n">
        <x:v>283.26</x:v>
      </x:c>
      <x:c r="E10" s="91" t="n">
        <x:v>3460.06</x:v>
      </x:c>
      <x:c r="F10" s="82" t="n">
        <x:v>6</x:v>
      </x:c>
      <x:c r="G10" s="82" t="n">
        <x:v>4.79</x:v>
      </x:c>
      <x:c r="H10" s="82" t="n">
        <x:v>1.21</x:v>
      </x:c>
      <x:c r="I10" s="92" t="n">
        <x:v>-3018.330331</x:v>
      </x:c>
      <x:c r="J10" s="82" t="n">
        <x:v>4.354903969</x:v>
      </x:c>
      <x:c r="K10" s="82" t="n">
        <x:v>99.74348</x:v>
      </x:c>
      <x:c r="L10" s="82" t="n">
        <x:v>11.84736842</x:v>
      </x:c>
      <x:c r="M10" s="82" t="n">
        <x:v>136.46</x:v>
      </x:c>
      <x:c r="N10" s="93" t="n">
        <x:v>0</x:v>
      </x:c>
      <x:c r="O10" s="91" t="n">
        <x:v>15106.38</x:v>
      </x:c>
      <x:c r="P10" s="82" t="n">
        <x:v>8.562352941</x:v>
      </x:c>
      <x:c r="Q10" s="82" t="n">
        <x:v>4.990526316</x:v>
      </x:c>
      <x:c r="R10" s="82" t="n">
        <x:v>3.571826625</x:v>
      </x:c>
      <x:c r="S10" s="92" t="n">
        <x:v>-374.76</x:v>
      </x:c>
      <x:c r="T10" s="92" t="n">
        <x:v>-77.23</x:v>
      </x:c>
      <x:c r="U10" s="82" t="n">
        <x:v>60.09</x:v>
      </x:c>
      <x:c r="V10" s="82" t="n">
        <x:v>201.5</x:v>
      </x:c>
      <x:c r="W10" s="82" t="n">
        <x:v>0.5602942653</x:v>
      </x:c>
      <x:c r="X10" s="94" t="n">
        <x:v>2.129249978</x:v>
      </x:c>
      <x:c r="Y10" s="94" t="n">
        <x:v>516.9625</x:v>
      </x:c>
      <x:c r="Z10" s="94" t="n">
        <x:v>11.0514</x:v>
      </x:c>
      <x:c r="AA10" s="95" t="n">
        <x:v>-0.1603891615</x:v>
      </x:c>
      <x:c r="AB10" s="93" t="n">
        <x:v>0</x:v>
      </x:c>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75" t="str">
        <x:v>2006-05</x:v>
      </x:c>
      <x:c r="B11" s="91" t="n">
        <x:v>2418.649355</x:v>
      </x:c>
      <x:c r="C11" s="91" t="n">
        <x:v>69.77695652</x:v>
      </x:c>
      <x:c r="D11" s="91" t="n">
        <x:v>366.98</x:v>
      </x:c>
      <x:c r="E11" s="91" t="n">
        <x:v>3556.98</x:v>
      </x:c>
      <x:c r="F11" s="82" t="n">
        <x:v>6.241935484</x:v>
      </x:c>
      <x:c r="G11" s="82" t="n">
        <x:v>4.94</x:v>
      </x:c>
      <x:c r="H11" s="82" t="n">
        <x:v>1.301935484</x:v>
      </x:c>
      <x:c r="I11" s="92" t="n">
        <x:v>2052.972861</x:v>
      </x:c>
      <x:c r="J11" s="82" t="n">
        <x:v>3.865752534</x:v>
      </x:c>
      <x:c r="K11" s="82" t="n">
        <x:v>97.51177391</x:v>
      </x:c>
      <x:c r="L11" s="82" t="n">
        <x:v>14.45454545</x:v>
      </x:c>
      <x:c r="M11" s="82" t="n">
        <x:v>135.55</x:v>
      </x:c>
      <x:c r="N11" s="93" t="n">
        <x:v>0</x:v>
      </x:c>
      <x:c r="O11" s="91" t="n">
        <x:v>14595.41</x:v>
      </x:c>
      <x:c r="P11" s="82" t="n">
        <x:v>9.39</x:v>
      </x:c>
      <x:c r="Q11" s="82" t="n">
        <x:v>5.11</x:v>
      </x:c>
      <x:c r="R11" s="82" t="n">
        <x:v>4.28</x:v>
      </x:c>
      <x:c r="S11" s="92" t="n">
        <x:v>-439.47</x:v>
      </x:c>
      <x:c r="T11" s="92" t="n">
        <x:v>-612.47</x:v>
      </x:c>
      <x:c r="U11" s="82" t="n">
        <x:v>60.29</x:v>
      </x:c>
      <x:c r="V11" s="82" t="n">
        <x:v>202.5</x:v>
      </x:c>
      <x:c r="W11" s="82" t="n">
        <x:v>-0.1287029048</x:v>
      </x:c>
      <x:c r="X11" s="94" t="n">
        <x:v>2.173347815</x:v>
      </x:c>
      <x:c r="Y11" s="94" t="n">
        <x:v>520.5582609</x:v>
      </x:c>
      <x:c r="Z11" s="94" t="n">
        <x:v>11.08821739</x:v>
      </x:c>
      <x:c r="AA11" s="95" t="n">
        <x:v>0.2097398252</x:v>
      </x:c>
      <x:c r="AB11" s="93" t="n">
        <x:v>0</x:v>
      </x:c>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75" t="str">
        <x:v>2006-06</x:v>
      </x:c>
      <x:c r="B12" s="91" t="n">
        <x:v>2542.22</x:v>
      </x:c>
      <x:c r="C12" s="91" t="n">
        <x:v>68.55590909</x:v>
      </x:c>
      <x:c r="D12" s="91" t="n">
        <x:v>342.37</x:v>
      </x:c>
      <x:c r="E12" s="91" t="n">
        <x:v>3627.84</x:v>
      </x:c>
      <x:c r="F12" s="82" t="n">
        <x:v>6.333333333</x:v>
      </x:c>
      <x:c r="G12" s="82" t="n">
        <x:v>4.99</x:v>
      </x:c>
      <x:c r="H12" s="82" t="n">
        <x:v>1.343333333</x:v>
      </x:c>
      <x:c r="I12" s="92" t="n">
        <x:v>-539.8959368</x:v>
      </x:c>
      <x:c r="J12" s="82" t="n">
        <x:v>4.000523343</x:v>
      </x:c>
      <x:c r="K12" s="82" t="n">
        <x:v>98.69272273</x:v>
      </x:c>
      <x:c r="L12" s="82" t="n">
        <x:v>16.91863636</x:v>
      </x:c>
      <x:c r="M12" s="82" t="n">
        <x:v>135.31</x:v>
      </x:c>
      <x:c r="N12" s="93" t="n">
        <x:v>0</x:v>
      </x:c>
      <x:c r="O12" s="91" t="n">
        <x:v>14461.24</x:v>
      </x:c>
      <x:c r="P12" s="82" t="n">
        <x:v>10.51166667</x:v>
      </x:c>
      <x:c r="Q12" s="82" t="n">
        <x:v>5.106363636</x:v>
      </x:c>
      <x:c r="R12" s="82" t="n">
        <x:v>5.40530303</x:v>
      </x:c>
      <x:c r="S12" s="92" t="n">
        <x:v>-479.87</x:v>
      </x:c>
      <x:c r="T12" s="92" t="n">
        <x:v>-145.63</x:v>
      </x:c>
      <x:c r="U12" s="82" t="n">
        <x:v>60.48</x:v>
      </x:c>
      <x:c r="V12" s="82" t="n">
        <x:v>202.9</x:v>
      </x:c>
      <x:c r="W12" s="82" t="n">
        <x:v>-0.3655175278</x:v>
      </x:c>
      <x:c r="X12" s="94" t="n">
        <x:v>2.249545466</x:v>
      </x:c>
      <x:c r="Y12" s="94" t="n">
        <x:v>542.7163636</x:v>
      </x:c>
      <x:c r="Z12" s="94" t="n">
        <x:v>11.39377273</x:v>
      </x:c>
      <x:c r="AA12" s="95" t="n">
        <x:v>1.056077012</x:v>
      </x:c>
      <x:c r="AB12" s="93" t="n">
        <x:v>0</x:v>
      </x:c>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75" t="str">
        <x:v>2006-07</x:v>
      </x:c>
      <x:c r="B13" s="91" t="n">
        <x:v>2513.698387</x:v>
      </x:c>
      <x:c r="C13" s="91" t="n">
        <x:v>73.67428571</x:v>
      </x:c>
      <x:c r="D13" s="91" t="n">
        <x:v>313.73</x:v>
      </x:c>
      <x:c r="E13" s="91" t="n">
        <x:v>3678.77</x:v>
      </x:c>
      <x:c r="F13" s="82" t="n">
        <x:v>6.5</x:v>
      </x:c>
      <x:c r="G13" s="82" t="n">
        <x:v>5.24</x:v>
      </x:c>
      <x:c r="H13" s="82" t="n">
        <x:v>1.26</x:v>
      </x:c>
      <x:c r="I13" s="92" t="n">
        <x:v>-626.3574207</x:v>
      </x:c>
      <x:c r="J13" s="82" t="n">
        <x:v>3.866772925</x:v>
      </x:c>
      <x:c r="K13" s="82" t="n">
        <x:v>98.43871429</x:v>
      </x:c>
      <x:c r="L13" s="82" t="n">
        <x:v>15.326</x:v>
      </x:c>
      <x:c r="M13" s="82" t="n">
        <x:v>137.8</x:v>
      </x:c>
      <x:c r="N13" s="93" t="n">
        <x:v>0</x:v>
      </x:c>
      <x:c r="O13" s="91" t="n">
        <x:v>14688.43</x:v>
      </x:c>
      <x:c r="P13" s="82" t="n">
        <x:v>10.53722222</x:v>
      </x:c>
      <x:c r="Q13" s="82" t="n">
        <x:v>5.0875</x:v>
      </x:c>
      <x:c r="R13" s="82" t="n">
        <x:v>5.449722222</x:v>
      </x:c>
      <x:c r="S13" s="92" t="n">
        <x:v>-655.97</x:v>
      </x:c>
      <x:c r="T13" s="92" t="n">
        <x:v>524.77</x:v>
      </x:c>
      <x:c r="U13" s="82" t="n">
        <x:v>60.73</x:v>
      </x:c>
      <x:c r="V13" s="82" t="n">
        <x:v>203.5</x:v>
      </x:c>
      <x:c r="W13" s="82" t="n">
        <x:v>0.1838101801</x:v>
      </x:c>
      <x:c r="X13" s="94" t="n">
        <x:v>2.189142863</x:v>
      </x:c>
      <x:c r="Y13" s="94" t="n">
        <x:v>540.6552381</x:v>
      </x:c>
      <x:c r="Z13" s="94" t="n">
        <x:v>10.98671429</x:v>
      </x:c>
      <x:c r="AA13" s="95" t="n">
        <x:v>-0.8334321008</x:v>
      </x:c>
      <x:c r="AB13" s="93" t="n">
        <x:v>0</x:v>
      </x:c>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75" t="str">
        <x:v>2006-08</x:v>
      </x:c>
      <x:c r="B14" s="91" t="n">
        <x:v>2388.983548</x:v>
      </x:c>
      <x:c r="C14" s="91" t="n">
        <x:v>73.23043478</x:v>
      </x:c>
      <x:c r="D14" s="91" t="n">
        <x:v>334.72</x:v>
      </x:c>
      <x:c r="E14" s="91" t="n">
        <x:v>3713.6</x:v>
      </x:c>
      <x:c r="F14" s="82" t="n">
        <x:v>6.580645161</x:v>
      </x:c>
      <x:c r="G14" s="82" t="n">
        <x:v>5.25</x:v>
      </x:c>
      <x:c r="H14" s="82" t="n">
        <x:v>1.330645161</x:v>
      </x:c>
      <x:c r="I14" s="92" t="n">
        <x:v>641.5375862</x:v>
      </x:c>
      <x:c r="J14" s="82" t="n">
        <x:v>3.885340436</x:v>
      </x:c>
      <x:c r="K14" s="82" t="n">
        <x:v>97.71376522</x:v>
      </x:c>
      <x:c r="L14" s="82" t="n">
        <x:v>13.35173913</x:v>
      </x:c>
      <x:c r="M14" s="82" t="n">
        <x:v>134.31</x:v>
      </x:c>
      <x:c r="N14" s="93" t="n">
        <x:v>0</x:v>
      </x:c>
      <x:c r="O14" s="91" t="n">
        <x:v>14982.42</x:v>
      </x:c>
      <x:c r="P14" s="82" t="n">
        <x:v>9.628095238</x:v>
      </x:c>
      <x:c r="Q14" s="82" t="n">
        <x:v>4.876521739</x:v>
      </x:c>
      <x:c r="R14" s="82" t="n">
        <x:v>4.751573499</x:v>
      </x:c>
      <x:c r="S14" s="92" t="n">
        <x:v>-530.34</x:v>
      </x:c>
      <x:c r="T14" s="92" t="n">
        <x:v>384.09</x:v>
      </x:c>
      <x:c r="U14" s="82" t="n">
        <x:v>60.96</x:v>
      </x:c>
      <x:c r="V14" s="82" t="n">
        <x:v>203.9</x:v>
      </x:c>
      <x:c r="W14" s="82" t="n">
        <x:v>0.9055369088</x:v>
      </x:c>
      <x:c r="X14" s="94" t="n">
        <x:v>2.156304349</x:v>
      </x:c>
      <x:c r="Y14" s="94" t="n">
        <x:v>538.7847826</x:v>
      </x:c>
      <x:c r="Z14" s="94" t="n">
        <x:v>10.87452174</x:v>
      </x:c>
      <x:c r="AA14" s="95" t="n">
        <x:v>-0.4065242495</x:v>
      </x:c>
      <x:c r="AB14" s="93" t="n">
        <x:v>0</x:v>
      </x:c>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75" t="str">
        <x:v>2006-09</x:v>
      </x:c>
      <x:c r="B15" s="91" t="n">
        <x:v>2398.708667</x:v>
      </x:c>
      <x:c r="C15" s="91" t="n">
        <x:v>61.95857143</x:v>
      </x:c>
      <x:c r="D15" s="91" t="n">
        <x:v>324.12</x:v>
      </x:c>
      <x:c r="E15" s="91" t="n">
        <x:v>3748.93</x:v>
      </x:c>
      <x:c r="F15" s="82" t="n">
        <x:v>6.75</x:v>
      </x:c>
      <x:c r="G15" s="82" t="n">
        <x:v>5.25</x:v>
      </x:c>
      <x:c r="H15" s="82" t="n">
        <x:v>1.5</x:v>
      </x:c>
      <x:c r="I15" s="92" t="n">
        <x:v>-100.4314416</x:v>
      </x:c>
      <x:c r="J15" s="82" t="n">
        <x:v>3.654184295</x:v>
      </x:c>
      <x:c r="K15" s="82" t="n">
        <x:v>97.9813619</x:v>
      </x:c>
      <x:c r="L15" s="82" t="n">
        <x:v>12.1845</x:v>
      </x:c>
      <x:c r="M15" s="82" t="n">
        <x:v>127.86</x:v>
      </x:c>
      <x:c r="N15" s="93" t="n">
        <x:v>0</x:v>
      </x:c>
      <x:c r="O15" s="91" t="n">
        <x:v>15013.29</x:v>
      </x:c>
      <x:c r="P15" s="82" t="n">
        <x:v>9.687142857</x:v>
      </x:c>
      <x:c r="Q15" s="82" t="n">
        <x:v>4.719</x:v>
      </x:c>
      <x:c r="R15" s="82" t="n">
        <x:v>4.968142857</x:v>
      </x:c>
      <x:c r="S15" s="92" t="n">
        <x:v>-560.04</x:v>
      </x:c>
      <x:c r="T15" s="92" t="n">
        <x:v>126.98</x:v>
      </x:c>
      <x:c r="U15" s="82" t="n">
        <x:v>61.14</x:v>
      </x:c>
      <x:c r="V15" s="82" t="n">
        <x:v>202.9</x:v>
      </x:c>
      <x:c r="W15" s="82" t="n">
        <x:v>2.521956921</x:v>
      </x:c>
      <x:c r="X15" s="94" t="n">
        <x:v>2.167666674</x:v>
      </x:c>
      <x:c r="Y15" s="94" t="n">
        <x:v>538.5285714</x:v>
      </x:c>
      <x:c r="Z15" s="94" t="n">
        <x:v>10.982</x:v>
      </x:c>
      <x:c r="AA15" s="95" t="n">
        <x:v>0.05659956747</x:v>
      </x:c>
      <x:c r="AB15" s="93" t="n">
        <x:v>0</x:v>
      </x:c>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75" t="str">
        <x:v>2006-10</x:v>
      </x:c>
      <x:c r="B16" s="91" t="n">
        <x:v>2361.796452</x:v>
      </x:c>
      <x:c r="C16" s="91" t="n">
        <x:v>57.80818182</x:v>
      </x:c>
      <x:c r="D16" s="91" t="n">
        <x:v>331.6</x:v>
      </x:c>
      <x:c r="E16" s="91" t="n">
        <x:v>3795.01</x:v>
      </x:c>
      <x:c r="F16" s="82" t="n">
        <x:v>7.008064516</x:v>
      </x:c>
      <x:c r="G16" s="82" t="n">
        <x:v>5.25</x:v>
      </x:c>
      <x:c r="H16" s="82" t="n">
        <x:v>1.758064516</x:v>
      </x:c>
      <x:c r="I16" s="92" t="n">
        <x:v>-1093.300195</x:v>
      </x:c>
      <x:c r="J16" s="82" t="n">
        <x:v>3.895828134</x:v>
      </x:c>
      <x:c r="K16" s="82" t="n">
        <x:v>98.31565455</x:v>
      </x:c>
      <x:c r="L16" s="82" t="n">
        <x:v>11.30636364</x:v>
      </x:c>
      <x:c r="M16" s="82" t="n">
        <x:v>127.38</x:v>
      </x:c>
      <x:c r="N16" s="93" t="n">
        <x:v>0</x:v>
      </x:c>
      <x:c r="O16" s="91" t="n">
        <x:v>15135.6</x:v>
      </x:c>
      <x:c r="P16" s="82" t="n">
        <x:v>9.576666667</x:v>
      </x:c>
      <x:c r="Q16" s="82" t="n">
        <x:v>4.729047619</x:v>
      </x:c>
      <x:c r="R16" s="82" t="n">
        <x:v>4.847619048</x:v>
      </x:c>
      <x:c r="S16" s="92" t="n">
        <x:v>-653.95</x:v>
      </x:c>
      <x:c r="T16" s="92" t="n">
        <x:v>499.03</x:v>
      </x:c>
      <x:c r="U16" s="82" t="n">
        <x:v>61.05</x:v>
      </x:c>
      <x:c r="V16" s="82" t="n">
        <x:v>201.8</x:v>
      </x:c>
      <x:c r="W16" s="82" t="n">
        <x:v>2.875666488</x:v>
      </x:c>
      <x:c r="X16" s="94" t="n">
        <x:v>2.148045431</x:v>
      </x:c>
      <x:c r="Y16" s="94" t="n">
        <x:v>530.855</x:v>
      </x:c>
      <x:c r="Z16" s="94" t="n">
        <x:v>10.8965</x:v>
      </x:c>
      <x:c r="AA16" s="95" t="n">
        <x:v>-0.4583576676</x:v>
      </x:c>
      <x:c r="AB16" s="93" t="n">
        <x:v>0</x:v>
      </x:c>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75" t="str">
        <x:v>2006-11</x:v>
      </x:c>
      <x:c r="B17" s="91" t="n">
        <x:v>2290.438</x:v>
      </x:c>
      <x:c r="C17" s="91" t="n">
        <x:v>58.76136364</x:v>
      </x:c>
      <x:c r="D17" s="91" t="n">
        <x:v>332.93</x:v>
      </x:c>
      <x:c r="E17" s="91" t="n">
        <x:v>3833.63</x:v>
      </x:c>
      <x:c r="F17" s="82" t="n">
        <x:v>7.25</x:v>
      </x:c>
      <x:c r="G17" s="82" t="n">
        <x:v>5.25</x:v>
      </x:c>
      <x:c r="H17" s="82" t="n">
        <x:v>2</x:v>
      </x:c>
      <x:c r="I17" s="92" t="n">
        <x:v>-1369.838992</x:v>
      </x:c>
      <x:c r="J17" s="82" t="n">
        <x:v>3.504711191</x:v>
      </x:c>
      <x:c r="K17" s="82" t="n">
        <x:v>97.51328182</x:v>
      </x:c>
      <x:c r="L17" s="82" t="n">
        <x:v>10.81761905</x:v>
      </x:c>
      <x:c r="M17" s="82" t="n">
        <x:v>127.06</x:v>
      </x:c>
      <x:c r="N17" s="93" t="n">
        <x:v>0</x:v>
      </x:c>
      <x:c r="O17" s="91" t="n">
        <x:v>15452.62</x:v>
      </x:c>
      <x:c r="P17" s="82" t="n">
        <x:v>9.117</x:v>
      </x:c>
      <x:c r="Q17" s="82" t="n">
        <x:v>4.595238095</x:v>
      </x:c>
      <x:c r="R17" s="82" t="n">
        <x:v>4.521761905</x:v>
      </x:c>
      <x:c r="S17" s="92" t="n">
        <x:v>-563.44</x:v>
      </x:c>
      <x:c r="T17" s="92" t="n">
        <x:v>509.33</x:v>
      </x:c>
      <x:c r="U17" s="82" t="n">
        <x:v>61.19</x:v>
      </x:c>
      <x:c r="V17" s="82" t="n">
        <x:v>201.5</x:v>
      </x:c>
      <x:c r="W17" s="82" t="n">
        <x:v>2.339305902</x:v>
      </x:c>
      <x:c r="X17" s="94" t="n">
        <x:v>2.157</x:v>
      </x:c>
      <x:c r="Y17" s="94" t="n">
        <x:v>527.4486364</x:v>
      </x:c>
      <x:c r="Z17" s="94" t="n">
        <x:v>10.91604545</x:v>
      </x:c>
      <x:c r="AA17" s="95" t="n">
        <x:v>-0.1240557433</x:v>
      </x:c>
      <x:c r="AB17" s="93" t="n">
        <x:v>0</x:v>
      </x:c>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75" t="str">
        <x:v>2006-12</x:v>
      </x:c>
      <x:c r="B18" s="91" t="n">
        <x:v>2260.705484</x:v>
      </x:c>
      <x:c r="C18" s="91" t="n">
        <x:v>62.47210526</x:v>
      </x:c>
      <x:c r="D18" s="91" t="n">
        <x:v>375.34</x:v>
      </x:c>
      <x:c r="E18" s="91" t="n">
        <x:v>3860.94</x:v>
      </x:c>
      <x:c r="F18" s="82" t="n">
        <x:v>7.362903226</x:v>
      </x:c>
      <x:c r="G18" s="82" t="n">
        <x:v>5.24</x:v>
      </x:c>
      <x:c r="H18" s="82" t="n">
        <x:v>2.122903226</x:v>
      </x:c>
      <x:c r="I18" s="92" t="n">
        <x:v>-2522.391247</x:v>
      </x:c>
      <x:c r="J18" s="82" t="n">
        <x:v>3.425526113</x:v>
      </x:c>
      <x:c r="K18" s="82" t="n">
        <x:v>96.79507143</x:v>
      </x:c>
      <x:c r="L18" s="82" t="n">
        <x:v>10.9645</x:v>
      </x:c>
      <x:c r="M18" s="82" t="n">
        <x:v>130.84</x:v>
      </x:c>
      <x:c r="N18" s="93" t="n">
        <x:v>0</x:v>
      </x:c>
      <x:c r="O18" s="91" t="n">
        <x:v>15435.49</x:v>
      </x:c>
      <x:c r="P18" s="82" t="n">
        <x:v>9.021111111</x:v>
      </x:c>
      <x:c r="Q18" s="82" t="n">
        <x:v>4.5645</x:v>
      </x:c>
      <x:c r="R18" s="82" t="n">
        <x:v>4.456611111</x:v>
      </x:c>
      <x:c r="S18" s="92" t="n">
        <x:v>-750.87</x:v>
      </x:c>
      <x:c r="T18" s="92" t="n">
        <x:v>439.64</x:v>
      </x:c>
      <x:c r="U18" s="82" t="n">
        <x:v>61.33</x:v>
      </x:c>
      <x:c r="V18" s="82" t="n">
        <x:v>201.8</x:v>
      </x:c>
      <x:c r="W18" s="82" t="n">
        <x:v>1.939758452</x:v>
      </x:c>
      <x:c r="X18" s="94" t="n">
        <x:v>2.148142826</x:v>
      </x:c>
      <x:c r="Y18" s="94" t="n">
        <x:v>527.8133333</x:v>
      </x:c>
      <x:c r="Z18" s="94" t="n">
        <x:v>10.8557619</x:v>
      </x:c>
      <x:c r="AA18" s="95" t="n">
        <x:v>-0.1980495202</x:v>
      </x:c>
      <x:c r="AB18" s="93" t="n">
        <x:v>0</x:v>
      </x:c>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75" t="str">
        <x:v>2007-01</x:v>
      </x:c>
      <x:c r="B19" s="91" t="n">
        <x:v>2236.202258</x:v>
      </x:c>
      <x:c r="C19" s="91" t="n">
        <x:v>53.68142857</x:v>
      </x:c>
      <x:c r="D19" s="91" t="n">
        <x:v>305.28</x:v>
      </x:c>
      <x:c r="E19" s="91" t="n">
        <x:v>3899.34</x:v>
      </x:c>
      <x:c r="F19" s="82" t="n">
        <x:v>7.524193548</x:v>
      </x:c>
      <x:c r="G19" s="82" t="n">
        <x:v>5.25</x:v>
      </x:c>
      <x:c r="H19" s="82" t="n">
        <x:v>2.274193548</x:v>
      </x:c>
      <x:c r="I19" s="92" t="n">
        <x:v>-994.5023411</x:v>
      </x:c>
      <x:c r="J19" s="82" t="n">
        <x:v>2.726369078</x:v>
      </x:c>
      <x:c r="K19" s="82" t="n">
        <x:v>97.83377727</x:v>
      </x:c>
      <x:c r="L19" s="82" t="n">
        <x:v>11.0425</x:v>
      </x:c>
      <x:c r="M19" s="82" t="n">
        <x:v>125.16</x:v>
      </x:c>
      <x:c r="N19" s="93" t="n">
        <x:v>0</x:v>
      </x:c>
      <x:c r="O19" s="91" t="n">
        <x:v>16446.58</x:v>
      </x:c>
      <x:c r="P19" s="82" t="n">
        <x:v>9.24047619</x:v>
      </x:c>
      <x:c r="Q19" s="82" t="n">
        <x:v>4.75952381</x:v>
      </x:c>
      <x:c r="R19" s="82" t="n">
        <x:v>4.480952381</x:v>
      </x:c>
      <x:c r="S19" s="92" t="n">
        <x:v>-521.75</x:v>
      </x:c>
      <x:c r="T19" s="92" t="n">
        <x:v>1246.63</x:v>
      </x:c>
      <x:c r="U19" s="82" t="n">
        <x:v>61.8</x:v>
      </x:c>
      <x:c r="V19" s="82" t="n">
        <x:v>202.416</x:v>
      </x:c>
      <x:c r="W19" s="82" t="n">
        <x:v>2.634624741</x:v>
      </x:c>
      <x:c r="X19" s="94" t="n">
        <x:v>2.13782608</x:v>
      </x:c>
      <x:c r="Y19" s="94" t="n">
        <x:v>540.6830435</x:v>
      </x:c>
      <x:c r="Z19" s="94" t="n">
        <x:v>10.94882609</x:v>
      </x:c>
      <x:c r="AA19" s="95" t="n">
        <x:v>0.2561482614</x:v>
      </x:c>
      <x:c r="AB19" s="93" t="n">
        <x:v>0</x:v>
      </x:c>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75" t="str">
        <x:v>2007-02</x:v>
      </x:c>
      <x:c r="B20" s="91" t="n">
        <x:v>2227.569643</x:v>
      </x:c>
      <x:c r="C20" s="91" t="n">
        <x:v>57.55578947</x:v>
      </x:c>
      <x:c r="D20" s="91" t="n">
        <x:v>299.97</x:v>
      </x:c>
      <x:c r="E20" s="91" t="n">
        <x:v>3934.56</x:v>
      </x:c>
      <x:c r="F20" s="82" t="n">
        <x:v>7.776785714</x:v>
      </x:c>
      <x:c r="G20" s="82" t="n">
        <x:v>5.26</x:v>
      </x:c>
      <x:c r="H20" s="82" t="n">
        <x:v>2.516785714</x:v>
      </x:c>
      <x:c r="I20" s="92" t="n">
        <x:v>-3259.482586</x:v>
      </x:c>
      <x:c r="J20" s="82" t="n">
        <x:v>2.727114411</x:v>
      </x:c>
      <x:c r="K20" s="82" t="n">
        <x:v>97.476425</x:v>
      </x:c>
      <x:c r="L20" s="82" t="n">
        <x:v>11.15526316</x:v>
      </x:c>
      <x:c r="M20" s="82" t="n">
        <x:v>129.93</x:v>
      </x:c>
      <x:c r="N20" s="93" t="n">
        <x:v>0</x:v>
      </x:c>
      <x:c r="O20" s="91" t="n">
        <x:v>17590.77</x:v>
      </x:c>
      <x:c r="P20" s="82" t="n">
        <x:v>9.5605</x:v>
      </x:c>
      <x:c r="Q20" s="82" t="n">
        <x:v>4.722631579</x:v>
      </x:c>
      <x:c r="R20" s="82" t="n">
        <x:v>4.837868421</x:v>
      </x:c>
      <x:c r="S20" s="92" t="n">
        <x:v>-625.81</x:v>
      </x:c>
      <x:c r="T20" s="92" t="n">
        <x:v>1479.84</x:v>
      </x:c>
      <x:c r="U20" s="82" t="n">
        <x:v>62.53</x:v>
      </x:c>
      <x:c r="V20" s="82" t="n">
        <x:v>203.499</x:v>
      </x:c>
      <x:c r="W20" s="82" t="n">
        <x:v>2.836442346</x:v>
      </x:c>
      <x:c r="X20" s="94" t="n">
        <x:v>2.096299994</x:v>
      </x:c>
      <x:c r="Y20" s="94" t="n">
        <x:v>542.0455</x:v>
      </x:c>
      <x:c r="Z20" s="94" t="n">
        <x:v>10.9944</x:v>
      </x:c>
      <x:c r="AA20" s="95" t="n">
        <x:v>-0.2001864049</x:v>
      </x:c>
      <x:c r="AB20" s="93" t="n">
        <x:v>0</x:v>
      </x:c>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75" t="str">
        <x:v>2007-03</x:v>
      </x:c>
      <x:c r="B21" s="91" t="n">
        <x:v>2202.844516</x:v>
      </x:c>
      <x:c r="C21" s="91" t="n">
        <x:v>62.05045455</x:v>
      </x:c>
      <x:c r="D21" s="91" t="n">
        <x:v>338.83</x:v>
      </x:c>
      <x:c r="E21" s="91" t="n">
        <x:v>3949.13</x:v>
      </x:c>
      <x:c r="F21" s="82" t="n">
        <x:v>8.048387097</x:v>
      </x:c>
      <x:c r="G21" s="82" t="n">
        <x:v>5.26</x:v>
      </x:c>
      <x:c r="H21" s="82" t="n">
        <x:v>2.788387097</x:v>
      </x:c>
      <x:c r="I21" s="92" t="n">
        <x:v>-1554.130205</x:v>
      </x:c>
      <x:c r="J21" s="82" t="n">
        <x:v>2.890076276</x:v>
      </x:c>
      <x:c r="K21" s="82" t="n">
        <x:v>97.01175455</x:v>
      </x:c>
      <x:c r="L21" s="82" t="n">
        <x:v>15.16272727</x:v>
      </x:c>
      <x:c r="M21" s="82" t="n">
        <x:v>130.28</x:v>
      </x:c>
      <x:c r="N21" s="93" t="n">
        <x:v>0</x:v>
      </x:c>
      <x:c r="O21" s="91" t="n">
        <x:v>18993.18</x:v>
      </x:c>
      <x:c r="P21" s="82" t="n">
        <x:v>9.900952381</x:v>
      </x:c>
      <x:c r="Q21" s="82" t="n">
        <x:v>4.564545455</x:v>
      </x:c>
      <x:c r="R21" s="82" t="n">
        <x:v>5.336406926</x:v>
      </x:c>
      <x:c r="S21" s="92" t="n">
        <x:v>-698.04</x:v>
      </x:c>
      <x:c r="T21" s="92" t="n">
        <x:v>1811.86</x:v>
      </x:c>
      <x:c r="U21" s="82" t="n">
        <x:v>63.29</x:v>
      </x:c>
      <x:c r="V21" s="82" t="n">
        <x:v>205.352</x:v>
      </x:c>
      <x:c r="W21" s="82" t="n">
        <x:v>3.004273202</x:v>
      </x:c>
      <x:c r="X21" s="94" t="n">
        <x:v>2.088090929</x:v>
      </x:c>
      <x:c r="Y21" s="94" t="n">
        <x:v>538.4486364</x:v>
      </x:c>
      <x:c r="Z21" s="94" t="n">
        <x:v>11.11627273</x:v>
      </x:c>
      <x:c r="AA21" s="95" t="n">
        <x:v>-0.08979596971</x:v>
      </x:c>
      <x:c r="AB21" s="93" t="n">
        <x:v>0</x:v>
      </x:c>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75" t="str">
        <x:v>2007-04</x:v>
      </x:c>
      <x:c r="B22" s="91" t="n">
        <x:v>2144.900667</x:v>
      </x:c>
      <x:c r="C22" s="91" t="n">
        <x:v>67.48578947</x:v>
      </x:c>
      <x:c r="D22" s="91" t="n">
        <x:v>317.74</x:v>
      </x:c>
      <x:c r="E22" s="91" t="n">
        <x:v>3983.61</x:v>
      </x:c>
      <x:c r="F22" s="82" t="n">
        <x:v>8.25</x:v>
      </x:c>
      <x:c r="G22" s="82" t="n">
        <x:v>5.25</x:v>
      </x:c>
      <x:c r="H22" s="82" t="n">
        <x:v>3</x:v>
      </x:c>
      <x:c r="I22" s="92" t="n">
        <x:v>-1980.651221</x:v>
      </x:c>
      <x:c r="J22" s="82" t="n">
        <x:v>2.647914181</x:v>
      </x:c>
      <x:c r="K22" s="82" t="n">
        <x:v>95.6322</x:v>
      </x:c>
      <x:c r="L22" s="82" t="n">
        <x:v>12.933</x:v>
      </x:c>
      <x:c r="M22" s="82" t="n">
        <x:v>134.8</x:v>
      </x:c>
      <x:c r="N22" s="93" t="n">
        <x:v>0</x:v>
      </x:c>
      <x:c r="O22" s="91" t="n">
        <x:v>19775.82</x:v>
      </x:c>
      <x:c r="P22" s="82" t="n">
        <x:v>10.10263158</x:v>
      </x:c>
      <x:c r="Q22" s="82" t="n">
        <x:v>4.693809524</x:v>
      </x:c>
      <x:c r="R22" s="82" t="n">
        <x:v>5.408822055</x:v>
      </x:c>
      <x:c r="S22" s="92" t="n">
        <x:v>-597.72</x:v>
      </x:c>
      <x:c r="T22" s="92" t="n">
        <x:v>1045.44</x:v>
      </x:c>
      <x:c r="U22" s="82" t="n">
        <x:v>63.85</x:v>
      </x:c>
      <x:c r="V22" s="82" t="n">
        <x:v>206.686</x:v>
      </x:c>
      <x:c r="W22" s="82" t="n">
        <x:v>3.683583475</x:v>
      </x:c>
      <x:c r="X22" s="94" t="n">
        <x:v>2.03090477</x:v>
      </x:c>
      <x:c r="Y22" s="94" t="n">
        <x:v>531.8847619</x:v>
      </x:c>
      <x:c r="Z22" s="94" t="n">
        <x:v>10.98066667</x:v>
      </x:c>
      <x:c r="AA22" s="95" t="n">
        <x:v>-0.6554819</x:v>
      </x:c>
      <x:c r="AB22" s="93" t="n">
        <x:v>0</x:v>
      </x:c>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75" t="str">
        <x:v>2007-05</x:v>
      </x:c>
      <x:c r="B23" s="91" t="n">
        <x:v>2009.415484</x:v>
      </x:c>
      <x:c r="C23" s="91" t="n">
        <x:v>67.21227273</x:v>
      </x:c>
      <x:c r="D23" s="91" t="n">
        <x:v>339.88</x:v>
      </x:c>
      <x:c r="E23" s="91" t="n">
        <x:v>3956.51</x:v>
      </x:c>
      <x:c r="F23" s="82" t="n">
        <x:v>8.572580645</x:v>
      </x:c>
      <x:c r="G23" s="82" t="n">
        <x:v>5.25</x:v>
      </x:c>
      <x:c r="H23" s="82" t="n">
        <x:v>3.322580645</x:v>
      </x:c>
      <x:c r="I23" s="92" t="n">
        <x:v>4532.533269</x:v>
      </x:c>
      <x:c r="J23" s="82" t="n">
        <x:v>2.069261745</x:v>
      </x:c>
      <x:c r="K23" s="82" t="n">
        <x:v>94.72254783</x:v>
      </x:c>
      <x:c r="L23" s="82" t="n">
        <x:v>13.29772727</x:v>
      </x:c>
      <x:c r="M23" s="82" t="n">
        <x:v>138.75</x:v>
      </x:c>
      <x:c r="N23" s="93" t="n">
        <x:v>0</x:v>
      </x:c>
      <x:c r="O23" s="91" t="n">
        <x:v>20409.35</x:v>
      </x:c>
      <x:c r="P23" s="82" t="n">
        <x:v>10.10380952</x:v>
      </x:c>
      <x:c r="Q23" s="82" t="n">
        <x:v>4.746363636</x:v>
      </x:c>
      <x:c r="R23" s="82" t="n">
        <x:v>5.357445887</x:v>
      </x:c>
      <x:c r="S23" s="92" t="n">
        <x:v>-656.01</x:v>
      </x:c>
      <x:c r="T23" s="92" t="n">
        <x:v>1052.75</x:v>
      </x:c>
      <x:c r="U23" s="82" t="n">
        <x:v>64.05</x:v>
      </x:c>
      <x:c r="V23" s="82" t="n">
        <x:v>207.949</x:v>
      </x:c>
      <x:c r="W23" s="82" t="n">
        <x:v>3.545659272</x:v>
      </x:c>
      <x:c r="X23" s="94" t="n">
        <x:v>1.983695668</x:v>
      </x:c>
      <x:c r="Y23" s="94" t="n">
        <x:v>522.1469565</x:v>
      </x:c>
      <x:c r="Z23" s="94" t="n">
        <x:v>10.82347826</x:v>
      </x:c>
      <x:c r="AA23" s="95" t="n">
        <x:v>-0.7200689434</x:v>
      </x:c>
      <x:c r="AB23" s="93" t="n">
        <x:v>0</x:v>
      </x:c>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75" t="str">
        <x:v>2007-06</x:v>
      </x:c>
      <x:c r="B24" s="91" t="n">
        <x:v>1923.534333</x:v>
      </x:c>
      <x:c r="C24" s="91" t="n">
        <x:v>71.04571429</x:v>
      </x:c>
      <x:c r="D24" s="91" t="n">
        <x:v>334.95</x:v>
      </x:c>
      <x:c r="E24" s="91" t="n">
        <x:v>3949.09</x:v>
      </x:c>
      <x:c r="F24" s="82" t="n">
        <x:v>8.85</x:v>
      </x:c>
      <x:c r="G24" s="82" t="n">
        <x:v>5.25</x:v>
      </x:c>
      <x:c r="H24" s="82" t="n">
        <x:v>3.6</x:v>
      </x:c>
      <x:c r="I24" s="92" t="n">
        <x:v>-1488.785889</x:v>
      </x:c>
      <x:c r="J24" s="82" t="n">
        <x:v>2.290703207</x:v>
      </x:c>
      <x:c r="K24" s="82" t="n">
        <x:v>94.44490952</x:v>
      </x:c>
      <x:c r="L24" s="82" t="n">
        <x:v>14.94761905</x:v>
      </x:c>
      <x:c r="M24" s="82" t="n">
        <x:v>139.13</x:v>
      </x:c>
      <x:c r="N24" s="93" t="n">
        <x:v>0</x:v>
      </x:c>
      <x:c r="O24" s="91" t="n">
        <x:v>19994.41</x:v>
      </x:c>
      <x:c r="P24" s="82" t="n">
        <x:v>9.872631579</x:v>
      </x:c>
      <x:c r="Q24" s="82" t="n">
        <x:v>5.102857143</x:v>
      </x:c>
      <x:c r="R24" s="82" t="n">
        <x:v>4.769774436</x:v>
      </x:c>
      <x:c r="S24" s="92" t="n">
        <x:v>-568.67</x:v>
      </x:c>
      <x:c r="T24" s="92" t="n">
        <x:v>-155.07</x:v>
      </x:c>
      <x:c r="U24" s="82" t="n">
        <x:v>64.12</x:v>
      </x:c>
      <x:c r="V24" s="82" t="n">
        <x:v>208.352</x:v>
      </x:c>
      <x:c r="W24" s="82" t="n">
        <x:v>3.331480569</x:v>
      </x:c>
      <x:c r="X24" s="94" t="n">
        <x:v>1.932857144</x:v>
      </x:c>
      <x:c r="Y24" s="94" t="n">
        <x:v>526.8028571</x:v>
      </x:c>
      <x:c r="Z24" s="94" t="n">
        <x:v>10.83852381</x:v>
      </x:c>
      <x:c r="AA24" s="95" t="n">
        <x:v>-0.2115894945</x:v>
      </x:c>
      <x:c r="AB24" s="93" t="n">
        <x:v>0</x:v>
      </x:c>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75" t="str">
        <x:v>2007-07</x:v>
      </x:c>
      <x:c r="B25" s="91" t="n">
        <x:v>1951.843548</x:v>
      </x:c>
      <x:c r="C25" s="91" t="n">
        <x:v>76.93</x:v>
      </x:c>
      <x:c r="D25" s="91" t="n">
        <x:v>368.63</x:v>
      </x:c>
      <x:c r="E25" s="91" t="n">
        <x:v>4003.99</x:v>
      </x:c>
      <x:c r="F25" s="82" t="n">
        <x:v>9.016129032</x:v>
      </x:c>
      <x:c r="G25" s="82" t="n">
        <x:v>5.26</x:v>
      </x:c>
      <x:c r="H25" s="82" t="n">
        <x:v>3.756129032</x:v>
      </x:c>
      <x:c r="I25" s="92" t="n">
        <x:v>-1624.422056</x:v>
      </x:c>
      <x:c r="J25" s="82" t="n">
        <x:v>2.523620514</x:v>
      </x:c>
      <x:c r="K25" s="82" t="n">
        <x:v>93.20591364</x:v>
      </x:c>
      <x:c r="L25" s="82" t="n">
        <x:v>17.27333333</x:v>
      </x:c>
      <x:c r="M25" s="82" t="n">
        <x:v>140.76</x:v>
      </x:c>
      <x:c r="N25" s="93" t="n">
        <x:v>0</x:v>
      </x:c>
      <x:c r="O25" s="91" t="n">
        <x:v>20195.71</x:v>
      </x:c>
      <x:c r="P25" s="82" t="n">
        <x:v>9.893</x:v>
      </x:c>
      <x:c r="Q25" s="82" t="n">
        <x:v>5.004285714</x:v>
      </x:c>
      <x:c r="R25" s="82" t="n">
        <x:v>4.888714286</x:v>
      </x:c>
      <x:c r="S25" s="92" t="n">
        <x:v>-673.35</x:v>
      </x:c>
      <x:c r="T25" s="92" t="n">
        <x:v>661.84</x:v>
      </x:c>
      <x:c r="U25" s="82" t="n">
        <x:v>64.23</x:v>
      </x:c>
      <x:c r="V25" s="82" t="n">
        <x:v>208.299</x:v>
      </x:c>
      <x:c r="W25" s="82" t="n">
        <x:v>3.404983269</x:v>
      </x:c>
      <x:c r="X25" s="94" t="n">
        <x:v>1.883045462</x:v>
      </x:c>
      <x:c r="Y25" s="94" t="n">
        <x:v>519.6877273</x:v>
      </x:c>
      <x:c r="Z25" s="94" t="n">
        <x:v>10.80995455</x:v>
      </x:c>
      <x:c r="AA25" s="95" t="n">
        <x:v>-0.5416998111</x:v>
      </x:c>
      <x:c r="AB25" s="93" t="n">
        <x:v>0</x:v>
      </x:c>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75" t="str">
        <x:v>2007-08</x:v>
      </x:c>
      <x:c r="B26" s="91" t="n">
        <x:v>2056.086774</x:v>
      </x:c>
      <x:c r="C26" s="91" t="n">
        <x:v>70.76086957</x:v>
      </x:c>
      <x:c r="D26" s="91" t="n">
        <x:v>412.73</x:v>
      </x:c>
      <x:c r="E26" s="91" t="n">
        <x:v>4082</x:v>
      </x:c>
      <x:c r="F26" s="82" t="n">
        <x:v>9.25</x:v>
      </x:c>
      <x:c r="G26" s="82" t="n">
        <x:v>5.02</x:v>
      </x:c>
      <x:c r="H26" s="82" t="n">
        <x:v>4.23</x:v>
      </x:c>
      <x:c r="I26" s="92" t="n">
        <x:v>1151.787206</x:v>
      </x:c>
      <x:c r="J26" s="82" t="n">
        <x:v>2.40454409</x:v>
      </x:c>
      <x:c r="K26" s="82" t="n">
        <x:v>93.76029565</x:v>
      </x:c>
      <x:c r="L26" s="82" t="n">
        <x:v>25.02608696</x:v>
      </x:c>
      <x:c r="M26" s="82" t="n">
        <x:v>136.63</x:v>
      </x:c>
      <x:c r="N26" s="93" t="n">
        <x:v>0</x:v>
      </x:c>
      <x:c r="O26" s="91" t="n">
        <x:v>20110.68</x:v>
      </x:c>
      <x:c r="P26" s="82" t="n">
        <x:v>10.36761905</x:v>
      </x:c>
      <x:c r="Q26" s="82" t="n">
        <x:v>4.674782609</x:v>
      </x:c>
      <x:c r="R26" s="82" t="n">
        <x:v>5.692836439</x:v>
      </x:c>
      <x:c r="S26" s="92" t="n">
        <x:v>-578.53</x:v>
      </x:c>
      <x:c r="T26" s="92" t="n">
        <x:v>104.03</x:v>
      </x:c>
      <x:c r="U26" s="82" t="n">
        <x:v>64.14</x:v>
      </x:c>
      <x:c r="V26" s="82" t="n">
        <x:v>207.917</x:v>
      </x:c>
      <x:c r="W26" s="82" t="n">
        <x:v>3.246452059</x:v>
      </x:c>
      <x:c r="X26" s="94" t="n">
        <x:v>1.961565199</x:v>
      </x:c>
      <x:c r="Y26" s="94" t="n">
        <x:v>522.9391304</x:v>
      </x:c>
      <x:c r="Z26" s="94" t="n">
        <x:v>11.04708696</x:v>
      </x:c>
      <x:c r="AA26" s="95" t="n">
        <x:v>0.6060650072</x:v>
      </x:c>
      <x:c r="AB26" s="93" t="n">
        <x:v>0</x:v>
      </x:c>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75" t="str">
        <x:v>2007-09</x:v>
      </x:c>
      <x:c r="B27" s="91" t="n">
        <x:v>2113.369667</x:v>
      </x:c>
      <x:c r="C27" s="91" t="n">
        <x:v>77.17315789</x:v>
      </x:c>
      <x:c r="D27" s="91" t="n">
        <x:v>400.52</x:v>
      </x:c>
      <x:c r="E27" s="91" t="n">
        <x:v>4158.4</x:v>
      </x:c>
      <x:c r="F27" s="82" t="n">
        <x:v>9.25</x:v>
      </x:c>
      <x:c r="G27" s="82" t="n">
        <x:v>4.94</x:v>
      </x:c>
      <x:c r="H27" s="82" t="n">
        <x:v>4.31</x:v>
      </x:c>
      <x:c r="I27" s="92" t="n">
        <x:v>-1130.152235</x:v>
      </x:c>
      <x:c r="J27" s="82" t="n">
        <x:v>2.644848962</x:v>
      </x:c>
      <x:c r="K27" s="82" t="n">
        <x:v>92.436595</x:v>
      </x:c>
      <x:c r="L27" s="82" t="n">
        <x:v>22.19894737</x:v>
      </x:c>
      <x:c r="M27" s="82" t="n">
        <x:v>142.31</x:v>
      </x:c>
      <x:c r="N27" s="93" t="n">
        <x:v>0</x:v>
      </x:c>
      <x:c r="O27" s="91" t="n">
        <x:v>20547.95</x:v>
      </x:c>
      <x:c r="P27" s="82" t="n">
        <x:v>10.416</x:v>
      </x:c>
      <x:c r="Q27" s="82" t="n">
        <x:v>4.521578947</x:v>
      </x:c>
      <x:c r="R27" s="82" t="n">
        <x:v>5.894421053</x:v>
      </x:c>
      <x:c r="S27" s="92" t="n">
        <x:v>-685.35</x:v>
      </x:c>
      <x:c r="T27" s="92" t="n">
        <x:v>890.7</x:v>
      </x:c>
      <x:c r="U27" s="82" t="n">
        <x:v>64.2</x:v>
      </x:c>
      <x:c r="V27" s="82" t="n">
        <x:v>208.49</x:v>
      </x:c>
      <x:c r="W27" s="82" t="n">
        <x:v>2.249855022</x:v>
      </x:c>
      <x:c r="X27" s="94" t="n">
        <x:v>1.902250004</x:v>
      </x:c>
      <x:c r="Y27" s="94" t="n">
        <x:v>515.917</x:v>
      </x:c>
      <x:c r="Z27" s="94" t="n">
        <x:v>11.03135</x:v>
      </x:c>
      <x:c r="AA27" s="95" t="n">
        <x:v>-0.5679736805</x:v>
      </x:c>
      <x:c r="AB27" s="93" t="n">
        <x:v>0</x:v>
      </x:c>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75" t="str">
        <x:v>2007-10</x:v>
      </x:c>
      <x:c r="B28" s="91" t="n">
        <x:v>2001.086129</x:v>
      </x:c>
      <x:c r="C28" s="91" t="n">
        <x:v>82.34</x:v>
      </x:c>
      <x:c r="D28" s="91" t="n">
        <x:v>427.78</x:v>
      </x:c>
      <x:c r="E28" s="91" t="n">
        <x:v>4254.58</x:v>
      </x:c>
      <x:c r="F28" s="82" t="n">
        <x:v>9.25</x:v>
      </x:c>
      <x:c r="G28" s="82" t="n">
        <x:v>4.76</x:v>
      </x:c>
      <x:c r="H28" s="82" t="n">
        <x:v>4.49</x:v>
      </x:c>
      <x:c r="I28" s="92" t="n">
        <x:v>-1390.805457</x:v>
      </x:c>
      <x:c r="J28" s="82" t="n">
        <x:v>2.714277456</x:v>
      </x:c>
      <x:c r="K28" s="82" t="n">
        <x:v>90.40017826</x:v>
      </x:c>
      <x:c r="L28" s="82" t="n">
        <x:v>19.11565217</x:v>
      </x:c>
      <x:c r="M28" s="82" t="n">
        <x:v>146.6</x:v>
      </x:c>
      <x:c r="N28" s="93" t="n">
        <x:v>0</x:v>
      </x:c>
      <x:c r="O28" s="91" t="n">
        <x:v>20661.24</x:v>
      </x:c>
      <x:c r="P28" s="82" t="n">
        <x:v>10.21409091</x:v>
      </x:c>
      <x:c r="Q28" s="82" t="n">
        <x:v>4.527727273</x:v>
      </x:c>
      <x:c r="R28" s="82" t="n">
        <x:v>5.686363636</x:v>
      </x:c>
      <x:c r="S28" s="92" t="n">
        <x:v>-716.06</x:v>
      </x:c>
      <x:c r="T28" s="92" t="n">
        <x:v>579.21</x:v>
      </x:c>
      <x:c r="U28" s="82" t="n">
        <x:v>64.2</x:v>
      </x:c>
      <x:c r="V28" s="82" t="n">
        <x:v>208.936</x:v>
      </x:c>
      <x:c r="W28" s="82" t="n">
        <x:v>1.62353073</x:v>
      </x:c>
      <x:c r="X28" s="94" t="n">
        <x:v>1.800999994</x:v>
      </x:c>
      <x:c r="Y28" s="94" t="n">
        <x:v>500.4286957</x:v>
      </x:c>
      <x:c r="Z28" s="94" t="n">
        <x:v>10.82617391</x:v>
      </x:c>
      <x:c r="AA28" s="95" t="n">
        <x:v>-1.20549523</x:v>
      </x:c>
      <x:c r="AB28" s="93" t="n">
        <x:v>0</x:v>
      </x:c>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75" t="str">
        <x:v>2007-11</x:v>
      </x:c>
      <x:c r="B29" s="91" t="n">
        <x:v>2046.357</x:v>
      </x:c>
      <x:c r="C29" s="91" t="n">
        <x:v>92.41428571</x:v>
      </x:c>
      <x:c r="D29" s="91" t="n">
        <x:v>456.17</x:v>
      </x:c>
      <x:c r="E29" s="91" t="n">
        <x:v>4377.82</x:v>
      </x:c>
      <x:c r="F29" s="82" t="n">
        <x:v>9.291666667</x:v>
      </x:c>
      <x:c r="G29" s="82" t="n">
        <x:v>4.49</x:v>
      </x:c>
      <x:c r="H29" s="82" t="n">
        <x:v>4.801666667</x:v>
      </x:c>
      <x:c r="I29" s="92" t="n">
        <x:v>-1697.946855</x:v>
      </x:c>
      <x:c r="J29" s="82" t="n">
        <x:v>2.790847647</x:v>
      </x:c>
      <x:c r="K29" s="82" t="n">
        <x:v>89.05299545</x:v>
      </x:c>
      <x:c r="L29" s="82" t="n">
        <x:v>25.58238095</x:v>
      </x:c>
      <x:c r="M29" s="82" t="n">
        <x:v>145.74</x:v>
      </x:c>
      <x:c r="N29" s="93" t="n">
        <x:v>0</x:v>
      </x:c>
      <x:c r="O29" s="91" t="n">
        <x:v>20882.4</x:v>
      </x:c>
      <x:c r="P29" s="82" t="n">
        <x:v>10.2355</x:v>
      </x:c>
      <x:c r="Q29" s="82" t="n">
        <x:v>4.1485</x:v>
      </x:c>
      <x:c r="R29" s="82" t="n">
        <x:v>6.087</x:v>
      </x:c>
      <x:c r="S29" s="92" t="n">
        <x:v>-563.97</x:v>
      </x:c>
      <x:c r="T29" s="92" t="n">
        <x:v>408.26</x:v>
      </x:c>
      <x:c r="U29" s="82" t="n">
        <x:v>64.51</x:v>
      </x:c>
      <x:c r="V29" s="82" t="n">
        <x:v>210.177</x:v>
      </x:c>
      <x:c r="W29" s="82" t="n">
        <x:v>1.119519683</x:v>
      </x:c>
      <x:c r="X29" s="94" t="n">
        <x:v>1.767590918</x:v>
      </x:c>
      <x:c r="Y29" s="94" t="n">
        <x:v>506.88</x:v>
      </x:c>
      <x:c r="Z29" s="94" t="n">
        <x:v>10.88077273</x:v>
      </x:c>
      <x:c r="AA29" s="95" t="n">
        <x:v>-0.05311277896</x:v>
      </x:c>
      <x:c r="AB29" s="93" t="n">
        <x:v>0</x:v>
      </x:c>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75" t="str">
        <x:v>2007-12</x:v>
      </x:c>
      <x:c r="B30" s="91" t="n">
        <x:v>2013.834516</x:v>
      </x:c>
      <x:c r="C30" s="91" t="n">
        <x:v>90.92684211</x:v>
      </x:c>
      <x:c r="D30" s="91" t="n">
        <x:v>427.25</x:v>
      </x:c>
      <x:c r="E30" s="91" t="n">
        <x:v>4429.73</x:v>
      </x:c>
      <x:c r="F30" s="82" t="n">
        <x:v>9.5</x:v>
      </x:c>
      <x:c r="G30" s="82" t="n">
        <x:v>4.24</x:v>
      </x:c>
      <x:c r="H30" s="82" t="n">
        <x:v>5.26</x:v>
      </x:c>
      <x:c r="I30" s="92" t="n">
        <x:v>-2177.068846</x:v>
      </x:c>
      <x:c r="J30" s="82" t="n">
        <x:v>2.710260117</x:v>
      </x:c>
      <x:c r="K30" s="82" t="n">
        <x:v>90.00495714</x:v>
      </x:c>
      <x:c r="L30" s="82" t="n">
        <x:v>21.651</x:v>
      </x:c>
      <x:c r="M30" s="82" t="n">
        <x:v>147.1</x:v>
      </x:c>
      <x:c r="N30" s="93" t="n">
        <x:v>0</x:v>
      </x:c>
      <x:c r="O30" s="91" t="n">
        <x:v>20948.68</x:v>
      </x:c>
      <x:c r="P30" s="82" t="n">
        <x:v>10.12944444</x:v>
      </x:c>
      <x:c r="Q30" s="82" t="n">
        <x:v>4.0975</x:v>
      </x:c>
      <x:c r="R30" s="82" t="n">
        <x:v>6.031944444</x:v>
      </x:c>
      <x:c r="S30" s="92" t="n">
        <x:v>-781.75</x:v>
      </x:c>
      <x:c r="T30" s="92" t="n">
        <x:v>564.81</x:v>
      </x:c>
      <x:c r="U30" s="82" t="n">
        <x:v>64.82</x:v>
      </x:c>
      <x:c r="V30" s="82" t="n">
        <x:v>210.036</x:v>
      </x:c>
      <x:c r="W30" s="82" t="n">
        <x:v>1.609258076</x:v>
      </x:c>
      <x:c r="X30" s="94" t="n">
        <x:v>1.783350009</x:v>
      </x:c>
      <x:c r="Y30" s="94" t="n">
        <x:v>498.8742857</x:v>
      </x:c>
      <x:c r="Z30" s="94" t="n">
        <x:v>10.8462</x:v>
      </x:c>
      <x:c r="AA30" s="95" t="n">
        <x:v>-0.2590944229</x:v>
      </x:c>
      <x:c r="AB30" s="93" t="n">
        <x:v>0</x:v>
      </x:c>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75" t="str">
        <x:v>2008-01</x:v>
      </x:c>
      <x:c r="B31" s="91" t="n">
        <x:v>1983.184194</x:v>
      </x:c>
      <x:c r="C31" s="91" t="n">
        <x:v>92.17809524</x:v>
      </x:c>
      <x:c r="D31" s="91" t="n">
        <x:v>380.82</x:v>
      </x:c>
      <x:c r="E31" s="91" t="n">
        <x:v>4505.27</x:v>
      </x:c>
      <x:c r="F31" s="82" t="n">
        <x:v>9.5</x:v>
      </x:c>
      <x:c r="G31" s="82" t="n">
        <x:v>3.94</x:v>
      </x:c>
      <x:c r="H31" s="82" t="n">
        <x:v>5.56</x:v>
      </x:c>
      <x:c r="I31" s="92" t="n">
        <x:v>-1131.468567</x:v>
      </x:c>
      <x:c r="J31" s="82" t="n">
        <x:v>2.465742275</x:v>
      </x:c>
      <x:c r="K31" s="82" t="n">
        <x:v>89.39711739</x:v>
      </x:c>
      <x:c r="L31" s="82" t="n">
        <x:v>25.81619048</x:v>
      </x:c>
      <x:c r="M31" s="82" t="n">
        <x:v>145.36</x:v>
      </x:c>
      <x:c r="N31" s="93" t="n">
        <x:v>0</x:v>
      </x:c>
      <x:c r="O31" s="91" t="n">
        <x:v>21367.99</x:v>
      </x:c>
      <x:c r="P31" s="82" t="n">
        <x:v>10.83761905</x:v>
      </x:c>
      <x:c r="Q31" s="82" t="n">
        <x:v>3.744285714</x:v>
      </x:c>
      <x:c r="R31" s="82" t="n">
        <x:v>7.093333333</x:v>
      </x:c>
      <x:c r="S31" s="92" t="n">
        <x:v>-729.85</x:v>
      </x:c>
      <x:c r="T31" s="92" t="n">
        <x:v>892.37</x:v>
      </x:c>
      <x:c r="U31" s="82" t="n">
        <x:v>65.51</x:v>
      </x:c>
      <x:c r="V31" s="82" t="n">
        <x:v>211.08</x:v>
      </x:c>
      <x:c r="W31" s="82" t="n">
        <x:v>1.722942198</x:v>
      </x:c>
      <x:c r="X31" s="94" t="n">
        <x:v>1.773130432</x:v>
      </x:c>
      <x:c r="Y31" s="94" t="n">
        <x:v>480.8963636</x:v>
      </x:c>
      <x:c r="Z31" s="94" t="n">
        <x:v>10.91004348</x:v>
      </x:c>
      <x:c r="AA31" s="95" t="n">
        <x:v>-0.5431162688</x:v>
      </x:c>
      <x:c r="AB31" s="93" t="n">
        <x:v>0</x:v>
      </x:c>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75" t="str">
        <x:v>2008-02</x:v>
      </x:c>
      <x:c r="B32" s="91" t="n">
        <x:v>1905.294138</x:v>
      </x:c>
      <x:c r="C32" s="91" t="n">
        <x:v>94.9865</x:v>
      </x:c>
      <x:c r="D32" s="91" t="n">
        <x:v>357.81</x:v>
      </x:c>
      <x:c r="E32" s="91" t="n">
        <x:v>4563.11</x:v>
      </x:c>
      <x:c r="F32" s="82" t="n">
        <x:v>9.543103448</x:v>
      </x:c>
      <x:c r="G32" s="82" t="n">
        <x:v>2.98</x:v>
      </x:c>
      <x:c r="H32" s="82" t="n">
        <x:v>6.563103448</x:v>
      </x:c>
      <x:c r="I32" s="92" t="n">
        <x:v>-3897.160203</x:v>
      </x:c>
      <x:c r="J32" s="82" t="n">
        <x:v>2.599552424</x:v>
      </x:c>
      <x:c r="K32" s="82" t="n">
        <x:v>88.6434381</x:v>
      </x:c>
      <x:c r="L32" s="82" t="n">
        <x:v>25.456</x:v>
      </x:c>
      <x:c r="M32" s="82" t="n">
        <x:v>150.3</x:v>
      </x:c>
      <x:c r="N32" s="93" t="n">
        <x:v>0</x:v>
      </x:c>
      <x:c r="O32" s="91" t="n">
        <x:v>21843.11</x:v>
      </x:c>
      <x:c r="P32" s="82" t="n">
        <x:v>11.32380952</x:v>
      </x:c>
      <x:c r="Q32" s="82" t="n">
        <x:v>3.7375</x:v>
      </x:c>
      <x:c r="R32" s="82" t="n">
        <x:v>7.586309524</x:v>
      </x:c>
      <x:c r="S32" s="92" t="n">
        <x:v>-726.68</x:v>
      </x:c>
      <x:c r="T32" s="92" t="n">
        <x:v>1007.79</x:v>
      </x:c>
      <x:c r="U32" s="82" t="n">
        <x:v>66.5</x:v>
      </x:c>
      <x:c r="V32" s="82" t="n">
        <x:v>211.693</x:v>
      </x:c>
      <x:c r="W32" s="82" t="n">
        <x:v>2.32239709</x:v>
      </x:c>
      <x:c r="X32" s="94" t="n">
        <x:v>1.731571442</x:v>
      </x:c>
      <x:c r="Y32" s="94" t="n">
        <x:v>467.2171429</x:v>
      </x:c>
      <x:c r="Z32" s="94" t="n">
        <x:v>10.76861905</x:v>
      </x:c>
      <x:c r="AA32" s="95" t="n">
        <x:v>-0.8350216922</x:v>
      </x:c>
      <x:c r="AB32" s="93" t="n">
        <x:v>0</x:v>
      </x:c>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75" t="str">
        <x:v>2008-03</x:v>
      </x:c>
      <x:c r="B33" s="91" t="n">
        <x:v>1843.493226</x:v>
      </x:c>
      <x:c r="C33" s="91" t="n">
        <x:v>103.6355</x:v>
      </x:c>
      <x:c r="D33" s="91" t="n">
        <x:v>389.47</x:v>
      </x:c>
      <x:c r="E33" s="91" t="n">
        <x:v>4613.75</x:v>
      </x:c>
      <x:c r="F33" s="82" t="n">
        <x:v>9.75</x:v>
      </x:c>
      <x:c r="G33" s="82" t="n">
        <x:v>2.61</x:v>
      </x:c>
      <x:c r="H33" s="82" t="n">
        <x:v>7.14</x:v>
      </x:c>
      <x:c r="I33" s="92" t="n">
        <x:v>-487.437149</x:v>
      </x:c>
      <x:c r="J33" s="82" t="n">
        <x:v>2.375717758</x:v>
      </x:c>
      <x:c r="K33" s="82" t="n">
        <x:v>86.83986667</x:v>
      </x:c>
      <x:c r="L33" s="82" t="n">
        <x:v>27.1035</x:v>
      </x:c>
      <x:c r="M33" s="82" t="n">
        <x:v>156.16</x:v>
      </x:c>
      <x:c r="N33" s="93" t="n">
        <x:v>0</x:v>
      </x:c>
      <x:c r="O33" s="91" t="n">
        <x:v>22130.06</x:v>
      </x:c>
      <x:c r="P33" s="82" t="n">
        <x:v>11.68944444</x:v>
      </x:c>
      <x:c r="Q33" s="82" t="n">
        <x:v>3.51</x:v>
      </x:c>
      <x:c r="R33" s="82" t="n">
        <x:v>8.179444444</x:v>
      </x:c>
      <x:c r="S33" s="92" t="n">
        <x:v>-491.61</x:v>
      </x:c>
      <x:c r="T33" s="92" t="n">
        <x:v>626.16</x:v>
      </x:c>
      <x:c r="U33" s="82" t="n">
        <x:v>67.04</x:v>
      </x:c>
      <x:c r="V33" s="82" t="n">
        <x:v>213.528</x:v>
      </x:c>
      <x:c r="W33" s="82" t="n">
        <x:v>1.943650421</x:v>
      </x:c>
      <x:c r="X33" s="94" t="n">
        <x:v>1.709714282</x:v>
      </x:c>
      <x:c r="Y33" s="94" t="n">
        <x:v>442.942</x:v>
      </x:c>
      <x:c r="Z33" s="94" t="n">
        <x:v>10.7342381</x:v>
      </x:c>
      <x:c r="AA33" s="95" t="n">
        <x:v>-0.9227679547</x:v>
      </x:c>
      <x:c r="AB33" s="93" t="n">
        <x:v>0</x:v>
      </x:c>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75" t="str">
        <x:v>2008-04</x:v>
      </x:c>
      <x:c r="B34" s="91" t="n">
        <x:v>1795.103</x:v>
      </x:c>
      <x:c r="C34" s="91" t="n">
        <x:v>109.0713636</x:v>
      </x:c>
      <x:c r="D34" s="91" t="n">
        <x:v>405.98</x:v>
      </x:c>
      <x:c r="E34" s="91" t="n">
        <x:v>4701.99</x:v>
      </x:c>
      <x:c r="F34" s="82" t="n">
        <x:v>9.75</x:v>
      </x:c>
      <x:c r="G34" s="82" t="n">
        <x:v>2.28</x:v>
      </x:c>
      <x:c r="H34" s="82" t="n">
        <x:v>7.47</x:v>
      </x:c>
      <x:c r="I34" s="92" t="n">
        <x:v>1170.9732</x:v>
      </x:c>
      <x:c r="J34" s="82" t="n">
        <x:v>1.714381493</x:v>
      </x:c>
      <x:c r="K34" s="82" t="n">
        <x:v>86.54753636</x:v>
      </x:c>
      <x:c r="L34" s="82" t="n">
        <x:v>21.56272727</x:v>
      </x:c>
      <x:c r="M34" s="82" t="n">
        <x:v>154.39</x:v>
      </x:c>
      <x:c r="N34" s="93" t="n">
        <x:v>0</x:v>
      </x:c>
      <x:c r="O34" s="91" t="n">
        <x:v>22209.35</x:v>
      </x:c>
      <x:c r="P34" s="82" t="n">
        <x:v>11.30545455</x:v>
      </x:c>
      <x:c r="Q34" s="82" t="n">
        <x:v>3.675</x:v>
      </x:c>
      <x:c r="R34" s="82" t="n">
        <x:v>7.630454545</x:v>
      </x:c>
      <x:c r="S34" s="92" t="n">
        <x:v>-656.44</x:v>
      </x:c>
      <x:c r="T34" s="92" t="n">
        <x:v>734.35</x:v>
      </x:c>
      <x:c r="U34" s="82" t="n">
        <x:v>67.51</x:v>
      </x:c>
      <x:c r="V34" s="82" t="n">
        <x:v>214.823</x:v>
      </x:c>
      <x:c r="W34" s="82" t="n">
        <x:v>1.795295033</x:v>
      </x:c>
      <x:c r="X34" s="94" t="n">
        <x:v>1.686500002</x:v>
      </x:c>
      <x:c r="Y34" s="94" t="n">
        <x:v>446.4336364</x:v>
      </x:c>
      <x:c r="Z34" s="94" t="n">
        <x:v>10.51513636</x:v>
      </x:c>
      <x:c r="AA34" s="95" t="n">
        <x:v>-0.3761245279</x:v>
      </x:c>
      <x:c r="AB34" s="93" t="n">
        <x:v>0</x:v>
      </x:c>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75" t="str">
        <x:v>2008-05</x:v>
      </x:c>
      <x:c r="B35" s="91" t="n">
        <x:v>1775.156129</x:v>
      </x:c>
      <x:c r="C35" s="91" t="n">
        <x:v>122.7971429</x:v>
      </x:c>
      <x:c r="D35" s="91" t="n">
        <x:v>405.55</x:v>
      </x:c>
      <x:c r="E35" s="91" t="n">
        <x:v>4767.66</x:v>
      </x:c>
      <x:c r="F35" s="82" t="n">
        <x:v>9.75</x:v>
      </x:c>
      <x:c r="G35" s="82" t="n">
        <x:v>1.98</x:v>
      </x:c>
      <x:c r="H35" s="82" t="n">
        <x:v>7.77</x:v>
      </x:c>
      <x:c r="I35" s="92" t="n">
        <x:v>2254.996348</x:v>
      </x:c>
      <x:c r="J35" s="82" t="n">
        <x:v>2.192299404</x:v>
      </x:c>
      <x:c r="K35" s="82" t="n">
        <x:v>86.82446364</x:v>
      </x:c>
      <x:c r="L35" s="82" t="n">
        <x:v>18.30333333</x:v>
      </x:c>
      <x:c r="M35" s="82" t="n">
        <x:v>159.88</x:v>
      </x:c>
      <x:c r="N35" s="93" t="n">
        <x:v>0</x:v>
      </x:c>
      <x:c r="O35" s="91" t="n">
        <x:v>22377.81</x:v>
      </x:c>
      <x:c r="P35" s="82" t="n">
        <x:v>11.24210526</x:v>
      </x:c>
      <x:c r="Q35" s="82" t="n">
        <x:v>3.88</x:v>
      </x:c>
      <x:c r="R35" s="82" t="n">
        <x:v>7.362105263</x:v>
      </x:c>
      <x:c r="S35" s="92" t="n">
        <x:v>-616.81</x:v>
      </x:c>
      <x:c r="T35" s="92" t="n">
        <x:v>481.67</x:v>
      </x:c>
      <x:c r="U35" s="82" t="n">
        <x:v>68.14</x:v>
      </x:c>
      <x:c r="V35" s="82" t="n">
        <x:v>216.632</x:v>
      </x:c>
      <x:c r="W35" s="82" t="n">
        <x:v>2.21009318</x:v>
      </x:c>
      <x:c r="X35" s="94" t="n">
        <x:v>1.659409084</x:v>
      </x:c>
      <x:c r="Y35" s="94" t="n">
        <x:v>470.1</x:v>
      </x:c>
      <x:c r="Z35" s="94" t="n">
        <x:v>10.44022727</x:v>
      </x:c>
      <x:c r="AA35" s="95" t="n">
        <x:v>0.3089908804</x:v>
      </x:c>
      <x:c r="AB35" s="93" t="n">
        <x:v>0</x:v>
      </x:c>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75" t="str">
        <x:v>2008-06</x:v>
      </x:c>
      <x:c r="B36" s="91" t="n">
        <x:v>1732.286333</x:v>
      </x:c>
      <x:c r="C36" s="91" t="n">
        <x:v>132.322381</x:v>
      </x:c>
      <x:c r="D36" s="91" t="n">
        <x:v>362.75</x:v>
      </x:c>
      <x:c r="E36" s="91" t="n">
        <x:v>4795.46</x:v>
      </x:c>
      <x:c r="F36" s="82" t="n">
        <x:v>9.75</x:v>
      </x:c>
      <x:c r="G36" s="82" t="n">
        <x:v>2</x:v>
      </x:c>
      <x:c r="H36" s="82" t="n">
        <x:v>7.75</x:v>
      </x:c>
      <x:c r="I36" s="92" t="n">
        <x:v>1772.505974</x:v>
      </x:c>
      <x:c r="J36" s="82" t="n">
        <x:v>1.507950545</x:v>
      </x:c>
      <x:c r="K36" s="82" t="n">
        <x:v>87.07280476</x:v>
      </x:c>
      <x:c r="L36" s="82" t="n">
        <x:v>22.11047619</x:v>
      </x:c>
      <x:c r="M36" s="82" t="n">
        <x:v>162.14</x:v>
      </x:c>
      <x:c r="N36" s="93" t="n">
        <x:v>0</x:v>
      </x:c>
      <x:c r="O36" s="91" t="n">
        <x:v>22847.51</x:v>
      </x:c>
      <x:c r="P36" s="82" t="n">
        <x:v>12.12842105</x:v>
      </x:c>
      <x:c r="Q36" s="82" t="n">
        <x:v>4.09952381</x:v>
      </x:c>
      <x:c r="R36" s="82" t="n">
        <x:v>8.028897243</x:v>
      </x:c>
      <x:c r="S36" s="92" t="n">
        <x:v>-712.03</x:v>
      </x:c>
      <x:c r="T36" s="92" t="n">
        <x:v>1179.02</x:v>
      </x:c>
      <x:c r="U36" s="82" t="n">
        <x:v>68.73</x:v>
      </x:c>
      <x:c r="V36" s="82" t="n">
        <x:v>218.815</x:v>
      </x:c>
      <x:c r="W36" s="82" t="n">
        <x:v>2.167854369</x:v>
      </x:c>
      <x:c r="X36" s="94" t="n">
        <x:v>1.618904761</x:v>
      </x:c>
      <x:c r="Y36" s="94" t="n">
        <x:v>497.0119048</x:v>
      </x:c>
      <x:c r="Z36" s="94" t="n">
        <x:v>10.32814286</x:v>
      </x:c>
      <x:c r="AA36" s="95" t="n">
        <x:v>0.2380224945</x:v>
      </x:c>
      <x:c r="AB36" s="93" t="n">
        <x:v>0</x:v>
      </x:c>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75" t="str">
        <x:v>2008-07</x:v>
      </x:c>
      <x:c r="B37" s="91" t="n">
        <x:v>1781.045161</x:v>
      </x:c>
      <x:c r="C37" s="91" t="n">
        <x:v>132.7181818</x:v>
      </x:c>
      <x:c r="D37" s="91" t="n">
        <x:v>465.82</x:v>
      </x:c>
      <x:c r="E37" s="91" t="n">
        <x:v>4892.65</x:v>
      </x:c>
      <x:c r="F37" s="82" t="n">
        <x:v>9.782258065</x:v>
      </x:c>
      <x:c r="G37" s="82" t="n">
        <x:v>2.01</x:v>
      </x:c>
      <x:c r="H37" s="82" t="n">
        <x:v>7.772258065</x:v>
      </x:c>
      <x:c r="I37" s="92" t="n">
        <x:v>-1018.414518</x:v>
      </x:c>
      <x:c r="J37" s="82" t="n">
        <x:v>1.38078604</x:v>
      </x:c>
      <x:c r="K37" s="82" t="n">
        <x:v>86.45375652</x:v>
      </x:c>
      <x:c r="L37" s="82" t="n">
        <x:v>24.32181818</x:v>
      </x:c>
      <x:c r="M37" s="82" t="n">
        <x:v>159.92</x:v>
      </x:c>
      <x:c r="N37" s="93" t="n">
        <x:v>0</x:v>
      </x:c>
      <x:c r="O37" s="91" t="n">
        <x:v>23345.58</x:v>
      </x:c>
      <x:c r="P37" s="82" t="n">
        <x:v>12.87782609</x:v>
      </x:c>
      <x:c r="Q37" s="82" t="n">
        <x:v>4.007727273</x:v>
      </x:c>
      <x:c r="R37" s="82" t="n">
        <x:v>8.870098814</x:v>
      </x:c>
      <x:c r="S37" s="92" t="n">
        <x:v>-764.68</x:v>
      </x:c>
      <x:c r="T37" s="92" t="n">
        <x:v>998.73</x:v>
      </x:c>
      <x:c r="U37" s="82" t="n">
        <x:v>69.06</x:v>
      </x:c>
      <x:c r="V37" s="82" t="n">
        <x:v>219.964</x:v>
      </x:c>
      <x:c r="W37" s="82" t="n">
        <x:v>1.919727637</x:v>
      </x:c>
      <x:c r="X37" s="94" t="n">
        <x:v>1.591434769</x:v>
      </x:c>
      <x:c r="Y37" s="94" t="n">
        <x:v>499.8806522</x:v>
      </x:c>
      <x:c r="Z37" s="94" t="n">
        <x:v>10.21717391</x:v>
      </x:c>
      <x:c r="AA37" s="95" t="n">
        <x:v>-0.3160464393</x:v>
      </x:c>
      <x:c r="AB37" s="93" t="n">
        <x:v>0</x:v>
      </x:c>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75" t="str">
        <x:v>2008-08</x:v>
      </x:c>
      <x:c r="B38" s="91" t="n">
        <x:v>1847.477419</x:v>
      </x:c>
      <x:c r="C38" s="91" t="n">
        <x:v>113.2433333</x:v>
      </x:c>
      <x:c r="D38" s="91" t="n">
        <x:v>369.55</x:v>
      </x:c>
      <x:c r="E38" s="91" t="n">
        <x:v>4849.47</x:v>
      </x:c>
      <x:c r="F38" s="82" t="n">
        <x:v>10</x:v>
      </x:c>
      <x:c r="G38" s="82" t="n">
        <x:v>2</x:v>
      </x:c>
      <x:c r="H38" s="82" t="n">
        <x:v>8</x:v>
      </x:c>
      <x:c r="I38" s="92" t="n">
        <x:v>-1108.479733</x:v>
      </x:c>
      <x:c r="J38" s="82" t="n">
        <x:v>1.855080021</x:v>
      </x:c>
      <x:c r="K38" s="82" t="n">
        <x:v>88.94499524</x:v>
      </x:c>
      <x:c r="L38" s="82" t="n">
        <x:v>20.69571429</x:v>
      </x:c>
      <x:c r="M38" s="82" t="n">
        <x:v>147.49</x:v>
      </x:c>
      <x:c r="N38" s="93" t="n">
        <x:v>0</x:v>
      </x:c>
      <x:c r="O38" s="91" t="n">
        <x:v>23638.88</x:v>
      </x:c>
      <x:c r="P38" s="82" t="n">
        <x:v>11.84105263</x:v>
      </x:c>
      <x:c r="Q38" s="82" t="n">
        <x:v>3.885714286</x:v>
      </x:c>
      <x:c r="R38" s="82" t="n">
        <x:v>7.955338346</x:v>
      </x:c>
      <x:c r="S38" s="92" t="n">
        <x:v>-735.95</x:v>
      </x:c>
      <x:c r="T38" s="92" t="n">
        <x:v>695.09</x:v>
      </x:c>
      <x:c r="U38" s="82" t="n">
        <x:v>69.19</x:v>
      </x:c>
      <x:c r="V38" s="82" t="n">
        <x:v>219.086</x:v>
      </x:c>
      <x:c r="W38" s="82" t="n">
        <x:v>2.501546818</x:v>
      </x:c>
      <x:c r="X38" s="94" t="n">
        <x:v>1.612666664</x:v>
      </x:c>
      <x:c r="Y38" s="94" t="n">
        <x:v>516.51</x:v>
      </x:c>
      <x:c r="Z38" s="94" t="n">
        <x:v>10.10866667</x:v>
      </x:c>
      <x:c r="AA38" s="95" t="n">
        <x:v>0.2982139333</x:v>
      </x:c>
      <x:c r="AB38" s="93" t="n">
        <x:v>0</x:v>
      </x:c>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75" t="str">
        <x:v>2008-09</x:v>
      </x:c>
      <x:c r="B39" s="91" t="n">
        <x:v>2066.187</x:v>
      </x:c>
      <x:c r="C39" s="91" t="n">
        <x:v>97.2347619</x:v>
      </x:c>
      <x:c r="D39" s="91" t="n">
        <x:v>476.54</x:v>
      </x:c>
      <x:c r="E39" s="91" t="n">
        <x:v>4925.49</x:v>
      </x:c>
      <x:c r="F39" s="82" t="n">
        <x:v>10</x:v>
      </x:c>
      <x:c r="G39" s="82" t="n">
        <x:v>1.81</x:v>
      </x:c>
      <x:c r="H39" s="82" t="n">
        <x:v>8.19</x:v>
      </x:c>
      <x:c r="I39" s="92" t="n">
        <x:v>-692.0362976</x:v>
      </x:c>
      <x:c r="J39" s="82" t="n">
        <x:v>1.763145856</x:v>
      </x:c>
      <x:c r="K39" s="82" t="n">
        <x:v>91.26510909</x:v>
      </x:c>
      <x:c r="L39" s="82" t="n">
        <x:v>30.23857143</x:v>
      </x:c>
      <x:c r="M39" s="82" t="n">
        <x:v>144.57</x:v>
      </x:c>
      <x:c r="N39" s="93" t="n">
        <x:v>0</x:v>
      </x:c>
      <x:c r="O39" s="91" t="n">
        <x:v>24082.29</x:v>
      </x:c>
      <x:c r="P39" s="82" t="n">
        <x:v>11.89363636</x:v>
      </x:c>
      <x:c r="Q39" s="82" t="n">
        <x:v>3.686190476</x:v>
      </x:c>
      <x:c r="R39" s="82" t="n">
        <x:v>8.207445887</x:v>
      </x:c>
      <x:c r="S39" s="92" t="n">
        <x:v>-713.33</x:v>
      </x:c>
      <x:c r="T39" s="92" t="n">
        <x:v>812.95</x:v>
      </x:c>
      <x:c r="U39" s="82" t="n">
        <x:v>69.06</x:v>
      </x:c>
      <x:c r="V39" s="82" t="n">
        <x:v>218.783</x:v>
      </x:c>
      <x:c r="W39" s="82" t="n">
        <x:v>2.633166027</x:v>
      </x:c>
      <x:c r="X39" s="94" t="n">
        <x:v>1.794590907</x:v>
      </x:c>
      <x:c r="Y39" s="94" t="n">
        <x:v>533.3625</x:v>
      </x:c>
      <x:c r="Z39" s="94" t="n">
        <x:v>10.64740909</x:v>
      </x:c>
      <x:c r="AA39" s="95" t="n">
        <x:v>1.891190367</x:v>
      </x:c>
      <x:c r="AB39" s="93" t="n">
        <x:v>0</x:v>
      </x:c>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75" t="str">
        <x:v>2008-10</x:v>
      </x:c>
      <x:c r="B40" s="91" t="n">
        <x:v>2288.858065</x:v>
      </x:c>
      <x:c r="C40" s="91" t="n">
        <x:v>71.58217391</x:v>
      </x:c>
      <x:c r="D40" s="91" t="n">
        <x:v>421.17</x:v>
      </x:c>
      <x:c r="E40" s="91" t="n">
        <x:v>4918.88</x:v>
      </x:c>
      <x:c r="F40" s="82" t="n">
        <x:v>10</x:v>
      </x:c>
      <x:c r="G40" s="82" t="n">
        <x:v>0.97</x:v>
      </x:c>
      <x:c r="H40" s="82" t="n">
        <x:v>9.03</x:v>
      </x:c>
      <x:c r="I40" s="92" t="n">
        <x:v>-1086.107683</x:v>
      </x:c>
      <x:c r="J40" s="82" t="n">
        <x:v>1.699208134</x:v>
      </x:c>
      <x:c r="K40" s="82" t="n">
        <x:v>98.04</x:v>
      </x:c>
      <x:c r="L40" s="82" t="n">
        <x:v>61.1773913</x:v>
      </x:c>
      <x:c r="M40" s="82" t="n">
        <x:v>132.19</x:v>
      </x:c>
      <x:c r="N40" s="93" t="n">
        <x:v>0</x:v>
      </x:c>
      <x:c r="O40" s="91" t="n">
        <x:v>23407.49</x:v>
      </x:c>
      <x:c r="P40" s="82" t="n">
        <x:v>12.99454545</x:v>
      </x:c>
      <x:c r="Q40" s="82" t="n">
        <x:v>3.814090909</x:v>
      </x:c>
      <x:c r="R40" s="82" t="n">
        <x:v>9.180454545</x:v>
      </x:c>
      <x:c r="S40" s="92" t="n">
        <x:v>-644.2</x:v>
      </x:c>
      <x:c r="T40" s="92" t="n">
        <x:v>-219.71</x:v>
      </x:c>
      <x:c r="U40" s="82" t="n">
        <x:v>69.3</x:v>
      </x:c>
      <x:c r="V40" s="82" t="n">
        <x:v>216.573</x:v>
      </x:c>
      <x:c r="W40" s="82" t="n">
        <x:v>4.288738957</x:v>
      </x:c>
      <x:c r="X40" s="94" t="n">
        <x:v>2.176434776</x:v>
      </x:c>
      <x:c r="Y40" s="94" t="n">
        <x:v>627.3641304</x:v>
      </x:c>
      <x:c r="Z40" s="94" t="n">
        <x:v>12.64386957</x:v>
      </x:c>
      <x:c r="AA40" s="95" t="n">
        <x:v>5.734449444</x:v>
      </x:c>
      <x:c r="AB40" s="93" t="n">
        <x:v>0</x:v>
      </x:c>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75" t="str">
        <x:v>2008-11</x:v>
      </x:c>
      <x:c r="B41" s="91" t="n">
        <x:v>2333.660333</x:v>
      </x:c>
      <x:c r="C41" s="91" t="n">
        <x:v>52.45263158</x:v>
      </x:c>
      <x:c r="D41" s="91" t="n">
        <x:v>317.42</x:v>
      </x:c>
      <x:c r="E41" s="91" t="n">
        <x:v>4780.13</x:v>
      </x:c>
      <x:c r="F41" s="82" t="n">
        <x:v>10</x:v>
      </x:c>
      <x:c r="G41" s="82" t="n">
        <x:v>0.39</x:v>
      </x:c>
      <x:c r="H41" s="82" t="n">
        <x:v>9.61</x:v>
      </x:c>
      <x:c r="I41" s="92" t="n">
        <x:v>-4714.333891</x:v>
      </x:c>
      <x:c r="J41" s="82" t="n">
        <x:v>2.332166211</x:v>
      </x:c>
      <x:c r="K41" s="82" t="n">
        <x:v>100.76666</x:v>
      </x:c>
      <x:c r="L41" s="82" t="n">
        <x:v>62.66894737</x:v>
      </x:c>
      <x:c r="M41" s="82" t="n">
        <x:v>117.74</x:v>
      </x:c>
      <x:c r="N41" s="93" t="n">
        <x:v>0</x:v>
      </x:c>
      <x:c r="O41" s="91" t="n">
        <x:v>23604.5</x:v>
      </x:c>
      <x:c r="P41" s="82" t="n">
        <x:v>12.935625</x:v>
      </x:c>
      <x:c r="Q41" s="82" t="n">
        <x:v>3.526666667</x:v>
      </x:c>
      <x:c r="R41" s="82" t="n">
        <x:v>9.408958333</x:v>
      </x:c>
      <x:c r="S41" s="92" t="n">
        <x:v>-663.52</x:v>
      </x:c>
      <x:c r="T41" s="92" t="n">
        <x:v>550.88</x:v>
      </x:c>
      <x:c r="U41" s="82" t="n">
        <x:v>69.49</x:v>
      </x:c>
      <x:c r="V41" s="82" t="n">
        <x:v>212.425</x:v>
      </x:c>
      <x:c r="W41" s="82" t="n">
        <x:v>6.650158683</x:v>
      </x:c>
      <x:c r="X41" s="94" t="n">
        <x:v>2.267949998</x:v>
      </x:c>
      <x:c r="Y41" s="94" t="n">
        <x:v>650.734</x:v>
      </x:c>
      <x:c r="Z41" s="94" t="n">
        <x:v>13.1082</x:v>
      </x:c>
      <x:c r="AA41" s="95" t="n">
        <x:v>1.159772216</x:v>
      </x:c>
      <x:c r="AB41" s="93" t="n">
        <x:v>0</x:v>
      </x:c>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75" t="str">
        <x:v>2008-12</x:v>
      </x:c>
      <x:c r="B42" s="91" t="n">
        <x:v>2251.510323</x:v>
      </x:c>
      <x:c r="C42" s="91" t="n">
        <x:v>39.94681818</x:v>
      </x:c>
      <x:c r="D42" s="91" t="n">
        <x:v>432.04</x:v>
      </x:c>
      <x:c r="E42" s="91" t="n">
        <x:v>4784.92</x:v>
      </x:c>
      <x:c r="F42" s="82" t="n">
        <x:v>9.838709677</x:v>
      </x:c>
      <x:c r="G42" s="82" t="n">
        <x:v>0.16</x:v>
      </x:c>
      <x:c r="H42" s="82" t="n">
        <x:v>9.678709677</x:v>
      </x:c>
      <x:c r="I42" s="92" t="n">
        <x:v>-2130.803741</x:v>
      </x:c>
      <x:c r="J42" s="82" t="n">
        <x:v>2.32245795</x:v>
      </x:c>
      <x:c r="K42" s="82" t="n">
        <x:v>99.66224783</x:v>
      </x:c>
      <x:c r="L42" s="82" t="n">
        <x:v>52.405</x:v>
      </x:c>
      <x:c r="M42" s="82" t="n">
        <x:v>127.1</x:v>
      </x:c>
      <x:c r="N42" s="93" t="n">
        <x:v>0</x:v>
      </x:c>
      <x:c r="O42" s="91" t="n">
        <x:v>24029.69</x:v>
      </x:c>
      <x:c r="P42" s="82" t="n">
        <x:v>11.4405</x:v>
      </x:c>
      <x:c r="Q42" s="82" t="n">
        <x:v>2.416363636</x:v>
      </x:c>
      <x:c r="R42" s="82" t="n">
        <x:v>9.024136364</x:v>
      </x:c>
      <x:c r="S42" s="92" t="n">
        <x:v>-907.69</x:v>
      </x:c>
      <x:c r="T42" s="92" t="n">
        <x:v>911.98</x:v>
      </x:c>
      <x:c r="U42" s="82" t="n">
        <x:v>69.8</x:v>
      </x:c>
      <x:c r="V42" s="82" t="n">
        <x:v>210.228</x:v>
      </x:c>
      <x:c r="W42" s="82" t="n">
        <x:v>7.591401046</x:v>
      </x:c>
      <x:c r="X42" s="94" t="n">
        <x:v>2.398400009</x:v>
      </x:c>
      <x:c r="Y42" s="94" t="n">
        <x:v>650.0565</x:v>
      </x:c>
      <x:c r="Z42" s="94" t="n">
        <x:v>13.4171</x:v>
      </x:c>
      <x:c r="AA42" s="95" t="n">
        <x:v>0.6713216209</x:v>
      </x:c>
      <x:c r="AB42" s="93" t="n">
        <x:v>0</x:v>
      </x:c>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75" t="str">
        <x:v>2009-01</x:v>
      </x:c>
      <x:c r="B43" s="91" t="n">
        <x:v>2253.506129</x:v>
      </x:c>
      <x:c r="C43" s="91" t="n">
        <x:v>43.4395</x:v>
      </x:c>
      <x:c r="D43" s="91" t="n">
        <x:v>319.24</x:v>
      </x:c>
      <x:c r="E43" s="91" t="n">
        <x:v>4723.34</x:v>
      </x:c>
      <x:c r="F43" s="82" t="n">
        <x:v>9.5</x:v>
      </x:c>
      <x:c r="G43" s="82" t="n">
        <x:v>0.15</x:v>
      </x:c>
      <x:c r="H43" s="82" t="n">
        <x:v>9.35</x:v>
      </x:c>
      <x:c r="I43" s="92" t="n">
        <x:v>1131.622516</x:v>
      </x:c>
      <x:c r="J43" s="82" t="n">
        <x:v>1.755409008</x:v>
      </x:c>
      <x:c r="K43" s="82" t="n">
        <x:v>100.3520842</x:v>
      </x:c>
      <x:c r="L43" s="82" t="n">
        <x:v>44.683</x:v>
      </x:c>
      <x:c r="M43" s="82" t="n">
        <x:v>114.11</x:v>
      </x:c>
      <x:c r="N43" s="93" t="n">
        <x:v>0</x:v>
      </x:c>
      <x:c r="O43" s="91" t="n">
        <x:v>23621.15</x:v>
      </x:c>
      <x:c r="P43" s="82" t="n">
        <x:v>10.1415</x:v>
      </x:c>
      <x:c r="Q43" s="82" t="n">
        <x:v>2.5175</x:v>
      </x:c>
      <x:c r="R43" s="82" t="n">
        <x:v>7.624</x:v>
      </x:c>
      <x:c r="S43" s="92" t="n">
        <x:v>-495.03</x:v>
      </x:c>
      <x:c r="T43" s="92" t="n">
        <x:v>-95.91</x:v>
      </x:c>
      <x:c r="U43" s="82" t="n">
        <x:v>70.21</x:v>
      </x:c>
      <x:c r="V43" s="82" t="n">
        <x:v>211.143</x:v>
      </x:c>
      <x:c r="W43" s="82" t="n">
        <x:v>7.144630675</x:v>
      </x:c>
      <x:c r="X43" s="94" t="n">
        <x:v>2.314149988</x:v>
      </x:c>
      <x:c r="Y43" s="94" t="n">
        <x:v>621.865</x:v>
      </x:c>
      <x:c r="Z43" s="94" t="n">
        <x:v>13.91065</x:v>
      </x:c>
      <x:c r="AA43" s="95" t="n">
        <x:v>-0.5491106589</x:v>
      </x:c>
      <x:c r="AB43" s="93" t="n">
        <x:v>0</x:v>
      </x:c>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75" t="str">
        <x:v>2009-02</x:v>
      </x:c>
      <x:c r="B44" s="91" t="n">
        <x:v>2512.344286</x:v>
      </x:c>
      <x:c r="C44" s="91" t="n">
        <x:v>43.32473684</x:v>
      </x:c>
      <x:c r="D44" s="91" t="n">
        <x:v>374.71</x:v>
      </x:c>
      <x:c r="E44" s="91" t="n">
        <x:v>4740.24</x:v>
      </x:c>
      <x:c r="F44" s="82" t="n">
        <x:v>9.017857143</x:v>
      </x:c>
      <x:c r="G44" s="82" t="n">
        <x:v>0.22</x:v>
      </x:c>
      <x:c r="H44" s="82" t="n">
        <x:v>8.797857143</x:v>
      </x:c>
      <x:c r="I44" s="92" t="n">
        <x:v>-3211.483497</x:v>
      </x:c>
      <x:c r="J44" s="82" t="n">
        <x:v>1.618704014</x:v>
      </x:c>
      <x:c r="K44" s="82" t="n">
        <x:v>102.9737263</x:v>
      </x:c>
      <x:c r="L44" s="82" t="n">
        <x:v>45.57052632</x:v>
      </x:c>
      <x:c r="M44" s="82" t="n">
        <x:v>114.79</x:v>
      </x:c>
      <x:c r="N44" s="93" t="n">
        <x:v>0</x:v>
      </x:c>
      <x:c r="O44" s="91" t="n">
        <x:v>23341.55</x:v>
      </x:c>
      <x:c r="P44" s="82" t="n">
        <x:v>10.03722222</x:v>
      </x:c>
      <x:c r="Q44" s="82" t="n">
        <x:v>2.87</x:v>
      </x:c>
      <x:c r="R44" s="82" t="n">
        <x:v>7.167222222</x:v>
      </x:c>
      <x:c r="S44" s="92" t="n">
        <x:v>-616.8</x:v>
      </x:c>
      <x:c r="T44" s="92" t="n">
        <x:v>1.28</x:v>
      </x:c>
      <x:c r="U44" s="82" t="n">
        <x:v>70.8</x:v>
      </x:c>
      <x:c r="V44" s="82" t="n">
        <x:v>212.193</x:v>
      </x:c>
      <x:c r="W44" s="82" t="n">
        <x:v>6.229974325</x:v>
      </x:c>
      <x:c r="X44" s="94" t="n">
        <x:v>2.320700002</x:v>
      </x:c>
      <x:c r="Y44" s="94" t="n">
        <x:v>605.1975</x:v>
      </x:c>
      <x:c r="Z44" s="94" t="n">
        <x:v>14.6087</x:v>
      </x:c>
      <x:c r="AA44" s="95" t="n">
        <x:v>0.1696952617</x:v>
      </x:c>
      <x:c r="AB44" s="93" t="n">
        <x:v>0</x:v>
      </x:c>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75" t="str">
        <x:v>2009-03</x:v>
      </x:c>
      <x:c r="B45" s="91" t="n">
        <x:v>2469.634839</x:v>
      </x:c>
      <x:c r="C45" s="91" t="n">
        <x:v>46.54045455</x:v>
      </x:c>
      <x:c r="D45" s="91" t="n">
        <x:v>385.91</x:v>
      </x:c>
      <x:c r="E45" s="91" t="n">
        <x:v>4736.68</x:v>
      </x:c>
      <x:c r="F45" s="82" t="n">
        <x:v>7.774193548</x:v>
      </x:c>
      <x:c r="G45" s="82" t="n">
        <x:v>0.18</x:v>
      </x:c>
      <x:c r="H45" s="82" t="n">
        <x:v>7.594193548</x:v>
      </x:c>
      <x:c r="I45" s="92" t="n">
        <x:v>-1171.186926</x:v>
      </x:c>
      <x:c r="J45" s="82" t="n">
        <x:v>1.755024832</x:v>
      </x:c>
      <x:c r="K45" s="82" t="n">
        <x:v>103.4397455</x:v>
      </x:c>
      <x:c r="L45" s="82" t="n">
        <x:v>44.79545455</x:v>
      </x:c>
      <x:c r="M45" s="82" t="n">
        <x:v>129.27</x:v>
      </x:c>
      <x:c r="N45" s="93" t="n">
        <x:v>0</x:v>
      </x:c>
      <x:c r="O45" s="91" t="n">
        <x:v>23840.96</x:v>
      </x:c>
      <x:c r="P45" s="82" t="n">
        <x:v>9.940952381</x:v>
      </x:c>
      <x:c r="Q45" s="82" t="n">
        <x:v>2.819545455</x:v>
      </x:c>
      <x:c r="R45" s="82" t="n">
        <x:v>7.121406926</x:v>
      </x:c>
      <x:c r="S45" s="92" t="n">
        <x:v>-536.61</x:v>
      </x:c>
      <x:c r="T45" s="92" t="n">
        <x:v>808.55</x:v>
      </x:c>
      <x:c r="U45" s="82" t="n">
        <x:v>71.15</x:v>
      </x:c>
      <x:c r="V45" s="82" t="n">
        <x:v>212.709</x:v>
      </x:c>
      <x:c r="W45" s="82" t="n">
        <x:v>6.514224513</x:v>
      </x:c>
      <x:c r="X45" s="94" t="n">
        <x:v>2.314863628</x:v>
      </x:c>
      <x:c r="Y45" s="94" t="n">
        <x:v>592.2181818</x:v>
      </x:c>
      <x:c r="Z45" s="94" t="n">
        <x:v>14.641</x:v>
      </x:c>
      <x:c r="AA45" s="95" t="n">
        <x:v>-0.3700534773</x:v>
      </x:c>
      <x:c r="AB45" s="93" t="n">
        <x:v>0</x:v>
      </x:c>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75" t="str">
        <x:v>2009-04</x:v>
      </x:c>
      <x:c r="B46" s="91" t="n">
        <x:v>2374.607667</x:v>
      </x:c>
      <x:c r="C46" s="91" t="n">
        <x:v>50.18190476</x:v>
      </x:c>
      <x:c r="D46" s="91" t="n">
        <x:v>340.08</x:v>
      </x:c>
      <x:c r="E46" s="91" t="n">
        <x:v>4670.78</x:v>
      </x:c>
      <x:c r="F46" s="82" t="n">
        <x:v>7</x:v>
      </x:c>
      <x:c r="G46" s="82" t="n">
        <x:v>0.15</x:v>
      </x:c>
      <x:c r="H46" s="82" t="n">
        <x:v>6.85</x:v>
      </x:c>
      <x:c r="I46" s="92" t="n">
        <x:v>2912.885466</x:v>
      </x:c>
      <x:c r="J46" s="82" t="n">
        <x:v>1.407735645</x:v>
      </x:c>
      <x:c r="K46" s="82" t="n">
        <x:v>100.7161864</x:v>
      </x:c>
      <x:c r="L46" s="82" t="n">
        <x:v>38.06380952</x:v>
      </x:c>
      <x:c r="M46" s="82" t="n">
        <x:v>127.57</x:v>
      </x:c>
      <x:c r="N46" s="93" t="n">
        <x:v>0</x:v>
      </x:c>
      <x:c r="O46" s="91" t="n">
        <x:v>23413.66</x:v>
      </x:c>
      <x:c r="P46" s="82" t="n">
        <x:v>9.5265</x:v>
      </x:c>
      <x:c r="Q46" s="82" t="n">
        <x:v>2.927142857</x:v>
      </x:c>
      <x:c r="R46" s="82" t="n">
        <x:v>6.599357143</x:v>
      </x:c>
      <x:c r="S46" s="92" t="n">
        <x:v>-702.1</x:v>
      </x:c>
      <x:c r="T46" s="92" t="n">
        <x:v>387.22</x:v>
      </x:c>
      <x:c r="U46" s="82" t="n">
        <x:v>71.38</x:v>
      </x:c>
      <x:c r="V46" s="82" t="n">
        <x:v>213.24</x:v>
      </x:c>
      <x:c r="W46" s="82" t="n">
        <x:v>6.469369792</x:v>
      </x:c>
      <x:c r="X46" s="94" t="n">
        <x:v>2.202636361</x:v>
      </x:c>
      <x:c r="Y46" s="94" t="n">
        <x:v>582.4590909</x:v>
      </x:c>
      <x:c r="Z46" s="94" t="n">
        <x:v>13.409</x:v>
      </x:c>
      <x:c r="AA46" s="95" t="n">
        <x:v>-1.814431296</x:v>
      </x:c>
      <x:c r="AB46" s="93" t="n">
        <x:v>0</x:v>
      </x:c>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75" t="str">
        <x:v>2009-05</x:v>
      </x:c>
      <x:c r="B47" s="91" t="n">
        <x:v>2227.317742</x:v>
      </x:c>
      <x:c r="C47" s="91" t="n">
        <x:v>57.3025</x:v>
      </x:c>
      <x:c r="D47" s="91" t="n">
        <x:v>341.62</x:v>
      </x:c>
      <x:c r="E47" s="91" t="n">
        <x:v>4606.85</x:v>
      </x:c>
      <x:c r="F47" s="82" t="n">
        <x:v>6.096774194</x:v>
      </x:c>
      <x:c r="G47" s="82" t="n">
        <x:v>0.18</x:v>
      </x:c>
      <x:c r="H47" s="82" t="n">
        <x:v>5.916774194</x:v>
      </x:c>
      <x:c r="I47" s="92" t="n">
        <x:v>-1876.659441</x:v>
      </x:c>
      <x:c r="J47" s="82" t="n">
        <x:v>2.231473675</x:v>
      </x:c>
      <x:c r="K47" s="82" t="n">
        <x:v>97.55188</x:v>
      </x:c>
      <x:c r="L47" s="82" t="n">
        <x:v>31.978</x:v>
      </x:c>
      <x:c r="M47" s="82" t="n">
        <x:v>139.83</x:v>
      </x:c>
      <x:c r="N47" s="93" t="n">
        <x:v>0</x:v>
      </x:c>
      <x:c r="O47" s="91" t="n">
        <x:v>23584.69</x:v>
      </x:c>
      <x:c r="P47" s="82" t="n">
        <x:v>9.132631579</x:v>
      </x:c>
      <x:c r="Q47" s="82" t="n">
        <x:v>3.293</x:v>
      </x:c>
      <x:c r="R47" s="82" t="n">
        <x:v>5.839631579</x:v>
      </x:c>
      <x:c r="S47" s="92" t="n">
        <x:v>-499.12</x:v>
      </x:c>
      <x:c r="T47" s="92" t="n">
        <x:v>619.68</x:v>
      </x:c>
      <x:c r="U47" s="82" t="n">
        <x:v>71.39</x:v>
      </x:c>
      <x:c r="V47" s="82" t="n">
        <x:v>213.856</x:v>
      </x:c>
      <x:c r="W47" s="82" t="n">
        <x:v>6.051027815</x:v>
      </x:c>
      <x:c r="X47" s="94" t="n">
        <x:v>2.066761902</x:v>
      </x:c>
      <x:c r="Y47" s="94" t="n">
        <x:v>565.3952381</x:v>
      </x:c>
      <x:c r="Z47" s="94" t="n">
        <x:v>13.18757143</x:v>
      </x:c>
      <x:c r="AA47" s="95" t="n">
        <x:v>-1.252373374</x:v>
      </x:c>
      <x:c r="AB47" s="93" t="n">
        <x:v>0</x:v>
      </x:c>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75" t="str">
        <x:v>2009-06</x:v>
      </x:c>
      <x:c r="B48" s="91" t="n">
        <x:v>2089.460333</x:v>
      </x:c>
      <x:c r="C48" s="91" t="n">
        <x:v>68.60954545</x:v>
      </x:c>
      <x:c r="D48" s="91" t="n">
        <x:v>313.08</x:v>
      </x:c>
      <x:c r="E48" s="91" t="n">
        <x:v>4557.18</x:v>
      </x:c>
      <x:c r="F48" s="82" t="n">
        <x:v>4.866666667</x:v>
      </x:c>
      <x:c r="G48" s="82" t="n">
        <x:v>0.21</x:v>
      </x:c>
      <x:c r="H48" s="82" t="n">
        <x:v>4.656666667</x:v>
      </x:c>
      <x:c r="I48" s="92" t="n">
        <x:v>-2008.01347</x:v>
      </x:c>
      <x:c r="J48" s="82" t="n">
        <x:v>2.985204818</x:v>
      </x:c>
      <x:c r="K48" s="82" t="n">
        <x:v>96.04261818</x:v>
      </x:c>
      <x:c r="L48" s="82" t="n">
        <x:v>29.14045455</x:v>
      </x:c>
      <x:c r="M48" s="82" t="n">
        <x:v>146.13</x:v>
      </x:c>
      <x:c r="N48" s="93" t="n">
        <x:v>0</x:v>
      </x:c>
      <x:c r="O48" s="91" t="n">
        <x:v>23723.36</x:v>
      </x:c>
      <x:c r="P48" s="82" t="n">
        <x:v>9.976470588</x:v>
      </x:c>
      <x:c r="Q48" s="82" t="n">
        <x:v>3.721818182</x:v>
      </x:c>
      <x:c r="R48" s="82" t="n">
        <x:v>6.254652406</x:v>
      </x:c>
      <x:c r="S48" s="92" t="n">
        <x:v>-510.76</x:v>
      </x:c>
      <x:c r="T48" s="92" t="n">
        <x:v>679.65</x:v>
      </x:c>
      <x:c r="U48" s="82" t="n">
        <x:v>71.35</x:v>
      </x:c>
      <x:c r="V48" s="82" t="n">
        <x:v>215.693</x:v>
      </x:c>
      <x:c r="W48" s="82" t="n">
        <x:v>5.238794085</x:v>
      </x:c>
      <x:c r="X48" s="94" t="n">
        <x:v>1.958118184</x:v>
      </x:c>
      <x:c r="Y48" s="94" t="n">
        <x:v>550.3431818</x:v>
      </x:c>
      <x:c r="Z48" s="94" t="n">
        <x:v>13.33204545</x:v>
      </x:c>
      <x:c r="AA48" s="95" t="n">
        <x:v>-0.800337655</x:v>
      </x:c>
      <x:c r="AB48" s="93" t="n">
        <x:v>0</x:v>
      </x:c>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75" t="str">
        <x:v>2009-07</x:v>
      </x:c>
      <x:c r="B49" s="91" t="n">
        <x:v>2049.239677</x:v>
      </x:c>
      <x:c r="C49" s="91" t="n">
        <x:v>64.43545455</x:v>
      </x:c>
      <x:c r="D49" s="91" t="n">
        <x:v>314.47</x:v>
      </x:c>
      <x:c r="E49" s="91" t="n">
        <x:v>4405.83</x:v>
      </x:c>
      <x:c r="F49" s="82" t="n">
        <x:v>4.5</x:v>
      </x:c>
      <x:c r="G49" s="82" t="n">
        <x:v>0.16</x:v>
      </x:c>
      <x:c r="H49" s="82" t="n">
        <x:v>4.34</x:v>
      </x:c>
      <x:c r="I49" s="92" t="n">
        <x:v>-2738.042198</x:v>
      </x:c>
      <x:c r="J49" s="82" t="n">
        <x:v>3.328051074</x:v>
      </x:c>
      <x:c r="K49" s="82" t="n">
        <x:v>95.66055909</x:v>
      </x:c>
      <x:c r="L49" s="82" t="n">
        <x:v>26.16272727</x:v>
      </x:c>
      <x:c r="M49" s="82" t="n">
        <x:v>137.48</x:v>
      </x:c>
      <x:c r="N49" s="93" t="n">
        <x:v>0</x:v>
      </x:c>
      <x:c r="O49" s="91" t="n">
        <x:v>24122.44</x:v>
      </x:c>
      <x:c r="P49" s="82" t="n">
        <x:v>9.646818182</x:v>
      </x:c>
      <x:c r="Q49" s="82" t="n">
        <x:v>3.562272727</x:v>
      </x:c>
      <x:c r="R49" s="82" t="n">
        <x:v>6.084545455</x:v>
      </x:c>
      <x:c r="S49" s="92" t="n">
        <x:v>-772.56</x:v>
      </x:c>
      <x:c r="T49" s="92" t="n">
        <x:v>1101.62</x:v>
      </x:c>
      <x:c r="U49" s="82" t="n">
        <x:v>71.32</x:v>
      </x:c>
      <x:c r="V49" s="82" t="n">
        <x:v>215.351</x:v>
      </x:c>
      <x:c r="W49" s="82" t="n">
        <x:v>5.369678006</x:v>
      </x:c>
      <x:c r="X49" s="94" t="n">
        <x:v>1.933521742</x:v>
      </x:c>
      <x:c r="Y49" s="94" t="n">
        <x:v>540.2934783</x:v>
      </x:c>
      <x:c r="Z49" s="94" t="n">
        <x:v>13.36169565</x:v>
      </x:c>
      <x:c r="AA49" s="95" t="n">
        <x:v>-0.4213658576</x:v>
      </x:c>
      <x:c r="AB49" s="93" t="n">
        <x:v>0</x:v>
      </x:c>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75" t="str">
        <x:v>2009-08</x:v>
      </x:c>
      <x:c r="B50" s="91" t="n">
        <x:v>2017.618065</x:v>
      </x:c>
      <x:c r="C50" s="91" t="n">
        <x:v>72.50857143</x:v>
      </x:c>
      <x:c r="D50" s="91" t="n">
        <x:v>304.05</x:v>
      </x:c>
      <x:c r="E50" s="91" t="n">
        <x:v>4340.33</x:v>
      </x:c>
      <x:c r="F50" s="82" t="n">
        <x:v>4.5</x:v>
      </x:c>
      <x:c r="G50" s="82" t="n">
        <x:v>0.16</x:v>
      </x:c>
      <x:c r="H50" s="82" t="n">
        <x:v>4.34</x:v>
      </x:c>
      <x:c r="I50" s="92" t="n">
        <x:v>746.6916332</x:v>
      </x:c>
      <x:c r="J50" s="82" t="n">
        <x:v>2.958181152</x:v>
      </x:c>
      <x:c r="K50" s="82" t="n">
        <x:v>94.37304286</x:v>
      </x:c>
      <x:c r="L50" s="82" t="n">
        <x:v>25.33714286</x:v>
      </x:c>
      <x:c r="M50" s="82" t="n">
        <x:v>144.15</x:v>
      </x:c>
      <x:c r="N50" s="93" t="n">
        <x:v>0</x:v>
      </x:c>
      <x:c r="O50" s="91" t="n">
        <x:v>25238.94</x:v>
      </x:c>
      <x:c r="P50" s="82" t="n">
        <x:v>9.840526316</x:v>
      </x:c>
      <x:c r="Q50" s="82" t="n">
        <x:v>3.587142857</x:v>
      </x:c>
      <x:c r="R50" s="82" t="n">
        <x:v>6.253383459</x:v>
      </x:c>
      <x:c r="S50" s="92" t="n">
        <x:v>-568.66</x:v>
      </x:c>
      <x:c r="T50" s="92" t="n">
        <x:v>1421.3</x:v>
      </x:c>
      <x:c r="U50" s="82" t="n">
        <x:v>71.35</x:v>
      </x:c>
      <x:c r="V50" s="82" t="n">
        <x:v>215.834</x:v>
      </x:c>
      <x:c r="W50" s="82" t="n">
        <x:v>4.606187028</x:v>
      </x:c>
      <x:c r="X50" s="94" t="n">
        <x:v>1.84495239</x:v>
      </x:c>
      <x:c r="Y50" s="94" t="n">
        <x:v>547.2857143</x:v>
      </x:c>
      <x:c r="Z50" s="94" t="n">
        <x:v>13.00761905</x:v>
      </x:c>
      <x:c r="AA50" s="95" t="n">
        <x:v>-0.6902847953</x:v>
      </x:c>
      <x:c r="AB50" s="93" t="n">
        <x:v>0</x:v>
      </x:c>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75" t="str">
        <x:v>2009-09</x:v>
      </x:c>
      <x:c r="B51" s="91" t="n">
        <x:v>1978.033</x:v>
      </x:c>
      <x:c r="C51" s="91" t="n">
        <x:v>67.64619048</x:v>
      </x:c>
      <x:c r="D51" s="91" t="n">
        <x:v>313.7</x:v>
      </x:c>
      <x:c r="E51" s="91" t="n">
        <x:v>4177.49</x:v>
      </x:c>
      <x:c r="F51" s="82" t="n">
        <x:v>4.45</x:v>
      </x:c>
      <x:c r="G51" s="82" t="n">
        <x:v>0.15</x:v>
      </x:c>
      <x:c r="H51" s="82" t="n">
        <x:v>4.3</x:v>
      </x:c>
      <x:c r="I51" s="92" t="n">
        <x:v>-1297.365731</x:v>
      </x:c>
      <x:c r="J51" s="82" t="n">
        <x:v>3.078867119</x:v>
      </x:c>
      <x:c r="K51" s="82" t="n">
        <x:v>93.6638</x:v>
      </x:c>
      <x:c r="L51" s="82" t="n">
        <x:v>24.92666667</x:v>
      </x:c>
      <x:c r="M51" s="82" t="n">
        <x:v>148.17</x:v>
      </x:c>
      <x:c r="N51" s="93" t="n">
        <x:v>0</x:v>
      </x:c>
      <x:c r="O51" s="91" t="n">
        <x:v>25122.6</x:v>
      </x:c>
      <x:c r="P51" s="82" t="n">
        <x:v>9.903809524</x:v>
      </x:c>
      <x:c r="Q51" s="82" t="n">
        <x:v>3.401904762</x:v>
      </x:c>
      <x:c r="R51" s="82" t="n">
        <x:v>6.501904762</x:v>
      </x:c>
      <x:c r="S51" s="92" t="n">
        <x:v>-802.12</x:v>
      </x:c>
      <x:c r="T51" s="92" t="n">
        <x:v>729.3</x:v>
      </x:c>
      <x:c r="U51" s="82" t="n">
        <x:v>71.28</x:v>
      </x:c>
      <x:c r="V51" s="82" t="n">
        <x:v>215.969</x:v>
      </x:c>
      <x:c r="W51" s="82" t="n">
        <x:v>4.50080197</x:v>
      </x:c>
      <x:c r="X51" s="94" t="n">
        <x:v>1.81959091</x:v>
      </x:c>
      <x:c r="Y51" s="94" t="n">
        <x:v>548.8113636</x:v>
      </x:c>
      <x:c r="Z51" s="94" t="n">
        <x:v>13.40490909</x:v>
      </x:c>
      <x:c r="AA51" s="95" t="n">
        <x:v>0.1660605909</x:v>
      </x:c>
      <x:c r="AB51" s="93" t="n">
        <x:v>0</x:v>
      </x:c>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75" t="str">
        <x:v>2009-10</x:v>
      </x:c>
      <x:c r="B52" s="91" t="n">
        <x:v>1901.400323</x:v>
      </x:c>
      <x:c r="C52" s="91" t="n">
        <x:v>72.76954545</x:v>
      </x:c>
      <x:c r="D52" s="91" t="n">
        <x:v>334.92</x:v>
      </x:c>
      <x:c r="E52" s="91" t="n">
        <x:v>4091.24</x:v>
      </x:c>
      <x:c r="F52" s="82" t="n">
        <x:v>4</x:v>
      </x:c>
      <x:c r="G52" s="82" t="n">
        <x:v>0.12</x:v>
      </x:c>
      <x:c r="H52" s="82" t="n">
        <x:v>3.88</x:v>
      </x:c>
      <x:c r="I52" s="92" t="n">
        <x:v>-3707.944669</x:v>
      </x:c>
      <x:c r="J52" s="82" t="n">
        <x:v>3.601588988</x:v>
      </x:c>
      <x:c r="K52" s="82" t="n">
        <x:v>92.2597619</x:v>
      </x:c>
      <x:c r="L52" s="82" t="n">
        <x:v>24.25227273</x:v>
      </x:c>
      <x:c r="M52" s="82" t="n">
        <x:v>154.41</x:v>
      </x:c>
      <x:c r="N52" s="93" t="n">
        <x:v>0</x:v>
      </x:c>
      <x:c r="O52" s="91" t="n">
        <x:v>25185.77</x:v>
      </x:c>
      <x:c r="P52" s="82" t="n">
        <x:v>9.224761905</x:v>
      </x:c>
      <x:c r="Q52" s="82" t="n">
        <x:v>3.387619048</x:v>
      </x:c>
      <x:c r="R52" s="82" t="n">
        <x:v>5.837142857</x:v>
      </x:c>
      <x:c r="S52" s="92" t="n">
        <x:v>-662.67</x:v>
      </x:c>
      <x:c r="T52" s="92" t="n">
        <x:v>800.88</x:v>
      </x:c>
      <x:c r="U52" s="82" t="n">
        <x:v>71.19</x:v>
      </x:c>
      <x:c r="V52" s="82" t="n">
        <x:v>216.177</x:v>
      </x:c>
      <x:c r="W52" s="82" t="n">
        <x:v>2.910121005</x:v>
      </x:c>
      <x:c r="X52" s="94" t="n">
        <x:v>1.73913636</x:v>
      </x:c>
      <x:c r="Y52" s="94" t="n">
        <x:v>545.2545455</x:v>
      </x:c>
      <x:c r="Z52" s="94" t="n">
        <x:v>13.21986364</x:v>
      </x:c>
      <x:c r="AA52" s="95" t="n">
        <x:v>-0.7617096426</x:v>
      </x:c>
      <x:c r="AB52" s="93" t="n">
        <x:v>0</x:v>
      </x:c>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75" t="str">
        <x:v>2009-11</x:v>
      </x:c>
      <x:c r="B53" s="91" t="n">
        <x:v>1976.879333</x:v>
      </x:c>
      <x:c r="C53" s="91" t="n">
        <x:v>76.662</x:v>
      </x:c>
      <x:c r="D53" s="91" t="n">
        <x:v>340.87</x:v>
      </x:c>
      <x:c r="E53" s="91" t="n">
        <x:v>4114.69</x:v>
      </x:c>
      <x:c r="F53" s="82" t="n">
        <x:v>3.883333333</x:v>
      </x:c>
      <x:c r="G53" s="82" t="n">
        <x:v>0.12</x:v>
      </x:c>
      <x:c r="H53" s="82" t="n">
        <x:v>3.763333333</x:v>
      </x:c>
      <x:c r="I53" s="92" t="n">
        <x:v>-3446.245145</x:v>
      </x:c>
      <x:c r="J53" s="82" t="n">
        <x:v>3.348767122</x:v>
      </x:c>
      <x:c r="K53" s="82" t="n">
        <x:v>91.79961053</x:v>
      </x:c>
      <x:c r="L53" s="82" t="n">
        <x:v>23.789</x:v>
      </x:c>
      <x:c r="M53" s="82" t="n">
        <x:v>153.54</x:v>
      </x:c>
      <x:c r="N53" s="93" t="n">
        <x:v>0</x:v>
      </x:c>
      <x:c r="O53" s="91" t="n">
        <x:v>25440.54</x:v>
      </x:c>
      <x:c r="P53" s="82" t="n">
        <x:v>8.498421053</x:v>
      </x:c>
      <x:c r="Q53" s="82" t="n">
        <x:v>3.402631579</x:v>
      </x:c>
      <x:c r="R53" s="82" t="n">
        <x:v>5.095789474</x:v>
      </x:c>
      <x:c r="S53" s="92" t="n">
        <x:v>-615.96</x:v>
      </x:c>
      <x:c r="T53" s="92" t="n">
        <x:v>661.52</x:v>
      </x:c>
      <x:c r="U53" s="82" t="n">
        <x:v>71.14</x:v>
      </x:c>
      <x:c r="V53" s="82" t="n">
        <x:v>216.33</x:v>
      </x:c>
      <x:c r="W53" s="82" t="n">
        <x:v>0.5361464967</x:v>
      </x:c>
      <x:c r="X53" s="94" t="n">
        <x:v>1.728666663</x:v>
      </x:c>
      <x:c r="Y53" s="94" t="n">
        <x:v>505.4904762</x:v>
      </x:c>
      <x:c r="Z53" s="94" t="n">
        <x:v>13.10947619</x:v>
      </x:c>
      <x:c r="AA53" s="95" t="n">
        <x:v>-1.203479883</x:v>
      </x:c>
      <x:c r="AB53" s="93" t="n">
        <x:v>0</x:v>
      </x:c>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75" t="str">
        <x:v>2009-12</x:v>
      </x:c>
      <x:c r="B54" s="91" t="n">
        <x:v>2018.012581</x:v>
      </x:c>
      <x:c r="C54" s="91" t="n">
        <x:v>74.45636364</x:v>
      </x:c>
      <x:c r="D54" s="91" t="n">
        <x:v>407.63</x:v>
      </x:c>
      <x:c r="E54" s="91" t="n">
        <x:v>4090.28</x:v>
      </x:c>
      <x:c r="F54" s="82" t="n">
        <x:v>3.5</x:v>
      </x:c>
      <x:c r="G54" s="82" t="n">
        <x:v>0.12</x:v>
      </x:c>
      <x:c r="H54" s="82" t="n">
        <x:v>3.38</x:v>
      </x:c>
      <x:c r="I54" s="92" t="n">
        <x:v>-6049.282194</x:v>
      </x:c>
      <x:c r="J54" s="82" t="n">
        <x:v>4.13000348</x:v>
      </x:c>
      <x:c r="K54" s="82" t="n">
        <x:v>92.25861905</x:v>
      </x:c>
      <x:c r="L54" s="82" t="n">
        <x:v>21.23954545</x:v>
      </x:c>
      <x:c r="M54" s="82" t="n">
        <x:v>153.1</x:v>
      </x:c>
      <x:c r="N54" s="93" t="n">
        <x:v>0</x:v>
      </x:c>
      <x:c r="O54" s="91" t="n">
        <x:v>25355.74</x:v>
      </x:c>
      <x:c r="P54" s="82" t="n">
        <x:v>8.625</x:v>
      </x:c>
      <x:c r="Q54" s="82" t="n">
        <x:v>3.59</x:v>
      </x:c>
      <x:c r="R54" s="82" t="n">
        <x:v>5.035</x:v>
      </x:c>
      <x:c r="S54" s="92" t="n">
        <x:v>-699.85</x:v>
      </x:c>
      <x:c r="T54" s="92" t="n">
        <x:v>412.46</x:v>
      </x:c>
      <x:c r="U54" s="82" t="n">
        <x:v>71.2</x:v>
      </x:c>
      <x:c r="V54" s="82" t="n">
        <x:v>215.949</x:v>
      </x:c>
      <x:c r="W54" s="82" t="n">
        <x:v>-0.7156004672</x:v>
      </x:c>
      <x:c r="X54" s="94" t="n">
        <x:v>1.751347827</x:v>
      </x:c>
      <x:c r="Y54" s="94" t="n">
        <x:v>502.6913043</x:v>
      </x:c>
      <x:c r="Z54" s="94" t="n">
        <x:v>12.85830435</x:v>
      </x:c>
      <x:c r="AA54" s="95" t="n">
        <x:v>-0.2853463917</x:v>
      </x:c>
      <x:c r="AB54" s="93" t="n">
        <x:v>0</x:v>
      </x:c>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75" t="str">
        <x:v>2010-01</x:v>
      </x:c>
      <x:c r="B55" s="91" t="n">
        <x:v>1983.426774</x:v>
      </x:c>
      <x:c r="C55" s="91" t="n">
        <x:v>76.16736842</x:v>
      </x:c>
      <x:c r="D55" s="91" t="n">
        <x:v>265.31</x:v>
      </x:c>
      <x:c r="E55" s="91" t="n">
        <x:v>4036.35</x:v>
      </x:c>
      <x:c r="F55" s="82" t="n">
        <x:v>3.5</x:v>
      </x:c>
      <x:c r="G55" s="82" t="n">
        <x:v>0.11</x:v>
      </x:c>
      <x:c r="H55" s="82" t="n">
        <x:v>3.39</x:v>
      </x:c>
      <x:c r="I55" s="92" t="n">
        <x:v>2168.018762</x:v>
      </x:c>
      <x:c r="J55" s="82" t="n">
        <x:v>3.616995811</x:v>
      </x:c>
      <x:c r="K55" s="82" t="n">
        <x:v>92.4403</x:v>
      </x:c>
      <x:c r="L55" s="82" t="n">
        <x:v>20.64315789</x:v>
      </x:c>
      <x:c r="M55" s="82" t="n">
        <x:v>158.66</x:v>
      </x:c>
      <x:c r="N55" s="93" t="n">
        <x:v>0</x:v>
      </x:c>
      <x:c r="O55" s="91" t="n">
        <x:v>25259.19</x:v>
      </x:c>
      <x:c r="P55" s="82" t="n">
        <x:v>9.062631579</x:v>
      </x:c>
      <x:c r="Q55" s="82" t="n">
        <x:v>3.733157895</x:v>
      </x:c>
      <x:c r="R55" s="82" t="n">
        <x:v>5.329473684</x:v>
      </x:c>
      <x:c r="S55" s="92" t="n">
        <x:v>-832.88</x:v>
      </x:c>
      <x:c r="T55" s="92" t="n">
        <x:v>717.35</x:v>
      </x:c>
      <x:c r="U55" s="82" t="n">
        <x:v>71.69</x:v>
      </x:c>
      <x:c r="V55" s="82" t="n">
        <x:v>216.687</x:v>
      </x:c>
      <x:c r="W55" s="82" t="n">
        <x:v>-0.5177468142</x:v>
      </x:c>
      <x:c r="X55" s="94" t="n">
        <x:v>1.780857149</x:v>
      </x:c>
      <x:c r="Y55" s="94" t="n">
        <x:v>502.0785714</x:v>
      </x:c>
      <x:c r="Z55" s="94" t="n">
        <x:v>12.81809524</x:v>
      </x:c>
      <x:c r="AA55" s="95" t="n">
        <x:v>-0.003769763674</x:v>
      </x:c>
      <x:c r="AB55" s="93" t="n">
        <x:v>0</x:v>
      </x:c>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75" t="str">
        <x:v>2010-02</x:v>
      </x:c>
      <x:c r="B56" s="91" t="n">
        <x:v>1951.723929</x:v>
      </x:c>
      <x:c r="C56" s="91" t="n">
        <x:v>73.75210526</x:v>
      </x:c>
      <x:c r="D56" s="91" t="n">
        <x:v>273.2</x:v>
      </x:c>
      <x:c r="E56" s="91" t="n">
        <x:v>3934.84</x:v>
      </x:c>
      <x:c r="F56" s="82" t="n">
        <x:v>3.5</x:v>
      </x:c>
      <x:c r="G56" s="82" t="n">
        <x:v>0.13</x:v>
      </x:c>
      <x:c r="H56" s="82" t="n">
        <x:v>3.37</x:v>
      </x:c>
      <x:c r="I56" s="92" t="n">
        <x:v>-450.9388046</x:v>
      </x:c>
      <x:c r="J56" s="82" t="n">
        <x:v>3.109598706</x:v>
      </x:c>
      <x:c r="K56" s="82" t="n">
        <x:v>93.88668</x:v>
      </x:c>
      <x:c r="L56" s="82" t="n">
        <x:v>22.54</x:v>
      </x:c>
      <x:c r="M56" s="82" t="n">
        <x:v>154.55</x:v>
      </x:c>
      <x:c r="N56" s="93" t="n">
        <x:v>0</x:v>
      </x:c>
      <x:c r="O56" s="91" t="n">
        <x:v>25205.3</x:v>
      </x:c>
      <x:c r="P56" s="82" t="n">
        <x:v>9.5145</x:v>
      </x:c>
      <x:c r="Q56" s="82" t="n">
        <x:v>3.691052632</x:v>
      </x:c>
      <x:c r="R56" s="82" t="n">
        <x:v>5.823447368</x:v>
      </x:c>
      <x:c r="S56" s="92" t="n">
        <x:v>-841.4</x:v>
      </x:c>
      <x:c r="T56" s="92" t="n">
        <x:v>839.52</x:v>
      </x:c>
      <x:c r="U56" s="82" t="n">
        <x:v>72.28</x:v>
      </x:c>
      <x:c r="V56" s="82" t="n">
        <x:v>216.741</x:v>
      </x:c>
      <x:c r="W56" s="82" t="n">
        <x:v>-0.05293629792</x:v>
      </x:c>
      <x:c r="X56" s="94" t="n">
        <x:v>1.841100007</x:v>
      </x:c>
      <x:c r="Y56" s="94" t="n">
        <x:v>532.01</x:v>
      </x:c>
      <x:c r="Z56" s="94" t="n">
        <x:v>12.9288</x:v>
      </x:c>
      <x:c r="AA56" s="95" t="n">
        <x:v>1.025260927</x:v>
      </x:c>
      <x:c r="AB56" s="93" t="n">
        <x:v>0</x:v>
      </x:c>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75" t="str">
        <x:v>2010-03</x:v>
      </x:c>
      <x:c r="B57" s="91" t="n">
        <x:v>1908.991935</x:v>
      </x:c>
      <x:c r="C57" s="91" t="n">
        <x:v>78.8273913</x:v>
      </x:c>
      <x:c r="D57" s="91" t="n">
        <x:v>361.06</x:v>
      </x:c>
      <x:c r="E57" s="91" t="n">
        <x:v>3909.99</x:v>
      </x:c>
      <x:c r="F57" s="82" t="n">
        <x:v>3.5</x:v>
      </x:c>
      <x:c r="G57" s="82" t="n">
        <x:v>0.16</x:v>
      </x:c>
      <x:c r="H57" s="82" t="n">
        <x:v>3.34</x:v>
      </x:c>
      <x:c r="I57" s="92" t="n">
        <x:v>-989.6072038</x:v>
      </x:c>
      <x:c r="J57" s="82" t="n">
        <x:v>3.076223761</x:v>
      </x:c>
      <x:c r="K57" s="82" t="n">
        <x:v>93.14987826</x:v>
      </x:c>
      <x:c r="L57" s="82" t="n">
        <x:v>17.7673913</x:v>
      </x:c>
      <x:c r="M57" s="82" t="n">
        <x:v>159.54</x:v>
      </x:c>
      <x:c r="N57" s="93" t="n">
        <x:v>0</x:v>
      </x:c>
      <x:c r="O57" s="91" t="n">
        <x:v>25501.04</x:v>
      </x:c>
      <x:c r="P57" s="82" t="n">
        <x:v>9.450454545</x:v>
      </x:c>
      <x:c r="Q57" s="82" t="n">
        <x:v>3.727391304</x:v>
      </x:c>
      <x:c r="R57" s="82" t="n">
        <x:v>5.723063241</x:v>
      </x:c>
      <x:c r="S57" s="92" t="n">
        <x:v>-751.64</x:v>
      </x:c>
      <x:c r="T57" s="92" t="n">
        <x:v>1290.25</x:v>
      </x:c>
      <x:c r="U57" s="82" t="n">
        <x:v>72.46</x:v>
      </x:c>
      <x:c r="V57" s="82" t="n">
        <x:v>217.631</x:v>
      </x:c>
      <x:c r="W57" s="82" t="n">
        <x:v>-0.4727788426</x:v>
      </x:c>
      <x:c r="X57" s="94" t="n">
        <x:v>1.78543479</x:v>
      </x:c>
      <x:c r="Y57" s="94" t="n">
        <x:v>522.7130435</x:v>
      </x:c>
      <x:c r="Z57" s="94" t="n">
        <x:v>12.57069565</x:v>
      </x:c>
      <x:c r="AA57" s="95" t="n">
        <x:v>-0.9384199028</x:v>
      </x:c>
      <x:c r="AB57" s="93" t="n">
        <x:v>0</x:v>
      </x:c>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75" t="str">
        <x:v>2010-04</x:v>
      </x:c>
      <x:c r="B58" s="91" t="n">
        <x:v>1937.449</x:v>
      </x:c>
      <x:c r="C58" s="91" t="n">
        <x:v>84.81761905</x:v>
      </x:c>
      <x:c r="D58" s="91" t="n">
        <x:v>317.54</x:v>
      </x:c>
      <x:c r="E58" s="91" t="n">
        <x:v>3887.45</x:v>
      </x:c>
      <x:c r="F58" s="82" t="n">
        <x:v>3.5</x:v>
      </x:c>
      <x:c r="G58" s="82" t="n">
        <x:v>0.2</x:v>
      </x:c>
      <x:c r="H58" s="82" t="n">
        <x:v>3.3</x:v>
      </x:c>
      <x:c r="I58" s="92" t="n">
        <x:v>314.8964864</x:v>
      </x:c>
      <x:c r="J58" s="82" t="n">
        <x:v>3.553742597</x:v>
      </x:c>
      <x:c r="K58" s="82" t="n">
        <x:v>92.63908636</x:v>
      </x:c>
      <x:c r="L58" s="82" t="n">
        <x:v>17.42428571</x:v>
      </x:c>
      <x:c r="M58" s="82" t="n">
        <x:v>164.62</x:v>
      </x:c>
      <x:c r="N58" s="93" t="n">
        <x:v>0</x:v>
      </x:c>
      <x:c r="O58" s="91" t="n">
        <x:v>25905.52</x:v>
      </x:c>
      <x:c r="P58" s="82" t="n">
        <x:v>8.954</x:v>
      </x:c>
      <x:c r="Q58" s="82" t="n">
        <x:v>3.846818182</x:v>
      </x:c>
      <x:c r="R58" s="82" t="n">
        <x:v>5.107181818</x:v>
      </x:c>
      <x:c r="S58" s="92" t="n">
        <x:v>-636.67</x:v>
      </x:c>
      <x:c r="T58" s="92" t="n">
        <x:v>1056.83</x:v>
      </x:c>
      <x:c r="U58" s="82" t="n">
        <x:v>72.79</x:v>
      </x:c>
      <x:c r="V58" s="82" t="n">
        <x:v>218.009</x:v>
      </x:c>
      <x:c r="W58" s="82" t="n">
        <x:v>-0.2611039622</x:v>
      </x:c>
      <x:c r="X58" s="94" t="n">
        <x:v>1.7595</x:v>
      </x:c>
      <x:c r="Y58" s="94" t="n">
        <x:v>519.775</x:v>
      </x:c>
      <x:c r="Z58" s="94" t="n">
        <x:v>12.24972727</x:v>
      </x:c>
      <x:c r="AA58" s="95" t="n">
        <x:v>-0.6159872758</x:v>
      </x:c>
      <x:c r="AB58" s="93" t="n">
        <x:v>0</x:v>
      </x:c>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75" t="str">
        <x:v>2010-05</x:v>
      </x:c>
      <x:c r="B59" s="91" t="n">
        <x:v>1983.593226</x:v>
      </x:c>
      <x:c r="C59" s="91" t="n">
        <x:v>75.9455</x:v>
      </x:c>
      <x:c r="D59" s="91" t="n">
        <x:v>329.87</x:v>
      </x:c>
      <x:c r="E59" s="91" t="n">
        <x:v>3875.7</x:v>
      </x:c>
      <x:c r="F59" s="82" t="n">
        <x:v>3.032258065</x:v>
      </x:c>
      <x:c r="G59" s="82" t="n">
        <x:v>0.2</x:v>
      </x:c>
      <x:c r="H59" s="82" t="n">
        <x:v>2.832258065</x:v>
      </x:c>
      <x:c r="I59" s="92" t="n">
        <x:v>-1793.193985</x:v>
      </x:c>
      <x:c r="J59" s="82" t="n">
        <x:v>3.538401375</x:v>
      </x:c>
      <x:c r="K59" s="82" t="n">
        <x:v>95.53064</x:v>
      </x:c>
      <x:c r="L59" s="82" t="n">
        <x:v>31.9295</x:v>
      </x:c>
      <x:c r="M59" s="82" t="n">
        <x:v>155.44</x:v>
      </x:c>
      <x:c r="N59" s="93" t="n">
        <x:v>0</x:v>
      </x:c>
      <x:c r="O59" s="91" t="n">
        <x:v>25933.86</x:v>
      </x:c>
      <x:c r="P59" s="82" t="n">
        <x:v>8.688</x:v>
      </x:c>
      <x:c r="Q59" s="82" t="n">
        <x:v>3.42</x:v>
      </x:c>
      <x:c r="R59" s="82" t="n">
        <x:v>5.268</x:v>
      </x:c>
      <x:c r="S59" s="92" t="n">
        <x:v>-764.96</x:v>
      </x:c>
      <x:c r="T59" s="92" t="n">
        <x:v>893.4</x:v>
      </x:c>
      <x:c r="U59" s="82" t="n">
        <x:v>72.87</x:v>
      </x:c>
      <x:c r="V59" s="82" t="n">
        <x:v>218.178</x:v>
      </x:c>
      <x:c r="W59" s="82" t="n">
        <x:v>0.05213340043</x:v>
      </x:c>
      <x:c r="X59" s="94" t="n">
        <x:v>1.813714294</x:v>
      </x:c>
      <x:c r="Y59" s="94" t="n">
        <x:v>533.3666667</x:v>
      </x:c>
      <x:c r="Z59" s="94" t="n">
        <x:v>12.7382381</x:v>
      </x:c>
      <x:c r="AA59" s="95" t="n">
        <x:v>0.9632611718</x:v>
      </x:c>
      <x:c r="AB59" s="93" t="n">
        <x:v>0</x:v>
      </x:c>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75" t="str">
        <x:v>2010-06</x:v>
      </x:c>
      <x:c r="B60" s="91" t="n">
        <x:v>1926.846</x:v>
      </x:c>
      <x:c r="C60" s="91" t="n">
        <x:v>74.76090909</x:v>
      </x:c>
      <x:c r="D60" s="91" t="n">
        <x:v>319.07</x:v>
      </x:c>
      <x:c r="E60" s="91" t="n">
        <x:v>3881.69</x:v>
      </x:c>
      <x:c r="F60" s="82" t="n">
        <x:v>3</x:v>
      </x:c>
      <x:c r="G60" s="82" t="n">
        <x:v>0.18</x:v>
      </x:c>
      <x:c r="H60" s="82" t="n">
        <x:v>2.82</x:v>
      </x:c>
      <x:c r="I60" s="92" t="n">
        <x:v>-3600.618051</x:v>
      </x:c>
      <x:c r="J60" s="82" t="n">
        <x:v>3.831127284</x:v>
      </x:c>
      <x:c r="K60" s="82" t="n">
        <x:v>96.06062727</x:v>
      </x:c>
      <x:c r="L60" s="82" t="n">
        <x:v>29.91636364</x:v>
      </x:c>
      <x:c r="M60" s="82" t="n">
        <x:v>160.18</x:v>
      </x:c>
      <x:c r="N60" s="93" t="n">
        <x:v>0</x:v>
      </x:c>
      <x:c r="O60" s="91" t="n">
        <x:v>26402.22</x:v>
      </x:c>
      <x:c r="P60" s="82" t="n">
        <x:v>8.5005</x:v>
      </x:c>
      <x:c r="Q60" s="82" t="n">
        <x:v>3.204090909</x:v>
      </x:c>
      <x:c r="R60" s="82" t="n">
        <x:v>5.296409091</x:v>
      </x:c>
      <x:c r="S60" s="92" t="n">
        <x:v>-987.02</x:v>
      </x:c>
      <x:c r="T60" s="92" t="n">
        <x:v>1647.53</x:v>
      </x:c>
      <x:c r="U60" s="82" t="n">
        <x:v>72.95</x:v>
      </x:c>
      <x:c r="V60" s="82" t="n">
        <x:v>217.965</x:v>
      </x:c>
      <x:c r="W60" s="82" t="n">
        <x:v>1.189117741</x:v>
      </x:c>
      <x:c r="X60" s="94" t="n">
        <x:v>1.805318182</x:v>
      </x:c>
      <x:c r="Y60" s="94" t="n">
        <x:v>537.4727273</x:v>
      </x:c>
      <x:c r="Z60" s="94" t="n">
        <x:v>12.717</x:v>
      </x:c>
      <x:c r="AA60" s="95" t="n">
        <x:v>-0.06941040029</x:v>
      </x:c>
      <x:c r="AB60" s="93" t="n">
        <x:v>0</x:v>
      </x:c>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75" t="str">
        <x:v>2010-07</x:v>
      </x:c>
      <x:c r="B61" s="91" t="n">
        <x:v>1874.41129</x:v>
      </x:c>
      <x:c r="C61" s="91" t="n">
        <x:v>75.58</x:v>
      </x:c>
      <x:c r="D61" s="91" t="n">
        <x:v>341.59</x:v>
      </x:c>
      <x:c r="E61" s="91" t="n">
        <x:v>3908.81</x:v>
      </x:c>
      <x:c r="F61" s="82" t="n">
        <x:v>3</x:v>
      </x:c>
      <x:c r="G61" s="82" t="n">
        <x:v>0.18</x:v>
      </x:c>
      <x:c r="H61" s="82" t="n">
        <x:v>2.82</x:v>
      </x:c>
      <x:c r="I61" s="92" t="n">
        <x:v>-2150.40688</x:v>
      </x:c>
      <x:c r="J61" s="82" t="n">
        <x:v>3.723117998</x:v>
      </x:c>
      <x:c r="K61" s="82" t="n">
        <x:v>94.45469048</x:v>
      </x:c>
      <x:c r="L61" s="82" t="n">
        <x:v>25.5652381</x:v>
      </x:c>
      <x:c r="M61" s="82" t="n">
        <x:v>155.63</x:v>
      </x:c>
      <x:c r="N61" s="93" t="n">
        <x:v>0</x:v>
      </x:c>
      <x:c r="O61" s="91" t="n">
        <x:v>26665.02</x:v>
      </x:c>
      <x:c r="P61" s="82" t="n">
        <x:v>8.1115</x:v>
      </x:c>
      <x:c r="Q61" s="82" t="n">
        <x:v>3.011428571</x:v>
      </x:c>
      <x:c r="R61" s="82" t="n">
        <x:v>5.100071429</x:v>
      </x:c>
      <x:c r="S61" s="92" t="n">
        <x:v>-1028.52</x:v>
      </x:c>
      <x:c r="T61" s="92" t="n">
        <x:v>1358.97</x:v>
      </x:c>
      <x:c r="U61" s="82" t="n">
        <x:v>72.92</x:v>
      </x:c>
      <x:c r="V61" s="82" t="n">
        <x:v>218.011</x:v>
      </x:c>
      <x:c r="W61" s="82" t="n">
        <x:v>1.008217205</x:v>
      </x:c>
      <x:c r="X61" s="94" t="n">
        <x:v>1.76931818</x:v>
      </x:c>
      <x:c r="Y61" s="94" t="n">
        <x:v>530.2136364</x:v>
      </x:c>
      <x:c r="Z61" s="94" t="n">
        <x:v>12.8205</x:v>
      </x:c>
      <x:c r="AA61" s="95" t="n">
        <x:v>-0.3588252628</x:v>
      </x:c>
      <x:c r="AB61" s="93" t="n">
        <x:v>0</x:v>
      </x:c>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75" t="str">
        <x:v>2010-08</x:v>
      </x:c>
      <x:c r="B62" s="91" t="n">
        <x:v>1821.200645</x:v>
      </x:c>
      <x:c r="C62" s="91" t="n">
        <x:v>77.03954545</x:v>
      </x:c>
      <x:c r="D62" s="91" t="n">
        <x:v>337</x:v>
      </x:c>
      <x:c r="E62" s="91" t="n">
        <x:v>3941.76</x:v>
      </x:c>
      <x:c r="F62" s="82" t="n">
        <x:v>3</x:v>
      </x:c>
      <x:c r="G62" s="82" t="n">
        <x:v>0.19</x:v>
      </x:c>
      <x:c r="H62" s="82" t="n">
        <x:v>2.81</x:v>
      </x:c>
      <x:c r="I62" s="92" t="n">
        <x:v>134.6172056</x:v>
      </x:c>
      <x:c r="J62" s="82" t="n">
        <x:v>3.835619272</x:v>
      </x:c>
      <x:c r="K62" s="82" t="n">
        <x:v>93.68223182</x:v>
      </x:c>
      <x:c r="L62" s="82" t="n">
        <x:v>24.74590909</x:v>
      </x:c>
      <x:c r="M62" s="82" t="n">
        <x:v>158.98</x:v>
      </x:c>
      <x:c r="N62" s="93" t="n">
        <x:v>0</x:v>
      </x:c>
      <x:c r="O62" s="91" t="n">
        <x:v>26701.9</x:v>
      </x:c>
      <x:c r="P62" s="82" t="n">
        <x:v>7.687619048</x:v>
      </x:c>
      <x:c r="Q62" s="82" t="n">
        <x:v>2.698636364</x:v>
      </x:c>
      <x:c r="R62" s="82" t="n">
        <x:v>4.988982684</x:v>
      </x:c>
      <x:c r="S62" s="92" t="n">
        <x:v>-900.77</x:v>
      </x:c>
      <x:c r="T62" s="92" t="n">
        <x:v>998.17</x:v>
      </x:c>
      <x:c r="U62" s="82" t="n">
        <x:v>73</x:v>
      </x:c>
      <x:c r="V62" s="82" t="n">
        <x:v>218.312</x:v>
      </x:c>
      <x:c r="W62" s="82" t="n">
        <x:v>1.164439236</x:v>
      </x:c>
      <x:c r="X62" s="94" t="n">
        <x:v>1.758727279</x:v>
      </x:c>
      <x:c r="Y62" s="94" t="n">
        <x:v>508.0090909</x:v>
      </x:c>
      <x:c r="Z62" s="94" t="n">
        <x:v>12.76863636</x:v>
      </x:c>
      <x:c r="AA62" s="95" t="n">
        <x:v>-0.740102386</x:v>
      </x:c>
      <x:c r="AB62" s="93" t="n">
        <x:v>0</x:v>
      </x:c>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75" t="str">
        <x:v>2010-09</x:v>
      </x:c>
      <x:c r="B63" s="91" t="n">
        <x:v>1805.772333</x:v>
      </x:c>
      <x:c r="C63" s="91" t="n">
        <x:v>77.84047619</x:v>
      </x:c>
      <x:c r="D63" s="91" t="n">
        <x:v>330.33</x:v>
      </x:c>
      <x:c r="E63" s="91" t="n">
        <x:v>3958.39</x:v>
      </x:c>
      <x:c r="F63" s="82" t="n">
        <x:v>3</x:v>
      </x:c>
      <x:c r="G63" s="82" t="n">
        <x:v>0.19</x:v>
      </x:c>
      <x:c r="H63" s="82" t="n">
        <x:v>2.81</x:v>
      </x:c>
      <x:c r="I63" s="92" t="n">
        <x:v>424.749597</x:v>
      </x:c>
      <x:c r="J63" s="82" t="n">
        <x:v>3.519088865</x:v>
      </x:c>
      <x:c r="K63" s="82" t="n">
        <x:v>92.76259524</x:v>
      </x:c>
      <x:c r="L63" s="82" t="n">
        <x:v>22.51761905</x:v>
      </x:c>
      <x:c r="M63" s="82" t="n">
        <x:v>158.74</x:v>
      </x:c>
      <x:c r="N63" s="93" t="n">
        <x:v>0</x:v>
      </x:c>
      <x:c r="O63" s="91" t="n">
        <x:v>27286.08</x:v>
      </x:c>
      <x:c r="P63" s="82" t="n">
        <x:v>7.745454545</x:v>
      </x:c>
      <x:c r="Q63" s="82" t="n">
        <x:v>2.647619048</x:v>
      </x:c>
      <x:c r="R63" s="82" t="n">
        <x:v>5.097835498</x:v>
      </x:c>
      <x:c r="S63" s="92" t="n">
        <x:v>-1120.01</x:v>
      </x:c>
      <x:c r="T63" s="92" t="n">
        <x:v>1716.03</x:v>
      </x:c>
      <x:c r="U63" s="82" t="n">
        <x:v>72.9</x:v>
      </x:c>
      <x:c r="V63" s="82" t="n">
        <x:v>218.439</x:v>
      </x:c>
      <x:c r="W63" s="82" t="n">
        <x:v>1.129044615</x:v>
      </x:c>
      <x:c r="X63" s="94" t="n">
        <x:v>1.717727271</x:v>
      </x:c>
      <x:c r="Y63" s="94" t="n">
        <x:v>493.4136364</x:v>
      </x:c>
      <x:c r="Z63" s="94" t="n">
        <x:v>12.803</x:v>
      </x:c>
      <x:c r="AA63" s="95" t="n">
        <x:v>-0.6491606132</x:v>
      </x:c>
      <x:c r="AB63" s="93" t="n">
        <x:v>0</x:v>
      </x:c>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75" t="str">
        <x:v>2010-10</x:v>
      </x:c>
      <x:c r="B64" s="91" t="n">
        <x:v>1808.607097</x:v>
      </x:c>
      <x:c r="C64" s="91" t="n">
        <x:v>82.6647619</x:v>
      </x:c>
      <x:c r="D64" s="91" t="n">
        <x:v>343.74</x:v>
      </x:c>
      <x:c r="E64" s="91" t="n">
        <x:v>3967.21</x:v>
      </x:c>
      <x:c r="F64" s="82" t="n">
        <x:v>3</x:v>
      </x:c>
      <x:c r="G64" s="82" t="n">
        <x:v>0.19</x:v>
      </x:c>
      <x:c r="H64" s="82" t="n">
        <x:v>2.81</x:v>
      </x:c>
      <x:c r="I64" s="92" t="n">
        <x:v>-2495.162226</x:v>
      </x:c>
      <x:c r="J64" s="82" t="n">
        <x:v>3.296175502</x:v>
      </x:c>
      <x:c r="K64" s="82" t="n">
        <x:v>90.22912</x:v>
      </x:c>
      <x:c r="L64" s="82" t="n">
        <x:v>20.37333333</x:v>
      </x:c>
      <x:c r="M64" s="82" t="n">
        <x:v>163.94</x:v>
      </x:c>
      <x:c r="N64" s="93" t="n">
        <x:v>0</x:v>
      </x:c>
      <x:c r="O64" s="91" t="n">
        <x:v>27838.86</x:v>
      </x:c>
      <x:c r="P64" s="82" t="n">
        <x:v>7.631</x:v>
      </x:c>
      <x:c r="Q64" s="82" t="n">
        <x:v>2.54</x:v>
      </x:c>
      <x:c r="R64" s="82" t="n">
        <x:v>5.091</x:v>
      </x:c>
      <x:c r="S64" s="92" t="n">
        <x:v>-942.47</x:v>
      </x:c>
      <x:c r="T64" s="92" t="n">
        <x:v>1600.73</x:v>
      </x:c>
      <x:c r="U64" s="82" t="n">
        <x:v>72.84</x:v>
      </x:c>
      <x:c r="V64" s="82" t="n">
        <x:v>218.711</x:v>
      </x:c>
      <x:c r="W64" s="82" t="n">
        <x:v>1.14555365</x:v>
      </x:c>
      <x:c r="X64" s="94" t="n">
        <x:v>1.683904761</x:v>
      </x:c>
      <x:c r="Y64" s="94" t="n">
        <x:v>484.6142857</x:v>
      </x:c>
      <x:c r="Z64" s="94" t="n">
        <x:v>12.44404762</x:v>
      </x:c>
      <x:c r="AA64" s="95" t="n">
        <x:v>-0.8488139257</x:v>
      </x:c>
      <x:c r="AB64" s="93" t="n">
        <x:v>0</x:v>
      </x:c>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75" t="str">
        <x:v>2010-11</x:v>
      </x:c>
      <x:c r="B65" s="91" t="n">
        <x:v>1862.994</x:v>
      </x:c>
      <x:c r="C65" s="91" t="n">
        <x:v>85.2747619</x:v>
      </x:c>
      <x:c r="D65" s="91" t="n">
        <x:v>360.89</x:v>
      </x:c>
      <x:c r="E65" s="91" t="n">
        <x:v>3987.23</x:v>
      </x:c>
      <x:c r="F65" s="82" t="n">
        <x:v>3</x:v>
      </x:c>
      <x:c r="G65" s="82" t="n">
        <x:v>0.19</x:v>
      </x:c>
      <x:c r="H65" s="82" t="n">
        <x:v>2.81</x:v>
      </x:c>
      <x:c r="I65" s="92" t="n">
        <x:v>-2609.406444</x:v>
      </x:c>
      <x:c r="J65" s="82" t="n">
        <x:v>3.142361823</x:v>
      </x:c>
      <x:c r="K65" s="82" t="n">
        <x:v>90.509535</x:v>
      </x:c>
      <x:c r="L65" s="82" t="n">
        <x:v>20.09571429</x:v>
      </x:c>
      <x:c r="M65" s="82" t="n">
        <x:v>166.7</x:v>
      </x:c>
      <x:c r="N65" s="93" t="n">
        <x:v>0</x:v>
      </x:c>
      <x:c r="O65" s="91" t="n">
        <x:v>27871.06</x:v>
      </x:c>
      <x:c r="P65" s="82" t="n">
        <x:v>7.842</x:v>
      </x:c>
      <x:c r="Q65" s="82" t="n">
        <x:v>2.763</x:v>
      </x:c>
      <x:c r="R65" s="82" t="n">
        <x:v>5.079</x:v>
      </x:c>
      <x:c r="S65" s="92" t="n">
        <x:v>-935.16</x:v>
      </x:c>
      <x:c r="T65" s="92" t="n">
        <x:v>859.07</x:v>
      </x:c>
      <x:c r="U65" s="82" t="n">
        <x:v>72.98</x:v>
      </x:c>
      <x:c r="V65" s="82" t="n">
        <x:v>218.803</x:v>
      </x:c>
      <x:c r="W65" s="82" t="n">
        <x:v>1.443288343</x:v>
      </x:c>
      <x:c r="X65" s="94" t="n">
        <x:v>1.713499996</x:v>
      </x:c>
      <x:c r="Y65" s="94" t="n">
        <x:v>482.5886364</x:v>
      </x:c>
      <x:c r="Z65" s="94" t="n">
        <x:v>12.33477273</x:v>
      </x:c>
      <x:c r="AA65" s="95" t="n">
        <x:v>-0.1024320116</x:v>
      </x:c>
      <x:c r="AB65" s="93" t="n">
        <x:v>0</x:v>
      </x:c>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75" t="str">
        <x:v>2010-12</x:v>
      </x:c>
      <x:c r="B66" s="91" t="n">
        <x:v>1922.33129</x:v>
      </x:c>
      <x:c r="C66" s="91" t="n">
        <x:v>91.44681818</x:v>
      </x:c>
      <x:c r="D66" s="91" t="n">
        <x:v>416.74</x:v>
      </x:c>
      <x:c r="E66" s="91" t="n">
        <x:v>3996.34</x:v>
      </x:c>
      <x:c r="F66" s="82" t="n">
        <x:v>3</x:v>
      </x:c>
      <x:c r="G66" s="82" t="n">
        <x:v>0.18</x:v>
      </x:c>
      <x:c r="H66" s="82" t="n">
        <x:v>2.82</x:v>
      </x:c>
      <x:c r="I66" s="92" t="n">
        <x:v>-9971.978206</x:v>
      </x:c>
      <x:c r="J66" s="82" t="n">
        <x:v>3.863366127</x:v>
      </x:c>
      <x:c r="K66" s="82" t="n">
        <x:v>91.18347143</x:v>
      </x:c>
      <x:c r="L66" s="82" t="n">
        <x:v>17.56954545</x:v>
      </x:c>
      <x:c r="M66" s="82" t="n">
        <x:v>167.94</x:v>
      </x:c>
      <x:c r="N66" s="93" t="n">
        <x:v>0</x:v>
      </x:c>
      <x:c r="O66" s="91" t="n">
        <x:v>28451.84</x:v>
      </x:c>
      <x:c r="P66" s="82" t="n">
        <x:v>8.178571429</x:v>
      </x:c>
      <x:c r="Q66" s="82" t="n">
        <x:v>3.290909091</x:v>
      </x:c>
      <x:c r="R66" s="82" t="n">
        <x:v>4.887662338</x:v>
      </x:c>
      <x:c r="S66" s="92" t="n">
        <x:v>-1117.54</x:v>
      </x:c>
      <x:c r="T66" s="92" t="n">
        <x:v>2157.34</x:v>
      </x:c>
      <x:c r="U66" s="82" t="n">
        <x:v>73.45</x:v>
      </x:c>
      <x:c r="V66" s="82" t="n">
        <x:v>219.179</x:v>
      </x:c>
      <x:c r="W66" s="82" t="n">
        <x:v>1.664388832</x:v>
      </x:c>
      <x:c r="X66" s="94" t="n">
        <x:v>1.693173906</x:v>
      </x:c>
      <x:c r="Y66" s="94" t="n">
        <x:v>473.523913</x:v>
      </x:c>
      <x:c r="Z66" s="94" t="n">
        <x:v>12.38904348</x:v>
      </x:c>
      <x:c r="AA66" s="95" t="n">
        <x:v>-0.3956209811</x:v>
      </x:c>
      <x:c r="AB66" s="93" t="n">
        <x:v>0</x:v>
      </x:c>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75" t="str">
        <x:v>2011-01</x:v>
      </x:c>
      <x:c r="B67" s="91" t="n">
        <x:v>1867.076774</x:v>
      </x:c>
      <x:c r="C67" s="91" t="n">
        <x:v>96.5235</x:v>
      </x:c>
      <x:c r="D67" s="91" t="n">
        <x:v>291.37</x:v>
      </x:c>
      <x:c r="E67" s="91" t="n">
        <x:v>4022.4</x:v>
      </x:c>
      <x:c r="F67" s="82" t="n">
        <x:v>3</x:v>
      </x:c>
      <x:c r="G67" s="82" t="n">
        <x:v>0.17</x:v>
      </x:c>
      <x:c r="H67" s="82" t="n">
        <x:v>2.83</x:v>
      </x:c>
      <x:c r="I67" s="92" t="n">
        <x:v>4073.462465</x:v>
      </x:c>
      <x:c r="J67" s="82" t="n">
        <x:v>3.08770208</x:v>
      </x:c>
      <x:c r="K67" s="82" t="n">
        <x:v>90.11122</x:v>
      </x:c>
      <x:c r="L67" s="82" t="n">
        <x:v>17.3155</x:v>
      </x:c>
      <x:c r="M67" s="82" t="n">
        <x:v>168.24</x:v>
      </x:c>
      <x:c r="N67" s="93" t="n">
        <x:v>0</x:v>
      </x:c>
      <x:c r="O67" s="91" t="n">
        <x:v>28896.21</x:v>
      </x:c>
      <x:c r="P67" s="82" t="n">
        <x:v>8.395</x:v>
      </x:c>
      <x:c r="Q67" s="82" t="n">
        <x:v>3.394</x:v>
      </x:c>
      <x:c r="R67" s="82" t="n">
        <x:v>5.001</x:v>
      </x:c>
      <x:c r="S67" s="92" t="n">
        <x:v>-1190.37</x:v>
      </x:c>
      <x:c r="T67" s="92" t="n">
        <x:v>1665.29</x:v>
      </x:c>
      <x:c r="U67" s="82" t="n">
        <x:v>74.12</x:v>
      </x:c>
      <x:c r="V67" s="82" t="n">
        <x:v>220.223</x:v>
      </x:c>
      <x:c r="W67" s="82" t="n">
        <x:v>1.757747228</x:v>
      </x:c>
      <x:c r="X67" s="94" t="n">
        <x:v>1.67485714</x:v>
      </x:c>
      <x:c r="Y67" s="94" t="n">
        <x:v>490.2095238</x:v>
      </x:c>
      <x:c r="Z67" s="94" t="n">
        <x:v>12.1236619</x:v>
      </x:c>
      <x:c r="AA67" s="95" t="n">
        <x:v>-0.02879319328</x:v>
      </x:c>
      <x:c r="AB67" s="93" t="n">
        <x:v>0</x:v>
      </x:c>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75" t="str">
        <x:v>2011-02</x:v>
      </x:c>
      <x:c r="B68" s="91" t="n">
        <x:v>1882.371429</x:v>
      </x:c>
      <x:c r="C68" s="91" t="n">
        <x:v>103.7163158</x:v>
      </x:c>
      <x:c r="D68" s="91" t="n">
        <x:v>320.09</x:v>
      </x:c>
      <x:c r="E68" s="91" t="n">
        <x:v>4069.29</x:v>
      </x:c>
      <x:c r="F68" s="82" t="n">
        <x:v>3.008928571</x:v>
      </x:c>
      <x:c r="G68" s="82" t="n">
        <x:v>0.16</x:v>
      </x:c>
      <x:c r="H68" s="82" t="n">
        <x:v>2.848928571</x:v>
      </x:c>
      <x:c r="I68" s="92" t="n">
        <x:v>-788.2202759</x:v>
      </x:c>
      <x:c r="J68" s="82" t="n">
        <x:v>3.142188177</x:v>
      </x:c>
      <x:c r="K68" s="82" t="n">
        <x:v>89.39668947</x:v>
      </x:c>
      <x:c r="L68" s="82" t="n">
        <x:v>17.43</x:v>
      </x:c>
      <x:c r="M68" s="82" t="n">
        <x:v>173.53</x:v>
      </x:c>
      <x:c r="N68" s="93" t="n">
        <x:v>0</x:v>
      </x:c>
      <x:c r="O68" s="91" t="n">
        <x:v>29311.9</x:v>
      </x:c>
      <x:c r="P68" s="82" t="n">
        <x:v>8.776</x:v>
      </x:c>
      <x:c r="Q68" s="82" t="n">
        <x:v>3.576315789</x:v>
      </x:c>
      <x:c r="R68" s="82" t="n">
        <x:v>5.199684211</x:v>
      </x:c>
      <x:c r="S68" s="92" t="n">
        <x:v>-806.14</x:v>
      </x:c>
      <x:c r="T68" s="92" t="n">
        <x:v>1029.76</x:v>
      </x:c>
      <x:c r="U68" s="82" t="n">
        <x:v>74.57</x:v>
      </x:c>
      <x:c r="V68" s="82" t="n">
        <x:v>221.309</x:v>
      </x:c>
      <x:c r="W68" s="82" t="n">
        <x:v>1.060650014</x:v>
      </x:c>
      <x:c r="X68" s="94" t="n">
        <x:v>1.666649991</x:v>
      </x:c>
      <x:c r="Y68" s="94" t="n">
        <x:v>474.815</x:v>
      </x:c>
      <x:c r="Z68" s="94" t="n">
        <x:v>12.06545</x:v>
      </x:c>
      <x:c r="AA68" s="95" t="n">
        <x:v>-0.6035450963</x:v>
      </x:c>
      <x:c r="AB68" s="93" t="n">
        <x:v>0</x:v>
      </x:c>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75" t="str">
        <x:v>2011-03</x:v>
      </x:c>
      <x:c r="B69" s="91" t="n">
        <x:v>1881.814839</x:v>
      </x:c>
      <x:c r="C69" s="91" t="n">
        <x:v>114.6434783</x:v>
      </x:c>
      <x:c r="D69" s="91" t="n">
        <x:v>359.04</x:v>
      </x:c>
      <x:c r="E69" s="91" t="n">
        <x:v>4067.27</x:v>
      </x:c>
      <x:c r="F69" s="82" t="n">
        <x:v>3.330645161</x:v>
      </x:c>
      <x:c r="G69" s="82" t="n">
        <x:v>0.14</x:v>
      </x:c>
      <x:c r="H69" s="82" t="n">
        <x:v>3.190645161</x:v>
      </x:c>
      <x:c r="I69" s="92" t="n">
        <x:v>468.7181054</x:v>
      </x:c>
      <x:c r="J69" s="82" t="n">
        <x:v>2.906603181</x:v>
      </x:c>
      <x:c r="K69" s="82" t="n">
        <x:v>88.48722609</x:v>
      </x:c>
      <x:c r="L69" s="82" t="n">
        <x:v>20.72347826</x:v>
      </x:c>
      <x:c r="M69" s="82" t="n">
        <x:v>184.97</x:v>
      </x:c>
      <x:c r="N69" s="93" t="n">
        <x:v>0</x:v>
      </x:c>
      <x:c r="O69" s="91" t="n">
        <x:v>29846.61</x:v>
      </x:c>
      <x:c r="P69" s="82" t="n">
        <x:v>8.819090909</x:v>
      </x:c>
      <x:c r="Q69" s="82" t="n">
        <x:v>3.414347826</x:v>
      </x:c>
      <x:c r="R69" s="82" t="n">
        <x:v>5.404743083</x:v>
      </x:c>
      <x:c r="S69" s="92" t="n">
        <x:v>-1175.09</x:v>
      </x:c>
      <x:c r="T69" s="92" t="n">
        <x:v>1938.43</x:v>
      </x:c>
      <x:c r="U69" s="82" t="n">
        <x:v>74.77</x:v>
      </x:c>
      <x:c r="V69" s="82" t="n">
        <x:v>223.467</x:v>
      </x:c>
      <x:c r="W69" s="82" t="n">
        <x:v>0.50636251</x:v>
      </x:c>
      <x:c r="X69" s="94" t="n">
        <x:v>1.657260874</x:v>
      </x:c>
      <x:c r="Y69" s="94" t="n">
        <x:v>479.3173913</x:v>
      </x:c>
      <x:c r="Z69" s="94" t="n">
        <x:v>11.99795652</x:v>
      </x:c>
      <x:c r="AA69" s="95" t="n">
        <x:v>-0.1036843936</x:v>
      </x:c>
      <x:c r="AB69" s="93" t="n">
        <x:v>0</x:v>
      </x:c>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75" t="str">
        <x:v>2011-04</x:v>
      </x:c>
      <x:c r="B70" s="91" t="n">
        <x:v>1809.834</x:v>
      </x:c>
      <x:c r="C70" s="91" t="n">
        <x:v>123.2588889</x:v>
      </x:c>
      <x:c r="D70" s="91" t="n">
        <x:v>308.01</x:v>
      </x:c>
      <x:c r="E70" s="91" t="n">
        <x:v>4057.74</x:v>
      </x:c>
      <x:c r="F70" s="82" t="n">
        <x:v>3.5</x:v>
      </x:c>
      <x:c r="G70" s="82" t="n">
        <x:v>0.1</x:v>
      </x:c>
      <x:c r="H70" s="82" t="n">
        <x:v>3.4</x:v>
      </x:c>
      <x:c r="I70" s="92" t="n">
        <x:v>3929.227352</x:v>
      </x:c>
      <x:c r="J70" s="82" t="n">
        <x:v>2.322726513</x:v>
      </x:c>
      <x:c r="K70" s="82" t="n">
        <x:v>86.92136667</x:v>
      </x:c>
      <x:c r="L70" s="82" t="n">
        <x:v>16.244</x:v>
      </x:c>
      <x:c r="M70" s="82" t="n">
        <x:v>192.99</x:v>
      </x:c>
      <x:c r="N70" s="93" t="n">
        <x:v>0</x:v>
      </x:c>
      <x:c r="O70" s="91" t="n">
        <x:v>30555.51</x:v>
      </x:c>
      <x:c r="P70" s="82" t="n">
        <x:v>8.547368421</x:v>
      </x:c>
      <x:c r="Q70" s="82" t="n">
        <x:v>3.455</x:v>
      </x:c>
      <x:c r="R70" s="82" t="n">
        <x:v>5.092368421</x:v>
      </x:c>
      <x:c r="S70" s="92" t="n">
        <x:v>-1207.35</x:v>
      </x:c>
      <x:c r="T70" s="92" t="n">
        <x:v>2149.83</x:v>
      </x:c>
      <x:c r="U70" s="82" t="n">
        <x:v>74.86</x:v>
      </x:c>
      <x:c r="V70" s="82" t="n">
        <x:v>224.906</x:v>
      </x:c>
      <x:c r="W70" s="82" t="n">
        <x:v>-0.3198336344</x:v>
      </x:c>
      <x:c r="X70" s="94" t="n">
        <x:v>1.584190482</x:v>
      </x:c>
      <x:c r="Y70" s="94" t="n">
        <x:v>469.7095238</x:v>
      </x:c>
      <x:c r="Z70" s="94" t="n">
        <x:v>11.70142857</x:v>
      </x:c>
      <x:c r="AA70" s="95" t="n">
        <x:v>-1.065286415</x:v>
      </x:c>
      <x:c r="AB70" s="93" t="n">
        <x:v>0</x:v>
      </x:c>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75" t="str">
        <x:v>2011-05</x:v>
      </x:c>
      <x:c r="B71" s="91" t="n">
        <x:v>1800.50871</x:v>
      </x:c>
      <x:c r="C71" s="91" t="n">
        <x:v>114.9890476</x:v>
      </x:c>
      <x:c r="D71" s="91" t="n">
        <x:v>349.67</x:v>
      </x:c>
      <x:c r="E71" s="91" t="n">
        <x:v>4077.54</x:v>
      </x:c>
      <x:c r="F71" s="82" t="n">
        <x:v>3.75</x:v>
      </x:c>
      <x:c r="G71" s="82" t="n">
        <x:v>0.09</x:v>
      </x:c>
      <x:c r="H71" s="82" t="n">
        <x:v>3.66</x:v>
      </x:c>
      <x:c r="I71" s="92" t="n">
        <x:v>106.1759116</x:v>
      </x:c>
      <x:c r="J71" s="82" t="n">
        <x:v>2.01589302</x:v>
      </x:c>
      <x:c r="K71" s="82" t="n">
        <x:v>86.94640476</x:v>
      </x:c>
      <x:c r="L71" s="82" t="n">
        <x:v>16.91142857</x:v>
      </x:c>
      <x:c r="M71" s="82" t="n">
        <x:v>188.49</x:v>
      </x:c>
      <x:c r="N71" s="93" t="n">
        <x:v>0</x:v>
      </x:c>
      <x:c r="O71" s="91" t="n">
        <x:v>30811.65</x:v>
      </x:c>
      <x:c r="P71" s="82" t="n">
        <x:v>8.419090909</x:v>
      </x:c>
      <x:c r="Q71" s="82" t="n">
        <x:v>3.168571429</x:v>
      </x:c>
      <x:c r="R71" s="82" t="n">
        <x:v>5.250519481</x:v>
      </x:c>
      <x:c r="S71" s="92" t="n">
        <x:v>-1137.89</x:v>
      </x:c>
      <x:c r="T71" s="92" t="n">
        <x:v>1440.63</x:v>
      </x:c>
      <x:c r="U71" s="82" t="n">
        <x:v>75.07</x:v>
      </x:c>
      <x:c r="V71" s="82" t="n">
        <x:v>225.964</x:v>
      </x:c>
      <x:c r="W71" s="82" t="n">
        <x:v>-0.5495707195</x:v>
      </x:c>
      <x:c r="X71" s="94" t="n">
        <x:v>1.613090911</x:v>
      </x:c>
      <x:c r="Y71" s="94" t="n">
        <x:v>467.8863636</x:v>
      </x:c>
      <x:c r="Z71" s="94" t="n">
        <x:v>11.653</x:v>
      </x:c>
      <x:c r="AA71" s="95" t="n">
        <x:v>-0.0367921051</x:v>
      </x:c>
      <x:c r="AB71" s="93" t="n">
        <x:v>0</x:v>
      </x:c>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75" t="str">
        <x:v>2011-06</x:v>
      </x:c>
      <x:c r="B72" s="91" t="n">
        <x:v>1783.159333</x:v>
      </x:c>
      <x:c r="C72" s="91" t="n">
        <x:v>113.8331818</x:v>
      </x:c>
      <x:c r="D72" s="91" t="n">
        <x:v>326.63</x:v>
      </x:c>
      <x:c r="E72" s="91" t="n">
        <x:v>4085.1</x:v>
      </x:c>
      <x:c r="F72" s="82" t="n">
        <x:v>4.091666667</x:v>
      </x:c>
      <x:c r="G72" s="82" t="n">
        <x:v>0.09</x:v>
      </x:c>
      <x:c r="H72" s="82" t="n">
        <x:v>4.001666667</x:v>
      </x:c>
      <x:c r="I72" s="92" t="n">
        <x:v>206.31011</x:v>
      </x:c>
      <x:c r="J72" s="82" t="n">
        <x:v>1.400903244</x:v>
      </x:c>
      <x:c r="K72" s="82" t="n">
        <x:v>86.94125455</x:v>
      </x:c>
      <x:c r="L72" s="82" t="n">
        <x:v>19.15318182</x:v>
      </x:c>
      <x:c r="M72" s="82" t="n">
        <x:v>185.71</x:v>
      </x:c>
      <x:c r="N72" s="93" t="n">
        <x:v>0</x:v>
      </x:c>
      <x:c r="O72" s="91" t="n">
        <x:v>31197.83</x:v>
      </x:c>
      <x:c r="P72" s="82" t="n">
        <x:v>8.019</x:v>
      </x:c>
      <x:c r="Q72" s="82" t="n">
        <x:v>3.002272727</x:v>
      </x:c>
      <x:c r="R72" s="82" t="n">
        <x:v>5.016727273</x:v>
      </x:c>
      <x:c r="S72" s="92" t="n">
        <x:v>-1162.65</x:v>
      </x:c>
      <x:c r="T72" s="92" t="n">
        <x:v>1728.3</x:v>
      </x:c>
      <x:c r="U72" s="82" t="n">
        <x:v>75.31</x:v>
      </x:c>
      <x:c r="V72" s="82" t="n">
        <x:v>225.722</x:v>
      </x:c>
      <x:c r="W72" s="82" t="n">
        <x:v>-0.3237357231</x:v>
      </x:c>
      <x:c r="X72" s="94" t="n">
        <x:v>1.58590909</x:v>
      </x:c>
      <x:c r="Y72" s="94" t="n">
        <x:v>469.4954545</x:v>
      </x:c>
      <x:c r="Z72" s="94" t="n">
        <x:v>11.80381818</x:v>
      </x:c>
      <x:c r="AA72" s="95" t="n">
        <x:v>-0.06070425238</x:v>
      </x:c>
      <x:c r="AB72" s="93" t="n">
        <x:v>0</x:v>
      </x:c>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75" t="str">
        <x:v>2011-07</x:v>
      </x:c>
      <x:c r="B73" s="91" t="n">
        <x:v>1761.593871</x:v>
      </x:c>
      <x:c r="C73" s="91" t="n">
        <x:v>116.9735</x:v>
      </x:c>
      <x:c r="D73" s="91" t="n">
        <x:v>319.42</x:v>
      </x:c>
      <x:c r="E73" s="91" t="n">
        <x:v>4062.93</x:v>
      </x:c>
      <x:c r="F73" s="82" t="n">
        <x:v>4.25</x:v>
      </x:c>
      <x:c r="G73" s="82" t="n">
        <x:v>0.07</x:v>
      </x:c>
      <x:c r="H73" s="82" t="n">
        <x:v>4.18</x:v>
      </x:c>
      <x:c r="I73" s="92" t="n">
        <x:v>-123.3717723</x:v>
      </x:c>
      <x:c r="J73" s="82" t="n">
        <x:v>1.073446088</x:v>
      </x:c>
      <x:c r="K73" s="82" t="n">
        <x:v>86.317805</x:v>
      </x:c>
      <x:c r="L73" s="82" t="n">
        <x:v>19.2275</x:v>
      </x:c>
      <x:c r="M73" s="82" t="n">
        <x:v>185.45</x:v>
      </x:c>
      <x:c r="N73" s="93" t="n">
        <x:v>0</x:v>
      </x:c>
      <x:c r="O73" s="91" t="n">
        <x:v>32144.6</x:v>
      </x:c>
      <x:c r="P73" s="82" t="n">
        <x:v>7.910526316</x:v>
      </x:c>
      <x:c r="Q73" s="82" t="n">
        <x:v>3.003</x:v>
      </x:c>
      <x:c r="R73" s="82" t="n">
        <x:v>4.907526316</x:v>
      </x:c>
      <x:c r="S73" s="92" t="n">
        <x:v>-794.88</x:v>
      </x:c>
      <x:c r="T73" s="92" t="n">
        <x:v>1838.09</x:v>
      </x:c>
      <x:c r="U73" s="82" t="n">
        <x:v>75.42</x:v>
      </x:c>
      <x:c r="V73" s="82" t="n">
        <x:v>225.922</x:v>
      </x:c>
      <x:c r="W73" s="82" t="n">
        <x:v>-0.2003012812</x:v>
      </x:c>
      <x:c r="X73" s="94" t="n">
        <x:v>1.562238103</x:v>
      </x:c>
      <x:c r="Y73" s="94" t="n">
        <x:v>461.9190476</x:v>
      </x:c>
      <x:c r="Z73" s="94" t="n">
        <x:v>11.669</x:v>
      </x:c>
      <x:c r="AA73" s="95" t="n">
        <x:v>-0.5802948451</x:v>
      </x:c>
      <x:c r="AB73" s="93" t="n">
        <x:v>0</x:v>
      </x:c>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75" t="str">
        <x:v>2011-08</x:v>
      </x:c>
      <x:c r="B74" s="91" t="n">
        <x:v>1785.56</x:v>
      </x:c>
      <x:c r="C74" s="91" t="n">
        <x:v>110.2195455</x:v>
      </x:c>
      <x:c r="D74" s="91" t="n">
        <x:v>369.65</x:v>
      </x:c>
      <x:c r="E74" s="91" t="n">
        <x:v>4095.58</x:v>
      </x:c>
      <x:c r="F74" s="82" t="n">
        <x:v>4.5</x:v>
      </x:c>
      <x:c r="G74" s="82" t="n">
        <x:v>0.1</x:v>
      </x:c>
      <x:c r="H74" s="82" t="n">
        <x:v>4.4</x:v>
      </x:c>
      <x:c r="I74" s="92" t="n">
        <x:v>-3295.813115</x:v>
      </x:c>
      <x:c r="J74" s="82" t="n">
        <x:v>1.627614564</x:v>
      </x:c>
      <x:c r="K74" s="82" t="n">
        <x:v>86.89824348</x:v>
      </x:c>
      <x:c r="L74" s="82" t="n">
        <x:v>35.02913043</x:v>
      </x:c>
      <x:c r="M74" s="82" t="n">
        <x:v>180.66</x:v>
      </x:c>
      <x:c r="N74" s="93" t="n">
        <x:v>0</x:v>
      </x:c>
      <x:c r="O74" s="91" t="n">
        <x:v>32355.27</x:v>
      </x:c>
      <x:c r="P74" s="82" t="n">
        <x:v>7.563181818</x:v>
      </x:c>
      <x:c r="Q74" s="82" t="n">
        <x:v>2.303043478</x:v>
      </x:c>
      <x:c r="R74" s="82" t="n">
        <x:v>5.26013834</x:v>
      </x:c>
      <x:c r="S74" s="92" t="n">
        <x:v>-829.45</x:v>
      </x:c>
      <x:c r="T74" s="92" t="n">
        <x:v>877.22</x:v>
      </x:c>
      <x:c r="U74" s="82" t="n">
        <x:v>75.39</x:v>
      </x:c>
      <x:c r="V74" s="82" t="n">
        <x:v>226.545</x:v>
      </x:c>
      <x:c r="W74" s="82" t="n">
        <x:v>-0.4972355764</x:v>
      </x:c>
      <x:c r="X74" s="94" t="n">
        <x:v>1.595739121</x:v>
      </x:c>
      <x:c r="Y74" s="94" t="n">
        <x:v>466.6369565</x:v>
      </x:c>
      <x:c r="Z74" s="94" t="n">
        <x:v>12.231</x:v>
      </x:c>
      <x:c r="AA74" s="95" t="n">
        <x:v>0.7798503499</x:v>
      </x:c>
      <x:c r="AB74" s="93" t="n">
        <x:v>0</x:v>
      </x:c>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75" t="str">
        <x:v>2011-09</x:v>
      </x:c>
      <x:c r="B75" s="91" t="n">
        <x:v>1833.319667</x:v>
      </x:c>
      <x:c r="C75" s="91" t="n">
        <x:v>112.8338095</x:v>
      </x:c>
      <x:c r="D75" s="91" t="n">
        <x:v>339.35</x:v>
      </x:c>
      <x:c r="E75" s="91" t="n">
        <x:v>4104.6</x:v>
      </x:c>
      <x:c r="F75" s="82" t="n">
        <x:v>4.5</x:v>
      </x:c>
      <x:c r="G75" s="82" t="n">
        <x:v>0.08</x:v>
      </x:c>
      <x:c r="H75" s="82" t="n">
        <x:v>4.42</x:v>
      </x:c>
      <x:c r="I75" s="92" t="n">
        <x:v>1273.770036</x:v>
      </x:c>
      <x:c r="J75" s="82" t="n">
        <x:v>1.490459654</x:v>
      </x:c>
      <x:c r="K75" s="82" t="n">
        <x:v>89.72526667</x:v>
      </x:c>
      <x:c r="L75" s="82" t="n">
        <x:v>36.53</x:v>
      </x:c>
      <x:c r="M75" s="82" t="n">
        <x:v>186.69</x:v>
      </x:c>
      <x:c r="N75" s="93" t="n">
        <x:v>0</x:v>
      </x:c>
      <x:c r="O75" s="91" t="n">
        <x:v>32434.11</x:v>
      </x:c>
      <x:c r="P75" s="82" t="n">
        <x:v>7.490909091</x:v>
      </x:c>
      <x:c r="Q75" s="82" t="n">
        <x:v>1.975238095</x:v>
      </x:c>
      <x:c r="R75" s="82" t="n">
        <x:v>5.515670996</x:v>
      </x:c>
      <x:c r="S75" s="92" t="n">
        <x:v>-575.03</x:v>
      </x:c>
      <x:c r="T75" s="92" t="n">
        <x:v>595.68</x:v>
      </x:c>
      <x:c r="U75" s="82" t="n">
        <x:v>75.62</x:v>
      </x:c>
      <x:c r="V75" s="82" t="n">
        <x:v>226.889</x:v>
      </x:c>
      <x:c r="W75" s="82" t="n">
        <x:v>-0.1372182951</x:v>
      </x:c>
      <x:c r="X75" s="94" t="n">
        <x:v>1.749954538</x:v>
      </x:c>
      <x:c r="Y75" s="94" t="n">
        <x:v>486.3363636</x:v>
      </x:c>
      <x:c r="Z75" s="94" t="n">
        <x:v>13.05427273</x:v>
      </x:c>
      <x:c r="AA75" s="95" t="n">
        <x:v>2.031721955</x:v>
      </x:c>
      <x:c r="AB75" s="93" t="n">
        <x:v>0</x:v>
      </x:c>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75" t="str">
        <x:v>2011-10</x:v>
      </x:c>
      <x:c r="B76" s="91" t="n">
        <x:v>1907.609032</x:v>
      </x:c>
      <x:c r="C76" s="91" t="n">
        <x:v>109.55</x:v>
      </x:c>
      <x:c r="D76" s="91" t="n">
        <x:v>351.16</x:v>
      </x:c>
      <x:c r="E76" s="91" t="n">
        <x:v>4112.02</x:v>
      </x:c>
      <x:c r="F76" s="82" t="n">
        <x:v>4.5</x:v>
      </x:c>
      <x:c r="G76" s="82" t="n">
        <x:v>0.07</x:v>
      </x:c>
      <x:c r="H76" s="82" t="n">
        <x:v>4.43</x:v>
      </x:c>
      <x:c r="I76" s="92" t="n">
        <x:v>-3200.593164</x:v>
      </x:c>
      <x:c r="J76" s="82" t="n">
        <x:v>1.604418414</x:v>
      </x:c>
      <x:c r="K76" s="82" t="n">
        <x:v>90.609845</x:v>
      </x:c>
      <x:c r="L76" s="82" t="n">
        <x:v>32.82904762</x:v>
      </x:c>
      <x:c r="M76" s="82" t="n">
        <x:v>185.34</x:v>
      </x:c>
      <x:c r="N76" s="93" t="n">
        <x:v>0</x:v>
      </x:c>
      <x:c r="O76" s="91" t="n">
        <x:v>32739.02</x:v>
      </x:c>
      <x:c r="P76" s="82" t="n">
        <x:v>7.682</x:v>
      </x:c>
      <x:c r="Q76" s="82" t="n">
        <x:v>2.152</x:v>
      </x:c>
      <x:c r="R76" s="82" t="n">
        <x:v>5.53</x:v>
      </x:c>
      <x:c r="S76" s="92" t="n">
        <x:v>-771.61</x:v>
      </x:c>
      <x:c r="T76" s="92" t="n">
        <x:v>1156.01</x:v>
      </x:c>
      <x:c r="U76" s="82" t="n">
        <x:v>75.77</x:v>
      </x:c>
      <x:c r="V76" s="82" t="n">
        <x:v>226.421</x:v>
      </x:c>
      <x:c r="W76" s="82" t="n">
        <x:v>0.4973151802</x:v>
      </x:c>
      <x:c r="X76" s="94" t="n">
        <x:v>1.772285722</x:v>
      </x:c>
      <x:c r="Y76" s="94" t="n">
        <x:v>509.1928571</x:v>
      </x:c>
      <x:c r="Z76" s="94" t="n">
        <x:v>13.43847619</x:v>
      </x:c>
      <x:c r="AA76" s="95" t="n">
        <x:v>0.9328167599</x:v>
      </x:c>
      <x:c r="AB76" s="93" t="n">
        <x:v>0</x:v>
      </x:c>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75" t="str">
        <x:v>2011-11</x:v>
      </x:c>
      <x:c r="B77" s="91" t="n">
        <x:v>1919.475</x:v>
      </x:c>
      <x:c r="C77" s="91" t="n">
        <x:v>110.7680952</x:v>
      </x:c>
      <x:c r="D77" s="91" t="n">
        <x:v>354.01</x:v>
      </x:c>
      <x:c r="E77" s="91" t="n">
        <x:v>4105.14</x:v>
      </x:c>
      <x:c r="F77" s="82" t="n">
        <x:v>4.525</x:v>
      </x:c>
      <x:c r="G77" s="82" t="n">
        <x:v>0.08</x:v>
      </x:c>
      <x:c r="H77" s="82" t="n">
        <x:v>4.445</x:v>
      </x:c>
      <x:c r="I77" s="92" t="n">
        <x:v>-9099.518621</x:v>
      </x:c>
      <x:c r="J77" s="82" t="n">
        <x:v>2.652862846</x:v>
      </x:c>
      <x:c r="K77" s="82" t="n">
        <x:v>91.26488</x:v>
      </x:c>
      <x:c r="L77" s="82" t="n">
        <x:v>31.94190476</x:v>
      </x:c>
      <x:c r="M77" s="82" t="n">
        <x:v>191.56</x:v>
      </x:c>
      <x:c r="N77" s="93" t="n">
        <x:v>0</x:v>
      </x:c>
      <x:c r="O77" s="91" t="n">
        <x:v>32588.96</x:v>
      </x:c>
      <x:c r="P77" s="82" t="n">
        <x:v>7.683</x:v>
      </x:c>
      <x:c r="Q77" s="82" t="n">
        <x:v>2.0135</x:v>
      </x:c>
      <x:c r="R77" s="82" t="n">
        <x:v>5.6695</x:v>
      </x:c>
      <x:c r="S77" s="92" t="n">
        <x:v>-523.34</x:v>
      </x:c>
      <x:c r="T77" s="92" t="n">
        <x:v>239.96</x:v>
      </x:c>
      <x:c r="U77" s="82" t="n">
        <x:v>75.87</x:v>
      </x:c>
      <x:c r="V77" s="82" t="n">
        <x:v>226.23</x:v>
      </x:c>
      <x:c r="W77" s="82" t="n">
        <x:v>0.5656114473</x:v>
      </x:c>
      <x:c r="X77" s="94" t="n">
        <x:v>1.786136367</x:v>
      </x:c>
      <x:c r="Y77" s="94" t="n">
        <x:v>508.6477273</x:v>
      </x:c>
      <x:c r="Z77" s="94" t="n">
        <x:v>13.69709091</x:v>
      </x:c>
      <x:c r="AA77" s="95" t="n">
        <x:v>0.1826083147</x:v>
      </x:c>
      <x:c r="AB77" s="93" t="n">
        <x:v>0</x:v>
      </x:c>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75" t="str">
        <x:v>2011-12</x:v>
      </x:c>
      <x:c r="B78" s="91" t="n">
        <x:v>1933.35129</x:v>
      </x:c>
      <x:c r="C78" s="91" t="n">
        <x:v>107.8705</x:v>
      </x:c>
      <x:c r="D78" s="91" t="n">
        <x:v>375.7</x:v>
      </x:c>
      <x:c r="E78" s="91" t="n">
        <x:v>4064.1</x:v>
      </x:c>
      <x:c r="F78" s="82" t="n">
        <x:v>4.75</x:v>
      </x:c>
      <x:c r="G78" s="82" t="n">
        <x:v>0.07</x:v>
      </x:c>
      <x:c r="H78" s="82" t="n">
        <x:v>4.68</x:v>
      </x:c>
      <x:c r="I78" s="92" t="n">
        <x:v>-11056.86197</x:v>
      </x:c>
      <x:c r="J78" s="82" t="n">
        <x:v>2.82812027</x:v>
      </x:c>
      <x:c r="K78" s="82" t="n">
        <x:v>92.20559048</x:v>
      </x:c>
      <x:c r="L78" s="82" t="n">
        <x:v>25.04761905</x:v>
      </x:c>
      <x:c r="M78" s="82" t="n">
        <x:v>183.64</x:v>
      </x:c>
      <x:c r="N78" s="93" t="n">
        <x:v>0</x:v>
      </x:c>
      <x:c r="O78" s="91" t="n">
        <x:v>32300.44</x:v>
      </x:c>
      <x:c r="P78" s="82" t="n">
        <x:v>7.7515</x:v>
      </x:c>
      <x:c r="Q78" s="82" t="n">
        <x:v>1.978095238</x:v>
      </x:c>
      <x:c r="R78" s="82" t="n">
        <x:v>5.773404762</x:v>
      </x:c>
      <x:c r="S78" s="92" t="n">
        <x:v>-870.63</x:v>
      </x:c>
      <x:c r="T78" s="92" t="n">
        <x:v>615.38</x:v>
      </x:c>
      <x:c r="U78" s="82" t="n">
        <x:v>76.19</x:v>
      </x:c>
      <x:c r="V78" s="82" t="n">
        <x:v>225.672</x:v>
      </x:c>
      <x:c r="W78" s="82" t="n">
        <x:v>0.7680100183</x:v>
      </x:c>
      <x:c r="X78" s="94" t="n">
        <x:v>1.837681825</x:v>
      </x:c>
      <x:c r="Y78" s="94" t="n">
        <x:v>516.8840909</x:v>
      </x:c>
      <x:c r="Z78" s="94" t="n">
        <x:v>13.76968182</x:v>
      </x:c>
      <x:c r="AA78" s="95" t="n">
        <x:v>0.4194774238</x:v>
      </x:c>
      <x:c r="AB78" s="93" t="n">
        <x:v>0</x:v>
      </x:c>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75" t="str">
        <x:v>2012-01</x:v>
      </x:c>
      <x:c r="B79" s="91" t="n">
        <x:v>1853.282258</x:v>
      </x:c>
      <x:c r="C79" s="91" t="n">
        <x:v>110.686</x:v>
      </x:c>
      <x:c r="D79" s="91" t="n">
        <x:v>294.54</x:v>
      </x:c>
      <x:c r="E79" s="91" t="n">
        <x:v>4067.27</x:v>
      </x:c>
      <x:c r="F79" s="82" t="n">
        <x:v>4.758064516</x:v>
      </x:c>
      <x:c r="G79" s="82" t="n">
        <x:v>0.08</x:v>
      </x:c>
      <x:c r="H79" s="82" t="n">
        <x:v>4.678064516</x:v>
      </x:c>
      <x:c r="I79" s="92" t="n">
        <x:v>3977.500343</x:v>
      </x:c>
      <x:c r="J79" s="82" t="n">
        <x:v>2.641034086</x:v>
      </x:c>
      <x:c r="K79" s="82" t="n">
        <x:v>91.646265</x:v>
      </x:c>
      <x:c r="L79" s="82" t="n">
        <x:v>20.228</x:v>
      </x:c>
      <x:c r="M79" s="82" t="n">
        <x:v>188.84</x:v>
      </x:c>
      <x:c r="N79" s="93" t="n">
        <x:v>0</x:v>
      </x:c>
      <x:c r="O79" s="91" t="n">
        <x:v>32518.33</x:v>
      </x:c>
      <x:c r="P79" s="82" t="n">
        <x:v>7.571904762</x:v>
      </x:c>
      <x:c r="Q79" s="82" t="n">
        <x:v>1.9665</x:v>
      </x:c>
      <x:c r="R79" s="82" t="n">
        <x:v>5.605404762</x:v>
      </x:c>
      <x:c r="S79" s="92" t="n">
        <x:v>-918.67</x:v>
      </x:c>
      <x:c r="T79" s="92" t="n">
        <x:v>1248.34</x:v>
      </x:c>
      <x:c r="U79" s="82" t="n">
        <x:v>76.75</x:v>
      </x:c>
      <x:c r="V79" s="82" t="n">
        <x:v>226.665</x:v>
      </x:c>
      <x:c r="W79" s="82" t="n">
        <x:v>0.6230833418</x:v>
      </x:c>
      <x:c r="X79" s="94" t="n">
        <x:v>1.788272733</x:v>
      </x:c>
      <x:c r="Y79" s="94" t="n">
        <x:v>499.7409091</x:v>
      </x:c>
      <x:c r="Z79" s="94" t="n">
        <x:v>13.40286364</x:v>
      </x:c>
      <x:c r="AA79" s="95" t="n">
        <x:v>-1.095017501</x:v>
      </x:c>
      <x:c r="AB79" s="93" t="n">
        <x:v>0</x:v>
      </x:c>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75" t="str">
        <x:v>2012-02</x:v>
      </x:c>
      <x:c r="B80" s="91" t="n">
        <x:v>1782.754828</x:v>
      </x:c>
      <x:c r="C80" s="91" t="n">
        <x:v>119.327</x:v>
      </x:c>
      <x:c r="D80" s="91" t="n">
        <x:v>302.52</x:v>
      </x:c>
      <x:c r="E80" s="91" t="n">
        <x:v>4049.7</x:v>
      </x:c>
      <x:c r="F80" s="82" t="n">
        <x:v>5.025862069</x:v>
      </x:c>
      <x:c r="G80" s="82" t="n">
        <x:v>0.1</x:v>
      </x:c>
      <x:c r="H80" s="82" t="n">
        <x:v>4.925862069</x:v>
      </x:c>
      <x:c r="I80" s="92" t="n">
        <x:v>-372.308152</x:v>
      </x:c>
      <x:c r="J80" s="82" t="n">
        <x:v>2.578632323</x:v>
      </x:c>
      <x:c r="K80" s="82" t="n">
        <x:v>89.9605</x:v>
      </x:c>
      <x:c r="L80" s="82" t="n">
        <x:v>18.4205</x:v>
      </x:c>
      <x:c r="M80" s="82" t="n">
        <x:v>191.26</x:v>
      </x:c>
      <x:c r="N80" s="93" t="n">
        <x:v>0</x:v>
      </x:c>
      <x:c r="O80" s="91" t="n">
        <x:v>32818.29</x:v>
      </x:c>
      <x:c r="P80" s="82" t="n">
        <x:v>7.48047619</x:v>
      </x:c>
      <x:c r="Q80" s="82" t="n">
        <x:v>1.9675</x:v>
      </x:c>
      <x:c r="R80" s="82" t="n">
        <x:v>5.51297619</x:v>
      </x:c>
      <x:c r="S80" s="92" t="n">
        <x:v>-651.4</x:v>
      </x:c>
      <x:c r="T80" s="92" t="n">
        <x:v>909.95</x:v>
      </x:c>
      <x:c r="U80" s="82" t="n">
        <x:v>77.22</x:v>
      </x:c>
      <x:c r="V80" s="82" t="n">
        <x:v>227.663</x:v>
      </x:c>
      <x:c r="W80" s="82" t="n">
        <x:v>0.682609145</x:v>
      </x:c>
      <x:c r="X80" s="94" t="n">
        <x:v>1.715619042</x:v>
      </x:c>
      <x:c r="Y80" s="94" t="n">
        <x:v>480.8690476</x:v>
      </x:c>
      <x:c r="Z80" s="94" t="n">
        <x:v>12.77552381</x:v>
      </x:c>
      <x:c r="AA80" s="95" t="n">
        <x:v>-1.534431971</x:v>
      </x:c>
      <x:c r="AB80" s="93" t="n">
        <x:v>0</x:v>
      </x:c>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75" t="str">
        <x:v>2012-03</x:v>
      </x:c>
      <x:c r="B81" s="91" t="n">
        <x:v>1766.331613</x:v>
      </x:c>
      <x:c r="C81" s="91" t="n">
        <x:v>125.4454545</x:v>
      </x:c>
      <x:c r="D81" s="91" t="n">
        <x:v>338.47</x:v>
      </x:c>
      <x:c r="E81" s="91" t="n">
        <x:v>4029.13</x:v>
      </x:c>
      <x:c r="F81" s="82" t="n">
        <x:v>5.25</x:v>
      </x:c>
      <x:c r="G81" s="82" t="n">
        <x:v>0.13</x:v>
      </x:c>
      <x:c r="H81" s="82" t="n">
        <x:v>5.12</x:v>
      </x:c>
      <x:c r="I81" s="92" t="n">
        <x:v>-598.6766777</x:v>
      </x:c>
      <x:c r="J81" s="82" t="n">
        <x:v>2.738779895</x:v>
      </x:c>
      <x:c r="K81" s="82" t="n">
        <x:v>90.51121364</x:v>
      </x:c>
      <x:c r="L81" s="82" t="n">
        <x:v>16.16727273</x:v>
      </x:c>
      <x:c r="M81" s="82" t="n">
        <x:v>193.11</x:v>
      </x:c>
      <x:c r="N81" s="93" t="n">
        <x:v>0</x:v>
      </x:c>
      <x:c r="O81" s="91" t="n">
        <x:v>33121.74</x:v>
      </x:c>
      <x:c r="P81" s="82" t="n">
        <x:v>7.381428571</x:v>
      </x:c>
      <x:c r="Q81" s="82" t="n">
        <x:v>2.172727273</x:v>
      </x:c>
      <x:c r="R81" s="82" t="n">
        <x:v>5.208701299</x:v>
      </x:c>
      <x:c r="S81" s="92" t="n">
        <x:v>-570.85</x:v>
      </x:c>
      <x:c r="T81" s="92" t="n">
        <x:v>888.26</x:v>
      </x:c>
      <x:c r="U81" s="82" t="n">
        <x:v>77.31</x:v>
      </x:c>
      <x:c r="V81" s="82" t="n">
        <x:v>229.392</x:v>
      </x:c>
      <x:c r="W81" s="82" t="n">
        <x:v>0.7456861991</x:v>
      </x:c>
      <x:c r="X81" s="94" t="n">
        <x:v>1.794590912</x:v>
      </x:c>
      <x:c r="Y81" s="94" t="n">
        <x:v>485.6181818</x:v>
      </x:c>
      <x:c r="Z81" s="94" t="n">
        <x:v>12.74281818</x:v>
      </x:c>
      <x:c r="AA81" s="95" t="n">
        <x:v>0.3981916376</x:v>
      </x:c>
      <x:c r="AB81" s="93" t="n">
        <x:v>0</x:v>
      </x:c>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75" t="str">
        <x:v>2012-04</x:v>
      </x:c>
      <x:c r="B82" s="91" t="n">
        <x:v>1774.249</x:v>
      </x:c>
      <x:c r="C82" s="91" t="n">
        <x:v>119.4216667</x:v>
      </x:c>
      <x:c r="D82" s="91" t="n">
        <x:v>330.6</x:v>
      </x:c>
      <x:c r="E82" s="91" t="n">
        <x:v>4051.72</x:v>
      </x:c>
      <x:c r="F82" s="82" t="n">
        <x:v>5.25</x:v>
      </x:c>
      <x:c r="G82" s="82" t="n">
        <x:v>0.14</x:v>
      </x:c>
      <x:c r="H82" s="82" t="n">
        <x:v>5.11</x:v>
      </x:c>
      <x:c r="I82" s="92" t="n">
        <x:v>9730.221583</x:v>
      </x:c>
      <x:c r="J82" s="82" t="n">
        <x:v>1.86842231</x:v>
      </x:c>
      <x:c r="K82" s="82" t="n">
        <x:v>90.81560952</x:v>
      </x:c>
      <x:c r="L82" s="82" t="n">
        <x:v>17.823</x:v>
      </x:c>
      <x:c r="M82" s="82" t="n">
        <x:v>189.48</x:v>
      </x:c>
      <x:c r="N82" s="93" t="n">
        <x:v>0</x:v>
      </x:c>
      <x:c r="O82" s="91" t="n">
        <x:v>33554.52</x:v>
      </x:c>
      <x:c r="P82" s="82" t="n">
        <x:v>7.245263158</x:v>
      </x:c>
      <x:c r="Q82" s="82" t="n">
        <x:v>2.052857143</x:v>
      </x:c>
      <x:c r="R82" s="82" t="n">
        <x:v>5.192406015</x:v>
      </x:c>
      <x:c r="S82" s="92" t="n">
        <x:v>-507.33</x:v>
      </x:c>
      <x:c r="T82" s="92" t="n">
        <x:v>989.56</x:v>
      </x:c>
      <x:c r="U82" s="82" t="n">
        <x:v>77.42</x:v>
      </x:c>
      <x:c r="V82" s="82" t="n">
        <x:v>230.085</x:v>
      </x:c>
      <x:c r="W82" s="82" t="n">
        <x:v>1.116976993</x:v>
      </x:c>
      <x:c r="X82" s="94" t="n">
        <x:v>1.852952389</x:v>
      </x:c>
      <x:c r="Y82" s="94" t="n">
        <x:v>485.4452381</x:v>
      </x:c>
      <x:c r="Z82" s="94" t="n">
        <x:v>13.05628571</x:v>
      </x:c>
      <x:c r="AA82" s="95" t="n">
        <x:v>0.4744600182</x:v>
      </x:c>
      <x:c r="AB82" s="93" t="n">
        <x:v>0</x:v>
      </x:c>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75" t="str">
        <x:v>2012-05</x:v>
      </x:c>
      <x:c r="B83" s="91" t="n">
        <x:v>1793.276774</x:v>
      </x:c>
      <x:c r="C83" s="91" t="n">
        <x:v>110.3395238</x:v>
      </x:c>
      <x:c r="D83" s="91" t="n">
        <x:v>354.33</x:v>
      </x:c>
      <x:c r="E83" s="91" t="n">
        <x:v>4056.38</x:v>
      </x:c>
      <x:c r="F83" s="82" t="n">
        <x:v>5.25</x:v>
      </x:c>
      <x:c r="G83" s="82" t="n">
        <x:v>0.16</x:v>
      </x:c>
      <x:c r="H83" s="82" t="n">
        <x:v>5.09</x:v>
      </x:c>
      <x:c r="I83" s="92" t="n">
        <x:v>777.0797026</x:v>
      </x:c>
      <x:c r="J83" s="82" t="n">
        <x:v>1.767762633</x:v>
      </x:c>
      <x:c r="K83" s="82" t="n">
        <x:v>92.49278636</x:v>
      </x:c>
      <x:c r="L83" s="82" t="n">
        <x:v>21.00181818</x:v>
      </x:c>
      <x:c r="M83" s="82" t="n">
        <x:v>172.38</x:v>
      </x:c>
      <x:c r="N83" s="93" t="n">
        <x:v>0</x:v>
      </x:c>
      <x:c r="O83" s="91" t="n">
        <x:v>33669.15</x:v>
      </x:c>
      <x:c r="P83" s="82" t="n">
        <x:v>7.221428571</x:v>
      </x:c>
      <x:c r="Q83" s="82" t="n">
        <x:v>1.803181818</x:v>
      </x:c>
      <x:c r="R83" s="82" t="n">
        <x:v>5.418246753</x:v>
      </x:c>
      <x:c r="S83" s="92" t="n">
        <x:v>-416.53</x:v>
      </x:c>
      <x:c r="T83" s="92" t="n">
        <x:v>496.59</x:v>
      </x:c>
      <x:c r="U83" s="82" t="n">
        <x:v>77.66</x:v>
      </x:c>
      <x:c r="V83" s="82" t="n">
        <x:v>229.815</x:v>
      </x:c>
      <x:c r="W83" s="82" t="n">
        <x:v>1.745859453</x:v>
      </x:c>
      <x:c r="X83" s="94" t="n">
        <x:v>1.98134783</x:v>
      </x:c>
      <x:c r="Y83" s="94" t="n">
        <x:v>498.226087</x:v>
      </x:c>
      <x:c r="Z83" s="94" t="n">
        <x:v>13.62604348</x:v>
      </x:c>
      <x:c r="AA83" s="95" t="n">
        <x:v>1.341861733</x:v>
      </x:c>
      <x:c r="AB83" s="93" t="n">
        <x:v>0</x:v>
      </x:c>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75" t="str">
        <x:v>2012-06</x:v>
      </x:c>
      <x:c r="B84" s="91" t="n">
        <x:v>1792.546667</x:v>
      </x:c>
      <x:c r="C84" s="91" t="n">
        <x:v>95.15571429</x:v>
      </x:c>
      <x:c r="D84" s="91" t="n">
        <x:v>319.67</x:v>
      </x:c>
      <x:c r="E84" s="91" t="n">
        <x:v>4049.42</x:v>
      </x:c>
      <x:c r="F84" s="82" t="n">
        <x:v>5.25</x:v>
      </x:c>
      <x:c r="G84" s="82" t="n">
        <x:v>0.16</x:v>
      </x:c>
      <x:c r="H84" s="82" t="n">
        <x:v>5.09</x:v>
      </x:c>
      <x:c r="I84" s="92" t="n">
        <x:v>2603.840731</x:v>
      </x:c>
      <x:c r="J84" s="82" t="n">
        <x:v>1.408046888</x:v>
      </x:c>
      <x:c r="K84" s="82" t="n">
        <x:v>93.88086667</x:v>
      </x:c>
      <x:c r="L84" s="82" t="n">
        <x:v>21.13095238</x:v>
      </x:c>
      <x:c r="M84" s="82" t="n">
        <x:v>160.51</x:v>
      </x:c>
      <x:c r="N84" s="93" t="n">
        <x:v>0</x:v>
      </x:c>
      <x:c r="O84" s="91" t="n">
        <x:v>34265.53</x:v>
      </x:c>
      <x:c r="P84" s="82" t="n">
        <x:v>7.151578947</x:v>
      </x:c>
      <x:c r="Q84" s="82" t="n">
        <x:v>1.622380952</x:v>
      </x:c>
      <x:c r="R84" s="82" t="n">
        <x:v>5.529197995</x:v>
      </x:c>
      <x:c r="S84" s="92" t="n">
        <x:v>-488.08</x:v>
      </x:c>
      <x:c r="T84" s="92" t="n">
        <x:v>1266.02</x:v>
      </x:c>
      <x:c r="U84" s="82" t="n">
        <x:v>77.72</x:v>
      </x:c>
      <x:c r="V84" s="82" t="n">
        <x:v>229.478</x:v>
      </x:c>
      <x:c r="W84" s="82" t="n">
        <x:v>1.536112465</x:v>
      </x:c>
      <x:c r="X84" s="94" t="n">
        <x:v>2.048904759</x:v>
      </x:c>
      <x:c r="Y84" s="94" t="n">
        <x:v>504.3857143</x:v>
      </x:c>
      <x:c r="Z84" s="94" t="n">
        <x:v>13.9137619</x:v>
      </x:c>
      <x:c r="AA84" s="95" t="n">
        <x:v>0.6053731685</x:v>
      </x:c>
      <x:c r="AB84" s="93" t="n">
        <x:v>0</x:v>
      </x:c>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75" t="str">
        <x:v>2012-07</x:v>
      </x:c>
      <x:c r="B85" s="91" t="n">
        <x:v>1783.820323</x:v>
      </x:c>
      <x:c r="C85" s="91" t="n">
        <x:v>102.6185714</x:v>
      </x:c>
      <x:c r="D85" s="91" t="n">
        <x:v>330.39</x:v>
      </x:c>
      <x:c r="E85" s="91" t="n">
        <x:v>4060.39</x:v>
      </x:c>
      <x:c r="F85" s="82" t="n">
        <x:v>5.233870968</x:v>
      </x:c>
      <x:c r="G85" s="82" t="n">
        <x:v>0.16</x:v>
      </x:c>
      <x:c r="H85" s="82" t="n">
        <x:v>5.073870968</x:v>
      </x:c>
      <x:c r="I85" s="92" t="n">
        <x:v>-739.9800067</x:v>
      </x:c>
      <x:c r="J85" s="82" t="n">
        <x:v>1.500560281</x:v>
      </x:c>
      <x:c r="K85" s="82" t="n">
        <x:v>93.40616667</x:v>
      </x:c>
      <x:c r="L85" s="82" t="n">
        <x:v>17.5652381</x:v>
      </x:c>
      <x:c r="M85" s="82" t="n">
        <x:v>162.14</x:v>
      </x:c>
      <x:c r="N85" s="93" t="n">
        <x:v>0</x:v>
      </x:c>
      <x:c r="O85" s="91" t="n">
        <x:v>34712.56</x:v>
      </x:c>
      <x:c r="P85" s="82" t="n">
        <x:v>6.9265</x:v>
      </x:c>
      <x:c r="Q85" s="82" t="n">
        <x:v>1.526666667</x:v>
      </x:c>
      <x:c r="R85" s="82" t="n">
        <x:v>5.399833333</x:v>
      </x:c>
      <x:c r="S85" s="92" t="n">
        <x:v>-510.66</x:v>
      </x:c>
      <x:c r="T85" s="92" t="n">
        <x:v>1098.05</x:v>
      </x:c>
      <x:c r="U85" s="82" t="n">
        <x:v>77.7</x:v>
      </x:c>
      <x:c r="V85" s="82" t="n">
        <x:v>229.104</x:v>
      </x:c>
      <x:c r="W85" s="82" t="n">
        <x:v>1.614620099</x:v>
      </x:c>
      <x:c r="X85" s="94" t="n">
        <x:v>2.027727268</x:v>
      </x:c>
      <x:c r="Y85" s="94" t="n">
        <x:v>490.9340909</x:v>
      </x:c>
      <x:c r="Z85" s="94" t="n">
        <x:v>13.35668182</x:v>
      </x:c>
      <x:c r="AA85" s="95" t="n">
        <x:v>-1.023997101</x:v>
      </x:c>
      <x:c r="AB85" s="93" t="n">
        <x:v>0</x:v>
      </x:c>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75" t="str">
        <x:v>2012-08</x:v>
      </x:c>
      <x:c r="B86" s="91" t="n">
        <x:v>1805.523226</x:v>
      </x:c>
      <x:c r="C86" s="91" t="n">
        <x:v>113.356087</x:v>
      </x:c>
      <x:c r="D86" s="91" t="n">
        <x:v>346.78</x:v>
      </x:c>
      <x:c r="E86" s="91" t="n">
        <x:v>4037.52</x:v>
      </x:c>
      <x:c r="F86" s="82" t="n">
        <x:v>4.959677419</x:v>
      </x:c>
      <x:c r="G86" s="82" t="n">
        <x:v>0.13</x:v>
      </x:c>
      <x:c r="H86" s="82" t="n">
        <x:v>4.829677419</x:v>
      </x:c>
      <x:c r="I86" s="92" t="n">
        <x:v>-3395.703087</x:v>
      </x:c>
      <x:c r="J86" s="82" t="n">
        <x:v>1.515547366</x:v>
      </x:c>
      <x:c r="K86" s="82" t="n">
        <x:v>92.52826522</x:v>
      </x:c>
      <x:c r="L86" s="82" t="n">
        <x:v>15.68956522</x:v>
      </x:c>
      <x:c r="M86" s="82" t="n">
        <x:v>155.67</x:v>
      </x:c>
      <x:c r="N86" s="93" t="n">
        <x:v>0</x:v>
      </x:c>
      <x:c r="O86" s="91" t="n">
        <x:v>35270.04</x:v>
      </x:c>
      <x:c r="P86" s="82" t="n">
        <x:v>6.728095238</x:v>
      </x:c>
      <x:c r="Q86" s="82" t="n">
        <x:v>1.67826087</x:v>
      </x:c>
      <x:c r="R86" s="82" t="n">
        <x:v>5.049834369</x:v>
      </x:c>
      <x:c r="S86" s="92" t="n">
        <x:v>-387.72</x:v>
      </x:c>
      <x:c r="T86" s="92" t="n">
        <x:v>867.16</x:v>
      </x:c>
      <x:c r="U86" s="82" t="n">
        <x:v>77.73</x:v>
      </x:c>
      <x:c r="V86" s="82" t="n">
        <x:v>230.379</x:v>
      </x:c>
      <x:c r="W86" s="82" t="n">
        <x:v>1.411480931</x:v>
      </x:c>
      <x:c r="X86" s="94" t="n">
        <x:v>2.027913031</x:v>
      </x:c>
      <x:c r="Y86" s="94" t="n">
        <x:v>480.8956522</x:v>
      </x:c>
      <x:c r="Z86" s="94" t="n">
        <x:v>13.178</x:v>
      </x:c>
      <x:c r="AA86" s="95" t="n">
        <x:v>-0.5212470283</x:v>
      </x:c>
      <x:c r="AB86" s="93" t="n">
        <x:v>0</x:v>
      </x:c>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75" t="str">
        <x:v>2012-09</x:v>
      </x:c>
      <x:c r="B87" s="91" t="n">
        <x:v>1802.746333</x:v>
      </x:c>
      <x:c r="C87" s="91" t="n">
        <x:v>112.8636842</x:v>
      </x:c>
      <x:c r="D87" s="91" t="n">
        <x:v>313.1</x:v>
      </x:c>
      <x:c r="E87" s="91" t="n">
        <x:v>4011.27</x:v>
      </x:c>
      <x:c r="F87" s="82" t="n">
        <x:v>4.75</x:v>
      </x:c>
      <x:c r="G87" s="82" t="n">
        <x:v>0.14</x:v>
      </x:c>
      <x:c r="H87" s="82" t="n">
        <x:v>4.61</x:v>
      </x:c>
      <x:c r="I87" s="92" t="n">
        <x:v>590.9353321</x:v>
      </x:c>
      <x:c r="J87" s="82" t="n">
        <x:v>1.617997108</x:v>
      </x:c>
      <x:c r="K87" s="82" t="n">
        <x:v>90.9802</x:v>
      </x:c>
      <x:c r="L87" s="82" t="n">
        <x:v>15.28473684</x:v>
      </x:c>
      <x:c r="M87" s="82" t="n">
        <x:v>169.21</x:v>
      </x:c>
      <x:c r="N87" s="93" t="n">
        <x:v>0</x:v>
      </x:c>
      <x:c r="O87" s="91" t="n">
        <x:v>35829.46</x:v>
      </x:c>
      <x:c r="P87" s="82" t="n">
        <x:v>6.62</x:v>
      </x:c>
      <x:c r="Q87" s="82" t="n">
        <x:v>1.723157895</x:v>
      </x:c>
      <x:c r="R87" s="82" t="n">
        <x:v>4.896842105</x:v>
      </x:c>
      <x:c r="S87" s="92" t="n">
        <x:v>-419.47</x:v>
      </x:c>
      <x:c r="T87" s="92" t="n">
        <x:v>998.32</x:v>
      </x:c>
      <x:c r="U87" s="82" t="n">
        <x:v>77.96</x:v>
      </x:c>
      <x:c r="V87" s="82" t="n">
        <x:v>231.407</x:v>
      </x:c>
      <x:c r="W87" s="82" t="n">
        <x:v>1.103137385</x:v>
      </x:c>
      <x:c r="X87" s="94" t="n">
        <x:v>2.02650001</x:v>
      </x:c>
      <x:c r="Y87" s="94" t="n">
        <x:v>473.5725</x:v>
      </x:c>
      <x:c r="Z87" s="94" t="n">
        <x:v>12.9339</x:v>
      </x:c>
      <x:c r="AA87" s="95" t="n">
        <x:v>-0.5246747376</x:v>
      </x:c>
      <x:c r="AB87" s="93" t="n">
        <x:v>0</x:v>
      </x:c>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75" t="str">
        <x:v>2012-10</x:v>
      </x:c>
      <x:c r="B88" s="91" t="n">
        <x:v>1804.400968</x:v>
      </x:c>
      <x:c r="C88" s="91" t="n">
        <x:v>111.7108696</x:v>
      </x:c>
      <x:c r="D88" s="91" t="n">
        <x:v>353.61</x:v>
      </x:c>
      <x:c r="E88" s="91" t="n">
        <x:v>4013.72</x:v>
      </x:c>
      <x:c r="F88" s="82" t="n">
        <x:v>4.75</x:v>
      </x:c>
      <x:c r="G88" s="82" t="n">
        <x:v>0.16</x:v>
      </x:c>
      <x:c r="H88" s="82" t="n">
        <x:v>4.59</x:v>
      </x:c>
      <x:c r="I88" s="92" t="n">
        <x:v>-5623.009116</x:v>
      </x:c>
      <x:c r="J88" s="82" t="n">
        <x:v>1.981446547</x:v>
      </x:c>
      <x:c r="K88" s="82" t="n">
        <x:v>90.75663</x:v>
      </x:c>
      <x:c r="L88" s="82" t="n">
        <x:v>16.27619048</x:v>
      </x:c>
      <x:c r="M88" s="82" t="n">
        <x:v>170.07</x:v>
      </x:c>
      <x:c r="N88" s="93" t="n">
        <x:v>0</x:v>
      </x:c>
      <x:c r="O88" s="91" t="n">
        <x:v>36395.33</x:v>
      </x:c>
      <x:c r="P88" s="82" t="n">
        <x:v>6.189545455</x:v>
      </x:c>
      <x:c r="Q88" s="82" t="n">
        <x:v>1.746190476</x:v>
      </x:c>
      <x:c r="R88" s="82" t="n">
        <x:v>4.443354978</x:v>
      </x:c>
      <x:c r="S88" s="92" t="n">
        <x:v>-293.83</x:v>
      </x:c>
      <x:c r="T88" s="92" t="n">
        <x:v>994.42</x:v>
      </x:c>
      <x:c r="U88" s="82" t="n">
        <x:v>78.08</x:v>
      </x:c>
      <x:c r="V88" s="82" t="n">
        <x:v>231.317</x:v>
      </x:c>
      <x:c r="W88" s="82" t="n">
        <x:v>0.8863564143</x:v>
      </x:c>
      <x:c r="X88" s="94" t="n">
        <x:v>2.029304328</x:v>
      </x:c>
      <x:c r="Y88" s="94" t="n">
        <x:v>475.4326087</x:v>
      </x:c>
      <x:c r="Z88" s="94" t="n">
        <x:v>12.88921739</x:v>
      </x:c>
      <x:c r="AA88" s="95" t="n">
        <x:v>-0.08289523778</x:v>
      </x:c>
      <x:c r="AB88" s="93" t="n">
        <x:v>0</x:v>
      </x:c>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75" t="str">
        <x:v>2012-11</x:v>
      </x:c>
      <x:c r="B89" s="91" t="n">
        <x:v>1821.013667</x:v>
      </x:c>
      <x:c r="C89" s="91" t="n">
        <x:v>109.0585714</x:v>
      </x:c>
      <x:c r="D89" s="91" t="n">
        <x:v>327.24</x:v>
      </x:c>
      <x:c r="E89" s="91" t="n">
        <x:v>3986.95</x:v>
      </x:c>
      <x:c r="F89" s="82" t="n">
        <x:v>4.708333333</x:v>
      </x:c>
      <x:c r="G89" s="82" t="n">
        <x:v>0.16</x:v>
      </x:c>
      <x:c r="H89" s="82" t="n">
        <x:v>4.548333333</x:v>
      </x:c>
      <x:c r="I89" s="92" t="n">
        <x:v>-2810.256374</x:v>
      </x:c>
      <x:c r="J89" s="82" t="n">
        <x:v>1.037831214</x:v>
      </x:c>
      <x:c r="K89" s="82" t="n">
        <x:v>91.47508</x:v>
      </x:c>
      <x:c r="L89" s="82" t="n">
        <x:v>16.70190476</x:v>
      </x:c>
      <x:c r="M89" s="82" t="n">
        <x:v>167.03</x:v>
      </x:c>
      <x:c r="N89" s="93" t="n">
        <x:v>0</x:v>
      </x:c>
      <x:c r="O89" s="91" t="n">
        <x:v>36889.85</x:v>
      </x:c>
      <x:c r="P89" s="82" t="n">
        <x:v>6.202</x:v>
      </x:c>
      <x:c r="Q89" s="82" t="n">
        <x:v>1.654</x:v>
      </x:c>
      <x:c r="R89" s="82" t="n">
        <x:v>4.548</x:v>
      </x:c>
      <x:c r="S89" s="92" t="n">
        <x:v>-363.11</x:v>
      </x:c>
      <x:c r="T89" s="92" t="n">
        <x:v>861.18</x:v>
      </x:c>
      <x:c r="U89" s="82" t="n">
        <x:v>77.98</x:v>
      </x:c>
      <x:c r="V89" s="82" t="n">
        <x:v>230.221</x:v>
      </x:c>
      <x:c r="W89" s="82" t="n">
        <x:v>1.016939042</x:v>
      </x:c>
      <x:c r="X89" s="94" t="n">
        <x:v>2.066954537</x:v>
      </x:c>
      <x:c r="Y89" s="94" t="n">
        <x:v>480.0122727</x:v>
      </x:c>
      <x:c r="Z89" s="94" t="n">
        <x:v>13.06513636</x:v>
      </x:c>
      <x:c r="AA89" s="95" t="n">
        <x:v>0.3461067737</x:v>
      </x:c>
      <x:c r="AB89" s="93" t="n">
        <x:v>0</x:v>
      </x:c>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75" t="str">
        <x:v>2012-12</x:v>
      </x:c>
      <x:c r="B90" s="91" t="n">
        <x:v>1792.494839</x:v>
      </x:c>
      <x:c r="C90" s="91" t="n">
        <x:v>109.494</x:v>
      </x:c>
      <x:c r="D90" s="91" t="n">
        <x:v>358.42</x:v>
      </x:c>
      <x:c r="E90" s="91" t="n">
        <x:v>3969.67</x:v>
      </x:c>
      <x:c r="F90" s="82" t="n">
        <x:v>4.435483871</x:v>
      </x:c>
      <x:c r="G90" s="82" t="n">
        <x:v>0.16</x:v>
      </x:c>
      <x:c r="H90" s="82" t="n">
        <x:v>4.275483871</x:v>
      </x:c>
      <x:c r="I90" s="92" t="n">
        <x:v>-19579.2955</x:v>
      </x:c>
      <x:c r="J90" s="82" t="n">
        <x:v>2.316502485</x:v>
      </x:c>
      <x:c r="K90" s="82" t="n">
        <x:v>90.88039</x:v>
      </x:c>
      <x:c r="L90" s="82" t="n">
        <x:v>17.307</x:v>
      </x:c>
      <x:c r="M90" s="82" t="n">
        <x:v>166.52</x:v>
      </x:c>
      <x:c r="N90" s="93" t="n">
        <x:v>0</x:v>
      </x:c>
      <x:c r="O90" s="91" t="n">
        <x:v>37466.61</x:v>
      </x:c>
      <x:c r="P90" s="82" t="n">
        <x:v>5.904210526</x:v>
      </x:c>
      <x:c r="Q90" s="82" t="n">
        <x:v>1.719</x:v>
      </x:c>
      <x:c r="R90" s="82" t="n">
        <x:v>4.185210526</x:v>
      </x:c>
      <x:c r="S90" s="92" t="n">
        <x:v>-578.73</x:v>
      </x:c>
      <x:c r="T90" s="92" t="n">
        <x:v>1207.44</x:v>
      </x:c>
      <x:c r="U90" s="82" t="n">
        <x:v>78.05</x:v>
      </x:c>
      <x:c r="V90" s="82" t="n">
        <x:v>229.601</x:v>
      </x:c>
      <x:c r="W90" s="82" t="n">
        <x:v>0.7002428892</x:v>
      </x:c>
      <x:c r="X90" s="94" t="n">
        <x:v>2.075904778</x:v>
      </x:c>
      <x:c r="Y90" s="94" t="n">
        <x:v>476.672381</x:v>
      </x:c>
      <x:c r="Z90" s="94" t="n">
        <x:v>12.8622381</x:v>
      </x:c>
      <x:c r="AA90" s="95" t="n">
        <x:v>-0.3382040945</x:v>
      </x:c>
      <x:c r="AB90" s="93" t="n">
        <x:v>0</x:v>
      </x:c>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75" t="str">
        <x:v>2013-01</x:v>
      </x:c>
      <x:c r="B91" s="91" t="n">
        <x:v>1769.672581</x:v>
      </x:c>
      <x:c r="C91" s="91" t="n">
        <x:v>112.96</x:v>
      </x:c>
      <x:c r="D91" s="91" t="n">
        <x:v>329.4</x:v>
      </x:c>
      <x:c r="E91" s="91" t="n">
        <x:v>4004.53</x:v>
      </x:c>
      <x:c r="F91" s="82" t="n">
        <x:v>4.225806452</x:v>
      </x:c>
      <x:c r="G91" s="82" t="n">
        <x:v>0.14</x:v>
      </x:c>
      <x:c r="H91" s="82" t="n">
        <x:v>4.085806452</x:v>
      </x:c>
      <x:c r="I91" s="92" t="n">
        <x:v>8920.333169</x:v>
      </x:c>
      <x:c r="J91" s="82" t="n">
        <x:v>1.469951168</x:v>
      </x:c>
      <x:c r="K91" s="82" t="n">
        <x:v>90.82551429</x:v>
      </x:c>
      <x:c r="L91" s="82" t="n">
        <x:v>13.5052381</x:v>
      </x:c>
      <x:c r="M91" s="82" t="n">
        <x:v>167.43</x:v>
      </x:c>
      <x:c r="N91" s="93" t="n">
        <x:v>0</x:v>
      </x:c>
      <x:c r="O91" s="91" t="n">
        <x:v>37862.51</x:v>
      </x:c>
      <x:c r="P91" s="82" t="n">
        <x:v>5.463333333</x:v>
      </x:c>
      <x:c r="Q91" s="82" t="n">
        <x:v>1.914761905</x:v>
      </x:c>
      <x:c r="R91" s="82" t="n">
        <x:v>3.548571429</x:v>
      </x:c>
      <x:c r="S91" s="92" t="n">
        <x:v>-462.35</x:v>
      </x:c>
      <x:c r="T91" s="92" t="n">
        <x:v>975.46</x:v>
      </x:c>
      <x:c r="U91" s="82" t="n">
        <x:v>78.28</x:v>
      </x:c>
      <x:c r="V91" s="82" t="n">
        <x:v>230.28</x:v>
      </x:c>
      <x:c r="W91" s="82" t="n">
        <x:v>0.3986206739</x:v>
      </x:c>
      <x:c r="X91" s="94" t="n">
        <x:v>2.029043472</x:v>
      </x:c>
      <x:c r="Y91" s="94" t="n">
        <x:v>471.8052174</x:v>
      </x:c>
      <x:c r="Z91" s="94" t="n">
        <x:v>12.69817391</x:v>
      </x:c>
      <x:c r="AA91" s="95" t="n">
        <x:v>-0.5923571245</x:v>
      </x:c>
      <x:c r="AB91" s="93" t="n">
        <x:v>0</x:v>
      </x:c>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75" t="str">
        <x:v>2013-02</x:v>
      </x:c>
      <x:c r="B92" s="91" t="n">
        <x:v>1790.547857</x:v>
      </x:c>
      <x:c r="C92" s="91" t="n">
        <x:v>116.0505263</x:v>
      </x:c>
      <x:c r="D92" s="91" t="n">
        <x:v>317.32</x:v>
      </x:c>
      <x:c r="E92" s="91" t="n">
        <x:v>4019.33</x:v>
      </x:c>
      <x:c r="F92" s="82" t="n">
        <x:v>3.964285714</x:v>
      </x:c>
      <x:c r="G92" s="82" t="n">
        <x:v>0.15</x:v>
      </x:c>
      <x:c r="H92" s="82" t="n">
        <x:v>3.814285714</x:v>
      </x:c>
      <x:c r="I92" s="92" t="n">
        <x:v>-1878.951326</x:v>
      </x:c>
      <x:c r="J92" s="82" t="n">
        <x:v>1.680938137</x:v>
      </x:c>
      <x:c r="K92" s="82" t="n">
        <x:v>91.55087368</x:v>
      </x:c>
      <x:c r="L92" s="82" t="n">
        <x:v>14.07263158</x:v>
      </x:c>
      <x:c r="M92" s="82" t="n">
        <x:v>170.29</x:v>
      </x:c>
      <x:c r="N92" s="93" t="n">
        <x:v>0</x:v>
      </x:c>
      <x:c r="O92" s="91" t="n">
        <x:v>38535.79</x:v>
      </x:c>
      <x:c r="P92" s="82" t="n">
        <x:v>5.152</x:v>
      </x:c>
      <x:c r="Q92" s="82" t="n">
        <x:v>1.984210526</x:v>
      </x:c>
      <x:c r="R92" s="82" t="n">
        <x:v>3.167789474</x:v>
      </x:c>
      <x:c r="S92" s="92" t="n">
        <x:v>-260.93</x:v>
      </x:c>
      <x:c r="T92" s="92" t="n">
        <x:v>737.18</x:v>
      </x:c>
      <x:c r="U92" s="82" t="n">
        <x:v>78.63</x:v>
      </x:c>
      <x:c r="V92" s="82" t="n">
        <x:v>232.166</x:v>
      </x:c>
      <x:c r="W92" s="82" t="n">
        <x:v>-0.1519716838</x:v>
      </x:c>
      <x:c r="X92" s="94" t="n">
        <x:v>1.972700006</x:v>
      </x:c>
      <x:c r="Y92" s="94" t="n">
        <x:v>472.018</x:v>
      </x:c>
      <x:c r="Z92" s="94" t="n">
        <x:v>12.71625</x:v>
      </x:c>
      <x:c r="AA92" s="95" t="n">
        <x:v>-0.3363675092</x:v>
      </x:c>
      <x:c r="AB92" s="93" t="n">
        <x:v>0</x:v>
      </x:c>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75" t="str">
        <x:v>2013-03</x:v>
      </x:c>
      <x:c r="B93" s="91" t="n">
        <x:v>1813.74871</x:v>
      </x:c>
      <x:c r="C93" s="91" t="n">
        <x:v>108.474</x:v>
      </x:c>
      <x:c r="D93" s="91" t="n">
        <x:v>334.17</x:v>
      </x:c>
      <x:c r="E93" s="91" t="n">
        <x:v>4015.03</x:v>
      </x:c>
      <x:c r="F93" s="82" t="n">
        <x:v>3.653225806</x:v>
      </x:c>
      <x:c r="G93" s="82" t="n">
        <x:v>0.14</x:v>
      </x:c>
      <x:c r="H93" s="82" t="n">
        <x:v>3.513225806</x:v>
      </x:c>
      <x:c r="I93" s="92" t="n">
        <x:v>-3909.373406</x:v>
      </x:c>
      <x:c r="J93" s="82" t="n">
        <x:v>2.144560764</x:v>
      </x:c>
      <x:c r="K93" s="82" t="n">
        <x:v>92.41318</x:v>
      </x:c>
      <x:c r="L93" s="82" t="n">
        <x:v>13.0315</x:v>
      </x:c>
      <x:c r="M93" s="82" t="n">
        <x:v>164.81</x:v>
      </x:c>
      <x:c r="N93" s="93" t="n">
        <x:v>0</x:v>
      </x:c>
      <x:c r="O93" s="91" t="n">
        <x:v>39334.93</x:v>
      </x:c>
      <x:c r="P93" s="82" t="n">
        <x:v>5.075</x:v>
      </x:c>
      <x:c r="Q93" s="82" t="n">
        <x:v>1.9575</x:v>
      </x:c>
      <x:c r="R93" s="82" t="n">
        <x:v>3.1175</x:v>
      </x:c>
      <x:c r="S93" s="92" t="n">
        <x:v>-133.72</x:v>
      </x:c>
      <x:c r="T93" s="92" t="n">
        <x:v>1025.15</x:v>
      </x:c>
      <x:c r="U93" s="82" t="n">
        <x:v>78.79</x:v>
      </x:c>
      <x:c r="V93" s="82" t="n">
        <x:v>232.773</x:v>
      </x:c>
      <x:c r="W93" s="82" t="n">
        <x:v>0.4404745027</x:v>
      </x:c>
      <x:c r="X93" s="94" t="n">
        <x:v>1.98509524</x:v>
      </x:c>
      <x:c r="Y93" s="94" t="n">
        <x:v>472.0547619</x:v>
      </x:c>
      <x:c r="Z93" s="94" t="n">
        <x:v>12.49833333</x:v>
      </x:c>
      <x:c r="AA93" s="95" t="n">
        <x:v>-0.2519671956</x:v>
      </x:c>
      <x:c r="AB93" s="93" t="n">
        <x:v>0</x:v>
      </x:c>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75" t="str">
        <x:v>2013-04</x:v>
      </x:c>
      <x:c r="B94" s="91" t="n">
        <x:v>1830.231333</x:v>
      </x:c>
      <x:c r="C94" s="91" t="n">
        <x:v>102.2481818</x:v>
      </x:c>
      <x:c r="D94" s="91" t="n">
        <x:v>387.13</x:v>
      </x:c>
      <x:c r="E94" s="91" t="n">
        <x:v>4071.56</x:v>
      </x:c>
      <x:c r="F94" s="82" t="n">
        <x:v>3.25</x:v>
      </x:c>
      <x:c r="G94" s="82" t="n">
        <x:v>0.15</x:v>
      </x:c>
      <x:c r="H94" s="82" t="n">
        <x:v>3.1</x:v>
      </x:c>
      <x:c r="I94" s="92" t="n">
        <x:v>3956.848764</x:v>
      </x:c>
      <x:c r="J94" s="82" t="n">
        <x:v>2.953051089</x:v>
      </x:c>
      <x:c r="K94" s="82" t="n">
        <x:v>92.04782273</x:v>
      </x:c>
      <x:c r="L94" s="82" t="n">
        <x:v>13.96727273</x:v>
      </x:c>
      <x:c r="M94" s="82" t="n">
        <x:v>156.96</x:v>
      </x:c>
      <x:c r="N94" s="93" t="n">
        <x:v>0</x:v>
      </x:c>
      <x:c r="O94" s="91" t="n">
        <x:v>40089.66</x:v>
      </x:c>
      <x:c r="P94" s="82" t="n">
        <x:v>5.159545455</x:v>
      </x:c>
      <x:c r="Q94" s="82" t="n">
        <x:v>1.759090909</x:v>
      </x:c>
      <x:c r="R94" s="82" t="n">
        <x:v>3.400454545</x:v>
      </x:c>
      <x:c r="S94" s="92" t="n">
        <x:v>-442.14</x:v>
      </x:c>
      <x:c r="T94" s="92" t="n">
        <x:v>1245.43</x:v>
      </x:c>
      <x:c r="U94" s="82" t="n">
        <x:v>78.99</x:v>
      </x:c>
      <x:c r="V94" s="82" t="n">
        <x:v>232.531</x:v>
      </x:c>
      <x:c r="W94" s="82" t="n">
        <x:v>0.964814386</x:v>
      </x:c>
      <x:c r="X94" s="94" t="n">
        <x:v>2.001409075</x:v>
      </x:c>
      <x:c r="Y94" s="94" t="n">
        <x:v>471.8686364</x:v>
      </x:c>
      <x:c r="Z94" s="94" t="n">
        <x:v>12.21318182</x:v>
      </x:c>
      <x:c r="AA94" s="95" t="n">
        <x:v>-0.3097547991</x:v>
      </x:c>
      <x:c r="AB94" s="93" t="n">
        <x:v>0</x:v>
      </x:c>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75" t="str">
        <x:v>2013-05</x:v>
      </x:c>
      <x:c r="B95" s="91" t="n">
        <x:v>1847.92129</x:v>
      </x:c>
      <x:c r="C95" s="91" t="n">
        <x:v>102.5586364</x:v>
      </x:c>
      <x:c r="D95" s="91" t="n">
        <x:v>395.79</x:v>
      </x:c>
      <x:c r="E95" s="91" t="n">
        <x:v>4113.02</x:v>
      </x:c>
      <x:c r="F95" s="82" t="n">
        <x:v>3.25</x:v>
      </x:c>
      <x:c r="G95" s="82" t="n">
        <x:v>0.11</x:v>
      </x:c>
      <x:c r="H95" s="82" t="n">
        <x:v>3.14</x:v>
      </x:c>
      <x:c r="I95" s="92" t="n">
        <x:v>526.3185837</x:v>
      </x:c>
      <x:c r="J95" s="82" t="n">
        <x:v>2.98816712</x:v>
      </x:c>
      <x:c r="K95" s="82" t="n">
        <x:v>92.52896818</x:v>
      </x:c>
      <x:c r="L95" s="82" t="n">
        <x:v>13.49363636</x:v>
      </x:c>
      <x:c r="M95" s="82" t="n">
        <x:v>156.56</x:v>
      </x:c>
      <x:c r="N95" s="93" t="n">
        <x:v>0</x:v>
      </x:c>
      <x:c r="O95" s="91" t="n">
        <x:v>40509.26</x:v>
      </x:c>
      <x:c r="P95" s="82" t="n">
        <x:v>5.427619048</x:v>
      </x:c>
      <x:c r="Q95" s="82" t="n">
        <x:v>1.928181818</x:v>
      </x:c>
      <x:c r="R95" s="82" t="n">
        <x:v>3.499437229</x:v>
      </x:c>
      <x:c r="S95" s="92" t="n">
        <x:v>-261.47</x:v>
      </x:c>
      <x:c r="T95" s="92" t="n">
        <x:v>544.87</x:v>
      </x:c>
      <x:c r="U95" s="82" t="n">
        <x:v>79.21</x:v>
      </x:c>
      <x:c r="V95" s="82" t="n">
        <x:v>232.945</x:v>
      </x:c>
      <x:c r="W95" s="82" t="n">
        <x:v>0.6339144158</x:v>
      </x:c>
      <x:c r="X95" s="94" t="n">
        <x:v>2.039238101</x:v>
      </x:c>
      <x:c r="Y95" s="94" t="n">
        <x:v>481.2471429</x:v>
      </x:c>
      <x:c r="Z95" s="94" t="n">
        <x:v>12.31371429</x:v>
      </x:c>
      <x:c r="AA95" s="95" t="n">
        <x:v>0.4110659314</x:v>
      </x:c>
      <x:c r="AB95" s="93" t="n">
        <x:v>0</x:v>
      </x:c>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75" t="str">
        <x:v>2013-06</x:v>
      </x:c>
      <x:c r="B96" s="91" t="n">
        <x:v>1909.849333</x:v>
      </x:c>
      <x:c r="C96" s="91" t="n">
        <x:v>102.9195</x:v>
      </x:c>
      <x:c r="D96" s="91" t="n">
        <x:v>372.87</x:v>
      </x:c>
      <x:c r="E96" s="91" t="n">
        <x:v>4166.22</x:v>
      </x:c>
      <x:c r="F96" s="82" t="n">
        <x:v>3.25</x:v>
      </x:c>
      <x:c r="G96" s="82" t="n">
        <x:v>0.09</x:v>
      </x:c>
      <x:c r="H96" s="82" t="n">
        <x:v>3.16</x:v>
      </x:c>
      <x:c r="I96" s="92" t="n">
        <x:v>2058.561346</x:v>
      </x:c>
      <x:c r="J96" s="82" t="n">
        <x:v>3.064526836</x:v>
      </x:c>
      <x:c r="K96" s="82" t="n">
        <x:v>93.283615</x:v>
      </x:c>
      <x:c r="L96" s="82" t="n">
        <x:v>17.2715</x:v>
      </x:c>
      <x:c r="M96" s="82" t="n">
        <x:v>157.8</x:v>
      </x:c>
      <x:c r="N96" s="93" t="n">
        <x:v>0</x:v>
      </x:c>
      <x:c r="O96" s="91" t="n">
        <x:v>40816.75</x:v>
      </x:c>
      <x:c r="P96" s="82" t="n">
        <x:v>6.981666667</x:v>
      </x:c>
      <x:c r="Q96" s="82" t="n">
        <x:v>2.3</x:v>
      </x:c>
      <x:c r="R96" s="82" t="n">
        <x:v>4.681666667</x:v>
      </x:c>
      <x:c r="S96" s="92" t="n">
        <x:v>-285.82</x:v>
      </x:c>
      <x:c r="T96" s="92" t="n">
        <x:v>674.93</x:v>
      </x:c>
      <x:c r="U96" s="82" t="n">
        <x:v>79.39</x:v>
      </x:c>
      <x:c r="V96" s="82" t="n">
        <x:v>233.504</x:v>
      </x:c>
      <x:c r="W96" s="82" t="n">
        <x:v>0.3943225179</x:v>
      </x:c>
      <x:c r="X96" s="94" t="n">
        <x:v>2.172654986</x:v>
      </x:c>
      <x:c r="Y96" s="94" t="n">
        <x:v>503.0825</x:v>
      </x:c>
      <x:c r="Z96" s="94" t="n">
        <x:v>12.9572025</x:v>
      </x:c>
      <x:c r="AA96" s="95" t="n">
        <x:v>1.636875579</x:v>
      </x:c>
      <x:c r="AB96" s="93" t="n">
        <x:v>0</x:v>
      </x:c>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75" t="str">
        <x:v>2013-07</x:v>
      </x:c>
      <x:c r="B97" s="91" t="n">
        <x:v>1901.542581</x:v>
      </x:c>
      <x:c r="C97" s="91" t="n">
        <x:v>107.9331818</x:v>
      </x:c>
      <x:c r="D97" s="91" t="n">
        <x:v>394.23</x:v>
      </x:c>
      <x:c r="E97" s="91" t="n">
        <x:v>4230.06</x:v>
      </x:c>
      <x:c r="F97" s="82" t="n">
        <x:v>3.25</x:v>
      </x:c>
      <x:c r="G97" s="82" t="n">
        <x:v>0.09</x:v>
      </x:c>
      <x:c r="H97" s="82" t="n">
        <x:v>3.16</x:v>
      </x:c>
      <x:c r="I97" s="92" t="n">
        <x:v>-3121.871982</x:v>
      </x:c>
      <x:c r="J97" s="82" t="n">
        <x:v>3.398081706</x:v>
      </x:c>
      <x:c r="K97" s="82" t="n">
        <x:v>93.87238636</x:v>
      </x:c>
      <x:c r="L97" s="82" t="n">
        <x:v>13.97454545</x:v>
      </x:c>
      <x:c r="M97" s="82" t="n">
        <x:v>160.44</x:v>
      </x:c>
      <x:c r="N97" s="93" t="n">
        <x:v>0</x:v>
      </x:c>
      <x:c r="O97" s="91" t="n">
        <x:v>41524.03</x:v>
      </x:c>
      <x:c r="P97" s="82" t="n">
        <x:v>7.151363636</x:v>
      </x:c>
      <x:c r="Q97" s="82" t="n">
        <x:v>2.582272727</x:v>
      </x:c>
      <x:c r="R97" s="82" t="n">
        <x:v>4.569090909</x:v>
      </x:c>
      <x:c r="S97" s="92" t="n">
        <x:v>-531.62</x:v>
      </x:c>
      <x:c r="T97" s="92" t="n">
        <x:v>1345.27</x:v>
      </x:c>
      <x:c r="U97" s="82" t="n">
        <x:v>79.43</x:v>
      </x:c>
      <x:c r="V97" s="82" t="n">
        <x:v>233.596</x:v>
      </x:c>
      <x:c r="W97" s="82" t="n">
        <x:v>0.2658306147</x:v>
      </x:c>
      <x:c r="X97" s="94" t="n">
        <x:v>2.25185215</x:v>
      </x:c>
      <x:c r="Y97" s="94" t="n">
        <x:v>505.1813043</x:v>
      </x:c>
      <x:c r="Z97" s="94" t="n">
        <x:v>12.76188043</x:v>
      </x:c>
      <x:c r="AA97" s="95" t="n">
        <x:v>0.09269878677</x:v>
      </x:c>
      <x:c r="AB97" s="93" t="n">
        <x:v>0</x:v>
      </x:c>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75" t="str">
        <x:v>2013-08</x:v>
      </x:c>
      <x:c r="B98" s="91" t="n">
        <x:v>1902.104194</x:v>
      </x:c>
      <x:c r="C98" s="91" t="n">
        <x:v>111.2804545</x:v>
      </x:c>
      <x:c r="D98" s="91" t="n">
        <x:v>372.23</x:v>
      </x:c>
      <x:c r="E98" s="91" t="n">
        <x:v>4255.51</x:v>
      </x:c>
      <x:c r="F98" s="82" t="n">
        <x:v>3.25</x:v>
      </x:c>
      <x:c r="G98" s="82" t="n">
        <x:v>0.08</x:v>
      </x:c>
      <x:c r="H98" s="82" t="n">
        <x:v>3.17</x:v>
      </x:c>
      <x:c r="I98" s="92" t="n">
        <x:v>-3292.03001</x:v>
      </x:c>
      <x:c r="J98" s="82" t="n">
        <x:v>3.383563558</x:v>
      </x:c>
      <x:c r="K98" s="82" t="n">
        <x:v>93.71488636</x:v>
      </x:c>
      <x:c r="L98" s="82" t="n">
        <x:v>14.21</x:v>
      </x:c>
      <x:c r="M98" s="82" t="n">
        <x:v>162.5</x:v>
      </x:c>
      <x:c r="N98" s="93" t="n">
        <x:v>0</x:v>
      </x:c>
      <x:c r="O98" s="91" t="n">
        <x:v>42092.89</x:v>
      </x:c>
      <x:c r="P98" s="82" t="n">
        <x:v>7.5785</x:v>
      </x:c>
      <x:c r="Q98" s="82" t="n">
        <x:v>2.737272727</x:v>
      </x:c>
      <x:c r="R98" s="82" t="n">
        <x:v>4.841227273</x:v>
      </x:c>
      <x:c r="S98" s="92" t="n">
        <x:v>-301.71</x:v>
      </x:c>
      <x:c r="T98" s="92" t="n">
        <x:v>806.93</x:v>
      </x:c>
      <x:c r="U98" s="82" t="n">
        <x:v>79.5</x:v>
      </x:c>
      <x:c r="V98" s="82" t="n">
        <x:v>233.877</x:v>
      </x:c>
      <x:c r="W98" s="82" t="n">
        <x:v>0.7587455242</x:v>
      </x:c>
      <x:c r="X98" s="94" t="n">
        <x:v>2.341890909</x:v>
      </x:c>
      <x:c r="Y98" s="94" t="n">
        <x:v>512.03</x:v>
      </x:c>
      <x:c r="Z98" s="94" t="n">
        <x:v>12.92856818</x:v>
      </x:c>
      <x:c r="AA98" s="95" t="n">
        <x:v>0.5769155335</x:v>
      </x:c>
      <x:c r="AB98" s="93" t="n">
        <x:v>0</x:v>
      </x:c>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75" t="str">
        <x:v>2013-09</x:v>
      </x:c>
      <x:c r="B99" s="91" t="n">
        <x:v>1919.512333</x:v>
      </x:c>
      <x:c r="C99" s="91" t="n">
        <x:v>111.5965</x:v>
      </x:c>
      <x:c r="D99" s="91" t="n">
        <x:v>354.14</x:v>
      </x:c>
      <x:c r="E99" s="91" t="n">
        <x:v>4296.55</x:v>
      </x:c>
      <x:c r="F99" s="82" t="n">
        <x:v>3.25</x:v>
      </x:c>
      <x:c r="G99" s="82" t="n">
        <x:v>0.08</x:v>
      </x:c>
      <x:c r="H99" s="82" t="n">
        <x:v>3.17</x:v>
      </x:c>
      <x:c r="I99" s="92" t="n">
        <x:v>1832.936358</x:v>
      </x:c>
      <x:c r="J99" s="82" t="n">
        <x:v>3.209636489</x:v>
      </x:c>
      <x:c r="K99" s="82" t="n">
        <x:v>93.470565</x:v>
      </x:c>
      <x:c r="L99" s="82" t="n">
        <x:v>14.692</x:v>
      </x:c>
      <x:c r="M99" s="82" t="n">
        <x:v>160.64</x:v>
      </x:c>
      <x:c r="N99" s="93" t="n">
        <x:v>0</x:v>
      </x:c>
      <x:c r="O99" s="91" t="n">
        <x:v>43064.73</x:v>
      </x:c>
      <x:c r="P99" s="82" t="n">
        <x:v>7.51047619</x:v>
      </x:c>
      <x:c r="Q99" s="82" t="n">
        <x:v>2.8095</x:v>
      </x:c>
      <x:c r="R99" s="82" t="n">
        <x:v>4.70097619</x:v>
      </x:c>
      <x:c r="S99" s="92" t="n">
        <x:v>-452.7</x:v>
      </x:c>
      <x:c r="T99" s="92" t="n">
        <x:v>1400.76</x:v>
      </x:c>
      <x:c r="U99" s="82" t="n">
        <x:v>79.73</x:v>
      </x:c>
      <x:c r="V99" s="82" t="n">
        <x:v>234.149</x:v>
      </x:c>
      <x:c r="W99" s="82" t="n">
        <x:v>1.085469813</x:v>
      </x:c>
      <x:c r="X99" s="94" t="n">
        <x:v>2.270199991</x:v>
      </x:c>
      <x:c r="Y99" s="94" t="n">
        <x:v>503.5538095</x:v>
      </x:c>
      <x:c r="Z99" s="94" t="n">
        <x:v>13.07427381</x:v>
      </x:c>
      <x:c r="AA99" s="95" t="n">
        <x:v>-0.4598737282</x:v>
      </x:c>
      <x:c r="AB99" s="93" t="n">
        <x:v>0</x:v>
      </x:c>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75" t="str">
        <x:v>2013-10</x:v>
      </x:c>
      <x:c r="B100" s="91" t="n">
        <x:v>1885.13129</x:v>
      </x:c>
      <x:c r="C100" s="91" t="n">
        <x:v>109.0765217</x:v>
      </x:c>
      <x:c r="D100" s="91" t="n">
        <x:v>368.29</x:v>
      </x:c>
      <x:c r="E100" s="91" t="n">
        <x:v>4311.23</x:v>
      </x:c>
      <x:c r="F100" s="82" t="n">
        <x:v>3.25</x:v>
      </x:c>
      <x:c r="G100" s="82" t="n">
        <x:v>0.09</x:v>
      </x:c>
      <x:c r="H100" s="82" t="n">
        <x:v>3.16</x:v>
      </x:c>
      <x:c r="I100" s="92" t="n">
        <x:v>-6260.098119</x:v>
      </x:c>
      <x:c r="J100" s="82" t="n">
        <x:v>3.29885302</x:v>
      </x:c>
      <x:c r="K100" s="82" t="n">
        <x:v>92.49926818</x:v>
      </x:c>
      <x:c r="L100" s="82" t="n">
        <x:v>15.40782609</x:v>
      </x:c>
      <x:c r="M100" s="82" t="n">
        <x:v>159.96</x:v>
      </x:c>
      <x:c r="N100" s="93" t="n">
        <x:v>0</x:v>
      </x:c>
      <x:c r="O100" s="91" t="n">
        <x:v>43292.85</x:v>
      </x:c>
      <x:c r="P100" s="82" t="n">
        <x:v>7.082727273</x:v>
      </x:c>
      <x:c r="Q100" s="82" t="n">
        <x:v>2.615909091</x:v>
      </x:c>
      <x:c r="R100" s="82" t="n">
        <x:v>4.466818182</x:v>
      </x:c>
      <x:c r="S100" s="92" t="n">
        <x:v>-651.55</x:v>
      </x:c>
      <x:c r="T100" s="92" t="n">
        <x:v>1039.38</x:v>
      </x:c>
      <x:c r="U100" s="82" t="n">
        <x:v>79.52</x:v>
      </x:c>
      <x:c r="V100" s="82" t="n">
        <x:v>233.546</x:v>
      </x:c>
      <x:c r="W100" s="82" t="n">
        <x:v>0.8806495904</x:v>
      </x:c>
      <x:c r="X100" s="94" t="n">
        <x:v>2.188347806</x:v>
      </x:c>
      <x:c r="Y100" s="94" t="n">
        <x:v>501.4386957</x:v>
      </x:c>
      <x:c r="Z100" s="94" t="n">
        <x:v>12.99666304</x:v>
      </x:c>
      <x:c r="AA100" s="95" t="n">
        <x:v>-0.5606630627</x:v>
      </x:c>
      <x:c r="AB100" s="93" t="n">
        <x:v>0</x:v>
      </x:c>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75" t="str">
        <x:v>2013-11</x:v>
      </x:c>
      <x:c r="B101" s="91" t="n">
        <x:v>1921.753</x:v>
      </x:c>
      <x:c r="C101" s="91" t="n">
        <x:v>107.792</x:v>
      </x:c>
      <x:c r="D101" s="91" t="n">
        <x:v>360.61</x:v>
      </x:c>
      <x:c r="E101" s="91" t="n">
        <x:v>4344.6</x:v>
      </x:c>
      <x:c r="F101" s="82" t="n">
        <x:v>3.25</x:v>
      </x:c>
      <x:c r="G101" s="82" t="n">
        <x:v>0.08</x:v>
      </x:c>
      <x:c r="H101" s="82" t="n">
        <x:v>3.17</x:v>
      </x:c>
      <x:c r="I101" s="92" t="n">
        <x:v>-2583.382716</x:v>
      </x:c>
      <x:c r="J101" s="82" t="n">
        <x:v>3.267082136</x:v>
      </x:c>
      <x:c r="K101" s="82" t="n">
        <x:v>93.37366842</x:v>
      </x:c>
      <x:c r="L101" s="82" t="n">
        <x:v>12.924</x:v>
      </x:c>
      <x:c r="M101" s="82" t="n">
        <x:v>158.91</x:v>
      </x:c>
      <x:c r="N101" s="93" t="n">
        <x:v>0</x:v>
      </x:c>
      <x:c r="O101" s="91" t="n">
        <x:v>43417.31</x:v>
      </x:c>
      <x:c r="P101" s="82" t="n">
        <x:v>7.345263158</x:v>
      </x:c>
      <x:c r="Q101" s="82" t="n">
        <x:v>2.718421053</x:v>
      </x:c>
      <x:c r="R101" s="82" t="n">
        <x:v>4.626842105</x:v>
      </x:c>
      <x:c r="S101" s="92" t="n">
        <x:v>-375.72</x:v>
      </x:c>
      <x:c r="T101" s="92" t="n">
        <x:v>360.13</x:v>
      </x:c>
      <x:c r="U101" s="82" t="n">
        <x:v>79.35</x:v>
      </x:c>
      <x:c r="V101" s="82" t="n">
        <x:v>233.069</x:v>
      </x:c>
      <x:c r="W101" s="82" t="n">
        <x:v>0.519788529</x:v>
      </x:c>
      <x:c r="X101" s="94" t="n">
        <x:v>2.296623798</x:v>
      </x:c>
      <x:c r="Y101" s="94" t="n">
        <x:v>520.1733333</x:v>
      </x:c>
      <x:c r="Z101" s="94" t="n">
        <x:v>13.07421429</x:v>
      </x:c>
      <x:c r="AA101" s="95" t="n">
        <x:v>0.8652023057</x:v>
      </x:c>
      <x:c r="AB101" s="93" t="n">
        <x:v>0</x:v>
      </x:c>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75" t="str">
        <x:v>2013-12</x:v>
      </x:c>
      <x:c r="B102" s="91" t="n">
        <x:v>1932.956129</x:v>
      </x:c>
      <x:c r="C102" s="91" t="n">
        <x:v>110.7566667</x:v>
      </x:c>
      <x:c r="D102" s="91" t="n">
        <x:v>414.86</x:v>
      </x:c>
      <x:c r="E102" s="91" t="n">
        <x:v>4401.04</x:v>
      </x:c>
      <x:c r="F102" s="82" t="n">
        <x:v>3.25</x:v>
      </x:c>
      <x:c r="G102" s="82" t="n">
        <x:v>0.09</x:v>
      </x:c>
      <x:c r="H102" s="82" t="n">
        <x:v>3.16</x:v>
      </x:c>
      <x:c r="I102" s="92" t="n">
        <x:v>-12894.70989</x:v>
      </x:c>
      <x:c r="J102" s="82" t="n">
        <x:v>2.330987593</x:v>
      </x:c>
      <x:c r="K102" s="82" t="n">
        <x:v>93.53402</x:v>
      </x:c>
      <x:c r="L102" s="82" t="n">
        <x:v>14.19238095</x:v>
      </x:c>
      <x:c r="M102" s="82" t="n">
        <x:v>159.34</x:v>
      </x:c>
      <x:c r="N102" s="93" t="n">
        <x:v>0</x:v>
      </x:c>
      <x:c r="O102" s="91" t="n">
        <x:v>43632.74</x:v>
      </x:c>
      <x:c r="P102" s="82" t="n">
        <x:v>7.271</x:v>
      </x:c>
      <x:c r="Q102" s="82" t="n">
        <x:v>2.901904762</x:v>
      </x:c>
      <x:c r="R102" s="82" t="n">
        <x:v>4.369095238</x:v>
      </x:c>
      <x:c r="S102" s="92" t="n">
        <x:v>-633.44</x:v>
      </x:c>
      <x:c r="T102" s="92" t="n">
        <x:v>785.57</x:v>
      </x:c>
      <x:c r="U102" s="82" t="n">
        <x:v>79.56</x:v>
      </x:c>
      <x:c r="V102" s="82" t="n">
        <x:v>233.049</x:v>
      </x:c>
      <x:c r="W102" s="82" t="n">
        <x:v>0.4329216514</x:v>
      </x:c>
      <x:c r="X102" s="94" t="n">
        <x:v>2.345604528</x:v>
      </x:c>
      <x:c r="Y102" s="94" t="n">
        <x:v>528.9259524</x:v>
      </x:c>
      <x:c r="Z102" s="94" t="n">
        <x:v>13.00595455</x:v>
      </x:c>
      <x:c r="AA102" s="95" t="n">
        <x:v>0.2345250256</x:v>
      </x:c>
      <x:c r="AB102" s="93" t="n">
        <x:v>0</x:v>
      </x:c>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75" t="str">
        <x:v>2014-01</x:v>
      </x:c>
      <x:c r="B103" s="91" t="n">
        <x:v>1957.287097</x:v>
      </x:c>
      <x:c r="C103" s="91" t="n">
        <x:v>108.1177273</x:v>
      </x:c>
      <x:c r="D103" s="91" t="n">
        <x:v>352.57</x:v>
      </x:c>
      <x:c r="E103" s="91" t="n">
        <x:v>4424.21</x:v>
      </x:c>
      <x:c r="F103" s="82" t="n">
        <x:v>3.25</x:v>
      </x:c>
      <x:c r="G103" s="82" t="n">
        <x:v>0.07</x:v>
      </x:c>
      <x:c r="H103" s="82" t="n">
        <x:v>3.18</x:v>
      </x:c>
      <x:c r="I103" s="92" t="n">
        <x:v>7386.752191</x:v>
      </x:c>
      <x:c r="J103" s="82" t="n">
        <x:v>2.382871769</x:v>
      </x:c>
      <x:c r="K103" s="82" t="n">
        <x:v>94.46474762</x:v>
      </x:c>
      <x:c r="L103" s="82" t="n">
        <x:v>14.24095238</x:v>
      </x:c>
      <x:c r="M103" s="82" t="n">
        <x:v>154.23</x:v>
      </x:c>
      <x:c r="N103" s="93" t="n">
        <x:v>0</x:v>
      </x:c>
      <x:c r="O103" s="91" t="n">
        <x:v>43710.5</x:v>
      </x:c>
      <x:c r="P103" s="82" t="n">
        <x:v>7.32952381</x:v>
      </x:c>
      <x:c r="Q103" s="82" t="n">
        <x:v>2.858095238</x:v>
      </x:c>
      <x:c r="R103" s="82" t="n">
        <x:v>4.471428571</x:v>
      </x:c>
      <x:c r="S103" s="92" t="n">
        <x:v>-452.26</x:v>
      </x:c>
      <x:c r="T103" s="92" t="n">
        <x:v>537.45</x:v>
      </x:c>
      <x:c r="U103" s="82" t="n">
        <x:v>79.95</x:v>
      </x:c>
      <x:c r="V103" s="82" t="n">
        <x:v>233.916</x:v>
      </x:c>
      <x:c r="W103" s="82" t="n">
        <x:v>0.5544200307</x:v>
      </x:c>
      <x:c r="X103" s="94" t="n">
        <x:v>2.380178255</x:v>
      </x:c>
      <x:c r="Y103" s="94" t="n">
        <x:v>538.4970455</x:v>
      </x:c>
      <x:c r="Z103" s="94" t="n">
        <x:v>13.21326087</x:v>
      </x:c>
      <x:c r="AA103" s="95" t="n">
        <x:v>0.4432168626</x:v>
      </x:c>
      <x:c r="AB103" s="93" t="n">
        <x:v>0</x:v>
      </x:c>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75" t="str">
        <x:v>2014-02</x:v>
      </x:c>
      <x:c r="B104" s="91" t="n">
        <x:v>2038.4925</x:v>
      </x:c>
      <x:c r="C104" s="91" t="n">
        <x:v>108.9005263</x:v>
      </x:c>
      <x:c r="D104" s="91" t="n">
        <x:v>330.22</x:v>
      </x:c>
      <x:c r="E104" s="91" t="n">
        <x:v>4437.11</x:v>
      </x:c>
      <x:c r="F104" s="82" t="n">
        <x:v>3.25</x:v>
      </x:c>
      <x:c r="G104" s="82" t="n">
        <x:v>0.07</x:v>
      </x:c>
      <x:c r="H104" s="82" t="n">
        <x:v>3.18</x:v>
      </x:c>
      <x:c r="I104" s="92" t="n">
        <x:v>-2756.311949</x:v>
      </x:c>
      <x:c r="J104" s="82" t="n">
        <x:v>2.497874675</x:v>
      </x:c>
      <x:c r="K104" s="82" t="n">
        <x:v>94.64558235</x:v>
      </x:c>
      <x:c r="L104" s="82" t="n">
        <x:v>15.47</x:v>
      </x:c>
      <x:c r="M104" s="82" t="n">
        <x:v>154.46</x:v>
      </x:c>
      <x:c r="N104" s="93" t="n">
        <x:v>0</x:v>
      </x:c>
      <x:c r="O104" s="91" t="n">
        <x:v>44026.86</x:v>
      </x:c>
      <x:c r="P104" s="82" t="n">
        <x:v>7.6075</x:v>
      </x:c>
      <x:c r="Q104" s="82" t="n">
        <x:v>2.709473684</x:v>
      </x:c>
      <x:c r="R104" s="82" t="n">
        <x:v>4.898026316</x:v>
      </x:c>
      <x:c r="S104" s="92" t="n">
        <x:v>-393.78</x:v>
      </x:c>
      <x:c r="T104" s="92" t="n">
        <x:v>621.75</x:v>
      </x:c>
      <x:c r="U104" s="82" t="n">
        <x:v>80.45</x:v>
      </x:c>
      <x:c r="V104" s="82" t="n">
        <x:v>234.781</x:v>
      </x:c>
      <x:c r="W104" s="82" t="n">
        <x:v>1.188288929</x:v>
      </x:c>
      <x:c r="X104" s="94" t="n">
        <x:v>2.383375001</x:v>
      </x:c>
      <x:c r="Y104" s="94" t="n">
        <x:v>554.4525</x:v>
      </x:c>
      <x:c r="Z104" s="94" t="n">
        <x:v>13.2786</x:v>
      </x:c>
      <x:c r="AA104" s="95" t="n">
        <x:v>0.3327563874</x:v>
      </x:c>
      <x:c r="AB104" s="93" t="n">
        <x:v>0</x:v>
      </x:c>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75" t="str">
        <x:v>2014-03</x:v>
      </x:c>
      <x:c r="B105" s="91" t="n">
        <x:v>2019.713226</x:v>
      </x:c>
      <x:c r="C105" s="91" t="n">
        <x:v>107.4809524</x:v>
      </x:c>
      <x:c r="D105" s="91" t="n">
        <x:v>338.7</x:v>
      </x:c>
      <x:c r="E105" s="91" t="n">
        <x:v>4441.64</x:v>
      </x:c>
      <x:c r="F105" s="82" t="n">
        <x:v>3.25</x:v>
      </x:c>
      <x:c r="G105" s="82" t="n">
        <x:v>0.08</x:v>
      </x:c>
      <x:c r="H105" s="82" t="n">
        <x:v>3.17</x:v>
      </x:c>
      <x:c r="I105" s="92" t="n">
        <x:v>-4104.442797</x:v>
      </x:c>
      <x:c r="J105" s="82" t="n">
        <x:v>2.523444032</x:v>
      </x:c>
      <x:c r="K105" s="82" t="n">
        <x:v>94.44082105</x:v>
      </x:c>
      <x:c r="L105" s="82" t="n">
        <x:v>14.83666667</x:v>
      </x:c>
      <x:c r="M105" s="82" t="n">
        <x:v>157.03</x:v>
      </x:c>
      <x:c r="N105" s="93" t="n">
        <x:v>0</x:v>
      </x:c>
      <x:c r="O105" s="91" t="n">
        <x:v>44298.38</x:v>
      </x:c>
      <x:c r="P105" s="82" t="n">
        <x:v>7.399</x:v>
      </x:c>
      <x:c r="Q105" s="82" t="n">
        <x:v>2.723333333</x:v>
      </x:c>
      <x:c r="R105" s="82" t="n">
        <x:v>4.675666667</x:v>
      </x:c>
      <x:c r="S105" s="92" t="n">
        <x:v>-549.09</x:v>
      </x:c>
      <x:c r="T105" s="92" t="n">
        <x:v>887.69</x:v>
      </x:c>
      <x:c r="U105" s="82" t="n">
        <x:v>80.77</x:v>
      </x:c>
      <x:c r="V105" s="82" t="n">
        <x:v>236.293</x:v>
      </x:c>
      <x:c r="W105" s="82" t="n">
        <x:v>1.000806389</x:v>
      </x:c>
      <x:c r="X105" s="94" t="n">
        <x:v>2.326471408</x:v>
      </x:c>
      <x:c r="Y105" s="94" t="n">
        <x:v>563.4209524</x:v>
      </x:c>
      <x:c r="Z105" s="94" t="n">
        <x:v>13.2025</x:v>
      </x:c>
      <x:c r="AA105" s="95" t="n">
        <x:v>-0.1911925957</x:v>
      </x:c>
      <x:c r="AB105" s="93" t="n">
        <x:v>0</x:v>
      </x:c>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75" t="str">
        <x:v>2014-04</x:v>
      </x:c>
      <x:c r="B106" s="91" t="n">
        <x:v>1938.360333</x:v>
      </x:c>
      <x:c r="C106" s="91" t="n">
        <x:v>107.7552381</x:v>
      </x:c>
      <x:c r="D106" s="91" t="n">
        <x:v>317.03</x:v>
      </x:c>
      <x:c r="E106" s="91" t="n">
        <x:v>4371.54</x:v>
      </x:c>
      <x:c r="F106" s="82" t="n">
        <x:v>3.275</x:v>
      </x:c>
      <x:c r="G106" s="82" t="n">
        <x:v>0.09</x:v>
      </x:c>
      <x:c r="H106" s="82" t="n">
        <x:v>3.185</x:v>
      </x:c>
      <x:c r="I106" s="92" t="n">
        <x:v>2549.881992</x:v>
      </x:c>
      <x:c r="J106" s="82" t="n">
        <x:v>2.707866792</x:v>
      </x:c>
      <x:c r="K106" s="82" t="n">
        <x:v>93.99555</x:v>
      </x:c>
      <x:c r="L106" s="82" t="n">
        <x:v>14.19809524</x:v>
      </x:c>
      <x:c r="M106" s="82" t="n">
        <x:v>154.76</x:v>
      </x:c>
      <x:c r="N106" s="93" t="n">
        <x:v>0</x:v>
      </x:c>
      <x:c r="O106" s="91" t="n">
        <x:v>44642.4</x:v>
      </x:c>
      <x:c r="P106" s="82" t="n">
        <x:v>6.6155</x:v>
      </x:c>
      <x:c r="Q106" s="82" t="n">
        <x:v>2.705238095</x:v>
      </x:c>
      <x:c r="R106" s="82" t="n">
        <x:v>3.910261905</x:v>
      </x:c>
      <x:c r="S106" s="92" t="n">
        <x:v>-405.89</x:v>
      </x:c>
      <x:c r="T106" s="92" t="n">
        <x:v>902.31</x:v>
      </x:c>
      <x:c r="U106" s="82" t="n">
        <x:v>81.14</x:v>
      </x:c>
      <x:c r="V106" s="82" t="n">
        <x:v>237.072</x:v>
      </x:c>
      <x:c r="W106" s="82" t="n">
        <x:v>0.7690056285</x:v>
      </x:c>
      <x:c r="X106" s="94" t="n">
        <x:v>2.233872728</x:v>
      </x:c>
      <x:c r="Y106" s="94" t="n">
        <x:v>555.1857143</x:v>
      </x:c>
      <x:c r="Z106" s="94" t="n">
        <x:v>13.06177273</x:v>
      </x:c>
      <x:c r="AA106" s="95" t="n">
        <x:v>-0.7843421155</x:v>
      </x:c>
      <x:c r="AB106" s="93" t="n">
        <x:v>0</x:v>
      </x:c>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75" t="str">
        <x:v>2014-05</x:v>
      </x:c>
      <x:c r="B107" s="91" t="n">
        <x:v>1915.360968</x:v>
      </x:c>
      <x:c r="C107" s="91" t="n">
        <x:v>109.5390909</x:v>
      </x:c>
      <x:c r="D107" s="91" t="n">
        <x:v>333.13</x:v>
      </x:c>
      <x:c r="E107" s="91" t="n">
        <x:v>4308.88</x:v>
      </x:c>
      <x:c r="F107" s="82" t="n">
        <x:v>3.5</x:v>
      </x:c>
      <x:c r="G107" s="82" t="n">
        <x:v>0.09</x:v>
      </x:c>
      <x:c r="H107" s="82" t="n">
        <x:v>3.41</x:v>
      </x:c>
      <x:c r="I107" s="92" t="n">
        <x:v>-805.7828131</x:v>
      </x:c>
      <x:c r="J107" s="82" t="n">
        <x:v>2.882476329</x:v>
      </x:c>
      <x:c r="K107" s="82" t="n">
        <x:v>93.67002857</x:v>
      </x:c>
      <x:c r="L107" s="82" t="n">
        <x:v>12.4752381</x:v>
      </x:c>
      <x:c r="M107" s="82" t="n">
        <x:v>149.05</x:v>
      </x:c>
      <x:c r="N107" s="93" t="n">
        <x:v>0</x:v>
      </x:c>
      <x:c r="O107" s="91" t="n">
        <x:v>45036.17</x:v>
      </x:c>
      <x:c r="P107" s="82" t="n">
        <x:v>6.634285714</x:v>
      </x:c>
      <x:c r="Q107" s="82" t="n">
        <x:v>2.559047619</x:v>
      </x:c>
      <x:c r="R107" s="82" t="n">
        <x:v>4.075238095</x:v>
      </x:c>
      <x:c r="S107" s="92" t="n">
        <x:v>-457.83</x:v>
      </x:c>
      <x:c r="T107" s="92" t="n">
        <x:v>954.65</x:v>
      </x:c>
      <x:c r="U107" s="82" t="n">
        <x:v>81.53</x:v>
      </x:c>
      <x:c r="V107" s="82" t="n">
        <x:v>237.9</x:v>
      </x:c>
      <x:c r="W107" s="82" t="n">
        <x:v>0.8018115658</x:v>
      </x:c>
      <x:c r="X107" s="94" t="n">
        <x:v>2.221268188</x:v>
      </x:c>
      <x:c r="Y107" s="94" t="n">
        <x:v>554.9156818</x:v>
      </x:c>
      <x:c r="Z107" s="94" t="n">
        <x:v>12.93015909</x:v>
      </x:c>
      <x:c r="AA107" s="95" t="n">
        <x:v>-0.2817255492</x:v>
      </x:c>
      <x:c r="AB107" s="93" t="n">
        <x:v>0</x:v>
      </x:c>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75" t="str">
        <x:v>2014-06</x:v>
      </x:c>
      <x:c r="B108" s="91" t="n">
        <x:v>1887.039333</x:v>
      </x:c>
      <x:c r="C108" s="91" t="n">
        <x:v>111.7952381</x:v>
      </x:c>
      <x:c r="D108" s="91" t="n">
        <x:v>298.39</x:v>
      </x:c>
      <x:c r="E108" s="91" t="n">
        <x:v>4234.4</x:v>
      </x:c>
      <x:c r="F108" s="82" t="n">
        <x:v>3.791666667</x:v>
      </x:c>
      <x:c r="G108" s="82" t="n">
        <x:v>0.1</x:v>
      </x:c>
      <x:c r="H108" s="82" t="n">
        <x:v>3.691666667</x:v>
      </x:c>
      <x:c r="I108" s="92" t="n">
        <x:v>-1168.040131</x:v>
      </x:c>
      <x:c r="J108" s="82" t="n">
        <x:v>3.305413646</x:v>
      </x:c>
      <x:c r="K108" s="82" t="n">
        <x:v>93.82740476</x:v>
      </x:c>
      <x:c r="L108" s="82" t="n">
        <x:v>11.54142857</x:v>
      </x:c>
      <x:c r="M108" s="82" t="n">
        <x:v>162.47</x:v>
      </x:c>
      <x:c r="N108" s="93" t="n">
        <x:v>0</x:v>
      </x:c>
      <x:c r="O108" s="91" t="n">
        <x:v>45501.64</x:v>
      </x:c>
      <x:c r="P108" s="82" t="n">
        <x:v>6.754444444</x:v>
      </x:c>
      <x:c r="Q108" s="82" t="n">
        <x:v>2.598571429</x:v>
      </x:c>
      <x:c r="R108" s="82" t="n">
        <x:v>4.155873016</x:v>
      </x:c>
      <x:c r="S108" s="92" t="n">
        <x:v>-422.78</x:v>
      </x:c>
      <x:c r="T108" s="92" t="n">
        <x:v>1106.4</x:v>
      </x:c>
      <x:c r="U108" s="82" t="n">
        <x:v>81.61</x:v>
      </x:c>
      <x:c r="V108" s="82" t="n">
        <x:v>238.343</x:v>
      </x:c>
      <x:c r="W108" s="82" t="n">
        <x:v>0.7239805817</x:v>
      </x:c>
      <x:c r="X108" s="94" t="n">
        <x:v>2.236019055</x:v>
      </x:c>
      <x:c r="Y108" s="94" t="n">
        <x:v>553.1237048</x:v>
      </x:c>
      <x:c r="Z108" s="94" t="n">
        <x:v>12.99334524</x:v>
      </x:c>
      <x:c r="AA108" s="95" t="n">
        <x:v>-0.02481825408</x:v>
      </x:c>
      <x:c r="AB108" s="93" t="n">
        <x:v>0</x:v>
      </x:c>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75" t="str">
        <x:v>2014-07</x:v>
      </x:c>
      <x:c r="B109" s="91" t="n">
        <x:v>1857.644194</x:v>
      </x:c>
      <x:c r="C109" s="91" t="n">
        <x:v>106.7681818</x:v>
      </x:c>
      <x:c r="D109" s="91" t="n">
        <x:v>346.21</x:v>
      </x:c>
      <x:c r="E109" s="91" t="n">
        <x:v>4186.38</x:v>
      </x:c>
      <x:c r="F109" s="82" t="n">
        <x:v>4</x:v>
      </x:c>
      <x:c r="G109" s="82" t="n">
        <x:v>0.09</x:v>
      </x:c>
      <x:c r="H109" s="82" t="n">
        <x:v>3.91</x:v>
      </x:c>
      <x:c r="I109" s="92" t="n">
        <x:v>-2706.775753</x:v>
      </x:c>
      <x:c r="J109" s="82" t="n">
        <x:v>3.251003553</x:v>
      </x:c>
      <x:c r="K109" s="82" t="n">
        <x:v>93.60385909</x:v>
      </x:c>
      <x:c r="L109" s="82" t="n">
        <x:v>12.29636364</x:v>
      </x:c>
      <x:c r="M109" s="82" t="n">
        <x:v>148.64</x:v>
      </x:c>
      <x:c r="N109" s="93" t="n">
        <x:v>0</x:v>
      </x:c>
      <x:c r="O109" s="91" t="n">
        <x:v>46091.98</x:v>
      </x:c>
      <x:c r="P109" s="82" t="n">
        <x:v>6.885217391</x:v>
      </x:c>
      <x:c r="Q109" s="82" t="n">
        <x:v>2.542272727</x:v>
      </x:c>
      <x:c r="R109" s="82" t="n">
        <x:v>4.342944664</x:v>
      </x:c>
      <x:c r="S109" s="92" t="n">
        <x:v>-515.55</x:v>
      </x:c>
      <x:c r="T109" s="92" t="n">
        <x:v>1241.81</x:v>
      </x:c>
      <x:c r="U109" s="82" t="n">
        <x:v>81.73</x:v>
      </x:c>
      <x:c r="V109" s="82" t="n">
        <x:v>238.25</x:v>
      </x:c>
      <x:c r="W109" s="82" t="n">
        <x:v>0.9033027378</x:v>
      </x:c>
      <x:c r="X109" s="94" t="n">
        <x:v>2.224330436</x:v>
      </x:c>
      <x:c r="Y109" s="94" t="n">
        <x:v>559.2120609</x:v>
      </x:c>
      <x:c r="Z109" s="94" t="n">
        <x:v>12.9666413</x:v>
      </x:c>
      <x:c r="AA109" s="95" t="n">
        <x:v>-0.03860818642</x:v>
      </x:c>
      <x:c r="AB109" s="93" t="n">
        <x:v>0</x:v>
      </x:c>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75" t="str">
        <x:v>2014-08</x:v>
      </x:c>
      <x:c r="B110" s="91" t="n">
        <x:v>1898.125161</x:v>
      </x:c>
      <x:c r="C110" s="91" t="n">
        <x:v>101.6080952</x:v>
      </x:c>
      <x:c r="D110" s="91" t="n">
        <x:v>315.26</x:v>
      </x:c>
      <x:c r="E110" s="91" t="n">
        <x:v>4129.41</x:v>
      </x:c>
      <x:c r="F110" s="82" t="n">
        <x:v>4.25</x:v>
      </x:c>
      <x:c r="G110" s="82" t="n">
        <x:v>0.09</x:v>
      </x:c>
      <x:c r="H110" s="82" t="n">
        <x:v>4.16</x:v>
      </x:c>
      <x:c r="I110" s="92" t="n">
        <x:v>-5648.355493</x:v>
      </x:c>
      <x:c r="J110" s="82" t="n">
        <x:v>3.559866605</x:v>
      </x:c>
      <x:c r="K110" s="82" t="n">
        <x:v>94.58080952</x:v>
      </x:c>
      <x:c r="L110" s="82" t="n">
        <x:v>13.49190476</x:v>
      </x:c>
      <x:c r="M110" s="82" t="n">
        <x:v>151.55</x:v>
      </x:c>
      <x:c r="N110" s="93" t="n">
        <x:v>0</x:v>
      </x:c>
      <x:c r="O110" s="91" t="n">
        <x:v>46705.06</x:v>
      </x:c>
      <x:c r="P110" s="82" t="n">
        <x:v>6.949473684</x:v>
      </x:c>
      <x:c r="Q110" s="82" t="n">
        <x:v>2.42</x:v>
      </x:c>
      <x:c r="R110" s="82" t="n">
        <x:v>4.529473684</x:v>
      </x:c>
      <x:c r="S110" s="92" t="n">
        <x:v>-404.15</x:v>
      </x:c>
      <x:c r="T110" s="92" t="n">
        <x:v>1469.35</x:v>
      </x:c>
      <x:c r="U110" s="82" t="n">
        <x:v>81.9</x:v>
      </x:c>
      <x:c r="V110" s="82" t="n">
        <x:v>237.852</x:v>
      </x:c>
      <x:c r="W110" s="82" t="n">
        <x:v>1.31925659</x:v>
      </x:c>
      <x:c r="X110" s="94" t="n">
        <x:v>2.267723799</x:v>
      </x:c>
      <x:c r="Y110" s="94" t="n">
        <x:v>579.8196333</x:v>
      </x:c>
      <x:c r="Z110" s="94" t="n">
        <x:v>13.14407143</x:v>
      </x:c>
      <x:c r="AA110" s="95" t="n">
        <x:v>0.6871038693</x:v>
      </x:c>
      <x:c r="AB110" s="93" t="n">
        <x:v>0</x:v>
      </x:c>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75" t="str">
        <x:v>2014-09</x:v>
      </x:c>
      <x:c r="B111" s="91" t="n">
        <x:v>1973.716667</x:v>
      </x:c>
      <x:c r="C111" s="91" t="n">
        <x:v>97.09142857</x:v>
      </x:c>
      <x:c r="D111" s="91" t="n">
        <x:v>343.28</x:v>
      </x:c>
      <x:c r="E111" s="91" t="n">
        <x:v>4118.55</x:v>
      </x:c>
      <x:c r="F111" s="82" t="n">
        <x:v>4.5</x:v>
      </x:c>
      <x:c r="G111" s="82" t="n">
        <x:v>0.09</x:v>
      </x:c>
      <x:c r="H111" s="82" t="n">
        <x:v>4.41</x:v>
      </x:c>
      <x:c r="I111" s="92" t="n">
        <x:v>3278.842819</x:v>
      </x:c>
      <x:c r="J111" s="82" t="n">
        <x:v>3.370339697</x:v>
      </x:c>
      <x:c r="K111" s="82" t="n">
        <x:v>96.12086667</x:v>
      </x:c>
      <x:c r="L111" s="82" t="n">
        <x:v>13.46666667</x:v>
      </x:c>
      <x:c r="M111" s="82" t="n">
        <x:v>145.98</x:v>
      </x:c>
      <x:c r="N111" s="93" t="n">
        <x:v>0</x:v>
      </x:c>
      <x:c r="O111" s="91" t="n">
        <x:v>47106.54</x:v>
      </x:c>
      <x:c r="P111" s="82" t="n">
        <x:v>6.910909091</x:v>
      </x:c>
      <x:c r="Q111" s="82" t="n">
        <x:v>2.534285714</x:v>
      </x:c>
      <x:c r="R111" s="82" t="n">
        <x:v>4.376623377</x:v>
      </x:c>
      <x:c r="S111" s="92" t="n">
        <x:v>-356.99</x:v>
      </x:c>
      <x:c r="T111" s="92" t="n">
        <x:v>923.79</x:v>
      </x:c>
      <x:c r="U111" s="82" t="n">
        <x:v>82.01</x:v>
      </x:c>
      <x:c r="V111" s="82" t="n">
        <x:v>238.031</x:v>
      </x:c>
      <x:c r="W111" s="82" t="n">
        <x:v>1.201732648</x:v>
      </x:c>
      <x:c r="X111" s="94" t="n">
        <x:v>2.332554535</x:v>
      </x:c>
      <x:c r="Y111" s="94" t="n">
        <x:v>594.2876136</x:v>
      </x:c>
      <x:c r="Z111" s="94" t="n">
        <x:v>13.23838636</x:v>
      </x:c>
      <x:c r="AA111" s="95" t="n">
        <x:v>0.5465466648</x:v>
      </x:c>
      <x:c r="AB111" s="93" t="n">
        <x:v>0</x:v>
      </x:c>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75" t="str">
        <x:v>2014-10</x:v>
      </x:c>
      <x:c r="B112" s="91" t="n">
        <x:v>2048.567419</x:v>
      </x:c>
      <x:c r="C112" s="91" t="n">
        <x:v>87.42521739</x:v>
      </x:c>
      <x:c r="D112" s="91" t="n">
        <x:v>349.25</x:v>
      </x:c>
      <x:c r="E112" s="91" t="n">
        <x:v>4099.51</x:v>
      </x:c>
      <x:c r="F112" s="82" t="n">
        <x:v>4.5</x:v>
      </x:c>
      <x:c r="G112" s="82" t="n">
        <x:v>0.09</x:v>
      </x:c>
      <x:c r="H112" s="82" t="n">
        <x:v>4.41</x:v>
      </x:c>
      <x:c r="I112" s="92" t="n">
        <x:v>-3539.124574</x:v>
      </x:c>
      <x:c r="J112" s="82" t="n">
        <x:v>3.013679212</x:v>
      </x:c>
      <x:c r="K112" s="82" t="n">
        <x:v>97.43960455</x:v>
      </x:c>
      <x:c r="L112" s="82" t="n">
        <x:v>18.05869565</x:v>
      </x:c>
      <x:c r="M112" s="82" t="n">
        <x:v>133.69</x:v>
      </x:c>
      <x:c r="N112" s="93" t="n">
        <x:v>0</x:v>
      </x:c>
      <x:c r="O112" s="91" t="n">
        <x:v>47364.58</x:v>
      </x:c>
      <x:c r="P112" s="82" t="n">
        <x:v>7.014090909</x:v>
      </x:c>
      <x:c r="Q112" s="82" t="n">
        <x:v>2.304090909</x:v>
      </x:c>
      <x:c r="R112" s="82" t="n">
        <x:v>4.71</x:v>
      </x:c>
      <x:c r="S112" s="92" t="n">
        <x:v>-395.14</x:v>
      </x:c>
      <x:c r="T112" s="92" t="n">
        <x:v>885.3</x:v>
      </x:c>
      <x:c r="U112" s="82" t="n">
        <x:v>82.14</x:v>
      </x:c>
      <x:c r="V112" s="82" t="n">
        <x:v>237.433</x:v>
      </x:c>
      <x:c r="W112" s="82" t="n">
        <x:v>1.630428396</x:v>
      </x:c>
      <x:c r="X112" s="94" t="n">
        <x:v>2.447943439</x:v>
      </x:c>
      <x:c r="Y112" s="94" t="n">
        <x:v>588.3092652</x:v>
      </x:c>
      <x:c r="Z112" s="94" t="n">
        <x:v>13.4796087</x:v>
      </x:c>
      <x:c r="AA112" s="95" t="n">
        <x:v>0.4259806319</x:v>
      </x:c>
      <x:c r="AB112" s="93" t="n">
        <x:v>0</x:v>
      </x:c>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75" t="str">
        <x:v>2014-11</x:v>
      </x:c>
      <x:c r="B113" s="91" t="n">
        <x:v>2128.683667</x:v>
      </x:c>
      <x:c r="C113" s="91" t="n">
        <x:v>79.43789474</x:v>
      </x:c>
      <x:c r="D113" s="91" t="n">
        <x:v>324.2</x:v>
      </x:c>
      <x:c r="E113" s="91" t="n">
        <x:v>4063.1</x:v>
      </x:c>
      <x:c r="F113" s="82" t="n">
        <x:v>4.5</x:v>
      </x:c>
      <x:c r="G113" s="82" t="n">
        <x:v>0.09</x:v>
      </x:c>
      <x:c r="H113" s="82" t="n">
        <x:v>4.41</x:v>
      </x:c>
      <x:c r="I113" s="92" t="n">
        <x:v>-1325.607484</x:v>
      </x:c>
      <x:c r="J113" s="82" t="n">
        <x:v>2.848812219</x:v>
      </x:c>
      <x:c r="K113" s="82" t="n">
        <x:v>99.11468889</x:v>
      </x:c>
      <x:c r="L113" s="82" t="n">
        <x:v>13.41315789</x:v>
      </x:c>
      <x:c r="M113" s="82" t="n">
        <x:v>130.36</x:v>
      </x:c>
      <x:c r="N113" s="93" t="n">
        <x:v>0</x:v>
      </x:c>
      <x:c r="O113" s="91" t="n">
        <x:v>47380.2</x:v>
      </x:c>
      <x:c r="P113" s="82" t="n">
        <x:v>6.846111111</x:v>
      </x:c>
      <x:c r="Q113" s="82" t="n">
        <x:v>2.325555556</x:v>
      </x:c>
      <x:c r="R113" s="82" t="n">
        <x:v>4.520555556</x:v>
      </x:c>
      <x:c r="S113" s="92" t="n">
        <x:v>-265.41</x:v>
      </x:c>
      <x:c r="T113" s="92" t="n">
        <x:v>319.11</x:v>
      </x:c>
      <x:c r="U113" s="82" t="n">
        <x:v>82.25</x:v>
      </x:c>
      <x:c r="V113" s="82" t="n">
        <x:v>236.151</x:v>
      </x:c>
      <x:c r="W113" s="82" t="n">
        <x:v>2.33233921</x:v>
      </x:c>
      <x:c r="X113" s="94" t="n">
        <x:v>2.548040009</x:v>
      </x:c>
      <x:c r="Y113" s="94" t="n">
        <x:v>594.161385</x:v>
      </x:c>
      <x:c r="Z113" s="94" t="n">
        <x:v>13.622</x:v>
      </x:c>
      <x:c r="AA113" s="95" t="n">
        <x:v>0.5107452137</x:v>
      </x:c>
      <x:c r="AB113" s="93" t="n">
        <x:v>0</x:v>
      </x:c>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75" t="str">
        <x:v>2014-12</x:v>
      </x:c>
      <x:c r="B114" s="91" t="n">
        <x:v>2342.253548</x:v>
      </x:c>
      <x:c r="C114" s="91" t="n">
        <x:v>62.335</x:v>
      </x:c>
      <x:c r="D114" s="91" t="n">
        <x:v>444.97</x:v>
      </x:c>
      <x:c r="E114" s="91" t="n">
        <x:v>4093.21</x:v>
      </x:c>
      <x:c r="F114" s="82" t="n">
        <x:v>4.5</x:v>
      </x:c>
      <x:c r="G114" s="82" t="n">
        <x:v>0.12</x:v>
      </x:c>
      <x:c r="H114" s="82" t="n">
        <x:v>4.38</x:v>
      </x:c>
      <x:c r="I114" s="92" t="n">
        <x:v>-9517.492224</x:v>
      </x:c>
      <x:c r="J114" s="82" t="n">
        <x:v>2.406132394</x:v>
      </x:c>
      <x:c r="K114" s="82" t="n">
        <x:v>101.4441333</x:v>
      </x:c>
      <x:c r="L114" s="82" t="n">
        <x:v>16.29227273</x:v>
      </x:c>
      <x:c r="M114" s="82" t="n">
        <x:v>117.58</x:v>
      </x:c>
      <x:c r="N114" s="93" t="n">
        <x:v>0</x:v>
      </x:c>
      <x:c r="O114" s="91" t="n">
        <x:v>47323.09</x:v>
      </x:c>
      <x:c r="P114" s="82" t="n">
        <x:v>7.3925</x:v>
      </x:c>
      <x:c r="Q114" s="82" t="n">
        <x:v>2.207272727</x:v>
      </x:c>
      <x:c r="R114" s="82" t="n">
        <x:v>5.185227273</x:v>
      </x:c>
      <x:c r="S114" s="92" t="n">
        <x:v>-357.49</x:v>
      </x:c>
      <x:c r="T114" s="92" t="n">
        <x:v>260.06</x:v>
      </x:c>
      <x:c r="U114" s="82" t="n">
        <x:v>82.47</x:v>
      </x:c>
      <x:c r="V114" s="82" t="n">
        <x:v>234.812</x:v>
      </x:c>
      <x:c r="W114" s="82" t="n">
        <x:v>2.901123623</x:v>
      </x:c>
      <x:c r="X114" s="94" t="n">
        <x:v>2.640943465</x:v>
      </x:c>
      <x:c r="Y114" s="94" t="n">
        <x:v>612.2470913</x:v>
      </x:c>
      <x:c r="Z114" s="94" t="n">
        <x:v>14.53530435</x:v>
      </x:c>
      <x:c r="AA114" s="95" t="n">
        <x:v>1.373736468</x:v>
      </x:c>
      <x:c r="AB114" s="93" t="n">
        <x:v>0</x:v>
      </x:c>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75" t="str">
        <x:v>2015-01</x:v>
      </x:c>
      <x:c r="B115" s="91" t="n">
        <x:v>2397.258065</x:v>
      </x:c>
      <x:c r="C115" s="91" t="n">
        <x:v>47.7595</x:v>
      </x:c>
      <x:c r="D115" s="91" t="n">
        <x:v>349</x:v>
      </x:c>
      <x:c r="E115" s="91" t="n">
        <x:v>4089.64</x:v>
      </x:c>
      <x:c r="F115" s="82" t="n">
        <x:v>4.5</x:v>
      </x:c>
      <x:c r="G115" s="82" t="n">
        <x:v>0.11</x:v>
      </x:c>
      <x:c r="H115" s="82" t="n">
        <x:v>4.39</x:v>
      </x:c>
      <x:c r="I115" s="92" t="n">
        <x:v>4185.292315</x:v>
      </x:c>
      <x:c r="J115" s="82" t="n">
        <x:v>2.679027018</x:v>
      </x:c>
      <x:c r="K115" s="82" t="n">
        <x:v>103.76074</x:v>
      </x:c>
      <x:c r="L115" s="82" t="n">
        <x:v>19.1195</x:v>
      </x:c>
      <x:c r="M115" s="82" t="n">
        <x:v>104.49</x:v>
      </x:c>
      <x:c r="N115" s="93" t="n">
        <x:v>0</x:v>
      </x:c>
      <x:c r="O115" s="91" t="n">
        <x:v>47067.16</x:v>
      </x:c>
      <x:c r="P115" s="82" t="n">
        <x:v>7.1275</x:v>
      </x:c>
      <x:c r="Q115" s="82" t="n">
        <x:v>1.8815</x:v>
      </x:c>
      <x:c r="R115" s="82" t="n">
        <x:v>5.246</x:v>
      </x:c>
      <x:c r="S115" s="92" t="n">
        <x:v>-289.86</x:v>
      </x:c>
      <x:c r="T115" s="92" t="n">
        <x:v>10.35</x:v>
      </x:c>
      <x:c r="U115" s="82" t="n">
        <x:v>83</x:v>
      </x:c>
      <x:c r="V115" s="82" t="n">
        <x:v>233.707</x:v>
      </x:c>
      <x:c r="W115" s="82" t="n">
        <x:v>3.904232616</x:v>
      </x:c>
      <x:c r="X115" s="94" t="n">
        <x:v>2.634918191</x:v>
      </x:c>
      <x:c r="Y115" s="94" t="n">
        <x:v>621.6387636</x:v>
      </x:c>
      <x:c r="Z115" s="94" t="n">
        <x:v>14.69686364</x:v>
      </x:c>
      <x:c r="AA115" s="95" t="n">
        <x:v>0.1985991189</x:v>
      </x:c>
      <x:c r="AB115" s="93" t="n">
        <x:v>0</x:v>
      </x:c>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75" t="str">
        <x:v>2015-02</x:v>
      </x:c>
      <x:c r="B116" s="91" t="n">
        <x:v>2420.6725</x:v>
      </x:c>
      <x:c r="C116" s="91" t="n">
        <x:v>58.0955</x:v>
      </x:c>
      <x:c r="D116" s="91" t="n">
        <x:v>361.96</x:v>
      </x:c>
      <x:c r="E116" s="91" t="n">
        <x:v>4121.38</x:v>
      </x:c>
      <x:c r="F116" s="82" t="n">
        <x:v>4.5</x:v>
      </x:c>
      <x:c r="G116" s="82" t="n">
        <x:v>0.11</x:v>
      </x:c>
      <x:c r="H116" s="82" t="n">
        <x:v>4.39</x:v>
      </x:c>
      <x:c r="I116" s="92" t="n">
        <x:v>-2925.395126</x:v>
      </x:c>
      <x:c r="J116" s="82" t="n">
        <x:v>2.700039179</x:v>
      </x:c>
      <x:c r="K116" s="82" t="n">
        <x:v>105.1685389</x:v>
      </x:c>
      <x:c r="L116" s="82" t="n">
        <x:v>15.90421053</x:v>
      </x:c>
      <x:c r="M116" s="82" t="n">
        <x:v>108.98</x:v>
      </x:c>
      <x:c r="N116" s="93" t="n">
        <x:v>0</x:v>
      </x:c>
      <x:c r="O116" s="91" t="n">
        <x:v>47055.26</x:v>
      </x:c>
      <x:c r="P116" s="82" t="n">
        <x:v>7.027</x:v>
      </x:c>
      <x:c r="Q116" s="82" t="n">
        <x:v>1.975263158</x:v>
      </x:c>
      <x:c r="R116" s="82" t="n">
        <x:v>5.051736842</x:v>
      </x:c>
      <x:c r="S116" s="92" t="n">
        <x:v>-241.31</x:v>
      </x:c>
      <x:c r="T116" s="92" t="n">
        <x:v>166.63</x:v>
      </x:c>
      <x:c r="U116" s="82" t="n">
        <x:v>83.96</x:v>
      </x:c>
      <x:c r="V116" s="82" t="n">
        <x:v>234.722</x:v>
      </x:c>
      <x:c r="W116" s="82" t="n">
        <x:v>4.388088161</x:v>
      </x:c>
      <x:c r="X116" s="94" t="n">
        <x:v>2.818399978</x:v>
      </x:c>
      <x:c r="Y116" s="94" t="n">
        <x:v>622.849655</x:v>
      </x:c>
      <x:c r="Z116" s="94" t="n">
        <x:v>14.917725</x:v>
      </x:c>
      <x:c r="AA116" s="95" t="n">
        <x:v>0.7119261065</x:v>
      </x:c>
      <x:c r="AB116" s="93" t="n">
        <x:v>0</x:v>
      </x:c>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75" t="str">
        <x:v>2015-03</x:v>
      </x:c>
      <x:c r="B117" s="91" t="n">
        <x:v>2585.362258</x:v>
      </x:c>
      <x:c r="C117" s="91" t="n">
        <x:v>55.88545455</x:v>
      </x:c>
      <x:c r="D117" s="91" t="n">
        <x:v>435.94</x:v>
      </x:c>
      <x:c r="E117" s="91" t="n">
        <x:v>4218.62</x:v>
      </x:c>
      <x:c r="F117" s="82" t="n">
        <x:v>4.5</x:v>
      </x:c>
      <x:c r="G117" s="82" t="n">
        <x:v>0.11</x:v>
      </x:c>
      <x:c r="H117" s="82" t="n">
        <x:v>4.39</x:v>
      </x:c>
      <x:c r="I117" s="92" t="n">
        <x:v>-4438.343245</x:v>
      </x:c>
      <x:c r="J117" s="82" t="n">
        <x:v>2.741533371</x:v>
      </x:c>
      <x:c r="K117" s="82" t="n">
        <x:v>107.3647381</x:v>
      </x:c>
      <x:c r="L117" s="82" t="n">
        <x:v>14.81272727</x:v>
      </x:c>
      <x:c r="M117" s="82" t="n">
        <x:v>116.07</x:v>
      </x:c>
      <x:c r="N117" s="93" t="n">
        <x:v>0</x:v>
      </x:c>
      <x:c r="O117" s="91" t="n">
        <x:v>46913.63</x:v>
      </x:c>
      <x:c r="P117" s="82" t="n">
        <x:v>7.318095238</x:v>
      </x:c>
      <x:c r="Q117" s="82" t="n">
        <x:v>2.042727273</x:v>
      </x:c>
      <x:c r="R117" s="82" t="n">
        <x:v>5.275367965</x:v>
      </x:c>
      <x:c r="S117" s="92" t="n">
        <x:v>-267.57</x:v>
      </x:c>
      <x:c r="T117" s="92" t="n">
        <x:v>51.11</x:v>
      </x:c>
      <x:c r="U117" s="82" t="n">
        <x:v>84.45</x:v>
      </x:c>
      <x:c r="V117" s="82" t="n">
        <x:v>236.119</x:v>
      </x:c>
      <x:c r="W117" s="82" t="n">
        <x:v>4.629784475</x:v>
      </x:c>
      <x:c r="X117" s="94" t="n">
        <x:v>3.139163635</x:v>
      </x:c>
      <x:c r="Y117" s="94" t="n">
        <x:v>628.7480773</x:v>
      </x:c>
      <x:c r="Z117" s="94" t="n">
        <x:v>15.24282955</x:v>
      </x:c>
      <x:c r="AA117" s="95" t="n">
        <x:v>1.252769852</x:v>
      </x:c>
      <x:c r="AB117" s="93" t="n">
        <x:v>0</x:v>
      </x:c>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75" t="str">
        <x:v>2015-04</x:v>
      </x:c>
      <x:c r="B118" s="91" t="n">
        <x:v>2505.248</x:v>
      </x:c>
      <x:c r="C118" s="91" t="n">
        <x:v>59.52428571</x:v>
      </x:c>
      <x:c r="D118" s="91" t="n">
        <x:v>352.86</x:v>
      </x:c>
      <x:c r="E118" s="91" t="n">
        <x:v>4254.45</x:v>
      </x:c>
      <x:c r="F118" s="82" t="n">
        <x:v>4.5</x:v>
      </x:c>
      <x:c r="G118" s="82" t="n">
        <x:v>0.12</x:v>
      </x:c>
      <x:c r="H118" s="82" t="n">
        <x:v>4.38</x:v>
      </x:c>
      <x:c r="I118" s="92" t="n">
        <x:v>2274.928871</x:v>
      </x:c>
      <x:c r="J118" s="82" t="n">
        <x:v>2.775702112</x:v>
      </x:c>
      <x:c r="K118" s="82" t="n">
        <x:v>106.3522818</x:v>
      </x:c>
      <x:c r="L118" s="82" t="n">
        <x:v>13.4947619</x:v>
      </x:c>
      <x:c r="M118" s="82" t="n">
        <x:v>118.61</x:v>
      </x:c>
      <x:c r="N118" s="93" t="n">
        <x:v>0</x:v>
      </x:c>
      <x:c r="O118" s="91" t="n">
        <x:v>47172.99</x:v>
      </x:c>
      <x:c r="P118" s="82" t="n">
        <x:v>7.208</x:v>
      </x:c>
      <x:c r="Q118" s="82" t="n">
        <x:v>1.935</x:v>
      </x:c>
      <x:c r="R118" s="82" t="n">
        <x:v>5.273</x:v>
      </x:c>
      <x:c r="S118" s="92" t="n">
        <x:v>-331.29</x:v>
      </x:c>
      <x:c r="T118" s="92" t="n">
        <x:v>593.9</x:v>
      </x:c>
      <x:c r="U118" s="82" t="n">
        <x:v>84.9</x:v>
      </x:c>
      <x:c r="V118" s="82" t="n">
        <x:v>236.599</x:v>
      </x:c>
      <x:c r="W118" s="82" t="n">
        <x:v>4.833483431</x:v>
      </x:c>
      <x:c r="X118" s="94" t="n">
        <x:v>3.047900005</x:v>
      </x:c>
      <x:c r="Y118" s="94" t="n">
        <x:v>614.0399227</x:v>
      </x:c>
      <x:c r="Z118" s="94" t="n">
        <x:v>15.22827</x:v>
      </x:c>
      <x:c r="AA118" s="95" t="n">
        <x:v>-0.6781398962</x:v>
      </x:c>
      <x:c r="AB118" s="93" t="n">
        <x:v>0</x:v>
      </x:c>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75" t="str">
        <x:v>2015-05</x:v>
      </x:c>
      <x:c r="B119" s="91" t="n">
        <x:v>2437.535161</x:v>
      </x:c>
      <x:c r="C119" s="91" t="n">
        <x:v>64.075</x:v>
      </x:c>
      <x:c r="D119" s="91" t="n">
        <x:v>362.7</x:v>
      </x:c>
      <x:c r="E119" s="91" t="n">
        <x:v>4284.02</x:v>
      </x:c>
      <x:c r="F119" s="82" t="n">
        <x:v>4.5</x:v>
      </x:c>
      <x:c r="G119" s="82" t="n">
        <x:v>0.12</x:v>
      </x:c>
      <x:c r="H119" s="82" t="n">
        <x:v>4.38</x:v>
      </x:c>
      <x:c r="I119" s="92" t="n">
        <x:v>870.7905267</x:v>
      </x:c>
      <x:c r="J119" s="82" t="n">
        <x:v>2.567352415</x:v>
      </x:c>
      <x:c r="K119" s="82" t="n">
        <x:v>105.406515</x:v>
      </x:c>
      <x:c r="L119" s="82" t="n">
        <x:v>13.3385</x:v>
      </x:c>
      <x:c r="M119" s="82" t="n">
        <x:v>123.53</x:v>
      </x:c>
      <x:c r="N119" s="93" t="n">
        <x:v>0</x:v>
      </x:c>
      <x:c r="O119" s="91" t="n">
        <x:v>47005.47</x:v>
      </x:c>
      <x:c r="P119" s="82" t="n">
        <x:v>7.352105263</x:v>
      </x:c>
      <x:c r="Q119" s="82" t="n">
        <x:v>2.1975</x:v>
      </x:c>
      <x:c r="R119" s="82" t="n">
        <x:v>5.154605263</x:v>
      </x:c>
      <x:c r="S119" s="92" t="n">
        <x:v>-201.58</x:v>
      </x:c>
      <x:c r="T119" s="92" t="n">
        <x:v>-105.45</x:v>
      </x:c>
      <x:c r="U119" s="82" t="n">
        <x:v>85.12</x:v>
      </x:c>
      <x:c r="V119" s="82" t="n">
        <x:v>237.805</x:v>
      </x:c>
      <x:c r="W119" s="82" t="n">
        <x:v>4.443219878</x:v>
      </x:c>
      <x:c r="X119" s="94" t="n">
        <x:v>3.058133352</x:v>
      </x:c>
      <x:c r="Y119" s="94" t="n">
        <x:v>607.8615619</x:v>
      </x:c>
      <x:c r="Z119" s="94" t="n">
        <x:v>15.2665</x:v>
      </x:c>
      <x:c r="AA119" s="95" t="n">
        <x:v>-0.1687206708</x:v>
      </x:c>
      <x:c r="AB119" s="93" t="n">
        <x:v>0</x:v>
      </x:c>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75" t="str">
        <x:v>2015-06</x:v>
      </x:c>
      <x:c r="B120" s="91" t="n">
        <x:v>2562.477667</x:v>
      </x:c>
      <x:c r="C120" s="91" t="n">
        <x:v>61.47772727</x:v>
      </x:c>
      <x:c r="D120" s="91" t="n">
        <x:v>396.98</x:v>
      </x:c>
      <x:c r="E120" s="91" t="n">
        <x:v>4382.61</x:v>
      </x:c>
      <x:c r="F120" s="82" t="n">
        <x:v>4.5</x:v>
      </x:c>
      <x:c r="G120" s="82" t="n">
        <x:v>0.13</x:v>
      </x:c>
      <x:c r="H120" s="82" t="n">
        <x:v>4.37</x:v>
      </x:c>
      <x:c r="I120" s="92" t="n">
        <x:v>-1953.188952</x:v>
      </x:c>
      <x:c r="J120" s="82" t="n">
        <x:v>2.664923762</x:v>
      </x:c>
      <x:c r="K120" s="82" t="n">
        <x:v>106.1789864</x:v>
      </x:c>
      <x:c r="L120" s="82" t="n">
        <x:v>14.33954545</x:v>
      </x:c>
      <x:c r="M120" s="82" t="n">
        <x:v>122.42</x:v>
      </x:c>
      <x:c r="N120" s="93" t="n">
        <x:v>0</x:v>
      </x:c>
      <x:c r="O120" s="91" t="n">
        <x:v>46975.77</x:v>
      </x:c>
      <x:c r="P120" s="82" t="n">
        <x:v>7.622631579</x:v>
      </x:c>
      <x:c r="Q120" s="82" t="n">
        <x:v>2.363636364</x:v>
      </x:c>
      <x:c r="R120" s="82" t="n">
        <x:v>5.258995215</x:v>
      </x:c>
      <x:c r="S120" s="92" t="n">
        <x:v>-164.19</x:v>
      </x:c>
      <x:c r="T120" s="92" t="n">
        <x:v>168.05</x:v>
      </x:c>
      <x:c r="U120" s="82" t="n">
        <x:v>85.21</x:v>
      </x:c>
      <x:c r="V120" s="82" t="n">
        <x:v>238.638</x:v>
      </x:c>
      <x:c r="W120" s="82" t="n">
        <x:v>4.287452911</x:v>
      </x:c>
      <x:c r="X120" s="94" t="n">
        <x:v>3.111727281</x:v>
      </x:c>
      <x:c r="Y120" s="94" t="n">
        <x:v>631.7326318</x:v>
      </x:c>
      <x:c r="Z120" s="94" t="n">
        <x:v>15.50471591</x:v>
      </x:c>
      <x:c r="AA120" s="95" t="n">
        <x:v>0.7211464185</x:v>
      </x:c>
      <x:c r="AB120" s="93" t="n">
        <x:v>0</x:v>
      </x:c>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75" t="str">
        <x:v>2015-07</x:v>
      </x:c>
      <x:c r="B121" s="91" t="n">
        <x:v>2732.035806</x:v>
      </x:c>
      <x:c r="C121" s="91" t="n">
        <x:v>56.56130435</x:v>
      </x:c>
      <x:c r="D121" s="91" t="n">
        <x:v>458.71</x:v>
      </x:c>
      <x:c r="E121" s="91" t="n">
        <x:v>4495.11</x:v>
      </x:c>
      <x:c r="F121" s="82" t="n">
        <x:v>4.5</x:v>
      </x:c>
      <x:c r="G121" s="82" t="n">
        <x:v>0.13</x:v>
      </x:c>
      <x:c r="H121" s="82" t="n">
        <x:v>4.37</x:v>
      </x:c>
      <x:c r="I121" s="92" t="n">
        <x:v>-3128.173274</x:v>
      </x:c>
      <x:c r="J121" s="82" t="n">
        <x:v>2.717291316</x:v>
      </x:c>
      <x:c r="K121" s="82" t="n">
        <x:v>108.1235682</x:v>
      </x:c>
      <x:c r="L121" s="82" t="n">
        <x:v>14.35272727</x:v>
      </x:c>
      <x:c r="M121" s="82" t="n">
        <x:v>115.13</x:v>
      </x:c>
      <x:c r="N121" s="93" t="n">
        <x:v>0</x:v>
      </x:c>
      <x:c r="O121" s="91" t="n">
        <x:v>46845.8</x:v>
      </x:c>
      <x:c r="P121" s="82" t="n">
        <x:v>7.840454545</x:v>
      </x:c>
      <x:c r="Q121" s="82" t="n">
        <x:v>2.324545455</x:v>
      </x:c>
      <x:c r="R121" s="82" t="n">
        <x:v>5.515909091</x:v>
      </x:c>
      <x:c r="S121" s="92" t="n">
        <x:v>-220.53</x:v>
      </x:c>
      <x:c r="T121" s="92" t="n">
        <x:v>-57.83</x:v>
      </x:c>
      <x:c r="U121" s="82" t="n">
        <x:v>85.37</x:v>
      </x:c>
      <x:c r="V121" s="82" t="n">
        <x:v>238.654</x:v>
      </x:c>
      <x:c r="W121" s="82" t="n">
        <x:v>4.284119196</x:v>
      </x:c>
      <x:c r="X121" s="94" t="n">
        <x:v>3.222817379</x:v>
      </x:c>
      <x:c r="Y121" s="94" t="n">
        <x:v>651.4216304</x:v>
      </x:c>
      <x:c r="Z121" s="94" t="n">
        <x:v>15.94103087</x:v>
      </x:c>
      <x:c r="AA121" s="95" t="n">
        <x:v>0.9312664655</x:v>
      </x:c>
      <x:c r="AB121" s="93" t="n">
        <x:v>0</x:v>
      </x:c>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75" t="str">
        <x:v>2015-08</x:v>
      </x:c>
      <x:c r="B122" s="91" t="n">
        <x:v>3012.587419</x:v>
      </x:c>
      <x:c r="C122" s="91" t="n">
        <x:v>46.515</x:v>
      </x:c>
      <x:c r="D122" s="91" t="n">
        <x:v>502.15</x:v>
      </x:c>
      <x:c r="E122" s="91" t="n">
        <x:v>4682</x:v>
      </x:c>
      <x:c r="F122" s="82" t="n">
        <x:v>4.5</x:v>
      </x:c>
      <x:c r="G122" s="82" t="n">
        <x:v>0.14</x:v>
      </x:c>
      <x:c r="H122" s="82" t="n">
        <x:v>4.36</x:v>
      </x:c>
      <x:c r="I122" s="92" t="n">
        <x:v>-4192.1143</x:v>
      </x:c>
      <x:c r="J122" s="82" t="n">
        <x:v>2.536322549</x:v>
      </x:c>
      <x:c r="K122" s="82" t="n">
        <x:v>109.9767476</x:v>
      </x:c>
      <x:c r="L122" s="82" t="n">
        <x:v>19.42809524</x:v>
      </x:c>
      <x:c r="M122" s="82" t="n">
        <x:v>105.94</x:v>
      </x:c>
      <x:c r="N122" s="93" t="n">
        <x:v>0</x:v>
      </x:c>
      <x:c r="O122" s="91" t="n">
        <x:v>46703.28</x:v>
      </x:c>
      <x:c r="P122" s="82" t="n">
        <x:v>8.058947368</x:v>
      </x:c>
      <x:c r="Q122" s="82" t="n">
        <x:v>2.167142857</x:v>
      </x:c>
      <x:c r="R122" s="82" t="n">
        <x:v>5.891804511</x:v>
      </x:c>
      <x:c r="S122" s="92" t="n">
        <x:v>-171.35</x:v>
      </x:c>
      <x:c r="T122" s="92" t="n">
        <x:v>-171.04</x:v>
      </x:c>
      <x:c r="U122" s="82" t="n">
        <x:v>85.78</x:v>
      </x:c>
      <x:c r="V122" s="82" t="n">
        <x:v>238.316</x:v>
      </x:c>
      <x:c r="W122" s="82" t="n">
        <x:v>4.542405444</x:v>
      </x:c>
      <x:c r="X122" s="94" t="n">
        <x:v>3.51399525</x:v>
      </x:c>
      <x:c r="Y122" s="94" t="n">
        <x:v>688.8470238</x:v>
      </x:c>
      <x:c r="Z122" s="94" t="n">
        <x:v>16.54392381</x:v>
      </x:c>
      <x:c r="AA122" s="95" t="n">
        <x:v>1.825155624</x:v>
      </x:c>
      <x:c r="AB122" s="93" t="n">
        <x:v>0</x:v>
      </x:c>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75" t="str">
        <x:v>2015-09</x:v>
      </x:c>
      <x:c r="B123" s="91" t="n">
        <x:v>3066.408</x:v>
      </x:c>
      <x:c r="C123" s="91" t="n">
        <x:v>47.62318182</x:v>
      </x:c>
      <x:c r="D123" s="91" t="n">
        <x:v>451.97</x:v>
      </x:c>
      <x:c r="E123" s="91" t="n">
        <x:v>4790.69</x:v>
      </x:c>
      <x:c r="F123" s="82" t="n">
        <x:v>4.525</x:v>
      </x:c>
      <x:c r="G123" s="82" t="n">
        <x:v>0.14</x:v>
      </x:c>
      <x:c r="H123" s="82" t="n">
        <x:v>4.385</x:v>
      </x:c>
      <x:c r="I123" s="92" t="n">
        <x:v>1423.223087</x:v>
      </x:c>
      <x:c r="J123" s="82" t="n">
        <x:v>2.766922547</x:v>
      </x:c>
      <x:c r="K123" s="82" t="n">
        <x:v>110.8512571</x:v>
      </x:c>
      <x:c r="L123" s="82" t="n">
        <x:v>24.37714286</x:v>
      </x:c>
      <x:c r="M123" s="82" t="n">
        <x:v>106.31</x:v>
      </x:c>
      <x:c r="N123" s="93" t="n">
        <x:v>0</x:v>
      </x:c>
      <x:c r="O123" s="91" t="n">
        <x:v>46726.37</x:v>
      </x:c>
      <x:c r="P123" s="82" t="n">
        <x:v>8.591363636</x:v>
      </x:c>
      <x:c r="Q123" s="82" t="n">
        <x:v>2.172857143</x:v>
      </x:c>
      <x:c r="R123" s="82" t="n">
        <x:v>6.418506494</x:v>
      </x:c>
      <x:c r="S123" s="92" t="n">
        <x:v>-251.93</x:v>
      </x:c>
      <x:c r="T123" s="92" t="n">
        <x:v>-50.87</x:v>
      </x:c>
      <x:c r="U123" s="82" t="n">
        <x:v>86.39</x:v>
      </x:c>
      <x:c r="V123" s="82" t="n">
        <x:v>237.945</x:v>
      </x:c>
      <x:c r="W123" s="82" t="n">
        <x:v>5.376941844</x:v>
      </x:c>
      <x:c r="X123" s="94" t="n">
        <x:v>3.901209105</x:v>
      </x:c>
      <x:c r="Y123" s="94" t="n">
        <x:v>691.3589818</x:v>
      </x:c>
      <x:c r="Z123" s="94" t="n">
        <x:v>16.85139091</x:v>
      </x:c>
      <x:c r="AA123" s="95" t="n">
        <x:v>1.113319359</x:v>
      </x:c>
      <x:c r="AB123" s="93" t="n">
        <x:v>0</x:v>
      </x:c>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75" t="str">
        <x:v>2015-10</x:v>
      </x:c>
      <x:c r="B124" s="91" t="n">
        <x:v>2929.472258</x:v>
      </x:c>
      <x:c r="C124" s="91" t="n">
        <x:v>48.43</x:v>
      </x:c>
      <x:c r="D124" s="91" t="n">
        <x:v>388.73</x:v>
      </x:c>
      <x:c r="E124" s="91" t="n">
        <x:v>4830.17</x:v>
      </x:c>
      <x:c r="F124" s="82" t="n">
        <x:v>4.75</x:v>
      </x:c>
      <x:c r="G124" s="82" t="n">
        <x:v>0.12</x:v>
      </x:c>
      <x:c r="H124" s="82" t="n">
        <x:v>4.63</x:v>
      </x:c>
      <x:c r="I124" s="92" t="n">
        <x:v>-3817.656829</x:v>
      </x:c>
      <x:c r="J124" s="82" t="n">
        <x:v>2.80153607</x:v>
      </x:c>
      <x:c r="K124" s="82" t="n">
        <x:v>109.9035714</x:v>
      </x:c>
      <x:c r="L124" s="82" t="n">
        <x:v>16.78954545</x:v>
      </x:c>
      <x:c r="M124" s="82" t="n">
        <x:v>105.08</x:v>
      </x:c>
      <x:c r="N124" s="93" t="n">
        <x:v>0</x:v>
      </x:c>
      <x:c r="O124" s="91" t="n">
        <x:v>46826.33</x:v>
      </x:c>
      <x:c r="P124" s="82" t="n">
        <x:v>8.222857143</x:v>
      </x:c>
      <x:c r="Q124" s="82" t="n">
        <x:v>2.07</x:v>
      </x:c>
      <x:c r="R124" s="82" t="n">
        <x:v>6.152857143</x:v>
      </x:c>
      <x:c r="S124" s="92" t="n">
        <x:v>-330.84</x:v>
      </x:c>
      <x:c r="T124" s="92" t="n">
        <x:v>414.98</x:v>
      </x:c>
      <x:c r="U124" s="82" t="n">
        <x:v>86.98</x:v>
      </x:c>
      <x:c r="V124" s="82" t="n">
        <x:v>237.838</x:v>
      </x:c>
      <x:c r="W124" s="82" t="n">
        <x:v>5.72180443</x:v>
      </x:c>
      <x:c r="X124" s="94" t="n">
        <x:v>3.873372707</x:v>
      </x:c>
      <x:c r="Y124" s="94" t="n">
        <x:v>684.1142136</x:v>
      </x:c>
      <x:c r="Z124" s="94" t="n">
        <x:v>16.57883273</x:v>
      </x:c>
      <x:c r="AA124" s="95" t="n">
        <x:v>-0.49477594</x:v>
      </x:c>
      <x:c r="AB124" s="93" t="n">
        <x:v>0</x:v>
      </x:c>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75" t="str">
        <x:v>2015-11</x:v>
      </x:c>
      <x:c r="B125" s="91" t="n">
        <x:v>3001.376333</x:v>
      </x:c>
      <x:c r="C125" s="91" t="n">
        <x:v>44.26761905</x:v>
      </x:c>
      <x:c r="D125" s="91" t="n">
        <x:v>399</x:v>
      </x:c>
      <x:c r="E125" s="91" t="n">
        <x:v>4904.97</x:v>
      </x:c>
      <x:c r="F125" s="82" t="n">
        <x:v>5.225</x:v>
      </x:c>
      <x:c r="G125" s="82" t="n">
        <x:v>0.12</x:v>
      </x:c>
      <x:c r="H125" s="82" t="n">
        <x:v>5.105</x:v>
      </x:c>
      <x:c r="I125" s="92" t="n">
        <x:v>-2772.118317</x:v>
      </x:c>
      <x:c r="J125" s="82" t="n">
        <x:v>2.981295634</x:v>
      </x:c>
      <x:c r="K125" s="82" t="n">
        <x:v>111.6916105</x:v>
      </x:c>
      <x:c r="L125" s="82" t="n">
        <x:v>16.21</x:v>
      </x:c>
      <x:c r="M125" s="82" t="n">
        <x:v>102.93</x:v>
      </x:c>
      <x:c r="N125" s="93" t="n">
        <x:v>0</x:v>
      </x:c>
      <x:c r="O125" s="91" t="n">
        <x:v>46757.77</x:v>
      </x:c>
      <x:c r="P125" s="82" t="n">
        <x:v>8.545263158</x:v>
      </x:c>
      <x:c r="Q125" s="82" t="n">
        <x:v>2.263157895</x:v>
      </x:c>
      <x:c r="R125" s="82" t="n">
        <x:v>6.282105263</x:v>
      </x:c>
      <x:c r="S125" s="92" t="n">
        <x:v>-146.75</x:v>
      </x:c>
      <x:c r="T125" s="92" t="n">
        <x:v>-154.99</x:v>
      </x:c>
      <x:c r="U125" s="82" t="n">
        <x:v>87.51</x:v>
      </x:c>
      <x:c r="V125" s="82" t="n">
        <x:v>237.336</x:v>
      </x:c>
      <x:c r="W125" s="82" t="n">
        <x:v>5.893339199</x:v>
      </x:c>
      <x:c r="X125" s="94" t="n">
        <x:v>3.780033339</x:v>
      </x:c>
      <x:c r="Y125" s="94" t="n">
        <x:v>704.8474905</x:v>
      </x:c>
      <x:c r="Z125" s="94" t="n">
        <x:v>16.63820762</x:v>
      </x:c>
      <x:c r="AA125" s="95" t="n">
        <x:v>0.09072250098</x:v>
      </x:c>
      <x:c r="AB125" s="93" t="n">
        <x:v>0</x:v>
      </x:c>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75" t="str">
        <x:v>2015-12</x:v>
      </x:c>
      <x:c r="B126" s="91" t="n">
        <x:v>3244.201613</x:v>
      </x:c>
      <x:c r="C126" s="91" t="n">
        <x:v>38.00545455</x:v>
      </x:c>
      <x:c r="D126" s="91" t="n">
        <x:v>497.4</x:v>
      </x:c>
      <x:c r="E126" s="91" t="n">
        <x:v>4957.4</x:v>
      </x:c>
      <x:c r="F126" s="82" t="n">
        <x:v>5.588709677</x:v>
      </x:c>
      <x:c r="G126" s="82" t="n">
        <x:v>0.24</x:v>
      </x:c>
      <x:c r="H126" s="82" t="n">
        <x:v>5.348709677</x:v>
      </x:c>
      <x:c r="I126" s="92" t="n">
        <x:v>-9795.834233</x:v>
      </x:c>
      <x:c r="J126" s="82" t="n">
        <x:v>3.015885516</x:v>
      </x:c>
      <x:c r="K126" s="82" t="n">
        <x:v>112.7857409</x:v>
      </x:c>
      <x:c r="L126" s="82" t="n">
        <x:v>18.02545455</x:v>
      </x:c>
      <x:c r="M126" s="82" t="n">
        <x:v>95.82</x:v>
      </x:c>
      <x:c r="N126" s="93" t="n">
        <x:v>0</x:v>
      </x:c>
      <x:c r="O126" s="91" t="n">
        <x:v>46731.11</x:v>
      </x:c>
      <x:c r="P126" s="82" t="n">
        <x:v>8.873</x:v>
      </x:c>
      <x:c r="Q126" s="82" t="n">
        <x:v>2.242727273</x:v>
      </x:c>
      <x:c r="R126" s="82" t="n">
        <x:v>6.630272727</x:v>
      </x:c>
      <x:c r="S126" s="92" t="n">
        <x:v>-252.16</x:v>
      </x:c>
      <x:c r="T126" s="92" t="n">
        <x:v>-31.5</x:v>
      </x:c>
      <x:c r="U126" s="82" t="n">
        <x:v>88.05</x:v>
      </x:c>
      <x:c r="V126" s="82" t="n">
        <x:v>236.525</x:v>
      </x:c>
      <x:c r="W126" s="82" t="n">
        <x:v>6.036576976</x:v>
      </x:c>
      <x:c r="X126" s="94" t="n">
        <x:v>3.874326074</x:v>
      </x:c>
      <x:c r="Y126" s="94" t="n">
        <x:v>704.4074783</x:v>
      </x:c>
      <x:c r="Z126" s="94" t="n">
        <x:v>17.08013565</x:v>
      </x:c>
      <x:c r="AA126" s="95" t="n">
        <x:v>0.4270484975</x:v>
      </x:c>
      <x:c r="AB126" s="93" t="n">
        <x:v>0</x:v>
      </x:c>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75" t="str">
        <x:v>2016-01</x:v>
      </x:c>
      <x:c r="B127" s="91" t="n">
        <x:v>3270.195161</x:v>
      </x:c>
      <x:c r="C127" s="91" t="n">
        <x:v>30.6995</x:v>
      </x:c>
      <x:c r="D127" s="91" t="n">
        <x:v>409.29</x:v>
      </x:c>
      <x:c r="E127" s="91" t="n">
        <x:v>5017.69</x:v>
      </x:c>
      <x:c r="F127" s="82" t="n">
        <x:v>5.75</x:v>
      </x:c>
      <x:c r="G127" s="82" t="n">
        <x:v>0.34</x:v>
      </x:c>
      <x:c r="H127" s="82" t="n">
        <x:v>5.41</x:v>
      </x:c>
      <x:c r="I127" s="92" t="n">
        <x:v>1561.154616</x:v>
      </x:c>
      <x:c r="J127" s="82" t="n">
        <x:v>3.113369713</x:v>
      </x:c>
      <x:c r="K127" s="82" t="n">
        <x:v>115.2343875</x:v>
      </x:c>
      <x:c r="L127" s="82" t="n">
        <x:v>23.71789474</x:v>
      </x:c>
      <x:c r="M127" s="82" t="n">
        <x:v>86.25</x:v>
      </x:c>
      <x:c r="N127" s="93" t="n">
        <x:v>0</x:v>
      </x:c>
      <x:c r="O127" s="91" t="n">
        <x:v>46734.29</x:v>
      </x:c>
      <x:c r="P127" s="82" t="n">
        <x:v>9.157368421</x:v>
      </x:c>
      <x:c r="Q127" s="82" t="n">
        <x:v>2.085263158</x:v>
      </x:c>
      <x:c r="R127" s="82" t="n">
        <x:v>7.072105263</x:v>
      </x:c>
      <x:c r="S127" s="92" t="n">
        <x:v>-157.72</x:v>
      </x:c>
      <x:c r="T127" s="92" t="n">
        <x:v>36.65</x:v>
      </x:c>
      <x:c r="U127" s="82" t="n">
        <x:v>89.19</x:v>
      </x:c>
      <x:c r="V127" s="82" t="n">
        <x:v>236.916</x:v>
      </x:c>
      <x:c r="W127" s="82" t="n">
        <x:v>6.084744511</x:v>
      </x:c>
      <x:c r="X127" s="94" t="n">
        <x:v>4.045000008</x:v>
      </x:c>
      <x:c r="Y127" s="94" t="n">
        <x:v>721.5532286</x:v>
      </x:c>
      <x:c r="Z127" s="94" t="n">
        <x:v>18.04937476</x:v>
      </x:c>
      <x:c r="AA127" s="95" t="n">
        <x:v>1.249890468</x:v>
      </x:c>
      <x:c r="AB127" s="93" t="n">
        <x:v>0</x:v>
      </x:c>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75" t="str">
        <x:v>2016-02</x:v>
      </x:c>
      <x:c r="B128" s="91" t="n">
        <x:v>3354.956897</x:v>
      </x:c>
      <x:c r="C128" s="91" t="n">
        <x:v>32.1815</x:v>
      </x:c>
      <x:c r="D128" s="91" t="n">
        <x:v>451.42</x:v>
      </x:c>
      <x:c r="E128" s="91" t="n">
        <x:v>5107.15</x:v>
      </x:c>
      <x:c r="F128" s="82" t="n">
        <x:v>6.068965517</x:v>
      </x:c>
      <x:c r="G128" s="82" t="n">
        <x:v>0.38</x:v>
      </x:c>
      <x:c r="H128" s="82" t="n">
        <x:v>5.688965517</x:v>
      </x:c>
      <x:c r="I128" s="92" t="n">
        <x:v>-5524.624035</x:v>
      </x:c>
      <x:c r="J128" s="82" t="n">
        <x:v>3.414282317</x:v>
      </x:c>
      <x:c r="K128" s="82" t="n">
        <x:v>114.281735</x:v>
      </x:c>
      <x:c r="L128" s="82" t="n">
        <x:v>22.517</x:v>
      </x:c>
      <x:c r="M128" s="82" t="n">
        <x:v>94.13</x:v>
      </x:c>
      <x:c r="N128" s="93" t="n">
        <x:v>0</x:v>
      </x:c>
      <x:c r="O128" s="91" t="n">
        <x:v>46849.39</x:v>
      </x:c>
      <x:c r="P128" s="82" t="n">
        <x:v>9.34952381</x:v>
      </x:c>
      <x:c r="Q128" s="82" t="n">
        <x:v>1.7795</x:v>
      </x:c>
      <x:c r="R128" s="82" t="n">
        <x:v>7.57002381</x:v>
      </x:c>
      <x:c r="S128" s="92" t="n">
        <x:v>-147.57</x:v>
      </x:c>
      <x:c r="T128" s="92" t="n">
        <x:v>54.35</x:v>
      </x:c>
      <x:c r="U128" s="82" t="n">
        <x:v>90.33</x:v>
      </x:c>
      <x:c r="V128" s="82" t="n">
        <x:v>237.111</x:v>
      </x:c>
      <x:c r="W128" s="82" t="n">
        <x:v>6.569146385</x:v>
      </x:c>
      <x:c r="X128" s="94" t="n">
        <x:v>3.966157153</x:v>
      </x:c>
      <x:c r="Y128" s="94" t="n">
        <x:v>703.1560714</x:v>
      </x:c>
      <x:c r="Z128" s="94" t="n">
        <x:v>18.46209</x:v>
      </x:c>
      <x:c r="AA128" s="95" t="n">
        <x:v>-0.3337051692</x:v>
      </x:c>
      <x:c r="AB128" s="93" t="n">
        <x:v>0</x:v>
      </x:c>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75" t="str">
        <x:v>2016-03</x:v>
      </x:c>
      <x:c r="B129" s="91" t="n">
        <x:v>3128.789032</x:v>
      </x:c>
      <x:c r="C129" s="91" t="n">
        <x:v>38.21045455</x:v>
      </x:c>
      <x:c r="D129" s="91" t="n">
        <x:v>414.88</x:v>
      </x:c>
      <x:c r="E129" s="91" t="n">
        <x:v>5086.09</x:v>
      </x:c>
      <x:c r="F129" s="82" t="n">
        <x:v>6.330645161</x:v>
      </x:c>
      <x:c r="G129" s="82" t="n">
        <x:v>0.36</x:v>
      </x:c>
      <x:c r="H129" s="82" t="n">
        <x:v>5.970645161</x:v>
      </x:c>
      <x:c r="I129" s="92" t="n">
        <x:v>-3048.225588</x:v>
      </x:c>
      <x:c r="J129" s="82" t="n">
        <x:v>3.253348464</x:v>
      </x:c>
      <x:c r="K129" s="82" t="n">
        <x:v>111.8933913</x:v>
      </x:c>
      <x:c r="L129" s="82" t="n">
        <x:v>15.84909091</x:v>
      </x:c>
      <x:c r="M129" s="82" t="n">
        <x:v>103.64</x:v>
      </x:c>
      <x:c r="N129" s="93" t="n">
        <x:v>0</x:v>
      </x:c>
      <x:c r="O129" s="91" t="n">
        <x:v>47224.96</x:v>
      </x:c>
      <x:c r="P129" s="82" t="n">
        <x:v>8.6915</x:v>
      </x:c>
      <x:c r="Q129" s="82" t="n">
        <x:v>1.889090909</x:v>
      </x:c>
      <x:c r="R129" s="82" t="n">
        <x:v>6.802409091</x:v>
      </x:c>
      <x:c r="S129" s="92" t="n">
        <x:v>-258.82</x:v>
      </x:c>
      <x:c r="T129" s="92" t="n">
        <x:v>549.21</x:v>
      </x:c>
      <x:c r="U129" s="82" t="n">
        <x:v>91.18</x:v>
      </x:c>
      <x:c r="V129" s="82" t="n">
        <x:v>238.132</x:v>
      </x:c>
      <x:c r="W129" s="82" t="n">
        <x:v>7.116676331</x:v>
      </x:c>
      <x:c r="X129" s="94" t="n">
        <x:v>3.703213039</x:v>
      </x:c>
      <x:c r="Y129" s="94" t="n">
        <x:v>680.3120739</x:v>
      </x:c>
      <x:c r="Z129" s="94" t="n">
        <x:v>17.6228413</x:v>
      </x:c>
      <x:c r="AA129" s="95" t="n">
        <x:v>-1.695845552</x:v>
      </x:c>
      <x:c r="AB129" s="93" t="n">
        <x:v>0</x:v>
      </x:c>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75" t="str">
        <x:v>2016-04</x:v>
      </x:c>
      <x:c r="B130" s="91" t="n">
        <x:v>2997.727</x:v>
      </x:c>
      <x:c r="C130" s="91" t="n">
        <x:v>41.58333333</x:v>
      </x:c>
      <x:c r="D130" s="91" t="n">
        <x:v>399.76</x:v>
      </x:c>
      <x:c r="E130" s="91" t="n">
        <x:v>5132.99</x:v>
      </x:c>
      <x:c r="F130" s="82" t="n">
        <x:v>6.5</x:v>
      </x:c>
      <x:c r="G130" s="82" t="n">
        <x:v>0.37</x:v>
      </x:c>
      <x:c r="H130" s="82" t="n">
        <x:v>6.13</x:v>
      </x:c>
      <x:c r="I130" s="92" t="n">
        <x:v>-441.2978213</x:v>
      </x:c>
      <x:c r="J130" s="82" t="n">
        <x:v>3.567805895</x:v>
      </x:c>
      <x:c r="K130" s="82" t="n">
        <x:v>110.0170762</x:v>
      </x:c>
      <x:c r="L130" s="82" t="n">
        <x:v>14.30047619</x:v>
      </x:c>
      <x:c r="M130" s="82" t="n">
        <x:v>105.85</x:v>
      </x:c>
      <x:c r="N130" s="93" t="n">
        <x:v>0</x:v>
      </x:c>
      <x:c r="O130" s="91" t="n">
        <x:v>47292.95</x:v>
      </x:c>
      <x:c r="P130" s="82" t="n">
        <x:v>8.27</x:v>
      </x:c>
      <x:c r="Q130" s="82" t="n">
        <x:v>1.805238095</x:v>
      </x:c>
      <x:c r="R130" s="82" t="n">
        <x:v>6.464761905</x:v>
      </x:c>
      <x:c r="S130" s="92" t="n">
        <x:v>-161.77</x:v>
      </x:c>
      <x:c r="T130" s="92" t="n">
        <x:v>118.04</x:v>
      </x:c>
      <x:c r="U130" s="82" t="n">
        <x:v>91.63</x:v>
      </x:c>
      <x:c r="V130" s="82" t="n">
        <x:v>239.261</x:v>
      </x:c>
      <x:c r="W130" s="82" t="n">
        <x:v>6.80186249</x:v>
      </x:c>
      <x:c r="X130" s="94" t="n">
        <x:v>3.564800001</x:v>
      </x:c>
      <x:c r="Y130" s="94" t="n">
        <x:v>669.6329667</x:v>
      </x:c>
      <x:c r="Z130" s="94" t="n">
        <x:v>17.46794571</x:v>
      </x:c>
      <x:c r="AA130" s="95" t="n">
        <x:v>-0.7525010312</x:v>
      </x:c>
      <x:c r="AB130" s="93" t="n">
        <x:v>0</x:v>
      </x:c>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75" t="str">
        <x:v>2016-05</x:v>
      </x:c>
      <x:c r="B131" s="91" t="n">
        <x:v>2993.508387</x:v>
      </x:c>
      <x:c r="C131" s="91" t="n">
        <x:v>46.74238095</x:v>
      </x:c>
      <x:c r="D131" s="91" t="n">
        <x:v>433.51</x:v>
      </x:c>
      <x:c r="E131" s="91" t="n">
        <x:v>5203.8</x:v>
      </x:c>
      <x:c r="F131" s="82" t="n">
        <x:v>6.991935484</x:v>
      </x:c>
      <x:c r="G131" s="82" t="n">
        <x:v>0.37</x:v>
      </x:c>
      <x:c r="H131" s="82" t="n">
        <x:v>6.621935484</x:v>
      </x:c>
      <x:c r="I131" s="92" t="n">
        <x:v>294.7500988</x:v>
      </x:c>
      <x:c r="J131" s="82" t="n">
        <x:v>3.634494068</x:v>
      </x:c>
      <x:c r="K131" s="82" t="n">
        <x:v>111.1405143</x:v>
      </x:c>
      <x:c r="L131" s="82" t="n">
        <x:v>14.85285714</x:v>
      </x:c>
      <x:c r="M131" s="82" t="n">
        <x:v>112.65</x:v>
      </x:c>
      <x:c r="N131" s="93" t="n">
        <x:v>0</x:v>
      </x:c>
      <x:c r="O131" s="91" t="n">
        <x:v>47532.46</x:v>
      </x:c>
      <x:c r="P131" s="82" t="n">
        <x:v>8.1945</x:v>
      </x:c>
      <x:c r="Q131" s="82" t="n">
        <x:v>1.806190476</x:v>
      </x:c>
      <x:c r="R131" s="82" t="n">
        <x:v>6.388309524</x:v>
      </x:c>
      <x:c r="S131" s="92" t="n">
        <x:v>9.75</x:v>
      </x:c>
      <x:c r="T131" s="92" t="n">
        <x:v>-128.79</x:v>
      </x:c>
      <x:c r="U131" s="82" t="n">
        <x:v>92.1</x:v>
      </x:c>
      <x:c r="V131" s="82" t="n">
        <x:v>240.229</x:v>
      </x:c>
      <x:c r="W131" s="82" t="n">
        <x:v>7.180865416</x:v>
      </x:c>
      <x:c r="X131" s="94" t="n">
        <x:v>3.540854562</x:v>
      </x:c>
      <x:c r="Y131" s="94" t="n">
        <x:v>683.3696773</x:v>
      </x:c>
      <x:c r="Z131" s="94" t="n">
        <x:v>18.08294591</x:v>
      </x:c>
      <x:c r="AA131" s="95" t="n">
        <x:v>0.5034172842</x:v>
      </x:c>
      <x:c r="AB131" s="93" t="n">
        <x:v>0</x:v>
      </x:c>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75" t="str">
        <x:v>2016-06</x:v>
      </x:c>
      <x:c r="B132" s="91" t="n">
        <x:v>2992.858667</x:v>
      </x:c>
      <x:c r="C132" s="91" t="n">
        <x:v>48.24727273</x:v>
      </x:c>
      <x:c r="D132" s="91" t="n">
        <x:v>404.3</x:v>
      </x:c>
      <x:c r="E132" s="91" t="n">
        <x:v>5211.12</x:v>
      </x:c>
      <x:c r="F132" s="82" t="n">
        <x:v>7.316666667</x:v>
      </x:c>
      <x:c r="G132" s="82" t="n">
        <x:v>0.38</x:v>
      </x:c>
      <x:c r="H132" s="82" t="n">
        <x:v>6.936666667</x:v>
      </x:c>
      <x:c r="I132" s="92" t="n">
        <x:v>-1564.24087</x:v>
      </x:c>
      <x:c r="J132" s="82" t="n">
        <x:v>3.589465567</x:v>
      </x:c>
      <x:c r="K132" s="82" t="n">
        <x:v>111.5596273</x:v>
      </x:c>
      <x:c r="L132" s="82" t="n">
        <x:v>17.77454545</x:v>
      </x:c>
      <x:c r="M132" s="82" t="n">
        <x:v>115.06</x:v>
      </x:c>
      <x:c r="N132" s="93" t="n">
        <x:v>0</x:v>
      </x:c>
      <x:c r="O132" s="91" t="n">
        <x:v>47025.08</x:v>
      </x:c>
      <x:c r="P132" s="82" t="n">
        <x:v>7.973333333</x:v>
      </x:c>
      <x:c r="Q132" s="82" t="n">
        <x:v>1.644090909</x:v>
      </x:c>
      <x:c r="R132" s="82" t="n">
        <x:v>6.329242424</x:v>
      </x:c>
      <x:c r="S132" s="92" t="n">
        <x:v>-151.83</x:v>
      </x:c>
      <x:c r="T132" s="92" t="n">
        <x:v>-424.57</x:v>
      </x:c>
      <x:c r="U132" s="82" t="n">
        <x:v>92.54</x:v>
      </x:c>
      <x:c r="V132" s="82" t="n">
        <x:v>241.018</x:v>
      </x:c>
      <x:c r="W132" s="82" t="n">
        <x:v>7.604950234</x:v>
      </x:c>
      <x:c r="X132" s="94" t="n">
        <x:v>3.424177267</x:v>
      </x:c>
      <x:c r="Y132" s="94" t="n">
        <x:v>679.6082818</x:v>
      </x:c>
      <x:c r="Z132" s="94" t="n">
        <x:v>18.57009682</x:v>
      </x:c>
      <x:c r="AA132" s="95" t="n">
        <x:v>-0.1583088956</x:v>
      </x:c>
      <x:c r="AB132" s="93" t="n">
        <x:v>0</x:v>
      </x:c>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75" t="str">
        <x:v>2016-07</x:v>
      </x:c>
      <x:c r="B133" s="91" t="n">
        <x:v>2960.999677</x:v>
      </x:c>
      <x:c r="C133" s="91" t="n">
        <x:v>44.95190476</x:v>
      </x:c>
      <x:c r="D133" s="91" t="n">
        <x:v>399.62</x:v>
      </x:c>
      <x:c r="E133" s="91" t="n">
        <x:v>5152.03</x:v>
      </x:c>
      <x:c r="F133" s="82" t="n">
        <x:v>7.5</x:v>
      </x:c>
      <x:c r="G133" s="82" t="n">
        <x:v>0.39</x:v>
      </x:c>
      <x:c r="H133" s="82" t="n">
        <x:v>7.11</x:v>
      </x:c>
      <x:c r="I133" s="92" t="n">
        <x:v>-6505.047012</x:v>
      </x:c>
      <x:c r="J133" s="82" t="n">
        <x:v>3.980406075</x:v>
      </x:c>
      <x:c r="K133" s="82" t="n">
        <x:v>112.47729</x:v>
      </x:c>
      <x:c r="L133" s="82" t="n">
        <x:v>13.1585</x:v>
      </x:c>
      <x:c r="M133" s="82" t="n">
        <x:v>111.35</x:v>
      </x:c>
      <x:c r="N133" s="93" t="n">
        <x:v>0</x:v>
      </x:c>
      <x:c r="O133" s="91" t="n">
        <x:v>47091.19</x:v>
      </x:c>
      <x:c r="P133" s="82" t="n">
        <x:v>7.600526316</x:v>
      </x:c>
      <x:c r="Q133" s="82" t="n">
        <x:v>1.504</x:v>
      </x:c>
      <x:c r="R133" s="82" t="n">
        <x:v>6.096526316</x:v>
      </x:c>
      <x:c r="S133" s="92" t="n">
        <x:v>-43.5</x:v>
      </x:c>
      <x:c r="T133" s="92" t="n">
        <x:v>-30.32</x:v>
      </x:c>
      <x:c r="U133" s="82" t="n">
        <x:v>93.02</x:v>
      </x:c>
      <x:c r="V133" s="82" t="n">
        <x:v>240.628</x:v>
      </x:c>
      <x:c r="W133" s="82" t="n">
        <x:v>8.133854453</x:v>
      </x:c>
      <x:c r="X133" s="94" t="n">
        <x:v>3.275266647</x:v>
      </x:c>
      <x:c r="Y133" s="94" t="n">
        <x:v>656.9708524</x:v>
      </x:c>
      <x:c r="Z133" s="94" t="n">
        <x:v>18.52282762</x:v>
      </x:c>
      <x:c r="AA133" s="95" t="n">
        <x:v>-0.9606139338</x:v>
      </x:c>
      <x:c r="AB133" s="93" t="n">
        <x:v>0</x:v>
      </x:c>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75" t="str">
        <x:v>2016-08</x:v>
      </x:c>
      <x:c r="B134" s="91" t="n">
        <x:v>2952.766774</x:v>
      </x:c>
      <x:c r="C134" s="91" t="n">
        <x:v>45.84304348</x:v>
      </x:c>
      <x:c r="D134" s="91" t="n">
        <x:v>453.21</x:v>
      </x:c>
      <x:c r="E134" s="91" t="n">
        <x:v>5103.09</x:v>
      </x:c>
      <x:c r="F134" s="82" t="n">
        <x:v>7.75</x:v>
      </x:c>
      <x:c r="G134" s="82" t="n">
        <x:v>0.4</x:v>
      </x:c>
      <x:c r="H134" s="82" t="n">
        <x:v>7.35</x:v>
      </x:c>
      <x:c r="I134" s="92" t="n">
        <x:v>-6591.676449</x:v>
      </x:c>
      <x:c r="J134" s="82" t="n">
        <x:v>4.258203268</x:v>
      </x:c>
      <x:c r="K134" s="82" t="n">
        <x:v>111.4383696</x:v>
      </x:c>
      <x:c r="L134" s="82" t="n">
        <x:v>12.39956522</x:v>
      </x:c>
      <x:c r="M134" s="82" t="n">
        <x:v>113.12</x:v>
      </x:c>
      <x:c r="N134" s="93" t="n">
        <x:v>0</x:v>
      </x:c>
      <x:c r="O134" s="91" t="n">
        <x:v>47036.53</x:v>
      </x:c>
      <x:c r="P134" s="82" t="n">
        <x:v>7.495909091</x:v>
      </x:c>
      <x:c r="Q134" s="82" t="n">
        <x:v>1.556521739</x:v>
      </x:c>
      <x:c r="R134" s="82" t="n">
        <x:v>5.939387352</x:v>
      </x:c>
      <x:c r="S134" s="92" t="n">
        <x:v>-230.41</x:v>
      </x:c>
      <x:c r="T134" s="92" t="n">
        <x:v>24.63</x:v>
      </x:c>
      <x:c r="U134" s="82" t="n">
        <x:v>92.73</x:v>
      </x:c>
      <x:c r="V134" s="82" t="n">
        <x:v>240.849</x:v>
      </x:c>
      <x:c r="W134" s="82" t="n">
        <x:v>7.039247204</x:v>
      </x:c>
      <x:c r="X134" s="94" t="n">
        <x:v>3.209356495</x:v>
      </x:c>
      <x:c r="Y134" s="94" t="n">
        <x:v>659.3605348</x:v>
      </x:c>
      <x:c r="Z134" s="94" t="n">
        <x:v>18.41910043</x:v>
      </x:c>
      <x:c r="AA134" s="95" t="n">
        <x:v>-0.3097098478</x:v>
      </x:c>
      <x:c r="AB134" s="93" t="n">
        <x:v>0</x:v>
      </x:c>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75" t="str">
        <x:v>2016-09</x:v>
      </x:c>
      <x:c r="B135" s="91" t="n">
        <x:v>2924.265333</x:v>
      </x:c>
      <x:c r="C135" s="91" t="n">
        <x:v>46.56772727</x:v>
      </x:c>
      <x:c r="D135" s="91" t="n">
        <x:v>413.45</x:v>
      </x:c>
      <x:c r="E135" s="91" t="n">
        <x:v>5064.57</x:v>
      </x:c>
      <x:c r="F135" s="82" t="n">
        <x:v>7.75</x:v>
      </x:c>
      <x:c r="G135" s="82" t="n">
        <x:v>0.4</x:v>
      </x:c>
      <x:c r="H135" s="82" t="n">
        <x:v>7.35</x:v>
      </x:c>
      <x:c r="I135" s="92" t="n">
        <x:v>117.3548369</x:v>
      </x:c>
      <x:c r="J135" s="82" t="n">
        <x:v>4.409383572</x:v>
      </x:c>
      <x:c r="K135" s="82" t="n">
        <x:v>112.3168619</x:v>
      </x:c>
      <x:c r="L135" s="82" t="n">
        <x:v>14.21952381</x:v>
      </x:c>
      <x:c r="M135" s="82" t="n">
        <x:v>113.7</x:v>
      </x:c>
      <x:c r="N135" s="93" t="n">
        <x:v>0</x:v>
      </x:c>
      <x:c r="O135" s="91" t="n">
        <x:v>47106.05</x:v>
      </x:c>
      <x:c r="P135" s="82" t="n">
        <x:v>7.157272727</x:v>
      </x:c>
      <x:c r="Q135" s="82" t="n">
        <x:v>1.63047619</x:v>
      </x:c>
      <x:c r="R135" s="82" t="n">
        <x:v>5.526796537</x:v>
      </x:c>
      <x:c r="S135" s="92" t="n">
        <x:v>-143.72</x:v>
      </x:c>
      <x:c r="T135" s="92" t="n">
        <x:v>-118.15</x:v>
      </x:c>
      <x:c r="U135" s="82" t="n">
        <x:v>92.68</x:v>
      </x:c>
      <x:c r="V135" s="82" t="n">
        <x:v>241.428</x:v>
      </x:c>
      <x:c r="W135" s="82" t="n">
        <x:v>5.817151646</x:v>
      </x:c>
      <x:c r="X135" s="94" t="n">
        <x:v>3.255563649</x:v>
      </x:c>
      <x:c r="Y135" s="94" t="n">
        <x:v>667.8723955</x:v>
      </x:c>
      <x:c r="Z135" s="94" t="n">
        <x:v>19.04943545</x:v>
      </x:c>
      <x:c r="AA135" s="95" t="n">
        <x:v>0.589903467</x:v>
      </x:c>
      <x:c r="AB135" s="93" t="n">
        <x:v>0</x:v>
      </x:c>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75" t="str">
        <x:v>2016-10</x:v>
      </x:c>
      <x:c r="B136" s="91" t="n">
        <x:v>2929.38871</x:v>
      </x:c>
      <x:c r="C136" s="91" t="n">
        <x:v>49.52238095</x:v>
      </x:c>
      <x:c r="D136" s="91" t="n">
        <x:v>422.42</x:v>
      </x:c>
      <x:c r="E136" s="91" t="n">
        <x:v>5098.26</x:v>
      </x:c>
      <x:c r="F136" s="82" t="n">
        <x:v>7.75</x:v>
      </x:c>
      <x:c r="G136" s="82" t="n">
        <x:v>0.4</x:v>
      </x:c>
      <x:c r="H136" s="82" t="n">
        <x:v>7.35</x:v>
      </x:c>
      <x:c r="I136" s="92" t="n">
        <x:v>-4751.099336</x:v>
      </x:c>
      <x:c r="J136" s="82" t="n">
        <x:v>4.517448165</x:v>
      </x:c>
      <x:c r="K136" s="82" t="n">
        <x:v>113.474695</x:v>
      </x:c>
      <x:c r="L136" s="82" t="n">
        <x:v>14.5852381</x:v>
      </x:c>
      <x:c r="M136" s="82" t="n">
        <x:v>118.75</x:v>
      </x:c>
      <x:c r="N136" s="93" t="n">
        <x:v>0</x:v>
      </x:c>
      <x:c r="O136" s="91" t="n">
        <x:v>46966.38</x:v>
      </x:c>
      <x:c r="P136" s="82" t="n">
        <x:v>7.232</x:v>
      </x:c>
      <x:c r="Q136" s="82" t="n">
        <x:v>1.7645</x:v>
      </x:c>
      <x:c r="R136" s="82" t="n">
        <x:v>5.4675</x:v>
      </x:c>
      <x:c r="S136" s="92" t="n">
        <x:v>-5.36</x:v>
      </x:c>
      <x:c r="T136" s="92" t="n">
        <x:v>-472.97</x:v>
      </x:c>
      <x:c r="U136" s="82" t="n">
        <x:v>92.62</x:v>
      </x:c>
      <x:c r="V136" s="82" t="n">
        <x:v>241.729</x:v>
      </x:c>
      <x:c r="W136" s="82" t="n">
        <x:v>4.848261732</x:v>
      </x:c>
      <x:c r="X136" s="94" t="n">
        <x:v>3.186866658</x:v>
      </x:c>
      <x:c r="Y136" s="94" t="n">
        <x:v>663.3505857</x:v>
      </x:c>
      <x:c r="Z136" s="94" t="n">
        <x:v>18.82844571</x:v>
      </x:c>
      <x:c r="AA136" s="95" t="n">
        <x:v>-0.5213670002</x:v>
      </x:c>
      <x:c r="AB136" s="93" t="n">
        <x:v>0</x:v>
      </x:c>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75" t="str">
        <x:v>2016-11</x:v>
      </x:c>
      <x:c r="B137" s="91" t="n">
        <x:v>3110.258667</x:v>
      </x:c>
      <x:c r="C137" s="91" t="n">
        <x:v>44.73409091</x:v>
      </x:c>
      <x:c r="D137" s="91" t="n">
        <x:v>478.31</x:v>
      </x:c>
      <x:c r="E137" s="91" t="n">
        <x:v>5177.57</x:v>
      </x:c>
      <x:c r="F137" s="82" t="n">
        <x:v>7.75</x:v>
      </x:c>
      <x:c r="G137" s="82" t="n">
        <x:v>0.41</x:v>
      </x:c>
      <x:c r="H137" s="82" t="n">
        <x:v>7.34</x:v>
      </x:c>
      <x:c r="I137" s="92" t="n">
        <x:v>-4847.143896</x:v>
      </x:c>
      <x:c r="J137" s="82" t="n">
        <x:v>4.757673775</x:v>
      </x:c>
      <x:c r="K137" s="82" t="n">
        <x:v>116.107515</x:v>
      </x:c>
      <x:c r="L137" s="82" t="n">
        <x:v>15.23619048</x:v>
      </x:c>
      <x:c r="M137" s="82" t="n">
        <x:v>116.04</x:v>
      </x:c>
      <x:c r="N137" s="93" t="n">
        <x:v>0</x:v>
      </x:c>
      <x:c r="O137" s="91" t="n">
        <x:v>46742.28</x:v>
      </x:c>
      <x:c r="P137" s="82" t="n">
        <x:v>7.5355</x:v>
      </x:c>
      <x:c r="Q137" s="82" t="n">
        <x:v>2.142</x:v>
      </x:c>
      <x:c r="R137" s="82" t="n">
        <x:v>5.3935</x:v>
      </x:c>
      <x:c r="S137" s="92" t="n">
        <x:v>-0.6</x:v>
      </x:c>
      <x:c r="T137" s="92" t="n">
        <x:v>-618.18</x:v>
      </x:c>
      <x:c r="U137" s="82" t="n">
        <x:v>92.73</x:v>
      </x:c>
      <x:c r="V137" s="82" t="n">
        <x:v>241.353</x:v>
      </x:c>
      <x:c r="W137" s="82" t="n">
        <x:v>4.272495405</x:v>
      </x:c>
      <x:c r="X137" s="94" t="n">
        <x:v>3.340177287</x:v>
      </x:c>
      <x:c r="Y137" s="94" t="n">
        <x:v>666.8226045</x:v>
      </x:c>
      <x:c r="Z137" s="94" t="n">
        <x:v>19.99668545</x:v>
      </x:c>
      <x:c r="AA137" s="95" t="n">
        <x:v>1.109984454</x:v>
      </x:c>
      <x:c r="AB137" s="93" t="n">
        <x:v>0</x:v>
      </x:c>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75" t="str">
        <x:v>2016-12</x:v>
      </x:c>
      <x:c r="B138" s="91" t="n">
        <x:v>3009.863871</x:v>
      </x:c>
      <x:c r="C138" s="91" t="n">
        <x:v>53.3085</x:v>
      </x:c>
      <x:c r="D138" s="91" t="n">
        <x:v>467.3</x:v>
      </x:c>
      <x:c r="E138" s="91" t="n">
        <x:v>5147.47</x:v>
      </x:c>
      <x:c r="F138" s="82" t="n">
        <x:v>7.64516129</x:v>
      </x:c>
      <x:c r="G138" s="82" t="n">
        <x:v>0.54</x:v>
      </x:c>
      <x:c r="H138" s="82" t="n">
        <x:v>7.10516129</x:v>
      </x:c>
      <x:c r="I138" s="92" t="n">
        <x:v>-3625.232331</x:v>
      </x:c>
      <x:c r="J138" s="82" t="n">
        <x:v>4.043303494</x:v>
      </x:c>
      <x:c r="K138" s="82" t="n">
        <x:v>117.9048286</x:v>
      </x:c>
      <x:c r="L138" s="82" t="n">
        <x:v>12.47238095</x:v>
      </x:c>
      <x:c r="M138" s="82" t="n">
        <x:v>122.86</x:v>
      </x:c>
      <x:c r="N138" s="93" t="n">
        <x:v>0</x:v>
      </x:c>
      <x:c r="O138" s="91" t="n">
        <x:v>46674.63</x:v>
      </x:c>
      <x:c r="P138" s="82" t="n">
        <x:v>7.35</x:v>
      </x:c>
      <x:c r="Q138" s="82" t="n">
        <x:v>2.491904762</x:v>
      </x:c>
      <x:c r="R138" s="82" t="n">
        <x:v>4.858095238</x:v>
      </x:c>
      <x:c r="S138" s="92" t="n">
        <x:v>-216.63</x:v>
      </x:c>
      <x:c r="T138" s="92" t="n">
        <x:v>-60.01</x:v>
      </x:c>
      <x:c r="U138" s="82" t="n">
        <x:v>93.11</x:v>
      </x:c>
      <x:c r="V138" s="82" t="n">
        <x:v>241.432</x:v>
      </x:c>
      <x:c r="W138" s="82" t="n">
        <x:v>3.672112677</x:v>
      </x:c>
      <x:c r="X138" s="94" t="n">
        <x:v>3.35196818</x:v>
      </x:c>
      <x:c r="Y138" s="94" t="n">
        <x:v>666.4767182</x:v>
      </x:c>
      <x:c r="Z138" s="94" t="n">
        <x:v>20.45695045</x:v>
      </x:c>
      <x:c r="AA138" s="95" t="n">
        <x:v>0.1949879014</x:v>
      </x:c>
      <x:c r="AB138" s="93" t="n">
        <x:v>0</x:v>
      </x:c>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75" t="str">
        <x:v>2017-01</x:v>
      </x:c>
      <x:c r="B139" s="91" t="n">
        <x:v>2941.399355</x:v>
      </x:c>
      <x:c r="C139" s="91" t="n">
        <x:v>54.57666667</x:v>
      </x:c>
      <x:c r="D139" s="91" t="n">
        <x:v>436.51</x:v>
      </x:c>
      <x:c r="E139" s="91" t="n">
        <x:v>5174.69</x:v>
      </x:c>
      <x:c r="F139" s="82" t="n">
        <x:v>7.5</x:v>
      </x:c>
      <x:c r="G139" s="82" t="n">
        <x:v>0.65</x:v>
      </x:c>
      <x:c r="H139" s="82" t="n">
        <x:v>6.85</x:v>
      </x:c>
      <x:c r="I139" s="92" t="n">
        <x:v>-257.4366851</x:v>
      </x:c>
      <x:c r="J139" s="82" t="n">
        <x:v>3.99186059</x:v>
      </x:c>
      <x:c r="K139" s="82" t="n">
        <x:v>117.7857789</x:v>
      </x:c>
      <x:c r="L139" s="82" t="n">
        <x:v>11.6085</x:v>
      </x:c>
      <x:c r="M139" s="82" t="n">
        <x:v>129.46</x:v>
      </x:c>
      <x:c r="N139" s="93" t="n">
        <x:v>0</x:v>
      </x:c>
      <x:c r="O139" s="91" t="n">
        <x:v>46981.59</x:v>
      </x:c>
      <x:c r="P139" s="82" t="n">
        <x:v>6.954285714</x:v>
      </x:c>
      <x:c r="Q139" s="82" t="n">
        <x:v>2.4325</x:v>
      </x:c>
      <x:c r="R139" s="82" t="n">
        <x:v>4.521785714</x:v>
      </x:c>
      <x:c r="S139" s="92" t="n">
        <x:v>-204.74</x:v>
      </x:c>
      <x:c r="T139" s="92" t="n">
        <x:v>355.57</x:v>
      </x:c>
      <x:c r="U139" s="82" t="n">
        <x:v>94.07</x:v>
      </x:c>
      <x:c r="V139" s="82" t="n">
        <x:v>242.839</x:v>
      </x:c>
      <x:c r="W139" s="82" t="n">
        <x:v>2.971423202</x:v>
      </x:c>
      <x:c r="X139" s="94" t="n">
        <x:v>3.196295446</x:v>
      </x:c>
      <x:c r="Y139" s="94" t="n">
        <x:v>660.5767136</x:v>
      </x:c>
      <x:c r="Z139" s="94" t="n">
        <x:v>21.27207091</x:v>
      </x:c>
      <x:c r="AA139" s="95" t="n">
        <x:v>-0.17863863</x:v>
      </x:c>
      <x:c r="AB139" s="93" t="n">
        <x:v>0</x:v>
      </x:c>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75" t="str">
        <x:v>2017-02</x:v>
      </x:c>
      <x:c r="B140" s="91" t="n">
        <x:v>2879.566786</x:v>
      </x:c>
      <x:c r="C140" s="91" t="n">
        <x:v>54.8695</x:v>
      </x:c>
      <x:c r="D140" s="91" t="n">
        <x:v>392.88</x:v>
      </x:c>
      <x:c r="E140" s="91" t="n">
        <x:v>5116.15</x:v>
      </x:c>
      <x:c r="F140" s="82" t="n">
        <x:v>7.482142857</x:v>
      </x:c>
      <x:c r="G140" s="82" t="n">
        <x:v>0.66</x:v>
      </x:c>
      <x:c r="H140" s="82" t="n">
        <x:v>6.822142857</x:v>
      </x:c>
      <x:c r="I140" s="92" t="n">
        <x:v>-6420.920022</x:v>
      </x:c>
      <x:c r="J140" s="82" t="n">
        <x:v>4.089234215</x:v>
      </x:c>
      <x:c r="K140" s="82" t="n">
        <x:v>116.1203895</x:v>
      </x:c>
      <x:c r="L140" s="82" t="n">
        <x:v>11.53052632</x:v>
      </x:c>
      <x:c r="M140" s="82" t="n">
        <x:v>128.28</x:v>
      </x:c>
      <x:c r="N140" s="93" t="n">
        <x:v>0</x:v>
      </x:c>
      <x:c r="O140" s="91" t="n">
        <x:v>46985.58</x:v>
      </x:c>
      <x:c r="P140" s="82" t="n">
        <x:v>6.916</x:v>
      </x:c>
      <x:c r="Q140" s="82" t="n">
        <x:v>2.418947368</x:v>
      </x:c>
      <x:c r="R140" s="82" t="n">
        <x:v>4.497052632</x:v>
      </x:c>
      <x:c r="S140" s="92" t="n">
        <x:v>-48.41</x:v>
      </x:c>
      <x:c r="T140" s="92" t="n">
        <x:v>-109.21</x:v>
      </x:c>
      <x:c r="U140" s="82" t="n">
        <x:v>95.01</x:v>
      </x:c>
      <x:c r="V140" s="82" t="n">
        <x:v>243.603</x:v>
      </x:c>
      <x:c r="W140" s="82" t="n">
        <x:v>2.443044818</x:v>
      </x:c>
      <x:c r="X140" s="94" t="n">
        <x:v>3.10339998</x:v>
      </x:c>
      <x:c r="Y140" s="94" t="n">
        <x:v>643.31889</x:v>
      </x:c>
      <x:c r="Z140" s="94" t="n">
        <x:v>20.2188015</x:v>
      </x:c>
      <x:c r="AA140" s="95" t="n">
        <x:v>-1.309475568</x:v>
      </x:c>
      <x:c r="AB140" s="93" t="n">
        <x:v>0</x:v>
      </x:c>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75" t="str">
        <x:v>2017-03</x:v>
      </x:c>
      <x:c r="B141" s="91" t="n">
        <x:v>2942.286129</x:v>
      </x:c>
      <x:c r="C141" s="91" t="n">
        <x:v>51.58913043</x:v>
      </x:c>
      <x:c r="D141" s="91" t="n">
        <x:v>479.01</x:v>
      </x:c>
      <x:c r="E141" s="91" t="n">
        <x:v>5180.28</x:v>
      </x:c>
      <x:c r="F141" s="82" t="n">
        <x:v>7.209677419</x:v>
      </x:c>
      <x:c r="G141" s="82" t="n">
        <x:v>0.79</x:v>
      </x:c>
      <x:c r="H141" s="82" t="n">
        <x:v>6.419677419</x:v>
      </x:c>
      <x:c r="I141" s="92" t="n">
        <x:v>-4048.257913</x:v>
      </x:c>
      <x:c r="J141" s="82" t="n">
        <x:v>4.19787776</x:v>
      </x:c>
      <x:c r="K141" s="82" t="n">
        <x:v>115.6558478</x:v>
      </x:c>
      <x:c r="L141" s="82" t="n">
        <x:v>11.89782609</x:v>
      </x:c>
      <x:c r="M141" s="82" t="n">
        <x:v>124.5</x:v>
      </x:c>
      <x:c r="N141" s="93" t="n">
        <x:v>0</x:v>
      </x:c>
      <x:c r="O141" s="91" t="n">
        <x:v>46931.69</x:v>
      </x:c>
      <x:c r="P141" s="82" t="n">
        <x:v>6.992727273</x:v>
      </x:c>
      <x:c r="Q141" s="82" t="n">
        <x:v>2.48173913</x:v>
      </x:c>
      <x:c r="R141" s="82" t="n">
        <x:v>4.510988142</x:v>
      </x:c>
      <x:c r="S141" s="92" t="n">
        <x:v>-98.02</x:v>
      </x:c>
      <x:c r="T141" s="92" t="n">
        <x:v>-188.46</x:v>
      </x:c>
      <x:c r="U141" s="82" t="n">
        <x:v>95.46</x:v>
      </x:c>
      <x:c r="V141" s="82" t="n">
        <x:v>243.801</x:v>
      </x:c>
      <x:c r="W141" s="82" t="n">
        <x:v>2.313399411</x:v>
      </x:c>
      <x:c r="X141" s="94" t="n">
        <x:v>3.127630441</x:v>
      </x:c>
      <x:c r="Y141" s="94" t="n">
        <x:v>661.9683739</x:v>
      </x:c>
      <x:c r="Z141" s="94" t="n">
        <x:v>19.22789696</x:v>
      </x:c>
      <x:c r="AA141" s="95" t="n">
        <x:v>-0.2770679549</x:v>
      </x:c>
      <x:c r="AB141" s="93" t="n">
        <x:v>0</x:v>
      </x:c>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75" t="str">
        <x:v>2017-04</x:v>
      </x:c>
      <x:c r="B142" s="91" t="n">
        <x:v>2877.821667</x:v>
      </x:c>
      <x:c r="C142" s="91" t="n">
        <x:v>52.30789474</x:v>
      </x:c>
      <x:c r="D142" s="91" t="n">
        <x:v>401.64</x:v>
      </x:c>
      <x:c r="E142" s="91" t="n">
        <x:v>5182.16</x:v>
      </x:c>
      <x:c r="F142" s="82" t="n">
        <x:v>7</x:v>
      </x:c>
      <x:c r="G142" s="82" t="n">
        <x:v>0.9</x:v>
      </x:c>
      <x:c r="H142" s="82" t="n">
        <x:v>6.1</x:v>
      </x:c>
      <x:c r="I142" s="92" t="n">
        <x:v>1626.511029</x:v>
      </x:c>
      <x:c r="J142" s="82" t="n">
        <x:v>3.973230938</x:v>
      </x:c>
      <x:c r="K142" s="82" t="n">
        <x:v>114.769795</x:v>
      </x:c>
      <x:c r="L142" s="82" t="n">
        <x:v>13.13631579</x:v>
      </x:c>
      <x:c r="M142" s="82" t="n">
        <x:v>125.02</x:v>
      </x:c>
      <x:c r="N142" s="93" t="n">
        <x:v>0</x:v>
      </x:c>
      <x:c r="O142" s="91" t="n">
        <x:v>46935.77</x:v>
      </x:c>
      <x:c r="P142" s="82" t="n">
        <x:v>6.633333333</x:v>
      </x:c>
      <x:c r="Q142" s="82" t="n">
        <x:v>2.297368421</x:v>
      </x:c>
      <x:c r="R142" s="82" t="n">
        <x:v>4.335964912</x:v>
      </x:c>
      <x:c r="S142" s="92" t="n">
        <x:v>3.69</x:v>
      </x:c>
      <x:c r="T142" s="92" t="n">
        <x:v>-310.73</x:v>
      </x:c>
      <x:c r="U142" s="82" t="n">
        <x:v>95.91</x:v>
      </x:c>
      <x:c r="V142" s="82" t="n">
        <x:v>244.524</x:v>
      </x:c>
      <x:c r="W142" s="82" t="n">
        <x:v>2.471269414</x:v>
      </x:c>
      <x:c r="X142" s="94" t="n">
        <x:v>3.135865021</x:v>
      </x:c>
      <x:c r="Y142" s="94" t="n">
        <x:v>655.341395</x:v>
      </x:c>
      <x:c r="Z142" s="94" t="n">
        <x:v>18.756366</x:v>
      </x:c>
      <x:c r="AA142" s="95" t="n">
        <x:v>-0.5018768809</x:v>
      </x:c>
      <x:c r="AB142" s="93" t="n">
        <x:v>0</x:v>
      </x:c>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75" t="str">
        <x:v>2017-05</x:v>
      </x:c>
      <x:c r="B143" s="91" t="n">
        <x:v>2923.612903</x:v>
      </x:c>
      <x:c r="C143" s="91" t="n">
        <x:v>50.32652174</x:v>
      </x:c>
      <x:c r="D143" s="91" t="n">
        <x:v>499.08</x:v>
      </x:c>
      <x:c r="E143" s="91" t="n">
        <x:v>5247.73</x:v>
      </x:c>
      <x:c r="F143" s="82" t="n">
        <x:v>6.5</x:v>
      </x:c>
      <x:c r="G143" s="82" t="n">
        <x:v>0.91</x:v>
      </x:c>
      <x:c r="H143" s="82" t="n">
        <x:v>5.59</x:v>
      </x:c>
      <x:c r="I143" s="92" t="n">
        <x:v>-53.32923461</x:v>
      </x:c>
      <x:c r="J143" s="82" t="n">
        <x:v>4.011046289</x:v>
      </x:c>
      <x:c r="K143" s="82" t="n">
        <x:v>114.2591318</x:v>
      </x:c>
      <x:c r="L143" s="82" t="n">
        <x:v>10.86227273</x:v>
      </x:c>
      <x:c r="M143" s="82" t="n">
        <x:v>123.74</x:v>
      </x:c>
      <x:c r="N143" s="93" t="n">
        <x:v>0</x:v>
      </x:c>
      <x:c r="O143" s="91" t="n">
        <x:v>47152.54</x:v>
      </x:c>
      <x:c r="P143" s="82" t="n">
        <x:v>6.497619048</x:v>
      </x:c>
      <x:c r="Q143" s="82" t="n">
        <x:v>2.303636364</x:v>
      </x:c>
      <x:c r="R143" s="82" t="n">
        <x:v>4.193982684</x:v>
      </x:c>
      <x:c r="S143" s="92" t="n">
        <x:v>-44.92</x:v>
      </x:c>
      <x:c r="T143" s="92" t="n">
        <x:v>-136.51</x:v>
      </x:c>
      <x:c r="U143" s="82" t="n">
        <x:v>96.12</x:v>
      </x:c>
      <x:c r="V143" s="82" t="n">
        <x:v>244.733</x:v>
      </x:c>
      <x:c r="W143" s="82" t="n">
        <x:v>2.489943126</x:v>
      </x:c>
      <x:c r="X143" s="94" t="n">
        <x:v>3.208626104</x:v>
      </x:c>
      <x:c r="Y143" s="94" t="n">
        <x:v>671.4088087</x:v>
      </x:c>
      <x:c r="Z143" s="94" t="n">
        <x:v>18.76033</x:v>
      </x:c>
      <x:c r="AA143" s="95" t="n">
        <x:v>0.4104604792</x:v>
      </x:c>
      <x:c r="AB143" s="93" t="n">
        <x:v>0</x:v>
      </x:c>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75" t="str">
        <x:v>2017-06</x:v>
      </x:c>
      <x:c r="B144" s="91" t="n">
        <x:v>2957.098333</x:v>
      </x:c>
      <x:c r="C144" s="91" t="n">
        <x:v>46.36818182</x:v>
      </x:c>
      <x:c r="D144" s="91" t="n">
        <x:v>499.39</x:v>
      </x:c>
      <x:c r="E144" s="91" t="n">
        <x:v>5342.82</x:v>
      </x:c>
      <x:c r="F144" s="82" t="n">
        <x:v>6.25</x:v>
      </x:c>
      <x:c r="G144" s="82" t="n">
        <x:v>1.04</x:v>
      </x:c>
      <x:c r="H144" s="82" t="n">
        <x:v>5.21</x:v>
      </x:c>
      <x:c r="I144" s="92" t="n">
        <x:v>-3441.009172</x:v>
      </x:c>
      <x:c r="J144" s="82" t="n">
        <x:v>4.214938459</x:v>
      </x:c>
      <x:c r="K144" s="82" t="n">
        <x:v>112.7602727</x:v>
      </x:c>
      <x:c r="L144" s="82" t="n">
        <x:v>10.51363636</x:v>
      </x:c>
      <x:c r="M144" s="82" t="n">
        <x:v>122.3</x:v>
      </x:c>
      <x:c r="N144" s="93" t="n">
        <x:v>0</x:v>
      </x:c>
      <x:c r="O144" s="91" t="n">
        <x:v>47234.35</x:v>
      </x:c>
      <x:c r="P144" s="82" t="n">
        <x:v>6.5285</x:v>
      </x:c>
      <x:c r="Q144" s="82" t="n">
        <x:v>2.186818182</x:v>
      </x:c>
      <x:c r="R144" s="82" t="n">
        <x:v>4.341681818</x:v>
      </x:c>
      <x:c r="S144" s="92" t="n">
        <x:v>37.62</x:v>
      </x:c>
      <x:c r="T144" s="92" t="n">
        <x:v>-300.78</x:v>
      </x:c>
      <x:c r="U144" s="82" t="n">
        <x:v>96.23</x:v>
      </x:c>
      <x:c r="V144" s="82" t="n">
        <x:v>244.955</x:v>
      </x:c>
      <x:c r="W144" s="82" t="n">
        <x:v>2.353976925</x:v>
      </x:c>
      <x:c r="X144" s="94" t="n">
        <x:v>3.29453179</x:v>
      </x:c>
      <x:c r="Y144" s="94" t="n">
        <x:v>664.5387682</x:v>
      </x:c>
      <x:c r="Z144" s="94" t="n">
        <x:v>18.10983455</x:v>
      </x:c>
      <x:c r="AA144" s="95" t="n">
        <x:v>-0.413563418</x:v>
      </x:c>
      <x:c r="AB144" s="93" t="n">
        <x:v>0</x:v>
      </x:c>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75" t="str">
        <x:v>2017-07</x:v>
      </x:c>
      <x:c r="B145" s="91" t="n">
        <x:v>3036.583871</x:v>
      </x:c>
      <x:c r="C145" s="91" t="n">
        <x:v>48.47857143</x:v>
      </x:c>
      <x:c r="D145" s="91" t="n">
        <x:v>509.54</x:v>
      </x:c>
      <x:c r="E145" s="91" t="n">
        <x:v>5452.74</x:v>
      </x:c>
      <x:c r="F145" s="82" t="n">
        <x:v>5.766129032</x:v>
      </x:c>
      <x:c r="G145" s="82" t="n">
        <x:v>1.15</x:v>
      </x:c>
      <x:c r="H145" s="82" t="n">
        <x:v>4.616129032</x:v>
      </x:c>
      <x:c r="I145" s="92" t="n">
        <x:v>-6424.036542</x:v>
      </x:c>
      <x:c r="J145" s="82" t="n">
        <x:v>4.206137479</x:v>
      </x:c>
      <x:c r="K145" s="82" t="n">
        <x:v>111.060555</x:v>
      </x:c>
      <x:c r="L145" s="82" t="n">
        <x:v>10.2645</x:v>
      </x:c>
      <x:c r="M145" s="82" t="n">
        <x:v>122.99</x:v>
      </x:c>
      <x:c r="N145" s="93" t="n">
        <x:v>0</x:v>
      </x:c>
      <x:c r="O145" s="91" t="n">
        <x:v>47531.09</x:v>
      </x:c>
      <x:c r="P145" s="82" t="n">
        <x:v>6.963157895</x:v>
      </x:c>
      <x:c r="Q145" s="82" t="n">
        <x:v>2.318</x:v>
      </x:c>
      <x:c r="R145" s="82" t="n">
        <x:v>4.645157895</x:v>
      </x:c>
      <x:c r="S145" s="92" t="n">
        <x:v>-99.52</x:v>
      </x:c>
      <x:c r="T145" s="92" t="n">
        <x:v>115.27</x:v>
      </x:c>
      <x:c r="U145" s="82" t="n">
        <x:v>96.18</x:v>
      </x:c>
      <x:c r="V145" s="82" t="n">
        <x:v>244.786</x:v>
      </x:c>
      <x:c r="W145" s="82" t="n">
        <x:v>1.669140443</x:v>
      </x:c>
      <x:c r="X145" s="94" t="n">
        <x:v>3.205838095</x:v>
      </x:c>
      <x:c r="Y145" s="94" t="n">
        <x:v>657.6549</x:v>
      </x:c>
      <x:c r="Z145" s="94" t="n">
        <x:v>17.78123143</x:v>
      </x:c>
      <x:c r="AA145" s="95" t="n">
        <x:v>-0.7002852348</x:v>
      </x:c>
      <x:c r="AB145" s="93" t="n">
        <x:v>0</x:v>
      </x:c>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75" t="str">
        <x:v>2017-08</x:v>
      </x:c>
      <x:c r="B146" s="91" t="n">
        <x:v>2973.204839</x:v>
      </x:c>
      <x:c r="C146" s="91" t="n">
        <x:v>51.70434783</x:v>
      </x:c>
      <x:c r="D146" s="91" t="n">
        <x:v>503.72</x:v>
      </x:c>
      <x:c r="E146" s="91" t="n">
        <x:v>5503.25</x:v>
      </x:c>
      <x:c r="F146" s="82" t="n">
        <x:v>5.5</x:v>
      </x:c>
      <x:c r="G146" s="82" t="n">
        <x:v>1.16</x:v>
      </x:c>
      <x:c r="H146" s="82" t="n">
        <x:v>4.34</x:v>
      </x:c>
      <x:c r="I146" s="92" t="n">
        <x:v>-1423.300483</x:v>
      </x:c>
      <x:c r="J146" s="82" t="n">
        <x:v>3.644644942</x:v>
      </x:c>
      <x:c r="K146" s="82" t="n">
        <x:v>109.9058609</x:v>
      </x:c>
      <x:c r="L146" s="82" t="n">
        <x:v>11.97565217</x:v>
      </x:c>
      <x:c r="M146" s="82" t="n">
        <x:v>124.53</x:v>
      </x:c>
      <x:c r="N146" s="93" t="n">
        <x:v>0</x:v>
      </x:c>
      <x:c r="O146" s="91" t="n">
        <x:v>47568.61</x:v>
      </x:c>
      <x:c r="P146" s="82" t="n">
        <x:v>6.983809524</x:v>
      </x:c>
      <x:c r="Q146" s="82" t="n">
        <x:v>2.209130435</x:v>
      </x:c>
      <x:c r="R146" s="82" t="n">
        <x:v>4.774679089</x:v>
      </x:c>
      <x:c r="S146" s="92" t="n">
        <x:v>-123.63</x:v>
      </x:c>
      <x:c r="T146" s="92" t="n">
        <x:v>-96.92</x:v>
      </x:c>
      <x:c r="U146" s="82" t="n">
        <x:v>96.32</x:v>
      </x:c>
      <x:c r="V146" s="82" t="n">
        <x:v>245.519</x:v>
      </x:c>
      <x:c r="W146" s="82" t="n">
        <x:v>1.932480549</x:v>
      </x:c>
      <x:c r="X146" s="94" t="n">
        <x:v>3.150613043</x:v>
      </x:c>
      <x:c r="Y146" s="94" t="n">
        <x:v>643.4549</x:v>
      </x:c>
      <x:c r="Z146" s="94" t="n">
        <x:v>17.79015652</x:v>
      </x:c>
      <x:c r="AA146" s="95" t="n">
        <x:v>-0.5274350351</x:v>
      </x:c>
      <x:c r="AB146" s="93" t="n">
        <x:v>0</x:v>
      </x:c>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75" t="str">
        <x:v>2017-09</x:v>
      </x:c>
      <x:c r="B147" s="91" t="n">
        <x:v>2917.085</x:v>
      </x:c>
      <x:c r="C147" s="91" t="n">
        <x:v>56.15285714</x:v>
      </x:c>
      <x:c r="D147" s="91" t="n">
        <x:v>458.75</x:v>
      </x:c>
      <x:c r="E147" s="91" t="n">
        <x:v>5548.55</x:v>
      </x:c>
      <x:c r="F147" s="82" t="n">
        <x:v>5.25</x:v>
      </x:c>
      <x:c r="G147" s="82" t="n">
        <x:v>1.15</x:v>
      </x:c>
      <x:c r="H147" s="82" t="n">
        <x:v>4.1</x:v>
      </x:c>
      <x:c r="I147" s="92" t="n">
        <x:v>2208.06195</x:v>
      </x:c>
      <x:c r="J147" s="82" t="n">
        <x:v>3.417510452</x:v>
      </x:c>
      <x:c r="K147" s="82" t="n">
        <x:v>108.854245</x:v>
      </x:c>
      <x:c r="L147" s="82" t="n">
        <x:v>10.438</x:v>
      </x:c>
      <x:c r="M147" s="82" t="n">
        <x:v>129.58</x:v>
      </x:c>
      <x:c r="N147" s="93" t="n">
        <x:v>0</x:v>
      </x:c>
      <x:c r="O147" s="91" t="n">
        <x:v>47514.56</x:v>
      </x:c>
      <x:c r="P147" s="82" t="n">
        <x:v>6.796190476</x:v>
      </x:c>
      <x:c r="Q147" s="82" t="n">
        <x:v>2.202</x:v>
      </x:c>
      <x:c r="R147" s="82" t="n">
        <x:v>4.594190476</x:v>
      </x:c>
      <x:c r="S147" s="92" t="n">
        <x:v>-103.87</x:v>
      </x:c>
      <x:c r="T147" s="92" t="n">
        <x:v>-209.64</x:v>
      </x:c>
      <x:c r="U147" s="82" t="n">
        <x:v>96.36</x:v>
      </x:c>
      <x:c r="V147" s="82" t="n">
        <x:v>246.819</x:v>
      </x:c>
      <x:c r="W147" s="82" t="n">
        <x:v>1.73768784</x:v>
      </x:c>
      <x:c r="X147" s="94" t="n">
        <x:v>3.133466667</x:v>
      </x:c>
      <x:c r="Y147" s="94" t="n">
        <x:v>626.014419</x:v>
      </x:c>
      <x:c r="Z147" s="94" t="n">
        <x:v>17.79284</x:v>
      </x:c>
      <x:c r="AA147" s="95" t="n">
        <x:v>-0.4937918215</x:v>
      </x:c>
      <x:c r="AB147" s="93" t="n">
        <x:v>0</x:v>
      </x:c>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75" t="str">
        <x:v>2017-10</x:v>
      </x:c>
      <x:c r="B148" s="91" t="n">
        <x:v>2953.755806</x:v>
      </x:c>
      <x:c r="C148" s="91" t="n">
        <x:v>57.50772727</x:v>
      </x:c>
      <x:c r="D148" s="91" t="n">
        <x:v>527.61</x:v>
      </x:c>
      <x:c r="E148" s="91" t="n">
        <x:v>5653.74</x:v>
      </x:c>
      <x:c r="F148" s="82" t="n">
        <x:v>5.233870968</x:v>
      </x:c>
      <x:c r="G148" s="82" t="n">
        <x:v>1.15</x:v>
      </x:c>
      <x:c r="H148" s="82" t="n">
        <x:v>4.083870968</x:v>
      </x:c>
      <x:c r="I148" s="92" t="n">
        <x:v>-2906.501852</x:v>
      </x:c>
      <x:c r="J148" s="82" t="n">
        <x:v>3.21711332</x:v>
      </x:c>
      <x:c r="K148" s="82" t="n">
        <x:v>110.8891762</x:v>
      </x:c>
      <x:c r="L148" s="82" t="n">
        <x:v>10.12545455</x:v>
      </x:c>
      <x:c r="M148" s="82" t="n">
        <x:v>133.47</x:v>
      </x:c>
      <x:c r="N148" s="93" t="n">
        <x:v>0</x:v>
      </x:c>
      <x:c r="O148" s="91" t="n">
        <x:v>47407.84</x:v>
      </x:c>
      <x:c r="P148" s="82" t="n">
        <x:v>6.727142857</x:v>
      </x:c>
      <x:c r="Q148" s="82" t="n">
        <x:v>2.36</x:v>
      </x:c>
      <x:c r="R148" s="82" t="n">
        <x:v>4.367142857</x:v>
      </x:c>
      <x:c r="S148" s="92" t="n">
        <x:v>18.02</x:v>
      </x:c>
      <x:c r="T148" s="92" t="n">
        <x:v>-495.32</x:v>
      </x:c>
      <x:c r="U148" s="82" t="n">
        <x:v>96.37</x:v>
      </x:c>
      <x:c r="V148" s="82" t="n">
        <x:v>246.663</x:v>
      </x:c>
      <x:c r="W148" s="82" t="n">
        <x:v>2.007672853</x:v>
      </x:c>
      <x:c r="X148" s="94" t="n">
        <x:v>3.189686364</x:v>
      </x:c>
      <x:c r="Y148" s="94" t="n">
        <x:v>629.7869773</x:v>
      </x:c>
      <x:c r="Z148" s="94" t="n">
        <x:v>18.73077727</x:v>
      </x:c>
      <x:c r="AA148" s="95" t="n">
        <x:v>0.7486497355</x:v>
      </x:c>
      <x:c r="AB148" s="93" t="n">
        <x:v>0</x:v>
      </x:c>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75" t="str">
        <x:v>2017-11</x:v>
      </x:c>
      <x:c r="B149" s="91" t="n">
        <x:v>3013.466667</x:v>
      </x:c>
      <x:c r="C149" s="91" t="n">
        <x:v>62.71409091</x:v>
      </x:c>
      <x:c r="D149" s="91" t="n">
        <x:v>528.26</x:v>
      </x:c>
      <x:c r="E149" s="91" t="n">
        <x:v>5703.69</x:v>
      </x:c>
      <x:c r="F149" s="82" t="n">
        <x:v>4.966666667</x:v>
      </x:c>
      <x:c r="G149" s="82" t="n">
        <x:v>1.16</x:v>
      </x:c>
      <x:c r="H149" s="82" t="n">
        <x:v>3.806666667</x:v>
      </x:c>
      <x:c r="I149" s="92" t="n">
        <x:v>-6524.460658</x:v>
      </x:c>
      <x:c r="J149" s="82" t="n">
        <x:v>3.399337069</x:v>
      </x:c>
      <x:c r="K149" s="82" t="n">
        <x:v>111.163525</x:v>
      </x:c>
      <x:c r="L149" s="82" t="n">
        <x:v>10.54047619</x:v>
      </x:c>
      <x:c r="M149" s="82" t="n">
        <x:v>132.23</x:v>
      </x:c>
      <x:c r="N149" s="93" t="n">
        <x:v>0</x:v>
      </x:c>
      <x:c r="O149" s="91" t="n">
        <x:v>47395.26</x:v>
      </x:c>
      <x:c r="P149" s="82" t="n">
        <x:v>6.8875</x:v>
      </x:c>
      <x:c r="Q149" s="82" t="n">
        <x:v>2.353333333</x:v>
      </x:c>
      <x:c r="R149" s="82" t="n">
        <x:v>4.534166667</x:v>
      </x:c>
      <x:c r="S149" s="92" t="n">
        <x:v>-77.25</x:v>
      </x:c>
      <x:c r="T149" s="92" t="n">
        <x:v>-340.77</x:v>
      </x:c>
      <x:c r="U149" s="82" t="n">
        <x:v>96.55</x:v>
      </x:c>
      <x:c r="V149" s="82" t="n">
        <x:v>246.669</x:v>
      </x:c>
      <x:c r="W149" s="82" t="n">
        <x:v>1.916903743</x:v>
      </x:c>
      <x:c r="X149" s="94" t="n">
        <x:v>3.260795455</x:v>
      </x:c>
      <x:c r="Y149" s="94" t="n">
        <x:v>634.6289909</x:v>
      </x:c>
      <x:c r="Z149" s="94" t="n">
        <x:v>18.87773</x:v>
      </x:c>
      <x:c r="AA149" s="95" t="n">
        <x:v>0.2866448418</x:v>
      </x:c>
      <x:c r="AB149" s="93" t="n">
        <x:v>0</x:v>
      </x:c>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75" t="str">
        <x:v>2017-12</x:v>
      </x:c>
      <x:c r="B150" s="91" t="n">
        <x:v>2991.761935</x:v>
      </x:c>
      <x:c r="C150" s="91" t="n">
        <x:v>64.37368421</x:v>
      </x:c>
      <x:c r="D150" s="91" t="n">
        <x:v>547.32</x:v>
      </x:c>
      <x:c r="E150" s="91" t="n">
        <x:v>5783.71</x:v>
      </x:c>
      <x:c r="F150" s="82" t="n">
        <x:v>4.75</x:v>
      </x:c>
      <x:c r="G150" s="82" t="n">
        <x:v>1.3</x:v>
      </x:c>
      <x:c r="H150" s="82" t="n">
        <x:v>3.45</x:v>
      </x:c>
      <x:c r="I150" s="92" t="n">
        <x:v>-5971.104678</x:v>
      </x:c>
      <x:c r="J150" s="82" t="n">
        <x:v>3.654192719</x:v>
      </x:c>
      <x:c r="K150" s="82" t="n">
        <x:v>110.87581</x:v>
      </x:c>
      <x:c r="L150" s="82" t="n">
        <x:v>10.2645</x:v>
      </x:c>
      <x:c r="M150" s="82" t="n">
        <x:v>139.11</x:v>
      </x:c>
      <x:c r="N150" s="93" t="n">
        <x:v>0</x:v>
      </x:c>
      <x:c r="O150" s="91" t="n">
        <x:v>47629.04</x:v>
      </x:c>
      <x:c r="P150" s="82" t="n">
        <x:v>6.761111111</x:v>
      </x:c>
      <x:c r="Q150" s="82" t="n">
        <x:v>2.4025</x:v>
      </x:c>
      <x:c r="R150" s="82" t="n">
        <x:v>4.358611111</x:v>
      </x:c>
      <x:c r="S150" s="92" t="n">
        <x:v>-139.71</x:v>
      </x:c>
      <x:c r="T150" s="92" t="n">
        <x:v>-2.62</x:v>
      </x:c>
      <x:c r="U150" s="82" t="n">
        <x:v>96.92</x:v>
      </x:c>
      <x:c r="V150" s="82" t="n">
        <x:v>246.524</x:v>
      </x:c>
      <x:c r="W150" s="82" t="n">
        <x:v>1.982851797</x:v>
      </x:c>
      <x:c r="X150" s="94" t="n">
        <x:v>3.292990476</x:v>
      </x:c>
      <x:c r="Y150" s="94" t="n">
        <x:v>635.4287333</x:v>
      </x:c>
      <x:c r="Z150" s="94" t="n">
        <x:v>19.13987429</x:v>
      </x:c>
      <x:c r="AA150" s="95" t="n">
        <x:v>0.1671575097</x:v>
      </x:c>
      <x:c r="AB150" s="93" t="n">
        <x:v>0</x:v>
      </x:c>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75" t="str">
        <x:v>2018-01</x:v>
      </x:c>
      <x:c r="B151" s="91" t="n">
        <x:v>2868.572258</x:v>
      </x:c>
      <x:c r="C151" s="91" t="n">
        <x:v>69.07727273</x:v>
      </x:c>
      <x:c r="D151" s="91" t="n">
        <x:v>531.21</x:v>
      </x:c>
      <x:c r="E151" s="91" t="n">
        <x:v>5878.41</x:v>
      </x:c>
      <x:c r="F151" s="82" t="n">
        <x:v>4.733870968</x:v>
      </x:c>
      <x:c r="G151" s="82" t="n">
        <x:v>1.41</x:v>
      </x:c>
      <x:c r="H151" s="82" t="n">
        <x:v>3.323870968</x:v>
      </x:c>
      <x:c r="I151" s="92" t="n">
        <x:v>5175.538626</x:v>
      </x:c>
      <x:c r="J151" s="82" t="n">
        <x:v>2.85513929</x:v>
      </x:c>
      <x:c r="K151" s="82" t="n">
        <x:v>108.3567762</x:v>
      </x:c>
      <x:c r="L151" s="82" t="n">
        <x:v>11.06238095</x:v>
      </x:c>
      <x:c r="M151" s="82" t="n">
        <x:v>140.97</x:v>
      </x:c>
      <x:c r="N151" s="93" t="n">
        <x:v>0</x:v>
      </x:c>
      <x:c r="O151" s="91" t="n">
        <x:v>47783.93</x:v>
      </x:c>
      <x:c r="P151" s="82" t="n">
        <x:v>6.7</x:v>
      </x:c>
      <x:c r="Q151" s="82" t="n">
        <x:v>2.583809524</x:v>
      </x:c>
      <x:c r="R151" s="82" t="n">
        <x:v>4.116190476</x:v>
      </x:c>
      <x:c r="S151" s="92" t="n">
        <x:v>-227.76</x:v>
      </x:c>
      <x:c r="T151" s="92" t="n">
        <x:v>140.79</x:v>
      </x:c>
      <x:c r="U151" s="82" t="n">
        <x:v>97.53</x:v>
      </x:c>
      <x:c r="V151" s="82" t="n">
        <x:v>247.867</x:v>
      </x:c>
      <x:c r="W151" s="82" t="n">
        <x:v>1.607604424</x:v>
      </x:c>
      <x:c r="X151" s="94" t="n">
        <x:v>3.214526087</x:v>
      </x:c>
      <x:c r="Y151" s="94" t="n">
        <x:v>605.6526957</x:v>
      </x:c>
      <x:c r="Z151" s="94" t="n">
        <x:v>18.89299391</x:v>
      </x:c>
      <x:c r="AA151" s="95" t="n">
        <x:v>-1.076734371</x:v>
      </x:c>
      <x:c r="AB151" s="93" t="n">
        <x:v>0</x:v>
      </x:c>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75" t="str">
        <x:v>2018-02</x:v>
      </x:c>
      <x:c r="B152" s="91" t="n">
        <x:v>2860.252857</x:v>
      </x:c>
      <x:c r="C152" s="91" t="n">
        <x:v>65.3175</x:v>
      </x:c>
      <x:c r="D152" s="91" t="n">
        <x:v>472.96</x:v>
      </x:c>
      <x:c r="E152" s="91" t="n">
        <x:v>5958.49</x:v>
      </x:c>
      <x:c r="F152" s="82" t="n">
        <x:v>4.5</x:v>
      </x:c>
      <x:c r="G152" s="82" t="n">
        <x:v>1.42</x:v>
      </x:c>
      <x:c r="H152" s="82" t="n">
        <x:v>3.08</x:v>
      </x:c>
      <x:c r="I152" s="92" t="n">
        <x:v>-6032.619578</x:v>
      </x:c>
      <x:c r="J152" s="82" t="n">
        <x:v>2.815829311</x:v>
      </x:c>
      <x:c r="K152" s="82" t="n">
        <x:v>107.6500947</x:v>
      </x:c>
      <x:c r="L152" s="82" t="n">
        <x:v>22.46473684</x:v>
      </x:c>
      <x:c r="M152" s="82" t="n">
        <x:v>134.97</x:v>
      </x:c>
      <x:c r="N152" s="93" t="n">
        <x:v>0</x:v>
      </x:c>
      <x:c r="O152" s="91" t="n">
        <x:v>47636.76</x:v>
      </x:c>
      <x:c r="P152" s="82" t="n">
        <x:v>6.8565</x:v>
      </x:c>
      <x:c r="Q152" s="82" t="n">
        <x:v>2.858947368</x:v>
      </x:c>
      <x:c r="R152" s="82" t="n">
        <x:v>3.997552632</x:v>
      </x:c>
      <x:c r="S152" s="92" t="n">
        <x:v>8.58</x:v>
      </x:c>
      <x:c r="T152" s="92" t="n">
        <x:v>-424.28</x:v>
      </x:c>
      <x:c r="U152" s="82" t="n">
        <x:v>98.22</x:v>
      </x:c>
      <x:c r="V152" s="82" t="n">
        <x:v>248.991</x:v>
      </x:c>
      <x:c r="W152" s="82" t="n">
        <x:v>1.166796306</x:v>
      </x:c>
      <x:c r="X152" s="94" t="n">
        <x:v>3.24526</x:v>
      </x:c>
      <x:c r="Y152" s="94" t="n">
        <x:v>596.221895</x:v>
      </x:c>
      <x:c r="Z152" s="94" t="n">
        <x:v>18.6114675</x:v>
      </x:c>
      <x:c r="AA152" s="95" t="n">
        <x:v>-0.3920744427</x:v>
      </x:c>
      <x:c r="AB152" s="93" t="n">
        <x:v>0</x:v>
      </x:c>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75" t="str">
        <x:v>2018-03</x:v>
      </x:c>
      <x:c r="B153" s="91" t="n">
        <x:v>2847.930645</x:v>
      </x:c>
      <x:c r="C153" s="91" t="n">
        <x:v>66.01666667</x:v>
      </x:c>
      <x:c r="D153" s="91" t="n">
        <x:v>499.6</x:v>
      </x:c>
      <x:c r="E153" s="91" t="n">
        <x:v>5979.08</x:v>
      </x:c>
      <x:c r="F153" s="82" t="n">
        <x:v>4.5</x:v>
      </x:c>
      <x:c r="G153" s="82" t="n">
        <x:v>1.51</x:v>
      </x:c>
      <x:c r="H153" s="82" t="n">
        <x:v>2.99</x:v>
      </x:c>
      <x:c r="I153" s="92" t="n">
        <x:v>-4327.127948</x:v>
      </x:c>
      <x:c r="J153" s="82" t="n">
        <x:v>2.844060995</x:v>
      </x:c>
      <x:c r="K153" s="82" t="n">
        <x:v>107.947175</x:v>
      </x:c>
      <x:c r="L153" s="82" t="n">
        <x:v>19.02380952</x:v>
      </x:c>
      <x:c r="M153" s="82" t="n">
        <x:v>135.79</x:v>
      </x:c>
      <x:c r="N153" s="93" t="n">
        <x:v>0</x:v>
      </x:c>
      <x:c r="O153" s="91" t="n">
        <x:v>47608.31</x:v>
      </x:c>
      <x:c r="P153" s="82" t="n">
        <x:v>6.958947368</x:v>
      </x:c>
      <x:c r="Q153" s="82" t="n">
        <x:v>2.842380952</x:v>
      </x:c>
      <x:c r="R153" s="82" t="n">
        <x:v>4.116566416</x:v>
      </x:c>
      <x:c r="S153" s="92" t="n">
        <x:v>-119.03</x:v>
      </x:c>
      <x:c r="T153" s="92" t="n">
        <x:v>-30.65</x:v>
      </x:c>
      <x:c r="U153" s="82" t="n">
        <x:v>98.45</x:v>
      </x:c>
      <x:c r="V153" s="82" t="n">
        <x:v>249.554</x:v>
      </x:c>
      <x:c r="W153" s="82" t="n">
        <x:v>0.7724905654</x:v>
      </x:c>
      <x:c r="X153" s="94" t="n">
        <x:v>3.280940909</x:v>
      </x:c>
      <x:c r="Y153" s="94" t="n">
        <x:v>604.1078773</x:v>
      </x:c>
      <x:c r="Z153" s="94" t="n">
        <x:v>18.59596</x:v>
      </x:c>
      <x:c r="AA153" s="95" t="n">
        <x:v>0.150486674</x:v>
      </x:c>
      <x:c r="AB153" s="93" t="n">
        <x:v>0</x:v>
      </x:c>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75" t="str">
        <x:v>2018-04</x:v>
      </x:c>
      <x:c r="B154" s="91" t="n">
        <x:v>2766.285</x:v>
      </x:c>
      <x:c r="C154" s="91" t="n">
        <x:v>72.106</x:v>
      </x:c>
      <x:c r="D154" s="91" t="n">
        <x:v>535.62</x:v>
      </x:c>
      <x:c r="E154" s="91" t="n">
        <x:v>6113.06</x:v>
      </x:c>
      <x:c r="F154" s="82" t="n">
        <x:v>4.491666667</x:v>
      </x:c>
      <x:c r="G154" s="82" t="n">
        <x:v>1.69</x:v>
      </x:c>
      <x:c r="H154" s="82" t="n">
        <x:v>2.801666667</x:v>
      </x:c>
      <x:c r="I154" s="92" t="n">
        <x:v>-1675.994131</x:v>
      </x:c>
      <x:c r="J154" s="82" t="n">
        <x:v>3.178393375</x:v>
      </x:c>
      <x:c r="K154" s="82" t="n">
        <x:v>107.9433571</x:v>
      </x:c>
      <x:c r="L154" s="82" t="n">
        <x:v>18.26761905</x:v>
      </x:c>
      <x:c r="M154" s="82" t="n">
        <x:v>137.43</x:v>
      </x:c>
      <x:c r="N154" s="93" t="n">
        <x:v>0</x:v>
      </x:c>
      <x:c r="O154" s="91" t="n">
        <x:v>47504.25</x:v>
      </x:c>
      <x:c r="P154" s="82" t="n">
        <x:v>6.665714286</x:v>
      </x:c>
      <x:c r="Q154" s="82" t="n">
        <x:v>2.869047619</x:v>
      </x:c>
      <x:c r="R154" s="82" t="n">
        <x:v>3.796666667</x:v>
      </x:c>
      <x:c r="S154" s="92" t="n">
        <x:v>-22.44</x:v>
      </x:c>
      <x:c r="T154" s="92" t="n">
        <x:v>-344.49</x:v>
      </x:c>
      <x:c r="U154" s="82" t="n">
        <x:v>98.91</x:v>
      </x:c>
      <x:c r="V154" s="82" t="n">
        <x:v>250.546</x:v>
      </x:c>
      <x:c r="W154" s="82" t="n">
        <x:v>0.6651884933</x:v>
      </x:c>
      <x:c r="X154" s="94" t="n">
        <x:v>3.407195238</x:v>
      </x:c>
      <x:c r="Y154" s="94" t="n">
        <x:v>600.927981</x:v>
      </x:c>
      <x:c r="Z154" s="94" t="n">
        <x:v>18.32210048</x:v>
      </x:c>
      <x:c r="AA154" s="95" t="n">
        <x:v>-0.003140086552</x:v>
      </x:c>
      <x:c r="AB154" s="93" t="n">
        <x:v>0</x:v>
      </x:c>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75" t="str">
        <x:v>2018-05</x:v>
      </x:c>
      <x:c r="B155" s="91" t="n">
        <x:v>2861.825806</x:v>
      </x:c>
      <x:c r="C155" s="91" t="n">
        <x:v>76.9752381</x:v>
      </x:c>
      <x:c r="D155" s="91" t="n">
        <x:v>552.11</x:v>
      </x:c>
      <x:c r="E155" s="91" t="n">
        <x:v>6166.09</x:v>
      </x:c>
      <x:c r="F155" s="82" t="n">
        <x:v>4.25</x:v>
      </x:c>
      <x:c r="G155" s="82" t="n">
        <x:v>1.7</x:v>
      </x:c>
      <x:c r="H155" s="82" t="n">
        <x:v>2.55</x:v>
      </x:c>
      <x:c r="I155" s="92" t="n">
        <x:v>-807.8597494</x:v>
      </x:c>
      <x:c r="J155" s="82" t="n">
        <x:v>3.254779019</x:v>
      </x:c>
      <x:c r="K155" s="82" t="n">
        <x:v>111.0470409</x:v>
      </x:c>
      <x:c r="L155" s="82" t="n">
        <x:v>14.12454545</x:v>
      </x:c>
      <x:c r="M155" s="82" t="n">
        <x:v>141.01</x:v>
      </x:c>
      <x:c r="N155" s="93" t="n">
        <x:v>0</x:v>
      </x:c>
      <x:c r="O155" s="91" t="n">
        <x:v>47603.01</x:v>
      </x:c>
      <x:c r="P155" s="82" t="n">
        <x:v>6.820952381</x:v>
      </x:c>
      <x:c r="Q155" s="82" t="n">
        <x:v>2.977727273</x:v>
      </x:c>
      <x:c r="R155" s="82" t="n">
        <x:v>3.843225108</x:v>
      </x:c>
      <x:c r="S155" s="92" t="n">
        <x:v>-21.84</x:v>
      </x:c>
      <x:c r="T155" s="92" t="n">
        <x:v>-271.8</x:v>
      </x:c>
      <x:c r="U155" s="82" t="n">
        <x:v>99.16</x:v>
      </x:c>
      <x:c r="V155" s="82" t="n">
        <x:v>251.588</x:v>
      </x:c>
      <x:c r="W155" s="82" t="n">
        <x:v>0.3617015603</x:v>
      </x:c>
      <x:c r="X155" s="94" t="n">
        <x:v>3.633408696</x:v>
      </x:c>
      <x:c r="Y155" s="94" t="n">
        <x:v>627.268813</x:v>
      </x:c>
      <x:c r="Z155" s="94" t="n">
        <x:v>19.47355652</x:v>
      </x:c>
      <x:c r="AA155" s="95" t="n">
        <x:v>1.746583369</x:v>
      </x:c>
      <x:c r="AB155" s="93" t="n">
        <x:v>0</x:v>
      </x:c>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75" t="str">
        <x:v>2018-06</x:v>
      </x:c>
      <x:c r="B156" s="91" t="n">
        <x:v>2889.689</x:v>
      </x:c>
      <x:c r="C156" s="91" t="n">
        <x:v>74.4047619</x:v>
      </x:c>
      <x:c r="D156" s="91" t="n">
        <x:v>511.2</x:v>
      </x:c>
      <x:c r="E156" s="91" t="n">
        <x:v>6177.9</x:v>
      </x:c>
      <x:c r="F156" s="82" t="n">
        <x:v>4.25</x:v>
      </x:c>
      <x:c r="G156" s="82" t="n">
        <x:v>1.82</x:v>
      </x:c>
      <x:c r="H156" s="82" t="n">
        <x:v>2.43</x:v>
      </x:c>
      <x:c r="I156" s="92" t="n">
        <x:v>-3408.072224</x:v>
      </x:c>
      <x:c r="J156" s="82" t="n">
        <x:v>3.251444614</x:v>
      </x:c>
      <x:c r="K156" s="82" t="n">
        <x:v>112.844419</x:v>
      </x:c>
      <x:c r="L156" s="82" t="n">
        <x:v>13.67809524</x:v>
      </x:c>
      <x:c r="M156" s="82" t="n">
        <x:v>141.11</x:v>
      </x:c>
      <x:c r="N156" s="93" t="n">
        <x:v>0</x:v>
      </x:c>
      <x:c r="O156" s="91" t="n">
        <x:v>47491.08</x:v>
      </x:c>
      <x:c r="P156" s="82" t="n">
        <x:v>6.901052632</x:v>
      </x:c>
      <x:c r="Q156" s="82" t="n">
        <x:v>2.912380952</x:v>
      </x:c>
      <x:c r="R156" s="82" t="n">
        <x:v>3.988671679</x:v>
      </x:c>
      <x:c r="S156" s="92" t="n">
        <x:v>2.23</x:v>
      </x:c>
      <x:c r="T156" s="92" t="n">
        <x:v>-267.36</x:v>
      </x:c>
      <x:c r="U156" s="82" t="n">
        <x:v>99.31</x:v>
      </x:c>
      <x:c r="V156" s="82" t="n">
        <x:v>251.989</x:v>
      </x:c>
      <x:c r="W156" s="82" t="n">
        <x:v>0.3291172379</x:v>
      </x:c>
      <x:c r="X156" s="94" t="n">
        <x:v>3.772871429</x:v>
      </x:c>
      <x:c r="Y156" s="94" t="n">
        <x:v>637.5196667</x:v>
      </x:c>
      <x:c r="Z156" s="94" t="n">
        <x:v>20.2173519</x:v>
      </x:c>
      <x:c r="AA156" s="95" t="n">
        <x:v>0.8905220415</x:v>
      </x:c>
      <x:c r="AB156" s="93" t="n">
        <x:v>0</x:v>
      </x:c>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75" t="str">
        <x:v>2018-07</x:v>
      </x:c>
      <x:c r="B157" s="91" t="n">
        <x:v>2885.321935</x:v>
      </x:c>
      <x:c r="C157" s="91" t="n">
        <x:v>74.25409091</x:v>
      </x:c>
      <x:c r="D157" s="91" t="n">
        <x:v>553.55</x:v>
      </x:c>
      <x:c r="E157" s="91" t="n">
        <x:v>6221.91</x:v>
      </x:c>
      <x:c r="F157" s="82" t="n">
        <x:v>4.25</x:v>
      </x:c>
      <x:c r="G157" s="82" t="n">
        <x:v>1.91</x:v>
      </x:c>
      <x:c r="H157" s="82" t="n">
        <x:v>2.34</x:v>
      </x:c>
      <x:c r="I157" s="92" t="n">
        <x:v>-7972.161694</x:v>
      </x:c>
      <x:c r="J157" s="82" t="n">
        <x:v>3.408170597</x:v>
      </x:c>
      <x:c r="K157" s="82" t="n">
        <x:v>113.0595333</x:v>
      </x:c>
      <x:c r="L157" s="82" t="n">
        <x:v>13.14761905</x:v>
      </x:c>
      <x:c r="M157" s="82" t="n">
        <x:v>140.34</x:v>
      </x:c>
      <x:c r="N157" s="93" t="n">
        <x:v>0</x:v>
      </x:c>
      <x:c r="O157" s="91" t="n">
        <x:v>47518.17</x:v>
      </x:c>
      <x:c r="P157" s="82" t="n">
        <x:v>6.9655</x:v>
      </x:c>
      <x:c r="Q157" s="82" t="n">
        <x:v>2.889047619</x:v>
      </x:c>
      <x:c r="R157" s="82" t="n">
        <x:v>4.076452381</x:v>
      </x:c>
      <x:c r="S157" s="92" t="n">
        <x:v>-130.43</x:v>
      </x:c>
      <x:c r="T157" s="92" t="n">
        <x:v>-86.73</x:v>
      </x:c>
      <x:c r="U157" s="82" t="n">
        <x:v>99.18</x:v>
      </x:c>
      <x:c r="V157" s="82" t="n">
        <x:v>252.006</x:v>
      </x:c>
      <x:c r="W157" s="82" t="n">
        <x:v>0.1696365041</x:v>
      </x:c>
      <x:c r="X157" s="94" t="n">
        <x:v>3.82845</x:v>
      </x:c>
      <x:c r="Y157" s="94" t="n">
        <x:v>652.0980818</x:v>
      </x:c>
      <x:c r="Z157" s="94" t="n">
        <x:v>18.95360727</x:v>
      </x:c>
      <x:c r="AA157" s="95" t="n">
        <x:v>-0.4604413067</x:v>
      </x:c>
      <x:c r="AB157" s="93" t="n">
        <x:v>0</x:v>
      </x:c>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75" t="str">
        <x:v>2018-08</x:v>
      </x:c>
      <x:c r="B158" s="91" t="n">
        <x:v>2958.666774</x:v>
      </x:c>
      <x:c r="C158" s="91" t="n">
        <x:v>72.52826087</x:v>
      </x:c>
      <x:c r="D158" s="91" t="n">
        <x:v>606.67</x:v>
      </x:c>
      <x:c r="E158" s="91" t="n">
        <x:v>6324.86</x:v>
      </x:c>
      <x:c r="F158" s="82" t="n">
        <x:v>4.25</x:v>
      </x:c>
      <x:c r="G158" s="82" t="n">
        <x:v>1.91</x:v>
      </x:c>
      <x:c r="H158" s="82" t="n">
        <x:v>2.34</x:v>
      </x:c>
      <x:c r="I158" s="92" t="n">
        <x:v>-6169.206812</x:v>
      </x:c>
      <x:c r="J158" s="82" t="n">
        <x:v>3.888627123</x:v>
      </x:c>
      <x:c r="K158" s="82" t="n">
        <x:v>113.8316304</x:v>
      </x:c>
      <x:c r="L158" s="82" t="n">
        <x:v>12.54695652</x:v>
      </x:c>
      <x:c r="M158" s="82" t="n">
        <x:v>140.51</x:v>
      </x:c>
      <x:c r="N158" s="93" t="n">
        <x:v>0</x:v>
      </x:c>
      <x:c r="O158" s="91" t="n">
        <x:v>47537.14</x:v>
      </x:c>
      <x:c r="P158" s="82" t="n">
        <x:v>7.103809524</x:v>
      </x:c>
      <x:c r="Q158" s="82" t="n">
        <x:v>2.889130435</x:v>
      </x:c>
      <x:c r="R158" s="82" t="n">
        <x:v>4.214679089</x:v>
      </x:c>
      <x:c r="S158" s="92" t="n">
        <x:v>-68.47</x:v>
      </x:c>
      <x:c r="T158" s="92" t="n">
        <x:v>-408.75</x:v>
      </x:c>
      <x:c r="U158" s="82" t="n">
        <x:v>99.3</x:v>
      </x:c>
      <x:c r="V158" s="82" t="n">
        <x:v>252.146</x:v>
      </x:c>
      <x:c r="W158" s="82" t="n">
        <x:v>0.3946737164</x:v>
      </x:c>
      <x:c r="X158" s="94" t="n">
        <x:v>3.929456522</x:v>
      </x:c>
      <x:c r="Y158" s="94" t="n">
        <x:v>658.3012043</x:v>
      </x:c>
      <x:c r="Z158" s="94" t="n">
        <x:v>18.78904913</x:v>
      </x:c>
      <x:c r="AA158" s="95" t="n">
        <x:v>0.1475915266</x:v>
      </x:c>
      <x:c r="AB158" s="93" t="n">
        <x:v>0</x:v>
      </x:c>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75" t="str">
        <x:v>2018-09</x:v>
      </x:c>
      <x:c r="B159" s="91" t="n">
        <x:v>3033.768</x:v>
      </x:c>
      <x:c r="C159" s="91" t="n">
        <x:v>78.891</x:v>
      </x:c>
      <x:c r="D159" s="91" t="n">
        <x:v>550.17</x:v>
      </x:c>
      <x:c r="E159" s="91" t="n">
        <x:v>6416.28</x:v>
      </x:c>
      <x:c r="F159" s="82" t="n">
        <x:v>4.25</x:v>
      </x:c>
      <x:c r="G159" s="82" t="n">
        <x:v>1.95</x:v>
      </x:c>
      <x:c r="H159" s="82" t="n">
        <x:v>2.3</x:v>
      </x:c>
      <x:c r="I159" s="92" t="n">
        <x:v>1322.525015</x:v>
      </x:c>
      <x:c r="J159" s="82" t="n">
        <x:v>3.978275332</x:v>
      </x:c>
      <x:c r="K159" s="82" t="n">
        <x:v>114.0786632</x:v>
      </x:c>
      <x:c r="L159" s="82" t="n">
        <x:v>12.91052632</x:v>
      </x:c>
      <x:c r="M159" s="82" t="n">
        <x:v>148.99</x:v>
      </x:c>
      <x:c r="N159" s="93" t="n">
        <x:v>0</x:v>
      </x:c>
      <x:c r="O159" s="91" t="n">
        <x:v>47511.72</x:v>
      </x:c>
      <x:c r="P159" s="82" t="n">
        <x:v>7.1575</x:v>
      </x:c>
      <x:c r="Q159" s="82" t="n">
        <x:v>3.004210526</x:v>
      </x:c>
      <x:c r="R159" s="82" t="n">
        <x:v>4.153289474</x:v>
      </x:c>
      <x:c r="S159" s="92" t="n">
        <x:v>-145.51</x:v>
      </x:c>
      <x:c r="T159" s="92" t="n">
        <x:v>-200.76</x:v>
      </x:c>
      <x:c r="U159" s="82" t="n">
        <x:v>99.47</x:v>
      </x:c>
      <x:c r="V159" s="82" t="n">
        <x:v>252.439</x:v>
      </x:c>
      <x:c r="W159" s="82" t="n">
        <x:v>0.9505080881</x:v>
      </x:c>
      <x:c r="X159" s="94" t="n">
        <x:v>4.11772</x:v>
      </x:c>
      <x:c r="Y159" s="94" t="n">
        <x:v>680.17666</x:v>
      </x:c>
      <x:c r="Z159" s="94" t="n">
        <x:v>18.958956</x:v>
      </x:c>
      <x:c r="AA159" s="95" t="n">
        <x:v>0.8383412221</x:v>
      </x:c>
      <x:c r="AB159" s="93" t="n">
        <x:v>0</x:v>
      </x:c>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75" t="str">
        <x:v>2018-10</x:v>
      </x:c>
      <x:c r="B160" s="91" t="n">
        <x:v>3084.830968</x:v>
      </x:c>
      <x:c r="C160" s="91" t="n">
        <x:v>81.03217391</x:v>
      </x:c>
      <x:c r="D160" s="91" t="n">
        <x:v>616.87</x:v>
      </x:c>
      <x:c r="E160" s="91" t="n">
        <x:v>6505.54</x:v>
      </x:c>
      <x:c r="F160" s="82" t="n">
        <x:v>4.25</x:v>
      </x:c>
      <x:c r="G160" s="82" t="n">
        <x:v>2.19</x:v>
      </x:c>
      <x:c r="H160" s="82" t="n">
        <x:v>2.06</x:v>
      </x:c>
      <x:c r="I160" s="92" t="n">
        <x:v>-3357.740578</x:v>
      </x:c>
      <x:c r="J160" s="82" t="n">
        <x:v>4.023956931</x:v>
      </x:c>
      <x:c r="K160" s="82" t="n">
        <x:v>114.8312591</x:v>
      </x:c>
      <x:c r="L160" s="82" t="n">
        <x:v>19.35217391</x:v>
      </x:c>
      <x:c r="M160" s="82" t="n">
        <x:v>149.13</x:v>
      </x:c>
      <x:c r="N160" s="93" t="n">
        <x:v>0</x:v>
      </x:c>
      <x:c r="O160" s="91" t="n">
        <x:v>47496.11</x:v>
      </x:c>
      <x:c r="P160" s="82" t="n">
        <x:v>7.311818182</x:v>
      </x:c>
      <x:c r="Q160" s="82" t="n">
        <x:v>3.152272727</x:v>
      </x:c>
      <x:c r="R160" s="82" t="n">
        <x:v>4.159545455</x:v>
      </x:c>
      <x:c r="S160" s="92" t="n">
        <x:v>40.37</x:v>
      </x:c>
      <x:c r="T160" s="92" t="n">
        <x:v>-797.81</x:v>
      </x:c>
      <x:c r="U160" s="82" t="n">
        <x:v>99.59</x:v>
      </x:c>
      <x:c r="V160" s="82" t="n">
        <x:v>252.885</x:v>
      </x:c>
      <x:c r="W160" s="82" t="n">
        <x:v>0.8188188542</x:v>
      </x:c>
      <x:c r="X160" s="94" t="n">
        <x:v>3.757565217</x:v>
      </x:c>
      <x:c r="Y160" s="94" t="n">
        <x:v>678.8616348</x:v>
      </x:c>
      <x:c r="Z160" s="94" t="n">
        <x:v>19.11436261</x:v>
      </x:c>
      <x:c r="AA160" s="95" t="n">
        <x:v>-0.861603597</x:v>
      </x:c>
      <x:c r="AB160" s="93" t="n">
        <x:v>0</x:v>
      </x:c>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75" t="str">
        <x:v>2018-11</x:v>
      </x:c>
      <x:c r="B161" s="91" t="n">
        <x:v>3194.034333</x:v>
      </x:c>
      <x:c r="C161" s="91" t="n">
        <x:v>64.74818182</x:v>
      </x:c>
      <x:c r="D161" s="91" t="n">
        <x:v>588.4</x:v>
      </x:c>
      <x:c r="E161" s="91" t="n">
        <x:v>6565.68</x:v>
      </x:c>
      <x:c r="F161" s="82" t="n">
        <x:v>4.25</x:v>
      </x:c>
      <x:c r="G161" s="82" t="n">
        <x:v>2.2</x:v>
      </x:c>
      <x:c r="H161" s="82" t="n">
        <x:v>2.05</x:v>
      </x:c>
      <x:c r="I161" s="92" t="n">
        <x:v>-3715.161114</x:v>
      </x:c>
      <x:c r="J161" s="82" t="n">
        <x:v>3.73955471</x:v>
      </x:c>
      <x:c r="K161" s="82" t="n">
        <x:v>116.169045</x:v>
      </x:c>
      <x:c r="L161" s="82" t="n">
        <x:v>19.38904762</x:v>
      </x:c>
      <x:c r="M161" s="82" t="n">
        <x:v>138.73</x:v>
      </x:c>
      <x:c r="N161" s="93" t="n">
        <x:v>0</x:v>
      </x:c>
      <x:c r="O161" s="91" t="n">
        <x:v>47753.5</x:v>
      </x:c>
      <x:c r="P161" s="82" t="n">
        <x:v>7.348</x:v>
      </x:c>
      <x:c r="Q161" s="82" t="n">
        <x:v>3.117</x:v>
      </x:c>
      <x:c r="R161" s="82" t="n">
        <x:v>4.231</x:v>
      </x:c>
      <x:c r="S161" s="92" t="n">
        <x:v>-77.66</x:v>
      </x:c>
      <x:c r="T161" s="92" t="n">
        <x:v>-286.86</x:v>
      </x:c>
      <x:c r="U161" s="82" t="n">
        <x:v>99.7</x:v>
      </x:c>
      <x:c r="V161" s="82" t="n">
        <x:v>252.038</x:v>
      </x:c>
      <x:c r="W161" s="82" t="n">
        <x:v>1.085957228</x:v>
      </x:c>
      <x:c r="X161" s="94" t="n">
        <x:v>3.782536364</x:v>
      </x:c>
      <x:c r="Y161" s="94" t="n">
        <x:v>677.2892</x:v>
      </x:c>
      <x:c r="Z161" s="94" t="n">
        <x:v>20.18623955</x:v>
      </x:c>
      <x:c r="AA161" s="95" t="n">
        <x:v>0.5814211769</x:v>
      </x:c>
      <x:c r="AB161" s="93" t="n">
        <x:v>0</x:v>
      </x:c>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75" t="str">
        <x:v>2018-12</x:v>
      </x:c>
      <x:c r="B162" s="91" t="n">
        <x:v>3218.550968</x:v>
      </x:c>
      <x:c r="C162" s="91" t="n">
        <x:v>57.36235294</x:v>
      </x:c>
      <x:c r="D162" s="91" t="n">
        <x:v>617.83</x:v>
      </x:c>
      <x:c r="E162" s="91" t="n">
        <x:v>6636.19</x:v>
      </x:c>
      <x:c r="F162" s="82" t="n">
        <x:v>4.25</x:v>
      </x:c>
      <x:c r="G162" s="82" t="n">
        <x:v>2.27</x:v>
      </x:c>
      <x:c r="H162" s="82" t="n">
        <x:v>1.98</x:v>
      </x:c>
      <x:c r="I162" s="92" t="n">
        <x:v>652.0410394</x:v>
      </x:c>
      <x:c r="J162" s="82" t="n">
        <x:v>3.069053995</x:v>
      </x:c>
      <x:c r="K162" s="82" t="n">
        <x:v>116.2118053</x:v>
      </x:c>
      <x:c r="L162" s="82" t="n">
        <x:v>24.95315789</x:v>
      </x:c>
      <x:c r="M162" s="82" t="n">
        <x:v>130.2</x:v>
      </x:c>
      <x:c r="N162" s="93" t="n">
        <x:v>0</x:v>
      </x:c>
      <x:c r="O162" s="91" t="n">
        <x:v>48392.92</x:v>
      </x:c>
      <x:c r="P162" s="82" t="n">
        <x:v>7.133157895</x:v>
      </x:c>
      <x:c r="Q162" s="82" t="n">
        <x:v>2.832631579</x:v>
      </x:c>
      <x:c r="R162" s="82" t="n">
        <x:v>4.300526316</x:v>
      </x:c>
      <x:c r="S162" s="92" t="n">
        <x:v>-98.06</x:v>
      </x:c>
      <x:c r="T162" s="92" t="n">
        <x:v>51.28</x:v>
      </x:c>
      <x:c r="U162" s="82" t="n">
        <x:v>100</x:v>
      </x:c>
      <x:c r="V162" s="82" t="n">
        <x:v>251.233</x:v>
      </x:c>
      <x:c r="W162" s="82" t="n">
        <x:v>1.267719814</x:v>
      </x:c>
      <x:c r="X162" s="94" t="n">
        <x:v>3.884728571</x:v>
      </x:c>
      <x:c r="Y162" s="94" t="n">
        <x:v>684.3270619</x:v>
      </x:c>
      <x:c r="Z162" s="94" t="n">
        <x:v>20.02230762</x:v>
      </x:c>
      <x:c r="AA162" s="95" t="n">
        <x:v>0.1708379032</x:v>
      </x:c>
      <x:c r="AB162" s="93" t="n">
        <x:v>0</x:v>
      </x:c>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75" t="str">
        <x:v>2019-01</x:v>
      </x:c>
      <x:c r="B163" s="91" t="n">
        <x:v>3165.188065</x:v>
      </x:c>
      <x:c r="C163" s="91" t="n">
        <x:v>59.40954545</x:v>
      </x:c>
      <x:c r="D163" s="91" t="n">
        <x:v>572.48</x:v>
      </x:c>
      <x:c r="E163" s="91" t="n">
        <x:v>6677.46</x:v>
      </x:c>
      <x:c r="F163" s="82" t="n">
        <x:v>4.25</x:v>
      </x:c>
      <x:c r="G163" s="82" t="n">
        <x:v>2.4</x:v>
      </x:c>
      <x:c r="H163" s="82" t="n">
        <x:v>1.85</x:v>
      </x:c>
      <x:c r="I163" s="92" t="n">
        <x:v>4041.232271</x:v>
      </x:c>
      <x:c r="J163" s="82" t="n">
        <x:v>2.966804535</x:v>
      </x:c>
      <x:c r="K163" s="82" t="n">
        <x:v>114.44249</x:v>
      </x:c>
      <x:c r="L163" s="82" t="n">
        <x:v>19.57238095</x:v>
      </x:c>
      <x:c r="M163" s="82" t="n">
        <x:v>131.86</x:v>
      </x:c>
      <x:c r="N163" s="93" t="n">
        <x:v>0</x:v>
      </x:c>
      <x:c r="O163" s="91" t="n">
        <x:v>49208.63</x:v>
      </x:c>
      <x:c r="P163" s="82" t="n">
        <x:v>7.064285714</x:v>
      </x:c>
      <x:c r="Q163" s="82" t="n">
        <x:v>2.713809524</x:v>
      </x:c>
      <x:c r="R163" s="82" t="n">
        <x:v>4.35047619</x:v>
      </x:c>
      <x:c r="S163" s="92" t="n">
        <x:v>-207.42</x:v>
      </x:c>
      <x:c r="T163" s="92" t="n">
        <x:v>526.69</x:v>
      </x:c>
      <x:c r="U163" s="82" t="n">
        <x:v>100.6</x:v>
      </x:c>
      <x:c r="V163" s="82" t="n">
        <x:v>251.712</x:v>
      </x:c>
      <x:c r="W163" s="82" t="n">
        <x:v>1.596514272</x:v>
      </x:c>
      <x:c r="X163" s="94" t="n">
        <x:v>3.747152174</x:v>
      </x:c>
      <x:c r="Y163" s="94" t="n">
        <x:v>675.2184</x:v>
      </x:c>
      <x:c r="Z163" s="94" t="n">
        <x:v>19.14483565</x:v>
      </x:c>
      <x:c r="AA163" s="95" t="n">
        <x:v>-1.134521118</x:v>
      </x:c>
      <x:c r="AB163" s="93" t="n">
        <x:v>0</x:v>
      </x:c>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75" t="str">
        <x:v>2019-02</x:v>
      </x:c>
      <x:c r="B164" s="91" t="n">
        <x:v>3115.838571</x:v>
      </x:c>
      <x:c r="C164" s="91" t="n">
        <x:v>63.9605</x:v>
      </x:c>
      <x:c r="D164" s="91" t="n">
        <x:v>512.25</x:v>
      </x:c>
      <x:c r="E164" s="91" t="n">
        <x:v>6716.75</x:v>
      </x:c>
      <x:c r="F164" s="82" t="n">
        <x:v>4.25</x:v>
      </x:c>
      <x:c r="G164" s="82" t="n">
        <x:v>2.4</x:v>
      </x:c>
      <x:c r="H164" s="82" t="n">
        <x:v>1.85</x:v>
      </x:c>
      <x:c r="I164" s="92" t="n">
        <x:v>-7565.784087</x:v>
      </x:c>
      <x:c r="J164" s="82" t="n">
        <x:v>3.111433419</x:v>
      </x:c>
      <x:c r="K164" s="82" t="n">
        <x:v>114.4130056</x:v>
      </x:c>
      <x:c r="L164" s="82" t="n">
        <x:v>15.23473684</x:v>
      </x:c>
      <x:c r="M164" s="82" t="n">
        <x:v>141.28</x:v>
      </x:c>
      <x:c r="N164" s="93" t="n">
        <x:v>0</x:v>
      </x:c>
      <x:c r="O164" s="91" t="n">
        <x:v>50498.27</x:v>
      </x:c>
      <x:c r="P164" s="82" t="n">
        <x:v>6.976</x:v>
      </x:c>
      <x:c r="Q164" s="82" t="n">
        <x:v>2.676315789</x:v>
      </x:c>
      <x:c r="R164" s="82" t="n">
        <x:v>4.299684211</x:v>
      </x:c>
      <x:c r="S164" s="92" t="n">
        <x:v>-23.29</x:v>
      </x:c>
      <x:c r="T164" s="92" t="n">
        <x:v>769.57</x:v>
      </x:c>
      <x:c r="U164" s="82" t="n">
        <x:v>101.18</x:v>
      </x:c>
      <x:c r="V164" s="82" t="n">
        <x:v>252.776</x:v>
      </x:c>
      <x:c r="W164" s="82" t="n">
        <x:v>1.493507577</x:v>
      </x:c>
      <x:c r="X164" s="94" t="n">
        <x:v>3.723325</x:v>
      </x:c>
      <x:c r="Y164" s="94" t="n">
        <x:v>656.063625</x:v>
      </x:c>
      <x:c r="Z164" s="94" t="n">
        <x:v>19.15143</x:v>
      </x:c>
      <x:c r="AA164" s="95" t="n">
        <x:v>-0.516083351</x:v>
      </x:c>
      <x:c r="AB164" s="93" t="n">
        <x:v>0</x:v>
      </x:c>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75" t="str">
        <x:v>2019-03</x:v>
      </x:c>
      <x:c r="B165" s="91" t="n">
        <x:v>3128.684194</x:v>
      </x:c>
      <x:c r="C165" s="91" t="n">
        <x:v>66.13857143</x:v>
      </x:c>
      <x:c r="D165" s="91" t="n">
        <x:v>559.97</x:v>
      </x:c>
      <x:c r="E165" s="91" t="n">
        <x:v>6777.12</x:v>
      </x:c>
      <x:c r="F165" s="82" t="n">
        <x:v>4.25</x:v>
      </x:c>
      <x:c r="G165" s="82" t="n">
        <x:v>2.41</x:v>
      </x:c>
      <x:c r="H165" s="82" t="n">
        <x:v>1.84</x:v>
      </x:c>
      <x:c r="I165" s="92" t="n">
        <x:v>-2767.366095</x:v>
      </x:c>
      <x:c r="J165" s="82" t="n">
        <x:v>2.964295513</x:v>
      </x:c>
      <x:c r="K165" s="82" t="n">
        <x:v>114.783519</x:v>
      </x:c>
      <x:c r="L165" s="82" t="n">
        <x:v>14.4852381</x:v>
      </x:c>
      <x:c r="M165" s="82" t="n">
        <x:v>140.82</x:v>
      </x:c>
      <x:c r="N165" s="93" t="n">
        <x:v>0</x:v>
      </x:c>
      <x:c r="O165" s="91" t="n">
        <x:v>51260.99</x:v>
      </x:c>
      <x:c r="P165" s="82" t="n">
        <x:v>6.8355</x:v>
      </x:c>
      <x:c r="Q165" s="82" t="n">
        <x:v>2.570952381</x:v>
      </x:c>
      <x:c r="R165" s="82" t="n">
        <x:v>4.264547619</x:v>
      </x:c>
      <x:c r="S165" s="92" t="n">
        <x:v>12.51</x:v>
      </x:c>
      <x:c r="T165" s="92" t="n">
        <x:v>227.34</x:v>
      </x:c>
      <x:c r="U165" s="82" t="n">
        <x:v>101.62</x:v>
      </x:c>
      <x:c r="V165" s="82" t="n">
        <x:v>254.202</x:v>
      </x:c>
      <x:c r="W165" s="82" t="n">
        <x:v>1.357385842</x:v>
      </x:c>
      <x:c r="X165" s="94" t="n">
        <x:v>3.840157143</x:v>
      </x:c>
      <x:c r="Y165" s="94" t="n">
        <x:v>669.593719</x:v>
      </x:c>
      <x:c r="Z165" s="94" t="n">
        <x:v>19.19449286</x:v>
      </x:c>
      <x:c r="AA165" s="95" t="n">
        <x:v>0.4596357577</x:v>
      </x:c>
      <x:c r="AB165" s="93" t="n">
        <x:v>0</x:v>
      </x:c>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75" t="str">
        <x:v>2019-04</x:v>
      </x:c>
      <x:c r="B166" s="91" t="n">
        <x:v>3155.765</x:v>
      </x:c>
      <x:c r="C166" s="91" t="n">
        <x:v>71.23333333</x:v>
      </x:c>
      <x:c r="D166" s="91" t="n">
        <x:v>596.53</x:v>
      </x:c>
      <x:c r="E166" s="91" t="n">
        <x:v>6838.03</x:v>
      </x:c>
      <x:c r="F166" s="82" t="n">
        <x:v>4.25</x:v>
      </x:c>
      <x:c r="G166" s="82" t="n">
        <x:v>2.42</x:v>
      </x:c>
      <x:c r="H166" s="82" t="n">
        <x:v>1.83</x:v>
      </x:c>
      <x:c r="I166" s="92" t="n">
        <x:v>1075.425241</x:v>
      </x:c>
      <x:c r="J166" s="82" t="n">
        <x:v>2.704744298</x:v>
      </x:c>
      <x:c r="K166" s="82" t="n">
        <x:v>114.9037545</x:v>
      </x:c>
      <x:c r="L166" s="82" t="n">
        <x:v>12.94904762</x:v>
      </x:c>
      <x:c r="M166" s="82" t="n">
        <x:v>143.6</x:v>
      </x:c>
      <x:c r="N166" s="93" t="n">
        <x:v>0</x:v>
      </x:c>
      <x:c r="O166" s="91" t="n">
        <x:v>51521.67</x:v>
      </x:c>
      <x:c r="P166" s="82" t="n">
        <x:v>6.758</x:v>
      </x:c>
      <x:c r="Q166" s="82" t="n">
        <x:v>2.532380952</x:v>
      </x:c>
      <x:c r="R166" s="82" t="n">
        <x:v>4.225619048</x:v>
      </x:c>
      <x:c r="S166" s="92" t="n">
        <x:v>28.41</x:v>
      </x:c>
      <x:c r="T166" s="92" t="n">
        <x:v>-394.67</x:v>
      </x:c>
      <x:c r="U166" s="82" t="n">
        <x:v>102.12</x:v>
      </x:c>
      <x:c r="V166" s="82" t="n">
        <x:v>255.548</x:v>
      </x:c>
      <x:c r="W166" s="82" t="n">
        <x:v>1.248934807</x:v>
      </x:c>
      <x:c r="X166" s="94" t="n">
        <x:v>3.897713636</x:v>
      </x:c>
      <x:c r="Y166" s="94" t="n">
        <x:v>667.3414545</x:v>
      </x:c>
      <x:c r="Z166" s="94" t="n">
        <x:v>18.93698318</x:v>
      </x:c>
      <x:c r="AA166" s="95" t="n">
        <x:v>-0.1714512532</x:v>
      </x:c>
      <x:c r="AB166" s="93" t="n">
        <x:v>0</x:v>
      </x:c>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75" t="str">
        <x:v>2019-05</x:v>
      </x:c>
      <x:c r="B167" s="91" t="n">
        <x:v>3304.494516</x:v>
      </x:c>
      <x:c r="C167" s="91" t="n">
        <x:v>71.31772727</x:v>
      </x:c>
      <x:c r="D167" s="91" t="n">
        <x:v>652.23</x:v>
      </x:c>
      <x:c r="E167" s="91" t="n">
        <x:v>6938.15</x:v>
      </x:c>
      <x:c r="F167" s="82" t="n">
        <x:v>4.25</x:v>
      </x:c>
      <x:c r="G167" s="82" t="n">
        <x:v>2.39</x:v>
      </x:c>
      <x:c r="H167" s="82" t="n">
        <x:v>1.86</x:v>
      </x:c>
      <x:c r="I167" s="92" t="n">
        <x:v>-87.8617433</x:v>
      </x:c>
      <x:c r="J167" s="82" t="n">
        <x:v>2.636824315</x:v>
      </x:c>
      <x:c r="K167" s="82" t="n">
        <x:v>115.9573818</x:v>
      </x:c>
      <x:c r="L167" s="82" t="n">
        <x:v>16.72181818</x:v>
      </x:c>
      <x:c r="M167" s="82" t="n">
        <x:v>140.88</x:v>
      </x:c>
      <x:c r="N167" s="93" t="n">
        <x:v>0</x:v>
      </x:c>
      <x:c r="O167" s="91" t="n">
        <x:v>51975.23</x:v>
      </x:c>
      <x:c r="P167" s="82" t="n">
        <x:v>6.881363636</x:v>
      </x:c>
      <x:c r="Q167" s="82" t="n">
        <x:v>2.395</x:v>
      </x:c>
      <x:c r="R167" s="82" t="n">
        <x:v>4.486363636</x:v>
      </x:c>
      <x:c r="S167" s="92" t="n">
        <x:v>-46.58</x:v>
      </x:c>
      <x:c r="T167" s="92" t="n">
        <x:v>-357.7</x:v>
      </x:c>
      <x:c r="U167" s="82" t="n">
        <x:v>102.44</x:v>
      </x:c>
      <x:c r="V167" s="82" t="n">
        <x:v>256.092</x:v>
      </x:c>
      <x:c r="W167" s="82" t="n">
        <x:v>1.517556929</x:v>
      </x:c>
      <x:c r="X167" s="94" t="n">
        <x:v>3.998773913</x:v>
      </x:c>
      <x:c r="Y167" s="94" t="n">
        <x:v>693.1424913</x:v>
      </x:c>
      <x:c r="Z167" s="94" t="n">
        <x:v>19.08361217</x:v>
      </x:c>
      <x:c r="AA167" s="95" t="n">
        <x:v>0.6956051346</x:v>
      </x:c>
      <x:c r="AB167" s="93" t="n">
        <x:v>0</x:v>
      </x:c>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75" t="str">
        <x:v>2019-06</x:v>
      </x:c>
      <x:c r="B168" s="91" t="n">
        <x:v>3260.517</x:v>
      </x:c>
      <x:c r="C168" s="91" t="n">
        <x:v>64.2205</x:v>
      </x:c>
      <x:c r="D168" s="91" t="n">
        <x:v>525.75</x:v>
      </x:c>
      <x:c r="E168" s="91" t="n">
        <x:v>6952.7</x:v>
      </x:c>
      <x:c r="F168" s="82" t="n">
        <x:v>4.25</x:v>
      </x:c>
      <x:c r="G168" s="82" t="n">
        <x:v>2.38</x:v>
      </x:c>
      <x:c r="H168" s="82" t="n">
        <x:v>1.87</x:v>
      </x:c>
      <x:c r="I168" s="92" t="n">
        <x:v>330.9743755</x:v>
      </x:c>
      <x:c r="J168" s="82" t="n">
        <x:v>2.284106697</x:v>
      </x:c>
      <x:c r="K168" s="82" t="n">
        <x:v>115.42707</x:v>
      </x:c>
      <x:c r="L168" s="82" t="n">
        <x:v>15.836</x:v>
      </x:c>
      <x:c r="M168" s="82" t="n">
        <x:v>136.62</x:v>
      </x:c>
      <x:c r="N168" s="93" t="n">
        <x:v>0</x:v>
      </x:c>
      <x:c r="O168" s="91" t="n">
        <x:v>52444.49</x:v>
      </x:c>
      <x:c r="P168" s="82" t="n">
        <x:v>6.403333333</x:v>
      </x:c>
      <x:c r="Q168" s="82" t="n">
        <x:v>2.074</x:v>
      </x:c>
      <x:c r="R168" s="82" t="n">
        <x:v>4.329333333</x:v>
      </x:c>
      <x:c r="S168" s="92" t="n">
        <x:v>-139.77</x:v>
      </x:c>
      <x:c r="T168" s="92" t="n">
        <x:v>-17.21</x:v>
      </x:c>
      <x:c r="U168" s="82" t="n">
        <x:v>102.71</x:v>
      </x:c>
      <x:c r="V168" s="82" t="n">
        <x:v>256.143</x:v>
      </x:c>
      <x:c r="W168" s="82" t="n">
        <x:v>1.775138343</x:v>
      </x:c>
      <x:c r="X168" s="94" t="n">
        <x:v>3.8592</x:v>
      </x:c>
      <x:c r="Y168" s="94" t="n">
        <x:v>691.00066</x:v>
      </x:c>
      <x:c r="Z168" s="94" t="n">
        <x:v>19.212393</x:v>
      </x:c>
      <x:c r="AA168" s="95" t="n">
        <x:v>-0.3841252541</x:v>
      </x:c>
      <x:c r="AB168" s="93" t="n">
        <x:v>0</x:v>
      </x:c>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75" t="str">
        <x:v>2019-07</x:v>
      </x:c>
      <x:c r="B169" s="91" t="n">
        <x:v>3206.600323</x:v>
      </x:c>
      <x:c r="C169" s="91" t="n">
        <x:v>63.91913043</x:v>
      </x:c>
      <x:c r="D169" s="91" t="n">
        <x:v>606.88</x:v>
      </x:c>
      <x:c r="E169" s="91" t="n">
        <x:v>7006.03</x:v>
      </x:c>
      <x:c r="F169" s="82" t="n">
        <x:v>4.25</x:v>
      </x:c>
      <x:c r="G169" s="82" t="n">
        <x:v>2.4</x:v>
      </x:c>
      <x:c r="H169" s="82" t="n">
        <x:v>1.85</x:v>
      </x:c>
      <x:c r="I169" s="92" t="n">
        <x:v>-5340.236714</x:v>
      </x:c>
      <x:c r="J169" s="82" t="n">
        <x:v>2.035827815</x:v>
      </x:c>
      <x:c r="K169" s="82" t="n">
        <x:v>115.0775909</x:v>
      </x:c>
      <x:c r="L169" s="82" t="n">
        <x:v>13.30590909</x:v>
      </x:c>
      <x:c r="M169" s="82" t="n">
        <x:v>137.66</x:v>
      </x:c>
      <x:c r="N169" s="93" t="n">
        <x:v>0</x:v>
      </x:c>
      <x:c r="O169" s="91" t="n">
        <x:v>52365.75</x:v>
      </x:c>
      <x:c r="P169" s="82" t="n">
        <x:v>6.059545455</x:v>
      </x:c>
      <x:c r="Q169" s="82" t="n">
        <x:v>2.059090909</x:v>
      </x:c>
      <x:c r="R169" s="82" t="n">
        <x:v>4.000454545</x:v>
      </x:c>
      <x:c r="S169" s="92" t="n">
        <x:v>-121.82</x:v>
      </x:c>
      <x:c r="T169" s="92" t="n">
        <x:v>-643.91</x:v>
      </x:c>
      <x:c r="U169" s="82" t="n">
        <x:v>102.94</x:v>
      </x:c>
      <x:c r="V169" s="82" t="n">
        <x:v>256.571</x:v>
      </x:c>
      <x:c r="W169" s="82" t="n">
        <x:v>1.979622106</x:v>
      </x:c>
      <x:c r="X169" s="94" t="n">
        <x:v>3.779026087</x:v>
      </x:c>
      <x:c r="Y169" s="94" t="n">
        <x:v>686.8788217</x:v>
      </x:c>
      <x:c r="Z169" s="94" t="n">
        <x:v>19.01640609</x:v>
      </x:c>
      <x:c r="AA169" s="95" t="n">
        <x:v>-0.491274184</x:v>
      </x:c>
      <x:c r="AB169" s="93" t="n">
        <x:v>0</x:v>
      </x:c>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75" t="str">
        <x:v>2019-08</x:v>
      </x:c>
      <x:c r="B170" s="91" t="n">
        <x:v>3410.729032</x:v>
      </x:c>
      <x:c r="C170" s="91" t="n">
        <x:v>59.04181818</x:v>
      </x:c>
      <x:c r="D170" s="91" t="n">
        <x:v>680.3</x:v>
      </x:c>
      <x:c r="E170" s="91" t="n">
        <x:v>7079.66</x:v>
      </x:c>
      <x:c r="F170" s="82" t="n">
        <x:v>4.25</x:v>
      </x:c>
      <x:c r="G170" s="82" t="n">
        <x:v>2.13</x:v>
      </x:c>
      <x:c r="H170" s="82" t="n">
        <x:v>2.12</x:v>
      </x:c>
      <x:c r="I170" s="92" t="n">
        <x:v>-5887.050241</x:v>
      </x:c>
      <x:c r="J170" s="82" t="n">
        <x:v>2.009210978</x:v>
      </x:c>
      <x:c r="K170" s="82" t="n">
        <x:v>117.1003864</x:v>
      </x:c>
      <x:c r="L170" s="82" t="n">
        <x:v>18.97909091</x:v>
      </x:c>
      <x:c r="M170" s="82" t="n">
        <x:v>134.09</x:v>
      </x:c>
      <x:c r="N170" s="93" t="n">
        <x:v>0</x:v>
      </x:c>
      <x:c r="O170" s="91" t="n">
        <x:v>52993.64</x:v>
      </x:c>
      <x:c r="P170" s="82" t="n">
        <x:v>6.0785</x:v>
      </x:c>
      <x:c r="Q170" s="82" t="n">
        <x:v>1.626363636</x:v>
      </x:c>
      <x:c r="R170" s="82" t="n">
        <x:v>4.452136364</x:v>
      </x:c>
      <x:c r="S170" s="92" t="n">
        <x:v>-16.43</x:v>
      </x:c>
      <x:c r="T170" s="92" t="n">
        <x:v>-519.7</x:v>
      </x:c>
      <x:c r="U170" s="82" t="n">
        <x:v>103.03</x:v>
      </x:c>
      <x:c r="V170" s="82" t="n">
        <x:v>256.558</x:v>
      </x:c>
      <x:c r="W170" s="82" t="n">
        <x:v>2.006514169</x:v>
      </x:c>
      <x:c r="X170" s="94" t="n">
        <x:v>4.019681818</x:v>
      </x:c>
      <x:c r="Y170" s="94" t="n">
        <x:v>714.5055545</x:v>
      </x:c>
      <x:c r="Z170" s="94" t="n">
        <x:v>19.65245909</x:v>
      </x:c>
      <x:c r="AA170" s="95" t="n">
        <x:v>1.344400564</x:v>
      </x:c>
      <x:c r="AB170" s="93" t="n">
        <x:v>0</x:v>
      </x:c>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75" t="str">
        <x:v>2019-09</x:v>
      </x:c>
      <x:c r="B171" s="91" t="n">
        <x:v>3399.457</x:v>
      </x:c>
      <x:c r="C171" s="91" t="n">
        <x:v>62.82666667</x:v>
      </x:c>
      <x:c r="D171" s="91" t="n">
        <x:v>582.33</x:v>
      </x:c>
      <x:c r="E171" s="91" t="n">
        <x:v>7111.82</x:v>
      </x:c>
      <x:c r="F171" s="82" t="n">
        <x:v>4.25</x:v>
      </x:c>
      <x:c r="G171" s="82" t="n">
        <x:v>2.04</x:v>
      </x:c>
      <x:c r="H171" s="82" t="n">
        <x:v>2.21</x:v>
      </x:c>
      <x:c r="I171" s="92" t="n">
        <x:v>3935.148563</x:v>
      </x:c>
      <x:c r="J171" s="82" t="n">
        <x:v>1.762752869</x:v>
      </x:c>
      <x:c r="K171" s="82" t="n">
        <x:v>117.32392</x:v>
      </x:c>
      <x:c r="L171" s="82" t="n">
        <x:v>15.559</x:v>
      </x:c>
      <x:c r="M171" s="82" t="n">
        <x:v>136.63</x:v>
      </x:c>
      <x:c r="N171" s="93" t="n">
        <x:v>0</x:v>
      </x:c>
      <x:c r="O171" s="91" t="n">
        <x:v>52868.75</x:v>
      </x:c>
      <x:c r="P171" s="82" t="n">
        <x:v>6.1</x:v>
      </x:c>
      <x:c r="Q171" s="82" t="n">
        <x:v>1.6995</x:v>
      </x:c>
      <x:c r="R171" s="82" t="n">
        <x:v>4.4005</x:v>
      </x:c>
      <x:c r="S171" s="92" t="n">
        <x:v>-111.27</x:v>
      </x:c>
      <x:c r="T171" s="92" t="n">
        <x:v>-1040.81</x:v>
      </x:c>
      <x:c r="U171" s="82" t="n">
        <x:v>103.26</x:v>
      </x:c>
      <x:c r="V171" s="82" t="n">
        <x:v>256.759</x:v>
      </x:c>
      <x:c r="W171" s="82" t="n">
        <x:v>2.098889515</x:v>
      </x:c>
      <x:c r="X171" s="94" t="n">
        <x:v>4.1212</x:v>
      </x:c>
      <x:c r="Y171" s="94" t="n">
        <x:v>718.7510857</x:v>
      </x:c>
      <x:c r="Z171" s="94" t="n">
        <x:v>19.54335</x:v>
      </x:c>
      <x:c r="AA171" s="95" t="n">
        <x:v>0.1311044368</x:v>
      </x:c>
      <x:c r="AB171" s="93" t="n">
        <x:v>0</x:v>
      </x:c>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75" t="str">
        <x:v>2019-10</x:v>
      </x:c>
      <x:c r="B172" s="91" t="n">
        <x:v>3433.311613</x:v>
      </x:c>
      <x:c r="C172" s="91" t="n">
        <x:v>59.71304348</x:v>
      </x:c>
      <x:c r="D172" s="91" t="n">
        <x:v>597.33</x:v>
      </x:c>
      <x:c r="E172" s="91" t="n">
        <x:v>7092.28</x:v>
      </x:c>
      <x:c r="F172" s="82" t="n">
        <x:v>4.25</x:v>
      </x:c>
      <x:c r="G172" s="82" t="n">
        <x:v>1.83</x:v>
      </x:c>
      <x:c r="H172" s="82" t="n">
        <x:v>2.42</x:v>
      </x:c>
      <x:c r="I172" s="92" t="n">
        <x:v>-6344.163231</x:v>
      </x:c>
      <x:c r="J172" s="82" t="n">
        <x:v>2.044472782</x:v>
      </x:c>
      <x:c r="K172" s="82" t="n">
        <x:v>116.7462591</x:v>
      </x:c>
      <x:c r="L172" s="82" t="n">
        <x:v>15.46652174</x:v>
      </x:c>
      <x:c r="M172" s="82" t="n">
        <x:v>135.92</x:v>
      </x:c>
      <x:c r="N172" s="93" t="n">
        <x:v>0</x:v>
      </x:c>
      <x:c r="O172" s="91" t="n">
        <x:v>53083.7</x:v>
      </x:c>
      <x:c r="P172" s="82" t="n">
        <x:v>6.104090909</x:v>
      </x:c>
      <x:c r="Q172" s="82" t="n">
        <x:v>1.706818182</x:v>
      </x:c>
      <x:c r="R172" s="82" t="n">
        <x:v>4.397272727</x:v>
      </x:c>
      <x:c r="S172" s="92" t="n">
        <x:v>-172.49</x:v>
      </x:c>
      <x:c r="T172" s="92" t="n">
        <x:v>-471.59</x:v>
      </x:c>
      <x:c r="U172" s="82" t="n">
        <x:v>103.43</x:v>
      </x:c>
      <x:c r="V172" s="82" t="n">
        <x:v>257.346</x:v>
      </x:c>
      <x:c r="W172" s="82" t="n">
        <x:v>2.091765872</x:v>
      </x:c>
      <x:c r="X172" s="94" t="n">
        <x:v>4.086682609</x:v>
      </x:c>
      <x:c r="Y172" s="94" t="n">
        <x:v>722.4324826</x:v>
      </x:c>
      <x:c r="Z172" s="94" t="n">
        <x:v>19.29837217</x:v>
      </x:c>
      <x:c r="AA172" s="95" t="n">
        <x:v>-0.2666762011</x:v>
      </x:c>
      <x:c r="AB172" s="93" t="n">
        <x:v>0</x:v>
      </x:c>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75" t="str">
        <x:v>2019-11</x:v>
      </x:c>
      <x:c r="B173" s="91" t="n">
        <x:v>3401.473</x:v>
      </x:c>
      <x:c r="C173" s="91" t="n">
        <x:v>63.21190476</x:v>
      </x:c>
      <x:c r="D173" s="91" t="n">
        <x:v>542.94</x:v>
      </x:c>
      <x:c r="E173" s="91" t="n">
        <x:v>7046.82</x:v>
      </x:c>
      <x:c r="F173" s="82" t="n">
        <x:v>4.25</x:v>
      </x:c>
      <x:c r="G173" s="82" t="n">
        <x:v>1.55</x:v>
      </x:c>
      <x:c r="H173" s="82" t="n">
        <x:v>2.7</x:v>
      </x:c>
      <x:c r="I173" s="92" t="n">
        <x:v>-4504.724544</x:v>
      </x:c>
      <x:c r="J173" s="82" t="n">
        <x:v>2.11895512</x:v>
      </x:c>
      <x:c r="K173" s="82" t="n">
        <x:v>116.5594684</x:v>
      </x:c>
      <x:c r="L173" s="82" t="n">
        <x:v>12.5235</x:v>
      </x:c>
      <x:c r="M173" s="82" t="n">
        <x:v>137.2</x:v>
      </x:c>
      <x:c r="N173" s="93" t="n">
        <x:v>0</x:v>
      </x:c>
      <x:c r="O173" s="91" t="n">
        <x:v>52951.8</x:v>
      </x:c>
      <x:c r="P173" s="82" t="n">
        <x:v>6.405789474</x:v>
      </x:c>
      <x:c r="Q173" s="82" t="n">
        <x:v>1.812105263</x:v>
      </x:c>
      <x:c r="R173" s="82" t="n">
        <x:v>4.593684211</x:v>
      </x:c>
      <x:c r="S173" s="92" t="n">
        <x:v>-57.21</x:v>
      </x:c>
      <x:c r="T173" s="92" t="n">
        <x:v>-911.44</x:v>
      </x:c>
      <x:c r="U173" s="82" t="n">
        <x:v>103.54</x:v>
      </x:c>
      <x:c r="V173" s="82" t="n">
        <x:v>257.208</x:v>
      </x:c>
      <x:c r="W173" s="82" t="n">
        <x:v>1.800276682</x:v>
      </x:c>
      <x:c r="X173" s="94" t="n">
        <x:v>4.156357143</x:v>
      </x:c>
      <x:c r="Y173" s="94" t="n">
        <x:v>779.5039524</x:v>
      </x:c>
      <x:c r="Z173" s="94" t="n">
        <x:v>19.28694571</x:v>
      </x:c>
      <x:c r="AA173" s="95" t="n">
        <x:v>0.9927427176</x:v>
      </x:c>
      <x:c r="AB173" s="93" t="n">
        <x:v>0</x:v>
      </x:c>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75" t="str">
        <x:v>2019-12</x:v>
      </x:c>
      <x:c r="B174" s="91" t="n">
        <x:v>3378.050645</x:v>
      </x:c>
      <x:c r="C174" s="91" t="n">
        <x:v>67.21714286</x:v>
      </x:c>
      <x:c r="D174" s="91" t="n">
        <x:v>657.54</x:v>
      </x:c>
      <x:c r="E174" s="91" t="n">
        <x:v>7086.53</x:v>
      </x:c>
      <x:c r="F174" s="82" t="n">
        <x:v>4.25</x:v>
      </x:c>
      <x:c r="G174" s="82" t="n">
        <x:v>1.55</x:v>
      </x:c>
      <x:c r="H174" s="82" t="n">
        <x:v>2.7</x:v>
      </x:c>
      <x:c r="I174" s="92" t="n">
        <x:v>-2934.132085</x:v>
      </x:c>
      <x:c r="J174" s="82" t="n">
        <x:v>2.457251638</x:v>
      </x:c>
      <x:c r="K174" s="82" t="n">
        <x:v>115.90961</x:v>
      </x:c>
      <x:c r="L174" s="82" t="n">
        <x:v>13.75666667</x:v>
      </x:c>
      <x:c r="M174" s="82" t="n">
        <x:v>139.13</x:v>
      </x:c>
      <x:c r="N174" s="93" t="n">
        <x:v>0</x:v>
      </x:c>
      <x:c r="O174" s="91" t="n">
        <x:v>53167.19</x:v>
      </x:c>
      <x:c r="P174" s="82" t="n">
        <x:v>6.4095</x:v>
      </x:c>
      <x:c r="Q174" s="82" t="n">
        <x:v>1.862857143</x:v>
      </x:c>
      <x:c r="R174" s="82" t="n">
        <x:v>4.546642857</x:v>
      </x:c>
      <x:c r="S174" s="92" t="n">
        <x:v>-312.82</x:v>
      </x:c>
      <x:c r="T174" s="92" t="n">
        <x:v>-667.21</x:v>
      </x:c>
      <x:c r="U174" s="82" t="n">
        <x:v>103.8</x:v>
      </x:c>
      <x:c r="V174" s="82" t="n">
        <x:v>256.974</x:v>
      </x:c>
      <x:c r="W174" s="82" t="n">
        <x:v>1.51487026</x:v>
      </x:c>
      <x:c r="X174" s="94" t="n">
        <x:v>4.107940909</x:v>
      </x:c>
      <x:c r="Y174" s="94" t="n">
        <x:v>765.2586409</x:v>
      </x:c>
      <x:c r="Z174" s="94" t="n">
        <x:v>19.07965818</x:v>
      </x:c>
      <x:c r="AA174" s="95" t="n">
        <x:v>-0.5690876847</x:v>
      </x:c>
      <x:c r="AB174" s="93" t="n">
        <x:v>0</x:v>
      </x:c>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75" t="str">
        <x:v>2020-01</x:v>
      </x:c>
      <x:c r="B175" s="91" t="n">
        <x:v>3311.189355</x:v>
      </x:c>
      <x:c r="C175" s="91" t="n">
        <x:v>63.64545455</x:v>
      </x:c>
      <x:c r="D175" s="91" t="n">
        <x:v>537.91</x:v>
      </x:c>
      <x:c r="E175" s="91" t="n">
        <x:v>7051.96</x:v>
      </x:c>
      <x:c r="F175" s="82" t="n">
        <x:v>4.25</x:v>
      </x:c>
      <x:c r="G175" s="82" t="n">
        <x:v>1.55</x:v>
      </x:c>
      <x:c r="H175" s="82" t="n">
        <x:v>2.7</x:v>
      </x:c>
      <x:c r="I175" s="92" t="n">
        <x:v>2831.894771</x:v>
      </x:c>
      <x:c r="J175" s="82" t="n">
        <x:v>2.72996169</x:v>
      </x:c>
      <x:c r="K175" s="82" t="n">
        <x:v>115.2793857</x:v>
      </x:c>
      <x:c r="L175" s="82" t="n">
        <x:v>13.94095238</x:v>
      </x:c>
      <x:c r="M175" s="82" t="n">
        <x:v>132.64</x:v>
      </x:c>
      <x:c r="N175" s="93" t="n">
        <x:v>0</x:v>
      </x:c>
      <x:c r="O175" s="91" t="n">
        <x:v>53461.52</x:v>
      </x:c>
      <x:c r="P175" s="82" t="n">
        <x:v>6.2</x:v>
      </x:c>
      <x:c r="Q175" s="82" t="n">
        <x:v>1.757619048</x:v>
      </x:c>
      <x:c r="R175" s="82" t="n">
        <x:v>4.442380952</x:v>
      </x:c>
      <x:c r="S175" s="92" t="n">
        <x:v>-78.41</x:v>
      </x:c>
      <x:c r="T175" s="92" t="n">
        <x:v>-336.39</x:v>
      </x:c>
      <x:c r="U175" s="82" t="n">
        <x:v>104.24</x:v>
      </x:c>
      <x:c r="V175" s="82" t="n">
        <x:v>257.971</x:v>
      </x:c>
      <x:c r="W175" s="82" t="n">
        <x:v>1.131718303</x:v>
      </x:c>
      <x:c r="X175" s="94" t="n">
        <x:v>4.144</x:v>
      </x:c>
      <x:c r="Y175" s="94" t="n">
        <x:v>774.1786565</x:v>
      </x:c>
      <x:c r="Z175" s="94" t="n">
        <x:v>18.77573957</x:v>
      </x:c>
      <x:c r="AA175" s="95" t="n">
        <x:v>-0.07106709284</x:v>
      </x:c>
      <x:c r="AB175" s="93" t="n">
        <x:v>0</x:v>
      </x:c>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75" t="str">
        <x:v>2020-02</x:v>
      </x:c>
      <x:c r="B176" s="91" t="n">
        <x:v>3411.052759</x:v>
      </x:c>
      <x:c r="C176" s="91" t="n">
        <x:v>55.657</x:v>
      </x:c>
      <x:c r="D176" s="91" t="n">
        <x:v>536.38</x:v>
      </x:c>
      <x:c r="E176" s="91" t="n">
        <x:v>7076.09</x:v>
      </x:c>
      <x:c r="F176" s="82" t="n">
        <x:v>4.25</x:v>
      </x:c>
      <x:c r="G176" s="82" t="n">
        <x:v>1.58</x:v>
      </x:c>
      <x:c r="H176" s="82" t="n">
        <x:v>2.67</x:v>
      </x:c>
      <x:c r="I176" s="92" t="n">
        <x:v>-4034.656326</x:v>
      </x:c>
      <x:c r="J176" s="82" t="n">
        <x:v>2.376308178</x:v>
      </x:c>
      <x:c r="K176" s="82" t="n">
        <x:v>116.7105421</x:v>
      </x:c>
      <x:c r="L176" s="82" t="n">
        <x:v>19.62894737</x:v>
      </x:c>
      <x:c r="M176" s="82" t="n">
        <x:v>125.37</x:v>
      </x:c>
      <x:c r="N176" s="93" t="n">
        <x:v>0</x:v>
      </x:c>
      <x:c r="O176" s="91" t="n">
        <x:v>53676.04</x:v>
      </x:c>
      <x:c r="P176" s="82" t="n">
        <x:v>5.9595</x:v>
      </x:c>
      <x:c r="Q176" s="82" t="n">
        <x:v>1.504210526</x:v>
      </x:c>
      <x:c r="R176" s="82" t="n">
        <x:v>4.455289474</x:v>
      </x:c>
      <x:c r="S176" s="92" t="n">
        <x:v>69.24</x:v>
      </x:c>
      <x:c r="T176" s="92" t="n">
        <x:v>-978.67</x:v>
      </x:c>
      <x:c r="U176" s="82" t="n">
        <x:v>104.94</x:v>
      </x:c>
      <x:c r="V176" s="82" t="n">
        <x:v>258.678</x:v>
      </x:c>
      <x:c r="W176" s="82" t="n">
        <x:v>1.381275873</x:v>
      </x:c>
      <x:c r="X176" s="94" t="n">
        <x:v>4.34585</x:v>
      </x:c>
      <x:c r="Y176" s="94" t="n">
        <x:v>797.7135</x:v>
      </x:c>
      <x:c r="Z176" s="94" t="n">
        <x:v>18.801899</x:v>
      </x:c>
      <x:c r="AA176" s="95" t="n">
        <x:v>0.7199279079</x:v>
      </x:c>
      <x:c r="AB176" s="93" t="n">
        <x:v>0</x:v>
      </x:c>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75" t="str">
        <x:v>2020-03</x:v>
      </x:c>
      <x:c r="B177" s="91" t="n">
        <x:v>3877.048387</x:v>
      </x:c>
      <x:c r="C177" s="91" t="n">
        <x:v>32.01136364</x:v>
      </x:c>
      <x:c r="D177" s="91" t="n">
        <x:v>718.64</x:v>
      </x:c>
      <x:c r="E177" s="91" t="n">
        <x:v>7234.76</x:v>
      </x:c>
      <x:c r="F177" s="82" t="n">
        <x:v>4.217741935</x:v>
      </x:c>
      <x:c r="G177" s="82" t="n">
        <x:v>0.65</x:v>
      </x:c>
      <x:c r="H177" s="82" t="n">
        <x:v>3.567741935</x:v>
      </x:c>
      <x:c r="I177" s="92" t="n">
        <x:v>-1265.372149</x:v>
      </x:c>
      <x:c r="J177" s="82" t="n">
        <x:v>2.225878777</x:v>
      </x:c>
      <x:c r="K177" s="82" t="n">
        <x:v>121.0227409</x:v>
      </x:c>
      <x:c r="L177" s="82" t="n">
        <x:v>57.73681818</x:v>
      </x:c>
      <x:c r="M177" s="82" t="n">
        <x:v>100.17</x:v>
      </x:c>
      <x:c r="N177" s="93" t="n">
        <x:v>1</x:v>
      </x:c>
      <x:c r="O177" s="91" t="n">
        <x:v>53336.49</x:v>
      </x:c>
      <x:c r="P177" s="82" t="n">
        <x:v>7.603333333</x:v>
      </x:c>
      <x:c r="Q177" s="82" t="n">
        <x:v>0.87</x:v>
      </x:c>
      <x:c r="R177" s="82" t="n">
        <x:v>6.733333333</x:v>
      </x:c>
      <x:c r="S177" s="92" t="n">
        <x:v>234.39</x:v>
      </x:c>
      <x:c r="T177" s="92" t="n">
        <x:v>-2229.42</x:v>
      </x:c>
      <x:c r="U177" s="82" t="n">
        <x:v>105.53</x:v>
      </x:c>
      <x:c r="V177" s="82" t="n">
        <x:v>258.115</x:v>
      </x:c>
      <x:c r="W177" s="82" t="n">
        <x:v>2.30834079</x:v>
      </x:c>
      <x:c r="X177" s="94" t="n">
        <x:v>4.883531818</x:v>
      </x:c>
      <x:c r="Y177" s="94" t="n">
        <x:v>840.3306773</x:v>
      </x:c>
      <x:c r="Z177" s="94" t="n">
        <x:v>22.14204455</x:v>
      </x:c>
      <x:c r="AA177" s="95" t="n">
        <x:v>3.564684862</x:v>
      </x:c>
      <x:c r="AB177" s="93" t="n">
        <x:v>0</x:v>
      </x:c>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75" t="str">
        <x:v>2020-04</x:v>
      </x:c>
      <x:c r="B178" s="91" t="n">
        <x:v>3977.393333</x:v>
      </x:c>
      <x:c r="C178" s="91" t="n">
        <x:v>18.3785</x:v>
      </x:c>
      <x:c r="D178" s="91" t="n">
        <x:v>349.52</x:v>
      </x:c>
      <x:c r="E178" s="91" t="n">
        <x:v>6987.75</x:v>
      </x:c>
      <x:c r="F178" s="82" t="n">
        <x:v>3.75</x:v>
      </x:c>
      <x:c r="G178" s="82" t="n">
        <x:v>0.05</x:v>
      </x:c>
      <x:c r="H178" s="82" t="n">
        <x:v>3.7</x:v>
      </x:c>
      <x:c r="I178" s="92" t="n">
        <x:v>-8441.085868</x:v>
      </x:c>
      <x:c r="J178" s="82" t="n">
        <x:v>3.178987191</x:v>
      </x:c>
      <x:c r="K178" s="82" t="n">
        <x:v>123.2803455</x:v>
      </x:c>
      <x:c r="L178" s="82" t="n">
        <x:v>41.45380952</x:v>
      </x:c>
      <x:c r="M178" s="82" t="n">
        <x:v>96.74</x:v>
      </x:c>
      <x:c r="N178" s="93" t="n">
        <x:v>1</x:v>
      </x:c>
      <x:c r="O178" s="91" t="n">
        <x:v>53862.68</x:v>
      </x:c>
      <x:c r="P178" s="82" t="n">
        <x:v>7.5035</x:v>
      </x:c>
      <x:c r="Q178" s="82" t="n">
        <x:v>0.6576190476</x:v>
      </x:c>
      <x:c r="R178" s="82" t="n">
        <x:v>6.845880952</x:v>
      </x:c>
      <x:c r="S178" s="92" t="n">
        <x:v>11.17</x:v>
      </x:c>
      <x:c r="T178" s="92" t="n">
        <x:v>14.17</x:v>
      </x:c>
      <x:c r="U178" s="82" t="n">
        <x:v>105.7</x:v>
      </x:c>
      <x:c r="V178" s="82" t="n">
        <x:v>256.389</x:v>
      </x:c>
      <x:c r="W178" s="82" t="n">
        <x:v>3.176582906</x:v>
      </x:c>
      <x:c r="X178" s="94" t="n">
        <x:v>5.312122727</x:v>
      </x:c>
      <x:c r="Y178" s="94" t="n">
        <x:v>852.085</x:v>
      </x:c>
      <x:c r="Z178" s="94" t="n">
        <x:v>24.10104591</x:v>
      </x:c>
      <x:c r="AA178" s="95" t="n">
        <x:v>1.850095616</x:v>
      </x:c>
      <x:c r="AB178" s="93" t="n">
        <x:v>0</x:v>
      </x:c>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75" t="str">
        <x:v>2020-05</x:v>
      </x:c>
      <x:c r="B179" s="91" t="n">
        <x:v>3858.191613</x:v>
      </x:c>
      <x:c r="C179" s="91" t="n">
        <x:v>29.37894737</x:v>
      </x:c>
      <x:c r="D179" s="91" t="n">
        <x:v>448.57</x:v>
      </x:c>
      <x:c r="E179" s="91" t="n">
        <x:v>6784.09</x:v>
      </x:c>
      <x:c r="F179" s="82" t="n">
        <x:v>3.298387097</x:v>
      </x:c>
      <x:c r="G179" s="82" t="n">
        <x:v>0.05</x:v>
      </x:c>
      <x:c r="H179" s="82" t="n">
        <x:v>3.248387097</x:v>
      </x:c>
      <x:c r="I179" s="92" t="n">
        <x:v>-7384.940838</x:v>
      </x:c>
      <x:c r="J179" s="82" t="n">
        <x:v>3.909812532</x:v>
      </x:c>
      <x:c r="K179" s="82" t="n">
        <x:v>122.61501</x:v>
      </x:c>
      <x:c r="L179" s="82" t="n">
        <x:v>30.897</x:v>
      </x:c>
      <x:c r="M179" s="82" t="n">
        <x:v>100.17</x:v>
      </x:c>
      <x:c r="N179" s="93" t="n">
        <x:v>1</x:v>
      </x:c>
      <x:c r="O179" s="91" t="n">
        <x:v>56361.68</x:v>
      </x:c>
      <x:c r="P179" s="82" t="n">
        <x:v>6.388421053</x:v>
      </x:c>
      <x:c r="Q179" s="82" t="n">
        <x:v>0.674</x:v>
      </x:c>
      <x:c r="R179" s="82" t="n">
        <x:v>5.714421053</x:v>
      </x:c>
      <x:c r="S179" s="92" t="n">
        <x:v>-94.9</x:v>
      </x:c>
      <x:c r="T179" s="92" t="n">
        <x:v>1887.31</x:v>
      </x:c>
      <x:c r="U179" s="82" t="n">
        <x:v>105.36</x:v>
      </x:c>
      <x:c r="V179" s="82" t="n">
        <x:v>256.394</x:v>
      </x:c>
      <x:c r="W179" s="82" t="n">
        <x:v>2.732522673</x:v>
      </x:c>
      <x:c r="X179" s="94" t="n">
        <x:v>5.632842857</x:v>
      </x:c>
      <x:c r="Y179" s="94" t="n">
        <x:v>820.0199857</x:v>
      </x:c>
      <x:c r="Z179" s="94" t="n">
        <x:v>23.33409524</x:v>
      </x:c>
      <x:c r="AA179" s="95" t="n">
        <x:v>-0.4358909802</x:v>
      </x:c>
      <x:c r="AB179" s="93" t="n">
        <x:v>0</x:v>
      </x:c>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75" t="str">
        <x:v>2020-06</x:v>
      </x:c>
      <x:c r="B180" s="91" t="n">
        <x:v>3701.604333</x:v>
      </x:c>
      <x:c r="C180" s="91" t="n">
        <x:v>40.26681818</x:v>
      </x:c>
      <x:c r="D180" s="91" t="n">
        <x:v>526.42</x:v>
      </x:c>
      <x:c r="E180" s="91" t="n">
        <x:v>6784.76</x:v>
      </x:c>
      <x:c r="F180" s="82" t="n">
        <x:v>2.75</x:v>
      </x:c>
      <x:c r="G180" s="82" t="n">
        <x:v>0.08</x:v>
      </x:c>
      <x:c r="H180" s="82" t="n">
        <x:v>2.67</x:v>
      </x:c>
      <x:c r="I180" s="92" t="n">
        <x:v>-12312.51201</x:v>
      </x:c>
      <x:c r="J180" s="82" t="n">
        <x:v>5.17609732</x:v>
      </x:c>
      <x:c r="K180" s="82" t="n">
        <x:v>119.6766045</x:v>
      </x:c>
      <x:c r="L180" s="82" t="n">
        <x:v>31.11954545</x:v>
      </x:c>
      <x:c r="M180" s="82" t="n">
        <x:v>108.03</x:v>
      </x:c>
      <x:c r="N180" s="93" t="n">
        <x:v>0</x:v>
      </x:c>
      <x:c r="O180" s="91" t="n">
        <x:v>56623.49</x:v>
      </x:c>
      <x:c r="P180" s="82" t="n">
        <x:v>6.510526316</x:v>
      </x:c>
      <x:c r="Q180" s="82" t="n">
        <x:v>0.7286363636</x:v>
      </x:c>
      <x:c r="R180" s="82" t="n">
        <x:v>5.781889952</x:v>
      </x:c>
      <x:c r="S180" s="92" t="n">
        <x:v>-57.41</x:v>
      </x:c>
      <x:c r="T180" s="92" t="n">
        <x:v>-672.46</x:v>
      </x:c>
      <x:c r="U180" s="82" t="n">
        <x:v>104.97</x:v>
      </x:c>
      <x:c r="V180" s="82" t="n">
        <x:v>257.797</x:v>
      </x:c>
      <x:c r="W180" s="82" t="n">
        <x:v>1.554636926</x:v>
      </x:c>
      <x:c r="X180" s="94" t="n">
        <x:v>5.182331818</x:v>
      </x:c>
      <x:c r="Y180" s="94" t="n">
        <x:v>795.8832</x:v>
      </x:c>
      <x:c r="Z180" s="94" t="n">
        <x:v>22.17543045</x:v>
      </x:c>
      <x:c r="AA180" s="95" t="n">
        <x:v>-1.843489585</x:v>
      </x:c>
      <x:c r="AB180" s="93" t="n">
        <x:v>0</x:v>
      </x:c>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75" t="str">
        <x:v>2020-07</x:v>
      </x:c>
      <x:c r="B181" s="91" t="n">
        <x:v>3657.866774</x:v>
      </x:c>
      <x:c r="C181" s="91" t="n">
        <x:v>43.24217391</x:v>
      </x:c>
      <x:c r="D181" s="91" t="n">
        <x:v>584.64</x:v>
      </x:c>
      <x:c r="E181" s="91" t="n">
        <x:v>6762.52</x:v>
      </x:c>
      <x:c r="F181" s="82" t="n">
        <x:v>2.5</x:v>
      </x:c>
      <x:c r="G181" s="82" t="n">
        <x:v>0.09</x:v>
      </x:c>
      <x:c r="H181" s="82" t="n">
        <x:v>2.41</x:v>
      </x:c>
      <x:c r="I181" s="92" t="n">
        <x:v>-11480.51974</x:v>
      </x:c>
      <x:c r="J181" s="82" t="n">
        <x:v>5.791065909</x:v>
      </x:c>
      <x:c r="K181" s="82" t="n">
        <x:v>118.69005</x:v>
      </x:c>
      <x:c r="L181" s="82" t="n">
        <x:v>26.84045455</x:v>
      </x:c>
      <x:c r="M181" s="82" t="n">
        <x:v>117.97</x:v>
      </x:c>
      <x:c r="N181" s="93" t="n">
        <x:v>0</x:v>
      </x:c>
      <x:c r="O181" s="91" t="n">
        <x:v>56971.93</x:v>
      </x:c>
      <x:c r="P181" s="82" t="n">
        <x:v>6.39</x:v>
      </x:c>
      <x:c r="Q181" s="82" t="n">
        <x:v>0.6236363636</x:v>
      </x:c>
      <x:c r="R181" s="82" t="n">
        <x:v>5.766363636</x:v>
      </x:c>
      <x:c r="S181" s="92" t="n">
        <x:v>-29.76</x:v>
      </x:c>
      <x:c r="T181" s="92" t="n">
        <x:v>-770.79</x:v>
      </x:c>
      <x:c r="U181" s="82" t="n">
        <x:v>104.97</x:v>
      </x:c>
      <x:c r="V181" s="82" t="n">
        <x:v>259.101</x:v>
      </x:c>
      <x:c r="W181" s="82" t="n">
        <x:v>0.9859407121</x:v>
      </x:c>
      <x:c r="X181" s="94" t="n">
        <x:v>5.279895652</x:v>
      </x:c>
      <x:c r="Y181" s="94" t="n">
        <x:v>780.9887043</x:v>
      </x:c>
      <x:c r="Z181" s="94" t="n">
        <x:v>22.33604217</x:v>
      </x:c>
      <x:c r="AA181" s="95" t="n">
        <x:v>-0.0828278232</x:v>
      </x:c>
      <x:c r="AB181" s="93" t="n">
        <x:v>0</x:v>
      </x:c>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75" t="str">
        <x:v>2020-08</x:v>
      </x:c>
      <x:c r="B182" s="91" t="n">
        <x:v>3783.025806</x:v>
      </x:c>
      <x:c r="C182" s="91" t="n">
        <x:v>44.736</x:v>
      </x:c>
      <x:c r="D182" s="91" t="n">
        <x:v>635.88</x:v>
      </x:c>
      <x:c r="E182" s="91" t="n">
        <x:v>6718.1</x:v>
      </x:c>
      <x:c r="F182" s="82" t="n">
        <x:v>2.266129032</x:v>
      </x:c>
      <x:c r="G182" s="82" t="n">
        <x:v>0.1</x:v>
      </x:c>
      <x:c r="H182" s="82" t="n">
        <x:v>2.166129032</x:v>
      </x:c>
      <x:c r="I182" s="92" t="n">
        <x:v>-11214.28637</x:v>
      </x:c>
      <x:c r="J182" s="82" t="n">
        <x:v>6.324605304</x:v>
      </x:c>
      <x:c r="K182" s="82" t="n">
        <x:v>116.9453476</x:v>
      </x:c>
      <x:c r="L182" s="82" t="n">
        <x:v>22.88952381</x:v>
      </x:c>
      <x:c r="M182" s="82" t="n">
        <x:v>122.67</x:v>
      </x:c>
      <x:c r="N182" s="93" t="n">
        <x:v>0</x:v>
      </x:c>
      <x:c r="O182" s="91" t="n">
        <x:v>57184.93</x:v>
      </x:c>
      <x:c r="P182" s="82" t="n">
        <x:v>6.190526316</x:v>
      </x:c>
      <x:c r="Q182" s="82" t="n">
        <x:v>0.65</x:v>
      </x:c>
      <x:c r="R182" s="82" t="n">
        <x:v>5.540526316</x:v>
      </x:c>
      <x:c r="S182" s="92" t="n">
        <x:v>64.18</x:v>
      </x:c>
      <x:c r="T182" s="92" t="n">
        <x:v>-795.33</x:v>
      </x:c>
      <x:c r="U182" s="82" t="n">
        <x:v>104.96</x:v>
      </x:c>
      <x:c r="V182" s="82" t="n">
        <x:v>259.918</x:v>
      </x:c>
      <x:c r="W182" s="82" t="n">
        <x:v>0.5635954213</x:v>
      </x:c>
      <x:c r="X182" s="94" t="n">
        <x:v>5.460933333</x:v>
      </x:c>
      <x:c r="Y182" s="94" t="n">
        <x:v>785.5256905</x:v>
      </x:c>
      <x:c r="Z182" s="94" t="n">
        <x:v>22.13742952</x:v>
      </x:c>
      <x:c r="AA182" s="95" t="n">
        <x:v>0.1689394899</x:v>
      </x:c>
      <x:c r="AB182" s="93" t="n">
        <x:v>0</x:v>
      </x:c>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75" t="str">
        <x:v>2020-09</x:v>
      </x:c>
      <x:c r="B183" s="91" t="n">
        <x:v>3750.215333</x:v>
      </x:c>
      <x:c r="C183" s="91" t="n">
        <x:v>40.90954545</x:v>
      </x:c>
      <x:c r="D183" s="91" t="n">
        <x:v>653</x:v>
      </x:c>
      <x:c r="E183" s="91" t="n">
        <x:v>6788.77</x:v>
      </x:c>
      <x:c r="F183" s="82" t="n">
        <x:v>1.975</x:v>
      </x:c>
      <x:c r="G183" s="82" t="n">
        <x:v>0.09</x:v>
      </x:c>
      <x:c r="H183" s="82" t="n">
        <x:v>1.885</x:v>
      </x:c>
      <x:c r="I183" s="92" t="n">
        <x:v>-6442.003856</x:v>
      </x:c>
      <x:c r="J183" s="82" t="n">
        <x:v>7.363909642</x:v>
      </x:c>
      <x:c r="K183" s="82" t="n">
        <x:v>116.3431333</x:v>
      </x:c>
      <x:c r="L183" s="82" t="n">
        <x:v>27.64761905</x:v>
      </x:c>
      <x:c r="M183" s="82" t="n">
        <x:v>121.86</x:v>
      </x:c>
      <x:c r="N183" s="93" t="n">
        <x:v>0</x:v>
      </x:c>
      <x:c r="O183" s="91" t="n">
        <x:v>56978.48</x:v>
      </x:c>
      <x:c r="P183" s="82" t="n">
        <x:v>5.915909091</x:v>
      </x:c>
      <x:c r="Q183" s="82" t="n">
        <x:v>0.6795238095</x:v>
      </x:c>
      <x:c r="R183" s="82" t="n">
        <x:v>5.236385281</x:v>
      </x:c>
      <x:c r="S183" s="92" t="n">
        <x:v>109.83</x:v>
      </x:c>
      <x:c r="T183" s="92" t="n">
        <x:v>-1294.55</x:v>
      </x:c>
      <x:c r="U183" s="82" t="n">
        <x:v>105.29</x:v>
      </x:c>
      <x:c r="V183" s="82" t="n">
        <x:v>260.28</x:v>
      </x:c>
      <x:c r="W183" s="82" t="n">
        <x:v>0.5945864308</x:v>
      </x:c>
      <x:c r="X183" s="94" t="n">
        <x:v>5.393968182</x:v>
      </x:c>
      <x:c r="Y183" s="94" t="n">
        <x:v>773.2568182</x:v>
      </x:c>
      <x:c r="Z183" s="94" t="n">
        <x:v>21.54995182</x:v>
      </x:c>
      <x:c r="AA183" s="95" t="n">
        <x:v>-0.7336197567</x:v>
      </x:c>
      <x:c r="AB183" s="93" t="n">
        <x:v>0</x:v>
      </x:c>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75" t="str">
        <x:v>2020-10</x:v>
      </x:c>
      <x:c r="B184" s="91" t="n">
        <x:v>3833.788387</x:v>
      </x:c>
      <x:c r="C184" s="91" t="n">
        <x:v>40.18954545</x:v>
      </x:c>
      <x:c r="D184" s="91" t="n">
        <x:v>646.59</x:v>
      </x:c>
      <x:c r="E184" s="91" t="n">
        <x:v>6838.03</x:v>
      </x:c>
      <x:c r="F184" s="82" t="n">
        <x:v>1.75</x:v>
      </x:c>
      <x:c r="G184" s="82" t="n">
        <x:v>0.09</x:v>
      </x:c>
      <x:c r="H184" s="82" t="n">
        <x:v>1.66</x:v>
      </x:c>
      <x:c r="I184" s="92" t="n">
        <x:v>2477.461562</x:v>
      </x:c>
      <x:c r="J184" s="82" t="n">
        <x:v>6.480396271</x:v>
      </x:c>
      <x:c r="K184" s="82" t="n">
        <x:v>115.7798143</x:v>
      </x:c>
      <x:c r="L184" s="82" t="n">
        <x:v>29.43863636</x:v>
      </x:c>
      <x:c r="M184" s="82" t="n">
        <x:v>121.18</x:v>
      </x:c>
      <x:c r="N184" s="93" t="n">
        <x:v>0</x:v>
      </x:c>
      <x:c r="O184" s="91" t="n">
        <x:v>56918.99</x:v>
      </x:c>
      <x:c r="P184" s="82" t="n">
        <x:v>6.043333333</x:v>
      </x:c>
      <x:c r="Q184" s="82" t="n">
        <x:v>0.7871428571</x:v>
      </x:c>
      <x:c r="R184" s="82" t="n">
        <x:v>5.256190476</x:v>
      </x:c>
      <x:c r="S184" s="92" t="n">
        <x:v>93.28</x:v>
      </x:c>
      <x:c r="T184" s="92" t="n">
        <x:v>-1154.57</x:v>
      </x:c>
      <x:c r="U184" s="82" t="n">
        <x:v>105.23</x:v>
      </x:c>
      <x:c r="V184" s="82" t="n">
        <x:v>260.388</x:v>
      </x:c>
      <x:c r="W184" s="82" t="n">
        <x:v>0.5582412866</x:v>
      </x:c>
      <x:c r="X184" s="94" t="n">
        <x:v>5.621563636</x:v>
      </x:c>
      <x:c r="Y184" s="94" t="n">
        <x:v>787.7706818</x:v>
      </x:c>
      <x:c r="Z184" s="94" t="n">
        <x:v>21.21154636</x:v>
      </x:c>
      <x:c r="AA184" s="95" t="n">
        <x:v>0.3154473082</x:v>
      </x:c>
      <x:c r="AB184" s="93" t="n">
        <x:v>0</x:v>
      </x:c>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75" t="str">
        <x:v>2020-11</x:v>
      </x:c>
      <x:c r="B185" s="91" t="n">
        <x:v>3685.626667</x:v>
      </x:c>
      <x:c r="C185" s="91" t="n">
        <x:v>42.69238095</x:v>
      </x:c>
      <x:c r="D185" s="91" t="n">
        <x:v>602.59</x:v>
      </x:c>
      <x:c r="E185" s="91" t="n">
        <x:v>6897.68</x:v>
      </x:c>
      <x:c r="F185" s="82" t="n">
        <x:v>1.75</x:v>
      </x:c>
      <x:c r="G185" s="82" t="n">
        <x:v>0.09</x:v>
      </x:c>
      <x:c r="H185" s="82" t="n">
        <x:v>1.66</x:v>
      </x:c>
      <x:c r="I185" s="92" t="n">
        <x:v>-8645.868268</x:v>
      </x:c>
      <x:c r="J185" s="82" t="n">
        <x:v>6.895144794</x:v>
      </x:c>
      <x:c r="K185" s="82" t="n">
        <x:v>114.0984</x:v>
      </x:c>
      <x:c r="L185" s="82" t="n">
        <x:v>24.9955</x:v>
      </x:c>
      <x:c r="M185" s="82" t="n">
        <x:v>123.44</x:v>
      </x:c>
      <x:c r="N185" s="93" t="n">
        <x:v>0</x:v>
      </x:c>
      <x:c r="O185" s="91" t="n">
        <x:v>57244.55</x:v>
      </x:c>
      <x:c r="P185" s="82" t="n">
        <x:v>5.987368421</x:v>
      </x:c>
      <x:c r="Q185" s="82" t="n">
        <x:v>0.87</x:v>
      </x:c>
      <x:c r="R185" s="82" t="n">
        <x:v>5.117368421</x:v>
      </x:c>
      <x:c r="S185" s="92" t="n">
        <x:v>-63.03</x:v>
      </x:c>
      <x:c r="T185" s="92" t="n">
        <x:v>-338.37</x:v>
      </x:c>
      <x:c r="U185" s="82" t="n">
        <x:v>105.08</x:v>
      </x:c>
      <x:c r="V185" s="82" t="n">
        <x:v>260.229</x:v>
      </x:c>
      <x:c r="W185" s="82" t="n">
        <x:v>0.3128121006</x:v>
      </x:c>
      <x:c r="X185" s="94" t="n">
        <x:v>5.434390476</x:v>
      </x:c>
      <x:c r="Y185" s="94" t="n">
        <x:v>762.4780857</x:v>
      </x:c>
      <x:c r="Z185" s="94" t="n">
        <x:v>20.35438095</x:v>
      </x:c>
      <x:c r="AA185" s="95" t="n">
        <x:v>-1.311983844</x:v>
      </x:c>
      <x:c r="AB185" s="93" t="n">
        <x:v>0</x:v>
      </x:c>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75" t="str">
        <x:v>2020-12</x:v>
      </x:c>
      <x:c r="B186" s="91" t="n">
        <x:v>3466.127097</x:v>
      </x:c>
      <x:c r="C186" s="91" t="n">
        <x:v>49.99363636</x:v>
      </x:c>
      <x:c r="D186" s="91" t="n">
        <x:v>668.7</x:v>
      </x:c>
      <x:c r="E186" s="91" t="n">
        <x:v>6908.84</x:v>
      </x:c>
      <x:c r="F186" s="82" t="n">
        <x:v>1.75</x:v>
      </x:c>
      <x:c r="G186" s="82" t="n">
        <x:v>0.09</x:v>
      </x:c>
      <x:c r="H186" s="82" t="n">
        <x:v>1.66</x:v>
      </x:c>
      <x:c r="I186" s="92" t="n">
        <x:v>-11851.53491</x:v>
      </x:c>
      <x:c r="J186" s="82" t="n">
        <x:v>7.788250635</x:v>
      </x:c>
      <x:c r="K186" s="82" t="n">
        <x:v>111.8992143</x:v>
      </x:c>
      <x:c r="L186" s="82" t="n">
        <x:v>22.37409091</x:v>
      </x:c>
      <x:c r="M186" s="82" t="n">
        <x:v>129.34</x:v>
      </x:c>
      <x:c r="N186" s="93" t="n">
        <x:v>0</x:v>
      </x:c>
      <x:c r="O186" s="91" t="n">
        <x:v>59030.79</x:v>
      </x:c>
      <x:c r="P186" s="82" t="n">
        <x:v>5.880526316</x:v>
      </x:c>
      <x:c r="Q186" s="82" t="n">
        <x:v>0.9336363636</x:v>
      </x:c>
      <x:c r="R186" s="82" t="n">
        <x:v>4.946889952</x:v>
      </x:c>
      <x:c r="S186" s="92" t="n">
        <x:v>-68.97</x:v>
      </x:c>
      <x:c r="T186" s="92" t="n">
        <x:v>916.7</x:v>
      </x:c>
      <x:c r="U186" s="82" t="n">
        <x:v>105.48</x:v>
      </x:c>
      <x:c r="V186" s="82" t="n">
        <x:v>260.474</x:v>
      </x:c>
      <x:c r="W186" s="82" t="n">
        <x:v>0.2564916151</x:v>
      </x:c>
      <x:c r="X186" s="94" t="n">
        <x:v>5.14673913</x:v>
      </x:c>
      <x:c r="Y186" s="94" t="n">
        <x:v>730.3515217</x:v>
      </x:c>
      <x:c r="Z186" s="94" t="n">
        <x:v>19.89075783</x:v>
      </x:c>
      <x:c r="AA186" s="95" t="n">
        <x:v>-1.410605932</x:v>
      </x:c>
      <x:c r="AB186" s="93" t="n">
        <x:v>0</x:v>
      </x:c>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75" t="str">
        <x:v>2021-01</x:v>
      </x:c>
      <x:c r="B187" s="91" t="n">
        <x:v>3491.321613</x:v>
      </x:c>
      <x:c r="C187" s="91" t="n">
        <x:v>54.774</x:v>
      </x:c>
      <x:c r="D187" s="91" t="n">
        <x:v>547.62</x:v>
      </x:c>
      <x:c r="E187" s="91" t="n">
        <x:v>6918.55</x:v>
      </x:c>
      <x:c r="F187" s="82" t="n">
        <x:v>1.75</x:v>
      </x:c>
      <x:c r="G187" s="82" t="n">
        <x:v>0.09</x:v>
      </x:c>
      <x:c r="H187" s="82" t="n">
        <x:v>1.66</x:v>
      </x:c>
      <x:c r="I187" s="92" t="n">
        <x:v>-3975.91576</x:v>
      </x:c>
      <x:c r="J187" s="82" t="n">
        <x:v>7.0911306</x:v>
      </x:c>
      <x:c r="K187" s="82" t="n">
        <x:v>111.4872722</x:v>
      </x:c>
      <x:c r="L187" s="82" t="n">
        <x:v>24.91</x:v>
      </x:c>
      <x:c r="M187" s="82" t="n">
        <x:v>133.99</x:v>
      </x:c>
      <x:c r="N187" s="93" t="n">
        <x:v>0</x:v>
      </x:c>
      <x:c r="O187" s="91" t="n">
        <x:v>59000.87</x:v>
      </x:c>
      <x:c r="P187" s="82" t="n">
        <x:v>5.833157895</x:v>
      </x:c>
      <x:c r="Q187" s="82" t="n">
        <x:v>1.081052632</x:v>
      </x:c>
      <x:c r="R187" s="82" t="n">
        <x:v>4.752105263</x:v>
      </x:c>
      <x:c r="S187" s="92" t="n">
        <x:v>28.99</x:v>
      </x:c>
      <x:c r="T187" s="92" t="n">
        <x:v>-841.36</x:v>
      </x:c>
      <x:c r="U187" s="82" t="n">
        <x:v>105.91</x:v>
      </x:c>
      <x:c r="V187" s="82" t="n">
        <x:v>261.582</x:v>
      </x:c>
      <x:c r="W187" s="82" t="n">
        <x:v>0.2023023997</x:v>
      </x:c>
      <x:c r="X187" s="94" t="n">
        <x:v>5.348328571</x:v>
      </x:c>
      <x:c r="Y187" s="94" t="n">
        <x:v>723.7957333</x:v>
      </x:c>
      <x:c r="Z187" s="94" t="n">
        <x:v>19.84059429</x:v>
      </x:c>
      <x:c r="AA187" s="95" t="n">
        <x:v>0.1035725325</x:v>
      </x:c>
      <x:c r="AB187" s="93" t="n">
        <x:v>0</x:v>
      </x:c>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75" t="str">
        <x:v>2021-02</x:v>
      </x:c>
      <x:c r="B188" s="91" t="n">
        <x:v>3554.504286</x:v>
      </x:c>
      <x:c r="C188" s="91" t="n">
        <x:v>62.2765</x:v>
      </x:c>
      <x:c r="D188" s="91" t="n">
        <x:v>606.02</x:v>
      </x:c>
      <x:c r="E188" s="91" t="n">
        <x:v>6988.19</x:v>
      </x:c>
      <x:c r="F188" s="82" t="n">
        <x:v>1.75</x:v>
      </x:c>
      <x:c r="G188" s="82" t="n">
        <x:v>0.08</x:v>
      </x:c>
      <x:c r="H188" s="82" t="n">
        <x:v>1.67</x:v>
      </x:c>
      <x:c r="I188" s="92" t="n">
        <x:v>-11153.51896</x:v>
      </x:c>
      <x:c r="J188" s="82" t="n">
        <x:v>7.68803314</x:v>
      </x:c>
      <x:c r="K188" s="82" t="n">
        <x:v>112.0170526</x:v>
      </x:c>
      <x:c r="L188" s="82" t="n">
        <x:v>23.14052632</x:v>
      </x:c>
      <x:c r="M188" s="82" t="n">
        <x:v>133.22</x:v>
      </x:c>
      <x:c r="N188" s="93" t="n">
        <x:v>0</x:v>
      </x:c>
      <x:c r="O188" s="91" t="n">
        <x:v>58975.17</x:v>
      </x:c>
      <x:c r="P188" s="82" t="n">
        <x:v>6.031</x:v>
      </x:c>
      <x:c r="Q188" s="82" t="n">
        <x:v>1.257894737</x:v>
      </x:c>
      <x:c r="R188" s="82" t="n">
        <x:v>4.773105263</x:v>
      </x:c>
      <x:c r="S188" s="92" t="n">
        <x:v>-29.58</x:v>
      </x:c>
      <x:c r="T188" s="92" t="n">
        <x:v>-1103.72</x:v>
      </x:c>
      <x:c r="U188" s="82" t="n">
        <x:v>106.58</x:v>
      </x:c>
      <x:c r="V188" s="82" t="n">
        <x:v>263.014</x:v>
      </x:c>
      <x:c r="W188" s="82" t="n">
        <x:v>-0.1134174282</x:v>
      </x:c>
      <x:c r="X188" s="94" t="n">
        <x:v>5.412695</x:v>
      </x:c>
      <x:c r="Y188" s="94" t="n">
        <x:v>722.353985</x:v>
      </x:c>
      <x:c r="Z188" s="94" t="n">
        <x:v>20.2356995</x:v>
      </x:c>
      <x:c r="AA188" s="95" t="n">
        <x:v>0.2169412801</x:v>
      </x:c>
      <x:c r="AB188" s="93" t="n">
        <x:v>0</x:v>
      </x:c>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75" t="str">
        <x:v>2021-03</x:v>
      </x:c>
      <x:c r="B189" s="91" t="n">
        <x:v>3612.768387</x:v>
      </x:c>
      <x:c r="C189" s="91" t="n">
        <x:v>65.41</x:v>
      </x:c>
      <x:c r="D189" s="91" t="n">
        <x:v>795.37</x:v>
      </x:c>
      <x:c r="E189" s="91" t="n">
        <x:v>7064.92</x:v>
      </x:c>
      <x:c r="F189" s="82" t="n">
        <x:v>1.75</x:v>
      </x:c>
      <x:c r="G189" s="82" t="n">
        <x:v>0.07</x:v>
      </x:c>
      <x:c r="H189" s="82" t="n">
        <x:v>1.68</x:v>
      </x:c>
      <x:c r="I189" s="92" t="n">
        <x:v>261.5796268</x:v>
      </x:c>
      <x:c r="J189" s="82" t="n">
        <x:v>7.560001257</x:v>
      </x:c>
      <x:c r="K189" s="82" t="n">
        <x:v>113.3366435</x:v>
      </x:c>
      <x:c r="L189" s="82" t="n">
        <x:v>21.84304348</x:v>
      </x:c>
      <x:c r="M189" s="82" t="n">
        <x:v>137.51</x:v>
      </x:c>
      <x:c r="N189" s="93" t="n">
        <x:v>0</x:v>
      </x:c>
      <x:c r="O189" s="91" t="n">
        <x:v>58900.51</x:v>
      </x:c>
      <x:c r="P189" s="82" t="n">
        <x:v>7.002272727</x:v>
      </x:c>
      <x:c r="Q189" s="82" t="n">
        <x:v>1.610869565</x:v>
      </x:c>
      <x:c r="R189" s="82" t="n">
        <x:v>5.391403162</x:v>
      </x:c>
      <x:c r="S189" s="92" t="n">
        <x:v>81.45</x:v>
      </x:c>
      <x:c r="T189" s="92" t="n">
        <x:v>-1495.67</x:v>
      </x:c>
      <x:c r="U189" s="82" t="n">
        <x:v>107.12</x:v>
      </x:c>
      <x:c r="V189" s="82" t="n">
        <x:v>264.877</x:v>
      </x:c>
      <x:c r="W189" s="82" t="n">
        <x:v>-1.113081944</x:v>
      </x:c>
      <x:c r="X189" s="94" t="n">
        <x:v>5.645847826</x:v>
      </x:c>
      <x:c r="Y189" s="94" t="n">
        <x:v>726.1030261</x:v>
      </x:c>
      <x:c r="Z189" s="94" t="n">
        <x:v>20.68165391</x:v>
      </x:c>
      <x:c r="AA189" s="95" t="n">
        <x:v>0.606028151</x:v>
      </x:c>
      <x:c r="AB189" s="93" t="n">
        <x:v>0</x:v>
      </x:c>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75" t="str">
        <x:v>2021-04</x:v>
      </x:c>
      <x:c r="B190" s="91" t="n">
        <x:v>3650.776</x:v>
      </x:c>
      <x:c r="C190" s="91" t="n">
        <x:v>64.8065</x:v>
      </x:c>
      <x:c r="D190" s="91" t="n">
        <x:v>709.16</x:v>
      </x:c>
      <x:c r="E190" s="91" t="n">
        <x:v>7424.56</x:v>
      </x:c>
      <x:c r="F190" s="82" t="n">
        <x:v>1.75</x:v>
      </x:c>
      <x:c r="G190" s="82" t="n">
        <x:v>0.07</x:v>
      </x:c>
      <x:c r="H190" s="82" t="n">
        <x:v>1.68</x:v>
      </x:c>
      <x:c r="I190" s="92" t="n">
        <x:v>-5640.34754</x:v>
      </x:c>
      <x:c r="J190" s="82" t="n">
        <x:v>7.325164892</x:v>
      </x:c>
      <x:c r="K190" s="82" t="n">
        <x:v>112.6322864</x:v>
      </x:c>
      <x:c r="L190" s="82" t="n">
        <x:v>17.41619048</x:v>
      </x:c>
      <x:c r="M190" s="82" t="n">
        <x:v>129.87</x:v>
      </x:c>
      <x:c r="N190" s="93" t="n">
        <x:v>0</x:v>
      </x:c>
      <x:c r="O190" s="91" t="n">
        <x:v>59085.22</x:v>
      </x:c>
      <x:c r="P190" s="82" t="n">
        <x:v>7.1945</x:v>
      </x:c>
      <x:c r="Q190" s="82" t="n">
        <x:v>1.635</x:v>
      </x:c>
      <x:c r="R190" s="82" t="n">
        <x:v>5.5595</x:v>
      </x:c>
      <x:c r="S190" s="92" t="n">
        <x:v>47.14</x:v>
      </x:c>
      <x:c r="T190" s="92" t="n">
        <x:v>-879.18</x:v>
      </x:c>
      <x:c r="U190" s="82" t="n">
        <x:v>107.76</x:v>
      </x:c>
      <x:c r="V190" s="82" t="n">
        <x:v>267.054</x:v>
      </x:c>
      <x:c r="W190" s="82" t="n">
        <x:v>-2.210782824</x:v>
      </x:c>
      <x:c r="X190" s="94" t="n">
        <x:v>5.5658</x:v>
      </x:c>
      <x:c r="Y190" s="94" t="n">
        <x:v>707.7875136</x:v>
      </x:c>
      <x:c r="Z190" s="94" t="n">
        <x:v>20.02527364</x:v>
      </x:c>
      <x:c r="AA190" s="95" t="n">
        <x:v>-0.9377845485</x:v>
      </x:c>
      <x:c r="AB190" s="93" t="n">
        <x:v>0</x:v>
      </x:c>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75" t="str">
        <x:v>2021-05</x:v>
      </x:c>
      <x:c r="B191" s="91" t="n">
        <x:v>3735.666129</x:v>
      </x:c>
      <x:c r="C191" s="91" t="n">
        <x:v>68.53421053</x:v>
      </x:c>
      <x:c r="D191" s="91" t="n">
        <x:v>759.17</x:v>
      </x:c>
      <x:c r="E191" s="91" t="n">
        <x:v>7735.16</x:v>
      </x:c>
      <x:c r="F191" s="82" t="n">
        <x:v>1.75</x:v>
      </x:c>
      <x:c r="G191" s="82" t="n">
        <x:v>0.06</x:v>
      </x:c>
      <x:c r="H191" s="82" t="n">
        <x:v>1.69</x:v>
      </x:c>
      <x:c r="I191" s="92" t="n">
        <x:v>-4145.044419</x:v>
      </x:c>
      <x:c r="J191" s="82" t="n">
        <x:v>7.053505991</x:v>
      </x:c>
      <x:c r="K191" s="82" t="n">
        <x:v>111.21227</x:v>
      </x:c>
      <x:c r="L191" s="82" t="n">
        <x:v>19.7605</x:v>
      </x:c>
      <x:c r="M191" s="82" t="n">
        <x:v>131.94</x:v>
      </x:c>
      <x:c r="N191" s="93" t="n">
        <x:v>0</x:v>
      </x:c>
      <x:c r="O191" s="91" t="n">
        <x:v>59143.96</x:v>
      </x:c>
      <x:c r="P191" s="82" t="n">
        <x:v>7.8405</x:v>
      </x:c>
      <x:c r="Q191" s="82" t="n">
        <x:v>1.621</x:v>
      </x:c>
      <x:c r="R191" s="82" t="n">
        <x:v>6.2195</x:v>
      </x:c>
      <x:c r="S191" s="92" t="n">
        <x:v>-16.48</x:v>
      </x:c>
      <x:c r="T191" s="92" t="n">
        <x:v>-947.06</x:v>
      </x:c>
      <x:c r="U191" s="82" t="n">
        <x:v>108.84</x:v>
      </x:c>
      <x:c r="V191" s="82" t="n">
        <x:v>269.195</x:v>
      </x:c>
      <x:c r="W191" s="82" t="n">
        <x:v>-1.689745262</x:v>
      </x:c>
      <x:c r="X191" s="94" t="n">
        <x:v>5.290752381</x:v>
      </x:c>
      <x:c r="Y191" s="94" t="n">
        <x:v>713.4066571</x:v>
      </x:c>
      <x:c r="Z191" s="94" t="n">
        <x:v>19.91764238</x:v>
      </x:c>
      <x:c r="AA191" s="95" t="n">
        <x:v>-0.5295735298</x:v>
      </x:c>
      <x:c r="AB191" s="93" t="n">
        <x:v>0</x:v>
      </x:c>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75" t="str">
        <x:v>2021-06</x:v>
      </x:c>
      <x:c r="B192" s="91" t="n">
        <x:v>3685.042667</x:v>
      </x:c>
      <x:c r="C192" s="91" t="n">
        <x:v>73.16409091</x:v>
      </x:c>
      <x:c r="D192" s="91" t="n">
        <x:v>699.01</x:v>
      </x:c>
      <x:c r="E192" s="91" t="n">
        <x:v>7907.75</x:v>
      </x:c>
      <x:c r="F192" s="82" t="n">
        <x:v>1.75</x:v>
      </x:c>
      <x:c r="G192" s="82" t="n">
        <x:v>0.08</x:v>
      </x:c>
      <x:c r="H192" s="82" t="n">
        <x:v>1.67</x:v>
      </x:c>
      <x:c r="I192" s="92" t="n">
        <x:v>-10505.66582</x:v>
      </x:c>
      <x:c r="J192" s="82" t="n">
        <x:v>6.902005515</x:v>
      </x:c>
      <x:c r="K192" s="82" t="n">
        <x:v>111.5776955</x:v>
      </x:c>
      <x:c r="L192" s="82" t="n">
        <x:v>16.95681818</x:v>
      </x:c>
      <x:c r="M192" s="82" t="n">
        <x:v>138.18</x:v>
      </x:c>
      <x:c r="N192" s="93" t="n">
        <x:v>0</x:v>
      </x:c>
      <x:c r="O192" s="91" t="n">
        <x:v>58917.31</x:v>
      </x:c>
      <x:c r="P192" s="82" t="n">
        <x:v>7.528</x:v>
      </x:c>
      <x:c r="Q192" s="82" t="n">
        <x:v>1.519090909</x:v>
      </x:c>
      <x:c r="R192" s="82" t="n">
        <x:v>6.008909091</x:v>
      </x:c>
      <x:c r="S192" s="92" t="n">
        <x:v>61.27</x:v>
      </x:c>
      <x:c r="T192" s="92" t="n">
        <x:v>-1051.93</x:v>
      </x:c>
      <x:c r="U192" s="82" t="n">
        <x:v>108.78</x:v>
      </x:c>
      <x:c r="V192" s="82" t="n">
        <x:v>271.696</x:v>
      </x:c>
      <x:c r="W192" s="82" t="n">
        <x:v>-1.761842954</x:v>
      </x:c>
      <x:c r="X192" s="94" t="n">
        <x:v>5.035368182</x:v>
      </x:c>
      <x:c r="Y192" s="94" t="n">
        <x:v>728.6411136</x:v>
      </x:c>
      <x:c r="Z192" s="94" t="n">
        <x:v>19.94855</x:v>
      </x:c>
      <x:c r="AA192" s="95" t="n">
        <x:v>-0.2704856867</x:v>
      </x:c>
      <x:c r="AB192" s="93" t="n">
        <x:v>0</x:v>
      </x:c>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75" t="str">
        <x:v>2021-07</x:v>
      </x:c>
      <x:c r="B193" s="91" t="n">
        <x:v>3829.418065</x:v>
      </x:c>
      <x:c r="C193" s="91" t="n">
        <x:v>75.16590909</x:v>
      </x:c>
      <x:c r="D193" s="91" t="n">
        <x:v>741.6</x:v>
      </x:c>
      <x:c r="E193" s="91" t="n">
        <x:v>8064.71</x:v>
      </x:c>
      <x:c r="F193" s="82" t="n">
        <x:v>1.75</x:v>
      </x:c>
      <x:c r="G193" s="82" t="n">
        <x:v>0.1</x:v>
      </x:c>
      <x:c r="H193" s="82" t="n">
        <x:v>1.65</x:v>
      </x:c>
      <x:c r="I193" s="92" t="n">
        <x:v>-8204.341235</x:v>
      </x:c>
      <x:c r="J193" s="82" t="n">
        <x:v>6.627304432</x:v>
      </x:c>
      <x:c r="K193" s="82" t="n">
        <x:v>113.063319</x:v>
      </x:c>
      <x:c r="L193" s="82" t="n">
        <x:v>17.60333333</x:v>
      </x:c>
      <x:c r="M193" s="82" t="n">
        <x:v>136.71</x:v>
      </x:c>
      <x:c r="N193" s="93" t="n">
        <x:v>0</x:v>
      </x:c>
      <x:c r="O193" s="91" t="n">
        <x:v>58878.39</x:v>
      </x:c>
      <x:c r="P193" s="82" t="n">
        <x:v>7.5385</x:v>
      </x:c>
      <x:c r="Q193" s="82" t="n">
        <x:v>1.318571429</x:v>
      </x:c>
      <x:c r="R193" s="82" t="n">
        <x:v>6.219928571</x:v>
      </x:c>
      <x:c r="S193" s="92" t="n">
        <x:v>143.13</x:v>
      </x:c>
      <x:c r="T193" s="92" t="n">
        <x:v>-1224.69</x:v>
      </x:c>
      <x:c r="U193" s="82" t="n">
        <x:v>109.14</x:v>
      </x:c>
      <x:c r="V193" s="82" t="n">
        <x:v>273.003</x:v>
      </x:c>
      <x:c r="W193" s="82" t="n">
        <x:v>-1.39291165</x:v>
      </x:c>
      <x:c r="X193" s="94" t="n">
        <x:v>5.156363636</x:v>
      </x:c>
      <x:c r="Y193" s="94" t="n">
        <x:v>752.0147682</x:v>
      </x:c>
      <x:c r="Z193" s="94" t="n">
        <x:v>19.92552318</x:v>
      </x:c>
      <x:c r="AA193" s="95" t="n">
        <x:v>0.4932260639</x:v>
      </x:c>
      <x:c r="AB193" s="93" t="n">
        <x:v>0</x:v>
      </x:c>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75" t="str">
        <x:v>2021-08</x:v>
      </x:c>
      <x:c r="B194" s="91" t="n">
        <x:v>3881.183548</x:v>
      </x:c>
      <x:c r="C194" s="91" t="n">
        <x:v>70.74714286</x:v>
      </x:c>
      <x:c r="D194" s="91" t="n">
        <x:v>744.43</x:v>
      </x:c>
      <x:c r="E194" s="91" t="n">
        <x:v>8173.26</x:v>
      </x:c>
      <x:c r="F194" s="82" t="n">
        <x:v>1.75</x:v>
      </x:c>
      <x:c r="G194" s="82" t="n">
        <x:v>0.09</x:v>
      </x:c>
      <x:c r="H194" s="82" t="n">
        <x:v>1.66</x:v>
      </x:c>
      <x:c r="I194" s="92" t="n">
        <x:v>4852.144199</x:v>
      </x:c>
      <x:c r="J194" s="82" t="n">
        <x:v>5.280166034</x:v>
      </x:c>
      <x:c r="K194" s="82" t="n">
        <x:v>113.4025364</x:v>
      </x:c>
      <x:c r="L194" s="82" t="n">
        <x:v>17.47272727</x:v>
      </x:c>
      <x:c r="M194" s="82" t="n">
        <x:v>136.74</x:v>
      </x:c>
      <x:c r="N194" s="93" t="n">
        <x:v>0</x:v>
      </x:c>
      <x:c r="O194" s="91" t="n">
        <x:v>58846.51</x:v>
      </x:c>
      <x:c r="P194" s="82" t="n">
        <x:v>7.696666667</x:v>
      </x:c>
      <x:c r="Q194" s="82" t="n">
        <x:v>1.283181818</x:v>
      </x:c>
      <x:c r="R194" s="82" t="n">
        <x:v>6.413484848</x:v>
      </x:c>
      <x:c r="S194" s="92" t="n">
        <x:v>-186.24</x:v>
      </x:c>
      <x:c r="T194" s="92" t="n">
        <x:v>-923.8</x:v>
      </x:c>
      <x:c r="U194" s="82" t="n">
        <x:v>109.62</x:v>
      </x:c>
      <x:c r="V194" s="82" t="n">
        <x:v>273.567</x:v>
      </x:c>
      <x:c r="W194" s="82" t="n">
        <x:v>-0.8114849695</x:v>
      </x:c>
      <x:c r="X194" s="94" t="n">
        <x:v>5.251418182</x:v>
      </x:c>
      <x:c r="Y194" s="94" t="n">
        <x:v>780.8318227</x:v>
      </x:c>
      <x:c r="Z194" s="94" t="n">
        <x:v>20.02157</x:v>
      </x:c>
      <x:c r="AA194" s="95" t="n">
        <x:v>0.5900634574</x:v>
      </x:c>
      <x:c r="AB194" s="93" t="n">
        <x:v>0</x:v>
      </x:c>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75" t="str">
        <x:v>2021-09</x:v>
      </x:c>
      <x:c r="B195" s="91" t="n">
        <x:v>3821.537667</x:v>
      </x:c>
      <x:c r="C195" s="91" t="n">
        <x:v>74.48863636</x:v>
      </x:c>
      <x:c r="D195" s="91" t="n">
        <x:v>682.84</x:v>
      </x:c>
      <x:c r="E195" s="91" t="n">
        <x:v>8203.1</x:v>
      </x:c>
      <x:c r="F195" s="82" t="n">
        <x:v>1.75</x:v>
      </x:c>
      <x:c r="G195" s="82" t="n">
        <x:v>0.08</x:v>
      </x:c>
      <x:c r="H195" s="82" t="n">
        <x:v>1.67</x:v>
      </x:c>
      <x:c r="I195" s="92" t="n">
        <x:v>-1203.703056</x:v>
      </x:c>
      <x:c r="J195" s="82" t="n">
        <x:v>4.840944881</x:v>
      </x:c>
      <x:c r="K195" s="82" t="n">
        <x:v>113.4437476</x:v>
      </x:c>
      <x:c r="L195" s="82" t="n">
        <x:v>19.8247619</x:v>
      </x:c>
      <x:c r="M195" s="82" t="n">
        <x:v>146.87</x:v>
      </x:c>
      <x:c r="N195" s="93" t="n">
        <x:v>0</x:v>
      </x:c>
      <x:c r="O195" s="91" t="n">
        <x:v>58721.07</x:v>
      </x:c>
      <x:c r="P195" s="82" t="n">
        <x:v>7.891818182</x:v>
      </x:c>
      <x:c r="Q195" s="82" t="n">
        <x:v>1.374761905</x:v>
      </x:c>
      <x:c r="R195" s="82" t="n">
        <x:v>6.517056277</x:v>
      </x:c>
      <x:c r="S195" s="92" t="n">
        <x:v>-12.78</x:v>
      </x:c>
      <x:c r="T195" s="92" t="n">
        <x:v>-1105.8</x:v>
      </x:c>
      <x:c r="U195" s="82" t="n">
        <x:v>110.04</x:v>
      </x:c>
      <x:c r="V195" s="82" t="n">
        <x:v>274.31</x:v>
      </x:c>
      <x:c r="W195" s="82" t="n">
        <x:v>-0.8789992492</x:v>
      </x:c>
      <x:c r="X195" s="94" t="n">
        <x:v>5.274736364</x:v>
      </x:c>
      <x:c r="Y195" s="94" t="n">
        <x:v>785.3691227</x:v>
      </x:c>
      <x:c r="Z195" s="94" t="n">
        <x:v>20.00172864</x:v>
      </x:c>
      <x:c r="AA195" s="95" t="n">
        <x:v>-0.002236865068</x:v>
      </x:c>
      <x:c r="AB195" s="93" t="n">
        <x:v>0</x:v>
      </x:c>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75" t="str">
        <x:v>2021-10</x:v>
      </x:c>
      <x:c r="B196" s="91" t="n">
        <x:v>3773.384194</x:v>
      </x:c>
      <x:c r="C196" s="91" t="n">
        <x:v>83.53809524</x:v>
      </x:c>
      <x:c r="D196" s="91" t="n">
        <x:v>664.02</x:v>
      </x:c>
      <x:c r="E196" s="91" t="n">
        <x:v>8220.53</x:v>
      </x:c>
      <x:c r="F196" s="82" t="n">
        <x:v>2</x:v>
      </x:c>
      <x:c r="G196" s="82" t="n">
        <x:v>0.08</x:v>
      </x:c>
      <x:c r="H196" s="82" t="n">
        <x:v>1.92</x:v>
      </x:c>
      <x:c r="I196" s="92" t="n">
        <x:v>-14353.43524</x:v>
      </x:c>
      <x:c r="J196" s="82" t="n">
        <x:v>6.25218226</x:v>
      </x:c>
      <x:c r="K196" s="82" t="n">
        <x:v>114.063485</x:v>
      </x:c>
      <x:c r="L196" s="82" t="n">
        <x:v>17.87142857</x:v>
      </x:c>
      <x:c r="M196" s="82" t="n">
        <x:v>149.87</x:v>
      </x:c>
      <x:c r="N196" s="93" t="n">
        <x:v>0</x:v>
      </x:c>
      <x:c r="O196" s="91" t="n">
        <x:v>58792</x:v>
      </x:c>
      <x:c r="P196" s="82" t="n">
        <x:v>8.1685</x:v>
      </x:c>
      <x:c r="Q196" s="82" t="n">
        <x:v>1.5825</x:v>
      </x:c>
      <x:c r="R196" s="82" t="n">
        <x:v>6.586</x:v>
      </x:c>
      <x:c r="S196" s="92" t="n">
        <x:v>-62.97</x:v>
      </x:c>
      <x:c r="T196" s="92" t="n">
        <x:v>-659.72</x:v>
      </x:c>
      <x:c r="U196" s="82" t="n">
        <x:v>110.06</x:v>
      </x:c>
      <x:c r="V196" s="82" t="n">
        <x:v>276.589</x:v>
      </x:c>
      <x:c r="W196" s="82" t="n">
        <x:v>-1.63192307</x:v>
      </x:c>
      <x:c r="X196" s="94" t="n">
        <x:v>5.538542857</x:v>
      </x:c>
      <x:c r="Y196" s="94" t="n">
        <x:v>814.2059286</x:v>
      </x:c>
      <x:c r="Z196" s="94" t="n">
        <x:v>20.45407095</x:v>
      </x:c>
      <x:c r="AA196" s="95" t="n">
        <x:v>1.058561938</x:v>
      </x:c>
      <x:c r="AB196" s="93" t="n">
        <x:v>0</x:v>
      </x:c>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75" t="str">
        <x:v>2021-11</x:v>
      </x:c>
      <x:c r="B197" s="91" t="n">
        <x:v>3902.901</x:v>
      </x:c>
      <x:c r="C197" s="91" t="n">
        <x:v>81.05</x:v>
      </x:c>
      <x:c r="D197" s="91" t="n">
        <x:v>817.19</x:v>
      </x:c>
      <x:c r="E197" s="91" t="n">
        <x:v>8435.13</x:v>
      </x:c>
      <x:c r="F197" s="82" t="n">
        <x:v>2.483333333</x:v>
      </x:c>
      <x:c r="G197" s="82" t="n">
        <x:v>0.08</x:v>
      </x:c>
      <x:c r="H197" s="82" t="n">
        <x:v>2.403333333</x:v>
      </x:c>
      <x:c r="I197" s="92" t="n">
        <x:v>-13322.33323</x:v>
      </x:c>
      <x:c r="J197" s="82" t="n">
        <x:v>6.64429459</x:v>
      </x:c>
      <x:c r="K197" s="82" t="n">
        <x:v>114.989795</x:v>
      </x:c>
      <x:c r="L197" s="82" t="n">
        <x:v>18.50047619</x:v>
      </x:c>
      <x:c r="M197" s="82" t="n">
        <x:v>151.22</x:v>
      </x:c>
      <x:c r="N197" s="93" t="n">
        <x:v>0</x:v>
      </x:c>
      <x:c r="O197" s="91" t="n">
        <x:v>58532.09</x:v>
      </x:c>
      <x:c r="P197" s="82" t="n">
        <x:v>8.5285</x:v>
      </x:c>
      <x:c r="Q197" s="82" t="n">
        <x:v>1.5595</x:v>
      </x:c>
      <x:c r="R197" s="82" t="n">
        <x:v>6.969</x:v>
      </x:c>
      <x:c r="S197" s="92" t="n">
        <x:v>139.73</x:v>
      </x:c>
      <x:c r="T197" s="92" t="n">
        <x:v>-1689.24</x:v>
      </x:c>
      <x:c r="U197" s="82" t="n">
        <x:v>110.6</x:v>
      </x:c>
      <x:c r="V197" s="82" t="n">
        <x:v>277.948</x:v>
      </x:c>
      <x:c r="W197" s="82" t="n">
        <x:v>-1.555862375</x:v>
      </x:c>
      <x:c r="X197" s="94" t="n">
        <x:v>5.55545</x:v>
      </x:c>
      <x:c r="Y197" s="94" t="n">
        <x:v>813.5070773</x:v>
      </x:c>
      <x:c r="Z197" s="94" t="n">
        <x:v>20.79524909</x:v>
      </x:c>
      <x:c r="AA197" s="95" t="n">
        <x:v>0.112040498</x:v>
      </x:c>
      <x:c r="AB197" s="93" t="n">
        <x:v>0</x:v>
      </x:c>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75" t="str">
        <x:v>2021-12</x:v>
      </x:c>
      <x:c r="B198" s="91" t="n">
        <x:v>3963.133548</x:v>
      </x:c>
      <x:c r="C198" s="91" t="n">
        <x:v>74.17047619</x:v>
      </x:c>
      <x:c r="D198" s="91" t="n">
        <x:v>830.81</x:v>
      </x:c>
      <x:c r="E198" s="91" t="n">
        <x:v>8597.24</x:v>
      </x:c>
      <x:c r="F198" s="82" t="n">
        <x:v>2.693548387</x:v>
      </x:c>
      <x:c r="G198" s="82" t="n">
        <x:v>0.08</x:v>
      </x:c>
      <x:c r="H198" s="82" t="n">
        <x:v>2.613548387</x:v>
      </x:c>
      <x:c r="I198" s="92" t="n">
        <x:v>-15758.37634</x:v>
      </x:c>
      <x:c r="J198" s="82" t="n">
        <x:v>6.97187551</x:v>
      </x:c>
      <x:c r="K198" s="82" t="n">
        <x:v>115.8045381</x:v>
      </x:c>
      <x:c r="L198" s="82" t="n">
        <x:v>21.35454545</x:v>
      </x:c>
      <x:c r="M198" s="82" t="n">
        <x:v>150.03</x:v>
      </x:c>
      <x:c r="N198" s="93" t="n">
        <x:v>0</x:v>
      </x:c>
      <x:c r="O198" s="91" t="n">
        <x:v>58579.2</x:v>
      </x:c>
      <x:c r="P198" s="82" t="n">
        <x:v>8.465</x:v>
      </x:c>
      <x:c r="Q198" s="82" t="n">
        <x:v>1.465</x:v>
      </x:c>
      <x:c r="R198" s="82" t="n">
        <x:v>7</x:v>
      </x:c>
      <x:c r="S198" s="92" t="n">
        <x:v>-112.93</x:v>
      </x:c>
      <x:c r="T198" s="92" t="n">
        <x:v>-1059.29</x:v>
      </x:c>
      <x:c r="U198" s="82" t="n">
        <x:v>111.41</x:v>
      </x:c>
      <x:c r="V198" s="82" t="n">
        <x:v>278.802</x:v>
      </x:c>
      <x:c r="W198" s="82" t="n">
        <x:v>-1.414484018</x:v>
      </x:c>
      <x:c r="X198" s="94" t="n">
        <x:v>5.650995652</x:v>
      </x:c>
      <x:c r="Y198" s="94" t="n">
        <x:v>849.818913</x:v>
      </x:c>
      <x:c r="Z198" s="94" t="n">
        <x:v>20.83254478</x:v>
      </x:c>
      <x:c r="AA198" s="95" t="n">
        <x:v>0.6186153737</x:v>
      </x:c>
      <x:c r="AB198" s="93" t="n">
        <x:v>0</x:v>
      </x:c>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75" t="str">
        <x:v>2022-01</x:v>
      </x:c>
      <x:c r="B199" s="91" t="n">
        <x:v>3999.616129</x:v>
      </x:c>
      <x:c r="C199" s="91" t="n">
        <x:v>86.5052381</x:v>
      </x:c>
      <x:c r="D199" s="91" t="n">
        <x:v>664.45</x:v>
      </x:c>
      <x:c r="E199" s="91" t="n">
        <x:v>8714.07</x:v>
      </x:c>
      <x:c r="F199" s="82" t="n">
        <x:v>3.032258065</x:v>
      </x:c>
      <x:c r="G199" s="82" t="n">
        <x:v>0.08</x:v>
      </x:c>
      <x:c r="H199" s="82" t="n">
        <x:v>2.952258065</x:v>
      </x:c>
      <x:c r="I199" s="92" t="n">
        <x:v>2448.449004</x:v>
      </x:c>
      <x:c r="J199" s="82" t="n">
        <x:v>5.215531798</x:v>
      </x:c>
      <x:c r="K199" s="82" t="n">
        <x:v>115.03728</x:v>
      </x:c>
      <x:c r="L199" s="82" t="n">
        <x:v>23.181</x:v>
      </x:c>
      <x:c r="M199" s="82" t="n">
        <x:v>161.25</x:v>
      </x:c>
      <x:c r="N199" s="93" t="n">
        <x:v>0</x:v>
      </x:c>
      <x:c r="O199" s="91" t="n">
        <x:v>58264.14</x:v>
      </x:c>
      <x:c r="P199" s="82" t="n">
        <x:v>9.255</x:v>
      </x:c>
      <x:c r="Q199" s="82" t="n">
        <x:v>1.764</x:v>
      </x:c>
      <x:c r="R199" s="82" t="n">
        <x:v>7.491</x:v>
      </x:c>
      <x:c r="S199" s="92" t="n">
        <x:v>-32.31</x:v>
      </x:c>
      <x:c r="T199" s="92" t="n">
        <x:v>-1107.06</x:v>
      </x:c>
      <x:c r="U199" s="82" t="n">
        <x:v>113.26</x:v>
      </x:c>
      <x:c r="V199" s="82" t="n">
        <x:v>281.148</x:v>
      </x:c>
      <x:c r="W199" s="82" t="n">
        <x:v>-0.5400178748</x:v>
      </x:c>
      <x:c r="X199" s="94" t="n">
        <x:v>5.533804762</x:v>
      </x:c>
      <x:c r="Y199" s="94" t="n">
        <x:v>819.8269238</x:v>
      </x:c>
      <x:c r="Z199" s="94" t="n">
        <x:v>20.45195333</x:v>
      </x:c>
      <x:c r="AA199" s="95" t="n">
        <x:v>-0.9627257422</x:v>
      </x:c>
      <x:c r="AB199" s="93" t="n">
        <x:v>0</x:v>
      </x:c>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75" t="str">
        <x:v>2022-02</x:v>
      </x:c>
      <x:c r="B200" s="91" t="n">
        <x:v>3935.835714</x:v>
      </x:c>
      <x:c r="C200" s="91" t="n">
        <x:v>97.129</x:v>
      </x:c>
      <x:c r="D200" s="91" t="n">
        <x:v>647.26</x:v>
      </x:c>
      <x:c r="E200" s="91" t="n">
        <x:v>8755.31</x:v>
      </x:c>
      <x:c r="F200" s="82" t="n">
        <x:v>4</x:v>
      </x:c>
      <x:c r="G200" s="82" t="n">
        <x:v>0.08</x:v>
      </x:c>
      <x:c r="H200" s="82" t="n">
        <x:v>3.92</x:v>
      </x:c>
      <x:c r="I200" s="92" t="n">
        <x:v>-9751.783475</x:v>
      </x:c>
      <x:c r="J200" s="82" t="n">
        <x:v>5.120245584</x:v>
      </x:c>
      <x:c r="K200" s="82" t="n">
        <x:v>114.9977421</x:v>
      </x:c>
      <x:c r="L200" s="82" t="n">
        <x:v>25.74842105</x:v>
      </x:c>
      <x:c r="M200" s="82" t="n">
        <x:v>159.72</x:v>
      </x:c>
      <x:c r="N200" s="93" t="n">
        <x:v>0</x:v>
      </x:c>
      <x:c r="O200" s="91" t="n">
        <x:v>58284.44</x:v>
      </x:c>
      <x:c r="P200" s="82" t="n">
        <x:v>9.3665</x:v>
      </x:c>
      <x:c r="Q200" s="82" t="n">
        <x:v>1.934210526</x:v>
      </x:c>
      <x:c r="R200" s="82" t="n">
        <x:v>7.432289474</x:v>
      </x:c>
      <x:c r="S200" s="92" t="n">
        <x:v>1.95</x:v>
      </x:c>
      <x:c r="T200" s="92" t="n">
        <x:v>-796.34</x:v>
      </x:c>
      <x:c r="U200" s="82" t="n">
        <x:v>115.11</x:v>
      </x:c>
      <x:c r="V200" s="82" t="n">
        <x:v>283.716</x:v>
      </x:c>
      <x:c r="W200" s="82" t="n">
        <x:v>0.1323138467</x:v>
      </x:c>
      <x:c r="X200" s="94" t="n">
        <x:v>5.19342</x:v>
      </x:c>
      <x:c r="Y200" s="94" t="n">
        <x:v>806.89199</x:v>
      </x:c>
      <x:c r="Z200" s="94" t="n">
        <x:v>20.4117995</x:v>
      </x:c>
      <x:c r="AA200" s="95" t="n">
        <x:v>-0.9022178562</x:v>
      </x:c>
      <x:c r="AB200" s="93" t="n">
        <x:v>0</x:v>
      </x:c>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75" t="str">
        <x:v>2022-03</x:v>
      </x:c>
      <x:c r="B201" s="91" t="n">
        <x:v>3807.170968</x:v>
      </x:c>
      <x:c r="C201" s="91" t="n">
        <x:v>117.2452174</x:v>
      </x:c>
      <x:c r="D201" s="91" t="n">
        <x:v>733.95</x:v>
      </x:c>
      <x:c r="E201" s="91" t="n">
        <x:v>8693.89</x:v>
      </x:c>
      <x:c r="F201" s="82" t="n">
        <x:v>4</x:v>
      </x:c>
      <x:c r="G201" s="82" t="n">
        <x:v>0.2</x:v>
      </x:c>
      <x:c r="H201" s="82" t="n">
        <x:v>3.8</x:v>
      </x:c>
      <x:c r="I201" s="92" t="n">
        <x:v>-9535.658323</x:v>
      </x:c>
      <x:c r="J201" s="82" t="n">
        <x:v>5.78623551</x:v>
      </x:c>
      <x:c r="K201" s="82" t="n">
        <x:v>116.2908391</x:v>
      </x:c>
      <x:c r="L201" s="82" t="n">
        <x:v>26.96869565</x:v>
      </x:c>
      <x:c r="M201" s="82" t="n">
        <x:v>168.92</x:v>
      </x:c>
      <x:c r="N201" s="93" t="n">
        <x:v>0</x:v>
      </x:c>
      <x:c r="O201" s="91" t="n">
        <x:v>58003.92</x:v>
      </x:c>
      <x:c r="P201" s="82" t="n">
        <x:v>9.94</x:v>
      </x:c>
      <x:c r="Q201" s="82" t="n">
        <x:v>2.127826087</x:v>
      </x:c>
      <x:c r="R201" s="82" t="n">
        <x:v>7.812173913</x:v>
      </x:c>
      <x:c r="S201" s="92" t="n">
        <x:v>31.09</x:v>
      </x:c>
      <x:c r="T201" s="92" t="n">
        <x:v>-1198.99</x:v>
      </x:c>
      <x:c r="U201" s="82" t="n">
        <x:v>116.26</x:v>
      </x:c>
      <x:c r="V201" s="82" t="n">
        <x:v>287.504</x:v>
      </x:c>
      <x:c r="W201" s="82" t="n">
        <x:v>-0.009968624297</x:v>
      </x:c>
      <x:c r="X201" s="94" t="n">
        <x:v>4.975517391</x:v>
      </x:c>
      <x:c r="Y201" s="94" t="n">
        <x:v>798.4104435</x:v>
      </x:c>
      <x:c r="Z201" s="94" t="n">
        <x:v>20.49295391</x:v>
      </x:c>
      <x:c r="AA201" s="95" t="n">
        <x:v>-0.5771004569</x:v>
      </x:c>
      <x:c r="AB201" s="93" t="n">
        <x:v>0</x:v>
      </x:c>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75" t="str">
        <x:v>2022-04</x:v>
      </x:c>
      <x:c r="B202" s="91" t="n">
        <x:v>3792.982</x:v>
      </x:c>
      <x:c r="C202" s="91" t="n">
        <x:v>104.5752632</x:v>
      </x:c>
      <x:c r="D202" s="91" t="n">
        <x:v>754.84</x:v>
      </x:c>
      <x:c r="E202" s="91" t="n">
        <x:v>8739.57</x:v>
      </x:c>
      <x:c r="F202" s="82" t="n">
        <x:v>5</x:v>
      </x:c>
      <x:c r="G202" s="82" t="n">
        <x:v>0.33</x:v>
      </x:c>
      <x:c r="H202" s="82" t="n">
        <x:v>4.67</x:v>
      </x:c>
      <x:c r="I202" s="92" t="n">
        <x:v>222.4787016</x:v>
      </x:c>
      <x:c r="J202" s="82" t="n">
        <x:v>5.387696326</x:v>
      </x:c>
      <x:c r="K202" s="82" t="n">
        <x:v>117.1687952</x:v>
      </x:c>
      <x:c r="L202" s="82" t="n">
        <x:v>24.3735</x:v>
      </x:c>
      <x:c r="M202" s="82" t="n">
        <x:v>174.49</x:v>
      </x:c>
      <x:c r="N202" s="93" t="n">
        <x:v>0</x:v>
      </x:c>
      <x:c r="O202" s="91" t="n">
        <x:v>57473.73</x:v>
      </x:c>
      <x:c r="P202" s="82" t="n">
        <x:v>9.98</x:v>
      </x:c>
      <x:c r="Q202" s="82" t="n">
        <x:v>2.7475</x:v>
      </x:c>
      <x:c r="R202" s="82" t="n">
        <x:v>7.2325</x:v>
      </x:c>
      <x:c r="S202" s="92" t="n">
        <x:v>323.79</x:v>
      </x:c>
      <x:c r="T202" s="92" t="n">
        <x:v>-1836.83</x:v>
      </x:c>
      <x:c r="U202" s="82" t="n">
        <x:v>117.71</x:v>
      </x:c>
      <x:c r="V202" s="82" t="n">
        <x:v>289.109</x:v>
      </x:c>
      <x:c r="W202" s="82" t="n">
        <x:v>0.9748524706</x:v>
      </x:c>
      <x:c r="X202" s="94" t="n">
        <x:v>4.750071429</x:v>
      </x:c>
      <x:c r="Y202" s="94" t="n">
        <x:v>818.9242857</x:v>
      </x:c>
      <x:c r="Z202" s="94" t="n">
        <x:v>20.0125719</x:v>
      </x:c>
      <x:c r="AA202" s="95" t="n">
        <x:v>-0.4918526605</x:v>
      </x:c>
      <x:c r="AB202" s="93" t="n">
        <x:v>0</x:v>
      </x:c>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75" t="str">
        <x:v>2022-05</x:v>
      </x:c>
      <x:c r="B203" s="91" t="n">
        <x:v>4019.079355</x:v>
      </x:c>
      <x:c r="C203" s="91" t="n">
        <x:v>113.337619</x:v>
      </x:c>
      <x:c r="D203" s="91" t="n">
        <x:v>841.09</x:v>
      </x:c>
      <x:c r="E203" s="91" t="n">
        <x:v>8821.49</x:v>
      </x:c>
      <x:c r="F203" s="82" t="n">
        <x:v>5.967741935</x:v>
      </x:c>
      <x:c r="G203" s="82" t="n">
        <x:v>0.77</x:v>
      </x:c>
      <x:c r="H203" s="82" t="n">
        <x:v>5.197741935</x:v>
      </x:c>
      <x:c r="I203" s="92" t="n">
        <x:v>-2825.785652</x:v>
      </x:c>
      <x:c r="J203" s="82" t="n">
        <x:v>5.298016658</x:v>
      </x:c>
      <x:c r="K203" s="82" t="n">
        <x:v>119.6961905</x:v>
      </x:c>
      <x:c r="L203" s="82" t="n">
        <x:v>29.31363636</x:v>
      </x:c>
      <x:c r="M203" s="82" t="n">
        <x:v>164.26</x:v>
      </x:c>
      <x:c r="N203" s="93" t="n">
        <x:v>0</x:v>
      </x:c>
      <x:c r="O203" s="91" t="n">
        <x:v>57628.59</x:v>
      </x:c>
      <x:c r="P203" s="82" t="n">
        <x:v>11.33</x:v>
      </x:c>
      <x:c r="Q203" s="82" t="n">
        <x:v>2.898095238</x:v>
      </x:c>
      <x:c r="R203" s="82" t="n">
        <x:v>8.431904762</x:v>
      </x:c>
      <x:c r="S203" s="92" t="n">
        <x:v>80.43</x:v>
      </x:c>
      <x:c r="T203" s="92" t="n">
        <x:v>-1121.92</x:v>
      </x:c>
      <x:c r="U203" s="82" t="n">
        <x:v>118.7</x:v>
      </x:c>
      <x:c r="V203" s="82" t="n">
        <x:v>292.296</x:v>
      </x:c>
      <x:c r="W203" s="82" t="n">
        <x:v>0.4776578793</x:v>
      </x:c>
      <x:c r="X203" s="94" t="n">
        <x:v>4.95475</x:v>
      </x:c>
      <x:c r="Y203" s="94" t="n">
        <x:v>848.2588545</x:v>
      </x:c>
      <x:c r="Z203" s="94" t="n">
        <x:v>19.97522409</x:v>
      </x:c>
      <x:c r="AA203" s="95" t="n">
        <x:v>0.6975517018</x:v>
      </x:c>
      <x:c r="AB203" s="93" t="n">
        <x:v>0</x:v>
      </x:c>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75" t="str">
        <x:v>2022-06</x:v>
      </x:c>
      <x:c r="B204" s="91" t="n">
        <x:v>3930.766667</x:v>
      </x:c>
      <x:c r="C204" s="91" t="n">
        <x:v>122.7109524</x:v>
      </x:c>
      <x:c r="D204" s="91" t="n">
        <x:v>821.59</x:v>
      </x:c>
      <x:c r="E204" s="91" t="n">
        <x:v>8944.07</x:v>
      </x:c>
      <x:c r="F204" s="82" t="n">
        <x:v>6</x:v>
      </x:c>
      <x:c r="G204" s="82" t="n">
        <x:v>1.21</x:v>
      </x:c>
      <x:c r="H204" s="82" t="n">
        <x:v>4.79</x:v>
      </x:c>
      <x:c r="I204" s="92" t="n">
        <x:v>-13728.02858</x:v>
      </x:c>
      <x:c r="J204" s="82" t="n">
        <x:v>5.517064225</x:v>
      </x:c>
      <x:c r="K204" s="82" t="n">
        <x:v>120.0257095</x:v>
      </x:c>
      <x:c r="L204" s="82" t="n">
        <x:v>28.23318182</x:v>
      </x:c>
      <x:c r="M204" s="82" t="n">
        <x:v>194.14</x:v>
      </x:c>
      <x:c r="N204" s="93" t="n">
        <x:v>0</x:v>
      </x:c>
      <x:c r="O204" s="91" t="n">
        <x:v>57164.46</x:v>
      </x:c>
      <x:c r="P204" s="82" t="n">
        <x:v>11.569</x:v>
      </x:c>
      <x:c r="Q204" s="82" t="n">
        <x:v>3.143333333</x:v>
      </x:c>
      <x:c r="R204" s="82" t="n">
        <x:v>8.425666667</x:v>
      </x:c>
      <x:c r="S204" s="92" t="n">
        <x:v>140.01</x:v>
      </x:c>
      <x:c r="T204" s="92" t="n">
        <x:v>-1425.48</x:v>
      </x:c>
      <x:c r="U204" s="82" t="n">
        <x:v>119.31</x:v>
      </x:c>
      <x:c r="V204" s="82" t="n">
        <x:v>296.311</x:v>
      </x:c>
      <x:c r="W204" s="82" t="n">
        <x:v>0.6203302867</x:v>
      </x:c>
      <x:c r="X204" s="94" t="n">
        <x:v>5.051759091</x:v>
      </x:c>
      <x:c r="Y204" s="94" t="n">
        <x:v>867.3395318</x:v>
      </x:c>
      <x:c r="Z204" s="94" t="n">
        <x:v>19.95293318</x:v>
      </x:c>
      <x:c r="AA204" s="95" t="n">
        <x:v>0.3376256081</x:v>
      </x:c>
      <x:c r="AB204" s="93" t="n">
        <x:v>0</x:v>
      </x:c>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75" t="str">
        <x:v>2022-07</x:v>
      </x:c>
      <x:c r="B205" s="91" t="n">
        <x:v>4367.805806</x:v>
      </x:c>
      <x:c r="C205" s="91" t="n">
        <x:v>111.9257143</x:v>
      </x:c>
      <x:c r="D205" s="91" t="n">
        <x:v>889.45</x:v>
      </x:c>
      <x:c r="E205" s="91" t="n">
        <x:v>9091.92</x:v>
      </x:c>
      <x:c r="F205" s="82" t="n">
        <x:v>7.5</x:v>
      </x:c>
      <x:c r="G205" s="82" t="n">
        <x:v>1.68</x:v>
      </x:c>
      <x:c r="H205" s="82" t="n">
        <x:v>5.82</x:v>
      </x:c>
      <x:c r="I205" s="92" t="n">
        <x:v>-6723.770522</x:v>
      </x:c>
      <x:c r="J205" s="82" t="n">
        <x:v>5.416419004</x:v>
      </x:c>
      <x:c r="K205" s="82" t="n">
        <x:v>122.7512</x:v>
      </x:c>
      <x:c r="L205" s="82" t="n">
        <x:v>24.9952381</x:v>
      </x:c>
      <x:c r="M205" s="82" t="n">
        <x:v>189.5</x:v>
      </x:c>
      <x:c r="N205" s="93" t="n">
        <x:v>0</x:v>
      </x:c>
      <x:c r="O205" s="91" t="n">
        <x:v>57349.41</x:v>
      </x:c>
      <x:c r="P205" s="82" t="n">
        <x:v>12.63368421</x:v>
      </x:c>
      <x:c r="Q205" s="82" t="n">
        <x:v>2.896</x:v>
      </x:c>
      <x:c r="R205" s="82" t="n">
        <x:v>9.737684211</x:v>
      </x:c>
      <x:c r="S205" s="92" t="n">
        <x:v>141.22</x:v>
      </x:c>
      <x:c r="T205" s="92" t="n">
        <x:v>-1271.19</x:v>
      </x:c>
      <x:c r="U205" s="82" t="n">
        <x:v>120.27</x:v>
      </x:c>
      <x:c r="V205" s="82" t="n">
        <x:v>296.276</x:v>
      </x:c>
      <x:c r="W205" s="82" t="n">
        <x:v>1.673096194</x:v>
      </x:c>
      <x:c r="X205" s="94" t="n">
        <x:v>5.367771429</x:v>
      </x:c>
      <x:c r="Y205" s="94" t="n">
        <x:v>951.3871381</x:v>
      </x:c>
      <x:c r="Z205" s="94" t="n">
        <x:v>20.47002476</x:v>
      </x:c>
      <x:c r="AA205" s="95" t="n">
        <x:v>1.909497503</x:v>
      </x:c>
      <x:c r="AB205" s="93" t="n">
        <x:v>0</x:v>
      </x:c>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75" t="str">
        <x:v>2022-08</x:v>
      </x:c>
      <x:c r="B206" s="91" t="n">
        <x:v>4322.469355</x:v>
      </x:c>
      <x:c r="C206" s="91" t="n">
        <x:v>100.4463636</x:v>
      </x:c>
      <x:c r="D206" s="91" t="n">
        <x:v>769.44</x:v>
      </x:c>
      <x:c r="E206" s="91" t="n">
        <x:v>9116.93</x:v>
      </x:c>
      <x:c r="F206" s="82" t="n">
        <x:v>9</x:v>
      </x:c>
      <x:c r="G206" s="82" t="n">
        <x:v>2.33</x:v>
      </x:c>
      <x:c r="H206" s="82" t="n">
        <x:v>6.67</x:v>
      </x:c>
      <x:c r="I206" s="92" t="n">
        <x:v>-9665.237656</x:v>
      </x:c>
      <x:c r="J206" s="82" t="n">
        <x:v>6.403271638</x:v>
      </x:c>
      <x:c r="K206" s="82" t="n">
        <x:v>122.3177522</x:v>
      </x:c>
      <x:c r="L206" s="82" t="n">
        <x:v>22.16956522</x:v>
      </x:c>
      <x:c r="M206" s="82" t="n">
        <x:v>161.64</x:v>
      </x:c>
      <x:c r="N206" s="93" t="n">
        <x:v>0</x:v>
      </x:c>
      <x:c r="O206" s="91" t="n">
        <x:v>56982.62</x:v>
      </x:c>
      <x:c r="P206" s="82" t="n">
        <x:v>12.09318182</x:v>
      </x:c>
      <x:c r="Q206" s="82" t="n">
        <x:v>2.897826087</x:v>
      </x:c>
      <x:c r="R206" s="82" t="n">
        <x:v>9.195355731</x:v>
      </x:c>
      <x:c r="S206" s="92" t="n">
        <x:v>69.19</x:v>
      </x:c>
      <x:c r="T206" s="92" t="n">
        <x:v>-1667.9</x:v>
      </x:c>
      <x:c r="U206" s="82" t="n">
        <x:v>121.5</x:v>
      </x:c>
      <x:c r="V206" s="82" t="n">
        <x:v>296.171</x:v>
      </x:c>
      <x:c r="W206" s="82" t="n">
        <x:v>2.574745921</x:v>
      </x:c>
      <x:c r="X206" s="94" t="n">
        <x:v>5.142995652</x:v>
      </x:c>
      <x:c r="Y206" s="94" t="n">
        <x:v>902.2732696</x:v>
      </x:c>
      <x:c r="Z206" s="94" t="n">
        <x:v>20.07445652</x:v>
      </x:c>
      <x:c r="AA206" s="95" t="n">
        <x:v>-1.387121965</x:v>
      </x:c>
      <x:c r="AB206" s="93" t="n">
        <x:v>0</x:v>
      </x:c>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75" t="str">
        <x:v>2022-09</x:v>
      </x:c>
      <x:c r="B207" s="91" t="n">
        <x:v>4433.651</x:v>
      </x:c>
      <x:c r="C207" s="91" t="n">
        <x:v>89.7647619</x:v>
      </x:c>
      <x:c r="D207" s="91" t="n">
        <x:v>750.95</x:v>
      </x:c>
      <x:c r="E207" s="91" t="n">
        <x:v>9185.04</x:v>
      </x:c>
      <x:c r="F207" s="82" t="n">
        <x:v>9.033333333</x:v>
      </x:c>
      <x:c r="G207" s="82" t="n">
        <x:v>2.56</x:v>
      </x:c>
      <x:c r="H207" s="82" t="n">
        <x:v>6.473333333</x:v>
      </x:c>
      <x:c r="I207" s="92" t="n">
        <x:v>775.7208097</x:v>
      </x:c>
      <x:c r="J207" s="82" t="n">
        <x:v>6.268715719</x:v>
      </x:c>
      <x:c r="K207" s="82" t="n">
        <x:v>125.5946</x:v>
      </x:c>
      <x:c r="L207" s="82" t="n">
        <x:v>27.34181818</x:v>
      </x:c>
      <x:c r="M207" s="82" t="n">
        <x:v>171.86</x:v>
      </x:c>
      <x:c r="N207" s="93" t="n">
        <x:v>0</x:v>
      </x:c>
      <x:c r="O207" s="91" t="n">
        <x:v>56326.34</x:v>
      </x:c>
      <x:c r="P207" s="82" t="n">
        <x:v>12.60772727</x:v>
      </x:c>
      <x:c r="Q207" s="82" t="n">
        <x:v>3.519047619</x:v>
      </x:c>
      <x:c r="R207" s="82" t="n">
        <x:v>9.088679654</x:v>
      </x:c>
      <x:c r="S207" s="92" t="n">
        <x:v>33.19</x:v>
      </x:c>
      <x:c r="T207" s="92" t="n">
        <x:v>-1808.56</x:v>
      </x:c>
      <x:c r="U207" s="82" t="n">
        <x:v>122.63</x:v>
      </x:c>
      <x:c r="V207" s="82" t="n">
        <x:v>296.808</x:v>
      </x:c>
      <x:c r="W207" s="82" t="n">
        <x:v>3.239624431</x:v>
      </x:c>
      <x:c r="X207" s="94" t="n">
        <x:v>5.236013636</x:v>
      </x:c>
      <x:c r="Y207" s="94" t="n">
        <x:v>924.6438682</x:v>
      </x:c>
      <x:c r="Z207" s="94" t="n">
        <x:v>20.01561273</x:v>
      </x:c>
      <x:c r="AA207" s="95" t="n">
        <x:v>0.3305730855</x:v>
      </x:c>
      <x:c r="AB207" s="93" t="n">
        <x:v>0</x:v>
      </x:c>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75" t="str">
        <x:v>2022-10</x:v>
      </x:c>
      <x:c r="B208" s="91" t="n">
        <x:v>4711.830323</x:v>
      </x:c>
      <x:c r="C208" s="91" t="n">
        <x:v>93.33190476</x:v>
      </x:c>
      <x:c r="D208" s="91" t="n">
        <x:v>894.34</x:v>
      </x:c>
      <x:c r="E208" s="91" t="n">
        <x:v>9415.36</x:v>
      </x:c>
      <x:c r="F208" s="82" t="n">
        <x:v>10.03225806</x:v>
      </x:c>
      <x:c r="G208" s="82" t="n">
        <x:v>3.08</x:v>
      </x:c>
      <x:c r="H208" s="82" t="n">
        <x:v>6.952258065</x:v>
      </x:c>
      <x:c r="I208" s="92" t="n">
        <x:v>-7519.731175</x:v>
      </x:c>
      <x:c r="J208" s="82" t="n">
        <x:v>5.804178868</x:v>
      </x:c>
      <x:c r="K208" s="82" t="n">
        <x:v>127.480605</x:v>
      </x:c>
      <x:c r="L208" s="82" t="n">
        <x:v>30.00571429</x:v>
      </x:c>
      <x:c r="M208" s="82" t="n">
        <x:v>169.15</x:v>
      </x:c>
      <x:c r="N208" s="93" t="n">
        <x:v>0</x:v>
      </x:c>
      <x:c r="O208" s="91" t="n">
        <x:v>56380.08</x:v>
      </x:c>
      <x:c r="P208" s="82" t="n">
        <x:v>13.9295</x:v>
      </x:c>
      <x:c r="Q208" s="82" t="n">
        <x:v>3.9835</x:v>
      </x:c>
      <x:c r="R208" s="82" t="n">
        <x:v>9.946</x:v>
      </x:c>
      <x:c r="S208" s="92" t="n">
        <x:v>169.15</x:v>
      </x:c>
      <x:c r="T208" s="92" t="n">
        <x:v>-1293</x:v>
      </x:c>
      <x:c r="U208" s="82" t="n">
        <x:v>123.51</x:v>
      </x:c>
      <x:c r="V208" s="82" t="n">
        <x:v>298.012</x:v>
      </x:c>
      <x:c r="W208" s="82" t="n">
        <x:v>4.475179611</x:v>
      </x:c>
      <x:c r="X208" s="94" t="n">
        <x:v>5.247928571</x:v>
      </x:c>
      <x:c r="Y208" s="94" t="n">
        <x:v>953.295719</x:v>
      </x:c>
      <x:c r="Z208" s="94" t="n">
        <x:v>19.95526238</x:v>
      </x:c>
      <x:c r="AA208" s="95" t="n">
        <x:v>0.2624688373</x:v>
      </x:c>
      <x:c r="AB208" s="93" t="n">
        <x:v>0</x:v>
      </x:c>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75" t="str">
        <x:v>2022-11</x:v>
      </x:c>
      <x:c r="B209" s="91" t="n">
        <x:v>4926.660667</x:v>
      </x:c>
      <x:c r="C209" s="91" t="n">
        <x:v>91.41545455</x:v>
      </x:c>
      <x:c r="D209" s="91" t="n">
        <x:v>812.59</x:v>
      </x:c>
      <x:c r="E209" s="91" t="n">
        <x:v>9410.76</x:v>
      </x:c>
      <x:c r="F209" s="82" t="n">
        <x:v>11</x:v>
      </x:c>
      <x:c r="G209" s="82" t="n">
        <x:v>3.78</x:v>
      </x:c>
      <x:c r="H209" s="82" t="n">
        <x:v>7.22</x:v>
      </x:c>
      <x:c r="I209" s="92" t="n">
        <x:v>-5467.725894</x:v>
      </x:c>
      <x:c r="J209" s="82" t="n">
        <x:v>5.270243754</x:v>
      </x:c>
      <x:c r="K209" s="82" t="n">
        <x:v>124.85272</x:v>
      </x:c>
      <x:c r="L209" s="82" t="n">
        <x:v>23.29909091</x:v>
      </x:c>
      <x:c r="M209" s="82" t="n">
        <x:v>168.11</x:v>
      </x:c>
      <x:c r="N209" s="93" t="n">
        <x:v>0</x:v>
      </x:c>
      <x:c r="O209" s="91" t="n">
        <x:v>56981.59</x:v>
      </x:c>
      <x:c r="P209" s="82" t="n">
        <x:v>13.6955</x:v>
      </x:c>
      <x:c r="Q209" s="82" t="n">
        <x:v>3.891</x:v>
      </x:c>
      <x:c r="R209" s="82" t="n">
        <x:v>9.8045</x:v>
      </x:c>
      <x:c r="S209" s="92" t="n">
        <x:v>65.38</x:v>
      </x:c>
      <x:c r="T209" s="92" t="n">
        <x:v>-775.86</x:v>
      </x:c>
      <x:c r="U209" s="82" t="n">
        <x:v>124.46</x:v>
      </x:c>
      <x:c r="V209" s="82" t="n">
        <x:v>297.711</x:v>
      </x:c>
      <x:c r="W209" s="82" t="n">
        <x:v>5.421322775</x:v>
      </x:c>
      <x:c r="X209" s="94" t="n">
        <x:v>5.269895455</x:v>
      </x:c>
      <x:c r="Y209" s="94" t="n">
        <x:v>915.3527227</x:v>
      </x:c>
      <x:c r="Z209" s="94" t="n">
        <x:v>19.42906727</x:v>
      </x:c>
      <x:c r="AA209" s="95" t="n">
        <x:v>-0.8918695705</x:v>
      </x:c>
      <x:c r="AB209" s="93" t="n">
        <x:v>0</x:v>
      </x:c>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75" t="str">
        <x:v>2022-12</x:v>
      </x:c>
      <x:c r="B210" s="91" t="n">
        <x:v>4788.490645</x:v>
      </x:c>
      <x:c r="C210" s="91" t="n">
        <x:v>80.924</x:v>
      </x:c>
      <x:c r="D210" s="91" t="n">
        <x:v>848.88</x:v>
      </x:c>
      <x:c r="E210" s="91" t="n">
        <x:v>9428.83</x:v>
      </x:c>
      <x:c r="F210" s="82" t="n">
        <x:v>11.41935484</x:v>
      </x:c>
      <x:c r="G210" s="82" t="n">
        <x:v>4.1</x:v>
      </x:c>
      <x:c r="H210" s="82" t="n">
        <x:v>7.319354839</x:v>
      </x:c>
      <x:c r="I210" s="92" t="n">
        <x:v>-15808.39626</x:v>
      </x:c>
      <x:c r="J210" s="82" t="n">
        <x:v>5.273643973</x:v>
      </x:c>
      <x:c r="K210" s="82" t="n">
        <x:v>122.2343286</x:v>
      </x:c>
      <x:c r="L210" s="82" t="n">
        <x:v>21.78428571</x:v>
      </x:c>
      <x:c r="M210" s="82" t="n">
        <x:v>161.8</x:v>
      </x:c>
      <x:c r="N210" s="93" t="n">
        <x:v>0</x:v>
      </x:c>
      <x:c r="O210" s="91" t="n">
        <x:v>57269.16</x:v>
      </x:c>
      <x:c r="P210" s="82" t="n">
        <x:v>12.9685</x:v>
      </x:c>
      <x:c r="Q210" s="82" t="n">
        <x:v>3.616190476</x:v>
      </x:c>
      <x:c r="R210" s="82" t="n">
        <x:v>9.352309524</x:v>
      </x:c>
      <x:c r="S210" s="92" t="n">
        <x:v>-64.24</x:v>
      </x:c>
      <x:c r="T210" s="92" t="n">
        <x:v>-750.34</x:v>
      </x:c>
      <x:c r="U210" s="82" t="n">
        <x:v>126.03</x:v>
      </x:c>
      <x:c r="V210" s="82" t="n">
        <x:v>296.797</x:v>
      </x:c>
      <x:c r="W210" s="82" t="n">
        <x:v>6.668298606</x:v>
      </x:c>
      <x:c r="X210" s="94" t="n">
        <x:v>5.242127273</x:v>
      </x:c>
      <x:c r="Y210" s="94" t="n">
        <x:v>872.4404636</x:v>
      </x:c>
      <x:c r="Z210" s="94" t="n">
        <x:v>19.54254636</x:v>
      </x:c>
      <x:c r="AA210" s="95" t="n">
        <x:v>-0.6806531827</x:v>
      </x:c>
      <x:c r="AB210" s="93" t="n">
        <x:v>0</x:v>
      </x:c>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75" t="str">
        <x:v>2023-01</x:v>
      </x:c>
      <x:c r="B211" s="91" t="n">
        <x:v>4715.203871</x:v>
      </x:c>
      <x:c r="C211" s="91" t="n">
        <x:v>82.50142857</x:v>
      </x:c>
      <x:c r="D211" s="91" t="n">
        <x:v>785.02</x:v>
      </x:c>
      <x:c r="E211" s="91" t="n">
        <x:v>9549.4</x:v>
      </x:c>
      <x:c r="F211" s="82" t="n">
        <x:v>12.0483871</x:v>
      </x:c>
      <x:c r="G211" s="82" t="n">
        <x:v>4.33</x:v>
      </x:c>
      <x:c r="H211" s="82" t="n">
        <x:v>7.718387097</x:v>
      </x:c>
      <x:c r="I211" s="92" t="n">
        <x:v>3235.982625</x:v>
      </x:c>
      <x:c r="J211" s="82" t="n">
        <x:v>4.838201575</x:v>
      </x:c>
      <x:c r="K211" s="82" t="n">
        <x:v>119.810065</x:v>
      </x:c>
      <x:c r="L211" s="82" t="n">
        <x:v>20.16904762</x:v>
      </x:c>
      <x:c r="M211" s="82" t="n">
        <x:v>160.16</x:v>
      </x:c>
      <x:c r="N211" s="93" t="n">
        <x:v>0</x:v>
      </x:c>
      <x:c r="O211" s="91" t="n">
        <x:v>57772.25</x:v>
      </x:c>
      <x:c r="P211" s="82" t="n">
        <x:v>12.65714286</x:v>
      </x:c>
      <x:c r="Q211" s="82" t="n">
        <x:v>3.5315</x:v>
      </x:c>
      <x:c r="R211" s="82" t="n">
        <x:v>9.125642857</x:v>
      </x:c>
      <x:c r="S211" s="92" t="n">
        <x:v>24.05</x:v>
      </x:c>
      <x:c r="T211" s="92" t="n">
        <x:v>-863.3</x:v>
      </x:c>
      <x:c r="U211" s="82" t="n">
        <x:v>128.27</x:v>
      </x:c>
      <x:c r="V211" s="82" t="n">
        <x:v>299.17</x:v>
      </x:c>
      <x:c r="W211" s="82" t="n">
        <x:v>6.84254595</x:v>
      </x:c>
      <x:c r="X211" s="94" t="n">
        <x:v>5.200381818</x:v>
      </x:c>
      <x:c r="Y211" s="94" t="n">
        <x:v>825.0718136</x:v>
      </x:c>
      <x:c r="Z211" s="94" t="n">
        <x:v>18.94156545</x:v>
      </x:c>
      <x:c r="AA211" s="95" t="n">
        <x:v>-1.246400617</x:v>
      </x:c>
      <x:c r="AB211" s="93" t="n">
        <x:v>0</x:v>
      </x:c>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75" t="str">
        <x:v>2023-02</x:v>
      </x:c>
      <x:c r="B212" s="91" t="n">
        <x:v>4803.1125</x:v>
      </x:c>
      <x:c r="C212" s="91" t="n">
        <x:v>82.585</x:v>
      </x:c>
      <x:c r="D212" s="91" t="n">
        <x:v>832.7</x:v>
      </x:c>
      <x:c r="E212" s="91" t="n">
        <x:v>9734.84</x:v>
      </x:c>
      <x:c r="F212" s="82" t="n">
        <x:v>12.75</x:v>
      </x:c>
      <x:c r="G212" s="82" t="n">
        <x:v>4.57</x:v>
      </x:c>
      <x:c r="H212" s="82" t="n">
        <x:v>8.18</x:v>
      </x:c>
      <x:c r="I212" s="92" t="n">
        <x:v>-10208.45713</x:v>
      </x:c>
      <x:c r="J212" s="82" t="n">
        <x:v>4.866973857</x:v>
      </x:c>
      <x:c r="K212" s="82" t="n">
        <x:v>120.3083737</x:v>
      </x:c>
      <x:c r="L212" s="82" t="n">
        <x:v>20.1205</x:v>
      </x:c>
      <x:c r="M212" s="82" t="n">
        <x:v>162.34</x:v>
      </x:c>
      <x:c r="N212" s="93" t="n">
        <x:v>0</x:v>
      </x:c>
      <x:c r="O212" s="91" t="n">
        <x:v>57374.45</x:v>
      </x:c>
      <x:c r="P212" s="82" t="n">
        <x:v>12.58</x:v>
      </x:c>
      <x:c r="Q212" s="82" t="n">
        <x:v>3.746842105</x:v>
      </x:c>
      <x:c r="R212" s="82" t="n">
        <x:v>8.833157895</x:v>
      </x:c>
      <x:c r="S212" s="92" t="n">
        <x:v>233.94</x:v>
      </x:c>
      <x:c r="T212" s="92" t="n">
        <x:v>-2243.14</x:v>
      </x:c>
      <x:c r="U212" s="82" t="n">
        <x:v>130.4</x:v>
      </x:c>
      <x:c r="V212" s="82" t="n">
        <x:v>300.84</x:v>
      </x:c>
      <x:c r="W212" s="82" t="n">
        <x:v>7.247333669</x:v>
      </x:c>
      <x:c r="X212" s="94" t="n">
        <x:v>5.17434</x:v>
      </x:c>
      <x:c r="Y212" s="94" t="n">
        <x:v>801.34175</x:v>
      </x:c>
      <x:c r="Z212" s="94" t="n">
        <x:v>18.553871</x:v>
      </x:c>
      <x:c r="AA212" s="95" t="n">
        <x:v>-0.7604530505</x:v>
      </x:c>
      <x:c r="AB212" s="93" t="n">
        <x:v>0</x:v>
      </x:c>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75" t="str">
        <x:v>2023-03</x:v>
      </x:c>
      <x:c r="B213" s="91" t="n">
        <x:v>4766.305806</x:v>
      </x:c>
      <x:c r="C213" s="91" t="n">
        <x:v>78.43434783</x:v>
      </x:c>
      <x:c r="D213" s="91" t="n">
        <x:v>858.26</x:v>
      </x:c>
      <x:c r="E213" s="91" t="n">
        <x:v>9859.15</x:v>
      </x:c>
      <x:c r="F213" s="82" t="n">
        <x:v>12.75806452</x:v>
      </x:c>
      <x:c r="G213" s="82" t="n">
        <x:v>4.65</x:v>
      </x:c>
      <x:c r="H213" s="82" t="n">
        <x:v>8.108064516</x:v>
      </x:c>
      <x:c r="I213" s="92" t="n">
        <x:v>-6830.854038</x:v>
      </x:c>
      <x:c r="J213" s="82" t="n">
        <x:v>4.69656028</x:v>
      </x:c>
      <x:c r="K213" s="82" t="n">
        <x:v>120.745013</x:v>
      </x:c>
      <x:c r="L213" s="82" t="n">
        <x:v>21.64434783</x:v>
      </x:c>
      <x:c r="M213" s="82" t="n">
        <x:v>153.95</x:v>
      </x:c>
      <x:c r="N213" s="93" t="n">
        <x:v>0</x:v>
      </x:c>
      <x:c r="O213" s="91" t="n">
        <x:v>57965.68</x:v>
      </x:c>
      <x:c r="P213" s="82" t="n">
        <x:v>12.52545455</x:v>
      </x:c>
      <x:c r="Q213" s="82" t="n">
        <x:v>3.663043478</x:v>
      </x:c>
      <x:c r="R213" s="82" t="n">
        <x:v>8.862411067</x:v>
      </x:c>
      <x:c r="S213" s="92" t="n">
        <x:v>190.55</x:v>
      </x:c>
      <x:c r="T213" s="92" t="n">
        <x:v>-1189.17</x:v>
      </x:c>
      <x:c r="U213" s="82" t="n">
        <x:v>131.77</x:v>
      </x:c>
      <x:c r="V213" s="82" t="n">
        <x:v>301.836</x:v>
      </x:c>
      <x:c r="W213" s="82" t="n">
        <x:v>8.355813767</x:v>
      </x:c>
      <x:c r="X213" s="94" t="n">
        <x:v>5.21116087</x:v>
      </x:c>
      <x:c r="Y213" s="94" t="n">
        <x:v>807.3986696</x:v>
      </x:c>
      <x:c r="Z213" s="94" t="n">
        <x:v>18.32991217</x:v>
      </x:c>
      <x:c r="AA213" s="95" t="n">
        <x:v>-0.08988140565</x:v>
      </x:c>
      <x:c r="AB213" s="93" t="n">
        <x:v>0</x:v>
      </x:c>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75" t="str">
        <x:v>2023-04</x:v>
      </x:c>
      <x:c r="B214" s="91" t="n">
        <x:v>4542.674333</x:v>
      </x:c>
      <x:c r="C214" s="91" t="n">
        <x:v>84.63833333</x:v>
      </x:c>
      <x:c r="D214" s="91" t="n">
        <x:v>736.74</x:v>
      </x:c>
      <x:c r="E214" s="91" t="n">
        <x:v>9841.05</x:v>
      </x:c>
      <x:c r="F214" s="82" t="n">
        <x:v>13</x:v>
      </x:c>
      <x:c r="G214" s="82" t="n">
        <x:v>4.83</x:v>
      </x:c>
      <x:c r="H214" s="82" t="n">
        <x:v>8.17</x:v>
      </x:c>
      <x:c r="I214" s="92" t="n">
        <x:v>6253.650288</x:v>
      </x:c>
      <x:c r="J214" s="82" t="n">
        <x:v>4.316572151</x:v>
      </x:c>
      <x:c r="K214" s="82" t="n">
        <x:v>119.245145</x:v>
      </x:c>
      <x:c r="L214" s="82" t="n">
        <x:v>17.81789474</x:v>
      </x:c>
      <x:c r="M214" s="82" t="n">
        <x:v>155.74</x:v>
      </x:c>
      <x:c r="N214" s="93" t="n">
        <x:v>0</x:v>
      </x:c>
      <x:c r="O214" s="91" t="n">
        <x:v>58022.63</x:v>
      </x:c>
      <x:c r="P214" s="82" t="n">
        <x:v>11.62166667</x:v>
      </x:c>
      <x:c r="Q214" s="82" t="n">
        <x:v>3.46</x:v>
      </x:c>
      <x:c r="R214" s="82" t="n">
        <x:v>8.161666667</x:v>
      </x:c>
      <x:c r="S214" s="92" t="n">
        <x:v>178.75</x:v>
      </x:c>
      <x:c r="T214" s="92" t="n">
        <x:v>-1248.04</x:v>
      </x:c>
      <x:c r="U214" s="82" t="n">
        <x:v>132.8</x:v>
      </x:c>
      <x:c r="V214" s="82" t="n">
        <x:v>303.363</x:v>
      </x:c>
      <x:c r="W214" s="82" t="n">
        <x:v>7.889321094</x:v>
      </x:c>
      <x:c r="X214" s="94" t="n">
        <x:v>5.02336</x:v>
      </x:c>
      <x:c r="Y214" s="94" t="n">
        <x:v>804.97701</x:v>
      </x:c>
      <x:c r="Z214" s="94" t="n">
        <x:v>18.057974</x:v>
      </x:c>
      <x:c r="AA214" s="95" t="n">
        <x:v>-0.6531090346</x:v>
      </x:c>
      <x:c r="AB214" s="93" t="n">
        <x:v>0</x:v>
      </x:c>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75" t="str">
        <x:v>2023-05</x:v>
      </x:c>
      <x:c r="B215" s="91" t="n">
        <x:v>4540.089032</x:v>
      </x:c>
      <x:c r="C215" s="91" t="n">
        <x:v>75.466</x:v>
      </x:c>
      <x:c r="D215" s="91" t="n">
        <x:v>877.18</x:v>
      </x:c>
      <x:c r="E215" s="91" t="n">
        <x:v>9877.14</x:v>
      </x:c>
      <x:c r="F215" s="82" t="n">
        <x:v>13.24193548</x:v>
      </x:c>
      <x:c r="G215" s="82" t="n">
        <x:v>5.06</x:v>
      </x:c>
      <x:c r="H215" s="82" t="n">
        <x:v>8.181935484</x:v>
      </x:c>
      <x:c r="I215" s="92" t="n">
        <x:v>358.2410622</x:v>
      </x:c>
      <x:c r="J215" s="82" t="n">
        <x:v>4.115965629</x:v>
      </x:c>
      <x:c r="K215" s="82" t="n">
        <x:v>119.6292545</x:v>
      </x:c>
      <x:c r="L215" s="82" t="n">
        <x:v>17.63608696</x:v>
      </x:c>
      <x:c r="M215" s="82" t="n">
        <x:v>152.75</x:v>
      </x:c>
      <x:c r="N215" s="93" t="n">
        <x:v>0</x:v>
      </x:c>
      <x:c r="O215" s="91" t="n">
        <x:v>57705.75</x:v>
      </x:c>
      <x:c r="P215" s="82" t="n">
        <x:v>11.37047619</x:v>
      </x:c>
      <x:c r="Q215" s="82" t="n">
        <x:v>3.573636364</x:v>
      </x:c>
      <x:c r="R215" s="82" t="n">
        <x:v>7.796839827</x:v>
      </x:c>
      <x:c r="S215" s="92" t="n">
        <x:v>158.92</x:v>
      </x:c>
      <x:c r="T215" s="92" t="n">
        <x:v>-1985.55</x:v>
      </x:c>
      <x:c r="U215" s="82" t="n">
        <x:v>133.38</x:v>
      </x:c>
      <x:c r="V215" s="82" t="n">
        <x:v>304.127</x:v>
      </x:c>
      <x:c r="W215" s="82" t="n">
        <x:v>8.31970328</x:v>
      </x:c>
      <x:c r="X215" s="94" t="n">
        <x:v>4.983313043</x:v>
      </x:c>
      <x:c r="Y215" s="94" t="n">
        <x:v>799.3510783</x:v>
      </x:c>
      <x:c r="Z215" s="94" t="n">
        <x:v>17.70276217</x:v>
      </x:c>
      <x:c r="AA215" s="95" t="n">
        <x:v>-0.5011104434</x:v>
      </x:c>
      <x:c r="AB215" s="93" t="n">
        <x:v>0</x:v>
      </x:c>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75" t="str">
        <x:v>2023-06</x:v>
      </x:c>
      <x:c r="B216" s="91" t="n">
        <x:v>4209.268</x:v>
      </x:c>
      <x:c r="C216" s="91" t="n">
        <x:v>74.83909091</x:v>
      </x:c>
      <x:c r="D216" s="91" t="n">
        <x:v>783.48</x:v>
      </x:c>
      <x:c r="E216" s="91" t="n">
        <x:v>9839.03</x:v>
      </x:c>
      <x:c r="F216" s="82" t="n">
        <x:v>13.25</x:v>
      </x:c>
      <x:c r="G216" s="82" t="n">
        <x:v>5.08</x:v>
      </x:c>
      <x:c r="H216" s="82" t="n">
        <x:v>8.17</x:v>
      </x:c>
      <x:c r="I216" s="92" t="n">
        <x:v>-6250.657965</x:v>
      </x:c>
      <x:c r="J216" s="82" t="n">
        <x:v>3.64486113</x:v>
      </x:c>
      <x:c r="K216" s="82" t="n">
        <x:v>119.2969524</x:v>
      </x:c>
      <x:c r="L216" s="82" t="n">
        <x:v>14.00318182</x:v>
      </x:c>
      <x:c r="M216" s="82" t="n">
        <x:v>149</x:v>
      </x:c>
      <x:c r="N216" s="93" t="n">
        <x:v>0</x:v>
      </x:c>
      <x:c r="O216" s="91" t="n">
        <x:v>57838.77</x:v>
      </x:c>
      <x:c r="P216" s="82" t="n">
        <x:v>10.6025</x:v>
      </x:c>
      <x:c r="Q216" s="82" t="n">
        <x:v>3.748095238</x:v>
      </x:c>
      <x:c r="R216" s="82" t="n">
        <x:v>6.854404762</x:v>
      </x:c>
      <x:c r="S216" s="92" t="n">
        <x:v>148.37</x:v>
      </x:c>
      <x:c r="T216" s="92" t="n">
        <x:v>-1489.36</x:v>
      </x:c>
      <x:c r="U216" s="82" t="n">
        <x:v>133.78</x:v>
      </x:c>
      <x:c r="V216" s="82" t="n">
        <x:v>305.109</x:v>
      </x:c>
      <x:c r="W216" s="82" t="n">
        <x:v>9.15889208</x:v>
      </x:c>
      <x:c r="X216" s="94" t="n">
        <x:v>4.854009091</x:v>
      </x:c>
      <x:c r="Y216" s="94" t="n">
        <x:v>799.5101955</x:v>
      </x:c>
      <x:c r="Z216" s="94" t="n">
        <x:v>17.20136636</x:v>
      </x:c>
      <x:c r="AA216" s="95" t="n">
        <x:v>-0.6834579742</x:v>
      </x:c>
      <x:c r="AB216" s="93" t="n">
        <x:v>0</x:v>
      </x:c>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75" t="str">
        <x:v>2023-07</x:v>
      </x:c>
      <x:c r="B217" s="91" t="n">
        <x:v>4069.233548</x:v>
      </x:c>
      <x:c r="C217" s="91" t="n">
        <x:v>80.10809524</x:v>
      </x:c>
      <x:c r="D217" s="91" t="n">
        <x:v>761.61</x:v>
      </x:c>
      <x:c r="E217" s="91" t="n">
        <x:v>9711.19</x:v>
      </x:c>
      <x:c r="F217" s="82" t="n">
        <x:v>13.25</x:v>
      </x:c>
      <x:c r="G217" s="82" t="n">
        <x:v>5.12</x:v>
      </x:c>
      <x:c r="H217" s="82" t="n">
        <x:v>8.13</x:v>
      </x:c>
      <x:c r="I217" s="92" t="n">
        <x:v>-926.8154562</x:v>
      </x:c>
      <x:c r="J217" s="82" t="n">
        <x:v>3.279629586</x:v>
      </x:c>
      <x:c r="K217" s="82" t="n">
        <x:v>118.049165</x:v>
      </x:c>
      <x:c r="L217" s="82" t="n">
        <x:v>13.93238095</x:v>
      </x:c>
      <x:c r="M217" s="82" t="n">
        <x:v>148.93</x:v>
      </x:c>
      <x:c r="N217" s="93" t="n">
        <x:v>0</x:v>
      </x:c>
      <x:c r="O217" s="91" t="n">
        <x:v>58111.93</x:v>
      </x:c>
      <x:c r="P217" s="82" t="n">
        <x:v>10.12947368</x:v>
      </x:c>
      <x:c r="Q217" s="82" t="n">
        <x:v>3.8995</x:v>
      </x:c>
      <x:c r="R217" s="82" t="n">
        <x:v>6.229973684</x:v>
      </x:c>
      <x:c r="S217" s="92" t="n">
        <x:v>83.7</x:v>
      </x:c>
      <x:c r="T217" s="92" t="n">
        <x:v>-1407.5</x:v>
      </x:c>
      <x:c r="U217" s="82" t="n">
        <x:v>134.45</x:v>
      </x:c>
      <x:c r="V217" s="82" t="n">
        <x:v>305.691</x:v>
      </x:c>
      <x:c r="W217" s="82" t="n">
        <x:v>8.612358676</x:v>
      </x:c>
      <x:c r="X217" s="94" t="n">
        <x:v>4.800533333</x:v>
      </x:c>
      <x:c r="Y217" s="94" t="n">
        <x:v>815.0168905</x:v>
      </x:c>
      <x:c r="Z217" s="94" t="n">
        <x:v>16.86173762</x:v>
      </x:c>
      <x:c r="AA217" s="95" t="n">
        <x:v>-0.202625797</x:v>
      </x:c>
      <x:c r="AB217" s="93" t="n">
        <x:v>0</x:v>
      </x:c>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75" t="str">
        <x:v>2023-08</x:v>
      </x:c>
      <x:c r="B218" s="91" t="n">
        <x:v>4070.725161</x:v>
      </x:c>
      <x:c r="C218" s="91" t="n">
        <x:v>86.14772727</x:v>
      </x:c>
      <x:c r="D218" s="91" t="n">
        <x:v>887.76</x:v>
      </x:c>
      <x:c r="E218" s="91" t="n">
        <x:v>9829.51</x:v>
      </x:c>
      <x:c r="F218" s="82" t="n">
        <x:v>13.25</x:v>
      </x:c>
      <x:c r="G218" s="82" t="n">
        <x:v>5.33</x:v>
      </x:c>
      <x:c r="H218" s="82" t="n">
        <x:v>7.92</x:v>
      </x:c>
      <x:c r="I218" s="92" t="n">
        <x:v>-4986.281174</x:v>
      </x:c>
      <x:c r="J218" s="82" t="n">
        <x:v>2.984836461</x:v>
      </x:c>
      <x:c r="K218" s="82" t="n">
        <x:v>119.8563478</x:v>
      </x:c>
      <x:c r="L218" s="82" t="n">
        <x:v>15.85391304</x:v>
      </x:c>
      <x:c r="M218" s="82" t="n">
        <x:v>158.2</x:v>
      </x:c>
      <x:c r="N218" s="93" t="n">
        <x:v>0</x:v>
      </x:c>
      <x:c r="O218" s="91" t="n">
        <x:v>57944.58</x:v>
      </x:c>
      <x:c r="P218" s="82" t="n">
        <x:v>10.63142857</x:v>
      </x:c>
      <x:c r="Q218" s="82" t="n">
        <x:v>4.167826087</x:v>
      </x:c>
      <x:c r="R218" s="82" t="n">
        <x:v>6.463602484</x:v>
      </x:c>
      <x:c r="S218" s="92" t="n">
        <x:v>86.16</x:v>
      </x:c>
      <x:c r="T218" s="92" t="n">
        <x:v>-2102.61</x:v>
      </x:c>
      <x:c r="U218" s="82" t="n">
        <x:v>135.39</x:v>
      </x:c>
      <x:c r="V218" s="82" t="n">
        <x:v>307.026</x:v>
      </x:c>
      <x:c r="W218" s="82" t="n">
        <x:v>7.766986381</x:v>
      </x:c>
      <x:c r="X218" s="94" t="n">
        <x:v>4.90323913</x:v>
      </x:c>
      <x:c r="Y218" s="94" t="n">
        <x:v>856.5443609</x:v>
      </x:c>
      <x:c r="Z218" s="94" t="n">
        <x:v>16.93789391</x:v>
      </x:c>
      <x:c r="AA218" s="95" t="n">
        <x:v>0.7637915181</x:v>
      </x:c>
      <x:c r="AB218" s="93" t="n">
        <x:v>0</x:v>
      </x:c>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75" t="str">
        <x:v>2023-09</x:v>
      </x:c>
      <x:c r="B219" s="91" t="n">
        <x:v>4004.520667</x:v>
      </x:c>
      <x:c r="C219" s="91" t="n">
        <x:v>93.72238095</x:v>
      </x:c>
      <x:c r="D219" s="91" t="n">
        <x:v>881.47</x:v>
      </x:c>
      <x:c r="E219" s="91" t="n">
        <x:v>9960.03</x:v>
      </x:c>
      <x:c r="F219" s="82" t="n">
        <x:v>13.25</x:v>
      </x:c>
      <x:c r="G219" s="82" t="n">
        <x:v>5.33</x:v>
      </x:c>
      <x:c r="H219" s="82" t="n">
        <x:v>7.92</x:v>
      </x:c>
      <x:c r="I219" s="92" t="n">
        <x:v>-4435.154069</x:v>
      </x:c>
      <x:c r="J219" s="82" t="n">
        <x:v>3.31314259</x:v>
      </x:c>
      <x:c r="K219" s="82" t="n">
        <x:v>121.64553</x:v>
      </x:c>
      <x:c r="L219" s="82" t="n">
        <x:v>15.17333333</x:v>
      </x:c>
      <x:c r="M219" s="82" t="n">
        <x:v>158.88</x:v>
      </x:c>
      <x:c r="N219" s="93" t="n">
        <x:v>0</x:v>
      </x:c>
      <x:c r="O219" s="91" t="n">
        <x:v>57566.19</x:v>
      </x:c>
      <x:c r="P219" s="82" t="n">
        <x:v>11.19428571</x:v>
      </x:c>
      <x:c r="Q219" s="82" t="n">
        <x:v>4.379</x:v>
      </x:c>
      <x:c r="R219" s="82" t="n">
        <x:v>6.815285714</x:v>
      </x:c>
      <x:c r="S219" s="92" t="n">
        <x:v>50.06</x:v>
      </x:c>
      <x:c r="T219" s="92" t="n">
        <x:v>-2013.26</x:v>
      </x:c>
      <x:c r="U219" s="82" t="n">
        <x:v>136.11</x:v>
      </x:c>
      <x:c r="V219" s="82" t="n">
        <x:v>307.789</x:v>
      </x:c>
      <x:c r="W219" s="82" t="n">
        <x:v>7.29271809</x:v>
      </x:c>
      <x:c r="X219" s="94" t="n">
        <x:v>4.938557143</x:v>
      </x:c>
      <x:c r="Y219" s="94" t="n">
        <x:v>886.6047619</x:v>
      </x:c>
      <x:c r="Z219" s="94" t="n">
        <x:v>17.25992476</x:v>
      </x:c>
      <x:c r="AA219" s="95" t="n">
        <x:v>0.6182965181</x:v>
      </x:c>
      <x:c r="AB219" s="93" t="n">
        <x:v>0</x:v>
      </x:c>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75" t="str">
        <x:v>2023-10</x:v>
      </x:c>
      <x:c r="B220" s="91" t="n">
        <x:v>4222.433226</x:v>
      </x:c>
      <x:c r="C220" s="91" t="n">
        <x:v>90.59590909</x:v>
      </x:c>
      <x:c r="D220" s="91" t="n">
        <x:v>885.75</x:v>
      </x:c>
      <x:c r="E220" s="91" t="n">
        <x:v>9951.44</x:v>
      </x:c>
      <x:c r="F220" s="82" t="n">
        <x:v>13.25</x:v>
      </x:c>
      <x:c r="G220" s="82" t="n">
        <x:v>5.33</x:v>
      </x:c>
      <x:c r="H220" s="82" t="n">
        <x:v>7.92</x:v>
      </x:c>
      <x:c r="I220" s="92" t="n">
        <x:v>-13240.80264</x:v>
      </x:c>
      <x:c r="J220" s="82" t="n">
        <x:v>3.673593161</x:v>
      </x:c>
      <x:c r="K220" s="82" t="n">
        <x:v>123.4971476</x:v>
      </x:c>
      <x:c r="L220" s="82" t="n">
        <x:v>18.88772727</x:v>
      </x:c>
      <x:c r="M220" s="82" t="n">
        <x:v>157.26</x:v>
      </x:c>
      <x:c r="N220" s="93" t="n">
        <x:v>0</x:v>
      </x:c>
      <x:c r="O220" s="91" t="n">
        <x:v>57447.16</x:v>
      </x:c>
      <x:c r="P220" s="82" t="n">
        <x:v>11.91952381</x:v>
      </x:c>
      <x:c r="Q220" s="82" t="n">
        <x:v>4.798095238</x:v>
      </x:c>
      <x:c r="R220" s="82" t="n">
        <x:v>7.121428571</x:v>
      </x:c>
      <x:c r="S220" s="92" t="n">
        <x:v>241.67</x:v>
      </x:c>
      <x:c r="T220" s="92" t="n">
        <x:v>-2383.93</x:v>
      </x:c>
      <x:c r="U220" s="82" t="n">
        <x:v>136.45</x:v>
      </x:c>
      <x:c r="V220" s="82" t="n">
        <x:v>307.671</x:v>
      </x:c>
      <x:c r="W220" s="82" t="n">
        <x:v>7.235739811</x:v>
      </x:c>
      <x:c r="X220" s="94" t="n">
        <x:v>5.06385</x:v>
      </x:c>
      <x:c r="Y220" s="94" t="n">
        <x:v>925.0958909</x:v>
      </x:c>
      <x:c r="Z220" s="94" t="n">
        <x:v>17.99809364</x:v>
      </x:c>
      <x:c r="AA220" s="95" t="n">
        <x:v>1.15661039</x:v>
      </x:c>
      <x:c r="AB220" s="93" t="n">
        <x:v>0</x:v>
      </x:c>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75" t="str">
        <x:v>2023-11</x:v>
      </x:c>
      <x:c r="B221" s="91" t="n">
        <x:v>4038.804667</x:v>
      </x:c>
      <x:c r="C221" s="91" t="n">
        <x:v>82.94</x:v>
      </x:c>
      <x:c r="D221" s="91" t="n">
        <x:v>886.9</x:v>
      </x:c>
      <x:c r="E221" s="91" t="n">
        <x:v>10025.75</x:v>
      </x:c>
      <x:c r="F221" s="82" t="n">
        <x:v>13.25</x:v>
      </x:c>
      <x:c r="G221" s="82" t="n">
        <x:v>5.33</x:v>
      </x:c>
      <x:c r="H221" s="82" t="n">
        <x:v>7.92</x:v>
      </x:c>
      <x:c r="I221" s="92" t="n">
        <x:v>-13022.02769</x:v>
      </x:c>
      <x:c r="J221" s="82" t="n">
        <x:v>4.149544635</x:v>
      </x:c>
      <x:c r="K221" s="82" t="n">
        <x:v>121.22212</x:v>
      </x:c>
      <x:c r="L221" s="82" t="n">
        <x:v>14.01909091</x:v>
      </x:c>
      <x:c r="M221" s="82" t="n">
        <x:v>143.02</x:v>
      </x:c>
      <x:c r="N221" s="93" t="n">
        <x:v>0</x:v>
      </x:c>
      <x:c r="O221" s="91" t="n">
        <x:v>58592.27</x:v>
      </x:c>
      <x:c r="P221" s="82" t="n">
        <x:v>10.845</x:v>
      </x:c>
      <x:c r="Q221" s="82" t="n">
        <x:v>4.502857143</x:v>
      </x:c>
      <x:c r="R221" s="82" t="n">
        <x:v>6.342142857</x:v>
      </x:c>
      <x:c r="S221" s="92" t="n">
        <x:v>158.26</x:v>
      </x:c>
      <x:c r="T221" s="92" t="n">
        <x:v>-407.12</x:v>
      </x:c>
      <x:c r="U221" s="82" t="n">
        <x:v>137.09</x:v>
      </x:c>
      <x:c r="V221" s="82" t="n">
        <x:v>307.051</x:v>
      </x:c>
      <x:c r="W221" s="82" t="n">
        <x:v>7.010567954</x:v>
      </x:c>
      <x:c r="X221" s="94" t="n">
        <x:v>4.902168182</x:v>
      </x:c>
      <x:c r="Y221" s="94" t="n">
        <x:v>885.2386182</x:v>
      </x:c>
      <x:c r="Z221" s="94" t="n">
        <x:v>17.34034182</x:v>
      </x:c>
      <x:c r="AA221" s="95" t="n">
        <x:v>-1.393411098</x:v>
      </x:c>
      <x:c r="AB221" s="93" t="n">
        <x:v>0</x:v>
      </x:c>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75" t="str">
        <x:v>2023-12</x:v>
      </x:c>
      <x:c r="B222" s="91" t="n">
        <x:v>3948.206774</x:v>
      </x:c>
      <x:c r="C222" s="91" t="n">
        <x:v>77.63105263</x:v>
      </x:c>
      <x:c r="D222" s="91" t="n">
        <x:v>914.21</x:v>
      </x:c>
      <x:c r="E222" s="91" t="n">
        <x:v>10091.08</x:v>
      </x:c>
      <x:c r="F222" s="82" t="n">
        <x:v>13.15322581</x:v>
      </x:c>
      <x:c r="G222" s="82" t="n">
        <x:v>5.33</x:v>
      </x:c>
      <x:c r="H222" s="82" t="n">
        <x:v>7.823225806</x:v>
      </x:c>
      <x:c r="I222" s="92" t="n">
        <x:v>-16863.47586</x:v>
      </x:c>
      <x:c r="J222" s="82" t="n">
        <x:v>4.216018904</x:v>
      </x:c>
      <x:c r="K222" s="82" t="n">
        <x:v>119.83314</x:v>
      </x:c>
      <x:c r="L222" s="82" t="n">
        <x:v>12.7185</x:v>
      </x:c>
      <x:c r="M222" s="82" t="n">
        <x:v>148.74</x:v>
      </x:c>
      <x:c r="N222" s="93" t="n">
        <x:v>0</x:v>
      </x:c>
      <x:c r="O222" s="91" t="n">
        <x:v>59608.32</x:v>
      </x:c>
      <x:c r="P222" s="82" t="n">
        <x:v>10.39611111</x:v>
      </x:c>
      <x:c r="Q222" s="82" t="n">
        <x:v>4.02</x:v>
      </x:c>
      <x:c r="R222" s="82" t="n">
        <x:v>6.376111111</x:v>
      </x:c>
      <x:c r="S222" s="92" t="n">
        <x:v>81.25</x:v>
      </x:c>
      <x:c r="T222" s="92" t="n">
        <x:v>-731.25</x:v>
      </x:c>
      <x:c r="U222" s="82" t="n">
        <x:v>137.72</x:v>
      </x:c>
      <x:c r="V222" s="82" t="n">
        <x:v>306.746</x:v>
      </x:c>
      <x:c r="W222" s="82" t="n">
        <x:v>5.923446477</x:v>
      </x:c>
      <x:c r="X222" s="94" t="n">
        <x:v>4.895261905</x:v>
      </x:c>
      <x:c r="Y222" s="94" t="n">
        <x:v>875.7559143</x:v>
      </x:c>
      <x:c r="Z222" s="94" t="n">
        <x:v>17.1358319</x:v>
      </x:c>
      <x:c r="AA222" s="95" t="n">
        <x:v>-0.3922472592</x:v>
      </x:c>
      <x:c r="AB222" s="93" t="n">
        <x:v>0</x:v>
      </x:c>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75" t="str">
        <x:v>2024-01</x:v>
      </x:c>
      <x:c r="B223" s="91" t="n">
        <x:v>3915.19871</x:v>
      </x:c>
      <x:c r="C223" s="91" t="n">
        <x:v>80.12409091</x:v>
      </x:c>
      <x:c r="D223" s="91" t="n">
        <x:v>912.79</x:v>
      </x:c>
      <x:c r="E223" s="91" t="n">
        <x:v>10218.85</x:v>
      </x:c>
      <x:c r="F223" s="82" t="n">
        <x:v>13</x:v>
      </x:c>
      <x:c r="G223" s="82" t="n">
        <x:v>5.33</x:v>
      </x:c>
      <x:c r="H223" s="82" t="n">
        <x:v>7.67</x:v>
      </x:c>
      <x:c r="I223" s="92" t="n">
        <x:v>-1386.781896</x:v>
      </x:c>
      <x:c r="J223" s="82" t="n">
        <x:v>4.175494571</x:v>
      </x:c>
      <x:c r="K223" s="82" t="n">
        <x:v>120.2273571</x:v>
      </x:c>
      <x:c r="L223" s="82" t="n">
        <x:v>13.38863636</x:v>
      </x:c>
      <x:c r="M223" s="82" t="n">
        <x:v>151.86</x:v>
      </x:c>
      <x:c r="N223" s="93" t="n">
        <x:v>0</x:v>
      </x:c>
      <x:c r="O223" s="91" t="n">
        <x:v>59653.73</x:v>
      </x:c>
      <x:c r="P223" s="82" t="n">
        <x:v>9.815714286</x:v>
      </x:c>
      <x:c r="Q223" s="82" t="n">
        <x:v>4.058095238</x:v>
      </x:c>
      <x:c r="R223" s="82" t="n">
        <x:v>5.757619048</x:v>
      </x:c>
      <x:c r="S223" s="92" t="n">
        <x:v>212.29</x:v>
      </x:c>
      <x:c r="T223" s="92" t="n">
        <x:v>-2148.5</x:v>
      </x:c>
      <x:c r="U223" s="82" t="n">
        <x:v>138.98</x:v>
      </x:c>
      <x:c r="V223" s="82" t="n">
        <x:v>308.417</x:v>
      </x:c>
      <x:c r="W223" s="82" t="n">
        <x:v>5.258690334</x:v>
      </x:c>
      <x:c r="X223" s="94" t="n">
        <x:v>4.910917391</x:v>
      </x:c>
      <x:c r="Y223" s="94" t="n">
        <x:v>910.1408478</x:v>
      </x:c>
      <x:c r="Z223" s="94" t="n">
        <x:v>17.04017522</x:v>
      </x:c>
      <x:c r="AA223" s="95" t="n">
        <x:v>0.3397757829</x:v>
      </x:c>
      <x:c r="AB223" s="93" t="n">
        <x:v>0</x:v>
      </x:c>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75" t="str">
        <x:v>2024-02</x:v>
      </x:c>
      <x:c r="B224" s="91" t="n">
        <x:v>3931.438621</x:v>
      </x:c>
      <x:c r="C224" s="91" t="n">
        <x:v>83.47809524</x:v>
      </x:c>
      <x:c r="D224" s="91" t="n">
        <x:v>913.93</x:v>
      </x:c>
      <x:c r="E224" s="91" t="n">
        <x:v>10300.08</x:v>
      </x:c>
      <x:c r="F224" s="82" t="n">
        <x:v>12.75</x:v>
      </x:c>
      <x:c r="G224" s="82" t="n">
        <x:v>5.33</x:v>
      </x:c>
      <x:c r="H224" s="82" t="n">
        <x:v>7.42</x:v>
      </x:c>
      <x:c r="I224" s="92" t="n">
        <x:v>-12856.69828</x:v>
      </x:c>
      <x:c r="J224" s="82" t="n">
        <x:v>4.330062739</x:v>
      </x:c>
      <x:c r="K224" s="82" t="n">
        <x:v>121.06594</x:v>
      </x:c>
      <x:c r="L224" s="82" t="n">
        <x:v>13.98047619</x:v>
      </x:c>
      <x:c r="M224" s="82" t="n">
        <x:v>151.07</x:v>
      </x:c>
      <x:c r="N224" s="93" t="n">
        <x:v>0</x:v>
      </x:c>
      <x:c r="O224" s="91" t="n">
        <x:v>59463.56</x:v>
      </x:c>
      <x:c r="P224" s="82" t="n">
        <x:v>9.913809524</x:v>
      </x:c>
      <x:c r="Q224" s="82" t="n">
        <x:v>4.2075</x:v>
      </x:c>
      <x:c r="R224" s="82" t="n">
        <x:v>5.706309524</x:v>
      </x:c>
      <x:c r="S224" s="92" t="n">
        <x:v>238.64</x:v>
      </x:c>
      <x:c r="T224" s="92" t="n">
        <x:v>-2663.26</x:v>
      </x:c>
      <x:c r="U224" s="82" t="n">
        <x:v>140.49</x:v>
      </x:c>
      <x:c r="V224" s="82" t="n">
        <x:v>310.326</x:v>
      </x:c>
      <x:c r="W224" s="82" t="n">
        <x:v>4.58455894</x:v>
      </x:c>
      <x:c r="X224" s="94" t="n">
        <x:v>4.964785714</x:v>
      </x:c>
      <x:c r="Y224" s="94" t="n">
        <x:v>965.8012095</x:v>
      </x:c>
      <x:c r="Z224" s="94" t="n">
        <x:v>17.07062048</x:v>
      </x:c>
      <x:c r="AA224" s="95" t="n">
        <x:v>0.7585337697</x:v>
      </x:c>
      <x:c r="AB224" s="93" t="n">
        <x:v>0</x:v>
      </x:c>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75" t="str">
        <x:v>2024-03</x:v>
      </x:c>
      <x:c r="B225" s="91" t="n">
        <x:v>3899.34129</x:v>
      </x:c>
      <x:c r="C225" s="91" t="n">
        <x:v>85.4085</x:v>
      </x:c>
      <x:c r="D225" s="91" t="n">
        <x:v>894.05</x:v>
      </x:c>
      <x:c r="E225" s="91" t="n">
        <x:v>10335.87</x:v>
      </x:c>
      <x:c r="F225" s="82" t="n">
        <x:v>12.65322581</x:v>
      </x:c>
      <x:c r="G225" s="82" t="n">
        <x:v>5.33</x:v>
      </x:c>
      <x:c r="H225" s="82" t="n">
        <x:v>7.323225806</x:v>
      </x:c>
      <x:c r="I225" s="92" t="n">
        <x:v>-2100.702934</x:v>
      </x:c>
      <x:c r="J225" s="82" t="n">
        <x:v>4.053981088</x:v>
      </x:c>
      <x:c r="K225" s="82" t="n">
        <x:v>120.6588333</x:v>
      </x:c>
      <x:c r="L225" s="82" t="n">
        <x:v>13.7875</x:v>
      </x:c>
      <x:c r="M225" s="82" t="n">
        <x:v>152.47</x:v>
      </x:c>
      <x:c r="N225" s="93" t="n">
        <x:v>0</x:v>
      </x:c>
      <x:c r="O225" s="91" t="n">
        <x:v>59994.63</x:v>
      </x:c>
      <x:c r="P225" s="82" t="n">
        <x:v>10.20722222</x:v>
      </x:c>
      <x:c r="Q225" s="82" t="n">
        <x:v>4.2085</x:v>
      </x:c>
      <x:c r="R225" s="82" t="n">
        <x:v>5.998722222</x:v>
      </x:c>
      <x:c r="S225" s="92" t="n">
        <x:v>106.99</x:v>
      </x:c>
      <x:c r="T225" s="92" t="n">
        <x:v>-1353.85</x:v>
      </x:c>
      <x:c r="U225" s="82" t="n">
        <x:v>141.48</x:v>
      </x:c>
      <x:c r="V225" s="82" t="n">
        <x:v>312.332</x:v>
      </x:c>
      <x:c r="W225" s="82" t="n">
        <x:v>3.891515287</x:v>
      </x:c>
      <x:c r="X225" s="94" t="n">
        <x:v>4.9806</x:v>
      </x:c>
      <x:c r="Y225" s="94" t="n">
        <x:v>969.6888</x:v>
      </x:c>
      <x:c r="Z225" s="94" t="n">
        <x:v>16.73718857</x:v>
      </x:c>
      <x:c r="AA225" s="95" t="n">
        <x:v>-0.2600426789</x:v>
      </x:c>
      <x:c r="AB225" s="93" t="n">
        <x:v>0</x:v>
      </x:c>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75" t="str">
        <x:v>2024-04</x:v>
      </x:c>
      <x:c r="B226" s="91" t="n">
        <x:v>3867.975333</x:v>
      </x:c>
      <x:c r="C226" s="91" t="n">
        <x:v>89.93809524</x:v>
      </x:c>
      <x:c r="D226" s="91" t="n">
        <x:v>929.39</x:v>
      </x:c>
      <x:c r="E226" s="91" t="n">
        <x:v>10528.52</x:v>
      </x:c>
      <x:c r="F226" s="82" t="n">
        <x:v>12.25</x:v>
      </x:c>
      <x:c r="G226" s="82" t="n">
        <x:v>5.33</x:v>
      </x:c>
      <x:c r="H226" s="82" t="n">
        <x:v>6.92</x:v>
      </x:c>
      <x:c r="I226" s="92" t="n">
        <x:v>-18621.39771</x:v>
      </x:c>
      <x:c r="J226" s="82" t="n">
        <x:v>5.505846826</x:v>
      </x:c>
      <x:c r="K226" s="82" t="n">
        <x:v>122.1428136</x:v>
      </x:c>
      <x:c r="L226" s="82" t="n">
        <x:v>16.13772727</x:v>
      </x:c>
      <x:c r="M226" s="82" t="n">
        <x:v>156.2</x:v>
      </x:c>
      <x:c r="N226" s="93" t="n">
        <x:v>0</x:v>
      </x:c>
      <x:c r="O226" s="91" t="n">
        <x:v>59806.04</x:v>
      </x:c>
      <x:c r="P226" s="82" t="n">
        <x:v>10.88272727</x:v>
      </x:c>
      <x:c r="Q226" s="82" t="n">
        <x:v>4.539090909</x:v>
      </x:c>
      <x:c r="R226" s="82" t="n">
        <x:v>6.343636364</x:v>
      </x:c>
      <x:c r="S226" s="92" t="n">
        <x:v>322.53</x:v>
      </x:c>
      <x:c r="T226" s="92" t="n">
        <x:v>-2794.2</x:v>
      </x:c>
      <x:c r="U226" s="82" t="n">
        <x:v>142.32</x:v>
      </x:c>
      <x:c r="V226" s="82" t="n">
        <x:v>313.548</x:v>
      </x:c>
      <x:c r="W226" s="82" t="n">
        <x:v>3.811310749</x:v>
      </x:c>
      <x:c r="X226" s="94" t="n">
        <x:v>5.128790909</x:v>
      </x:c>
      <x:c r="Y226" s="94" t="n">
        <x:v>958.6875045</x:v>
      </x:c>
      <x:c r="Z226" s="94" t="n">
        <x:v>16.76438591</x:v>
      </x:c>
      <x:c r="AA226" s="95" t="n">
        <x:v>0.04061121811</x:v>
      </x:c>
      <x:c r="AB226" s="93" t="n">
        <x:v>0</x:v>
      </x:c>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75" t="str">
        <x:v>2024-05</x:v>
      </x:c>
      <x:c r="B227" s="91" t="n">
        <x:v>3869.100645</x:v>
      </x:c>
      <x:c r="C227" s="91" t="n">
        <x:v>81.74619048</x:v>
      </x:c>
      <x:c r="D227" s="91" t="n">
        <x:v>960.09</x:v>
      </x:c>
      <x:c r="E227" s="91" t="n">
        <x:v>10611.43</x:v>
      </x:c>
      <x:c r="F227" s="82" t="n">
        <x:v>11.76612903</x:v>
      </x:c>
      <x:c r="G227" s="82" t="n">
        <x:v>5.33</x:v>
      </x:c>
      <x:c r="H227" s="82" t="n">
        <x:v>6.436129032</x:v>
      </x:c>
      <x:c r="I227" s="92" t="n">
        <x:v>-4474.015612</x:v>
      </x:c>
      <x:c r="J227" s="82" t="n">
        <x:v>5.787888007</x:v>
      </x:c>
      <x:c r="K227" s="82" t="n">
        <x:v>121.8583409</x:v>
      </x:c>
      <x:c r="L227" s="82" t="n">
        <x:v>13.05869565</x:v>
      </x:c>
      <x:c r="M227" s="82" t="n">
        <x:v>149.8</x:v>
      </x:c>
      <x:c r="N227" s="93" t="n">
        <x:v>0</x:v>
      </x:c>
      <x:c r="O227" s="91" t="n">
        <x:v>60582.47</x:v>
      </x:c>
      <x:c r="P227" s="82" t="n">
        <x:v>10.97</x:v>
      </x:c>
      <x:c r="Q227" s="82" t="n">
        <x:v>4.482272727</x:v>
      </x:c>
      <x:c r="R227" s="82" t="n">
        <x:v>6.487727273</x:v>
      </x:c>
      <x:c r="S227" s="92" t="n">
        <x:v>225.76</x:v>
      </x:c>
      <x:c r="T227" s="92" t="n">
        <x:v>-900.16</x:v>
      </x:c>
      <x:c r="U227" s="82" t="n">
        <x:v>142.92</x:v>
      </x:c>
      <x:c r="V227" s="82" t="n">
        <x:v>314.069</x:v>
      </x:c>
      <x:c r="W227" s="82" t="n">
        <x:v>3.883467569</x:v>
      </x:c>
      <x:c r="X227" s="94" t="n">
        <x:v>5.137221739</x:v>
      </x:c>
      <x:c r="Y227" s="94" t="n">
        <x:v>916.884113</x:v>
      </x:c>
      <x:c r="Z227" s="94" t="n">
        <x:v>16.76932696</x:v>
      </x:c>
      <x:c r="AA227" s="95" t="n">
        <x:v>-0.6410412244</x:v>
      </x:c>
      <x:c r="AB227" s="93" t="n">
        <x:v>0</x:v>
      </x:c>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75" t="str">
        <x:v>2024-06</x:v>
      </x:c>
      <x:c r="B228" s="91" t="n">
        <x:v>4042.797</x:v>
      </x:c>
      <x:c r="C228" s="91" t="n">
        <x:v>82.246</x:v>
      </x:c>
      <x:c r="D228" s="91" t="n">
        <x:v>1017.28</x:v>
      </x:c>
      <x:c r="E228" s="91" t="n">
        <x:v>10845.23</x:v>
      </x:c>
      <x:c r="F228" s="82" t="n">
        <x:v>11.75</x:v>
      </x:c>
      <x:c r="G228" s="82" t="n">
        <x:v>5.33</x:v>
      </x:c>
      <x:c r="H228" s="82" t="n">
        <x:v>6.42</x:v>
      </x:c>
      <x:c r="I228" s="92" t="n">
        <x:v>-15576.83121</x:v>
      </x:c>
      <x:c r="J228" s="82" t="n">
        <x:v>6.332222692</x:v>
      </x:c>
      <x:c r="K228" s="82" t="n">
        <x:v>123.7094789</x:v>
      </x:c>
      <x:c r="L228" s="82" t="n">
        <x:v>12.667</x:v>
      </x:c>
      <x:c r="M228" s="82" t="n">
        <x:v>157.16</x:v>
      </x:c>
      <x:c r="N228" s="93" t="n">
        <x:v>0</x:v>
      </x:c>
      <x:c r="O228" s="91" t="n">
        <x:v>60901.42</x:v>
      </x:c>
      <x:c r="P228" s="82" t="n">
        <x:v>11.18833333</x:v>
      </x:c>
      <x:c r="Q228" s="82" t="n">
        <x:v>4.305263158</x:v>
      </x:c>
      <x:c r="R228" s="82" t="n">
        <x:v>6.883070175</x:v>
      </x:c>
      <x:c r="S228" s="92" t="n">
        <x:v>407.34</x:v>
      </x:c>
      <x:c r="T228" s="92" t="n">
        <x:v>-2003.2</x:v>
      </x:c>
      <x:c r="U228" s="82" t="n">
        <x:v>143.38</x:v>
      </x:c>
      <x:c r="V228" s="82" t="n">
        <x:v>314.175</x:v>
      </x:c>
      <x:c r="W228" s="82" t="n">
        <x:v>4.204563425</x:v>
      </x:c>
      <x:c r="X228" s="94" t="n">
        <x:v>5.38867</x:v>
      </x:c>
      <x:c r="Y228" s="94" t="n">
        <x:v>927.894005</x:v>
      </x:c>
      <x:c r="Z228" s="94" t="n">
        <x:v>18.13341225</x:v>
      </x:c>
      <x:c r="AA228" s="95" t="n">
        <x:v>1.416648456</x:v>
      </x:c>
      <x:c r="AB228" s="93" t="n">
        <x:v>0</x:v>
      </x:c>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75" t="str">
        <x:v>2024-07</x:v>
      </x:c>
      <x:c r="B229" s="91" t="n">
        <x:v>4036.921935</x:v>
      </x:c>
      <x:c r="C229" s="91" t="n">
        <x:v>85.15304348</x:v>
      </x:c>
      <x:c r="D229" s="91" t="n">
        <x:v>1006.44</x:v>
      </x:c>
      <x:c r="E229" s="91" t="n">
        <x:v>11090.06</x:v>
      </x:c>
      <x:c r="F229" s="82" t="n">
        <x:v>11.26612903</x:v>
      </x:c>
      <x:c r="G229" s="82" t="n">
        <x:v>5.33</x:v>
      </x:c>
      <x:c r="H229" s="82" t="n">
        <x:v>5.936129032</x:v>
      </x:c>
      <x:c r="I229" s="92" t="n">
        <x:v>-2836.833987</x:v>
      </x:c>
      <x:c r="J229" s="82" t="n">
        <x:v>6.443703501</x:v>
      </x:c>
      <x:c r="K229" s="82" t="n">
        <x:v>123.3824364</x:v>
      </x:c>
      <x:c r="L229" s="82" t="n">
        <x:v>14.37391304</x:v>
      </x:c>
      <x:c r="M229" s="82" t="n">
        <x:v>156.3</x:v>
      </x:c>
      <x:c r="N229" s="93" t="n">
        <x:v>0</x:v>
      </x:c>
      <x:c r="O229" s="91" t="n">
        <x:v>61868.46</x:v>
      </x:c>
      <x:c r="P229" s="82" t="n">
        <x:v>11.13045455</x:v>
      </x:c>
      <x:c r="Q229" s="82" t="n">
        <x:v>4.248636364</x:v>
      </x:c>
      <x:c r="R229" s="82" t="n">
        <x:v>6.881818182</x:v>
      </x:c>
      <x:c r="S229" s="92" t="n">
        <x:v>195.45</x:v>
      </x:c>
      <x:c r="T229" s="92" t="n">
        <x:v>-1168.91</x:v>
      </x:c>
      <x:c r="U229" s="82" t="n">
        <x:v>143.67</x:v>
      </x:c>
      <x:c r="V229" s="82" t="n">
        <x:v>314.54</x:v>
      </x:c>
      <x:c r="W229" s="82" t="n">
        <x:v>3.962814671</x:v>
      </x:c>
      <x:c r="X229" s="94" t="n">
        <x:v>5.541747826</x:v>
      </x:c>
      <x:c r="Y229" s="94" t="n">
        <x:v>935.9515348</x:v>
      </x:c>
      <x:c r="Z229" s="94" t="n">
        <x:v>18.06171826</x:v>
      </x:c>
      <x:c r="AA229" s="95" t="n">
        <x:v>0.2122136521</x:v>
      </x:c>
      <x:c r="AB229" s="93" t="n">
        <x:v>0</x:v>
      </x:c>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75" t="str">
        <x:v>2024-08</x:v>
      </x:c>
      <x:c r="B230" s="91" t="n">
        <x:v>4065.546452</x:v>
      </x:c>
      <x:c r="C230" s="91" t="n">
        <x:v>80.3552381</x:v>
      </x:c>
      <x:c r="D230" s="91" t="n">
        <x:v>1008.94</x:v>
      </x:c>
      <x:c r="E230" s="91" t="n">
        <x:v>11211.24</x:v>
      </x:c>
      <x:c r="F230" s="82" t="n">
        <x:v>10.75</x:v>
      </x:c>
      <x:c r="G230" s="82" t="n">
        <x:v>5.33</x:v>
      </x:c>
      <x:c r="H230" s="82" t="n">
        <x:v>5.42</x:v>
      </x:c>
      <x:c r="I230" s="92" t="n">
        <x:v>-10928.00282</x:v>
      </x:c>
      <x:c r="J230" s="82" t="n">
        <x:v>6.790500101</x:v>
      </x:c>
      <x:c r="K230" s="82" t="n">
        <x:v>122.6137409</x:v>
      </x:c>
      <x:c r="L230" s="82" t="n">
        <x:v>19.31227273</x:v>
      </x:c>
      <x:c r="M230" s="82" t="n">
        <x:v>157.21</x:v>
      </x:c>
      <x:c r="N230" s="93" t="n">
        <x:v>0</x:v>
      </x:c>
      <x:c r="O230" s="91" t="n">
        <x:v>62778.49</x:v>
      </x:c>
      <x:c r="P230" s="82" t="n">
        <x:v>10.7</x:v>
      </x:c>
      <x:c r="Q230" s="82" t="n">
        <x:v>3.870909091</x:v>
      </x:c>
      <x:c r="R230" s="82" t="n">
        <x:v>6.829090909</x:v>
      </x:c>
      <x:c r="S230" s="92" t="n">
        <x:v>185.67</x:v>
      </x:c>
      <x:c r="T230" s="92" t="n">
        <x:v>-1451.07</x:v>
      </x:c>
      <x:c r="U230" s="82" t="n">
        <x:v>143.67</x:v>
      </x:c>
      <x:c r="V230" s="82" t="n">
        <x:v>314.796</x:v>
      </x:c>
      <x:c r="W230" s="82" t="n">
        <x:v>3.584935558</x:v>
      </x:c>
      <x:c r="X230" s="94" t="n">
        <x:v>5.552313636</x:v>
      </x:c>
      <x:c r="Y230" s="94" t="n">
        <x:v>927.7602182</x:v>
      </x:c>
      <x:c r="Z230" s="94" t="n">
        <x:v>19.07088545</x:v>
      </x:c>
      <x:c r="AA230" s="95" t="n">
        <x:v>0.4554266835</x:v>
      </x:c>
      <x:c r="AB230" s="93" t="n">
        <x:v>0</x:v>
      </x:c>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75" t="str">
        <x:v>2024-09</x:v>
      </x:c>
      <x:c r="B231" s="91" t="n">
        <x:v>4182.512333</x:v>
      </x:c>
      <x:c r="C231" s="91" t="n">
        <x:v>74.01666667</x:v>
      </x:c>
      <x:c r="D231" s="91" t="n">
        <x:v>1037.32</x:v>
      </x:c>
      <x:c r="E231" s="91" t="n">
        <x:v>11367.09</x:v>
      </x:c>
      <x:c r="F231" s="82" t="n">
        <x:v>10.75</x:v>
      </x:c>
      <x:c r="G231" s="82" t="n">
        <x:v>5.13</x:v>
      </x:c>
      <x:c r="H231" s="82" t="n">
        <x:v>5.62</x:v>
      </x:c>
      <x:c r="I231" s="92" t="n">
        <x:v>-1961.057506</x:v>
      </x:c>
      <x:c r="J231" s="82" t="n">
        <x:v>6.646096117</x:v>
      </x:c>
      <x:c r="K231" s="82" t="n">
        <x:v>121.884855</x:v>
      </x:c>
      <x:c r="L231" s="82" t="n">
        <x:v>17.66333333</x:v>
      </x:c>
      <x:c r="M231" s="82" t="n">
        <x:v>153.43</x:v>
      </x:c>
      <x:c r="N231" s="93" t="n">
        <x:v>0</x:v>
      </x:c>
      <x:c r="O231" s="91" t="n">
        <x:v>63581.9</x:v>
      </x:c>
      <x:c r="P231" s="82" t="n">
        <x:v>10.40285714</x:v>
      </x:c>
      <x:c r="Q231" s="82" t="n">
        <x:v>3.7235</x:v>
      </x:c>
      <x:c r="R231" s="82" t="n">
        <x:v>6.679357143</x:v>
      </x:c>
      <x:c r="S231" s="92" t="n">
        <x:v>317.91</x:v>
      </x:c>
      <x:c r="T231" s="92" t="n">
        <x:v>-1670.42</x:v>
      </x:c>
      <x:c r="U231" s="82" t="n">
        <x:v>144.02</x:v>
      </x:c>
      <x:c r="V231" s="82" t="n">
        <x:v>315.301</x:v>
      </x:c>
      <x:c r="W231" s="82" t="n">
        <x:v>3.370842981</x:v>
      </x:c>
      <x:c r="X231" s="94" t="n">
        <x:v>5.541266667</x:v>
      </x:c>
      <x:c r="Y231" s="94" t="n">
        <x:v>925.8795476</x:v>
      </x:c>
      <x:c r="Z231" s="94" t="n">
        <x:v>19.52721143</x:v>
      </x:c>
      <x:c r="AA231" s="95" t="n">
        <x:v>0.1366409956</x:v>
      </x:c>
      <x:c r="AB231" s="93" t="n">
        <x:v>0</x:v>
      </x:c>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75" t="str">
        <x:v>2024-10</x:v>
      </x:c>
      <x:c r="B232" s="91" t="n">
        <x:v>4249.47</x:v>
      </x:c>
      <x:c r="C232" s="91" t="n">
        <x:v>75.6326087</x:v>
      </x:c>
      <x:c r="D232" s="91" t="n">
        <x:v>1036.4</x:v>
      </x:c>
      <x:c r="E232" s="91" t="n">
        <x:v>11517.74</x:v>
      </x:c>
      <x:c r="F232" s="82" t="n">
        <x:v>10.25</x:v>
      </x:c>
      <x:c r="G232" s="82" t="n">
        <x:v>4.83</x:v>
      </x:c>
      <x:c r="H232" s="82" t="n">
        <x:v>5.42</x:v>
      </x:c>
      <x:c r="I232" s="92" t="n">
        <x:v>-13343.67814</x:v>
      </x:c>
      <x:c r="J232" s="82" t="n">
        <x:v>6.652100585</x:v>
      </x:c>
      <x:c r="K232" s="82" t="n">
        <x:v>123.5952909</x:v>
      </x:c>
      <x:c r="L232" s="82" t="n">
        <x:v>19.96086957</x:v>
      </x:c>
      <x:c r="M232" s="82" t="n">
        <x:v>157.45</x:v>
      </x:c>
      <x:c r="N232" s="93" t="n">
        <x:v>0</x:v>
      </x:c>
      <x:c r="O232" s="91" t="n">
        <x:v>62771.57</x:v>
      </x:c>
      <x:c r="P232" s="82" t="n">
        <x:v>10.92</x:v>
      </x:c>
      <x:c r="Q232" s="82" t="n">
        <x:v>4.095454545</x:v>
      </x:c>
      <x:c r="R232" s="82" t="n">
        <x:v>6.824545455</x:v>
      </x:c>
      <x:c r="S232" s="92" t="n">
        <x:v>383.15</x:v>
      </x:c>
      <x:c r="T232" s="92" t="n">
        <x:v>-3459.65</x:v>
      </x:c>
      <x:c r="U232" s="82" t="n">
        <x:v>143.83</x:v>
      </x:c>
      <x:c r="V232" s="82" t="n">
        <x:v>315.664</x:v>
      </x:c>
      <x:c r="W232" s="82" t="n">
        <x:v>2.810669665</x:v>
      </x:c>
      <x:c r="X232" s="94" t="n">
        <x:v>5.623808696</x:v>
      </x:c>
      <x:c r="Y232" s="94" t="n">
        <x:v>938.5641261</x:v>
      </x:c>
      <x:c r="Z232" s="94" t="n">
        <x:v>19.64228217</x:v>
      </x:c>
      <x:c r="AA232" s="95" t="n">
        <x:v>0.2716453405</x:v>
      </x:c>
      <x:c r="AB232" s="93" t="n">
        <x:v>0</x:v>
      </x:c>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75" t="str">
        <x:v>2024-11</x:v>
      </x:c>
      <x:c r="B233" s="91" t="n">
        <x:v>4408.652333</x:v>
      </x:c>
      <x:c r="C233" s="91" t="n">
        <x:v>74.3452381</x:v>
      </x:c>
      <x:c r="D233" s="91" t="n">
        <x:v>1033.19</x:v>
      </x:c>
      <x:c r="E233" s="91" t="n">
        <x:v>11664.03</x:v>
      </x:c>
      <x:c r="F233" s="82" t="n">
        <x:v>9.75</x:v>
      </x:c>
      <x:c r="G233" s="82" t="n">
        <x:v>4.64</x:v>
      </x:c>
      <x:c r="H233" s="82" t="n">
        <x:v>5.11</x:v>
      </x:c>
      <x:c r="I233" s="92" t="n">
        <x:v>-18186.62878</x:v>
      </x:c>
      <x:c r="J233" s="82" t="n">
        <x:v>6.953539496</x:v>
      </x:c>
      <x:c r="K233" s="82" t="n">
        <x:v>126.3113368</x:v>
      </x:c>
      <x:c r="L233" s="82" t="n">
        <x:v>16.0152381</x:v>
      </x:c>
      <x:c r="M233" s="82" t="n">
        <x:v>157.35</x:v>
      </x:c>
      <x:c r="N233" s="93" t="n">
        <x:v>0</x:v>
      </x:c>
      <x:c r="O233" s="91" t="n">
        <x:v>62957.73</x:v>
      </x:c>
      <x:c r="P233" s="82" t="n">
        <x:v>11.15473684</x:v>
      </x:c>
      <x:c r="Q233" s="82" t="n">
        <x:v>4.355789474</x:v>
      </x:c>
      <x:c r="R233" s="82" t="n">
        <x:v>6.798947368</x:v>
      </x:c>
      <x:c r="S233" s="92" t="n">
        <x:v>210.39</x:v>
      </x:c>
      <x:c r="T233" s="92" t="n">
        <x:v>-1826.94</x:v>
      </x:c>
      <x:c r="U233" s="82" t="n">
        <x:v>144.22</x:v>
      </x:c>
      <x:c r="V233" s="82" t="n">
        <x:v>315.493</x:v>
      </x:c>
      <x:c r="W233" s="82" t="n">
        <x:v>2.451582475</x:v>
      </x:c>
      <x:c r="X233" s="94" t="n">
        <x:v>5.804314286</x:v>
      </x:c>
      <x:c r="Y233" s="94" t="n">
        <x:v>971.6471381</x:v>
      </x:c>
      <x:c r="Z233" s="94" t="n">
        <x:v>20.25711857</x:v>
      </x:c>
      <x:c r="AA233" s="95" t="n">
        <x:v>0.9856346216</x:v>
      </x:c>
      <x:c r="AB233" s="93" t="n">
        <x:v>0</x:v>
      </x:c>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75" t="str">
        <x:v>2024-12</x:v>
      </x:c>
      <x:c r="B234" s="91" t="n">
        <x:v>4385.14871</x:v>
      </x:c>
      <x:c r="C234" s="91" t="n">
        <x:v>73.8595</x:v>
      </x:c>
      <x:c r="D234" s="91" t="n">
        <x:v>1098.4</x:v>
      </x:c>
      <x:c r="E234" s="91" t="n">
        <x:v>11848.22</x:v>
      </x:c>
      <x:c r="F234" s="82" t="n">
        <x:v>9.677419355</x:v>
      </x:c>
      <x:c r="G234" s="82" t="n">
        <x:v>4.48</x:v>
      </x:c>
      <x:c r="H234" s="82" t="n">
        <x:v>5.197419355</x:v>
      </x:c>
      <x:c r="I234" s="92" t="n">
        <x:v>-12238.24063</x:v>
      </x:c>
      <x:c r="J234" s="82" t="n">
        <x:v>6.683581401</x:v>
      </x:c>
      <x:c r="K234" s="82" t="n">
        <x:v>127.575781</x:v>
      </x:c>
      <x:c r="L234" s="82" t="n">
        <x:v>15.86619048</x:v>
      </x:c>
      <x:c r="M234" s="82" t="n">
        <x:v>161.4</x:v>
      </x:c>
      <x:c r="N234" s="93" t="n">
        <x:v>0</x:v>
      </x:c>
      <x:c r="O234" s="91" t="n">
        <x:v>62481.18</x:v>
      </x:c>
      <x:c r="P234" s="82" t="n">
        <x:v>11.7235</x:v>
      </x:c>
      <x:c r="Q234" s="82" t="n">
        <x:v>4.391428571</x:v>
      </x:c>
      <x:c r="R234" s="82" t="n">
        <x:v>7.332071429</x:v>
      </x:c>
      <x:c r="S234" s="92" t="n">
        <x:v>54.57</x:v>
      </x:c>
      <x:c r="T234" s="92" t="n">
        <x:v>-2952.47</x:v>
      </x:c>
      <x:c r="U234" s="82" t="n">
        <x:v>144.88</x:v>
      </x:c>
      <x:c r="V234" s="82" t="n">
        <x:v>315.605</x:v>
      </x:c>
      <x:c r="W234" s="82" t="n">
        <x:v>2.31089718</x:v>
      </x:c>
      <x:c r="X234" s="94" t="n">
        <x:v>6.099286364</x:v>
      </x:c>
      <x:c r="Y234" s="94" t="n">
        <x:v>984.5883773</x:v>
      </x:c>
      <x:c r="Z234" s="94" t="n">
        <x:v>20.20261636</x:v>
      </x:c>
      <x:c r="AA234" s="95" t="n">
        <x:v>0.4806324555</x:v>
      </x:c>
      <x:c r="AB234" s="93" t="n">
        <x:v>0</x:v>
      </x:c>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75" t="str">
        <x:v>2025-01</x:v>
      </x:c>
      <x:c r="B235" s="91" t="n">
        <x:v>4307.567419</x:v>
      </x:c>
      <x:c r="C235" s="91" t="n">
        <x:v>79.27045455</x:v>
      </x:c>
      <x:c r="D235" s="91" t="n">
        <x:v>1009.66</x:v>
      </x:c>
      <x:c r="E235" s="91" t="n">
        <x:v>11945.09</x:v>
      </x:c>
      <x:c r="F235" s="82" t="n">
        <x:v>9.5</x:v>
      </x:c>
      <x:c r="G235" s="82" t="n">
        <x:v>4.33</x:v>
      </x:c>
      <x:c r="H235" s="82" t="n">
        <x:v>5.17</x:v>
      </x:c>
      <x:c r="I235" s="92" t="n">
        <x:v>-12491.39631</x:v>
      </x:c>
      <x:c r="J235" s="82" t="n">
        <x:v>6.775576693</x:v>
      </x:c>
      <x:c r="K235" s="82" t="n">
        <x:v>128.8369524</x:v>
      </x:c>
      <x:c r="L235" s="82" t="n">
        <x:v>16.76363636</x:v>
      </x:c>
      <x:c r="M235" s="82" t="n">
        <x:v>165.69</x:v>
      </x:c>
      <x:c r="N235" s="93" t="n">
        <x:v>0</x:v>
      </x:c>
      <x:c r="O235" s="91" t="n">
        <x:v>62798.75</x:v>
      </x:c>
      <x:c r="P235" s="82" t="n">
        <x:v>12.06380952</x:v>
      </x:c>
      <x:c r="Q235" s="82" t="n">
        <x:v>4.629047619</x:v>
      </x:c>
      <x:c r="R235" s="82" t="n">
        <x:v>7.434761905</x:v>
      </x:c>
      <x:c r="S235" s="92" t="n">
        <x:v>-17.34</x:v>
      </x:c>
      <x:c r="T235" s="92" t="n">
        <x:v>-1410.34</x:v>
      </x:c>
      <x:c r="U235" s="82" t="n">
        <x:v>146.24</x:v>
      </x:c>
      <x:c r="V235" s="82" t="n">
        <x:v>317.671</x:v>
      </x:c>
      <x:c r="W235" s="82" t="n">
        <x:v>2.223290093</x:v>
      </x:c>
      <x:c r="X235" s="94" t="n">
        <x:v>6.028886957</x:v>
      </x:c>
      <x:c r="Y235" s="94" t="n">
        <x:v>1000.168683</x:v>
      </x:c>
      <x:c r="Z235" s="94" t="n">
        <x:v>20.49089043</x:v>
      </x:c>
      <x:c r="AA235" s="95" t="n">
        <x:v>0.1570510632</x:v>
      </x:c>
      <x:c r="AB235" s="93" t="n">
        <x:v>0</x:v>
      </x:c>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75" t="str">
        <x:v>2025-02</x:v>
      </x:c>
      <x:c r="B236" s="91" t="n">
        <x:v>4127.953929</x:v>
      </x:c>
      <x:c r="C236" s="91" t="n">
        <x:v>75.438</x:v>
      </x:c>
      <x:c r="D236" s="91" t="n">
        <x:v>1031.63</x:v>
      </x:c>
      <x:c r="E236" s="91" t="n">
        <x:v>12062.79</x:v>
      </x:c>
      <x:c r="F236" s="82" t="n">
        <x:v>9.5</x:v>
      </x:c>
      <x:c r="G236" s="82" t="n">
        <x:v>4.33</x:v>
      </x:c>
      <x:c r="H236" s="82" t="n">
        <x:v>5.17</x:v>
      </x:c>
      <x:c r="I236" s="92" t="n">
        <x:v>-17409.86142</x:v>
      </x:c>
      <x:c r="J236" s="82" t="n">
        <x:v>7.021169873</x:v>
      </x:c>
      <x:c r="K236" s="82" t="n">
        <x:v>127.8758316</x:v>
      </x:c>
      <x:c r="L236" s="82" t="n">
        <x:v>16.968</x:v>
      </x:c>
      <x:c r="M236" s="82" t="n">
        <x:v>164.54</x:v>
      </x:c>
      <x:c r="N236" s="93" t="n">
        <x:v>0</x:v>
      </x:c>
      <x:c r="O236" s="91" t="n">
        <x:v>63450.61</x:v>
      </x:c>
      <x:c r="P236" s="82" t="n">
        <x:v>12.095</x:v>
      </x:c>
      <x:c r="Q236" s="82" t="n">
        <x:v>4.451052632</x:v>
      </x:c>
      <x:c r="R236" s="82" t="n">
        <x:v>7.643947368</x:v>
      </x:c>
      <x:c r="S236" s="92" t="n">
        <x:v>222.91</x:v>
      </x:c>
      <x:c r="T236" s="92" t="n">
        <x:v>-1741.78</x:v>
      </x:c>
      <x:c r="U236" s="82" t="n">
        <x:v>147.9</x:v>
      </x:c>
      <x:c r="V236" s="82" t="n">
        <x:v>319.082</x:v>
      </x:c>
      <x:c r="W236" s="82" t="n">
        <x:v>2.452847802</x:v>
      </x:c>
      <x:c r="X236" s="94" t="n">
        <x:v>5.765345</x:v>
      </x:c>
      <x:c r="Y236" s="94" t="n">
        <x:v>954.782765</x:v>
      </x:c>
      <x:c r="Z236" s="94" t="n">
        <x:v>20.4073</x:v>
      </x:c>
      <x:c r="AA236" s="95" t="n">
        <x:v>-1.137999396</x:v>
      </x:c>
      <x:c r="AB236" s="93" t="n">
        <x:v>0</x:v>
      </x:c>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75" t="str">
        <x:v>2025-03</x:v>
      </x:c>
      <x:c r="B237" s="91" t="n">
        <x:v>4137.684516</x:v>
      </x:c>
      <x:c r="C237" s="91" t="n">
        <x:v>72.73285714</x:v>
      </x:c>
      <x:c r="D237" s="91" t="n">
        <x:v>1089.33</x:v>
      </x:c>
      <x:c r="E237" s="91" t="n">
        <x:v>12258.07</x:v>
      </x:c>
      <x:c r="F237" s="82" t="n">
        <x:v>9.5</x:v>
      </x:c>
      <x:c r="G237" s="82" t="n">
        <x:v>4.33</x:v>
      </x:c>
      <x:c r="H237" s="82" t="n">
        <x:v>5.17</x:v>
      </x:c>
      <x:c r="I237" s="92" t="n">
        <x:v>-7588.630465</x:v>
      </x:c>
      <x:c r="J237" s="82" t="n">
        <x:v>7.317183331</x:v>
      </x:c>
      <x:c r="K237" s="82" t="n">
        <x:v>126.2430429</x:v>
      </x:c>
      <x:c r="L237" s="82" t="n">
        <x:v>21.84142857</x:v>
      </x:c>
      <x:c r="M237" s="82" t="n">
        <x:v>163.87</x:v>
      </x:c>
      <x:c r="N237" s="93" t="n">
        <x:v>0</x:v>
      </x:c>
      <x:c r="O237" s="91" t="n">
        <x:v>63854</x:v>
      </x:c>
      <x:c r="P237" s="82" t="n">
        <x:v>12.3485</x:v>
      </x:c>
      <x:c r="Q237" s="82" t="n">
        <x:v>4.28047619</x:v>
      </x:c>
      <x:c r="R237" s="82" t="n">
        <x:v>8.06802381</x:v>
      </x:c>
      <x:c r="S237" s="92" t="n">
        <x:v>206.63</x:v>
      </x:c>
      <x:c r="T237" s="92" t="n">
        <x:v>-2292.08</x:v>
      </x:c>
      <x:c r="U237" s="82" t="n">
        <x:v>148.68</x:v>
      </x:c>
      <x:c r="V237" s="82" t="n">
        <x:v>319.799</x:v>
      </x:c>
      <x:c r="W237" s="82" t="n">
        <x:v>2.69833327</x:v>
      </x:c>
      <x:c r="X237" s="94" t="n">
        <x:v>5.75622381</x:v>
      </x:c>
      <x:c r="Y237" s="94" t="n">
        <x:v>932.3276238</x:v>
      </x:c>
      <x:c r="Z237" s="94" t="n">
        <x:v>20.17183524</x:v>
      </x:c>
      <x:c r="AA237" s="95" t="n">
        <x:v>-0.5533742554</x:v>
      </x:c>
      <x:c r="AB237" s="93" t="n">
        <x:v>0</x:v>
      </x:c>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75" t="str">
        <x:v>2025-04</x:v>
      </x:c>
      <x:c r="B238" s="91" t="n">
        <x:v>4280.258</x:v>
      </x:c>
      <x:c r="C238" s="91" t="n">
        <x:v>68.1345</x:v>
      </x:c>
      <x:c r="D238" s="91" t="n">
        <x:v>1097.41</x:v>
      </x:c>
      <x:c r="E238" s="91" t="n">
        <x:v>12426.09</x:v>
      </x:c>
      <x:c r="F238" s="82" t="n">
        <x:v>9.5</x:v>
      </x:c>
      <x:c r="G238" s="82" t="n">
        <x:v>4.33</x:v>
      </x:c>
      <x:c r="H238" s="82" t="n">
        <x:v>5.17</x:v>
      </x:c>
      <x:c r="I238" s="92" t="n">
        <x:v>-13594.17391</x:v>
      </x:c>
      <x:c r="J238" s="82" t="n">
        <x:v>7.046019782</x:v>
      </x:c>
      <x:c r="K238" s="82" t="n">
        <x:v>124.1402</x:v>
      </x:c>
      <x:c r="L238" s="82" t="n">
        <x:v>31.96619048</x:v>
      </x:c>
      <x:c r="M238" s="82" t="n">
        <x:v>162.39</x:v>
      </x:c>
      <x:c r="N238" s="93" t="n">
        <x:v>0</x:v>
      </x:c>
      <x:c r="O238" s="91" t="n">
        <x:v>64630.58</x:v>
      </x:c>
      <x:c r="P238" s="82" t="n">
        <x:v>12.7215</x:v>
      </x:c>
      <x:c r="Q238" s="82" t="n">
        <x:v>4.279047619</x:v>
      </x:c>
      <x:c r="R238" s="82" t="n">
        <x:v>8.442452381</x:v>
      </x:c>
      <x:c r="S238" s="92" t="n">
        <x:v>135.08</x:v>
      </x:c>
      <x:c r="T238" s="92" t="n">
        <x:v>-1524.99</x:v>
      </x:c>
      <x:c r="U238" s="82" t="n">
        <x:v>149.66</x:v>
      </x:c>
      <x:c r="V238" s="82" t="n">
        <x:v>320.795</x:v>
      </x:c>
      <x:c r="W238" s="82" t="n">
        <x:v>2.846102931</x:v>
      </x:c>
      <x:c r="X238" s="94" t="n">
        <x:v>5.789945455</x:v>
      </x:c>
      <x:c r="Y238" s="94" t="n">
        <x:v>962.8508909</x:v>
      </x:c>
      <x:c r="Z238" s="94" t="n">
        <x:v>19.96541045</x:v>
      </x:c>
      <x:c r="AA238" s="95" t="n">
        <x:v>0.22912326</x:v>
      </x:c>
      <x:c r="AB238" s="93" t="n">
        <x:v>0</x:v>
      </x:c>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75" t="str">
        <x:v>2025-05</x:v>
      </x:c>
      <x:c r="B239" s="91" t="n">
        <x:v>4203.377097</x:v>
      </x:c>
      <x:c r="C239" s="91" t="n">
        <x:v>64.453</x:v>
      </x:c>
      <x:c r="D239" s="91" t="n">
        <x:v>1095.91</x:v>
      </x:c>
      <x:c r="E239" s="91" t="n">
        <x:v>12561.91</x:v>
      </x:c>
      <x:c r="F239" s="82" t="n">
        <x:v>9.258064516</x:v>
      </x:c>
      <x:c r="G239" s="82" t="n">
        <x:v>4.33</x:v>
      </x:c>
      <x:c r="H239" s="82" t="n">
        <x:v>4.928064516</x:v>
      </x:c>
      <x:c r="I239" s="92" t="n">
        <x:v>-5976.691931</x:v>
      </x:c>
      <x:c r="J239" s="82" t="n">
        <x:v>7.127072678</x:v>
      </x:c>
      <x:c r="K239" s="82" t="n">
        <x:v>122.3421619</x:v>
      </x:c>
      <x:c r="L239" s="82" t="n">
        <x:v>20.46227273</x:v>
      </x:c>
      <x:c r="M239" s="82" t="n">
        <x:v>157.92</x:v>
      </x:c>
      <x:c r="N239" s="93" t="n">
        <x:v>0</x:v>
      </x:c>
      <x:c r="O239" s="91" t="n">
        <x:v>64592.1</x:v>
      </x:c>
      <x:c r="P239" s="82" t="n">
        <x:v>12.71714286</x:v>
      </x:c>
      <x:c r="Q239" s="82" t="n">
        <x:v>4.423809524</x:v>
      </x:c>
      <x:c r="R239" s="82" t="n">
        <x:v>8.293333333</x:v>
      </x:c>
      <x:c r="S239" s="92" t="n">
        <x:v>22.75</x:v>
      </x:c>
      <x:c r="T239" s="92" t="n">
        <x:v>-2132.77</x:v>
      </x:c>
      <x:c r="U239" s="82" t="n">
        <x:v>150.14</x:v>
      </x:c>
      <x:c r="V239" s="82" t="n">
        <x:v>321.465</x:v>
      </x:c>
      <x:c r="W239" s="82" t="n">
        <x:v>2.696880683</x:v>
      </x:c>
      <x:c r="X239" s="94" t="n">
        <x:v>5.666786364</x:v>
      </x:c>
      <x:c r="Y239" s="94" t="n">
        <x:v>940.4631955</x:v>
      </x:c>
      <x:c r="Z239" s="94" t="n">
        <x:v>19.40206773</x:v>
      </x:c>
      <x:c r="AA239" s="95" t="n">
        <x:v>-0.934745192</x:v>
      </x:c>
      <x:c r="AB239" s="93" t="n">
        <x:v>0</x:v>
      </x:c>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75" t="str">
        <x:v>2025-06</x:v>
      </x:c>
      <x:c r="B240" s="91" t="n">
        <x:v>4113.485</x:v>
      </x:c>
      <x:c r="C240" s="91" t="n">
        <x:v>71.4447619</x:v>
      </x:c>
      <x:c r="D240" s="91" t="n">
        <x:v>1084.15</x:v>
      </x:c>
      <x:c r="E240" s="91" t="n">
        <x:v>12628.78</x:v>
      </x:c>
      <x:c r="F240" s="82" t="n">
        <x:v>9.25</x:v>
      </x:c>
      <x:c r="G240" s="82" t="n">
        <x:v>4.33</x:v>
      </x:c>
      <x:c r="H240" s="82" t="n">
        <x:v>4.92</x:v>
      </x:c>
      <x:c r="I240" s="92" t="n">
        <x:v>-11405.85686</x:v>
      </x:c>
      <x:c r="J240" s="82" t="n">
        <x:v>6.902094389</x:v>
      </x:c>
      <x:c r="K240" s="82" t="n">
        <x:v>120.59387</x:v>
      </x:c>
      <x:c r="L240" s="82" t="n">
        <x:v>18.40333333</x:v>
      </x:c>
      <x:c r="M240" s="82" t="n">
        <x:v>164.6</x:v>
      </x:c>
      <x:c r="N240" s="93" t="n">
        <x:v>0</x:v>
      </x:c>
      <x:c r="O240" s="91" t="n">
        <x:v>65163.18</x:v>
      </x:c>
      <x:c r="P240" s="82" t="n">
        <x:v>12.99277778</x:v>
      </x:c>
      <x:c r="Q240" s="82" t="n">
        <x:v>4.3835</x:v>
      </x:c>
      <x:c r="R240" s="82" t="n">
        <x:v>8.609277778</x:v>
      </x:c>
      <x:c r="S240" s="92" t="n">
        <x:v>82.96</x:v>
      </x:c>
      <x:c r="T240" s="92" t="n">
        <x:v>-1562.48</x:v>
      </x:c>
      <x:c r="U240" s="82" t="n">
        <x:v>150.3</x:v>
      </x:c>
      <x:c r="V240" s="82" t="n">
        <x:v>322.561</x:v>
      </x:c>
      <x:c r="W240" s="82" t="n">
        <x:v>2.157122593</x:v>
      </x:c>
      <x:c r="X240" s="94" t="n">
        <x:v>5.543938095</x:v>
      </x:c>
      <x:c r="Y240" s="94" t="n">
        <x:v>937.3952429</x:v>
      </x:c>
      <x:c r="Z240" s="94" t="n">
        <x:v>18.99023762</x:v>
      </x:c>
      <x:c r="AA240" s="95" t="n">
        <x:v>-0.5998585254</x:v>
      </x:c>
      <x:c r="AB240" s="93" t="n">
        <x:v>0</x:v>
      </x:c>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75" t="str">
        <x:v>2025-07</x:v>
      </x:c>
      <x:c r="B241" s="91" t="n">
        <x:v>4040.848387</x:v>
      </x:c>
      <x:c r="C241" s="91" t="n">
        <x:v>71.04130435</x:v>
      </x:c>
      <x:c r="D241" s="91" t="n">
        <x:v>1158.36</x:v>
      </x:c>
      <x:c r="E241" s="91" t="n">
        <x:v>12780.7</x:v>
      </x:c>
      <x:c r="F241" s="82" t="n">
        <x:v>9.25</x:v>
      </x:c>
      <x:c r="G241" s="82" t="n">
        <x:v>4.33</x:v>
      </x:c>
      <x:c r="H241" s="82" t="n">
        <x:v>4.92</x:v>
      </x:c>
      <x:c r="I241" s="92" t="n">
        <x:v>-1995.450946</x:v>
      </x:c>
      <x:c r="J241" s="82" t="n">
        <x:v>6.856711008</x:v>
      </x:c>
      <x:c r="K241" s="82" t="n">
        <x:v>120.1126909</x:v>
      </x:c>
      <x:c r="L241" s="82" t="n">
        <x:v>16.38130435</x:v>
      </x:c>
      <x:c r="M241" s="82" t="n">
        <x:v>164.94</x:v>
      </x:c>
      <x:c r="N241" s="93" t="n">
        <x:v>0</x:v>
      </x:c>
      <x:c r="O241" s="91" t="n">
        <x:v>64881.34</x:v>
      </x:c>
      <x:c r="P241" s="82" t="n">
        <x:v>12.45652174</x:v>
      </x:c>
      <x:c r="Q241" s="82" t="n">
        <x:v>4.391818182</x:v>
      </x:c>
      <x:c r="R241" s="82" t="n">
        <x:v>8.064703557</x:v>
      </x:c>
      <x:c r="S241" s="92" t="n">
        <x:v>42.15</x:v>
      </x:c>
      <x:c r="T241" s="92" t="n">
        <x:v>-2680.62</x:v>
      </x:c>
      <x:c r="U241" s="82" t="n">
        <x:v>150.71</x:v>
      </x:c>
      <x:c r="V241" s="82" t="n">
        <x:v>323.048</x:v>
      </x:c>
      <x:c r="W241" s="82" t="n">
        <x:v>2.19521593</x:v>
      </x:c>
      <x:c r="X241" s="94" t="n">
        <x:v>5.528191304</x:v>
      </x:c>
      <x:c r="Y241" s="94" t="n">
        <x:v>954.1915304</x:v>
      </x:c>
      <x:c r="Z241" s="94" t="n">
        <x:v>18.65645435</x:v>
      </x:c>
      <x:c r="AA241" s="95" t="n">
        <x:v>-0.1194245278</x:v>
      </x:c>
      <x:c r="AB241" s="93" t="n">
        <x:v>0</x:v>
      </x:c>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75" t="str">
        <x:v>2025-08</x:v>
      </x:c>
      <x:c r="B242" s="91" t="n">
        <x:v>4047.411613</x:v>
      </x:c>
      <x:c r="C242" s="91" t="n">
        <x:v>67.87</x:v>
      </x:c>
      <x:c r="D242" s="91" t="n">
        <x:v>1095.38</x:v>
      </x:c>
      <x:c r="E242" s="91" t="n">
        <x:v>12867.14</x:v>
      </x:c>
      <x:c r="F242" s="82" t="n">
        <x:v>9.25</x:v>
      </x:c>
      <x:c r="G242" s="82" t="n">
        <x:v>4.33</x:v>
      </x:c>
      <x:c r="H242" s="82" t="n">
        <x:v>4.92</x:v>
      </x:c>
      <x:c r="I242" s="92" t="n">
        <x:v>-5824.707711</x:v>
      </x:c>
      <x:c r="J242" s="82" t="n">
        <x:v>6.581444247</x:v>
      </x:c>
      <x:c r="K242" s="82" t="n">
        <x:v>120.5758429</x:v>
      </x:c>
      <x:c r="L242" s="82" t="n">
        <x:v>15.75</x:v>
      </x:c>
      <x:c r="M242" s="82" t="n">
        <x:v>167.7</x:v>
      </x:c>
      <x:c r="N242" s="93" t="n">
        <x:v>0</x:v>
      </x:c>
      <x:c r="O242" s="91" t="n">
        <x:v>65466.99</x:v>
      </x:c>
      <x:c r="P242" s="82" t="n">
        <x:v>12.32578947</x:v>
      </x:c>
      <x:c r="Q242" s="82" t="n">
        <x:v>4.264761905</x:v>
      </x:c>
      <x:c r="R242" s="82" t="n">
        <x:v>8.061027569</x:v>
      </x:c>
      <x:c r="S242" s="92" t="n">
        <x:v>-106.63</x:v>
      </x:c>
      <x:c r="T242" s="92" t="n">
        <x:v>-1400.87</x:v>
      </x:c>
      <x:c r="U242" s="82" t="n">
        <x:v>150.99</x:v>
      </x:c>
      <x:c r="V242" s="82" t="n">
        <x:v>323.976</x:v>
      </x:c>
      <x:c r="W242" s="82" t="n">
        <x:v>2.178835112</x:v>
      </x:c>
      <x:c r="X242" s="94" t="n">
        <x:v>5.44662381</x:v>
      </x:c>
      <x:c r="Y242" s="94" t="n">
        <x:v>965.2635762</x:v>
      </x:c>
      <x:c r="Z242" s="94" t="n">
        <x:v>18.67054714</x:v>
      </x:c>
      <x:c r="AA242" s="95" t="n">
        <x:v>-0.08508103132</x:v>
      </x:c>
      <x:c r="AB242" s="93" t="n">
        <x:v>0</x:v>
      </x:c>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75" t="str">
        <x:v>2025-09</x:v>
      </x:c>
      <x:c r="B243" s="91" t="n">
        <x:v>3922.212</x:v>
      </x:c>
      <x:c r="C243" s="91" t="n">
        <x:v>67.98545455</x:v>
      </x:c>
      <x:c r="D243" s="91" t="n">
        <x:v>1100.26</x:v>
      </x:c>
      <x:c r="E243" s="91" t="n">
        <x:v>12930.08</x:v>
      </x:c>
      <x:c r="F243" s="82" t="n">
        <x:v>9.25</x:v>
      </x:c>
      <x:c r="G243" s="82" t="n">
        <x:v>4.22</x:v>
      </x:c>
      <x:c r="H243" s="82" t="n">
        <x:v>5.03</x:v>
      </x:c>
      <x:c r="I243" s="92" t="n">
        <x:v>1570.725831</x:v>
      </x:c>
      <x:c r="J243" s="82" t="n">
        <x:v>6.390943298</x:v>
      </x:c>
      <x:c r="K243" s="82" t="n">
        <x:v>120.0290619</x:v>
      </x:c>
      <x:c r="L243" s="82" t="n">
        <x:v>15.78909091</x:v>
      </x:c>
      <x:c r="M243" s="82" t="n">
        <x:v>169.72</x:v>
      </x:c>
      <x:c r="N243" s="93" t="n">
        <x:v>0</x:v>
      </x:c>
      <x:c r="O243" s="91" t="n">
        <x:v>65823.14</x:v>
      </x:c>
      <x:c r="P243" s="82" t="n">
        <x:v>12.04318182</x:v>
      </x:c>
      <x:c r="Q243" s="82" t="n">
        <x:v>4.12047619</x:v>
      </x:c>
      <x:c r="R243" s="82" t="n">
        <x:v>7.922705628</x:v>
      </x:c>
      <x:c r="S243" s="92" t="n">
        <x:v>-141.77</x:v>
      </x:c>
      <x:c r="T243" s="92" t="n">
        <x:v>-1620.01</x:v>
      </x:c>
      <x:c r="U243" s="82" t="n">
        <x:v>151.48</x:v>
      </x:c>
      <x:c r="V243" s="82" t="n">
        <x:v>324.8</x:v>
      </x:c>
      <x:c r="W243" s="82" t="n">
        <x:v>2.167159358</x:v>
      </x:c>
      <x:c r="X243" s="94" t="n">
        <x:v>5.367109091</x:v>
      </x:c>
      <x:c r="Y243" s="94" t="n">
        <x:v>959.7174818</x:v>
      </x:c>
      <x:c r="Z243" s="94" t="n">
        <x:v>18.45806682</x:v>
      </x:c>
      <x:c r="AA243" s="95" t="n">
        <x:v>-0.4456293328</x:v>
      </x:c>
      <x:c r="AB243" s="93" t="n">
        <x:v>0</x:v>
      </x:c>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75" t="str">
        <x:v>2025-10</x:v>
      </x:c>
      <x:c r="B244" s="91" t="n">
        <x:v>3877.844839</x:v>
      </x:c>
      <x:c r="C244" s="91" t="n">
        <x:v>64.54347826</x:v>
      </x:c>
      <x:c r="D244" s="91" t="n">
        <x:v>1092.1</x:v>
      </x:c>
      <x:c r="E244" s="91" t="n">
        <x:v>12985.78</x:v>
      </x:c>
      <x:c r="F244" s="82" t="n">
        <x:v>9.25</x:v>
      </x:c>
      <x:c r="G244" s="82" t="n">
        <x:v>4.09</x:v>
      </x:c>
      <x:c r="H244" s="82" t="n">
        <x:v>5.16</x:v>
      </x:c>
      <x:c r="I244" s="92" t="n">
        <x:v>-9455.491073</x:v>
      </x:c>
      <x:c r="J244" s="82" t="n">
        <x:v>6.18121828</x:v>
      </x:c>
      <x:c r="K244" s="82" t="n">
        <x:v>120.7618</x:v>
      </x:c>
      <x:c r="L244" s="82" t="n">
        <x:v>18.08652174</x:v>
      </x:c>
      <x:c r="M244" s="82" t="n">
        <x:v>163</x:v>
      </x:c>
      <x:c r="N244" s="93" t="n">
        <x:v>0</x:v>
      </x:c>
      <x:c r="O244" s="91" t="n">
        <x:v>65924.6</x:v>
      </x:c>
      <x:c r="P244" s="82" t="n">
        <x:v>12.05181818</x:v>
      </x:c>
      <x:c r="Q244" s="82" t="n">
        <x:v>4.061818182</x:v>
      </x:c>
      <x:c r="R244" s="82" t="n">
        <x:v>7.99</x:v>
      </x:c>
      <x:c r="S244" s="92" t="n">
        <x:v>-347.83</x:v>
      </x:c>
      <x:c r="T244" s="92" t="n">
        <x:v>-1488.35</x:v>
      </x:c>
      <x:c r="U244" s="82" t="n">
        <x:v>151.76</x:v>
      </x:c>
      <x:c r="V244" s="82" t="n">
        <x:v>324.461</x:v>
      </x:c>
      <x:c r="W244" s="82" t="n">
        <x:v>2.726629418</x:v>
      </x:c>
      <x:c r="X244" s="94" t="n">
        <x:v>5.385226087</x:v>
      </x:c>
      <x:c r="Y244" s="94" t="n">
        <x:v>952.6674087</x:v>
      </x:c>
      <x:c r="Z244" s="94" t="n">
        <x:v>18.39539043</x:v>
      </x:c>
      <x:c r="AA244" s="95" t="n">
        <x:v>-0.2050885162</x:v>
      </x:c>
      <x:c r="AB244" s="93" t="n">
        <x:v>1</x:v>
      </x:c>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75" t="str">
        <x:v>2025-11</x:v>
      </x:c>
      <x:c r="B245" s="91" t="n">
        <x:v>3786.183333</x:v>
      </x:c>
      <x:c r="C245" s="91" t="n">
        <x:v>63.797</x:v>
      </x:c>
      <x:c r="D245" s="91" t="n">
        <x:v>1070.69</x:v>
      </x:c>
      <x:c r="E245" s="91" t="n">
        <x:v>13023.28</x:v>
      </x:c>
      <x:c r="F245" s="82" t="n">
        <x:v>9.25</x:v>
      </x:c>
      <x:c r="G245" s="82" t="n">
        <x:v>3.88</x:v>
      </x:c>
      <x:c r="H245" s="82" t="n">
        <x:v>5.37</x:v>
      </x:c>
      <x:c r="I245" s="92" t="n">
        <x:v>-25812.60589</x:v>
      </x:c>
      <x:c r="J245" s="82" t="n">
        <x:v>6.592556047</x:v>
      </x:c>
      <x:c r="K245" s="82" t="n">
        <x:v>121.4177167</x:v>
      </x:c>
      <x:c r="L245" s="82" t="n">
        <x:v>19.7695</x:v>
      </x:c>
      <x:c r="M245" s="82" t="n">
        <x:v>162.01</x:v>
      </x:c>
      <x:c r="N245" s="93" t="n">
        <x:v>0</x:v>
      </x:c>
      <x:c r="O245" s="91" t="n">
        <x:v>66123.65</x:v>
      </x:c>
      <x:c r="P245" s="82" t="n">
        <x:v>12.52166667</x:v>
      </x:c>
      <x:c r="Q245" s="82" t="n">
        <x:v>4.093888889</x:v>
      </x:c>
      <x:c r="R245" s="82" t="n">
        <x:v>8.427777778</x:v>
      </x:c>
      <x:c r="S245" s="92" t="n">
        <x:v>-95.9</x:v>
      </x:c>
      <x:c r="T245" s="92" t="n">
        <x:v>-1071.79</x:v>
      </x:c>
      <x:c r="U245" s="82" t="n">
        <x:v>151.87</x:v>
      </x:c>
      <x:c r="V245" s="82" t="n">
        <x:v>324.122</x:v>
      </x:c>
      <x:c r="W245" s="82" t="n">
        <x:v>2.569311606</x:v>
      </x:c>
      <x:c r="X245" s="94" t="n">
        <x:v>5.34024</x:v>
      </x:c>
      <x:c r="Y245" s="94" t="n">
        <x:v>934.79846</x:v>
      </x:c>
      <x:c r="Z245" s="94" t="n">
        <x:v>18.386701</x:v>
      </x:c>
      <x:c r="AA245" s="95" t="n">
        <x:v>-0.4212607073</x:v>
      </x:c>
      <x:c r="AB245" s="93" t="n">
        <x:v>0</x:v>
      </x:c>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75" t="str">
        <x:v>2025-12</x:v>
      </x:c>
      <x:c r="B246" s="91" t="n">
        <x:v>3791.471935</x:v>
      </x:c>
      <x:c r="C246" s="91" t="n">
        <x:v>62.54428571</x:v>
      </x:c>
      <x:c r="D246" s="91" t="n">
        <x:v>1173.39</x:v>
      </x:c>
      <x:c r="E246" s="91" t="n">
        <x:v>13098.27</x:v>
      </x:c>
      <x:c r="F246" s="82" t="n">
        <x:v>9.25</x:v>
      </x:c>
      <x:c r="G246" s="82" t="n">
        <x:v>3.72</x:v>
      </x:c>
      <x:c r="H246" s="82" t="n">
        <x:v>5.53</x:v>
      </x:c>
      <x:c r="I246" s="92" t="n">
        <x:v>-7822.991807</x:v>
      </x:c>
      <x:c r="J246" s="82" t="n">
        <x:v>6.354401832</x:v>
      </x:c>
      <x:c r="K246" s="82" t="n">
        <x:v>120.1883227</x:v>
      </x:c>
      <x:c r="L246" s="82" t="n">
        <x:v>15.54818182</x:v>
      </x:c>
      <x:c r="M246" s="82" t="n">
        <x:v>163.76</x:v>
      </x:c>
      <x:c r="N246" s="93" t="n">
        <x:v>0</x:v>
      </x:c>
      <x:c r="O246" s="91" t="n">
        <x:v>66352.3</x:v>
      </x:c>
      <x:c r="P246" s="82" t="n">
        <x:v>12.8065</x:v>
      </x:c>
      <x:c r="Q246" s="82" t="n">
        <x:v>4.143181818</x:v>
      </x:c>
      <x:c r="R246" s="82" t="n">
        <x:v>8.663318182</x:v>
      </x:c>
      <x:c r="S246" s="92" t="n">
        <x:v>172.27</x:v>
      </x:c>
      <x:c r="T246" s="92" t="n">
        <x:v>-2432.35</x:v>
      </x:c>
      <x:c r="U246" s="82" t="n">
        <x:v>152.27</x:v>
      </x:c>
      <x:c r="V246" s="82" t="n">
        <x:v>324.054</x:v>
      </x:c>
      <x:c r="W246" s="82" t="n">
        <x:v>2.423692526</x:v>
      </x:c>
      <x:c r="X246" s="94" t="n">
        <x:v>5.456343478</x:v>
      </x:c>
      <x:c r="Y246" s="94" t="n">
        <x:v>913.9449913</x:v>
      </x:c>
      <x:c r="Z246" s="94" t="n">
        <x:v>18.04282565</x:v>
      </x:c>
      <x:c r="AA246" s="95" t="n">
        <x:v>-0.4150303452</x:v>
      </x:c>
      <x:c r="AB246" s="93" t="n">
        <x:v>0</x:v>
      </x:c>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75" t="str">
        <x:v>2026-01</x:v>
      </x:c>
      <x:c r="B247" s="91" t="n">
        <x:v>3702.999032</x:v>
      </x:c>
      <x:c r="C247" s="91" t="n">
        <x:v>66.60238095</x:v>
      </x:c>
      <x:c r="D247" s="91" t="n">
        <x:v>1020.11</x:v>
      </x:c>
      <x:c r="E247" s="91" t="n">
        <x:v>13108.72</x:v>
      </x:c>
      <x:c r="F247" s="82" t="n">
        <x:v>9.25</x:v>
      </x:c>
      <x:c r="G247" s="82" t="n">
        <x:v>3.64</x:v>
      </x:c>
      <x:c r="H247" s="82" t="n">
        <x:v>5.61</x:v>
      </x:c>
      <x:c r="I247" s="92" t="n">
        <x:v>-5666.100052</x:v>
      </x:c>
      <x:c r="J247" s="82" t="n">
        <x:v>5.496041161</x:v>
      </x:c>
      <x:c r="K247" s="82" t="n">
        <x:v>119.22981</x:v>
      </x:c>
      <x:c r="L247" s="82" t="n">
        <x:v>16.17904762</x:v>
      </x:c>
      <x:c r="M247" s="82" t="n">
        <x:v>164.09</x:v>
      </x:c>
      <x:c r="N247" s="93" t="n">
        <x:v>0</x:v>
      </x:c>
      <x:c r="O247" s="91" t="n">
        <x:v>66929.82</x:v>
      </x:c>
      <x:c r="P247" s="82" t="n">
        <x:v>12.731</x:v>
      </x:c>
      <x:c r="Q247" s="82" t="n">
        <x:v>4.2135</x:v>
      </x:c>
      <x:c r="R247" s="82" t="n">
        <x:v>8.5175</x:v>
      </x:c>
      <x:c r="S247" s="92" t="n">
        <x:v>79.91</x:v>
      </x:c>
      <x:c r="T247" s="92" t="n">
        <x:v>-1672.63</x:v>
      </x:c>
      <x:c r="U247" s="82" t="n">
        <x:v>154.07</x:v>
      </x:c>
      <x:c r="V247" s="82" t="n">
        <x:v>325.252</x:v>
      </x:c>
      <x:c r="W247" s="82" t="n">
        <x:v>2.967781009</x:v>
      </x:c>
      <x:c r="X247" s="94" t="n">
        <x:v>5.345190909</x:v>
      </x:c>
      <x:c r="Y247" s="94" t="n">
        <x:v>882.6829682</x:v>
      </x:c>
      <x:c r="Z247" s="94" t="n">
        <x:v>17.62665955</x:v>
      </x:c>
      <x:c r="AA247" s="95" t="n">
        <x:v>-1.003894719</x:v>
      </x:c>
      <x:c r="AB247" s="93" t="n">
        <x:v>0</x:v>
      </x:c>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75" t="str">
        <x:v>2026-02</x:v>
      </x:c>
      <x:c r="B248" s="91" t="n">
        <x:v>3675.641429</x:v>
      </x:c>
      <x:c r="C248" s="91" t="n">
        <x:v>70.887</x:v>
      </x:c>
      <x:c r="D248" s="91" t="n">
        <x:v>1101.16</x:v>
      </x:c>
      <x:c r="E248" s="91" t="n">
        <x:v>13178.25</x:v>
      </x:c>
      <x:c r="F248" s="82" t="n">
        <x:v>10.21428571</x:v>
      </x:c>
      <x:c r="G248" s="82" t="n">
        <x:v>3.64</x:v>
      </x:c>
      <x:c r="H248" s="82" t="n">
        <x:v>6.574285714</x:v>
      </x:c>
      <x:c r="I248" s="92" t="n">
        <x:v>-28017.28184</x:v>
      </x:c>
      <x:c r="J248" s="82" t="n">
        <x:v>6.021341708</x:v>
      </x:c>
      <x:c r="K248" s="82" t="n">
        <x:v>117.9060211</x:v>
      </x:c>
      <x:c r="L248" s="82" t="n">
        <x:v>19.207</x:v>
      </x:c>
      <x:c r="M248" s="82" t="n">
        <x:v>165.05</x:v>
      </x:c>
      <x:c r="N248" s="93" t="n">
        <x:v>0</x:v>
      </x:c>
      <x:c r="O248" s="91" t="n">
        <x:v>67424.11</x:v>
      </x:c>
      <x:c r="P248" s="82" t="n">
        <x:v>13.207</x:v>
      </x:c>
      <x:c r="Q248" s="82" t="n">
        <x:v>4.125789474</x:v>
      </x:c>
      <x:c r="R248" s="82" t="n">
        <x:v>9.081210526</x:v>
      </x:c>
      <x:c r="S248" s="92" t="n">
        <x:v>446.75</x:v>
      </x:c>
      <x:c r="T248" s="92" t="n">
        <x:v>-2646.36</x:v>
      </x:c>
      <x:c r="U248" s="82" t="n">
        <x:v>155.73</x:v>
      </x:c>
      <x:c r="V248" s="82" t="n">
        <x:v>326.785</x:v>
      </x:c>
      <x:c r="W248" s="82" t="n">
        <x:v>2.88000466</x:v>
      </x:c>
      <x:c r="X248" s="94" t="n">
        <x:v>5.203135</x:v>
      </x:c>
      <x:c r="Y248" s="94" t="n">
        <x:v>862.716485</x:v>
      </x:c>
      <x:c r="Z248" s="94" t="n">
        <x:v>17.187973</x:v>
      </x:c>
      <x:c r="AA248" s="95" t="n">
        <x:v>-0.9351712405</x:v>
      </x:c>
      <x:c r="AB248" s="93" t="n">
        <x:v>0</x:v>
      </x:c>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75" t="str">
        <x:v>2026-03</x:v>
      </x:c>
      <x:c r="B249" s="91" t="n">
        <x:v>3717.557419</x:v>
      </x:c>
      <x:c r="C249" s="91" t="n">
        <x:v>103.1345455</x:v>
      </x:c>
      <x:c r="D249" s="91" t="n">
        <x:v>1225.69</x:v>
      </x:c>
      <x:c r="E249" s="91" t="n">
        <x:v>13314.61</x:v>
      </x:c>
      <x:c r="F249" s="82" t="n">
        <x:v>10.25</x:v>
      </x:c>
      <x:c r="G249" s="82" t="n">
        <x:v>3.64</x:v>
      </x:c>
      <x:c r="H249" s="82" t="n">
        <x:v>6.61</x:v>
      </x:c>
      <x:c r="I249" s="92" t="n">
        <x:v>-2351.738572</x:v>
      </x:c>
      <x:c r="J249" s="82" t="n">
        <x:v>5.76200041</x:v>
      </x:c>
      <x:c r="K249" s="82" t="n">
        <x:v>119.9198545</x:v>
      </x:c>
      <x:c r="L249" s="82" t="n">
        <x:v>25.59681818</x:v>
      </x:c>
      <x:c r="M249" s="82" t="n">
        <x:v>180.04</x:v>
      </x:c>
      <x:c r="N249" s="93" t="n">
        <x:v>0</x:v>
      </x:c>
      <x:c r="O249" s="91" t="n">
        <x:v>66611.03</x:v>
      </x:c>
      <x:c r="P249" s="82" t="n">
        <x:v>13.55666667</x:v>
      </x:c>
      <x:c r="Q249" s="82" t="n">
        <x:v>4.245909091</x:v>
      </x:c>
      <x:c r="R249" s="82" t="n">
        <x:v>9.310757576</x:v>
      </x:c>
      <x:c r="S249" s="92" t="n">
        <x:v>231.61</x:v>
      </x:c>
      <x:c r="T249" s="92" t="n">
        <x:v>-3652.38</x:v>
      </x:c>
      <x:c r="U249" s="82" t="n">
        <x:v>156.94</x:v>
      </x:c>
      <x:c r="V249" s="82" t="n">
        <x:v>330.213</x:v>
      </x:c>
      <x:c r="W249" s="82" t="n">
        <x:v>2.299135116</x:v>
      </x:c>
      <x:c r="X249" s="94" t="n">
        <x:v>5.231281818</x:v>
      </x:c>
      <x:c r="Y249" s="94" t="n">
        <x:v>912.7447773</x:v>
      </x:c>
      <x:c r="Z249" s="94" t="n">
        <x:v>17.69336409</x:v>
      </x:c>
      <x:c r="AA249" s="95" t="n">
        <x:v>0.9966247935</x:v>
      </x:c>
      <x:c r="AB249" s="93" t="n">
        <x:v>0</x:v>
      </x:c>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75" t="str">
        <x:v>2026-04</x:v>
      </x:c>
      <x:c r="B250" s="91" t="n">
        <x:v>3617.518667</x:v>
      </x:c>
      <x:c r="C250" s="91" t="n">
        <x:v>117.2875</x:v>
      </x:c>
      <x:c r="D250" s="91" t="n">
        <x:v>1102.86</x:v>
      </x:c>
      <x:c r="E250" s="91" t="n">
        <x:v>13320.06</x:v>
      </x:c>
      <x:c r="F250" s="82" t="n">
        <x:v>11.25</x:v>
      </x:c>
      <x:c r="G250" s="82" t="n">
        <x:v>3.64</x:v>
      </x:c>
      <x:c r="H250" s="82" t="n">
        <x:v>7.61</x:v>
      </x:c>
      <x:c r="I250" s="92" t="n">
        <x:v>-9092.641521</x:v>
      </x:c>
      <x:c r="J250" s="82" t="n">
        <x:v>5.539075577</x:v>
      </x:c>
      <x:c r="K250" s="82" t="n">
        <x:v>119.0363182</x:v>
      </x:c>
      <x:c r="L250" s="82" t="n">
        <x:v>19.81190476</x:v>
      </x:c>
      <x:c r="M250" s="82" t="n">
        <x:v>185.04</x:v>
      </x:c>
      <x:c r="N250" s="93" t="n">
        <x:v>0</x:v>
      </x:c>
      <x:c r="O250" s="91" t="n">
        <x:v>67153.55</x:v>
      </x:c>
      <x:c r="P250" s="82" t="n">
        <x:v>13.2055</x:v>
      </x:c>
      <x:c r="Q250" s="82" t="n">
        <x:v>4.319090909</x:v>
      </x:c>
      <x:c r="R250" s="82" t="n">
        <x:v>8.886409091</x:v>
      </x:c>
      <x:c r="S250" s="92" t="n">
        <x:v>-29.74</x:v>
      </x:c>
      <x:c r="T250" s="92" t="n">
        <x:v>-1565.95</x:v>
      </x:c>
      <x:c r="U250" s="82" t="n">
        <x:v>158.17</x:v>
      </x:c>
      <x:c r="V250" s="82" t="n">
        <x:v>333.02</x:v>
      </x:c>
      <x:c r="W250" s="82" t="n">
        <x:v>1.875377171</x:v>
      </x:c>
      <x:c r="X250" s="94" t="n">
        <x:v>5.036581818</x:v>
      </x:c>
      <x:c r="Y250" s="94" t="n">
        <x:v>898.3015682</x:v>
      </x:c>
      <x:c r="Z250" s="94" t="n">
        <x:v>17.426435</x:v>
      </x:c>
      <x:c r="AA250" s="95" t="n">
        <x:v>-0.8289013011</x:v>
      </x:c>
      <x:c r="AB250" s="93" t="n">
        <x:v>0</x:v>
      </x:c>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AB1"/>
    <x:mergeCell ref="A2:AB3"/>
  </x:mergeCells>
  <x:conditionalFormatting sqref="AB6:AB250">
    <x:cfRule type="cellIs" dxfId="0" priority="1" operator="equal">
      <x:formula>1</x:formula>
    </x:cfRule>
  </x:conditionalFormatting>
  <x:pageMargins left="0.7" right="0.7" top="0.75" bottom="0.75" header="0.3" footer="0.3"/>
  <x:legacyDrawing xmlns:r="http://schemas.openxmlformats.org/officeDocument/2006/relationships" r:id="R35b231ef290642c0"/>
  <x:tableParts count="1">
    <x:tablePart xmlns:r="http://schemas.openxmlformats.org/officeDocument/2006/relationships" r:id="Rbc1e0953b3e640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s>
  <x:sheetData>
    <x:row r="1" ht="30" customHeight="1">
      <x:c r="A1" s="4" t="str">
        <x:v>Transformaciones del modelo</x:v>
      </x:c>
      <x:c r="B1" s="4" t="str">
        <x:v>Transformaciones del modelo</x:v>
      </x:c>
      <x:c r="C1" s="4" t="str">
        <x:v>Transformaciones del modelo</x:v>
      </x:c>
      <x:c r="D1" s="4" t="str">
        <x:v>Transformaciones del modelo</x:v>
      </x:c>
      <x:c r="E1" s="4" t="str">
        <x:v>Transformaciones del modelo</x:v>
      </x:c>
      <x:c r="F1" s="4" t="str">
        <x:v>Transformaciones del modelo</x:v>
      </x:c>
      <x:c r="G1" s="4" t="str">
        <x:v>Transformaciones del modelo</x:v>
      </x:c>
      <x:c r="H1" s="4" t="str">
        <x:v>Transformaciones del modelo</x:v>
      </x:c>
      <x:c r="I1" s="4" t="str">
        <x:v>Transformaciones del modelo</x:v>
      </x:c>
      <x:c r="J1" s="4" t="str">
        <x:v>Transformaciones del modelo</x:v>
      </x:c>
      <x:c r="K1" s="4" t="str">
        <x:v>Transformaciones del modelo</x:v>
      </x:c>
      <x:c r="L1" s="4" t="str">
        <x:v>Transformaciones del modelo</x:v>
      </x:c>
      <x:c r="M1" s="4" t="str">
        <x:v>Transformaciones del modelo</x:v>
      </x:c>
      <x:c r="N1" s="4" t="str">
        <x:v>Transformaciones del modelo</x:v>
      </x:c>
      <x:c r="O1" s="4" t="str">
        <x:v>Transformaciones del modelo</x:v>
      </x:c>
      <x:c r="P1" s="4" t="str">
        <x:v>Transformaciones del modelo</x:v>
      </x:c>
      <x:c r="Q1" s="4" t="str">
        <x:v>Transformaciones del modelo</x:v>
      </x:c>
      <x:c r="R1" s="4" t="str">
        <x:v>Transformaciones del modelo</x:v>
      </x:c>
      <x:c r="S1" s="4" t="str">
        <x:v>Transformaciones del modelo</x:v>
      </x:c>
      <x:c r="T1" s="4" t="str">
        <x:v>Transformaciones del modelo</x:v>
      </x:c>
      <x:c r="U1" s="4" t="str">
        <x:v>Transformaciones del modelo</x:v>
      </x:c>
      <x:c r="V1" s="4" t="str">
        <x:v>Transformaciones del modelo</x:v>
      </x:c>
      <x:c r="W1" s="4" t="str">
        <x:v>Transformaciones del modelo</x:v>
      </x:c>
      <x:c r="X1" s="4" t="str">
        <x:v>Transformaciones del modelo</x:v>
      </x:c>
      <x:c r="Y1" s="4" t="str">
        <x:v>Transformaciones del modelo</x:v>
      </x:c>
      <x:c r="Z1" s="4" t="str">
        <x:v>Transformaciones del modelo</x:v>
      </x:c>
      <x:c r="AA1" s="4" t="str">
        <x:v>Transformaciones del modelo</x:v>
      </x:c>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Todas las transformaciones son fórmulas enlazadas a Datos_fuente. Δ indica cambio mensual; ln indica logaritmo natural; asinh conserva el signo de los flujos y reduce el peso de valores extremos. Los rezagos se aplican al estimar cada especificación.</x:v>
      </x:c>
      <x:c r="B2" s="7" t="str">
        <x:v>Todas las transformaciones son fórmulas enlazadas a Datos_fuente. Δ indica cambio mensual; ln indica logaritmo natural; asinh conserva el signo de los flujos y reduce el peso de valores extremos. Los rezagos se aplican al estimar cada especificación.</x:v>
      </x:c>
      <x:c r="C2" s="7" t="str">
        <x:v>Todas las transformaciones son fórmulas enlazadas a Datos_fuente. Δ indica cambio mensual; ln indica logaritmo natural; asinh conserva el signo de los flujos y reduce el peso de valores extremos. Los rezagos se aplican al estimar cada especificación.</x:v>
      </x:c>
      <x:c r="D2" s="7" t="str">
        <x:v>Todas las transformaciones son fórmulas enlazadas a Datos_fuente. Δ indica cambio mensual; ln indica logaritmo natural; asinh conserva el signo de los flujos y reduce el peso de valores extremos. Los rezagos se aplican al estimar cada especificación.</x:v>
      </x:c>
      <x:c r="E2" s="7" t="str">
        <x:v>Todas las transformaciones son fórmulas enlazadas a Datos_fuente. Δ indica cambio mensual; ln indica logaritmo natural; asinh conserva el signo de los flujos y reduce el peso de valores extremos. Los rezagos se aplican al estimar cada especificación.</x:v>
      </x:c>
      <x:c r="F2" s="7" t="str">
        <x:v>Todas las transformaciones son fórmulas enlazadas a Datos_fuente. Δ indica cambio mensual; ln indica logaritmo natural; asinh conserva el signo de los flujos y reduce el peso de valores extremos. Los rezagos se aplican al estimar cada especificación.</x:v>
      </x:c>
      <x:c r="G2" s="7" t="str">
        <x:v>Todas las transformaciones son fórmulas enlazadas a Datos_fuente. Δ indica cambio mensual; ln indica logaritmo natural; asinh conserva el signo de los flujos y reduce el peso de valores extremos. Los rezagos se aplican al estimar cada especificación.</x:v>
      </x:c>
      <x:c r="H2" s="7" t="str">
        <x:v>Todas las transformaciones son fórmulas enlazadas a Datos_fuente. Δ indica cambio mensual; ln indica logaritmo natural; asinh conserva el signo de los flujos y reduce el peso de valores extremos. Los rezagos se aplican al estimar cada especificación.</x:v>
      </x:c>
      <x:c r="I2" s="7" t="str">
        <x:v>Todas las transformaciones son fórmulas enlazadas a Datos_fuente. Δ indica cambio mensual; ln indica logaritmo natural; asinh conserva el signo de los flujos y reduce el peso de valores extremos. Los rezagos se aplican al estimar cada especificación.</x:v>
      </x:c>
      <x:c r="J2" s="7" t="str">
        <x:v>Todas las transformaciones son fórmulas enlazadas a Datos_fuente. Δ indica cambio mensual; ln indica logaritmo natural; asinh conserva el signo de los flujos y reduce el peso de valores extremos. Los rezagos se aplican al estimar cada especificación.</x:v>
      </x:c>
      <x:c r="K2" s="7" t="str">
        <x:v>Todas las transformaciones son fórmulas enlazadas a Datos_fuente. Δ indica cambio mensual; ln indica logaritmo natural; asinh conserva el signo de los flujos y reduce el peso de valores extremos. Los rezagos se aplican al estimar cada especificación.</x:v>
      </x:c>
      <x:c r="L2" s="7" t="str">
        <x:v>Todas las transformaciones son fórmulas enlazadas a Datos_fuente. Δ indica cambio mensual; ln indica logaritmo natural; asinh conserva el signo de los flujos y reduce el peso de valores extremos. Los rezagos se aplican al estimar cada especificación.</x:v>
      </x:c>
      <x:c r="M2" s="7" t="str">
        <x:v>Todas las transformaciones son fórmulas enlazadas a Datos_fuente. Δ indica cambio mensual; ln indica logaritmo natural; asinh conserva el signo de los flujos y reduce el peso de valores extremos. Los rezagos se aplican al estimar cada especificación.</x:v>
      </x:c>
      <x:c r="N2" s="7" t="str">
        <x:v>Todas las transformaciones son fórmulas enlazadas a Datos_fuente. Δ indica cambio mensual; ln indica logaritmo natural; asinh conserva el signo de los flujos y reduce el peso de valores extremos. Los rezagos se aplican al estimar cada especificación.</x:v>
      </x:c>
      <x:c r="O2" s="7" t="str">
        <x:v>Todas las transformaciones son fórmulas enlazadas a Datos_fuente. Δ indica cambio mensual; ln indica logaritmo natural; asinh conserva el signo de los flujos y reduce el peso de valores extremos. Los rezagos se aplican al estimar cada especificación.</x:v>
      </x:c>
      <x:c r="P2" s="7" t="str">
        <x:v>Todas las transformaciones son fórmulas enlazadas a Datos_fuente. Δ indica cambio mensual; ln indica logaritmo natural; asinh conserva el signo de los flujos y reduce el peso de valores extremos. Los rezagos se aplican al estimar cada especificación.</x:v>
      </x:c>
      <x:c r="Q2" s="7" t="str">
        <x:v>Todas las transformaciones son fórmulas enlazadas a Datos_fuente. Δ indica cambio mensual; ln indica logaritmo natural; asinh conserva el signo de los flujos y reduce el peso de valores extremos. Los rezagos se aplican al estimar cada especificación.</x:v>
      </x:c>
      <x:c r="R2" s="7" t="str">
        <x:v>Todas las transformaciones son fórmulas enlazadas a Datos_fuente. Δ indica cambio mensual; ln indica logaritmo natural; asinh conserva el signo de los flujos y reduce el peso de valores extremos. Los rezagos se aplican al estimar cada especificación.</x:v>
      </x:c>
      <x:c r="S2" s="7" t="str">
        <x:v>Todas las transformaciones son fórmulas enlazadas a Datos_fuente. Δ indica cambio mensual; ln indica logaritmo natural; asinh conserva el signo de los flujos y reduce el peso de valores extremos. Los rezagos se aplican al estimar cada especificación.</x:v>
      </x:c>
      <x:c r="T2" s="7" t="str">
        <x:v>Todas las transformaciones son fórmulas enlazadas a Datos_fuente. Δ indica cambio mensual; ln indica logaritmo natural; asinh conserva el signo de los flujos y reduce el peso de valores extremos. Los rezagos se aplican al estimar cada especificación.</x:v>
      </x:c>
      <x:c r="U2" s="7" t="str">
        <x:v>Todas las transformaciones son fórmulas enlazadas a Datos_fuente. Δ indica cambio mensual; ln indica logaritmo natural; asinh conserva el signo de los flujos y reduce el peso de valores extremos. Los rezagos se aplican al estimar cada especificación.</x:v>
      </x:c>
      <x:c r="V2" s="7" t="str">
        <x:v>Todas las transformaciones son fórmulas enlazadas a Datos_fuente. Δ indica cambio mensual; ln indica logaritmo natural; asinh conserva el signo de los flujos y reduce el peso de valores extremos. Los rezagos se aplican al estimar cada especificación.</x:v>
      </x:c>
      <x:c r="W2" s="7" t="str">
        <x:v>Todas las transformaciones son fórmulas enlazadas a Datos_fuente. Δ indica cambio mensual; ln indica logaritmo natural; asinh conserva el signo de los flujos y reduce el peso de valores extremos. Los rezagos se aplican al estimar cada especificación.</x:v>
      </x:c>
      <x:c r="X2" s="7" t="str">
        <x:v>Todas las transformaciones son fórmulas enlazadas a Datos_fuente. Δ indica cambio mensual; ln indica logaritmo natural; asinh conserva el signo de los flujos y reduce el peso de valores extremos. Los rezagos se aplican al estimar cada especificación.</x:v>
      </x:c>
      <x:c r="Y2" s="7" t="str">
        <x:v>Todas las transformaciones son fórmulas enlazadas a Datos_fuente. Δ indica cambio mensual; ln indica logaritmo natural; asinh conserva el signo de los flujos y reduce el peso de valores extremos. Los rezagos se aplican al estimar cada especificación.</x:v>
      </x:c>
      <x:c r="Z2" s="7" t="str">
        <x:v>Todas las transformaciones son fórmulas enlazadas a Datos_fuente. Δ indica cambio mensual; ln indica logaritmo natural; asinh conserva el signo de los flujos y reduce el peso de valores extremos. Los rezagos se aplican al estimar cada especificación.</x:v>
      </x:c>
      <x:c r="AA2" s="7" t="str">
        <x:v>Todas las transformaciones son fórmulas enlazadas a Datos_fuente. Δ indica cambio mensual; ln indica logaritmo natural; asinh conserva el signo de los flujos y reduce el peso de valores extremos. Los rezagos se aplican al estimar cada especificación.</x:v>
      </x:c>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Todas las transformaciones son fórmulas enlazadas a Datos_fuente. Δ indica cambio mensual; ln indica logaritmo natural; asinh conserva el signo de los flujos y reduce el peso de valores extremos. Los rezagos se aplican al estimar cada especificación.</x:v>
      </x:c>
      <x:c r="B3" s="7" t="str">
        <x:v>Todas las transformaciones son fórmulas enlazadas a Datos_fuente. Δ indica cambio mensual; ln indica logaritmo natural; asinh conserva el signo de los flujos y reduce el peso de valores extremos. Los rezagos se aplican al estimar cada especificación.</x:v>
      </x:c>
      <x:c r="C3" s="7" t="str">
        <x:v>Todas las transformaciones son fórmulas enlazadas a Datos_fuente. Δ indica cambio mensual; ln indica logaritmo natural; asinh conserva el signo de los flujos y reduce el peso de valores extremos. Los rezagos se aplican al estimar cada especificación.</x:v>
      </x:c>
      <x:c r="D3" s="7" t="str">
        <x:v>Todas las transformaciones son fórmulas enlazadas a Datos_fuente. Δ indica cambio mensual; ln indica logaritmo natural; asinh conserva el signo de los flujos y reduce el peso de valores extremos. Los rezagos se aplican al estimar cada especificación.</x:v>
      </x:c>
      <x:c r="E3" s="7" t="str">
        <x:v>Todas las transformaciones son fórmulas enlazadas a Datos_fuente. Δ indica cambio mensual; ln indica logaritmo natural; asinh conserva el signo de los flujos y reduce el peso de valores extremos. Los rezagos se aplican al estimar cada especificación.</x:v>
      </x:c>
      <x:c r="F3" s="7" t="str">
        <x:v>Todas las transformaciones son fórmulas enlazadas a Datos_fuente. Δ indica cambio mensual; ln indica logaritmo natural; asinh conserva el signo de los flujos y reduce el peso de valores extremos. Los rezagos se aplican al estimar cada especificación.</x:v>
      </x:c>
      <x:c r="G3" s="7" t="str">
        <x:v>Todas las transformaciones son fórmulas enlazadas a Datos_fuente. Δ indica cambio mensual; ln indica logaritmo natural; asinh conserva el signo de los flujos y reduce el peso de valores extremos. Los rezagos se aplican al estimar cada especificación.</x:v>
      </x:c>
      <x:c r="H3" s="7" t="str">
        <x:v>Todas las transformaciones son fórmulas enlazadas a Datos_fuente. Δ indica cambio mensual; ln indica logaritmo natural; asinh conserva el signo de los flujos y reduce el peso de valores extremos. Los rezagos se aplican al estimar cada especificación.</x:v>
      </x:c>
      <x:c r="I3" s="7" t="str">
        <x:v>Todas las transformaciones son fórmulas enlazadas a Datos_fuente. Δ indica cambio mensual; ln indica logaritmo natural; asinh conserva el signo de los flujos y reduce el peso de valores extremos. Los rezagos se aplican al estimar cada especificación.</x:v>
      </x:c>
      <x:c r="J3" s="7" t="str">
        <x:v>Todas las transformaciones son fórmulas enlazadas a Datos_fuente. Δ indica cambio mensual; ln indica logaritmo natural; asinh conserva el signo de los flujos y reduce el peso de valores extremos. Los rezagos se aplican al estimar cada especificación.</x:v>
      </x:c>
      <x:c r="K3" s="7" t="str">
        <x:v>Todas las transformaciones son fórmulas enlazadas a Datos_fuente. Δ indica cambio mensual; ln indica logaritmo natural; asinh conserva el signo de los flujos y reduce el peso de valores extremos. Los rezagos se aplican al estimar cada especificación.</x:v>
      </x:c>
      <x:c r="L3" s="7" t="str">
        <x:v>Todas las transformaciones son fórmulas enlazadas a Datos_fuente. Δ indica cambio mensual; ln indica logaritmo natural; asinh conserva el signo de los flujos y reduce el peso de valores extremos. Los rezagos se aplican al estimar cada especificación.</x:v>
      </x:c>
      <x:c r="M3" s="7" t="str">
        <x:v>Todas las transformaciones son fórmulas enlazadas a Datos_fuente. Δ indica cambio mensual; ln indica logaritmo natural; asinh conserva el signo de los flujos y reduce el peso de valores extremos. Los rezagos se aplican al estimar cada especificación.</x:v>
      </x:c>
      <x:c r="N3" s="7" t="str">
        <x:v>Todas las transformaciones son fórmulas enlazadas a Datos_fuente. Δ indica cambio mensual; ln indica logaritmo natural; asinh conserva el signo de los flujos y reduce el peso de valores extremos. Los rezagos se aplican al estimar cada especificación.</x:v>
      </x:c>
      <x:c r="O3" s="7" t="str">
        <x:v>Todas las transformaciones son fórmulas enlazadas a Datos_fuente. Δ indica cambio mensual; ln indica logaritmo natural; asinh conserva el signo de los flujos y reduce el peso de valores extremos. Los rezagos se aplican al estimar cada especificación.</x:v>
      </x:c>
      <x:c r="P3" s="7" t="str">
        <x:v>Todas las transformaciones son fórmulas enlazadas a Datos_fuente. Δ indica cambio mensual; ln indica logaritmo natural; asinh conserva el signo de los flujos y reduce el peso de valores extremos. Los rezagos se aplican al estimar cada especificación.</x:v>
      </x:c>
      <x:c r="Q3" s="7" t="str">
        <x:v>Todas las transformaciones son fórmulas enlazadas a Datos_fuente. Δ indica cambio mensual; ln indica logaritmo natural; asinh conserva el signo de los flujos y reduce el peso de valores extremos. Los rezagos se aplican al estimar cada especificación.</x:v>
      </x:c>
      <x:c r="R3" s="7" t="str">
        <x:v>Todas las transformaciones son fórmulas enlazadas a Datos_fuente. Δ indica cambio mensual; ln indica logaritmo natural; asinh conserva el signo de los flujos y reduce el peso de valores extremos. Los rezagos se aplican al estimar cada especificación.</x:v>
      </x:c>
      <x:c r="S3" s="7" t="str">
        <x:v>Todas las transformaciones son fórmulas enlazadas a Datos_fuente. Δ indica cambio mensual; ln indica logaritmo natural; asinh conserva el signo de los flujos y reduce el peso de valores extremos. Los rezagos se aplican al estimar cada especificación.</x:v>
      </x:c>
      <x:c r="T3" s="7" t="str">
        <x:v>Todas las transformaciones son fórmulas enlazadas a Datos_fuente. Δ indica cambio mensual; ln indica logaritmo natural; asinh conserva el signo de los flujos y reduce el peso de valores extremos. Los rezagos se aplican al estimar cada especificación.</x:v>
      </x:c>
      <x:c r="U3" s="7" t="str">
        <x:v>Todas las transformaciones son fórmulas enlazadas a Datos_fuente. Δ indica cambio mensual; ln indica logaritmo natural; asinh conserva el signo de los flujos y reduce el peso de valores extremos. Los rezagos se aplican al estimar cada especificación.</x:v>
      </x:c>
      <x:c r="V3" s="7" t="str">
        <x:v>Todas las transformaciones son fórmulas enlazadas a Datos_fuente. Δ indica cambio mensual; ln indica logaritmo natural; asinh conserva el signo de los flujos y reduce el peso de valores extremos. Los rezagos se aplican al estimar cada especificación.</x:v>
      </x:c>
      <x:c r="W3" s="7" t="str">
        <x:v>Todas las transformaciones son fórmulas enlazadas a Datos_fuente. Δ indica cambio mensual; ln indica logaritmo natural; asinh conserva el signo de los flujos y reduce el peso de valores extremos. Los rezagos se aplican al estimar cada especificación.</x:v>
      </x:c>
      <x:c r="X3" s="7" t="str">
        <x:v>Todas las transformaciones son fórmulas enlazadas a Datos_fuente. Δ indica cambio mensual; ln indica logaritmo natural; asinh conserva el signo de los flujos y reduce el peso de valores extremos. Los rezagos se aplican al estimar cada especificación.</x:v>
      </x:c>
      <x:c r="Y3" s="7" t="str">
        <x:v>Todas las transformaciones son fórmulas enlazadas a Datos_fuente. Δ indica cambio mensual; ln indica logaritmo natural; asinh conserva el signo de los flujos y reduce el peso de valores extremos. Los rezagos se aplican al estimar cada especificación.</x:v>
      </x:c>
      <x:c r="Z3" s="7" t="str">
        <x:v>Todas las transformaciones son fórmulas enlazadas a Datos_fuente. Δ indica cambio mensual; ln indica logaritmo natural; asinh conserva el signo de los flujos y reduce el peso de valores extremos. Los rezagos se aplican al estimar cada especificación.</x:v>
      </x:c>
      <x:c r="AA3" s="7" t="str">
        <x:v>Todas las transformaciones son fórmulas enlazadas a Datos_fuente. Δ indica cambio mensual; ln indica logaritmo natural; asinh conserva el signo de los flujos y reduce el peso de valores extremos. Los rezagos se aplican al estimar cada especificación.</x:v>
      </x:c>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48" customHeight="1">
      <x:c r="A5" s="54" t="str">
        <x:v>Mes</x:v>
      </x:c>
      <x:c r="B5" s="54" t="str">
        <x:v>ln TRM</x:v>
      </x:c>
      <x:c r="C5" s="54" t="str">
        <x:v>Δln TRM</x:v>
      </x:c>
      <x:c r="D5" s="54" t="str">
        <x:v>ln Brent</x:v>
      </x:c>
      <x:c r="E5" s="54" t="str">
        <x:v>Δln Brent</x:v>
      </x:c>
      <x:c r="F5" s="54" t="str">
        <x:v>ln remesas 12m</x:v>
      </x:c>
      <x:c r="G5" s="54" t="str">
        <x:v>Δln remesas 12m</x:v>
      </x:c>
      <x:c r="H5" s="54" t="str">
        <x:v>Diferencial tasas</x:v>
      </x:c>
      <x:c r="I5" s="54" t="str">
        <x:v>Δ diferencial</x:v>
      </x:c>
      <x:c r="J5" s="54" t="str">
        <x:v>Déficit 12m/PIB</x:v>
      </x:c>
      <x:c r="K5" s="54" t="str">
        <x:v>Δ déficit</x:v>
      </x:c>
      <x:c r="L5" s="54" t="str">
        <x:v>ln dólar amplio</x:v>
      </x:c>
      <x:c r="M5" s="54" t="str">
        <x:v>Δln dólar amplio</x:v>
      </x:c>
      <x:c r="N5" s="54" t="str">
        <x:v>ln VIX</x:v>
      </x:c>
      <x:c r="O5" s="54" t="str">
        <x:v>Δln VIX</x:v>
      </x:c>
      <x:c r="P5" s="54" t="str">
        <x:v>Pandemia</x:v>
      </x:c>
      <x:c r="Q5" s="54" t="str">
        <x:v>ln reservas netas sin FLAR</x:v>
      </x:c>
      <x:c r="R5" s="54" t="str">
        <x:v>Δln reservas</x:v>
      </x:c>
      <x:c r="S5" s="54" t="str">
        <x:v>Spread TES−UST 10 años</x:v>
      </x:c>
      <x:c r="T5" s="54" t="str">
        <x:v>Δ spread TES−UST</x:v>
      </x:c>
      <x:c r="U5" s="54" t="str">
        <x:v>asinh balanza (USD miles de millones)</x:v>
      </x:c>
      <x:c r="V5" s="54" t="str">
        <x:v>Δ asinh balanza</x:v>
      </x:c>
      <x:c r="W5" s="54" t="str">
        <x:v>asinh flujos (USD miles de millones)</x:v>
      </x:c>
      <x:c r="X5" s="54" t="str">
        <x:v>Δ asinh flujos</x:v>
      </x:c>
      <x:c r="Y5" s="54" t="str">
        <x:v>Diferencial inflación</x:v>
      </x:c>
      <x:c r="Z5" s="54" t="str">
        <x:v>Δ diferencial inflación</x:v>
      </x:c>
      <x:c r="AA5" s="54" t="str">
        <x:v>Factor regional estandarizado</x:v>
      </x:c>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 t="str">
        <x:f>'Datos_fuente'!A6</x:f>
        <x:v>2005-12</x:v>
      </x:c>
      <x:c r="B6" s="90" t="n">
        <x:f>IF('Datos_fuente'!B6="","",LN('Datos_fuente'!B6))</x:f>
        <x:v>7.7312898828830585</x:v>
      </x:c>
      <x:c r="C6" s="90"/>
      <x:c r="D6" s="90" t="n">
        <x:f>IF('Datos_fuente'!C6="","",LN('Datos_fuente'!C6))</x:f>
        <x:v>4.040516730360709</x:v>
      </x:c>
      <x:c r="E6" s="90"/>
      <x:c r="F6" s="90" t="n">
        <x:f>IF('Datos_fuente'!E6="","",LN('Datos_fuente'!E6))</x:f>
        <x:v>8.105829722126705</x:v>
      </x:c>
      <x:c r="G6" s="90"/>
      <x:c r="H6" s="55" t="n">
        <x:f>'Datos_fuente'!H6</x:f>
        <x:v>1.84</x:v>
      </x:c>
      <x:c r="I6" s="55"/>
      <x:c r="J6" s="55" t="n">
        <x:f>'Datos_fuente'!J6</x:f>
        <x:v>3.997397732</x:v>
      </x:c>
      <x:c r="K6" s="55"/>
      <x:c r="L6" s="90" t="str">
        <x:f>IF('Datos_fuente'!K6="","",LN('Datos_fuente'!K6))</x:f>
      </x:c>
      <x:c r="M6" s="90"/>
      <x:c r="N6" s="90" t="n">
        <x:f>IF('Datos_fuente'!L6="","",LN('Datos_fuente'!L6))</x:f>
        <x:v>2.421256622711544</x:v>
      </x:c>
      <x:c r="O6" s="90"/>
      <x:c r="P6" s="88" t="n">
        <x:f>'Datos_fuente'!N6</x:f>
        <x:v>0</x:v>
      </x:c>
      <x:c r="Q6" s="90" t="n">
        <x:f>IF('Datos_fuente'!O6="","",LN('Datos_fuente'!O6))</x:f>
        <x:v>9.612286629518561</x:v>
      </x:c>
      <x:c r="R6" s="90"/>
      <x:c r="S6" s="55" t="n">
        <x:f>'Datos_fuente'!R6</x:f>
        <x:v>4.928357143</x:v>
      </x:c>
      <x:c r="T6" s="55"/>
      <x:c r="U6" s="90" t="n">
        <x:f>IF('Datos_fuente'!S6="","",ASINH('Datos_fuente'!S6/1000))</x:f>
        <x:v>-0.43528353442810946</x:v>
      </x:c>
      <x:c r="V6" s="90"/>
      <x:c r="W6" s="90" t="n">
        <x:f>IF('Datos_fuente'!T6="","",ASINH('Datos_fuente'!T6/1000))</x:f>
        <x:v>0.2716660445723276</x:v>
      </x:c>
      <x:c r="X6" s="90"/>
      <x:c r="Y6" s="55" t="n">
        <x:f>'Datos_fuente'!W6</x:f>
        <x:v>1.424490542</x:v>
      </x:c>
      <x:c r="Z6" s="55"/>
      <x:c r="AA6" s="90" t="n">
        <x:f>'Datos_fuente'!AA6</x:f>
        <x:v>-0.2144618765</x:v>
      </x:c>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 t="str">
        <x:f>'Datos_fuente'!A7</x:f>
        <x:v>2006-01</x:v>
      </x:c>
      <x:c r="B7" s="90" t="n">
        <x:f>IF('Datos_fuente'!B7="","",LN('Datos_fuente'!B7))</x:f>
        <x:v>7.729168563329848</x:v>
      </x:c>
      <x:c r="C7" s="90" t="n">
        <x:f>IF(OR(B7="",B6=""),"",B7-B6)</x:f>
        <x:v>-0.002121319553210377</x:v>
      </x:c>
      <x:c r="D7" s="90" t="n">
        <x:f>IF('Datos_fuente'!C7="","",LN('Datos_fuente'!C7))</x:f>
        <x:v>4.142900383062264</x:v>
      </x:c>
      <x:c r="E7" s="90" t="n">
        <x:f>IF(OR(D7="",D6=""),"",D7-D6)</x:f>
        <x:v>0.1023836527015547</x:v>
      </x:c>
      <x:c r="F7" s="90" t="n">
        <x:f>IF('Datos_fuente'!E7="","",LN('Datos_fuente'!E7))</x:f>
        <x:v>8.118618291212817</x:v>
      </x:c>
      <x:c r="G7" s="90" t="n">
        <x:f>IF(OR(F7="",F6=""),"",F7-F6)</x:f>
        <x:v>0.012788569086112034</x:v>
      </x:c>
      <x:c r="H7" s="55" t="n">
        <x:f>'Datos_fuente'!H7</x:f>
        <x:v>1.71</x:v>
      </x:c>
      <x:c r="I7" s="55" t="n">
        <x:f>IF(OR(H7="",H6=""),"",H7-H6)</x:f>
        <x:v>-0.13000000000000012</x:v>
      </x:c>
      <x:c r="J7" s="55" t="n">
        <x:f>'Datos_fuente'!J7</x:f>
        <x:v>3.697683412</x:v>
      </x:c>
      <x:c r="K7" s="55" t="n">
        <x:f>IF(OR(J7="",J6=""),"",J7-J6)</x:f>
        <x:v>-0.2997143200000001</x:v>
      </x:c>
      <x:c r="L7" s="90" t="n">
        <x:f>IF('Datos_fuente'!K7="","",LN('Datos_fuente'!K7))</x:f>
        <x:v>4.60517023098809</x:v>
      </x:c>
      <x:c r="M7" s="90" t="str">
        <x:f>IF(OR(L7="",L6=""),"",L7-L6)</x:f>
      </x:c>
      <x:c r="N7" s="90" t="n">
        <x:f>IF('Datos_fuente'!L7="","",LN('Datos_fuente'!L7))</x:f>
        <x:v>2.487902158767799</x:v>
      </x:c>
      <x:c r="O7" s="90" t="n">
        <x:f>IF(OR(N7="",N6=""),"",N7-N6)</x:f>
        <x:v>0.06664553605625478</x:v>
      </x:c>
      <x:c r="P7" s="88" t="n">
        <x:f>'Datos_fuente'!N7</x:f>
        <x:v>0</x:v>
      </x:c>
      <x:c r="Q7" s="90" t="n">
        <x:f>IF('Datos_fuente'!O7="","",LN('Datos_fuente'!O7))</x:f>
        <x:v>9.598404287035425</x:v>
      </x:c>
      <x:c r="R7" s="90" t="n">
        <x:f>IF(OR(Q7="",Q6=""),"",Q7-Q6)</x:f>
        <x:v>-0.013882342483135801</x:v>
      </x:c>
      <x:c r="S7" s="55" t="n">
        <x:f>'Datos_fuente'!R7</x:f>
        <x:v>4.239714286</x:v>
      </x:c>
      <x:c r="T7" s="55" t="n">
        <x:f>IF(OR(S7="",S6=""),"",S7-S6)</x:f>
        <x:v>-0.6886428570000005</x:v>
      </x:c>
      <x:c r="U7" s="90" t="n">
        <x:f>IF('Datos_fuente'!S7="","",ASINH('Datos_fuente'!S7/1000))</x:f>
        <x:v>-0.42918239678979536</x:v>
      </x:c>
      <x:c r="V7" s="90" t="n">
        <x:f>IF(OR(U7="",U6=""),"",U7-U6)</x:f>
        <x:v>0.0061011376383141025</x:v>
      </x:c>
      <x:c r="W7" s="90" t="n">
        <x:f>IF('Datos_fuente'!T7="","",ASINH('Datos_fuente'!T7/1000))</x:f>
        <x:v>-0.007879918451633303</x:v>
      </x:c>
      <x:c r="X7" s="90" t="n">
        <x:f>IF(OR(W7="",W6=""),"",W7-W6)</x:f>
        <x:v>-0.27954596302396095</x:v>
      </x:c>
      <x:c r="Y7" s="55" t="n">
        <x:f>'Datos_fuente'!W7</x:f>
        <x:v>0.5673842535</x:v>
      </x:c>
      <x:c r="Z7" s="55" t="n">
        <x:f>IF(OR(Y7="",Y6=""),"",Y7-Y6)</x:f>
        <x:v>-0.8571062885</x:v>
      </x:c>
      <x:c r="AA7" s="90" t="n">
        <x:f>'Datos_fuente'!AA7</x:f>
        <x:v>0.006506135375</x:v>
      </x:c>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 t="str">
        <x:f>'Datos_fuente'!A8</x:f>
        <x:v>2006-02</x:v>
      </x:c>
      <x:c r="B8" s="90" t="n">
        <x:f>IF('Datos_fuente'!B8="","",LN('Datos_fuente'!B8))</x:f>
        <x:v>7.7212472905524185</x:v>
      </x:c>
      <x:c r="C8" s="90" t="n">
        <x:f>IF(OR(B8="",B7=""),"",B8-B7)</x:f>
        <x:v>-0.0079212727774296</x:v>
      </x:c>
      <x:c r="D8" s="90" t="n">
        <x:f>IF('Datos_fuente'!C8="","",LN('Datos_fuente'!C8))</x:f>
        <x:v>4.097838451476356</x:v>
      </x:c>
      <x:c r="E8" s="90" t="n">
        <x:f>IF(OR(D8="",D7=""),"",D8-D7)</x:f>
        <x:v>-0.045061931585907544</x:v>
      </x:c>
      <x:c r="F8" s="90" t="n">
        <x:f>IF('Datos_fuente'!E8="","",LN('Datos_fuente'!E8))</x:f>
        <x:v>8.127174175848923</x:v>
      </x:c>
      <x:c r="G8" s="90" t="n">
        <x:f>IF(OR(F8="",F7=""),"",F8-F7)</x:f>
        <x:v>0.008555884636106015</x:v>
      </x:c>
      <x:c r="H8" s="55" t="n">
        <x:f>'Datos_fuente'!H8</x:f>
        <x:v>1.51</x:v>
      </x:c>
      <x:c r="I8" s="55" t="n">
        <x:f>IF(OR(H8="",H7=""),"",H8-H7)</x:f>
        <x:v>-0.19999999999999996</x:v>
      </x:c>
      <x:c r="J8" s="55" t="n">
        <x:f>'Datos_fuente'!J8</x:f>
        <x:v>3.95151495</x:v>
      </x:c>
      <x:c r="K8" s="55" t="n">
        <x:f>IF(OR(J8="",J7=""),"",J8-J7)</x:f>
        <x:v>0.253831538</x:v>
      </x:c>
      <x:c r="L8" s="90" t="n">
        <x:f>IF('Datos_fuente'!K8="","",LN('Datos_fuente'!K8))</x:f>
        <x:v>4.607279659483568</x:v>
      </x:c>
      <x:c r="M8" s="90" t="n">
        <x:f>IF(OR(L8="",L7=""),"",L8-L7)</x:f>
        <x:v>0.0021094284954781273</x:v>
      </x:c>
      <x:c r="N8" s="90" t="n">
        <x:f>IF('Datos_fuente'!L8="","",LN('Datos_fuente'!L8))</x:f>
        <x:v>2.523410169120548</x:v>
      </x:c>
      <x:c r="O8" s="90" t="n">
        <x:f>IF(OR(N8="",N7=""),"",N8-N7)</x:f>
        <x:v>0.035508010352748975</x:v>
      </x:c>
      <x:c r="P8" s="88" t="n">
        <x:f>'Datos_fuente'!N8</x:f>
        <x:v>0</x:v>
      </x:c>
      <x:c r="Q8" s="90" t="n">
        <x:f>IF('Datos_fuente'!O8="","",LN('Datos_fuente'!O8))</x:f>
        <x:v>9.622666555649477</x:v>
      </x:c>
      <x:c r="R8" s="90" t="n">
        <x:f>IF(OR(Q8="",Q7=""),"",Q8-Q7)</x:f>
        <x:v>0.024262268614052118</x:v>
      </x:c>
      <x:c r="S8" s="55" t="n">
        <x:f>'Datos_fuente'!R8</x:f>
        <x:v>3.207368421</x:v>
      </x:c>
      <x:c r="T8" s="55" t="n">
        <x:f>IF(OR(S8="",S7=""),"",S8-S7)</x:f>
        <x:v>-1.032345865</x:v>
      </x:c>
      <x:c r="U8" s="90" t="n">
        <x:f>IF('Datos_fuente'!S8="","",ASINH('Datos_fuente'!S8/1000))</x:f>
        <x:v>-0.4856705565945447</x:v>
      </x:c>
      <x:c r="V8" s="90" t="n">
        <x:f>IF(OR(U8="",U7=""),"",U8-U7)</x:f>
        <x:v>-0.05648815980474936</x:v>
      </x:c>
      <x:c r="W8" s="90" t="n">
        <x:f>IF('Datos_fuente'!T8="","",ASINH('Datos_fuente'!T8/1000))</x:f>
        <x:v>0.6085477296452747</x:v>
      </x:c>
      <x:c r="X8" s="90" t="n">
        <x:f>IF(OR(W8="",W7=""),"",W8-W7)</x:f>
        <x:v>0.616427648096908</x:v>
      </x:c>
      <x:c r="Y8" s="55" t="n">
        <x:f>'Datos_fuente'!W8</x:f>
        <x:v>0.5940143571</x:v>
      </x:c>
      <x:c r="Z8" s="55" t="n">
        <x:f>IF(OR(Y8="",Y7=""),"",Y8-Y7)</x:f>
        <x:v>0.026630103599999955</x:v>
      </x:c>
      <x:c r="AA8" s="90" t="n">
        <x:f>'Datos_fuente'!AA8</x:f>
        <x:v>-0.616990728</x:v>
      </x:c>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 t="str">
        <x:f>'Datos_fuente'!A9</x:f>
        <x:v>2006-03</x:v>
      </x:c>
      <x:c r="B9" s="90" t="n">
        <x:f>IF('Datos_fuente'!B9="","",LN('Datos_fuente'!B9))</x:f>
        <x:v>7.723968718806613</x:v>
      </x:c>
      <x:c r="C9" s="90" t="n">
        <x:f>IF(OR(B9="",B8=""),"",B9-B8)</x:f>
        <x:v>0.0027214282541940804</x:v>
      </x:c>
      <x:c r="D9" s="90" t="n">
        <x:f>IF('Datos_fuente'!C9="","",LN('Datos_fuente'!C9))</x:f>
        <x:v>4.128178720343554</x:v>
      </x:c>
      <x:c r="E9" s="90" t="n">
        <x:f>IF(OR(D9="",D8=""),"",D9-D8)</x:f>
        <x:v>0.03034026886719765</x:v>
      </x:c>
      <x:c r="F9" s="90" t="n">
        <x:f>IF('Datos_fuente'!E9="","",LN('Datos_fuente'!E9))</x:f>
        <x:v>8.142787700510787</x:v>
      </x:c>
      <x:c r="G9" s="90" t="n">
        <x:f>IF(OR(F9="",F8=""),"",F9-F8)</x:f>
        <x:v>0.015613524661864275</x:v>
      </x:c>
      <x:c r="H9" s="55" t="n">
        <x:f>'Datos_fuente'!H9</x:f>
        <x:v>1.41</x:v>
      </x:c>
      <x:c r="I9" s="55" t="n">
        <x:f>IF(OR(H9="",H8=""),"",H9-H8)</x:f>
        <x:v>-0.10000000000000009</x:v>
      </x:c>
      <x:c r="J9" s="55" t="n">
        <x:f>'Datos_fuente'!J9</x:f>
        <x:v>3.6276424</x:v>
      </x:c>
      <x:c r="K9" s="55" t="n">
        <x:f>IF(OR(J9="",J8=""),"",J9-J8)</x:f>
        <x:v>-0.3238725499999999</x:v>
      </x:c>
      <x:c r="L9" s="90" t="n">
        <x:f>IF('Datos_fuente'!K9="","",LN('Datos_fuente'!K9))</x:f>
        <x:v>4.6094419191306315</x:v>
      </x:c>
      <x:c r="M9" s="90" t="n">
        <x:f>IF(OR(L9="",L8=""),"",L9-L8)</x:f>
        <x:v>0.0021622596470631805</x:v>
      </x:c>
      <x:c r="N9" s="90" t="n">
        <x:f>IF('Datos_fuente'!L9="","",LN('Datos_fuente'!L9))</x:f>
        <x:v>2.459068453433714</x:v>
      </x:c>
      <x:c r="O9" s="90" t="n">
        <x:f>IF(OR(N9="",N8=""),"",N9-N8)</x:f>
        <x:v>-0.064341715686834</x:v>
      </x:c>
      <x:c r="P9" s="88" t="n">
        <x:f>'Datos_fuente'!N9</x:f>
        <x:v>0</x:v>
      </x:c>
      <x:c r="Q9" s="90" t="n">
        <x:f>IF('Datos_fuente'!O9="","",LN('Datos_fuente'!O9))</x:f>
        <x:v>9.625967009755588</x:v>
      </x:c>
      <x:c r="R9" s="90" t="n">
        <x:f>IF(OR(Q9="",Q8=""),"",Q9-Q8)</x:f>
        <x:v>0.003300454106110351</x:v>
      </x:c>
      <x:c r="S9" s="55" t="n">
        <x:f>'Datos_fuente'!R9</x:f>
        <x:v>2.891086957</x:v>
      </x:c>
      <x:c r="T9" s="55" t="n">
        <x:f>IF(OR(S9="",S8=""),"",S9-S8)</x:f>
        <x:v>-0.3162814639999998</x:v>
      </x:c>
      <x:c r="U9" s="90" t="n">
        <x:f>IF('Datos_fuente'!S9="","",ASINH('Datos_fuente'!S9/1000))</x:f>
        <x:v>-0.4075627219573284</x:v>
      </x:c>
      <x:c r="V9" s="90" t="n">
        <x:f>IF(OR(U9="",U8=""),"",U9-U8)</x:f>
        <x:v>0.07810783463721632</x:v>
      </x:c>
      <x:c r="W9" s="90" t="n">
        <x:f>IF('Datos_fuente'!T9="","",ASINH('Datos_fuente'!T9/1000))</x:f>
        <x:v>0.03185461249404922</x:v>
      </x:c>
      <x:c r="X9" s="90" t="n">
        <x:f>IF(OR(W9="",W8=""),"",W9-W8)</x:f>
        <x:v>-0.5766931171512255</x:v>
      </x:c>
      <x:c r="Y9" s="55" t="n">
        <x:f>'Datos_fuente'!W9</x:f>
        <x:v>0.7619596907</x:v>
      </x:c>
      <x:c r="Z9" s="55" t="n">
        <x:f>IF(OR(Y9="",Y8=""),"",Y9-Y8)</x:f>
        <x:v>0.16794533360000008</x:v>
      </x:c>
      <x:c r="AA9" s="90" t="n">
        <x:f>'Datos_fuente'!AA9</x:f>
        <x:v>0.2511489501</x:v>
      </x:c>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 t="str">
        <x:f>'Datos_fuente'!A10</x:f>
        <x:v>2006-04</x:v>
      </x:c>
      <x:c r="B10" s="90" t="n">
        <x:f>IF('Datos_fuente'!B10="","",LN('Datos_fuente'!B10))</x:f>
        <x:v>7.75582612639502</x:v>
      </x:c>
      <x:c r="C10" s="90" t="n">
        <x:f>IF(OR(B10="",B9=""),"",B10-B9)</x:f>
        <x:v>0.03185740758840705</x:v>
      </x:c>
      <x:c r="D10" s="90" t="n">
        <x:f>IF('Datos_fuente'!C10="","",LN('Datos_fuente'!C10))</x:f>
        <x:v>4.252202646837681</x:v>
      </x:c>
      <x:c r="E10" s="90" t="n">
        <x:f>IF(OR(D10="",D9=""),"",D10-D9)</x:f>
        <x:v>0.12402392649412697</x:v>
      </x:c>
      <x:c r="F10" s="90" t="n">
        <x:f>IF('Datos_fuente'!E10="","",LN('Datos_fuente'!E10))</x:f>
        <x:v>8.149041208941878</x:v>
      </x:c>
      <x:c r="G10" s="90" t="n">
        <x:f>IF(OR(F10="",F9=""),"",F10-F9)</x:f>
        <x:v>0.006253508431090182</x:v>
      </x:c>
      <x:c r="H10" s="55" t="n">
        <x:f>'Datos_fuente'!H10</x:f>
        <x:v>1.21</x:v>
      </x:c>
      <x:c r="I10" s="55" t="n">
        <x:f>IF(OR(H10="",H9=""),"",H10-H9)</x:f>
        <x:v>-0.19999999999999996</x:v>
      </x:c>
      <x:c r="J10" s="55" t="n">
        <x:f>'Datos_fuente'!J10</x:f>
        <x:v>4.354903969</x:v>
      </x:c>
      <x:c r="K10" s="55" t="n">
        <x:f>IF(OR(J10="",J9=""),"",J10-J9)</x:f>
        <x:v>0.7272615690000004</x:v>
      </x:c>
      <x:c r="L10" s="90" t="n">
        <x:f>IF('Datos_fuente'!K10="","",LN('Datos_fuente'!K10))</x:f>
        <x:v>4.602601690225171</x:v>
      </x:c>
      <x:c r="M10" s="90" t="n">
        <x:f>IF(OR(L10="",L9=""),"",L10-L9)</x:f>
        <x:v>-0.006840228905460322</x:v>
      </x:c>
      <x:c r="N10" s="90" t="n">
        <x:f>IF('Datos_fuente'!L10="","",LN('Datos_fuente'!L10))</x:f>
        <x:v>2.472105768657397</x:v>
      </x:c>
      <x:c r="O10" s="90" t="n">
        <x:f>IF(OR(N10="",N9=""),"",N10-N9)</x:f>
        <x:v>0.0130373152236829</x:v>
      </x:c>
      <x:c r="P10" s="88" t="n">
        <x:f>'Datos_fuente'!N10</x:f>
        <x:v>0</x:v>
      </x:c>
      <x:c r="Q10" s="90" t="n">
        <x:f>IF('Datos_fuente'!O10="","",LN('Datos_fuente'!O10))</x:f>
        <x:v>9.622872450124321</x:v>
      </x:c>
      <x:c r="R10" s="90" t="n">
        <x:f>IF(OR(Q10="",Q9=""),"",Q10-Q9)</x:f>
        <x:v>-0.0030945596312665913</x:v>
      </x:c>
      <x:c r="S10" s="55" t="n">
        <x:f>'Datos_fuente'!R10</x:f>
        <x:v>3.571826625</x:v>
      </x:c>
      <x:c r="T10" s="55" t="n">
        <x:f>IF(OR(S10="",S9=""),"",S10-S9)</x:f>
        <x:v>0.6807396679999997</x:v>
      </x:c>
      <x:c r="U10" s="90" t="n">
        <x:f>IF('Datos_fuente'!S10="","",ASINH('Datos_fuente'!S10/1000))</x:f>
        <x:v>-0.3664998763630857</x:v>
      </x:c>
      <x:c r="V10" s="90" t="n">
        <x:f>IF(OR(U10="",U9=""),"",U10-U9)</x:f>
        <x:v>0.041062845594242725</x:v>
      </x:c>
      <x:c r="W10" s="90" t="n">
        <x:f>IF('Datos_fuente'!T10="","",ASINH('Datos_fuente'!T10/1000))</x:f>
        <x:v>-0.07715343262330691</x:v>
      </x:c>
      <x:c r="X10" s="90" t="n">
        <x:f>IF(OR(W10="",W9=""),"",W10-W9)</x:f>
        <x:v>-0.10900804511735614</x:v>
      </x:c>
      <x:c r="Y10" s="55" t="n">
        <x:f>'Datos_fuente'!W10</x:f>
        <x:v>0.5602942653</x:v>
      </x:c>
      <x:c r="Z10" s="55" t="n">
        <x:f>IF(OR(Y10="",Y9=""),"",Y10-Y9)</x:f>
        <x:v>-0.2016654254</x:v>
      </x:c>
      <x:c r="AA10" s="90" t="n">
        <x:f>'Datos_fuente'!AA10</x:f>
        <x:v>-0.1603891615</x:v>
      </x:c>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 t="str">
        <x:f>'Datos_fuente'!A11</x:f>
        <x:v>2006-05</x:v>
      </x:c>
      <x:c r="B11" s="90" t="n">
        <x:f>IF('Datos_fuente'!B11="","",LN('Datos_fuente'!B11))</x:f>
        <x:v>7.790964545576441</x:v>
      </x:c>
      <x:c r="C11" s="90" t="n">
        <x:f>IF(OR(B11="",B10=""),"",B11-B10)</x:f>
        <x:v>0.03513841918142102</x:v>
      </x:c>
      <x:c r="D11" s="90" t="n">
        <x:f>IF('Datos_fuente'!C11="","",LN('Datos_fuente'!C11))</x:f>
        <x:v>4.245303819444882</x:v>
      </x:c>
      <x:c r="E11" s="90" t="n">
        <x:f>IF(OR(D11="",D10=""),"",D11-D10)</x:f>
        <x:v>-0.006898827392798346</x:v>
      </x:c>
      <x:c r="F11" s="90" t="n">
        <x:f>IF('Datos_fuente'!E11="","",LN('Datos_fuente'!E11))</x:f>
        <x:v>8.176667149216875</x:v>
      </x:c>
      <x:c r="G11" s="90" t="n">
        <x:f>IF(OR(F11="",F10=""),"",F11-F10)</x:f>
        <x:v>0.027625940274997873</x:v>
      </x:c>
      <x:c r="H11" s="55" t="n">
        <x:f>'Datos_fuente'!H11</x:f>
        <x:v>1.301935484</x:v>
      </x:c>
      <x:c r="I11" s="55" t="n">
        <x:f>IF(OR(H11="",H10=""),"",H11-H10)</x:f>
        <x:v>0.09193548399999996</x:v>
      </x:c>
      <x:c r="J11" s="55" t="n">
        <x:f>'Datos_fuente'!J11</x:f>
        <x:v>3.865752534</x:v>
      </x:c>
      <x:c r="K11" s="55" t="n">
        <x:f>IF(OR(J11="",J10=""),"",J11-J10)</x:f>
        <x:v>-0.4891514350000006</x:v>
      </x:c>
      <x:c r="L11" s="90" t="n">
        <x:f>IF('Datos_fuente'!K11="","",LN('Datos_fuente'!K11))</x:f>
        <x:v>4.579973128764417</x:v>
      </x:c>
      <x:c r="M11" s="90" t="n">
        <x:f>IF(OR(L11="",L10=""),"",L11-L10)</x:f>
        <x:v>-0.022628561460754426</x:v>
      </x:c>
      <x:c r="N11" s="90" t="n">
        <x:f>IF('Datos_fuente'!L11="","",LN('Datos_fuente'!L11))</x:f>
        <x:v>2.6710089291073955</x:v>
      </x:c>
      <x:c r="O11" s="90" t="n">
        <x:f>IF(OR(N11="",N10=""),"",N11-N10)</x:f>
        <x:v>0.19890316044999867</x:v>
      </x:c>
      <x:c r="P11" s="88" t="n">
        <x:f>'Datos_fuente'!N11</x:f>
        <x:v>0</x:v>
      </x:c>
      <x:c r="Q11" s="90" t="n">
        <x:f>IF('Datos_fuente'!O11="","",LN('Datos_fuente'!O11))</x:f>
        <x:v>9.588462374705912</x:v>
      </x:c>
      <x:c r="R11" s="90" t="n">
        <x:f>IF(OR(Q11="",Q10=""),"",Q11-Q10)</x:f>
        <x:v>-0.03441007541840868</x:v>
      </x:c>
      <x:c r="S11" s="55" t="n">
        <x:f>'Datos_fuente'!R11</x:f>
        <x:v>4.28</x:v>
      </x:c>
      <x:c r="T11" s="55" t="n">
        <x:f>IF(OR(S11="",S10=""),"",S11-S10)</x:f>
        <x:v>0.7081733750000003</x:v>
      </x:c>
      <x:c r="U11" s="90" t="n">
        <x:f>IF('Datos_fuente'!S11="","",ASINH('Datos_fuente'!S11/1000))</x:f>
        <x:v>-0.42642828977876246</x:v>
      </x:c>
      <x:c r="V11" s="90" t="n">
        <x:f>IF(OR(U11="",U10=""),"",U11-U10)</x:f>
        <x:v>-0.059928413415676784</x:v>
      </x:c>
      <x:c r="W11" s="90" t="n">
        <x:f>IF('Datos_fuente'!T11="","",ASINH('Datos_fuente'!T11/1000))</x:f>
        <x:v>-0.5794883815254988</x:v>
      </x:c>
      <x:c r="X11" s="90" t="n">
        <x:f>IF(OR(W11="",W10=""),"",W11-W10)</x:f>
        <x:v>-0.5023349489021919</x:v>
      </x:c>
      <x:c r="Y11" s="55" t="n">
        <x:f>'Datos_fuente'!W11</x:f>
        <x:v>-0.1287029048</x:v>
      </x:c>
      <x:c r="Z11" s="55" t="n">
        <x:f>IF(OR(Y11="",Y10=""),"",Y11-Y10)</x:f>
        <x:v>-0.6889971701000001</x:v>
      </x:c>
      <x:c r="AA11" s="90" t="n">
        <x:f>'Datos_fuente'!AA11</x:f>
        <x:v>0.2097398252</x:v>
      </x:c>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 t="str">
        <x:f>'Datos_fuente'!A12</x:f>
        <x:v>2006-06</x:v>
      </x:c>
      <x:c r="B12" s="90" t="n">
        <x:f>IF('Datos_fuente'!B12="","",LN('Datos_fuente'!B12))</x:f>
        <x:v>7.840792994031259</x:v>
      </x:c>
      <x:c r="C12" s="90" t="n">
        <x:f>IF(OR(B12="",B11=""),"",B12-B11)</x:f>
        <x:v>0.04982844845481793</x:v>
      </x:c>
      <x:c r="D12" s="90" t="n">
        <x:f>IF('Datos_fuente'!C12="","",LN('Datos_fuente'!C12))</x:f>
        <x:v>4.2276496034602475</x:v>
      </x:c>
      <x:c r="E12" s="90" t="n">
        <x:f>IF(OR(D12="",D11=""),"",D12-D11)</x:f>
        <x:v>-0.017654215984634902</x:v>
      </x:c>
      <x:c r="F12" s="90" t="n">
        <x:f>IF('Datos_fuente'!E12="","",LN('Datos_fuente'!E12))</x:f>
        <x:v>8.196392708829233</x:v>
      </x:c>
      <x:c r="G12" s="90" t="n">
        <x:f>IF(OR(F12="",F11=""),"",F12-F11)</x:f>
        <x:v>0.019725559612357557</x:v>
      </x:c>
      <x:c r="H12" s="55" t="n">
        <x:f>'Datos_fuente'!H12</x:f>
        <x:v>1.343333333</x:v>
      </x:c>
      <x:c r="I12" s="55" t="n">
        <x:f>IF(OR(H12="",H11=""),"",H12-H11)</x:f>
        <x:v>0.04139784899999999</x:v>
      </x:c>
      <x:c r="J12" s="55" t="n">
        <x:f>'Datos_fuente'!J12</x:f>
        <x:v>4.000523343</x:v>
      </x:c>
      <x:c r="K12" s="55" t="n">
        <x:f>IF(OR(J12="",J11=""),"",J12-J11)</x:f>
        <x:v>0.13477080900000038</x:v>
      </x:c>
      <x:c r="L12" s="90" t="n">
        <x:f>IF('Datos_fuente'!K12="","",LN('Datos_fuente'!K12))</x:f>
        <x:v>4.592011212515483</x:v>
      </x:c>
      <x:c r="M12" s="90" t="n">
        <x:f>IF(OR(L12="",L11=""),"",L12-L11)</x:f>
        <x:v>0.012038083751066075</x:v>
      </x:c>
      <x:c r="N12" s="90" t="n">
        <x:f>IF('Datos_fuente'!L12="","",LN('Datos_fuente'!L12))</x:f>
        <x:v>2.828415757549642</x:v>
      </x:c>
      <x:c r="O12" s="90" t="n">
        <x:f>IF(OR(N12="",N11=""),"",N12-N11)</x:f>
        <x:v>0.1574068284422463</x:v>
      </x:c>
      <x:c r="P12" s="88" t="n">
        <x:f>'Datos_fuente'!N12</x:f>
        <x:v>0</x:v>
      </x:c>
      <x:c r="Q12" s="90" t="n">
        <x:f>IF('Datos_fuente'!O12="","",LN('Datos_fuente'!O12))</x:f>
        <x:v>9.579227245839705</x:v>
      </x:c>
      <x:c r="R12" s="90" t="n">
        <x:f>IF(OR(Q12="",Q11=""),"",Q12-Q11)</x:f>
        <x:v>-0.00923512886620692</x:v>
      </x:c>
      <x:c r="S12" s="55" t="n">
        <x:f>'Datos_fuente'!R12</x:f>
        <x:v>5.40530303</x:v>
      </x:c>
      <x:c r="T12" s="55" t="n">
        <x:f>IF(OR(S12="",S11=""),"",S12-S11)</x:f>
        <x:v>1.1253030299999995</x:v>
      </x:c>
      <x:c r="U12" s="90" t="n">
        <x:f>IF('Datos_fuente'!S12="","",ASINH('Datos_fuente'!S12/1000))</x:f>
        <x:v>-0.46313491923821637</x:v>
      </x:c>
      <x:c r="V12" s="90" t="n">
        <x:f>IF(OR(U12="",U11=""),"",U12-U11)</x:f>
        <x:v>-0.03670662945945391</x:v>
      </x:c>
      <x:c r="W12" s="90" t="n">
        <x:f>IF('Datos_fuente'!T12="","",ASINH('Datos_fuente'!T12/1000))</x:f>
        <x:v>-0.14512009565262116</x:v>
      </x:c>
      <x:c r="X12" s="90" t="n">
        <x:f>IF(OR(W12="",W11=""),"",W12-W11)</x:f>
        <x:v>0.43436828587287757</x:v>
      </x:c>
      <x:c r="Y12" s="55" t="n">
        <x:f>'Datos_fuente'!W12</x:f>
        <x:v>-0.3655175278</x:v>
      </x:c>
      <x:c r="Z12" s="55" t="n">
        <x:f>IF(OR(Y12="",Y11=""),"",Y12-Y11)</x:f>
        <x:v>-0.23681462300000003</x:v>
      </x:c>
      <x:c r="AA12" s="90" t="n">
        <x:f>'Datos_fuente'!AA12</x:f>
        <x:v>1.056077012</x:v>
      </x:c>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 t="str">
        <x:f>'Datos_fuente'!A13</x:f>
        <x:v>2006-07</x:v>
      </x:c>
      <x:c r="B13" s="90" t="n">
        <x:f>IF('Datos_fuente'!B13="","",LN('Datos_fuente'!B13))</x:f>
        <x:v>7.8295104086035705</x:v>
      </x:c>
      <x:c r="C13" s="90" t="n">
        <x:f>IF(OR(B13="",B12=""),"",B13-B12)</x:f>
        <x:v>-0.011282585427688119</x:v>
      </x:c>
      <x:c r="D13" s="90" t="n">
        <x:f>IF('Datos_fuente'!C13="","",LN('Datos_fuente'!C13))</x:f>
        <x:v>4.2996538334291525</x:v>
      </x:c>
      <x:c r="E13" s="90" t="n">
        <x:f>IF(OR(D13="",D12=""),"",D13-D12)</x:f>
        <x:v>0.07200422996890499</x:v>
      </x:c>
      <x:c r="F13" s="90" t="n">
        <x:f>IF('Datos_fuente'!E13="","",LN('Datos_fuente'!E13))</x:f>
        <x:v>8.210333736162195</x:v>
      </x:c>
      <x:c r="G13" s="90" t="n">
        <x:f>IF(OR(F13="",F12=""),"",F13-F12)</x:f>
        <x:v>0.013941027332961653</x:v>
      </x:c>
      <x:c r="H13" s="55" t="n">
        <x:f>'Datos_fuente'!H13</x:f>
        <x:v>1.26</x:v>
      </x:c>
      <x:c r="I13" s="55" t="n">
        <x:f>IF(OR(H13="",H12=""),"",H13-H12)</x:f>
        <x:v>-0.0833333329999999</x:v>
      </x:c>
      <x:c r="J13" s="55" t="n">
        <x:f>'Datos_fuente'!J13</x:f>
        <x:v>3.866772925</x:v>
      </x:c>
      <x:c r="K13" s="55" t="n">
        <x:f>IF(OR(J13="",J12=""),"",J13-J12)</x:f>
        <x:v>-0.13375041800000043</x:v>
      </x:c>
      <x:c r="L13" s="90" t="n">
        <x:f>IF('Datos_fuente'!K13="","",LN('Datos_fuente'!K13))</x:f>
        <x:v>4.589434164588313</x:v>
      </x:c>
      <x:c r="M13" s="90" t="n">
        <x:f>IF(OR(L13="",L12=""),"",L13-L12)</x:f>
        <x:v>-0.002577047927169396</x:v>
      </x:c>
      <x:c r="N13" s="90" t="n">
        <x:f>IF('Datos_fuente'!L13="","",LN('Datos_fuente'!L13))</x:f>
        <x:v>2.7295507325482125</x:v>
      </x:c>
      <x:c r="O13" s="90" t="n">
        <x:f>IF(OR(N13="",N12=""),"",N13-N12)</x:f>
        <x:v>-0.09886502500142935</x:v>
      </x:c>
      <x:c r="P13" s="88" t="n">
        <x:f>'Datos_fuente'!N13</x:f>
        <x:v>0</x:v>
      </x:c>
      <x:c r="Q13" s="90" t="n">
        <x:f>IF('Datos_fuente'!O13="","",LN('Datos_fuente'!O13))</x:f>
        <x:v>9.594815388030879</x:v>
      </x:c>
      <x:c r="R13" s="90" t="n">
        <x:f>IF(OR(Q13="",Q12=""),"",Q13-Q12)</x:f>
        <x:v>0.01558814219117366</x:v>
      </x:c>
      <x:c r="S13" s="55" t="n">
        <x:f>'Datos_fuente'!R13</x:f>
        <x:v>5.449722222</x:v>
      </x:c>
      <x:c r="T13" s="55" t="n">
        <x:f>IF(OR(S13="",S12=""),"",S13-S12)</x:f>
        <x:v>0.04441919200000033</x:v>
      </x:c>
      <x:c r="U13" s="90" t="n">
        <x:f>IF('Datos_fuente'!S13="","",ASINH('Datos_fuente'!S13/1000))</x:f>
        <x:v>-0.6162229925663774</x:v>
      </x:c>
      <x:c r="V13" s="90" t="n">
        <x:f>IF(OR(U13="",U12=""),"",U13-U12)</x:f>
        <x:v>-0.153088073328161</x:v>
      </x:c>
      <x:c r="W13" s="90" t="n">
        <x:f>IF('Datos_fuente'!T13="","",ASINH('Datos_fuente'!T13/1000))</x:f>
        <x:v>0.5032563326475499</x:v>
      </x:c>
      <x:c r="X13" s="90" t="n">
        <x:f>IF(OR(W13="",W12=""),"",W13-W12)</x:f>
        <x:v>0.6483764283001711</x:v>
      </x:c>
      <x:c r="Y13" s="55" t="n">
        <x:f>'Datos_fuente'!W13</x:f>
        <x:v>0.1838101801</x:v>
      </x:c>
      <x:c r="Z13" s="55" t="n">
        <x:f>IF(OR(Y13="",Y12=""),"",Y13-Y12)</x:f>
        <x:v>0.5493277079000001</x:v>
      </x:c>
      <x:c r="AA13" s="90" t="n">
        <x:f>'Datos_fuente'!AA13</x:f>
        <x:v>-0.8334321008</x:v>
      </x:c>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 t="str">
        <x:f>'Datos_fuente'!A14</x:f>
        <x:v>2006-08</x:v>
      </x:c>
      <x:c r="B14" s="90" t="n">
        <x:f>IF('Datos_fuente'!B14="","",LN('Datos_fuente'!B14))</x:f>
        <x:v>7.778623260738682</x:v>
      </x:c>
      <x:c r="C14" s="90" t="n">
        <x:f>IF(OR(B14="",B13=""),"",B14-B13)</x:f>
        <x:v>-0.05088714786488868</x:v>
      </x:c>
      <x:c r="D14" s="90" t="n">
        <x:f>IF('Datos_fuente'!C14="","",LN('Datos_fuente'!C14))</x:f>
        <x:v>4.293611110239567</x:v>
      </x:c>
      <x:c r="E14" s="90" t="n">
        <x:f>IF(OR(D14="",D13=""),"",D14-D13)</x:f>
        <x:v>-0.0060427231895854305</x:v>
      </x:c>
      <x:c r="F14" s="90" t="n">
        <x:f>IF('Datos_fuente'!E14="","",LN('Datos_fuente'!E14))</x:f>
        <x:v>8.219757035520173</x:v>
      </x:c>
      <x:c r="G14" s="90" t="n">
        <x:f>IF(OR(F14="",F13=""),"",F14-F13)</x:f>
        <x:v>0.009423299357978365</x:v>
      </x:c>
      <x:c r="H14" s="55" t="n">
        <x:f>'Datos_fuente'!H14</x:f>
        <x:v>1.330645161</x:v>
      </x:c>
      <x:c r="I14" s="55" t="n">
        <x:f>IF(OR(H14="",H13=""),"",H14-H13)</x:f>
        <x:v>0.07064516100000007</x:v>
      </x:c>
      <x:c r="J14" s="55" t="n">
        <x:f>'Datos_fuente'!J14</x:f>
        <x:v>3.885340436</x:v>
      </x:c>
      <x:c r="K14" s="55" t="n">
        <x:f>IF(OR(J14="",J13=""),"",J14-J13)</x:f>
        <x:v>0.018567511000000092</x:v>
      </x:c>
      <x:c r="L14" s="90" t="n">
        <x:f>IF('Datos_fuente'!K14="","",LN('Datos_fuente'!K14))</x:f>
        <x:v>4.582042441857144</x:v>
      </x:c>
      <x:c r="M14" s="90" t="n">
        <x:f>IF(OR(L14="",L13=""),"",L14-L13)</x:f>
        <x:v>-0.007391722731169281</x:v>
      </x:c>
      <x:c r="N14" s="90" t="n">
        <x:f>IF('Datos_fuente'!L14="","",LN('Datos_fuente'!L14))</x:f>
        <x:v>2.5916466482717224</x:v>
      </x:c>
      <x:c r="O14" s="90" t="n">
        <x:f>IF(OR(N14="",N13=""),"",N14-N13)</x:f>
        <x:v>-0.13790408427649004</x:v>
      </x:c>
      <x:c r="P14" s="88" t="n">
        <x:f>'Datos_fuente'!N14</x:f>
        <x:v>0</x:v>
      </x:c>
      <x:c r="Q14" s="90" t="n">
        <x:f>IF('Datos_fuente'!O14="","",LN('Datos_fuente'!O14))</x:f>
        <x:v>9.61463279275526</x:v>
      </x:c>
      <x:c r="R14" s="90" t="n">
        <x:f>IF(OR(Q14="",Q13=""),"",Q14-Q13)</x:f>
        <x:v>0.01981740472438176</x:v>
      </x:c>
      <x:c r="S14" s="55" t="n">
        <x:f>'Datos_fuente'!R14</x:f>
        <x:v>4.751573499</x:v>
      </x:c>
      <x:c r="T14" s="55" t="n">
        <x:f>IF(OR(S14="",S13=""),"",S14-S13)</x:f>
        <x:v>-0.6981487230000001</x:v>
      </x:c>
      <x:c r="U14" s="90" t="n">
        <x:f>IF('Datos_fuente'!S14="","",ASINH('Datos_fuente'!S14/1000))</x:f>
        <x:v>-0.5081828069636856</x:v>
      </x:c>
      <x:c r="V14" s="90" t="n">
        <x:f>IF(OR(U14="",U13=""),"",U14-U13)</x:f>
        <x:v>0.1080401856026918</x:v>
      </x:c>
      <x:c r="W14" s="90" t="n">
        <x:f>IF('Datos_fuente'!T14="","",ASINH('Datos_fuente'!T14/1000))</x:f>
        <x:v>0.37522305437025116</x:v>
      </x:c>
      <x:c r="X14" s="90" t="n">
        <x:f>IF(OR(W14="",W13=""),"",W14-W13)</x:f>
        <x:v>-0.1280332782772987</x:v>
      </x:c>
      <x:c r="Y14" s="55" t="n">
        <x:f>'Datos_fuente'!W14</x:f>
        <x:v>0.9055369088</x:v>
      </x:c>
      <x:c r="Z14" s="55" t="n">
        <x:f>IF(OR(Y14="",Y13=""),"",Y14-Y13)</x:f>
        <x:v>0.7217267287</x:v>
      </x:c>
      <x:c r="AA14" s="90" t="n">
        <x:f>'Datos_fuente'!AA14</x:f>
        <x:v>-0.4065242495</x:v>
      </x:c>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 t="str">
        <x:f>'Datos_fuente'!A15</x:f>
        <x:v>2006-09</x:v>
      </x:c>
      <x:c r="B15" s="90" t="n">
        <x:f>IF('Datos_fuente'!B15="","",LN('Datos_fuente'!B15))</x:f>
        <x:v>7.7826858161156105</x:v>
      </x:c>
      <x:c r="C15" s="90" t="n">
        <x:f>IF(OR(B15="",B14=""),"",B15-B14)</x:f>
        <x:v>0.004062555376928678</x:v>
      </x:c>
      <x:c r="D15" s="90" t="n">
        <x:f>IF('Datos_fuente'!C15="","",LN('Datos_fuente'!C15))</x:f>
        <x:v>4.126465958956205</x:v>
      </x:c>
      <x:c r="E15" s="90" t="n">
        <x:f>IF(OR(D15="",D14=""),"",D15-D14)</x:f>
        <x:v>-0.16714515128336238</x:v>
      </x:c>
      <x:c r="F15" s="90" t="n">
        <x:f>IF('Datos_fuente'!E15="","",LN('Datos_fuente'!E15))</x:f>
        <x:v>8.229225744915823</x:v>
      </x:c>
      <x:c r="G15" s="90" t="n">
        <x:f>IF(OR(F15="",F14=""),"",F15-F14)</x:f>
        <x:v>0.00946870939564981</x:v>
      </x:c>
      <x:c r="H15" s="55" t="n">
        <x:f>'Datos_fuente'!H15</x:f>
        <x:v>1.5</x:v>
      </x:c>
      <x:c r="I15" s="55" t="n">
        <x:f>IF(OR(H15="",H14=""),"",H15-H14)</x:f>
        <x:v>0.16935483899999992</x:v>
      </x:c>
      <x:c r="J15" s="55" t="n">
        <x:f>'Datos_fuente'!J15</x:f>
        <x:v>3.654184295</x:v>
      </x:c>
      <x:c r="K15" s="55" t="n">
        <x:f>IF(OR(J15="",J14=""),"",J15-J14)</x:f>
        <x:v>-0.23115614100000004</x:v>
      </x:c>
      <x:c r="L15" s="90" t="n">
        <x:f>IF('Datos_fuente'!K15="","",LN('Datos_fuente'!K15))</x:f>
        <x:v>4.584777275889292</x:v>
      </x:c>
      <x:c r="M15" s="90" t="n">
        <x:f>IF(OR(L15="",L14=""),"",L15-L14)</x:f>
        <x:v>0.0027348340321475817</x:v>
      </x:c>
      <x:c r="N15" s="90" t="n">
        <x:f>IF('Datos_fuente'!L15="","",LN('Datos_fuente'!L15))</x:f>
        <x:v>2.500164652176981</x:v>
      </x:c>
      <x:c r="O15" s="90" t="n">
        <x:f>IF(OR(N15="",N14=""),"",N15-N14)</x:f>
        <x:v>-0.09148199609474128</x:v>
      </x:c>
      <x:c r="P15" s="88" t="n">
        <x:f>'Datos_fuente'!N15</x:f>
        <x:v>0</x:v>
      </x:c>
      <x:c r="Q15" s="90" t="n">
        <x:f>IF('Datos_fuente'!O15="","",LN('Datos_fuente'!O15))</x:f>
        <x:v>9.616691087818028</x:v>
      </x:c>
      <x:c r="R15" s="90" t="n">
        <x:f>IF(OR(Q15="",Q14=""),"",Q15-Q14)</x:f>
        <x:v>0.0020582950627670016</x:v>
      </x:c>
      <x:c r="S15" s="55" t="n">
        <x:f>'Datos_fuente'!R15</x:f>
        <x:v>4.968142857</x:v>
      </x:c>
      <x:c r="T15" s="55" t="n">
        <x:f>IF(OR(S15="",S14=""),"",S15-S14)</x:f>
        <x:v>0.2165693580000001</x:v>
      </x:c>
      <x:c r="U15" s="90" t="n">
        <x:f>IF('Datos_fuente'!S15="","",ASINH('Datos_fuente'!S15/1000))</x:f>
        <x:v>-0.5342589738967322</x:v>
      </x:c>
      <x:c r="V15" s="90" t="n">
        <x:f>IF(OR(U15="",U14=""),"",U15-U14)</x:f>
        <x:v>-0.026076166933046596</x:v>
      </x:c>
      <x:c r="W15" s="90" t="n">
        <x:f>IF('Datos_fuente'!T15="","",ASINH('Datos_fuente'!T15/1000))</x:f>
        <x:v>0.12664121651997856</x:v>
      </x:c>
      <x:c r="X15" s="90" t="n">
        <x:f>IF(OR(W15="",W14=""),"",W15-W14)</x:f>
        <x:v>-0.2485818378502726</x:v>
      </x:c>
      <x:c r="Y15" s="55" t="n">
        <x:f>'Datos_fuente'!W15</x:f>
        <x:v>2.521956921</x:v>
      </x:c>
      <x:c r="Z15" s="55" t="n">
        <x:f>IF(OR(Y15="",Y14=""),"",Y15-Y14)</x:f>
        <x:v>1.6164200122</x:v>
      </x:c>
      <x:c r="AA15" s="90" t="n">
        <x:f>'Datos_fuente'!AA15</x:f>
        <x:v>0.05659956747</x:v>
      </x:c>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t="str">
        <x:f>'Datos_fuente'!A16</x:f>
        <x:v>2006-10</x:v>
      </x:c>
      <x:c r="B16" s="90" t="n">
        <x:f>IF('Datos_fuente'!B16="","",LN('Datos_fuente'!B16))</x:f>
        <x:v>7.767177816922001</x:v>
      </x:c>
      <x:c r="C16" s="90" t="n">
        <x:f>IF(OR(B16="",B15=""),"",B16-B15)</x:f>
        <x:v>-0.015507999193609123</x:v>
      </x:c>
      <x:c r="D16" s="90" t="n">
        <x:f>IF('Datos_fuente'!C16="","",LN('Datos_fuente'!C16))</x:f>
        <x:v>4.057130319639751</x:v>
      </x:c>
      <x:c r="E16" s="90" t="n">
        <x:f>IF(OR(D16="",D15=""),"",D16-D15)</x:f>
        <x:v>-0.0693356393164537</x:v>
      </x:c>
      <x:c r="F16" s="90" t="n">
        <x:f>IF('Datos_fuente'!E16="","",LN('Datos_fuente'!E16))</x:f>
        <x:v>8.241442324872372</x:v>
      </x:c>
      <x:c r="G16" s="90" t="n">
        <x:f>IF(OR(F16="",F15=""),"",F16-F15)</x:f>
        <x:v>0.012216579956549012</x:v>
      </x:c>
      <x:c r="H16" s="55" t="n">
        <x:f>'Datos_fuente'!H16</x:f>
        <x:v>1.758064516</x:v>
      </x:c>
      <x:c r="I16" s="55" t="n">
        <x:f>IF(OR(H16="",H15=""),"",H16-H15)</x:f>
        <x:v>0.2580645159999999</x:v>
      </x:c>
      <x:c r="J16" s="55" t="n">
        <x:f>'Datos_fuente'!J16</x:f>
        <x:v>3.895828134</x:v>
      </x:c>
      <x:c r="K16" s="55" t="n">
        <x:f>IF(OR(J16="",J15=""),"",J16-J15)</x:f>
        <x:v>0.24164383899999997</x:v>
      </x:c>
      <x:c r="L16" s="90" t="n">
        <x:f>IF('Datos_fuente'!K16="","",LN('Datos_fuente'!K16))</x:f>
        <x:v>4.588183267271299</x:v>
      </x:c>
      <x:c r="M16" s="90" t="n">
        <x:f>IF(OR(L16="",L15=""),"",L16-L15)</x:f>
        <x:v>0.0034059913820074783</x:v>
      </x:c>
      <x:c r="N16" s="90" t="n">
        <x:f>IF('Datos_fuente'!L16="","",LN('Datos_fuente'!L16))</x:f>
        <x:v>2.4253657211889</x:v>
      </x:c>
      <x:c r="O16" s="90" t="n">
        <x:f>IF(OR(N16="",N15=""),"",N16-N15)</x:f>
        <x:v>-0.07479893098808121</x:v>
      </x:c>
      <x:c r="P16" s="88" t="n">
        <x:f>'Datos_fuente'!N16</x:f>
        <x:v>0</x:v>
      </x:c>
      <x:c r="Q16" s="90" t="n">
        <x:f>IF('Datos_fuente'!O16="","",LN('Datos_fuente'!O16))</x:f>
        <x:v>9.624804863881147</x:v>
      </x:c>
      <x:c r="R16" s="90" t="n">
        <x:f>IF(OR(Q16="",Q15=""),"",Q16-Q15)</x:f>
        <x:v>0.00811377606311936</x:v>
      </x:c>
      <x:c r="S16" s="55" t="n">
        <x:f>'Datos_fuente'!R16</x:f>
        <x:v>4.847619048</x:v>
      </x:c>
      <x:c r="T16" s="55" t="n">
        <x:f>IF(OR(S16="",S15=""),"",S16-S15)</x:f>
        <x:v>-0.12052380899999982</x:v>
      </x:c>
      <x:c r="U16" s="90" t="n">
        <x:f>IF('Datos_fuente'!S16="","",ASINH('Datos_fuente'!S16/1000))</x:f>
        <x:v>-0.6145331765841213</x:v>
      </x:c>
      <x:c r="V16" s="90" t="n">
        <x:f>IF(OR(U16="",U15=""),"",U16-U15)</x:f>
        <x:v>-0.08027420268738916</x:v>
      </x:c>
      <x:c r="W16" s="90" t="n">
        <x:f>IF('Datos_fuente'!T16="","",ASINH('Datos_fuente'!T16/1000))</x:f>
        <x:v>0.480344062414625</x:v>
      </x:c>
      <x:c r="X16" s="90" t="n">
        <x:f>IF(OR(W16="",W15=""),"",W16-W15)</x:f>
        <x:v>0.35370284589464646</x:v>
      </x:c>
      <x:c r="Y16" s="55" t="n">
        <x:f>'Datos_fuente'!W16</x:f>
        <x:v>2.875666488</x:v>
      </x:c>
      <x:c r="Z16" s="55" t="n">
        <x:f>IF(OR(Y16="",Y15=""),"",Y16-Y15)</x:f>
        <x:v>0.35370956699999967</x:v>
      </x:c>
      <x:c r="AA16" s="90" t="n">
        <x:f>'Datos_fuente'!AA16</x:f>
        <x:v>-0.4583576676</x:v>
      </x:c>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 t="str">
        <x:f>'Datos_fuente'!A17</x:f>
        <x:v>2006-11</x:v>
      </x:c>
      <x:c r="B17" s="90" t="n">
        <x:f>IF('Datos_fuente'!B17="","",LN('Datos_fuente'!B17))</x:f>
        <x:v>7.73649834463475</x:v>
      </x:c>
      <x:c r="C17" s="90" t="n">
        <x:f>IF(OR(B17="",B16=""),"",B17-B16)</x:f>
        <x:v>-0.030679472287251208</x:v>
      </x:c>
      <x:c r="D17" s="90" t="n">
        <x:f>IF('Datos_fuente'!C17="","",LN('Datos_fuente'!C17))</x:f>
        <x:v>4.073484557979898</x:v>
      </x:c>
      <x:c r="E17" s="90" t="n">
        <x:f>IF(OR(D17="",D16=""),"",D17-D16)</x:f>
        <x:v>0.016354238340147376</x:v>
      </x:c>
      <x:c r="F17" s="90" t="n">
        <x:f>IF('Datos_fuente'!E17="","",LN('Datos_fuente'!E17))</x:f>
        <x:v>8.251567413993028</x:v>
      </x:c>
      <x:c r="G17" s="90" t="n">
        <x:f>IF(OR(F17="",F16=""),"",F17-F16)</x:f>
        <x:v>0.010125089120656128</x:v>
      </x:c>
      <x:c r="H17" s="55" t="n">
        <x:f>'Datos_fuente'!H17</x:f>
        <x:v>2</x:v>
      </x:c>
      <x:c r="I17" s="55" t="n">
        <x:f>IF(OR(H17="",H16=""),"",H17-H16)</x:f>
        <x:v>0.2419354840000001</x:v>
      </x:c>
      <x:c r="J17" s="55" t="n">
        <x:f>'Datos_fuente'!J17</x:f>
        <x:v>3.504711191</x:v>
      </x:c>
      <x:c r="K17" s="55" t="n">
        <x:f>IF(OR(J17="",J16=""),"",J17-J16)</x:f>
        <x:v>-0.39111694299999966</x:v>
      </x:c>
      <x:c r="L17" s="90" t="n">
        <x:f>IF('Datos_fuente'!K17="","",LN('Datos_fuente'!K17))</x:f>
        <x:v>4.579988592521055</x:v>
      </x:c>
      <x:c r="M17" s="90" t="n">
        <x:f>IF(OR(L17="",L16=""),"",L17-L16)</x:f>
        <x:v>-0.008194674750244602</x:v>
      </x:c>
      <x:c r="N17" s="90" t="n">
        <x:f>IF('Datos_fuente'!L17="","",LN('Datos_fuente'!L17))</x:f>
        <x:v>2.3811761983718056</x:v>
      </x:c>
      <x:c r="O17" s="90" t="n">
        <x:f>IF(OR(N17="",N16=""),"",N17-N16)</x:f>
        <x:v>-0.04418952281709432</x:v>
      </x:c>
      <x:c r="P17" s="88" t="n">
        <x:f>'Datos_fuente'!N17</x:f>
        <x:v>0</x:v>
      </x:c>
      <x:c r="Q17" s="90" t="n">
        <x:f>IF('Datos_fuente'!O17="","",LN('Datos_fuente'!O17))</x:f>
        <x:v>9.645533847236976</x:v>
      </x:c>
      <x:c r="R17" s="90" t="n">
        <x:f>IF(OR(Q17="",Q16=""),"",Q17-Q16)</x:f>
        <x:v>0.020728983355828845</x:v>
      </x:c>
      <x:c r="S17" s="55" t="n">
        <x:f>'Datos_fuente'!R17</x:f>
        <x:v>4.521761905</x:v>
      </x:c>
      <x:c r="T17" s="55" t="n">
        <x:f>IF(OR(S17="",S16=""),"",S17-S16)</x:f>
        <x:v>-0.32585714300000035</x:v>
      </x:c>
      <x:c r="U17" s="90" t="n">
        <x:f>IF('Datos_fuente'!S17="","",ASINH('Datos_fuente'!S17/1000))</x:f>
        <x:v>-0.537223292580431</x:v>
      </x:c>
      <x:c r="V17" s="90" t="n">
        <x:f>IF(OR(U17="",U16=""),"",U17-U16)</x:f>
        <x:v>0.07730988400369032</x:v>
      </x:c>
      <x:c r="W17" s="90" t="n">
        <x:f>IF('Datos_fuente'!T17="","",ASINH('Datos_fuente'!T17/1000))</x:f>
        <x:v>0.48954122076899387</x:v>
      </x:c>
      <x:c r="X17" s="90" t="n">
        <x:f>IF(OR(W17="",W16=""),"",W17-W16)</x:f>
        <x:v>0.00919715835436885</x:v>
      </x:c>
      <x:c r="Y17" s="55" t="n">
        <x:f>'Datos_fuente'!W17</x:f>
        <x:v>2.339305902</x:v>
      </x:c>
      <x:c r="Z17" s="55" t="n">
        <x:f>IF(OR(Y17="",Y16=""),"",Y17-Y16)</x:f>
        <x:v>-0.5363605859999998</x:v>
      </x:c>
      <x:c r="AA17" s="90" t="n">
        <x:f>'Datos_fuente'!AA17</x:f>
        <x:v>-0.1240557433</x:v>
      </x:c>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 t="str">
        <x:f>'Datos_fuente'!A18</x:f>
        <x:v>2006-12</x:v>
      </x:c>
      <x:c r="B18" s="90" t="n">
        <x:f>IF('Datos_fuente'!B18="","",LN('Datos_fuente'!B18))</x:f>
        <x:v>7.723432204616151</x:v>
      </x:c>
      <x:c r="C18" s="90" t="n">
        <x:f>IF(OR(B18="",B17=""),"",B18-B17)</x:f>
        <x:v>-0.013066140018598738</x:v>
      </x:c>
      <x:c r="D18" s="90" t="n">
        <x:f>IF('Datos_fuente'!C18="","",LN('Datos_fuente'!C18))</x:f>
        <x:v>4.134720141273796</x:v>
      </x:c>
      <x:c r="E18" s="90" t="n">
        <x:f>IF(OR(D18="",D17=""),"",D18-D17)</x:f>
        <x:v>0.061235583293897555</x:v>
      </x:c>
      <x:c r="F18" s="90" t="n">
        <x:f>IF('Datos_fuente'!E18="","",LN('Datos_fuente'!E18))</x:f>
        <x:v>8.258665956127949</x:v>
      </x:c>
      <x:c r="G18" s="90" t="n">
        <x:f>IF(OR(F18="",F17=""),"",F18-F17)</x:f>
        <x:v>0.007098542134921004</x:v>
      </x:c>
      <x:c r="H18" s="55" t="n">
        <x:f>'Datos_fuente'!H18</x:f>
        <x:v>2.122903226</x:v>
      </x:c>
      <x:c r="I18" s="55" t="n">
        <x:f>IF(OR(H18="",H17=""),"",H18-H17)</x:f>
        <x:v>0.12290322600000003</x:v>
      </x:c>
      <x:c r="J18" s="55" t="n">
        <x:f>'Datos_fuente'!J18</x:f>
        <x:v>3.425526113</x:v>
      </x:c>
      <x:c r="K18" s="55" t="n">
        <x:f>IF(OR(J18="",J17=""),"",J18-J17)</x:f>
        <x:v>-0.07918507800000008</x:v>
      </x:c>
      <x:c r="L18" s="90" t="n">
        <x:f>IF('Datos_fuente'!K18="","",LN('Datos_fuente'!K18))</x:f>
        <x:v>4.572596078006981</x:v>
      </x:c>
      <x:c r="M18" s="90" t="n">
        <x:f>IF(OR(L18="",L17=""),"",L18-L17)</x:f>
        <x:v>-0.007392514514073412</x:v>
      </x:c>
      <x:c r="N18" s="90" t="n">
        <x:f>IF('Datos_fuente'!L18="","",LN('Datos_fuente'!L18))</x:f>
        <x:v>2.3946627811949535</x:v>
      </x:c>
      <x:c r="O18" s="90" t="n">
        <x:f>IF(OR(N18="",N17=""),"",N18-N17)</x:f>
        <x:v>0.013486582823147852</x:v>
      </x:c>
      <x:c r="P18" s="88" t="n">
        <x:f>'Datos_fuente'!N18</x:f>
        <x:v>0</x:v>
      </x:c>
      <x:c r="Q18" s="90" t="n">
        <x:f>IF('Datos_fuente'!O18="","",LN('Datos_fuente'!O18))</x:f>
        <x:v>9.64442468246411</x:v>
      </x:c>
      <x:c r="R18" s="90" t="n">
        <x:f>IF(OR(Q18="",Q17=""),"",Q18-Q17)</x:f>
        <x:v>-0.0011091647728651566</x:v>
      </x:c>
      <x:c r="S18" s="55" t="n">
        <x:f>'Datos_fuente'!R18</x:f>
        <x:v>4.456611111</x:v>
      </x:c>
      <x:c r="T18" s="55" t="n">
        <x:f>IF(OR(S18="",S17=""),"",S18-S17)</x:f>
        <x:v>-0.06515079400000001</x:v>
      </x:c>
      <x:c r="U18" s="90" t="n">
        <x:f>IF('Datos_fuente'!S18="","",ASINH('Datos_fuente'!S18/1000))</x:f>
        <x:v>-0.6938430352396617</x:v>
      </x:c>
      <x:c r="V18" s="90" t="n">
        <x:f>IF(OR(U18="",U17=""),"",U18-U17)</x:f>
        <x:v>-0.15661974265923073</x:v>
      </x:c>
      <x:c r="W18" s="90" t="n">
        <x:f>IF('Datos_fuente'!T18="","",ASINH('Datos_fuente'!T18/1000))</x:f>
        <x:v>0.4265839188530113</x:v>
      </x:c>
      <x:c r="X18" s="90" t="n">
        <x:f>IF(OR(W18="",W17=""),"",W18-W17)</x:f>
        <x:v>-0.06295730191598259</x:v>
      </x:c>
      <x:c r="Y18" s="55" t="n">
        <x:f>'Datos_fuente'!W18</x:f>
        <x:v>1.939758452</x:v>
      </x:c>
      <x:c r="Z18" s="55" t="n">
        <x:f>IF(OR(Y18="",Y17=""),"",Y18-Y17)</x:f>
        <x:v>-0.39954745</x:v>
      </x:c>
      <x:c r="AA18" s="90" t="n">
        <x:f>'Datos_fuente'!AA18</x:f>
        <x:v>-0.1980495202</x:v>
      </x:c>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t="str">
        <x:f>'Datos_fuente'!A19</x:f>
        <x:v>2007-01</x:v>
      </x:c>
      <x:c r="B19" s="90" t="n">
        <x:f>IF('Datos_fuente'!B19="","",LN('Datos_fuente'!B19))</x:f>
        <x:v>7.712534285461438</x:v>
      </x:c>
      <x:c r="C19" s="90" t="n">
        <x:f>IF(OR(B19="",B18=""),"",B19-B18)</x:f>
        <x:v>-0.010897919154713165</x:v>
      </x:c>
      <x:c r="D19" s="90" t="n">
        <x:f>IF('Datos_fuente'!C19="","",LN('Datos_fuente'!C19))</x:f>
        <x:v>3.9830671050142326</x:v>
      </x:c>
      <x:c r="E19" s="90" t="n">
        <x:f>IF(OR(D19="",D18=""),"",D19-D18)</x:f>
        <x:v>-0.1516530362595634</x:v>
      </x:c>
      <x:c r="F19" s="90" t="n">
        <x:f>IF('Datos_fuente'!E19="","",LN('Datos_fuente'!E19))</x:f>
        <x:v>8.268562587027365</x:v>
      </x:c>
      <x:c r="G19" s="90" t="n">
        <x:f>IF(OR(F19="",F18=""),"",F19-F18)</x:f>
        <x:v>0.009896630899415726</x:v>
      </x:c>
      <x:c r="H19" s="55" t="n">
        <x:f>'Datos_fuente'!H19</x:f>
        <x:v>2.274193548</x:v>
      </x:c>
      <x:c r="I19" s="55" t="n">
        <x:f>IF(OR(H19="",H18=""),"",H19-H18)</x:f>
        <x:v>0.15129032199999992</x:v>
      </x:c>
      <x:c r="J19" s="55" t="n">
        <x:f>'Datos_fuente'!J19</x:f>
        <x:v>2.726369078</x:v>
      </x:c>
      <x:c r="K19" s="55" t="n">
        <x:f>IF(OR(J19="",J18=""),"",J19-J18)</x:f>
        <x:v>-0.6991570350000003</x:v>
      </x:c>
      <x:c r="L19" s="90" t="n">
        <x:f>IF('Datos_fuente'!K19="","",LN('Datos_fuente'!K19))</x:f>
        <x:v>4.583269888272881</x:v>
      </x:c>
      <x:c r="M19" s="90" t="n">
        <x:f>IF(OR(L19="",L18=""),"",L19-L18)</x:f>
        <x:v>0.01067381026589942</x:v>
      </x:c>
      <x:c r="N19" s="90" t="n">
        <x:f>IF('Datos_fuente'!L19="","",LN('Datos_fuente'!L19))</x:f>
        <x:v>2.4017514644885445</x:v>
      </x:c>
      <x:c r="O19" s="90" t="n">
        <x:f>IF(OR(N19="",N18=""),"",N19-N18)</x:f>
        <x:v>0.007088683293591025</x:v>
      </x:c>
      <x:c r="P19" s="88" t="n">
        <x:f>'Datos_fuente'!N19</x:f>
        <x:v>0</x:v>
      </x:c>
      <x:c r="Q19" s="90" t="n">
        <x:f>IF('Datos_fuente'!O19="","",LN('Datos_fuente'!O19))</x:f>
        <x:v>9.707872831843186</x:v>
      </x:c>
      <x:c r="R19" s="90" t="n">
        <x:f>IF(OR(Q19="",Q18=""),"",Q19-Q18)</x:f>
        <x:v>0.0634481493790755</x:v>
      </x:c>
      <x:c r="S19" s="55" t="n">
        <x:f>'Datos_fuente'!R19</x:f>
        <x:v>4.480952381</x:v>
      </x:c>
      <x:c r="T19" s="55" t="n">
        <x:f>IF(OR(S19="",S18=""),"",S19-S18)</x:f>
        <x:v>0.02434126999999986</x:v>
      </x:c>
      <x:c r="U19" s="90" t="n">
        <x:f>IF('Datos_fuente'!S19="","",ASINH('Datos_fuente'!S19/1000))</x:f>
        <x:v>-0.5005805175518822</x:v>
      </x:c>
      <x:c r="V19" s="90" t="n">
        <x:f>IF(OR(U19="",U18=""),"",U19-U18)</x:f>
        <x:v>0.19326251768777958</x:v>
      </x:c>
      <x:c r="W19" s="90" t="n">
        <x:f>IF('Datos_fuente'!T19="","",ASINH('Datos_fuente'!T19/1000))</x:f>
        <x:v>1.0454860586593153</x:v>
      </x:c>
      <x:c r="X19" s="90" t="n">
        <x:f>IF(OR(W19="",W18=""),"",W19-W18)</x:f>
        <x:v>0.618902139806304</x:v>
      </x:c>
      <x:c r="Y19" s="55" t="n">
        <x:f>'Datos_fuente'!W19</x:f>
        <x:v>2.634624741</x:v>
      </x:c>
      <x:c r="Z19" s="55" t="n">
        <x:f>IF(OR(Y19="",Y18=""),"",Y19-Y18)</x:f>
        <x:v>0.6948662890000001</x:v>
      </x:c>
      <x:c r="AA19" s="90" t="n">
        <x:f>'Datos_fuente'!AA19</x:f>
        <x:v>0.2561482614</x:v>
      </x:c>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f>'Datos_fuente'!A20</x:f>
        <x:v>2007-02</x:v>
      </x:c>
      <x:c r="B20" s="90" t="n">
        <x:f>IF('Datos_fuente'!B20="","",LN('Datos_fuente'!B20))</x:f>
        <x:v>7.70866642395162</x:v>
      </x:c>
      <x:c r="C20" s="90" t="n">
        <x:f>IF(OR(B20="",B19=""),"",B20-B19)</x:f>
        <x:v>-0.0038678615098186597</x:v>
      </x:c>
      <x:c r="D20" s="90" t="n">
        <x:f>IF('Datos_fuente'!C20="","",LN('Datos_fuente'!C20))</x:f>
        <x:v>4.052754729065584</x:v>
      </x:c>
      <x:c r="E20" s="90" t="n">
        <x:f>IF(OR(D20="",D19=""),"",D20-D19)</x:f>
        <x:v>0.06968762405135154</x:v>
      </x:c>
      <x:c r="F20" s="90" t="n">
        <x:f>IF('Datos_fuente'!E20="","",LN('Datos_fuente'!E20))</x:f>
        <x:v>8.27755433757283</x:v>
      </x:c>
      <x:c r="G20" s="90" t="n">
        <x:f>IF(OR(F20="",F19=""),"",F20-F19)</x:f>
        <x:v>0.008991750545465749</x:v>
      </x:c>
      <x:c r="H20" s="55" t="n">
        <x:f>'Datos_fuente'!H20</x:f>
        <x:v>2.516785714</x:v>
      </x:c>
      <x:c r="I20" s="55" t="n">
        <x:f>IF(OR(H20="",H19=""),"",H20-H19)</x:f>
        <x:v>0.2425921660000001</x:v>
      </x:c>
      <x:c r="J20" s="55" t="n">
        <x:f>'Datos_fuente'!J20</x:f>
        <x:v>2.727114411</x:v>
      </x:c>
      <x:c r="K20" s="55" t="n">
        <x:f>IF(OR(J20="",J19=""),"",J20-J19)</x:f>
        <x:v>0.0007453330000002367</x:v>
      </x:c>
      <x:c r="L20" s="90" t="n">
        <x:f>IF('Datos_fuente'!K20="","",LN('Datos_fuente'!K20))</x:f>
        <x:v>4.579610553894914</x:v>
      </x:c>
      <x:c r="M20" s="90" t="n">
        <x:f>IF(OR(L20="",L19=""),"",L20-L19)</x:f>
        <x:v>-0.0036593343779669496</x:v>
      </x:c>
      <x:c r="N20" s="90" t="n">
        <x:f>IF('Datos_fuente'!L20="","",LN('Datos_fuente'!L20))</x:f>
        <x:v>2.4119114188209294</x:v>
      </x:c>
      <x:c r="O20" s="90" t="n">
        <x:f>IF(OR(N20="",N19=""),"",N20-N19)</x:f>
        <x:v>0.010159954332384924</x:v>
      </x:c>
      <x:c r="P20" s="88" t="n">
        <x:f>'Datos_fuente'!N20</x:f>
        <x:v>0</x:v>
      </x:c>
      <x:c r="Q20" s="90" t="n">
        <x:f>IF('Datos_fuente'!O20="","",LN('Datos_fuente'!O20))</x:f>
        <x:v>9.775129611645598</x:v>
      </x:c>
      <x:c r="R20" s="90" t="n">
        <x:f>IF(OR(Q20="",Q19=""),"",Q20-Q19)</x:f>
        <x:v>0.06725677980241151</x:v>
      </x:c>
      <x:c r="S20" s="55" t="n">
        <x:f>'Datos_fuente'!R20</x:f>
        <x:v>4.837868421</x:v>
      </x:c>
      <x:c r="T20" s="55" t="n">
        <x:f>IF(OR(S20="",S19=""),"",S20-S19)</x:f>
        <x:v>0.35691603999999977</x:v>
      </x:c>
      <x:c r="U20" s="90" t="n">
        <x:f>IF('Datos_fuente'!S20="","",ASINH('Datos_fuente'!S20/1000))</x:f>
        <x:v>-0.5908304393723851</x:v>
      </x:c>
      <x:c r="V20" s="90" t="n">
        <x:f>IF(OR(U20="",U19=""),"",U20-U19)</x:f>
        <x:v>-0.09024992182050295</x:v>
      </x:c>
      <x:c r="W20" s="90" t="n">
        <x:f>IF('Datos_fuente'!T20="","",ASINH('Datos_fuente'!T20/1000))</x:f>
        <x:v>1.183528183959804</x:v>
      </x:c>
      <x:c r="X20" s="90" t="n">
        <x:f>IF(OR(W20="",W19=""),"",W20-W19)</x:f>
        <x:v>0.13804212530048865</x:v>
      </x:c>
      <x:c r="Y20" s="55" t="n">
        <x:f>'Datos_fuente'!W20</x:f>
        <x:v>2.836442346</x:v>
      </x:c>
      <x:c r="Z20" s="55" t="n">
        <x:f>IF(OR(Y20="",Y19=""),"",Y20-Y19)</x:f>
        <x:v>0.201817605</x:v>
      </x:c>
      <x:c r="AA20" s="90" t="n">
        <x:f>'Datos_fuente'!AA20</x:f>
        <x:v>-0.2001864049</x:v>
      </x:c>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f>'Datos_fuente'!A21</x:f>
        <x:v>2007-03</x:v>
      </x:c>
      <x:c r="B21" s="90" t="n">
        <x:f>IF('Datos_fuente'!B21="","",LN('Datos_fuente'!B21))</x:f>
        <x:v>7.697504766009263</x:v>
      </x:c>
      <x:c r="C21" s="90" t="n">
        <x:f>IF(OR(B21="",B20=""),"",B21-B20)</x:f>
        <x:v>-0.011161657942357017</x:v>
      </x:c>
      <x:c r="D21" s="90" t="n">
        <x:f>IF('Datos_fuente'!C21="","",LN('Datos_fuente'!C21))</x:f>
        <x:v>4.1279478371677</x:v>
      </x:c>
      <x:c r="E21" s="90" t="n">
        <x:f>IF(OR(D21="",D20=""),"",D21-D20)</x:f>
        <x:v>0.07519310810211621</x:v>
      </x:c>
      <x:c r="F21" s="90" t="n">
        <x:f>IF('Datos_fuente'!E21="","",LN('Datos_fuente'!E21))</x:f>
        <x:v>8.28125058047132</x:v>
      </x:c>
      <x:c r="G21" s="90" t="n">
        <x:f>IF(OR(F21="",F20=""),"",F21-F20)</x:f>
        <x:v>0.003696242898490354</x:v>
      </x:c>
      <x:c r="H21" s="55" t="n">
        <x:f>'Datos_fuente'!H21</x:f>
        <x:v>2.788387097</x:v>
      </x:c>
      <x:c r="I21" s="55" t="n">
        <x:f>IF(OR(H21="",H20=""),"",H21-H20)</x:f>
        <x:v>0.27160138300000014</x:v>
      </x:c>
      <x:c r="J21" s="55" t="n">
        <x:f>'Datos_fuente'!J21</x:f>
        <x:v>2.890076276</x:v>
      </x:c>
      <x:c r="K21" s="55" t="n">
        <x:f>IF(OR(J21="",J20=""),"",J21-J20)</x:f>
        <x:v>0.16296186499999976</x:v>
      </x:c>
      <x:c r="L21" s="90" t="n">
        <x:f>IF('Datos_fuente'!K21="","",LN('Datos_fuente'!K21))</x:f>
        <x:v>4.574832152089402</x:v>
      </x:c>
      <x:c r="M21" s="90" t="n">
        <x:f>IF(OR(L21="",L20=""),"",L21-L20)</x:f>
        <x:v>-0.0047784018055114785</x:v>
      </x:c>
      <x:c r="N21" s="90" t="n">
        <x:f>IF('Datos_fuente'!L21="","",LN('Datos_fuente'!L21))</x:f>
        <x:v>2.7188402631108444</x:v>
      </x:c>
      <x:c r="O21" s="90" t="n">
        <x:f>IF(OR(N21="",N20=""),"",N21-N20)</x:f>
        <x:v>0.30692884428991496</x:v>
      </x:c>
      <x:c r="P21" s="88" t="n">
        <x:f>'Datos_fuente'!N21</x:f>
        <x:v>0</x:v>
      </x:c>
      <x:c r="Q21" s="90" t="n">
        <x:f>IF('Datos_fuente'!O21="","",LN('Datos_fuente'!O21))</x:f>
        <x:v>9.85183524634313</x:v>
      </x:c>
      <x:c r="R21" s="90" t="n">
        <x:f>IF(OR(Q21="",Q20=""),"",Q21-Q20)</x:f>
        <x:v>0.07670563469753233</x:v>
      </x:c>
      <x:c r="S21" s="55" t="n">
        <x:f>'Datos_fuente'!R21</x:f>
        <x:v>5.336406926</x:v>
      </x:c>
      <x:c r="T21" s="55" t="n">
        <x:f>IF(OR(S21="",S20=""),"",S21-S20)</x:f>
        <x:v>0.49853850500000085</x:v>
      </x:c>
      <x:c r="U21" s="90" t="n">
        <x:f>IF('Datos_fuente'!S21="","",ASINH('Datos_fuente'!S21/1000))</x:f>
        <x:v>-0.6510601322619587</x:v>
      </x:c>
      <x:c r="V21" s="90" t="n">
        <x:f>IF(OR(U21="",U20=""),"",U21-U20)</x:f>
        <x:v>-0.06022969288957358</x:v>
      </x:c>
      <x:c r="W21" s="90" t="n">
        <x:f>IF('Datos_fuente'!T21="","",ASINH('Datos_fuente'!T21/1000))</x:f>
        <x:v>1.3561860066630893</x:v>
      </x:c>
      <x:c r="X21" s="90" t="n">
        <x:f>IF(OR(W21="",W20=""),"",W21-W20)</x:f>
        <x:v>0.17265782270328534</x:v>
      </x:c>
      <x:c r="Y21" s="55" t="n">
        <x:f>'Datos_fuente'!W21</x:f>
        <x:v>3.004273202</x:v>
      </x:c>
      <x:c r="Z21" s="55" t="n">
        <x:f>IF(OR(Y21="",Y20=""),"",Y21-Y20)</x:f>
        <x:v>0.1678308559999997</x:v>
      </x:c>
      <x:c r="AA21" s="90" t="n">
        <x:f>'Datos_fuente'!AA21</x:f>
        <x:v>-0.08979596971</x:v>
      </x:c>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f>'Datos_fuente'!A22</x:f>
        <x:v>2007-04</x:v>
      </x:c>
      <x:c r="B22" s="90" t="n">
        <x:f>IF('Datos_fuente'!B22="","",LN('Datos_fuente'!B22))</x:f>
        <x:v>7.670848521198909</x:v>
      </x:c>
      <x:c r="C22" s="90" t="n">
        <x:f>IF(OR(B22="",B21=""),"",B22-B21)</x:f>
        <x:v>-0.026656244810353336</x:v>
      </x:c>
      <x:c r="D22" s="90" t="n">
        <x:f>IF('Datos_fuente'!C22="","",LN('Datos_fuente'!C22))</x:f>
        <x:v>4.2119170493443265</x:v>
      </x:c>
      <x:c r="E22" s="90" t="n">
        <x:f>IF(OR(D22="",D21=""),"",D22-D21)</x:f>
        <x:v>0.08396921217662623</x:v>
      </x:c>
      <x:c r="F22" s="90" t="n">
        <x:f>IF('Datos_fuente'!E22="","",LN('Datos_fuente'!E22))</x:f>
        <x:v>8.289943722346532</x:v>
      </x:c>
      <x:c r="G22" s="90" t="n">
        <x:f>IF(OR(F22="",F21=""),"",F22-F21)</x:f>
        <x:v>0.008693141875211197</x:v>
      </x:c>
      <x:c r="H22" s="55" t="n">
        <x:f>'Datos_fuente'!H22</x:f>
        <x:v>3</x:v>
      </x:c>
      <x:c r="I22" s="55" t="n">
        <x:f>IF(OR(H22="",H21=""),"",H22-H21)</x:f>
        <x:v>0.2116129029999998</x:v>
      </x:c>
      <x:c r="J22" s="55" t="n">
        <x:f>'Datos_fuente'!J22</x:f>
        <x:v>2.647914181</x:v>
      </x:c>
      <x:c r="K22" s="55" t="n">
        <x:f>IF(OR(J22="",J21=""),"",J22-J21)</x:f>
        <x:v>-0.24216209499999986</x:v>
      </x:c>
      <x:c r="L22" s="90" t="n">
        <x:f>IF('Datos_fuente'!K22="","",LN('Datos_fuente'!K22))</x:f>
        <x:v>4.560509583429887</x:v>
      </x:c>
      <x:c r="M22" s="90" t="n">
        <x:f>IF(OR(L22="",L21=""),"",L22-L21)</x:f>
        <x:v>-0.014322568659514978</x:v>
      </x:c>
      <x:c r="N22" s="90" t="n">
        <x:f>IF('Datos_fuente'!L22="","",LN('Datos_fuente'!L22))</x:f>
        <x:v>2.5597821844331072</x:v>
      </x:c>
      <x:c r="O22" s="90" t="n">
        <x:f>IF(OR(N22="",N21=""),"",N22-N21)</x:f>
        <x:v>-0.15905807867773714</x:v>
      </x:c>
      <x:c r="P22" s="88" t="n">
        <x:f>'Datos_fuente'!N22</x:f>
        <x:v>0</x:v>
      </x:c>
      <x:c r="Q22" s="90" t="n">
        <x:f>IF('Datos_fuente'!O22="","",LN('Datos_fuente'!O22))</x:f>
        <x:v>9.892215258274247</x:v>
      </x:c>
      <x:c r="R22" s="90" t="n">
        <x:f>IF(OR(Q22="",Q21=""),"",Q22-Q21)</x:f>
        <x:v>0.0403800119311164</x:v>
      </x:c>
      <x:c r="S22" s="55" t="n">
        <x:f>'Datos_fuente'!R22</x:f>
        <x:v>5.408822055</x:v>
      </x:c>
      <x:c r="T22" s="55" t="n">
        <x:f>IF(OR(S22="",S21=""),"",S22-S21)</x:f>
        <x:v>0.07241512899999947</x:v>
      </x:c>
      <x:c r="U22" s="90" t="n">
        <x:f>IF('Datos_fuente'!S22="","",ASINH('Datos_fuente'!S22/1000))</x:f>
        <x:v>-0.566868831827445</x:v>
      </x:c>
      <x:c r="V22" s="90" t="n">
        <x:f>IF(OR(U22="",U21=""),"",U22-U21)</x:f>
        <x:v>0.08419130043451373</x:v>
      </x:c>
      <x:c r="W22" s="90" t="n">
        <x:f>IF('Datos_fuente'!T22="","",ASINH('Datos_fuente'!T22/1000))</x:f>
        <x:v>0.9131423204798614</x:v>
      </x:c>
      <x:c r="X22" s="90" t="n">
        <x:f>IF(OR(W22="",W21=""),"",W22-W21)</x:f>
        <x:v>-0.44304368618322787</x:v>
      </x:c>
      <x:c r="Y22" s="55" t="n">
        <x:f>'Datos_fuente'!W22</x:f>
        <x:v>3.683583475</x:v>
      </x:c>
      <x:c r="Z22" s="55" t="n">
        <x:f>IF(OR(Y22="",Y21=""),"",Y22-Y21)</x:f>
        <x:v>0.679310273</x:v>
      </x:c>
      <x:c r="AA22" s="90" t="n">
        <x:f>'Datos_fuente'!AA22</x:f>
        <x:v>-0.6554819</x:v>
      </x:c>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t="str">
        <x:f>'Datos_fuente'!A23</x:f>
        <x:v>2007-05</x:v>
      </x:c>
      <x:c r="B23" s="90" t="n">
        <x:f>IF('Datos_fuente'!B23="","",LN('Datos_fuente'!B23))</x:f>
        <x:v>7.605599154781346</x:v>
      </x:c>
      <x:c r="C23" s="90" t="n">
        <x:f>IF(OR(B23="",B22=""),"",B23-B22)</x:f>
        <x:v>-0.06524936641756351</x:v>
      </x:c>
      <x:c r="D23" s="90" t="n">
        <x:f>IF('Datos_fuente'!C23="","",LN('Datos_fuente'!C23))</x:f>
        <x:v>4.207855860765006</x:v>
      </x:c>
      <x:c r="E23" s="90" t="n">
        <x:f>IF(OR(D23="",D22=""),"",D23-D22)</x:f>
        <x:v>-0.004061188579320252</x:v>
      </x:c>
      <x:c r="F23" s="90" t="n">
        <x:f>IF('Datos_fuente'!E23="","",LN('Datos_fuente'!E23))</x:f>
        <x:v>8.283117602532469</x:v>
      </x:c>
      <x:c r="G23" s="90" t="n">
        <x:f>IF(OR(F23="",F22=""),"",F23-F22)</x:f>
        <x:v>-0.006826119814062892</x:v>
      </x:c>
      <x:c r="H23" s="55" t="n">
        <x:f>'Datos_fuente'!H23</x:f>
        <x:v>3.322580645</x:v>
      </x:c>
      <x:c r="I23" s="55" t="n">
        <x:f>IF(OR(H23="",H22=""),"",H23-H22)</x:f>
        <x:v>0.32258064499999994</x:v>
      </x:c>
      <x:c r="J23" s="55" t="n">
        <x:f>'Datos_fuente'!J23</x:f>
        <x:v>2.069261745</x:v>
      </x:c>
      <x:c r="K23" s="55" t="n">
        <x:f>IF(OR(J23="",J22=""),"",J23-J22)</x:f>
        <x:v>-0.578652436</x:v>
      </x:c>
      <x:c r="L23" s="90" t="n">
        <x:f>IF('Datos_fuente'!K23="","",LN('Datos_fuente'!K23))</x:f>
        <x:v>4.5509520693170105</x:v>
      </x:c>
      <x:c r="M23" s="90" t="n">
        <x:f>IF(OR(L23="",L22=""),"",L23-L22)</x:f>
        <x:v>-0.009557514112876753</x:v>
      </x:c>
      <x:c r="N23" s="90" t="n">
        <x:f>IF('Datos_fuente'!L23="","",LN('Datos_fuente'!L23))</x:f>
        <x:v>2.587593138670836</x:v>
      </x:c>
      <x:c r="O23" s="90" t="n">
        <x:f>IF(OR(N23="",N22=""),"",N23-N22)</x:f>
        <x:v>0.027810954237728946</x:v>
      </x:c>
      <x:c r="P23" s="88" t="n">
        <x:f>'Datos_fuente'!N23</x:f>
        <x:v>0</x:v>
      </x:c>
      <x:c r="Q23" s="90" t="n">
        <x:f>IF('Datos_fuente'!O23="","",LN('Datos_fuente'!O23))</x:f>
        <x:v>9.923748408163002</x:v>
      </x:c>
      <x:c r="R23" s="90" t="n">
        <x:f>IF(OR(Q23="",Q22=""),"",Q23-Q22)</x:f>
        <x:v>0.03153314988875522</x:v>
      </x:c>
      <x:c r="S23" s="55" t="n">
        <x:f>'Datos_fuente'!R23</x:f>
        <x:v>5.357445887</x:v>
      </x:c>
      <x:c r="T23" s="55" t="n">
        <x:f>IF(OR(S23="",S22=""),"",S23-S22)</x:f>
        <x:v>-0.051376168</x:v>
      </x:c>
      <x:c r="U23" s="90" t="n">
        <x:f>IF('Datos_fuente'!S23="","",ASINH('Datos_fuente'!S23/1000))</x:f>
        <x:v>-0.6162564384711106</x:v>
      </x:c>
      <x:c r="V23" s="90" t="n">
        <x:f>IF(OR(U23="",U22=""),"",U23-U22)</x:f>
        <x:v>-0.049387606643665594</x:v>
      </x:c>
      <x:c r="W23" s="90" t="n">
        <x:f>IF('Datos_fuente'!T23="","",ASINH('Datos_fuente'!T23/1000))</x:f>
        <x:v>0.9181859819214345</x:v>
      </x:c>
      <x:c r="X23" s="90" t="n">
        <x:f>IF(OR(W23="",W22=""),"",W23-W22)</x:f>
        <x:v>0.0050436614415730885</x:v>
      </x:c>
      <x:c r="Y23" s="55" t="n">
        <x:f>'Datos_fuente'!W23</x:f>
        <x:v>3.545659272</x:v>
      </x:c>
      <x:c r="Z23" s="55" t="n">
        <x:f>IF(OR(Y23="",Y22=""),"",Y23-Y22)</x:f>
        <x:v>-0.13792420299999986</x:v>
      </x:c>
      <x:c r="AA23" s="90" t="n">
        <x:f>'Datos_fuente'!AA23</x:f>
        <x:v>-0.7200689434</x:v>
      </x:c>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t="str">
        <x:f>'Datos_fuente'!A24</x:f>
        <x:v>2007-06</x:v>
      </x:c>
      <x:c r="B24" s="90" t="n">
        <x:f>IF('Datos_fuente'!B24="","",LN('Datos_fuente'!B24))</x:f>
        <x:v>7.561919571266223</x:v>
      </x:c>
      <x:c r="C24" s="90" t="n">
        <x:f>IF(OR(B24="",B23=""),"",B24-B23)</x:f>
        <x:v>-0.043679583515122467</x:v>
      </x:c>
      <x:c r="D24" s="90" t="n">
        <x:f>IF('Datos_fuente'!C24="","",LN('Datos_fuente'!C24))</x:f>
        <x:v>4.263323533089747</x:v>
      </x:c>
      <x:c r="E24" s="90" t="n">
        <x:f>IF(OR(D24="",D23=""),"",D24-D23)</x:f>
        <x:v>0.055467672324740924</x:v>
      </x:c>
      <x:c r="F24" s="90" t="n">
        <x:f>IF('Datos_fuente'!E24="","",LN('Datos_fuente'!E24))</x:f>
        <x:v>8.281240451606841</x:v>
      </x:c>
      <x:c r="G24" s="90" t="n">
        <x:f>IF(OR(F24="",F23=""),"",F24-F23)</x:f>
        <x:v>-0.0018771509256279018</x:v>
      </x:c>
      <x:c r="H24" s="55" t="n">
        <x:f>'Datos_fuente'!H24</x:f>
        <x:v>3.6</x:v>
      </x:c>
      <x:c r="I24" s="55" t="n">
        <x:f>IF(OR(H24="",H23=""),"",H24-H23)</x:f>
        <x:v>0.27741935500000015</x:v>
      </x:c>
      <x:c r="J24" s="55" t="n">
        <x:f>'Datos_fuente'!J24</x:f>
        <x:v>2.290703207</x:v>
      </x:c>
      <x:c r="K24" s="55" t="n">
        <x:f>IF(OR(J24="",J23=""),"",J24-J23)</x:f>
        <x:v>0.22144146200000003</x:v>
      </x:c>
      <x:c r="L24" s="90" t="n">
        <x:f>IF('Datos_fuente'!K24="","",LN('Datos_fuente'!K24))</x:f>
        <x:v>4.54801669646543</x:v>
      </x:c>
      <x:c r="M24" s="90" t="n">
        <x:f>IF(OR(L24="",L23=""),"",L24-L23)</x:f>
        <x:v>-0.002935372851580631</x:v>
      </x:c>
      <x:c r="N24" s="90" t="n">
        <x:f>IF('Datos_fuente'!L24="","",LN('Datos_fuente'!L24))</x:f>
        <x:v>2.7045520262837712</x:v>
      </x:c>
      <x:c r="O24" s="90" t="n">
        <x:f>IF(OR(N24="",N23=""),"",N24-N23)</x:f>
        <x:v>0.11695888761293505</x:v>
      </x:c>
      <x:c r="P24" s="88" t="n">
        <x:f>'Datos_fuente'!N24</x:f>
        <x:v>0</x:v>
      </x:c>
      <x:c r="Q24" s="90" t="n">
        <x:f>IF('Datos_fuente'!O24="","",LN('Datos_fuente'!O24))</x:f>
        <x:v>9.903208013468724</x:v>
      </x:c>
      <x:c r="R24" s="90" t="n">
        <x:f>IF(OR(Q24="",Q23=""),"",Q24-Q23)</x:f>
        <x:v>-0.020540394694277708</x:v>
      </x:c>
      <x:c r="S24" s="55" t="n">
        <x:f>'Datos_fuente'!R24</x:f>
        <x:v>4.769774436</x:v>
      </x:c>
      <x:c r="T24" s="55" t="n">
        <x:f>IF(OR(S24="",S23=""),"",S24-S23)</x:f>
        <x:v>-0.5876714510000003</x:v>
      </x:c>
      <x:c r="U24" s="90" t="n">
        <x:f>IF('Datos_fuente'!S24="","",ASINH('Datos_fuente'!S24/1000))</x:f>
        <x:v>-0.5417747011788744</x:v>
      </x:c>
      <x:c r="V24" s="90" t="n">
        <x:f>IF(OR(U24="",U23=""),"",U24-U23)</x:f>
        <x:v>0.07448173729223617</x:v>
      </x:c>
      <x:c r="W24" s="90" t="n">
        <x:f>IF('Datos_fuente'!T24="","",ASINH('Datos_fuente'!T24/1000))</x:f>
        <x:v>-0.15445514332211766</x:v>
      </x:c>
      <x:c r="X24" s="90" t="n">
        <x:f>IF(OR(W24="",W23=""),"",W24-W23)</x:f>
        <x:v>-1.0726411252435522</x:v>
      </x:c>
      <x:c r="Y24" s="55" t="n">
        <x:f>'Datos_fuente'!W24</x:f>
        <x:v>3.331480569</x:v>
      </x:c>
      <x:c r="Z24" s="55" t="n">
        <x:f>IF(OR(Y24="",Y23=""),"",Y24-Y23)</x:f>
        <x:v>-0.21417870299999997</x:v>
      </x:c>
      <x:c r="AA24" s="90" t="n">
        <x:f>'Datos_fuente'!AA24</x:f>
        <x:v>-0.2115894945</x:v>
      </x:c>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t="str">
        <x:f>'Datos_fuente'!A25</x:f>
        <x:v>2007-07</x:v>
      </x:c>
      <x:c r="B25" s="90" t="n">
        <x:f>IF('Datos_fuente'!B25="","",LN('Datos_fuente'!B25))</x:f>
        <x:v>7.576529614170724</x:v>
      </x:c>
      <x:c r="C25" s="90" t="n">
        <x:f>IF(OR(B25="",B24=""),"",B25-B24)</x:f>
        <x:v>0.01461004290450063</x:v>
      </x:c>
      <x:c r="D25" s="90" t="n">
        <x:f>IF('Datos_fuente'!C25="","",LN('Datos_fuente'!C25))</x:f>
        <x:v>4.342895917470844</x:v>
      </x:c>
      <x:c r="E25" s="90" t="n">
        <x:f>IF(OR(D25="",D24=""),"",D25-D24)</x:f>
        <x:v>0.07957238438109648</x:v>
      </x:c>
      <x:c r="F25" s="90" t="n">
        <x:f>IF('Datos_fuente'!E25="","",LN('Datos_fuente'!E25))</x:f>
        <x:v>8.295046642929496</x:v>
      </x:c>
      <x:c r="G25" s="90" t="n">
        <x:f>IF(OR(F25="",F24=""),"",F25-F24)</x:f>
        <x:v>0.013806191322654371</x:v>
      </x:c>
      <x:c r="H25" s="55" t="n">
        <x:f>'Datos_fuente'!H25</x:f>
        <x:v>3.756129032</x:v>
      </x:c>
      <x:c r="I25" s="55" t="n">
        <x:f>IF(OR(H25="",H24=""),"",H25-H24)</x:f>
        <x:v>0.15612903199999995</x:v>
      </x:c>
      <x:c r="J25" s="55" t="n">
        <x:f>'Datos_fuente'!J25</x:f>
        <x:v>2.523620514</x:v>
      </x:c>
      <x:c r="K25" s="55" t="n">
        <x:f>IF(OR(J25="",J24=""),"",J25-J24)</x:f>
        <x:v>0.23291730700000013</x:v>
      </x:c>
      <x:c r="L25" s="90" t="n">
        <x:f>IF('Datos_fuente'!K25="","",LN('Datos_fuente'!K25))</x:f>
        <x:v>4.534811170751572</x:v>
      </x:c>
      <x:c r="M25" s="90" t="n">
        <x:f>IF(OR(L25="",L24=""),"",L25-L24)</x:f>
        <x:v>-0.013205525713857469</x:v>
      </x:c>
      <x:c r="N25" s="90" t="n">
        <x:f>IF('Datos_fuente'!L25="","",LN('Datos_fuente'!L25))</x:f>
        <x:v>2.8491638862728785</x:v>
      </x:c>
      <x:c r="O25" s="90" t="n">
        <x:f>IF(OR(N25="",N24=""),"",N25-N24)</x:f>
        <x:v>0.1446118599891073</x:v>
      </x:c>
      <x:c r="P25" s="88" t="n">
        <x:f>'Datos_fuente'!N25</x:f>
        <x:v>0</x:v>
      </x:c>
      <x:c r="Q25" s="90" t="n">
        <x:f>IF('Datos_fuente'!O25="","",LN('Datos_fuente'!O25))</x:f>
        <x:v>9.913225484596646</x:v>
      </x:c>
      <x:c r="R25" s="90" t="n">
        <x:f>IF(OR(Q25="",Q24=""),"",Q25-Q24)</x:f>
        <x:v>0.01001747112792195</x:v>
      </x:c>
      <x:c r="S25" s="55" t="n">
        <x:f>'Datos_fuente'!R25</x:f>
        <x:v>4.888714286</x:v>
      </x:c>
      <x:c r="T25" s="55" t="n">
        <x:f>IF(OR(S25="",S24=""),"",S25-S24)</x:f>
        <x:v>0.11893985000000029</x:v>
      </x:c>
      <x:c r="U25" s="90" t="n">
        <x:f>IF('Datos_fuente'!S25="","",ASINH('Datos_fuente'!S25/1000))</x:f>
        <x:v>-0.6306974080377187</x:v>
      </x:c>
      <x:c r="V25" s="90" t="n">
        <x:f>IF(OR(U25="",U24=""),"",U25-U24)</x:f>
        <x:v>-0.08892270685884429</x:v>
      </x:c>
      <x:c r="W25" s="90" t="n">
        <x:f>IF('Datos_fuente'!T25="","",ASINH('Datos_fuente'!T25/1000))</x:f>
        <x:v>0.6211246154476762</x:v>
      </x:c>
      <x:c r="X25" s="90" t="n">
        <x:f>IF(OR(W25="",W24=""),"",W25-W24)</x:f>
        <x:v>0.7755797587697938</x:v>
      </x:c>
      <x:c r="Y25" s="55" t="n">
        <x:f>'Datos_fuente'!W25</x:f>
        <x:v>3.404983269</x:v>
      </x:c>
      <x:c r="Z25" s="55" t="n">
        <x:f>IF(OR(Y25="",Y24=""),"",Y25-Y24)</x:f>
        <x:v>0.07350270000000014</x:v>
      </x:c>
      <x:c r="AA25" s="90" t="n">
        <x:f>'Datos_fuente'!AA25</x:f>
        <x:v>-0.5416998111</x:v>
      </x:c>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t="str">
        <x:f>'Datos_fuente'!A26</x:f>
        <x:v>2007-08</x:v>
      </x:c>
      <x:c r="B26" s="90" t="n">
        <x:f>IF('Datos_fuente'!B26="","",LN('Datos_fuente'!B26))</x:f>
        <x:v>7.628559830937357</x:v>
      </x:c>
      <x:c r="C26" s="90" t="n">
        <x:f>IF(OR(B26="",B25=""),"",B26-B25)</x:f>
        <x:v>0.05203021676663333</x:v>
      </x:c>
      <x:c r="D26" s="90" t="n">
        <x:f>IF('Datos_fuente'!C26="","",LN('Datos_fuente'!C26))</x:f>
        <x:v>4.259306158221163</x:v>
      </x:c>
      <x:c r="E26" s="90" t="n">
        <x:f>IF(OR(D26="",D25=""),"",D26-D25)</x:f>
        <x:v>-0.08358975924968082</x:v>
      </x:c>
      <x:c r="F26" s="90" t="n">
        <x:f>IF('Datos_fuente'!E26="","",LN('Datos_fuente'!E26))</x:f>
        <x:v>8.31434234336979</x:v>
      </x:c>
      <x:c r="G26" s="90" t="n">
        <x:f>IF(OR(F26="",F25=""),"",F26-F25)</x:f>
        <x:v>0.019295700440293828</x:v>
      </x:c>
      <x:c r="H26" s="55" t="n">
        <x:f>'Datos_fuente'!H26</x:f>
        <x:v>4.23</x:v>
      </x:c>
      <x:c r="I26" s="55" t="n">
        <x:f>IF(OR(H26="",H25=""),"",H26-H25)</x:f>
        <x:v>0.4738709680000004</x:v>
      </x:c>
      <x:c r="J26" s="55" t="n">
        <x:f>'Datos_fuente'!J26</x:f>
        <x:v>2.40454409</x:v>
      </x:c>
      <x:c r="K26" s="55" t="n">
        <x:f>IF(OR(J26="",J25=""),"",J26-J25)</x:f>
        <x:v>-0.11907642400000018</x:v>
      </x:c>
      <x:c r="L26" s="90" t="n">
        <x:f>IF('Datos_fuente'!K26="","",LN('Datos_fuente'!K26))</x:f>
        <x:v>4.540741479087383</x:v>
      </x:c>
      <x:c r="M26" s="90" t="n">
        <x:f>IF(OR(L26="",L25=""),"",L26-L25)</x:f>
        <x:v>0.00593030833581043</x:v>
      </x:c>
      <x:c r="N26" s="90" t="n">
        <x:f>IF('Datos_fuente'!L26="","",LN('Datos_fuente'!L26))</x:f>
        <x:v>3.2199187592230487</x:v>
      </x:c>
      <x:c r="O26" s="90" t="n">
        <x:f>IF(OR(N26="",N25=""),"",N26-N25)</x:f>
        <x:v>0.3707548729501702</x:v>
      </x:c>
      <x:c r="P26" s="88" t="n">
        <x:f>'Datos_fuente'!N26</x:f>
        <x:v>0</x:v>
      </x:c>
      <x:c r="Q26" s="90" t="n">
        <x:f>IF('Datos_fuente'!O26="","",LN('Datos_fuente'!O26))</x:f>
        <x:v>9.90900629621789</x:v>
      </x:c>
      <x:c r="R26" s="90" t="n">
        <x:f>IF(OR(Q26="",Q25=""),"",Q26-Q25)</x:f>
        <x:v>-0.004219188378755234</x:v>
      </x:c>
      <x:c r="S26" s="55" t="n">
        <x:f>'Datos_fuente'!R26</x:f>
        <x:v>5.692836439</x:v>
      </x:c>
      <x:c r="T26" s="55" t="n">
        <x:f>IF(OR(S26="",S25=""),"",S26-S25)</x:f>
        <x:v>0.8041221529999998</x:v>
      </x:c>
      <x:c r="U26" s="90" t="n">
        <x:f>IF('Datos_fuente'!S26="","",ASINH('Datos_fuente'!S26/1000))</x:f>
        <x:v>-0.5503275601852524</x:v>
      </x:c>
      <x:c r="V26" s="90" t="n">
        <x:f>IF(OR(U26="",U25=""),"",U26-U25)</x:f>
        <x:v>0.08036984785246626</x:v>
      </x:c>
      <x:c r="W26" s="90" t="n">
        <x:f>IF('Datos_fuente'!T26="","",ASINH('Datos_fuente'!T26/1000))</x:f>
        <x:v>0.10384326834283415</x:v>
      </x:c>
      <x:c r="X26" s="90" t="n">
        <x:f>IF(OR(W26="",W25=""),"",W26-W25)</x:f>
        <x:v>-0.517281347104842</x:v>
      </x:c>
      <x:c r="Y26" s="55" t="n">
        <x:f>'Datos_fuente'!W26</x:f>
        <x:v>3.246452059</x:v>
      </x:c>
      <x:c r="Z26" s="55" t="n">
        <x:f>IF(OR(Y26="",Y25=""),"",Y26-Y25)</x:f>
        <x:v>-0.15853121000000003</x:v>
      </x:c>
      <x:c r="AA26" s="90" t="n">
        <x:f>'Datos_fuente'!AA26</x:f>
        <x:v>0.6060650072</x:v>
      </x:c>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t="str">
        <x:f>'Datos_fuente'!A27</x:f>
        <x:v>2007-09</x:v>
      </x:c>
      <x:c r="B27" s="90" t="n">
        <x:f>IF('Datos_fuente'!B27="","",LN('Datos_fuente'!B27))</x:f>
        <x:v>7.656038951202122</x:v>
      </x:c>
      <x:c r="C27" s="90" t="n">
        <x:f>IF(OR(B27="",B26=""),"",B27-B26)</x:f>
        <x:v>0.027479120264764845</x:v>
      </x:c>
      <x:c r="D27" s="90" t="n">
        <x:f>IF('Datos_fuente'!C27="","",LN('Datos_fuente'!C27))</x:f>
        <x:v>4.346051700845168</x:v>
      </x:c>
      <x:c r="E27" s="90" t="n">
        <x:f>IF(OR(D27="",D26=""),"",D27-D26)</x:f>
        <x:v>0.08674554262400491</x:v>
      </x:c>
      <x:c r="F27" s="90" t="n">
        <x:f>IF('Datos_fuente'!E27="","",LN('Datos_fuente'!E27))</x:f>
        <x:v>8.332885663887225</x:v>
      </x:c>
      <x:c r="G27" s="90" t="n">
        <x:f>IF(OR(F27="",F26=""),"",F27-F26)</x:f>
        <x:v>0.0185433205174359</x:v>
      </x:c>
      <x:c r="H27" s="55" t="n">
        <x:f>'Datos_fuente'!H27</x:f>
        <x:v>4.31</x:v>
      </x:c>
      <x:c r="I27" s="55" t="n">
        <x:f>IF(OR(H27="",H26=""),"",H27-H26)</x:f>
        <x:v>0.07999999999999918</x:v>
      </x:c>
      <x:c r="J27" s="55" t="n">
        <x:f>'Datos_fuente'!J27</x:f>
        <x:v>2.644848962</x:v>
      </x:c>
      <x:c r="K27" s="55" t="n">
        <x:f>IF(OR(J27="",J26=""),"",J27-J26)</x:f>
        <x:v>0.24030487200000028</x:v>
      </x:c>
      <x:c r="L27" s="90" t="n">
        <x:f>IF('Datos_fuente'!K27="","",LN('Datos_fuente'!K27))</x:f>
        <x:v>4.526522950024174</x:v>
      </x:c>
      <x:c r="M27" s="90" t="n">
        <x:f>IF(OR(L27="",L26=""),"",L27-L26)</x:f>
        <x:v>-0.014218529063208862</x:v>
      </x:c>
      <x:c r="N27" s="90" t="n">
        <x:f>IF('Datos_fuente'!L27="","",LN('Datos_fuente'!L27))</x:f>
        <x:v>3.100044871988305</x:v>
      </x:c>
      <x:c r="O27" s="90" t="n">
        <x:f>IF(OR(N27="",N26=""),"",N27-N26)</x:f>
        <x:v>-0.11987388723474357</x:v>
      </x:c>
      <x:c r="P27" s="88" t="n">
        <x:f>'Datos_fuente'!N27</x:f>
        <x:v>0</x:v>
      </x:c>
      <x:c r="Q27" s="90" t="n">
        <x:f>IF('Datos_fuente'!O27="","",LN('Datos_fuente'!O27))</x:f>
        <x:v>9.930516458257353</x:v>
      </x:c>
      <x:c r="R27" s="90" t="n">
        <x:f>IF(OR(Q27="",Q26=""),"",Q27-Q26)</x:f>
        <x:v>0.02151016203946199</x:v>
      </x:c>
      <x:c r="S27" s="55" t="n">
        <x:f>'Datos_fuente'!R27</x:f>
        <x:v>5.894421053</x:v>
      </x:c>
      <x:c r="T27" s="55" t="n">
        <x:f>IF(OR(S27="",S26=""),"",S27-S26)</x:f>
        <x:v>0.2015846140000006</x:v>
      </x:c>
      <x:c r="U27" s="90" t="n">
        <x:f>IF('Datos_fuente'!S27="","",ASINH('Datos_fuente'!S27/1000))</x:f>
        <x:v>-0.640623523033637</x:v>
      </x:c>
      <x:c r="V27" s="90" t="n">
        <x:f>IF(OR(U27="",U26=""),"",U27-U26)</x:f>
        <x:v>-0.09029596284838459</x:v>
      </x:c>
      <x:c r="W27" s="90" t="n">
        <x:f>IF('Datos_fuente'!T27="","",ASINH('Datos_fuente'!T27/1000))</x:f>
        <x:v>0.801938298298961</x:v>
      </x:c>
      <x:c r="X27" s="90" t="n">
        <x:f>IF(OR(W27="",W26=""),"",W27-W26)</x:f>
        <x:v>0.6980950299561268</x:v>
      </x:c>
      <x:c r="Y27" s="55" t="n">
        <x:f>'Datos_fuente'!W27</x:f>
        <x:v>2.249855022</x:v>
      </x:c>
      <x:c r="Z27" s="55" t="n">
        <x:f>IF(OR(Y27="",Y26=""),"",Y27-Y26)</x:f>
        <x:v>-0.9965970369999999</x:v>
      </x:c>
      <x:c r="AA27" s="90" t="n">
        <x:f>'Datos_fuente'!AA27</x:f>
        <x:v>-0.5679736805</x:v>
      </x:c>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t="str">
        <x:f>'Datos_fuente'!A28</x:f>
        <x:v>2007-10</x:v>
      </x:c>
      <x:c r="B28" s="90" t="n">
        <x:f>IF('Datos_fuente'!B28="","",LN('Datos_fuente'!B28))</x:f>
        <x:v>7.601445376635922</x:v>
      </x:c>
      <x:c r="C28" s="90" t="n">
        <x:f>IF(OR(B28="",B27=""),"",B28-B27)</x:f>
        <x:v>-0.05459357456620051</x:v>
      </x:c>
      <x:c r="D28" s="90" t="n">
        <x:f>IF('Datos_fuente'!C28="","",LN('Datos_fuente'!C28))</x:f>
        <x:v>4.410857016341758</x:v>
      </x:c>
      <x:c r="E28" s="90" t="n">
        <x:f>IF(OR(D28="",D27=""),"",D28-D27)</x:f>
        <x:v>0.06480531549659041</x:v>
      </x:c>
      <x:c r="F28" s="90" t="n">
        <x:f>IF('Datos_fuente'!E28="","",LN('Datos_fuente'!E28))</x:f>
        <x:v>8.355751328732524</x:v>
      </x:c>
      <x:c r="G28" s="90" t="n">
        <x:f>IF(OR(F28="",F27=""),"",F28-F27)</x:f>
        <x:v>0.022865664845298284</x:v>
      </x:c>
      <x:c r="H28" s="55" t="n">
        <x:f>'Datos_fuente'!H28</x:f>
        <x:v>4.49</x:v>
      </x:c>
      <x:c r="I28" s="55" t="n">
        <x:f>IF(OR(H28="",H27=""),"",H28-H27)</x:f>
        <x:v>0.1800000000000006</x:v>
      </x:c>
      <x:c r="J28" s="55" t="n">
        <x:f>'Datos_fuente'!J28</x:f>
        <x:v>2.714277456</x:v>
      </x:c>
      <x:c r="K28" s="55" t="n">
        <x:f>IF(OR(J28="",J27=""),"",J28-J27)</x:f>
        <x:v>0.06942849399999984</x:v>
      </x:c>
      <x:c r="L28" s="90" t="n">
        <x:f>IF('Datos_fuente'!K28="","",LN('Datos_fuente'!K28))</x:f>
        <x:v>4.504246239298841</x:v>
      </x:c>
      <x:c r="M28" s="90" t="n">
        <x:f>IF(OR(L28="",L27=""),"",L28-L27)</x:f>
        <x:v>-0.02227671072533255</x:v>
      </x:c>
      <x:c r="N28" s="90" t="n">
        <x:f>IF('Datos_fuente'!L28="","",LN('Datos_fuente'!L28))</x:f>
        <x:v>2.9505074847981176</x:v>
      </x:c>
      <x:c r="O28" s="90" t="n">
        <x:f>IF(OR(N28="",N27=""),"",N28-N27)</x:f>
        <x:v>-0.1495373871901875</x:v>
      </x:c>
      <x:c r="P28" s="88" t="n">
        <x:f>'Datos_fuente'!N28</x:f>
        <x:v>0</x:v>
      </x:c>
      <x:c r="Q28" s="90" t="n">
        <x:f>IF('Datos_fuente'!O28="","",LN('Datos_fuente'!O28))</x:f>
        <x:v>9.936014760233624</x:v>
      </x:c>
      <x:c r="R28" s="90" t="n">
        <x:f>IF(OR(Q28="",Q27=""),"",Q28-Q27)</x:f>
        <x:v>0.005498301976270881</x:v>
      </x:c>
      <x:c r="S28" s="55" t="n">
        <x:f>'Datos_fuente'!R28</x:f>
        <x:v>5.686363636</x:v>
      </x:c>
      <x:c r="T28" s="55" t="n">
        <x:f>IF(OR(S28="",S27=""),"",S28-S27)</x:f>
        <x:v>-0.20805741700000002</x:v>
      </x:c>
      <x:c r="U28" s="90" t="n">
        <x:f>IF('Datos_fuente'!S28="","",ASINH('Datos_fuente'!S28/1000))</x:f>
        <x:v>-0.665773794461415</x:v>
      </x:c>
      <x:c r="V28" s="90" t="n">
        <x:f>IF(OR(U28="",U27=""),"",U28-U27)</x:f>
        <x:v>-0.025150271427778037</x:v>
      </x:c>
      <x:c r="W28" s="90" t="n">
        <x:f>IF('Datos_fuente'!T28="","",ASINH('Datos_fuente'!T28/1000))</x:f>
        <x:v>0.5509160697994482</x:v>
      </x:c>
      <x:c r="X28" s="90" t="n">
        <x:f>IF(OR(W28="",W27=""),"",W28-W27)</x:f>
        <x:v>-0.25102222849951283</x:v>
      </x:c>
      <x:c r="Y28" s="55" t="n">
        <x:f>'Datos_fuente'!W28</x:f>
        <x:v>1.62353073</x:v>
      </x:c>
      <x:c r="Z28" s="55" t="n">
        <x:f>IF(OR(Y28="",Y27=""),"",Y28-Y27)</x:f>
        <x:v>-0.6263242920000003</x:v>
      </x:c>
      <x:c r="AA28" s="90" t="n">
        <x:f>'Datos_fuente'!AA28</x:f>
        <x:v>-1.20549523</x:v>
      </x:c>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t="str">
        <x:f>'Datos_fuente'!A29</x:f>
        <x:v>2007-11</x:v>
      </x:c>
      <x:c r="B29" s="90" t="n">
        <x:f>IF('Datos_fuente'!B29="","",LN('Datos_fuente'!B29))</x:f>
        <x:v>7.623816418094039</x:v>
      </x:c>
      <x:c r="C29" s="90" t="n">
        <x:f>IF(OR(B29="",B28=""),"",B29-B28)</x:f>
        <x:v>0.022371041458117524</x:v>
      </x:c>
      <x:c r="D29" s="90" t="n">
        <x:f>IF('Datos_fuente'!C29="","",LN('Datos_fuente'!C29))</x:f>
        <x:v>4.526281573948252</x:v>
      </x:c>
      <x:c r="E29" s="90" t="n">
        <x:f>IF(OR(D29="",D28=""),"",D29-D28)</x:f>
        <x:v>0.1154245576064934</x:v>
      </x:c>
      <x:c r="F29" s="90" t="n">
        <x:f>IF('Datos_fuente'!E29="","",LN('Datos_fuente'!E29))</x:f>
        <x:v>8.384306162573347</x:v>
      </x:c>
      <x:c r="G29" s="90" t="n">
        <x:f>IF(OR(F29="",F28=""),"",F29-F28)</x:f>
        <x:v>0.02855483384082369</x:v>
      </x:c>
      <x:c r="H29" s="55" t="n">
        <x:f>'Datos_fuente'!H29</x:f>
        <x:v>4.801666667</x:v>
      </x:c>
      <x:c r="I29" s="55" t="n">
        <x:f>IF(OR(H29="",H28=""),"",H29-H28)</x:f>
        <x:v>0.3116666669999999</x:v>
      </x:c>
      <x:c r="J29" s="55" t="n">
        <x:f>'Datos_fuente'!J29</x:f>
        <x:v>2.790847647</x:v>
      </x:c>
      <x:c r="K29" s="55" t="n">
        <x:f>IF(OR(J29="",J28=""),"",J29-J28)</x:f>
        <x:v>0.07657019100000007</x:v>
      </x:c>
      <x:c r="L29" s="90" t="n">
        <x:f>IF('Datos_fuente'!K29="","",LN('Datos_fuente'!K29))</x:f>
        <x:v>4.489231647013839</x:v>
      </x:c>
      <x:c r="M29" s="90" t="n">
        <x:f>IF(OR(L29="",L28=""),"",L29-L28)</x:f>
        <x:v>-0.015014592285002237</x:v>
      </x:c>
      <x:c r="N29" s="90" t="n">
        <x:f>IF('Datos_fuente'!L29="","",LN('Datos_fuente'!L29))</x:f>
        <x:v>3.241903870396168</x:v>
      </x:c>
      <x:c r="O29" s="90" t="n">
        <x:f>IF(OR(N29="",N28=""),"",N29-N28)</x:f>
        <x:v>0.29139638559805014</x:v>
      </x:c>
      <x:c r="P29" s="88" t="n">
        <x:f>'Datos_fuente'!N29</x:f>
        <x:v>0</x:v>
      </x:c>
      <x:c r="Q29" s="90" t="n">
        <x:f>IF('Datos_fuente'!O29="","",LN('Datos_fuente'!O29))</x:f>
        <x:v>9.946661977919925</x:v>
      </x:c>
      <x:c r="R29" s="90" t="n">
        <x:f>IF(OR(Q29="",Q28=""),"",Q29-Q28)</x:f>
        <x:v>0.010647217686301502</x:v>
      </x:c>
      <x:c r="S29" s="55" t="n">
        <x:f>'Datos_fuente'!R29</x:f>
        <x:v>6.087</x:v>
      </x:c>
      <x:c r="T29" s="55" t="n">
        <x:f>IF(OR(S29="",S28=""),"",S29-S28)</x:f>
        <x:v>0.40063636399999947</x:v>
      </x:c>
      <x:c r="U29" s="90" t="n">
        <x:f>IF('Datos_fuente'!S29="","",ASINH('Datos_fuente'!S29/1000))</x:f>
        <x:v>-0.5376849896945795</x:v>
      </x:c>
      <x:c r="V29" s="90" t="n">
        <x:f>IF(OR(U29="",U28=""),"",U29-U28)</x:f>
        <x:v>0.1280888047668356</x:v>
      </x:c>
      <x:c r="W29" s="90" t="n">
        <x:f>IF('Datos_fuente'!T29="","",ASINH('Datos_fuente'!T29/1000))</x:f>
        <x:v>0.39769357151365714</x:v>
      </x:c>
      <x:c r="X29" s="90" t="n">
        <x:f>IF(OR(W29="",W28=""),"",W29-W28)</x:f>
        <x:v>-0.15322249828579104</x:v>
      </x:c>
      <x:c r="Y29" s="55" t="n">
        <x:f>'Datos_fuente'!W29</x:f>
        <x:v>1.119519683</x:v>
      </x:c>
      <x:c r="Z29" s="55" t="n">
        <x:f>IF(OR(Y29="",Y28=""),"",Y29-Y28)</x:f>
        <x:v>-0.5040110469999999</x:v>
      </x:c>
      <x:c r="AA29" s="90" t="n">
        <x:f>'Datos_fuente'!AA29</x:f>
        <x:v>-0.05311277896</x:v>
      </x:c>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t="str">
        <x:f>'Datos_fuente'!A30</x:f>
        <x:v>2007-12</x:v>
      </x:c>
      <x:c r="B30" s="90" t="n">
        <x:f>IF('Datos_fuente'!B30="","",LN('Datos_fuente'!B30))</x:f>
        <x:v>7.607795903070453</x:v>
      </x:c>
      <x:c r="C30" s="90" t="n">
        <x:f>IF(OR(B30="",B29=""),"",B30-B29)</x:f>
        <x:v>-0.016020515023585702</x:v>
      </x:c>
      <x:c r="D30" s="90" t="n">
        <x:f>IF('Datos_fuente'!C30="","",LN('Datos_fuente'!C30))</x:f>
        <x:v>4.510055250332387</x:v>
      </x:c>
      <x:c r="E30" s="90" t="n">
        <x:f>IF(OR(D30="",D29=""),"",D30-D29)</x:f>
        <x:v>-0.016226323615864402</x:v>
      </x:c>
      <x:c r="F30" s="90" t="n">
        <x:f>IF('Datos_fuente'!E30="","",LN('Datos_fuente'!E30))</x:f>
        <x:v>8.396093913100508</x:v>
      </x:c>
      <x:c r="G30" s="90" t="n">
        <x:f>IF(OR(F30="",F29=""),"",F30-F29)</x:f>
        <x:v>0.011787750527160412</x:v>
      </x:c>
      <x:c r="H30" s="55" t="n">
        <x:f>'Datos_fuente'!H30</x:f>
        <x:v>5.26</x:v>
      </x:c>
      <x:c r="I30" s="55" t="n">
        <x:f>IF(OR(H30="",H29=""),"",H30-H29)</x:f>
        <x:v>0.4583333329999997</x:v>
      </x:c>
      <x:c r="J30" s="55" t="n">
        <x:f>'Datos_fuente'!J30</x:f>
        <x:v>2.710260117</x:v>
      </x:c>
      <x:c r="K30" s="55" t="n">
        <x:f>IF(OR(J30="",J29=""),"",J30-J29)</x:f>
        <x:v>-0.0805875300000003</x:v>
      </x:c>
      <x:c r="L30" s="90" t="n">
        <x:f>IF('Datos_fuente'!K30="","",LN('Datos_fuente'!K30))</x:f>
        <x:v>4.499864748146788</x:v>
      </x:c>
      <x:c r="M30" s="90" t="n">
        <x:f>IF(OR(L30="",L29=""),"",L30-L29)</x:f>
        <x:v>0.010633101132948575</x:v>
      </x:c>
      <x:c r="N30" s="90" t="n">
        <x:f>IF('Datos_fuente'!L30="","",LN('Datos_fuente'!L30))</x:f>
        <x:v>3.075051642758246</x:v>
      </x:c>
      <x:c r="O30" s="90" t="n">
        <x:f>IF(OR(N30="",N29=""),"",N30-N29)</x:f>
        <x:v>-0.16685222763792185</x:v>
      </x:c>
      <x:c r="P30" s="88" t="n">
        <x:f>'Datos_fuente'!N30</x:f>
        <x:v>0</x:v>
      </x:c>
      <x:c r="Q30" s="90" t="n">
        <x:f>IF('Datos_fuente'!O30="","",LN('Datos_fuente'!O30))</x:f>
        <x:v>9.949830916205345</x:v>
      </x:c>
      <x:c r="R30" s="90" t="n">
        <x:f>IF(OR(Q30="",Q29=""),"",Q30-Q29)</x:f>
        <x:v>0.0031689382854196424</x:v>
      </x:c>
      <x:c r="S30" s="55" t="n">
        <x:f>'Datos_fuente'!R30</x:f>
        <x:v>6.031944444</x:v>
      </x:c>
      <x:c r="T30" s="55" t="n">
        <x:f>IF(OR(S30="",S29=""),"",S30-S29)</x:f>
        <x:v>-0.055055556000000117</x:v>
      </x:c>
      <x:c r="U30" s="90" t="n">
        <x:f>IF('Datos_fuente'!S30="","",ASINH('Datos_fuente'!S30/1000))</x:f>
        <x:v>-0.7183538876592547</x:v>
      </x:c>
      <x:c r="V30" s="90" t="n">
        <x:f>IF(OR(U30="",U29=""),"",U30-U29)</x:f>
        <x:v>-0.18066889796467522</x:v>
      </x:c>
      <x:c r="W30" s="90" t="n">
        <x:f>IF('Datos_fuente'!T30="","",ASINH('Datos_fuente'!T30/1000))</x:f>
        <x:v>0.5384165216053556</x:v>
      </x:c>
      <x:c r="X30" s="90" t="n">
        <x:f>IF(OR(W30="",W29=""),"",W30-W29)</x:f>
        <x:v>0.14072295009169844</x:v>
      </x:c>
      <x:c r="Y30" s="55" t="n">
        <x:f>'Datos_fuente'!W30</x:f>
        <x:v>1.609258076</x:v>
      </x:c>
      <x:c r="Z30" s="55" t="n">
        <x:f>IF(OR(Y30="",Y29=""),"",Y30-Y29)</x:f>
        <x:v>0.4897383929999999</x:v>
      </x:c>
      <x:c r="AA30" s="90" t="n">
        <x:f>'Datos_fuente'!AA30</x:f>
        <x:v>-0.2590944229</x:v>
      </x:c>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t="str">
        <x:f>'Datos_fuente'!A31</x:f>
        <x:v>2008-01</x:v>
      </x:c>
      <x:c r="B31" s="90" t="n">
        <x:f>IF('Datos_fuente'!B31="","",LN('Datos_fuente'!B31))</x:f>
        <x:v>7.592459010741661</x:v>
      </x:c>
      <x:c r="C31" s="90" t="n">
        <x:f>IF(OR(B31="",B30=""),"",B31-B30)</x:f>
        <x:v>-0.01533689232879265</x:v>
      </x:c>
      <x:c r="D31" s="90" t="n">
        <x:f>IF('Datos_fuente'!C31="","",LN('Datos_fuente'!C31))</x:f>
        <x:v>4.523722523594382</x:v>
      </x:c>
      <x:c r="E31" s="90" t="n">
        <x:f>IF(OR(D31="",D30=""),"",D31-D30)</x:f>
        <x:v>0.013667273261995128</x:v>
      </x:c>
      <x:c r="F31" s="90" t="n">
        <x:f>IF('Datos_fuente'!E31="","",LN('Datos_fuente'!E31))</x:f>
        <x:v>8.413003101653828</x:v>
      </x:c>
      <x:c r="G31" s="90" t="n">
        <x:f>IF(OR(F31="",F30=""),"",F31-F30)</x:f>
        <x:v>0.016909188553320575</x:v>
      </x:c>
      <x:c r="H31" s="55" t="n">
        <x:f>'Datos_fuente'!H31</x:f>
        <x:v>5.56</x:v>
      </x:c>
      <x:c r="I31" s="55" t="n">
        <x:f>IF(OR(H31="",H30=""),"",H31-H30)</x:f>
        <x:v>0.2999999999999998</x:v>
      </x:c>
      <x:c r="J31" s="55" t="n">
        <x:f>'Datos_fuente'!J31</x:f>
        <x:v>2.465742275</x:v>
      </x:c>
      <x:c r="K31" s="55" t="n">
        <x:f>IF(OR(J31="",J30=""),"",J31-J30)</x:f>
        <x:v>-0.2445178419999996</x:v>
      </x:c>
      <x:c r="L31" s="90" t="n">
        <x:f>IF('Datos_fuente'!K31="","",LN('Datos_fuente'!K31))</x:f>
        <x:v>4.493088437699889</x:v>
      </x:c>
      <x:c r="M31" s="90" t="n">
        <x:f>IF(OR(L31="",L30=""),"",L31-L30)</x:f>
        <x:v>-0.006776310446898748</x:v>
      </x:c>
      <x:c r="N31" s="90" t="n">
        <x:f>IF('Datos_fuente'!L31="","",LN('Datos_fuente'!L31))</x:f>
        <x:v>3.2510018330924435</x:v>
      </x:c>
      <x:c r="O31" s="90" t="n">
        <x:f>IF(OR(N31="",N30=""),"",N31-N30)</x:f>
        <x:v>0.17595019033419756</x:v>
      </x:c>
      <x:c r="P31" s="88" t="n">
        <x:f>'Datos_fuente'!N31</x:f>
        <x:v>0</x:v>
      </x:c>
      <x:c r="Q31" s="90" t="n">
        <x:f>IF('Datos_fuente'!O31="","",LN('Datos_fuente'!O31))</x:f>
        <x:v>9.96964928680017</x:v>
      </x:c>
      <x:c r="R31" s="90" t="n">
        <x:f>IF(OR(Q31="",Q30=""),"",Q31-Q30)</x:f>
        <x:v>0.01981837059482494</x:v>
      </x:c>
      <x:c r="S31" s="55" t="n">
        <x:f>'Datos_fuente'!R31</x:f>
        <x:v>7.093333333</x:v>
      </x:c>
      <x:c r="T31" s="55" t="n">
        <x:f>IF(OR(S31="",S30=""),"",S31-S30)</x:f>
        <x:v>1.0613888890000007</x:v>
      </x:c>
      <x:c r="U31" s="90" t="n">
        <x:f>IF('Datos_fuente'!S31="","",ASINH('Datos_fuente'!S31/1000))</x:f>
        <x:v>-0.6769491745550209</x:v>
      </x:c>
      <x:c r="V31" s="90" t="n">
        <x:f>IF(OR(U31="",U30=""),"",U31-U30)</x:f>
        <x:v>0.04140471310423377</x:v>
      </x:c>
      <x:c r="W31" s="90" t="n">
        <x:f>IF('Datos_fuente'!T31="","",ASINH('Datos_fuente'!T31/1000))</x:f>
        <x:v>0.8031848326674726</x:v>
      </x:c>
      <x:c r="X31" s="90" t="n">
        <x:f>IF(OR(W31="",W30=""),"",W31-W30)</x:f>
        <x:v>0.26476831106211707</x:v>
      </x:c>
      <x:c r="Y31" s="55" t="n">
        <x:f>'Datos_fuente'!W31</x:f>
        <x:v>1.722942198</x:v>
      </x:c>
      <x:c r="Z31" s="55" t="n">
        <x:f>IF(OR(Y31="",Y30=""),"",Y31-Y30)</x:f>
        <x:v>0.113684122</x:v>
      </x:c>
      <x:c r="AA31" s="90" t="n">
        <x:f>'Datos_fuente'!AA31</x:f>
        <x:v>-0.5431162688</x:v>
      </x:c>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t="str">
        <x:f>'Datos_fuente'!A32</x:f>
        <x:v>2008-02</x:v>
      </x:c>
      <x:c r="B32" s="90" t="n">
        <x:f>IF('Datos_fuente'!B32="","",LN('Datos_fuente'!B32))</x:f>
        <x:v>7.552391678791468</x:v>
      </x:c>
      <x:c r="C32" s="90" t="n">
        <x:f>IF(OR(B32="",B31=""),"",B32-B31)</x:f>
        <x:v>-0.0400673319501923</x:v>
      </x:c>
      <x:c r="D32" s="90" t="n">
        <x:f>IF('Datos_fuente'!C32="","",LN('Datos_fuente'!C32))</x:f>
        <x:v>4.553734776239473</x:v>
      </x:c>
      <x:c r="E32" s="90" t="n">
        <x:f>IF(OR(D32="",D31=""),"",D32-D31)</x:f>
        <x:v>0.030012252645090776</x:v>
      </x:c>
      <x:c r="F32" s="90" t="n">
        <x:f>IF('Datos_fuente'!E32="","",LN('Datos_fuente'!E32))</x:f>
        <x:v>8.42575968758402</x:v>
      </x:c>
      <x:c r="G32" s="90" t="n">
        <x:f>IF(OR(F32="",F31=""),"",F32-F31)</x:f>
        <x:v>0.012756585930191022</x:v>
      </x:c>
      <x:c r="H32" s="55" t="n">
        <x:f>'Datos_fuente'!H32</x:f>
        <x:v>6.563103448</x:v>
      </x:c>
      <x:c r="I32" s="55" t="n">
        <x:f>IF(OR(H32="",H31=""),"",H32-H31)</x:f>
        <x:v>1.003103448</x:v>
      </x:c>
      <x:c r="J32" s="55" t="n">
        <x:f>'Datos_fuente'!J32</x:f>
        <x:v>2.599552424</x:v>
      </x:c>
      <x:c r="K32" s="55" t="n">
        <x:f>IF(OR(J32="",J31=""),"",J32-J31)</x:f>
        <x:v>0.13381014899999988</x:v>
      </x:c>
      <x:c r="L32" s="90" t="n">
        <x:f>IF('Datos_fuente'!K32="","",LN('Datos_fuente'!K32))</x:f>
        <x:v>4.48462200947601</x:v>
      </x:c>
      <x:c r="M32" s="90" t="n">
        <x:f>IF(OR(L32="",L31=""),"",L32-L31)</x:f>
        <x:v>-0.008466428223878886</x:v>
      </x:c>
      <x:c r="N32" s="90" t="n">
        <x:f>IF('Datos_fuente'!L32="","",LN('Datos_fuente'!L32))</x:f>
        <x:v>3.236951471595431</x:v>
      </x:c>
      <x:c r="O32" s="90" t="n">
        <x:f>IF(OR(N32="",N31=""),"",N32-N31)</x:f>
        <x:v>-0.014050361497012442</x:v>
      </x:c>
      <x:c r="P32" s="88" t="n">
        <x:f>'Datos_fuente'!N32</x:f>
        <x:v>0</x:v>
      </x:c>
      <x:c r="Q32" s="90" t="n">
        <x:f>IF('Datos_fuente'!O32="","",LN('Datos_fuente'!O32))</x:f>
        <x:v>9.991640818988428</x:v>
      </x:c>
      <x:c r="R32" s="90" t="n">
        <x:f>IF(OR(Q32="",Q31=""),"",Q32-Q31)</x:f>
        <x:v>0.02199153218825778</x:v>
      </x:c>
      <x:c r="S32" s="55" t="n">
        <x:f>'Datos_fuente'!R32</x:f>
        <x:v>7.586309524</x:v>
      </x:c>
      <x:c r="T32" s="55" t="n">
        <x:f>IF(OR(S32="",S31=""),"",S32-S31)</x:f>
        <x:v>0.49297619099999945</x:v>
      </x:c>
      <x:c r="U32" s="90" t="n">
        <x:f>IF('Datos_fuente'!S32="","",ASINH('Datos_fuente'!S32/1000))</x:f>
        <x:v>-0.674386691171504</x:v>
      </x:c>
      <x:c r="V32" s="90" t="n">
        <x:f>IF(OR(U32="",U31=""),"",U32-U31)</x:f>
        <x:v>0.0025624833835169447</x:v>
      </x:c>
      <x:c r="W32" s="90" t="n">
        <x:f>IF('Datos_fuente'!T32="","",ASINH('Datos_fuente'!T32/1000))</x:f>
        <x:v>0.8868712352785235</x:v>
      </x:c>
      <x:c r="X32" s="90" t="n">
        <x:f>IF(OR(W32="",W31=""),"",W32-W31)</x:f>
        <x:v>0.08368640261105087</x:v>
      </x:c>
      <x:c r="Y32" s="55" t="n">
        <x:f>'Datos_fuente'!W32</x:f>
        <x:v>2.32239709</x:v>
      </x:c>
      <x:c r="Z32" s="55" t="n">
        <x:f>IF(OR(Y32="",Y31=""),"",Y32-Y31)</x:f>
        <x:v>0.599454892</x:v>
      </x:c>
      <x:c r="AA32" s="90" t="n">
        <x:f>'Datos_fuente'!AA32</x:f>
        <x:v>-0.8350216922</x:v>
      </x:c>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t="str">
        <x:f>'Datos_fuente'!A33</x:f>
        <x:v>2008-03</x:v>
      </x:c>
      <x:c r="B33" s="90" t="n">
        <x:f>IF('Datos_fuente'!B33="","",LN('Datos_fuente'!B33))</x:f>
        <x:v>7.519417543135308</x:v>
      </x:c>
      <x:c r="C33" s="90" t="n">
        <x:f>IF(OR(B33="",B32=""),"",B33-B32)</x:f>
        <x:v>-0.032974135656160364</x:v>
      </x:c>
      <x:c r="D33" s="90" t="n">
        <x:f>IF('Datos_fuente'!C33="","",LN('Datos_fuente'!C33))</x:f>
        <x:v>4.640879935222115</x:v>
      </x:c>
      <x:c r="E33" s="90" t="n">
        <x:f>IF(OR(D33="",D32=""),"",D33-D32)</x:f>
        <x:v>0.08714515898264175</x:v>
      </x:c>
      <x:c r="F33" s="90" t="n">
        <x:f>IF('Datos_fuente'!E33="","",LN('Datos_fuente'!E33))</x:f>
        <x:v>8.436796254344209</x:v>
      </x:c>
      <x:c r="G33" s="90" t="n">
        <x:f>IF(OR(F33="",F32=""),"",F33-F32)</x:f>
        <x:v>0.011036566760189714</x:v>
      </x:c>
      <x:c r="H33" s="55" t="n">
        <x:f>'Datos_fuente'!H33</x:f>
        <x:v>7.14</x:v>
      </x:c>
      <x:c r="I33" s="55" t="n">
        <x:f>IF(OR(H33="",H32=""),"",H33-H32)</x:f>
        <x:v>0.576896552</x:v>
      </x:c>
      <x:c r="J33" s="55" t="n">
        <x:f>'Datos_fuente'!J33</x:f>
        <x:v>2.375717758</x:v>
      </x:c>
      <x:c r="K33" s="55" t="n">
        <x:f>IF(OR(J33="",J32=""),"",J33-J32)</x:f>
        <x:v>-0.22383466600000013</x:v>
      </x:c>
      <x:c r="L33" s="90" t="n">
        <x:f>IF('Datos_fuente'!K33="","",LN('Datos_fuente'!K33))</x:f>
        <x:v>4.464065809656541</x:v>
      </x:c>
      <x:c r="M33" s="90" t="n">
        <x:f>IF(OR(L33="",L32=""),"",L33-L32)</x:f>
        <x:v>-0.020556199819469434</x:v>
      </x:c>
      <x:c r="N33" s="90" t="n">
        <x:f>IF('Datos_fuente'!L33="","",LN('Datos_fuente'!L33))</x:f>
        <x:v>3.299662870837858</x:v>
      </x:c>
      <x:c r="O33" s="90" t="n">
        <x:f>IF(OR(N33="",N32=""),"",N33-N32)</x:f>
        <x:v>0.06271139924242686</x:v>
      </x:c>
      <x:c r="P33" s="88" t="n">
        <x:f>'Datos_fuente'!N33</x:f>
        <x:v>0</x:v>
      </x:c>
      <x:c r="Q33" s="90" t="n">
        <x:f>IF('Datos_fuente'!O33="","",LN('Datos_fuente'!O33))</x:f>
        <x:v>10.004692144293115</x:v>
      </x:c>
      <x:c r="R33" s="90" t="n">
        <x:f>IF(OR(Q33="",Q32=""),"",Q33-Q32)</x:f>
        <x:v>0.013051325304687111</x:v>
      </x:c>
      <x:c r="S33" s="55" t="n">
        <x:f>'Datos_fuente'!R33</x:f>
        <x:v>8.179444444</x:v>
      </x:c>
      <x:c r="T33" s="55" t="n">
        <x:f>IF(OR(S33="",S32=""),"",S33-S32)</x:f>
        <x:v>0.5931349199999998</x:v>
      </x:c>
      <x:c r="U33" s="90" t="n">
        <x:f>IF('Datos_fuente'!S33="","",ASINH('Datos_fuente'!S33/1000))</x:f>
        <x:v>-0.47369501733373365</x:v>
      </x:c>
      <x:c r="V33" s="90" t="n">
        <x:f>IF(OR(U33="",U32=""),"",U33-U32)</x:f>
        <x:v>0.2006916738377703</x:v>
      </x:c>
      <x:c r="W33" s="90" t="n">
        <x:f>IF('Datos_fuente'!T33="","",ASINH('Datos_fuente'!T33/1000))</x:f>
        <x:v>0.5911271073703074</x:v>
      </x:c>
      <x:c r="X33" s="90" t="n">
        <x:f>IF(OR(W33="",W32=""),"",W33-W32)</x:f>
        <x:v>-0.29574412790821614</x:v>
      </x:c>
      <x:c r="Y33" s="55" t="n">
        <x:f>'Datos_fuente'!W33</x:f>
        <x:v>1.943650421</x:v>
      </x:c>
      <x:c r="Z33" s="55" t="n">
        <x:f>IF(OR(Y33="",Y32=""),"",Y33-Y32)</x:f>
        <x:v>-0.37874666899999987</x:v>
      </x:c>
      <x:c r="AA33" s="90" t="n">
        <x:f>'Datos_fuente'!AA33</x:f>
        <x:v>-0.9227679547</x:v>
      </x:c>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t="str">
        <x:f>'Datos_fuente'!A34</x:f>
        <x:v>2008-04</x:v>
      </x:c>
      <x:c r="B34" s="90" t="n">
        <x:f>IF('Datos_fuente'!B34="","",LN('Datos_fuente'!B34))</x:f>
        <x:v>7.492817680891716</x:v>
      </x:c>
      <x:c r="C34" s="90" t="n">
        <x:f>IF(OR(B34="",B33=""),"",B34-B33)</x:f>
        <x:v>-0.02659986224359212</x:v>
      </x:c>
      <x:c r="D34" s="90" t="n">
        <x:f>IF('Datos_fuente'!C34="","",LN('Datos_fuente'!C34))</x:f>
        <x:v>4.6920023799253965</x:v>
      </x:c>
      <x:c r="E34" s="90" t="n">
        <x:f>IF(OR(D34="",D33=""),"",D34-D33)</x:f>
        <x:v>0.051122444703281644</x:v>
      </x:c>
      <x:c r="F34" s="90" t="n">
        <x:f>IF('Datos_fuente'!E34="","",LN('Datos_fuente'!E34))</x:f>
        <x:v>8.45574110234318</x:v>
      </x:c>
      <x:c r="G34" s="90" t="n">
        <x:f>IF(OR(F34="",F33=""),"",F34-F33)</x:f>
        <x:v>0.01894484799897178</x:v>
      </x:c>
      <x:c r="H34" s="55" t="n">
        <x:f>'Datos_fuente'!H34</x:f>
        <x:v>7.47</x:v>
      </x:c>
      <x:c r="I34" s="55" t="n">
        <x:f>IF(OR(H34="",H33=""),"",H34-H33)</x:f>
        <x:v>0.33000000000000007</x:v>
      </x:c>
      <x:c r="J34" s="55" t="n">
        <x:f>'Datos_fuente'!J34</x:f>
        <x:v>1.714381493</x:v>
      </x:c>
      <x:c r="K34" s="55" t="n">
        <x:f>IF(OR(J34="",J33=""),"",J34-J33)</x:f>
        <x:v>-0.6613362649999999</x:v>
      </x:c>
      <x:c r="L34" s="90" t="n">
        <x:f>IF('Datos_fuente'!K34="","",LN('Datos_fuente'!K34))</x:f>
        <x:v>4.46069381628352</x:v>
      </x:c>
      <x:c r="M34" s="90" t="n">
        <x:f>IF(OR(L34="",L33=""),"",L34-L33)</x:f>
        <x:v>-0.003371993373020743</x:v>
      </x:c>
      <x:c r="N34" s="90" t="n">
        <x:f>IF('Datos_fuente'!L34="","",LN('Datos_fuente'!L34))</x:f>
        <x:v>3.0709662347940037</x:v>
      </x:c>
      <x:c r="O34" s="90" t="n">
        <x:f>IF(OR(N34="",N33=""),"",N34-N33)</x:f>
        <x:v>-0.22869663604385426</x:v>
      </x:c>
      <x:c r="P34" s="88" t="n">
        <x:f>'Datos_fuente'!N34</x:f>
        <x:v>0</x:v>
      </x:c>
      <x:c r="Q34" s="90" t="n">
        <x:f>IF('Datos_fuente'!O34="","",LN('Datos_fuente'!O34))</x:f>
        <x:v>10.00826865036386</x:v>
      </x:c>
      <x:c r="R34" s="90" t="n">
        <x:f>IF(OR(Q34="",Q33=""),"",Q34-Q33)</x:f>
        <x:v>0.0035765060707451113</x:v>
      </x:c>
      <x:c r="S34" s="55" t="n">
        <x:f>'Datos_fuente'!R34</x:f>
        <x:v>7.630454545</x:v>
      </x:c>
      <x:c r="T34" s="55" t="n">
        <x:f>IF(OR(S34="",S33=""),"",S34-S33)</x:f>
        <x:v>-0.5489898989999995</x:v>
      </x:c>
      <x:c r="U34" s="90" t="n">
        <x:f>IF('Datos_fuente'!S34="","",ASINH('Datos_fuente'!S34/1000))</x:f>
        <x:v>-0.6166159431951759</x:v>
      </x:c>
      <x:c r="V34" s="90" t="n">
        <x:f>IF(OR(U34="",U33=""),"",U34-U33)</x:f>
        <x:v>-0.14292092586144223</x:v>
      </x:c>
      <x:c r="W34" s="90" t="n">
        <x:f>IF('Datos_fuente'!T34="","",ASINH('Datos_fuente'!T34/1000))</x:f>
        <x:v>0.6805801315096395</x:v>
      </x:c>
      <x:c r="X34" s="90" t="n">
        <x:f>IF(OR(W34="",W33=""),"",W34-W33)</x:f>
        <x:v>0.0894530241393321</x:v>
      </x:c>
      <x:c r="Y34" s="55" t="n">
        <x:f>'Datos_fuente'!W34</x:f>
        <x:v>1.795295033</x:v>
      </x:c>
      <x:c r="Z34" s="55" t="n">
        <x:f>IF(OR(Y34="",Y33=""),"",Y34-Y33)</x:f>
        <x:v>-0.14835538800000014</x:v>
      </x:c>
      <x:c r="AA34" s="90" t="n">
        <x:f>'Datos_fuente'!AA34</x:f>
        <x:v>-0.3761245279</x:v>
      </x:c>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t="str">
        <x:f>'Datos_fuente'!A35</x:f>
        <x:v>2008-05</x:v>
      </x:c>
      <x:c r="B35" s="90" t="n">
        <x:f>IF('Datos_fuente'!B35="","",LN('Datos_fuente'!B35))</x:f>
        <x:v>7.481643658041262</x:v>
      </x:c>
      <x:c r="C35" s="90" t="n">
        <x:f>IF(OR(B35="",B34=""),"",B35-B34)</x:f>
        <x:v>-0.011174022850453547</x:v>
      </x:c>
      <x:c r="D35" s="90" t="n">
        <x:f>IF('Datos_fuente'!C35="","",LN('Datos_fuente'!C35))</x:f>
        <x:v>4.8105337491557325</x:v>
      </x:c>
      <x:c r="E35" s="90" t="n">
        <x:f>IF(OR(D35="",D34=""),"",D35-D34)</x:f>
        <x:v>0.11853136923033603</x:v>
      </x:c>
      <x:c r="F35" s="90" t="n">
        <x:f>IF('Datos_fuente'!E35="","",LN('Datos_fuente'!E35))</x:f>
        <x:v>8.469610897477766</x:v>
      </x:c>
      <x:c r="G35" s="90" t="n">
        <x:f>IF(OR(F35="",F34=""),"",F35-F34)</x:f>
        <x:v>0.013869795134585416</x:v>
      </x:c>
      <x:c r="H35" s="55" t="n">
        <x:f>'Datos_fuente'!H35</x:f>
        <x:v>7.77</x:v>
      </x:c>
      <x:c r="I35" s="55" t="n">
        <x:f>IF(OR(H35="",H34=""),"",H35-H34)</x:f>
        <x:v>0.2999999999999998</x:v>
      </x:c>
      <x:c r="J35" s="55" t="n">
        <x:f>'Datos_fuente'!J35</x:f>
        <x:v>2.192299404</x:v>
      </x:c>
      <x:c r="K35" s="55" t="n">
        <x:f>IF(OR(J35="",J34=""),"",J35-J34)</x:f>
        <x:v>0.4779179109999998</x:v>
      </x:c>
      <x:c r="L35" s="90" t="n">
        <x:f>IF('Datos_fuente'!K35="","",LN('Datos_fuente'!K35))</x:f>
        <x:v>4.4638884211276135</x:v>
      </x:c>
      <x:c r="M35" s="90" t="n">
        <x:f>IF(OR(L35="",L34=""),"",L35-L34)</x:f>
        <x:v>0.003194604844093618</x:v>
      </x:c>
      <x:c r="N35" s="90" t="n">
        <x:f>IF('Datos_fuente'!L35="","",LN('Datos_fuente'!L35))</x:f>
        <x:v>2.9070831924405556</x:v>
      </x:c>
      <x:c r="O35" s="90" t="n">
        <x:f>IF(OR(N35="",N34=""),"",N35-N34)</x:f>
        <x:v>-0.16388304235344808</x:v>
      </x:c>
      <x:c r="P35" s="88" t="n">
        <x:f>'Datos_fuente'!N35</x:f>
        <x:v>0</x:v>
      </x:c>
      <x:c r="Q35" s="90" t="n">
        <x:f>IF('Datos_fuente'!O35="","",LN('Datos_fuente'!O35))</x:f>
        <x:v>10.015825121849899</x:v>
      </x:c>
      <x:c r="R35" s="90" t="n">
        <x:f>IF(OR(Q35="",Q34=""),"",Q35-Q34)</x:f>
        <x:v>0.007556471486038774</x:v>
      </x:c>
      <x:c r="S35" s="55" t="n">
        <x:f>'Datos_fuente'!R35</x:f>
        <x:v>7.362105263</x:v>
      </x:c>
      <x:c r="T35" s="55" t="n">
        <x:f>IF(OR(S35="",S34=""),"",S35-S34)</x:f>
        <x:v>-0.26834928199999997</x:v>
      </x:c>
      <x:c r="U35" s="90" t="n">
        <x:f>IF('Datos_fuente'!S35="","",ASINH('Datos_fuente'!S35/1000))</x:f>
        <x:v>-0.5831858065851249</x:v>
      </x:c>
      <x:c r="V35" s="90" t="n">
        <x:f>IF(OR(U35="",U34=""),"",U35-U34)</x:f>
        <x:v>0.03343013661005101</x:v>
      </x:c>
      <x:c r="W35" s="90" t="n">
        <x:f>IF('Datos_fuente'!T35="","",ASINH('Datos_fuente'!T35/1000))</x:f>
        <x:v>0.46475717303735664</x:v>
      </x:c>
      <x:c r="X35" s="90" t="n">
        <x:f>IF(OR(W35="",W34=""),"",W35-W34)</x:f>
        <x:v>-0.21582295847228283</x:v>
      </x:c>
      <x:c r="Y35" s="55" t="n">
        <x:f>'Datos_fuente'!W35</x:f>
        <x:v>2.21009318</x:v>
      </x:c>
      <x:c r="Z35" s="55" t="n">
        <x:f>IF(OR(Y35="",Y34=""),"",Y35-Y34)</x:f>
        <x:v>0.41479814699999995</x:v>
      </x:c>
      <x:c r="AA35" s="90" t="n">
        <x:f>'Datos_fuente'!AA35</x:f>
        <x:v>0.3089908804</x:v>
      </x:c>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t="str">
        <x:f>'Datos_fuente'!A36</x:f>
        <x:v>2008-06</x:v>
      </x:c>
      <x:c r="B36" s="90" t="n">
        <x:f>IF('Datos_fuente'!B36="","",LN('Datos_fuente'!B36))</x:f>
        <x:v>7.457197394742718</x:v>
      </x:c>
      <x:c r="C36" s="90" t="n">
        <x:f>IF(OR(B36="",B35=""),"",B36-B35)</x:f>
        <x:v>-0.024446263298544046</x:v>
      </x:c>
      <x:c r="D36" s="90" t="n">
        <x:f>IF('Datos_fuente'!C36="","",LN('Datos_fuente'!C36))</x:f>
        <x:v>4.8852412253698345</x:v>
      </x:c>
      <x:c r="E36" s="90" t="n">
        <x:f>IF(OR(D36="",D35=""),"",D36-D35)</x:f>
        <x:v>0.07470747621410201</x:v>
      </x:c>
      <x:c r="F36" s="90" t="n">
        <x:f>IF('Datos_fuente'!E36="","",LN('Datos_fuente'!E36))</x:f>
        <x:v>8.475424915980053</x:v>
      </x:c>
      <x:c r="G36" s="90" t="n">
        <x:f>IF(OR(F36="",F35=""),"",F36-F35)</x:f>
        <x:v>0.0058140185022868</x:v>
      </x:c>
      <x:c r="H36" s="55" t="n">
        <x:f>'Datos_fuente'!H36</x:f>
        <x:v>7.75</x:v>
      </x:c>
      <x:c r="I36" s="55" t="n">
        <x:f>IF(OR(H36="",H35=""),"",H36-H35)</x:f>
        <x:v>-0.019999999999999574</x:v>
      </x:c>
      <x:c r="J36" s="55" t="n">
        <x:f>'Datos_fuente'!J36</x:f>
        <x:v>1.507950545</x:v>
      </x:c>
      <x:c r="K36" s="55" t="n">
        <x:f>IF(OR(J36="",J35=""),"",J36-J35)</x:f>
        <x:v>-0.684348859</x:v>
      </x:c>
      <x:c r="L36" s="90" t="n">
        <x:f>IF('Datos_fuente'!K36="","",LN('Datos_fuente'!K36))</x:f>
        <x:v>4.46674460502413</x:v>
      </x:c>
      <x:c r="M36" s="90" t="n">
        <x:f>IF(OR(L36="",L35=""),"",L36-L35)</x:f>
        <x:v>0.0028561838965162067</x:v>
      </x:c>
      <x:c r="N36" s="90" t="n">
        <x:f>IF('Datos_fuente'!L36="","",LN('Datos_fuente'!L36))</x:f>
        <x:v>3.096051531950863</x:v>
      </x:c>
      <x:c r="O36" s="90" t="n">
        <x:f>IF(OR(N36="",N35=""),"",N36-N35)</x:f>
        <x:v>0.18896833951030745</x:v>
      </x:c>
      <x:c r="P36" s="88" t="n">
        <x:f>'Datos_fuente'!N36</x:f>
        <x:v>0</x:v>
      </x:c>
      <x:c r="Q36" s="90" t="n">
        <x:f>IF('Datos_fuente'!O36="","",LN('Datos_fuente'!O36))</x:f>
        <x:v>10.036597418830908</x:v>
      </x:c>
      <x:c r="R36" s="90" t="n">
        <x:f>IF(OR(Q36="",Q35=""),"",Q36-Q35)</x:f>
        <x:v>0.020772296981009575</x:v>
      </x:c>
      <x:c r="S36" s="55" t="n">
        <x:f>'Datos_fuente'!R36</x:f>
        <x:v>8.028897243</x:v>
      </x:c>
      <x:c r="T36" s="55" t="n">
        <x:f>IF(OR(S36="",S35=""),"",S36-S35)</x:f>
        <x:v>0.6667919799999993</x:v>
      </x:c>
      <x:c r="U36" s="90" t="n">
        <x:f>IF('Datos_fuente'!S36="","",ASINH('Datos_fuente'!S36/1000))</x:f>
        <x:v>-0.6624940751944527</x:v>
      </x:c>
      <x:c r="V36" s="90" t="n">
        <x:f>IF(OR(U36="",U35=""),"",U36-U35)</x:f>
        <x:v>-0.07930826860932783</x:v>
      </x:c>
      <x:c r="W36" s="90" t="n">
        <x:f>IF('Datos_fuente'!T36="","",ASINH('Datos_fuente'!T36/1000))</x:f>
        <x:v>1.0024724634179516</x:v>
      </x:c>
      <x:c r="X36" s="90" t="n">
        <x:f>IF(OR(W36="",W35=""),"",W36-W35)</x:f>
        <x:v>0.537715290380595</x:v>
      </x:c>
      <x:c r="Y36" s="55" t="n">
        <x:f>'Datos_fuente'!W36</x:f>
        <x:v>2.167854369</x:v>
      </x:c>
      <x:c r="Z36" s="55" t="n">
        <x:f>IF(OR(Y36="",Y35=""),"",Y36-Y35)</x:f>
        <x:v>-0.04223881099999982</x:v>
      </x:c>
      <x:c r="AA36" s="90" t="n">
        <x:f>'Datos_fuente'!AA36</x:f>
        <x:v>0.2380224945</x:v>
      </x:c>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t="str">
        <x:f>'Datos_fuente'!A37</x:f>
        <x:v>2008-07</x:v>
      </x:c>
      <x:c r="B37" s="90" t="n">
        <x:f>IF('Datos_fuente'!B37="","",LN('Datos_fuente'!B37))</x:f>
        <x:v>7.484955640070927</x:v>
      </x:c>
      <x:c r="C37" s="90" t="n">
        <x:f>IF(OR(B37="",B36=""),"",B37-B36)</x:f>
        <x:v>0.027758245328208808</x:v>
      </x:c>
      <x:c r="D37" s="90" t="n">
        <x:f>IF('Datos_fuente'!C37="","",LN('Datos_fuente'!C37))</x:f>
        <x:v>4.888227946270568</x:v>
      </x:c>
      <x:c r="E37" s="90" t="n">
        <x:f>IF(OR(D37="",D36=""),"",D37-D36)</x:f>
        <x:v>0.002986720900733708</x:v>
      </x:c>
      <x:c r="F37" s="90" t="n">
        <x:f>IF('Datos_fuente'!E37="","",LN('Datos_fuente'!E37))</x:f>
        <x:v>8.49548935797245</x:v>
      </x:c>
      <x:c r="G37" s="90" t="n">
        <x:f>IF(OR(F37="",F36=""),"",F37-F36)</x:f>
        <x:v>0.020064441992397875</x:v>
      </x:c>
      <x:c r="H37" s="55" t="n">
        <x:f>'Datos_fuente'!H37</x:f>
        <x:v>7.772258065</x:v>
      </x:c>
      <x:c r="I37" s="55" t="n">
        <x:f>IF(OR(H37="",H36=""),"",H37-H36)</x:f>
        <x:v>0.022258064999999938</x:v>
      </x:c>
      <x:c r="J37" s="55" t="n">
        <x:f>'Datos_fuente'!J37</x:f>
        <x:v>1.38078604</x:v>
      </x:c>
      <x:c r="K37" s="55" t="n">
        <x:f>IF(OR(J37="",J36=""),"",J37-J36)</x:f>
        <x:v>-0.12716450499999987</x:v>
      </x:c>
      <x:c r="L37" s="90" t="n">
        <x:f>IF('Datos_fuente'!K37="","",LN('Datos_fuente'!K37))</x:f>
        <x:v>4.459609664279515</x:v>
      </x:c>
      <x:c r="M37" s="90" t="n">
        <x:f>IF(OR(L37="",L36=""),"",L37-L36)</x:f>
        <x:v>-0.007134940744614404</x:v>
      </x:c>
      <x:c r="N37" s="90" t="n">
        <x:f>IF('Datos_fuente'!L37="","",LN('Datos_fuente'!L37))</x:f>
        <x:v>3.1913738149943147</x:v>
      </x:c>
      <x:c r="O37" s="90" t="n">
        <x:f>IF(OR(N37="",N36=""),"",N37-N36)</x:f>
        <x:v>0.0953222830434517</x:v>
      </x:c>
      <x:c r="P37" s="88" t="n">
        <x:f>'Datos_fuente'!N37</x:f>
        <x:v>0</x:v>
      </x:c>
      <x:c r="Q37" s="90" t="n">
        <x:f>IF('Datos_fuente'!O37="","",LN('Datos_fuente'!O37))</x:f>
        <x:v>10.05816295181691</x:v>
      </x:c>
      <x:c r="R37" s="90" t="n">
        <x:f>IF(OR(Q37="",Q36=""),"",Q37-Q36)</x:f>
        <x:v>0.021565532986000946</x:v>
      </x:c>
      <x:c r="S37" s="55" t="n">
        <x:f>'Datos_fuente'!R37</x:f>
        <x:v>8.870098814</x:v>
      </x:c>
      <x:c r="T37" s="55" t="n">
        <x:f>IF(OR(S37="",S36=""),"",S37-S36)</x:f>
        <x:v>0.8412015710000009</x:v>
      </x:c>
      <x:c r="U37" s="90" t="n">
        <x:f>IF('Datos_fuente'!S37="","",ASINH('Datos_fuente'!S37/1000))</x:f>
        <x:v>-0.7048498273896687</x:v>
      </x:c>
      <x:c r="V37" s="90" t="n">
        <x:f>IF(OR(U37="",U36=""),"",U37-U36)</x:f>
        <x:v>-0.042355752195216034</x:v>
      </x:c>
      <x:c r="W37" s="90" t="n">
        <x:f>IF('Datos_fuente'!T37="","",ASINH('Datos_fuente'!T37/1000))</x:f>
        <x:v>0.880475276223982</x:v>
      </x:c>
      <x:c r="X37" s="90" t="n">
        <x:f>IF(OR(W37="",W36=""),"",W37-W36)</x:f>
        <x:v>-0.12199718719396957</x:v>
      </x:c>
      <x:c r="Y37" s="55" t="n">
        <x:f>'Datos_fuente'!W37</x:f>
        <x:v>1.919727637</x:v>
      </x:c>
      <x:c r="Z37" s="55" t="n">
        <x:f>IF(OR(Y37="",Y36=""),"",Y37-Y36)</x:f>
        <x:v>-0.24812673200000002</x:v>
      </x:c>
      <x:c r="AA37" s="90" t="n">
        <x:f>'Datos_fuente'!AA37</x:f>
        <x:v>-0.3160464393</x:v>
      </x:c>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t="str">
        <x:f>'Datos_fuente'!A38</x:f>
        <x:v>2008-08</x:v>
      </x:c>
      <x:c r="B38" s="90" t="n">
        <x:f>IF('Datos_fuente'!B38="","",LN('Datos_fuente'!B38))</x:f>
        <x:v>7.521576430284874</x:v>
      </x:c>
      <x:c r="C38" s="90" t="n">
        <x:f>IF(OR(B38="",B37=""),"",B38-B37)</x:f>
        <x:v>0.03662079021394682</x:v>
      </x:c>
      <x:c r="D38" s="90" t="n">
        <x:f>IF('Datos_fuente'!C38="","",LN('Datos_fuente'!C38))</x:f>
        <x:v>4.729538895522239</x:v>
      </x:c>
      <x:c r="E38" s="90" t="n">
        <x:f>IF(OR(D38="",D37=""),"",D38-D37)</x:f>
        <x:v>-0.15868905074832895</x:v>
      </x:c>
      <x:c r="F38" s="90" t="n">
        <x:f>IF('Datos_fuente'!E38="","",LN('Datos_fuente'!E38))</x:f>
        <x:v>8.486624699609699</x:v>
      </x:c>
      <x:c r="G38" s="90" t="n">
        <x:f>IF(OR(F38="",F37=""),"",F38-F37)</x:f>
        <x:v>-0.008864658362751854</x:v>
      </x:c>
      <x:c r="H38" s="55" t="n">
        <x:f>'Datos_fuente'!H38</x:f>
        <x:v>8</x:v>
      </x:c>
      <x:c r="I38" s="55" t="n">
        <x:f>IF(OR(H38="",H37=""),"",H38-H37)</x:f>
        <x:v>0.22774193500000006</x:v>
      </x:c>
      <x:c r="J38" s="55" t="n">
        <x:f>'Datos_fuente'!J38</x:f>
        <x:v>1.855080021</x:v>
      </x:c>
      <x:c r="K38" s="55" t="n">
        <x:f>IF(OR(J38="",J37=""),"",J38-J37)</x:f>
        <x:v>0.474293981</x:v>
      </x:c>
      <x:c r="L38" s="90" t="n">
        <x:f>IF('Datos_fuente'!K38="","",LN('Datos_fuente'!K38))</x:f>
        <x:v>4.4880181476610135</x:v>
      </x:c>
      <x:c r="M38" s="90" t="n">
        <x:f>IF(OR(L38="",L37=""),"",L38-L37)</x:f>
        <x:v>0.02840848338149815</x:v>
      </x:c>
      <x:c r="N38" s="90" t="n">
        <x:f>IF('Datos_fuente'!L38="","",LN('Datos_fuente'!L38))</x:f>
        <x:v>3.0299266397053293</x:v>
      </x:c>
      <x:c r="O38" s="90" t="n">
        <x:f>IF(OR(N38="",N37=""),"",N38-N37)</x:f>
        <x:v>-0.16144717528898545</x:v>
      </x:c>
      <x:c r="P38" s="88" t="n">
        <x:f>'Datos_fuente'!N38</x:f>
        <x:v>0</x:v>
      </x:c>
      <x:c r="Q38" s="90" t="n">
        <x:f>IF('Datos_fuente'!O38="","",LN('Datos_fuente'!O38))</x:f>
        <x:v>10.070648093071128</x:v>
      </x:c>
      <x:c r="R38" s="90" t="n">
        <x:f>IF(OR(Q38="",Q37=""),"",Q38-Q37)</x:f>
        <x:v>0.012485141254218846</x:v>
      </x:c>
      <x:c r="S38" s="55" t="n">
        <x:f>'Datos_fuente'!R38</x:f>
        <x:v>7.955338346</x:v>
      </x:c>
      <x:c r="T38" s="55" t="n">
        <x:f>IF(OR(S38="",S37=""),"",S38-S37)</x:f>
        <x:v>-0.9147604680000008</x:v>
      </x:c>
      <x:c r="U38" s="90" t="n">
        <x:f>IF('Datos_fuente'!S38="","",ASINH('Datos_fuente'!S38/1000))</x:f>
        <x:v>-0.6818692617973472</x:v>
      </x:c>
      <x:c r="V38" s="90" t="n">
        <x:f>IF(OR(U38="",U37=""),"",U38-U37)</x:f>
        <x:v>0.022980565592321534</x:v>
      </x:c>
      <x:c r="W38" s="90" t="n">
        <x:f>IF('Datos_fuente'!T38="","",ASINH('Datos_fuente'!T38/1000))</x:f>
        <x:v>0.648639498232606</x:v>
      </x:c>
      <x:c r="X38" s="90" t="n">
        <x:f>IF(OR(W38="",W37=""),"",W38-W37)</x:f>
        <x:v>-0.231835777991376</x:v>
      </x:c>
      <x:c r="Y38" s="55" t="n">
        <x:f>'Datos_fuente'!W38</x:f>
        <x:v>2.501546818</x:v>
      </x:c>
      <x:c r="Z38" s="55" t="n">
        <x:f>IF(OR(Y38="",Y37=""),"",Y38-Y37)</x:f>
        <x:v>0.581819181</x:v>
      </x:c>
      <x:c r="AA38" s="90" t="n">
        <x:f>'Datos_fuente'!AA38</x:f>
        <x:v>0.2982139333</x:v>
      </x:c>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t="str">
        <x:f>'Datos_fuente'!A39</x:f>
        <x:v>2008-09</x:v>
      </x:c>
      <x:c r="B39" s="90" t="n">
        <x:f>IF('Datos_fuente'!B39="","",LN('Datos_fuente'!B39))</x:f>
        <x:v>7.633460158652255</x:v>
      </x:c>
      <x:c r="C39" s="90" t="n">
        <x:f>IF(OR(B39="",B38=""),"",B39-B38)</x:f>
        <x:v>0.11188372836738125</x:v>
      </x:c>
      <x:c r="D39" s="90" t="n">
        <x:f>IF('Datos_fuente'!C39="","",LN('Datos_fuente'!C39))</x:f>
        <x:v>4.577128280247106</x:v>
      </x:c>
      <x:c r="E39" s="90" t="n">
        <x:f>IF(OR(D39="",D38=""),"",D39-D38)</x:f>
        <x:v>-0.15241061527513367</x:v>
      </x:c>
      <x:c r="F39" s="90" t="n">
        <x:f>IF('Datos_fuente'!E39="","",LN('Datos_fuente'!E39))</x:f>
        <x:v>8.502179041042936</x:v>
      </x:c>
      <x:c r="G39" s="90" t="n">
        <x:f>IF(OR(F39="",F38=""),"",F39-F38)</x:f>
        <x:v>0.015554341433237084</x:v>
      </x:c>
      <x:c r="H39" s="55" t="n">
        <x:f>'Datos_fuente'!H39</x:f>
        <x:v>8.19</x:v>
      </x:c>
      <x:c r="I39" s="55" t="n">
        <x:f>IF(OR(H39="",H38=""),"",H39-H38)</x:f>
        <x:v>0.1899999999999995</x:v>
      </x:c>
      <x:c r="J39" s="55" t="n">
        <x:f>'Datos_fuente'!J39</x:f>
        <x:v>1.763145856</x:v>
      </x:c>
      <x:c r="K39" s="55" t="n">
        <x:f>IF(OR(J39="",J38=""),"",J39-J38)</x:f>
        <x:v>-0.09193416500000007</x:v>
      </x:c>
      <x:c r="L39" s="90" t="n">
        <x:f>IF('Datos_fuente'!K39="","",LN('Datos_fuente'!K39))</x:f>
        <x:v>4.513768557824393</x:v>
      </x:c>
      <x:c r="M39" s="90" t="n">
        <x:f>IF(OR(L39="",L38=""),"",L39-L38)</x:f>
        <x:v>0.0257504101633792</x:v>
      </x:c>
      <x:c r="N39" s="90" t="n">
        <x:f>IF('Datos_fuente'!L39="","",LN('Datos_fuente'!L39))</x:f>
        <x:v>3.409118309124009</x:v>
      </x:c>
      <x:c r="O39" s="90" t="n">
        <x:f>IF(OR(N39="",N38=""),"",N39-N38)</x:f>
        <x:v>0.37919166941867966</x:v>
      </x:c>
      <x:c r="P39" s="88" t="n">
        <x:f>'Datos_fuente'!N39</x:f>
        <x:v>0</x:v>
      </x:c>
      <x:c r="Q39" s="90" t="n">
        <x:f>IF('Datos_fuente'!O39="","",LN('Datos_fuente'!O39))</x:f>
        <x:v>10.089231994568845</x:v>
      </x:c>
      <x:c r="R39" s="90" t="n">
        <x:f>IF(OR(Q39="",Q38=""),"",Q39-Q38)</x:f>
        <x:v>0.018583901497716937</x:v>
      </x:c>
      <x:c r="S39" s="55" t="n">
        <x:f>'Datos_fuente'!R39</x:f>
        <x:v>8.207445887</x:v>
      </x:c>
      <x:c r="T39" s="55" t="n">
        <x:f>IF(OR(S39="",S38=""),"",S39-S38)</x:f>
        <x:v>0.2521075410000009</x:v>
      </x:c>
      <x:c r="U39" s="90" t="n">
        <x:f>IF('Datos_fuente'!S39="","",ASINH('Datos_fuente'!S39/1000))</x:f>
        <x:v>-0.6635527321157004</x:v>
      </x:c>
      <x:c r="V39" s="90" t="n">
        <x:f>IF(OR(U39="",U38=""),"",U39-U38)</x:f>
        <x:v>0.018316529681646765</x:v>
      </x:c>
      <x:c r="W39" s="90" t="n">
        <x:f>IF('Datos_fuente'!T39="","",ASINH('Datos_fuente'!T39/1000))</x:f>
        <x:v>0.7427485974844824</x:v>
      </x:c>
      <x:c r="X39" s="90" t="n">
        <x:f>IF(OR(W39="",W38=""),"",W39-W38)</x:f>
        <x:v>0.09410909925187638</x:v>
      </x:c>
      <x:c r="Y39" s="55" t="n">
        <x:f>'Datos_fuente'!W39</x:f>
        <x:v>2.633166027</x:v>
      </x:c>
      <x:c r="Z39" s="55" t="n">
        <x:f>IF(OR(Y39="",Y38=""),"",Y39-Y38)</x:f>
        <x:v>0.13161920900000013</x:v>
      </x:c>
      <x:c r="AA39" s="90" t="n">
        <x:f>'Datos_fuente'!AA39</x:f>
        <x:v>1.891190367</x:v>
      </x:c>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t="str">
        <x:f>'Datos_fuente'!A40</x:f>
        <x:v>2008-10</x:v>
      </x:c>
      <x:c r="B40" s="90" t="n">
        <x:f>IF('Datos_fuente'!B40="","",LN('Datos_fuente'!B40))</x:f>
        <x:v>7.735808310603203</x:v>
      </x:c>
      <x:c r="C40" s="90" t="n">
        <x:f>IF(OR(B40="",B39=""),"",B40-B39)</x:f>
        <x:v>0.10234815195094793</x:v>
      </x:c>
      <x:c r="D40" s="90" t="n">
        <x:f>IF('Datos_fuente'!C40="","",LN('Datos_fuente'!C40))</x:f>
        <x:v>4.270846075231558</x:v>
      </x:c>
      <x:c r="E40" s="90" t="n">
        <x:f>IF(OR(D40="",D39=""),"",D40-D39)</x:f>
        <x:v>-0.30628220501554804</x:v>
      </x:c>
      <x:c r="F40" s="90" t="n">
        <x:f>IF('Datos_fuente'!E40="","",LN('Datos_fuente'!E40))</x:f>
        <x:v>8.500836141295496</x:v>
      </x:c>
      <x:c r="G40" s="90" t="n">
        <x:f>IF(OR(F40="",F39=""),"",F40-F39)</x:f>
        <x:v>-0.0013428997474402848</x:v>
      </x:c>
      <x:c r="H40" s="55" t="n">
        <x:f>'Datos_fuente'!H40</x:f>
        <x:v>9.03</x:v>
      </x:c>
      <x:c r="I40" s="55" t="n">
        <x:f>IF(OR(H40="",H39=""),"",H40-H39)</x:f>
        <x:v>0.8399999999999999</x:v>
      </x:c>
      <x:c r="J40" s="55" t="n">
        <x:f>'Datos_fuente'!J40</x:f>
        <x:v>1.699208134</x:v>
      </x:c>
      <x:c r="K40" s="55" t="n">
        <x:f>IF(OR(J40="",J39=""),"",J40-J39)</x:f>
        <x:v>-0.06393772199999992</x:v>
      </x:c>
      <x:c r="L40" s="90" t="n">
        <x:f>IF('Datos_fuente'!K40="","",LN('Datos_fuente'!K40))</x:f>
        <x:v>4.585375558659912</x:v>
      </x:c>
      <x:c r="M40" s="90" t="n">
        <x:f>IF(OR(L40="",L39=""),"",L40-L39)</x:f>
        <x:v>0.07160700083551941</x:v>
      </x:c>
      <x:c r="N40" s="90" t="n">
        <x:f>IF('Datos_fuente'!L40="","",LN('Datos_fuente'!L40))</x:f>
        <x:v>4.113777698062105</x:v>
      </x:c>
      <x:c r="O40" s="90" t="n">
        <x:f>IF(OR(N40="",N39=""),"",N40-N39)</x:f>
        <x:v>0.7046593889380959</x:v>
      </x:c>
      <x:c r="P40" s="88" t="n">
        <x:f>'Datos_fuente'!N40</x:f>
        <x:v>0</x:v>
      </x:c>
      <x:c r="Q40" s="90" t="n">
        <x:f>IF('Datos_fuente'!O40="","",LN('Datos_fuente'!O40))</x:f>
        <x:v>10.060811335599453</x:v>
      </x:c>
      <x:c r="R40" s="90" t="n">
        <x:f>IF(OR(Q40="",Q39=""),"",Q40-Q39)</x:f>
        <x:v>-0.02842065896939161</x:v>
      </x:c>
      <x:c r="S40" s="55" t="n">
        <x:f>'Datos_fuente'!R40</x:f>
        <x:v>9.180454545</x:v>
      </x:c>
      <x:c r="T40" s="55" t="n">
        <x:f>IF(OR(S40="",S39=""),"",S40-S39)</x:f>
        <x:v>0.9730086579999995</x:v>
      </x:c>
      <x:c r="U40" s="90" t="n">
        <x:f>IF('Datos_fuente'!S40="","",ASINH('Datos_fuente'!S40/1000))</x:f>
        <x:v>-0.6063548988544439</x:v>
      </x:c>
      <x:c r="V40" s="90" t="n">
        <x:f>IF(OR(U40="",U39=""),"",U40-U39)</x:f>
        <x:v>0.05719783326125649</x:v>
      </x:c>
      <x:c r="W40" s="90" t="n">
        <x:f>IF('Datos_fuente'!T40="","",ASINH('Datos_fuente'!T40/1000))</x:f>
        <x:v>-0.2179796719299658</x:v>
      </x:c>
      <x:c r="X40" s="90" t="n">
        <x:f>IF(OR(W40="",W39=""),"",W40-W39)</x:f>
        <x:v>-0.9607282694144482</x:v>
      </x:c>
      <x:c r="Y40" s="55" t="n">
        <x:f>'Datos_fuente'!W40</x:f>
        <x:v>4.288738957</x:v>
      </x:c>
      <x:c r="Z40" s="55" t="n">
        <x:f>IF(OR(Y40="",Y39=""),"",Y40-Y39)</x:f>
        <x:v>1.6555729299999995</x:v>
      </x:c>
      <x:c r="AA40" s="90" t="n">
        <x:f>'Datos_fuente'!AA40</x:f>
        <x:v>5.734449444</x:v>
      </x:c>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t="str">
        <x:f>'Datos_fuente'!A41</x:f>
        <x:v>2008-11</x:v>
      </x:c>
      <x:c r="B41" s="90" t="n">
        <x:f>IF('Datos_fuente'!B41="","",LN('Datos_fuente'!B41))</x:f>
        <x:v>7.755193272264553</x:v>
      </x:c>
      <x:c r="C41" s="90" t="n">
        <x:f>IF(OR(B41="",B40=""),"",B41-B40)</x:f>
        <x:v>0.019384961661350175</x:v>
      </x:c>
      <x:c r="D41" s="90" t="n">
        <x:f>IF('Datos_fuente'!C41="","",LN('Datos_fuente'!C41))</x:f>
        <x:v>3.959910506700932</x:v>
      </x:c>
      <x:c r="E41" s="90" t="n">
        <x:f>IF(OR(D41="",D40=""),"",D41-D40)</x:f>
        <x:v>-0.31093556853062543</x:v>
      </x:c>
      <x:c r="F41" s="90" t="n">
        <x:f>IF('Datos_fuente'!E41="","",LN('Datos_fuente'!E41))</x:f>
        <x:v>8.472223021768398</x:v>
      </x:c>
      <x:c r="G41" s="90" t="n">
        <x:f>IF(OR(F41="",F40=""),"",F41-F40)</x:f>
        <x:v>-0.028613119527097552</x:v>
      </x:c>
      <x:c r="H41" s="55" t="n">
        <x:f>'Datos_fuente'!H41</x:f>
        <x:v>9.61</x:v>
      </x:c>
      <x:c r="I41" s="55" t="n">
        <x:f>IF(OR(H41="",H40=""),"",H41-H40)</x:f>
        <x:v>0.5800000000000001</x:v>
      </x:c>
      <x:c r="J41" s="55" t="n">
        <x:f>'Datos_fuente'!J41</x:f>
        <x:v>2.332166211</x:v>
      </x:c>
      <x:c r="K41" s="55" t="n">
        <x:f>IF(OR(J41="",J40=""),"",J41-J40)</x:f>
        <x:v>0.6329580770000001</x:v>
      </x:c>
      <x:c r="L41" s="90" t="n">
        <x:f>IF('Datos_fuente'!K41="","",LN('Datos_fuente'!K41))</x:f>
        <x:v>4.612807546957856</x:v>
      </x:c>
      <x:c r="M41" s="90" t="n">
        <x:f>IF(OR(L41="",L40=""),"",L41-L40)</x:f>
        <x:v>0.02743198829794391</x:v>
      </x:c>
      <x:c r="N41" s="90" t="n">
        <x:f>IF('Datos_fuente'!L41="","",LN('Datos_fuente'!L41))</x:f>
        <x:v>4.137866067701714</x:v>
      </x:c>
      <x:c r="O41" s="90" t="n">
        <x:f>IF(OR(N41="",N40=""),"",N41-N40)</x:f>
        <x:v>0.024088369639609475</x:v>
      </x:c>
      <x:c r="P41" s="88" t="n">
        <x:f>'Datos_fuente'!N41</x:f>
        <x:v>0</x:v>
      </x:c>
      <x:c r="Q41" s="90" t="n">
        <x:f>IF('Datos_fuente'!O41="","",LN('Datos_fuente'!O41))</x:f>
        <x:v>10.069192650803071</x:v>
      </x:c>
      <x:c r="R41" s="90" t="n">
        <x:f>IF(OR(Q41="",Q40=""),"",Q41-Q40)</x:f>
        <x:v>0.008381315203617845</x:v>
      </x:c>
      <x:c r="S41" s="55" t="n">
        <x:f>'Datos_fuente'!R41</x:f>
        <x:v>9.408958333</x:v>
      </x:c>
      <x:c r="T41" s="55" t="n">
        <x:f>IF(OR(S41="",S40=""),"",S41-S40)</x:f>
        <x:v>0.22850378799999937</x:v>
      </x:c>
      <x:c r="U41" s="90" t="n">
        <x:f>IF('Datos_fuente'!S41="","",ASINH('Datos_fuente'!S41/1000))</x:f>
        <x:v>-0.6225250313540451</x:v>
      </x:c>
      <x:c r="V41" s="90" t="n">
        <x:f>IF(OR(U41="",U40=""),"",U41-U40)</x:f>
        <x:v>-0.016170132499601197</x:v>
      </x:c>
      <x:c r="W41" s="90" t="n">
        <x:f>IF('Datos_fuente'!T41="","",ASINH('Datos_fuente'!T41/1000))</x:f>
        <x:v>0.526251374692875</x:v>
      </x:c>
      <x:c r="X41" s="90" t="n">
        <x:f>IF(OR(W41="",W40=""),"",W41-W40)</x:f>
        <x:v>0.7442310466228408</x:v>
      </x:c>
      <x:c r="Y41" s="55" t="n">
        <x:f>'Datos_fuente'!W41</x:f>
        <x:v>6.650158683</x:v>
      </x:c>
      <x:c r="Z41" s="55" t="n">
        <x:f>IF(OR(Y41="",Y40=""),"",Y41-Y40)</x:f>
        <x:v>2.3614197260000003</x:v>
      </x:c>
      <x:c r="AA41" s="90" t="n">
        <x:f>'Datos_fuente'!AA41</x:f>
        <x:v>1.159772216</x:v>
      </x:c>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t="str">
        <x:f>'Datos_fuente'!A42</x:f>
        <x:v>2008-12</x:v>
      </x:c>
      <x:c r="B42" s="90" t="n">
        <x:f>IF('Datos_fuente'!B42="","",LN('Datos_fuente'!B42))</x:f>
        <x:v>7.719356524674486</x:v>
      </x:c>
      <x:c r="C42" s="90" t="n">
        <x:f>IF(OR(B42="",B41=""),"",B42-B41)</x:f>
        <x:v>-0.03583674759006694</x:v>
      </x:c>
      <x:c r="D42" s="90" t="n">
        <x:f>IF('Datos_fuente'!C42="","",LN('Datos_fuente'!C42))</x:f>
        <x:v>3.6875490239841273</x:v>
      </x:c>
      <x:c r="E42" s="90" t="n">
        <x:f>IF(OR(D42="",D41=""),"",D42-D41)</x:f>
        <x:v>-0.2723614827168048</x:v>
      </x:c>
      <x:c r="F42" s="90" t="n">
        <x:f>IF('Datos_fuente'!E42="","",LN('Datos_fuente'!E42))</x:f>
        <x:v>8.473224584834021</x:v>
      </x:c>
      <x:c r="G42" s="90" t="n">
        <x:f>IF(OR(F42="",F41=""),"",F42-F41)</x:f>
        <x:v>0.0010015630656230456</x:v>
      </x:c>
      <x:c r="H42" s="55" t="n">
        <x:f>'Datos_fuente'!H42</x:f>
        <x:v>9.678709677</x:v>
      </x:c>
      <x:c r="I42" s="55" t="n">
        <x:f>IF(OR(H42="",H41=""),"",H42-H41)</x:f>
        <x:v>0.06870967700000108</x:v>
      </x:c>
      <x:c r="J42" s="55" t="n">
        <x:f>'Datos_fuente'!J42</x:f>
        <x:v>2.32245795</x:v>
      </x:c>
      <x:c r="K42" s="55" t="n">
        <x:f>IF(OR(J42="",J41=""),"",J42-J41)</x:f>
        <x:v>-0.009708261000000107</x:v>
      </x:c>
      <x:c r="L42" s="90" t="n">
        <x:f>IF('Datos_fuente'!K42="","",LN('Datos_fuente'!K42))</x:f>
        <x:v>4.601786947585854</x:v>
      </x:c>
      <x:c r="M42" s="90" t="n">
        <x:f>IF(OR(L42="",L41=""),"",L42-L41)</x:f>
        <x:v>-0.01102059937200206</x:v>
      </x:c>
      <x:c r="N42" s="90" t="n">
        <x:f>IF('Datos_fuente'!L42="","",LN('Datos_fuente'!L42))</x:f>
        <x:v>3.9590020066221405</x:v>
      </x:c>
      <x:c r="O42" s="90" t="n">
        <x:f>IF(OR(N42="",N41=""),"",N42-N41)</x:f>
        <x:v>-0.17886406107957376</x:v>
      </x:c>
      <x:c r="P42" s="88" t="n">
        <x:f>'Datos_fuente'!N42</x:f>
        <x:v>0</x:v>
      </x:c>
      <x:c r="Q42" s="90" t="n">
        <x:f>IF('Datos_fuente'!O42="","",LN('Datos_fuente'!O42))</x:f>
        <x:v>10.087045428106311</x:v>
      </x:c>
      <x:c r="R42" s="90" t="n">
        <x:f>IF(OR(Q42="",Q41=""),"",Q42-Q41)</x:f>
        <x:v>0.017852777303239975</x:v>
      </x:c>
      <x:c r="S42" s="55" t="n">
        <x:f>'Datos_fuente'!R42</x:f>
        <x:v>9.024136364</x:v>
      </x:c>
      <x:c r="T42" s="55" t="n">
        <x:f>IF(OR(S42="",S41=""),"",S42-S41)</x:f>
        <x:v>-0.384821968999999</x:v>
      </x:c>
      <x:c r="U42" s="90" t="n">
        <x:f>IF('Datos_fuente'!S42="","",ASINH('Datos_fuente'!S42/1000))</x:f>
        <x:v>-0.8145719501993747</x:v>
      </x:c>
      <x:c r="V42" s="90" t="n">
        <x:f>IF(OR(U42="",U41=""),"",U42-U41)</x:f>
        <x:v>-0.19204691884532954</x:v>
      </x:c>
      <x:c r="W42" s="90" t="n">
        <x:f>IF('Datos_fuente'!T42="","",ASINH('Datos_fuente'!T42/1000))</x:f>
        <x:v>0.8177451181079055</x:v>
      </x:c>
      <x:c r="X42" s="90" t="n">
        <x:f>IF(OR(W42="",W41=""),"",W42-W41)</x:f>
        <x:v>0.29149374341503054</x:v>
      </x:c>
      <x:c r="Y42" s="55" t="n">
        <x:f>'Datos_fuente'!W42</x:f>
        <x:v>7.591401046</x:v>
      </x:c>
      <x:c r="Z42" s="55" t="n">
        <x:f>IF(OR(Y42="",Y41=""),"",Y42-Y41)</x:f>
        <x:v>0.9412423629999997</x:v>
      </x:c>
      <x:c r="AA42" s="90" t="n">
        <x:f>'Datos_fuente'!AA42</x:f>
        <x:v>0.6713216209</x:v>
      </x:c>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t="str">
        <x:f>'Datos_fuente'!A43</x:f>
        <x:v>2009-01</x:v>
      </x:c>
      <x:c r="B43" s="90" t="n">
        <x:f>IF('Datos_fuente'!B43="","",LN('Datos_fuente'!B43))</x:f>
        <x:v>7.720242561896252</x:v>
      </x:c>
      <x:c r="C43" s="90" t="n">
        <x:f>IF(OR(B43="",B42=""),"",B43-B42)</x:f>
        <x:v>0.0008860372217656121</x:v>
      </x:c>
      <x:c r="D43" s="90" t="n">
        <x:f>IF('Datos_fuente'!C43="","",LN('Datos_fuente'!C43))</x:f>
        <x:v>3.7713691654305244</x:v>
      </x:c>
      <x:c r="E43" s="90" t="n">
        <x:f>IF(OR(D43="",D42=""),"",D43-D42)</x:f>
        <x:v>0.08382014144639705</x:v>
      </x:c>
      <x:c r="F43" s="90" t="n">
        <x:f>IF('Datos_fuente'!E43="","",LN('Datos_fuente'!E43))</x:f>
        <x:v>8.460271455448224</x:v>
      </x:c>
      <x:c r="G43" s="90" t="n">
        <x:f>IF(OR(F43="",F42=""),"",F43-F42)</x:f>
        <x:v>-0.012953129385797624</x:v>
      </x:c>
      <x:c r="H43" s="55" t="n">
        <x:f>'Datos_fuente'!H43</x:f>
        <x:v>9.35</x:v>
      </x:c>
      <x:c r="I43" s="55" t="n">
        <x:f>IF(OR(H43="",H42=""),"",H43-H42)</x:f>
        <x:v>-0.32870967700000087</x:v>
      </x:c>
      <x:c r="J43" s="55" t="n">
        <x:f>'Datos_fuente'!J43</x:f>
        <x:v>1.755409008</x:v>
      </x:c>
      <x:c r="K43" s="55" t="n">
        <x:f>IF(OR(J43="",J42=""),"",J43-J42)</x:f>
        <x:v>-0.567048942</x:v>
      </x:c>
      <x:c r="L43" s="90" t="n">
        <x:f>IF('Datos_fuente'!K43="","",LN('Datos_fuente'!K43))</x:f>
        <x:v>4.608684844334092</x:v>
      </x:c>
      <x:c r="M43" s="90" t="n">
        <x:f>IF(OR(L43="",L42=""),"",L43-L42)</x:f>
        <x:v>0.0068978967482378195</x:v>
      </x:c>
      <x:c r="N43" s="90" t="n">
        <x:f>IF('Datos_fuente'!L43="","",LN('Datos_fuente'!L43))</x:f>
        <x:v>3.7995931160830123</x:v>
      </x:c>
      <x:c r="O43" s="90" t="n">
        <x:f>IF(OR(N43="",N42=""),"",N43-N42)</x:f>
        <x:v>-0.1594088905391282</x:v>
      </x:c>
      <x:c r="P43" s="88" t="n">
        <x:f>'Datos_fuente'!N43</x:f>
        <x:v>0</x:v>
      </x:c>
      <x:c r="Q43" s="90" t="n">
        <x:f>IF('Datos_fuente'!O43="","",LN('Datos_fuente'!O43))</x:f>
        <x:v>10.069897776119074</x:v>
      </x:c>
      <x:c r="R43" s="90" t="n">
        <x:f>IF(OR(Q43="",Q42=""),"",Q43-Q42)</x:f>
        <x:v>-0.01714765198723711</x:v>
      </x:c>
      <x:c r="S43" s="55" t="n">
        <x:f>'Datos_fuente'!R43</x:f>
        <x:v>7.624</x:v>
      </x:c>
      <x:c r="T43" s="55" t="n">
        <x:f>IF(OR(S43="",S42=""),"",S43-S42)</x:f>
        <x:v>-1.4001363640000006</x:v>
      </x:c>
      <x:c r="U43" s="90" t="n">
        <x:f>IF('Datos_fuente'!S43="","",ASINH('Datos_fuente'!S43/1000))</x:f>
        <x:v>-0.4767621091888995</x:v>
      </x:c>
      <x:c r="V43" s="90" t="n">
        <x:f>IF(OR(U43="",U42=""),"",U43-U42)</x:f>
        <x:v>0.3378098410104752</x:v>
      </x:c>
      <x:c r="W43" s="90" t="n">
        <x:f>IF('Datos_fuente'!T43="","",ASINH('Datos_fuente'!T43/1000))</x:f>
        <x:v>-0.09576356368767011</x:v>
      </x:c>
      <x:c r="X43" s="90" t="n">
        <x:f>IF(OR(W43="",W42=""),"",W43-W42)</x:f>
        <x:v>-0.9135086817955756</x:v>
      </x:c>
      <x:c r="Y43" s="55" t="n">
        <x:f>'Datos_fuente'!W43</x:f>
        <x:v>7.144630675</x:v>
      </x:c>
      <x:c r="Z43" s="55" t="n">
        <x:f>IF(OR(Y43="",Y42=""),"",Y43-Y42)</x:f>
        <x:v>-0.4467703709999995</x:v>
      </x:c>
      <x:c r="AA43" s="90" t="n">
        <x:f>'Datos_fuente'!AA43</x:f>
        <x:v>-0.5491106589</x:v>
      </x:c>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t="str">
        <x:f>'Datos_fuente'!A44</x:f>
        <x:v>2009-02</x:v>
      </x:c>
      <x:c r="B44" s="90" t="n">
        <x:f>IF('Datos_fuente'!B44="","",LN('Datos_fuente'!B44))</x:f>
        <x:v>7.828971574725363</x:v>
      </x:c>
      <x:c r="C44" s="90" t="n">
        <x:f>IF(OR(B44="",B43=""),"",B44-B43)</x:f>
        <x:v>0.1087290128291114</x:v>
      </x:c>
      <x:c r="D44" s="90" t="n">
        <x:f>IF('Datos_fuente'!C44="","",LN('Datos_fuente'!C44))</x:f>
        <x:v>3.7687237614920512</x:v>
      </x:c>
      <x:c r="E44" s="90" t="n">
        <x:f>IF(OR(D44="",D43=""),"",D44-D43)</x:f>
        <x:v>-0.002645403938473123</x:v>
      </x:c>
      <x:c r="F44" s="90" t="n">
        <x:f>IF('Datos_fuente'!E44="","",LN('Datos_fuente'!E44))</x:f>
        <x:v>8.463843046318711</x:v>
      </x:c>
      <x:c r="G44" s="90" t="n">
        <x:f>IF(OR(F44="",F43=""),"",F44-F43)</x:f>
        <x:v>0.00357159087048764</x:v>
      </x:c>
      <x:c r="H44" s="55" t="n">
        <x:f>'Datos_fuente'!H44</x:f>
        <x:v>8.797857143</x:v>
      </x:c>
      <x:c r="I44" s="55" t="n">
        <x:f>IF(OR(H44="",H43=""),"",H44-H43)</x:f>
        <x:v>-0.5521428569999998</x:v>
      </x:c>
      <x:c r="J44" s="55" t="n">
        <x:f>'Datos_fuente'!J44</x:f>
        <x:v>1.618704014</x:v>
      </x:c>
      <x:c r="K44" s="55" t="n">
        <x:f>IF(OR(J44="",J43=""),"",J44-J43)</x:f>
        <x:v>-0.13670499400000002</x:v>
      </x:c>
      <x:c r="L44" s="90" t="n">
        <x:f>IF('Datos_fuente'!K44="","",LN('Datos_fuente'!K44))</x:f>
        <x:v>4.63447387122404</x:v>
      </x:c>
      <x:c r="M44" s="90" t="n">
        <x:f>IF(OR(L44="",L43=""),"",L44-L43)</x:f>
        <x:v>0.025789026889948552</x:v>
      </x:c>
      <x:c r="N44" s="90" t="n">
        <x:f>IF('Datos_fuente'!L44="","",LN('Datos_fuente'!L44))</x:f>
        <x:v>3.819261154912846</x:v>
      </x:c>
      <x:c r="O44" s="90" t="n">
        <x:f>IF(OR(N44="",N43=""),"",N44-N43)</x:f>
        <x:v>0.01966803882983381</x:v>
      </x:c>
      <x:c r="P44" s="88" t="n">
        <x:f>'Datos_fuente'!N44</x:f>
        <x:v>0</x:v>
      </x:c>
      <x:c r="Q44" s="90" t="n">
        <x:f>IF('Datos_fuente'!O44="","",LN('Datos_fuente'!O44))</x:f>
        <x:v>10.057990313232786</x:v>
      </x:c>
      <x:c r="R44" s="90" t="n">
        <x:f>IF(OR(Q44="",Q43=""),"",Q44-Q43)</x:f>
        <x:v>-0.0119074628862883</x:v>
      </x:c>
      <x:c r="S44" s="55" t="n">
        <x:f>'Datos_fuente'!R44</x:f>
        <x:v>7.167222222</x:v>
      </x:c>
      <x:c r="T44" s="55" t="n">
        <x:f>IF(OR(S44="",S43=""),"",S44-S43)</x:f>
        <x:v>-0.4567777779999993</x:v>
      </x:c>
      <x:c r="U44" s="90" t="n">
        <x:f>IF('Datos_fuente'!S44="","",ASINH('Datos_fuente'!S44/1000))</x:f>
        <x:v>-0.583177295402489</x:v>
      </x:c>
      <x:c r="V44" s="90" t="n">
        <x:f>IF(OR(U44="",U43=""),"",U44-U43)</x:f>
        <x:v>-0.10641518621358947</x:v>
      </x:c>
      <x:c r="W44" s="90" t="n">
        <x:f>IF('Datos_fuente'!T44="","",ASINH('Datos_fuente'!T44/1000))</x:f>
        <x:v>0.0012799996504747424</x:v>
      </x:c>
      <x:c r="X44" s="90" t="n">
        <x:f>IF(OR(W44="",W43=""),"",W44-W43)</x:f>
        <x:v>0.09704356333814486</x:v>
      </x:c>
      <x:c r="Y44" s="55" t="n">
        <x:f>'Datos_fuente'!W44</x:f>
        <x:v>6.229974325</x:v>
      </x:c>
      <x:c r="Z44" s="55" t="n">
        <x:f>IF(OR(Y44="",Y43=""),"",Y44-Y43)</x:f>
        <x:v>-0.9146563500000005</x:v>
      </x:c>
      <x:c r="AA44" s="90" t="n">
        <x:f>'Datos_fuente'!AA44</x:f>
        <x:v>0.1696952617</x:v>
      </x:c>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t="str">
        <x:f>'Datos_fuente'!A45</x:f>
        <x:v>2009-03</x:v>
      </x:c>
      <x:c r="B45" s="90" t="n">
        <x:f>IF('Datos_fuente'!B45="","",LN('Datos_fuente'!B45))</x:f>
        <x:v>7.811825580231302</x:v>
      </x:c>
      <x:c r="C45" s="90" t="n">
        <x:f>IF(OR(B45="",B44=""),"",B45-B44)</x:f>
        <x:v>-0.01714599449406151</x:v>
      </x:c>
      <x:c r="D45" s="90" t="n">
        <x:f>IF('Datos_fuente'!C45="","",LN('Datos_fuente'!C45))</x:f>
        <x:v>3.840321924693661</x:v>
      </x:c>
      <x:c r="E45" s="90" t="n">
        <x:f>IF(OR(D45="",D44=""),"",D45-D44)</x:f>
        <x:v>0.07159816320160983</x:v>
      </x:c>
      <x:c r="F45" s="90" t="n">
        <x:f>IF('Datos_fuente'!E45="","",LN('Datos_fuente'!E45))</x:f>
        <x:v>8.463091747338146</x:v>
      </x:c>
      <x:c r="G45" s="90" t="n">
        <x:f>IF(OR(F45="",F44=""),"",F45-F44)</x:f>
        <x:v>-0.0007512989805658066</x:v>
      </x:c>
      <x:c r="H45" s="55" t="n">
        <x:f>'Datos_fuente'!H45</x:f>
        <x:v>7.594193548</x:v>
      </x:c>
      <x:c r="I45" s="55" t="n">
        <x:f>IF(OR(H45="",H44=""),"",H45-H44)</x:f>
        <x:v>-1.203663595</x:v>
      </x:c>
      <x:c r="J45" s="55" t="n">
        <x:f>'Datos_fuente'!J45</x:f>
        <x:v>1.755024832</x:v>
      </x:c>
      <x:c r="K45" s="55" t="n">
        <x:f>IF(OR(J45="",J44=""),"",J45-J44)</x:f>
        <x:v>0.13632081799999995</x:v>
      </x:c>
      <x:c r="L45" s="90" t="n">
        <x:f>IF('Datos_fuente'!K45="","",LN('Datos_fuente'!K45))</x:f>
        <x:v>4.63898927409708</x:v>
      </x:c>
      <x:c r="M45" s="90" t="n">
        <x:f>IF(OR(L45="",L44=""),"",L45-L44)</x:f>
        <x:v>0.00451540287303942</x:v>
      </x:c>
      <x:c r="N45" s="90" t="n">
        <x:f>IF('Datos_fuente'!L45="","",LN('Datos_fuente'!L45))</x:f>
        <x:v>3.8021066733359303</x:v>
      </x:c>
      <x:c r="O45" s="90" t="n">
        <x:f>IF(OR(N45="",N44=""),"",N45-N44)</x:f>
        <x:v>-0.017154481576915792</x:v>
      </x:c>
      <x:c r="P45" s="88" t="n">
        <x:f>'Datos_fuente'!N45</x:f>
        <x:v>0</x:v>
      </x:c>
      <x:c r="Q45" s="90" t="n">
        <x:f>IF('Datos_fuente'!O45="","",LN('Datos_fuente'!O45))</x:f>
        <x:v>10.07916038882491</x:v>
      </x:c>
      <x:c r="R45" s="90" t="n">
        <x:f>IF(OR(Q45="",Q44=""),"",Q45-Q44)</x:f>
        <x:v>0.02117007559212425</x:v>
      </x:c>
      <x:c r="S45" s="55" t="n">
        <x:f>'Datos_fuente'!R45</x:f>
        <x:v>7.121406926</x:v>
      </x:c>
      <x:c r="T45" s="55" t="n">
        <x:f>IF(OR(S45="",S44=""),"",S45-S44)</x:f>
        <x:v>-0.04581529600000067</x:v>
      </x:c>
      <x:c r="U45" s="90" t="n">
        <x:f>IF('Datos_fuente'!S45="","",ASINH('Datos_fuente'!S45/1000))</x:f>
        <x:v>-0.5137148320921168</x:v>
      </x:c>
      <x:c r="V45" s="90" t="n">
        <x:f>IF(OR(U45="",U44=""),"",U45-U44)</x:f>
        <x:v>0.0694624633103722</x:v>
      </x:c>
      <x:c r="W45" s="90" t="n">
        <x:f>IF('Datos_fuente'!T45="","",ASINH('Datos_fuente'!T45/1000))</x:f>
        <x:v>0.7393307702003926</x:v>
      </x:c>
      <x:c r="X45" s="90" t="n">
        <x:f>IF(OR(W45="",W44=""),"",W45-W44)</x:f>
        <x:v>0.7380507705499179</x:v>
      </x:c>
      <x:c r="Y45" s="55" t="n">
        <x:f>'Datos_fuente'!W45</x:f>
        <x:v>6.514224513</x:v>
      </x:c>
      <x:c r="Z45" s="55" t="n">
        <x:f>IF(OR(Y45="",Y44=""),"",Y45-Y44)</x:f>
        <x:v>0.28425018800000057</x:v>
      </x:c>
      <x:c r="AA45" s="90" t="n">
        <x:f>'Datos_fuente'!AA45</x:f>
        <x:v>-0.3700534773</x:v>
      </x:c>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t="str">
        <x:f>'Datos_fuente'!A46</x:f>
        <x:v>2009-04</x:v>
      </x:c>
      <x:c r="B46" s="90" t="n">
        <x:f>IF('Datos_fuente'!B46="","",LN('Datos_fuente'!B46))</x:f>
        <x:v>7.772587509980796</x:v>
      </x:c>
      <x:c r="C46" s="90" t="n">
        <x:f>IF(OR(B46="",B45=""),"",B46-B45)</x:f>
        <x:v>-0.03923807025050596</x:v>
      </x:c>
      <x:c r="D46" s="90" t="n">
        <x:f>IF('Datos_fuente'!C46="","",LN('Datos_fuente'!C46))</x:f>
        <x:v>3.9156544987670916</x:v>
      </x:c>
      <x:c r="E46" s="90" t="n">
        <x:f>IF(OR(D46="",D45=""),"",D46-D45)</x:f>
        <x:v>0.07533257407343052</x:v>
      </x:c>
      <x:c r="F46" s="90" t="n">
        <x:f>IF('Datos_fuente'!E46="","",LN('Datos_fuente'!E46))</x:f>
        <x:v>8.449081360270666</x:v>
      </x:c>
      <x:c r="G46" s="90" t="n">
        <x:f>IF(OR(F46="",F45=""),"",F46-F45)</x:f>
        <x:v>-0.014010387067479257</x:v>
      </x:c>
      <x:c r="H46" s="55" t="n">
        <x:f>'Datos_fuente'!H46</x:f>
        <x:v>6.85</x:v>
      </x:c>
      <x:c r="I46" s="55" t="n">
        <x:f>IF(OR(H46="",H45=""),"",H46-H45)</x:f>
        <x:v>-0.7441935480000001</x:v>
      </x:c>
      <x:c r="J46" s="55" t="n">
        <x:f>'Datos_fuente'!J46</x:f>
        <x:v>1.407735645</x:v>
      </x:c>
      <x:c r="K46" s="55" t="n">
        <x:f>IF(OR(J46="",J45=""),"",J46-J45)</x:f>
        <x:v>-0.3472891869999999</x:v>
      </x:c>
      <x:c r="L46" s="90" t="n">
        <x:f>IF('Datos_fuente'!K46="","",LN('Datos_fuente'!K46))</x:f>
        <x:v>4.612306525635618</x:v>
      </x:c>
      <x:c r="M46" s="90" t="n">
        <x:f>IF(OR(L46="",L45=""),"",L46-L45)</x:f>
        <x:v>-0.02668274846146179</x:v>
      </x:c>
      <x:c r="N46" s="90" t="n">
        <x:f>IF('Datos_fuente'!L46="","",LN('Datos_fuente'!L46))</x:f>
        <x:v>3.639263949344634</x:v>
      </x:c>
      <x:c r="O46" s="90" t="n">
        <x:f>IF(OR(N46="",N45=""),"",N46-N45)</x:f>
        <x:v>-0.16284272399129618</x:v>
      </x:c>
      <x:c r="P46" s="88" t="n">
        <x:f>'Datos_fuente'!N46</x:f>
        <x:v>0</x:v>
      </x:c>
      <x:c r="Q46" s="90" t="n">
        <x:f>IF('Datos_fuente'!O46="","",LN('Datos_fuente'!O46))</x:f>
        <x:v>10.061074891707568</x:v>
      </x:c>
      <x:c r="R46" s="90" t="n">
        <x:f>IF(OR(Q46="",Q45=""),"",Q46-Q45)</x:f>
        <x:v>-0.018085497117342086</x:v>
      </x:c>
      <x:c r="S46" s="55" t="n">
        <x:f>'Datos_fuente'!R46</x:f>
        <x:v>6.599357143</x:v>
      </x:c>
      <x:c r="T46" s="55" t="n">
        <x:f>IF(OR(S46="",S45=""),"",S46-S45)</x:f>
        <x:v>-0.5220497829999999</x:v>
      </x:c>
      <x:c r="U46" s="90" t="n">
        <x:f>IF('Datos_fuente'!S46="","",ASINH('Datos_fuente'!S46/1000))</x:f>
        <x:v>-0.6543861044576097</x:v>
      </x:c>
      <x:c r="V46" s="90" t="n">
        <x:f>IF(OR(U46="",U45=""),"",U46-U45)</x:f>
        <x:v>-0.14067127236549293</x:v>
      </x:c>
      <x:c r="W46" s="90" t="n">
        <x:f>IF('Datos_fuente'!T46="","",ASINH('Datos_fuente'!T46/1000))</x:f>
        <x:v>0.37814340705447125</x:v>
      </x:c>
      <x:c r="X46" s="90" t="n">
        <x:f>IF(OR(W46="",W45=""),"",W46-W45)</x:f>
        <x:v>-0.36118736314592137</x:v>
      </x:c>
      <x:c r="Y46" s="55" t="n">
        <x:f>'Datos_fuente'!W46</x:f>
        <x:v>6.469369792</x:v>
      </x:c>
      <x:c r="Z46" s="55" t="n">
        <x:f>IF(OR(Y46="",Y45=""),"",Y46-Y45)</x:f>
        <x:v>-0.0448547210000001</x:v>
      </x:c>
      <x:c r="AA46" s="90" t="n">
        <x:f>'Datos_fuente'!AA46</x:f>
        <x:v>-1.814431296</x:v>
      </x:c>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t="str">
        <x:f>'Datos_fuente'!A47</x:f>
        <x:v>2009-05</x:v>
      </x:c>
      <x:c r="B47" s="90" t="n">
        <x:f>IF('Datos_fuente'!B47="","",LN('Datos_fuente'!B47))</x:f>
        <x:v>7.708553334224092</x:v>
      </x:c>
      <x:c r="C47" s="90" t="n">
        <x:f>IF(OR(B47="",B46=""),"",B47-B46)</x:f>
        <x:v>-0.06403417575670378</x:v>
      </x:c>
      <x:c r="D47" s="90" t="n">
        <x:f>IF('Datos_fuente'!C47="","",LN('Datos_fuente'!C47))</x:f>
        <x:v>4.048344252786384</x:v>
      </x:c>
      <x:c r="E47" s="90" t="n">
        <x:f>IF(OR(D47="",D46=""),"",D47-D46)</x:f>
        <x:v>0.1326897540192924</x:v>
      </x:c>
      <x:c r="F47" s="90" t="n">
        <x:f>IF('Datos_fuente'!E47="","",LN('Datos_fuente'!E47))</x:f>
        <x:v>8.435299605256736</x:v>
      </x:c>
      <x:c r="G47" s="90" t="n">
        <x:f>IF(OR(F47="",F46=""),"",F47-F46)</x:f>
        <x:v>-0.013781755013930308</x:v>
      </x:c>
      <x:c r="H47" s="55" t="n">
        <x:f>'Datos_fuente'!H47</x:f>
        <x:v>5.916774194</x:v>
      </x:c>
      <x:c r="I47" s="55" t="n">
        <x:f>IF(OR(H47="",H46=""),"",H47-H46)</x:f>
        <x:v>-0.9332258059999994</x:v>
      </x:c>
      <x:c r="J47" s="55" t="n">
        <x:f>'Datos_fuente'!J47</x:f>
        <x:v>2.231473675</x:v>
      </x:c>
      <x:c r="K47" s="55" t="n">
        <x:f>IF(OR(J47="",J46=""),"",J47-J46)</x:f>
        <x:v>0.8237380300000001</x:v>
      </x:c>
      <x:c r="L47" s="90" t="n">
        <x:f>IF('Datos_fuente'!K47="","",LN('Datos_fuente'!K47))</x:f>
        <x:v>4.580384339051533</x:v>
      </x:c>
      <x:c r="M47" s="90" t="n">
        <x:f>IF(OR(L47="",L46=""),"",L47-L46)</x:f>
        <x:v>-0.031922186584084855</x:v>
      </x:c>
      <x:c r="N47" s="90" t="n">
        <x:f>IF('Datos_fuente'!L47="","",LN('Datos_fuente'!L47))</x:f>
        <x:v>3.465048166363229</x:v>
      </x:c>
      <x:c r="O47" s="90" t="n">
        <x:f>IF(OR(N47="",N46=""),"",N47-N46)</x:f>
        <x:v>-0.17421578298140528</x:v>
      </x:c>
      <x:c r="P47" s="88" t="n">
        <x:f>'Datos_fuente'!N47</x:f>
        <x:v>0</x:v>
      </x:c>
      <x:c r="Q47" s="90" t="n">
        <x:f>IF('Datos_fuente'!O47="","",LN('Datos_fuente'!O47))</x:f>
        <x:v>10.068353051684555</x:v>
      </x:c>
      <x:c r="R47" s="90" t="n">
        <x:f>IF(OR(Q47="",Q46=""),"",Q47-Q46)</x:f>
        <x:v>0.007278159976987553</x:v>
      </x:c>
      <x:c r="S47" s="55" t="n">
        <x:f>'Datos_fuente'!R47</x:f>
        <x:v>5.839631579</x:v>
      </x:c>
      <x:c r="T47" s="55" t="n">
        <x:f>IF(OR(S47="",S46=""),"",S47-S46)</x:f>
        <x:v>-0.759725564</x:v>
      </x:c>
      <x:c r="U47" s="90" t="n">
        <x:f>IF('Datos_fuente'!S47="","",ASINH('Datos_fuente'!S47/1000))</x:f>
        <x:v>-0.4804245906351913</x:v>
      </x:c>
      <x:c r="V47" s="90" t="n">
        <x:f>IF(OR(U47="",U46=""),"",U47-U46)</x:f>
        <x:v>0.17396151382241842</x:v>
      </x:c>
      <x:c r="W47" s="90" t="n">
        <x:f>IF('Datos_fuente'!T47="","",ASINH('Datos_fuente'!T47/1000))</x:f>
        <x:v>0.5856269439102909</x:v>
      </x:c>
      <x:c r="X47" s="90" t="n">
        <x:f>IF(OR(W47="",W46=""),"",W47-W46)</x:f>
        <x:v>0.20748353685581966</x:v>
      </x:c>
      <x:c r="Y47" s="55" t="n">
        <x:f>'Datos_fuente'!W47</x:f>
        <x:v>6.051027815</x:v>
      </x:c>
      <x:c r="Z47" s="55" t="n">
        <x:f>IF(OR(Y47="",Y46=""),"",Y47-Y46)</x:f>
        <x:v>-0.41834197699999986</x:v>
      </x:c>
      <x:c r="AA47" s="90" t="n">
        <x:f>'Datos_fuente'!AA47</x:f>
        <x:v>-1.252373374</x:v>
      </x:c>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t="str">
        <x:f>'Datos_fuente'!A48</x:f>
        <x:v>2009-06</x:v>
      </x:c>
      <x:c r="B48" s="90" t="n">
        <x:f>IF('Datos_fuente'!B48="","",LN('Datos_fuente'!B48))</x:f>
        <x:v>7.6446610977403155</x:v>
      </x:c>
      <x:c r="C48" s="90" t="n">
        <x:f>IF(OR(B48="",B47=""),"",B48-B47)</x:f>
        <x:v>-0.06389223648377662</x:v>
      </x:c>
      <x:c r="D48" s="90" t="n">
        <x:f>IF('Datos_fuente'!C48="","",LN('Datos_fuente'!C48))</x:f>
        <x:v>4.228431671553321</x:v>
      </x:c>
      <x:c r="E48" s="90" t="n">
        <x:f>IF(OR(D48="",D47=""),"",D48-D47)</x:f>
        <x:v>0.180087418766937</x:v>
      </x:c>
      <x:c r="F48" s="90" t="n">
        <x:f>IF('Datos_fuente'!E48="","",LN('Datos_fuente'!E48))</x:f>
        <x:v>8.424459290154628</x:v>
      </x:c>
      <x:c r="G48" s="90" t="n">
        <x:f>IF(OR(F48="",F47=""),"",F48-F47)</x:f>
        <x:v>-0.010840315102107922</x:v>
      </x:c>
      <x:c r="H48" s="55" t="n">
        <x:f>'Datos_fuente'!H48</x:f>
        <x:v>4.656666667</x:v>
      </x:c>
      <x:c r="I48" s="55" t="n">
        <x:f>IF(OR(H48="",H47=""),"",H48-H47)</x:f>
        <x:v>-1.2601075270000006</x:v>
      </x:c>
      <x:c r="J48" s="55" t="n">
        <x:f>'Datos_fuente'!J48</x:f>
        <x:v>2.985204818</x:v>
      </x:c>
      <x:c r="K48" s="55" t="n">
        <x:f>IF(OR(J48="",J47=""),"",J48-J47)</x:f>
        <x:v>0.753731143</x:v>
      </x:c>
      <x:c r="L48" s="90" t="n">
        <x:f>IF('Datos_fuente'!K48="","",LN('Datos_fuente'!K48))</x:f>
        <x:v>4.564792032330907</x:v>
      </x:c>
      <x:c r="M48" s="90" t="n">
        <x:f>IF(OR(L48="",L47=""),"",L48-L47)</x:f>
        <x:v>-0.015592306720626503</x:v>
      </x:c>
      <x:c r="N48" s="90" t="n">
        <x:f>IF('Datos_fuente'!L48="","",LN('Datos_fuente'!L48))</x:f>
        <x:v>3.372127399478617</x:v>
      </x:c>
      <x:c r="O48" s="90" t="n">
        <x:f>IF(OR(N48="",N47=""),"",N48-N47)</x:f>
        <x:v>-0.0929207668846117</x:v>
      </x:c>
      <x:c r="P48" s="88" t="n">
        <x:f>'Datos_fuente'!N48</x:f>
        <x:v>0</x:v>
      </x:c>
      <x:c r="Q48" s="90" t="n">
        <x:f>IF('Datos_fuente'!O48="","",LN('Datos_fuente'!O48))</x:f>
        <x:v>10.074215495693705</x:v>
      </x:c>
      <x:c r="R48" s="90" t="n">
        <x:f>IF(OR(Q48="",Q47=""),"",Q48-Q47)</x:f>
        <x:v>0.005862444009149925</x:v>
      </x:c>
      <x:c r="S48" s="55" t="n">
        <x:f>'Datos_fuente'!R48</x:f>
        <x:v>6.254652406</x:v>
      </x:c>
      <x:c r="T48" s="55" t="n">
        <x:f>IF(OR(S48="",S47=""),"",S48-S47)</x:f>
        <x:v>0.4150208270000002</x:v>
      </x:c>
      <x:c r="U48" s="90" t="n">
        <x:f>IF('Datos_fuente'!S48="","",ASINH('Datos_fuente'!S48/1000))</x:f>
        <x:v>-0.4908150922373167</x:v>
      </x:c>
      <x:c r="V48" s="90" t="n">
        <x:f>IF(OR(U48="",U47=""),"",U48-U47)</x:f>
        <x:v>-0.010390501602125402</x:v>
      </x:c>
      <x:c r="W48" s="90" t="n">
        <x:f>IF('Datos_fuente'!T48="","",ASINH('Datos_fuente'!T48/1000))</x:f>
        <x:v>0.6359155219688769</x:v>
      </x:c>
      <x:c r="X48" s="90" t="n">
        <x:f>IF(OR(W48="",W47=""),"",W48-W47)</x:f>
        <x:v>0.050288578058586</x:v>
      </x:c>
      <x:c r="Y48" s="55" t="n">
        <x:f>'Datos_fuente'!W48</x:f>
        <x:v>5.238794085</x:v>
      </x:c>
      <x:c r="Z48" s="55" t="n">
        <x:f>IF(OR(Y48="",Y47=""),"",Y48-Y47)</x:f>
        <x:v>-0.81223373</x:v>
      </x:c>
      <x:c r="AA48" s="90" t="n">
        <x:f>'Datos_fuente'!AA48</x:f>
        <x:v>-0.800337655</x:v>
      </x:c>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t="str">
        <x:f>'Datos_fuente'!A49</x:f>
        <x:v>2009-07</x:v>
      </x:c>
      <x:c r="B49" s="90" t="n">
        <x:f>IF('Datos_fuente'!B49="","",LN('Datos_fuente'!B49))</x:f>
        <x:v>7.625224114067725</x:v>
      </x:c>
      <x:c r="C49" s="90" t="n">
        <x:f>IF(OR(B49="",B48=""),"",B49-B48)</x:f>
        <x:v>-0.01943698367259028</x:v>
      </x:c>
      <x:c r="D49" s="90" t="n">
        <x:f>IF('Datos_fuente'!C49="","",LN('Datos_fuente'!C49))</x:f>
        <x:v>4.165664018111375</x:v>
      </x:c>
      <x:c r="E49" s="90" t="n">
        <x:f>IF(OR(D49="",D48=""),"",D49-D48)</x:f>
        <x:v>-0.0627676534419459</x:v>
      </x:c>
      <x:c r="F49" s="90" t="n">
        <x:f>IF('Datos_fuente'!E49="","",LN('Datos_fuente'!E49))</x:f>
        <x:v>8.390683942868483</x:v>
      </x:c>
      <x:c r="G49" s="90" t="n">
        <x:f>IF(OR(F49="",F48=""),"",F49-F48)</x:f>
        <x:v>-0.03377534728614506</x:v>
      </x:c>
      <x:c r="H49" s="55" t="n">
        <x:f>'Datos_fuente'!H49</x:f>
        <x:v>4.34</x:v>
      </x:c>
      <x:c r="I49" s="55" t="n">
        <x:f>IF(OR(H49="",H48=""),"",H49-H48)</x:f>
        <x:v>-0.3166666669999998</x:v>
      </x:c>
      <x:c r="J49" s="55" t="n">
        <x:f>'Datos_fuente'!J49</x:f>
        <x:v>3.328051074</x:v>
      </x:c>
      <x:c r="K49" s="55" t="n">
        <x:f>IF(OR(J49="",J48=""),"",J49-J48)</x:f>
        <x:v>0.34284625600000007</x:v>
      </x:c>
      <x:c r="L49" s="90" t="n">
        <x:f>IF('Datos_fuente'!K49="","",LN('Datos_fuente'!K49))</x:f>
        <x:v>4.560806082788699</x:v>
      </x:c>
      <x:c r="M49" s="90" t="n">
        <x:f>IF(OR(L49="",L48=""),"",L49-L48)</x:f>
        <x:v>-0.003985949542207656</x:v>
      </x:c>
      <x:c r="N49" s="90" t="n">
        <x:f>IF('Datos_fuente'!L49="","",LN('Datos_fuente'!L49))</x:f>
        <x:v>3.2643357745953527</x:v>
      </x:c>
      <x:c r="O49" s="90" t="n">
        <x:f>IF(OR(N49="",N48=""),"",N49-N48)</x:f>
        <x:v>-0.10779162488326444</x:v>
      </x:c>
      <x:c r="P49" s="88" t="n">
        <x:f>'Datos_fuente'!N49</x:f>
        <x:v>0</x:v>
      </x:c>
      <x:c r="Q49" s="90" t="n">
        <x:f>IF('Datos_fuente'!O49="","",LN('Datos_fuente'!O49))</x:f>
        <x:v>10.090897806587062</x:v>
      </x:c>
      <x:c r="R49" s="90" t="n">
        <x:f>IF(OR(Q49="",Q48=""),"",Q49-Q48)</x:f>
        <x:v>0.0166823108933567</x:v>
      </x:c>
      <x:c r="S49" s="55" t="n">
        <x:f>'Datos_fuente'!R49</x:f>
        <x:v>6.084545455</x:v>
      </x:c>
      <x:c r="T49" s="55" t="n">
        <x:f>IF(OR(S49="",S48=""),"",S49-S48)</x:f>
        <x:v>-0.17010695100000017</x:v>
      </x:c>
      <x:c r="U49" s="90" t="n">
        <x:f>IF('Datos_fuente'!S49="","",ASINH('Datos_fuente'!S49/1000))</x:f>
        <x:v>-0.7110975492461447</x:v>
      </x:c>
      <x:c r="V49" s="90" t="n">
        <x:f>IF(OR(U49="",U48=""),"",U49-U48)</x:f>
        <x:v>-0.22028245700882798</x:v>
      </x:c>
      <x:c r="W49" s="90" t="n">
        <x:f>IF('Datos_fuente'!T49="","",ASINH('Datos_fuente'!T49/1000))</x:f>
        <x:v>0.9514362205424187</x:v>
      </x:c>
      <x:c r="X49" s="90" t="n">
        <x:f>IF(OR(W49="",W48=""),"",W49-W48)</x:f>
        <x:v>0.3155206985735418</x:v>
      </x:c>
      <x:c r="Y49" s="55" t="n">
        <x:f>'Datos_fuente'!W49</x:f>
        <x:v>5.369678006</x:v>
      </x:c>
      <x:c r="Z49" s="55" t="n">
        <x:f>IF(OR(Y49="",Y48=""),"",Y49-Y48)</x:f>
        <x:v>0.13088392099999968</x:v>
      </x:c>
      <x:c r="AA49" s="90" t="n">
        <x:f>'Datos_fuente'!AA49</x:f>
        <x:v>-0.4213658576</x:v>
      </x:c>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t="str">
        <x:f>'Datos_fuente'!A50</x:f>
        <x:v>2009-08</x:v>
      </x:c>
      <x:c r="B50" s="90" t="n">
        <x:f>IF('Datos_fuente'!B50="","",LN('Datos_fuente'!B50))</x:f>
        <x:v>7.609672918877946</x:v>
      </x:c>
      <x:c r="C50" s="90" t="n">
        <x:f>IF(OR(B50="",B49=""),"",B50-B49)</x:f>
        <x:v>-0.015551195189779321</x:v>
      </x:c>
      <x:c r="D50" s="90" t="n">
        <x:f>IF('Datos_fuente'!C50="","",LN('Datos_fuente'!C50))</x:f>
        <x:v>4.283704781493102</x:v>
      </x:c>
      <x:c r="E50" s="90" t="n">
        <x:f>IF(OR(D50="",D49=""),"",D50-D49)</x:f>
        <x:v>0.11804076338172731</x:v>
      </x:c>
      <x:c r="F50" s="90" t="n">
        <x:f>IF('Datos_fuente'!E50="","",LN('Datos_fuente'!E50))</x:f>
        <x:v>8.375705661070153</x:v>
      </x:c>
      <x:c r="G50" s="90" t="n">
        <x:f>IF(OR(F50="",F49=""),"",F50-F49)</x:f>
        <x:v>-0.014978281798329718</x:v>
      </x:c>
      <x:c r="H50" s="55" t="n">
        <x:f>'Datos_fuente'!H50</x:f>
        <x:v>4.34</x:v>
      </x:c>
      <x:c r="I50" s="55" t="n">
        <x:f>IF(OR(H50="",H49=""),"",H50-H49)</x:f>
        <x:v>0</x:v>
      </x:c>
      <x:c r="J50" s="55" t="n">
        <x:f>'Datos_fuente'!J50</x:f>
        <x:v>2.958181152</x:v>
      </x:c>
      <x:c r="K50" s="55" t="n">
        <x:f>IF(OR(J50="",J49=""),"",J50-J49)</x:f>
        <x:v>-0.36986992200000035</x:v>
      </x:c>
      <x:c r="L50" s="90" t="n">
        <x:f>IF('Datos_fuente'!K50="","",LN('Datos_fuente'!K50))</x:f>
        <x:v>4.5472554694468705</x:v>
      </x:c>
      <x:c r="M50" s="90" t="n">
        <x:f>IF(OR(L50="",L49=""),"",L50-L49)</x:f>
        <x:v>-0.013550613341828388</x:v>
      </x:c>
      <x:c r="N50" s="90" t="n">
        <x:f>IF('Datos_fuente'!L50="","",LN('Datos_fuente'!L50))</x:f>
        <x:v>3.2322714163655077</x:v>
      </x:c>
      <x:c r="O50" s="90" t="n">
        <x:f>IF(OR(N50="",N49=""),"",N50-N49)</x:f>
        <x:v>-0.03206435822984499</x:v>
      </x:c>
      <x:c r="P50" s="88" t="n">
        <x:f>'Datos_fuente'!N50</x:f>
        <x:v>0</x:v>
      </x:c>
      <x:c r="Q50" s="90" t="n">
        <x:f>IF('Datos_fuente'!O50="","",LN('Datos_fuente'!O50))</x:f>
        <x:v>10.13614331894283</x:v>
      </x:c>
      <x:c r="R50" s="90" t="n">
        <x:f>IF(OR(Q50="",Q49=""),"",Q50-Q49)</x:f>
        <x:v>0.045245512355768014</x:v>
      </x:c>
      <x:c r="S50" s="55" t="n">
        <x:f>'Datos_fuente'!R50</x:f>
        <x:v>6.253383459</x:v>
      </x:c>
      <x:c r="T50" s="55" t="n">
        <x:f>IF(OR(S50="",S49=""),"",S50-S49)</x:f>
        <x:v>0.16883800400000037</x:v>
      </x:c>
      <x:c r="U50" s="90" t="n">
        <x:f>IF('Datos_fuente'!S50="","",ASINH('Datos_fuente'!S50/1000))</x:f>
        <x:v>-0.541766008417942</x:v>
      </x:c>
      <x:c r="V50" s="90" t="n">
        <x:f>IF(OR(U50="",U49=""),"",U50-U49)</x:f>
        <x:v>0.16933154082820268</x:v>
      </x:c>
      <x:c r="W50" s="90" t="n">
        <x:f>IF('Datos_fuente'!T50="","",ASINH('Datos_fuente'!T50/1000))</x:f>
        <x:v>1.150300369107299</x:v>
      </x:c>
      <x:c r="X50" s="90" t="n">
        <x:f>IF(OR(W50="",W49=""),"",W50-W49)</x:f>
        <x:v>0.19886414856488033</x:v>
      </x:c>
      <x:c r="Y50" s="55" t="n">
        <x:f>'Datos_fuente'!W50</x:f>
        <x:v>4.606187028</x:v>
      </x:c>
      <x:c r="Z50" s="55" t="n">
        <x:f>IF(OR(Y50="",Y49=""),"",Y50-Y49)</x:f>
        <x:v>-0.7634909780000001</x:v>
      </x:c>
      <x:c r="AA50" s="90" t="n">
        <x:f>'Datos_fuente'!AA50</x:f>
        <x:v>-0.6902847953</x:v>
      </x:c>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t="str">
        <x:f>'Datos_fuente'!A51</x:f>
        <x:v>2009-09</x:v>
      </x:c>
      <x:c r="B51" s="90" t="n">
        <x:f>IF('Datos_fuente'!B51="","",LN('Datos_fuente'!B51))</x:f>
        <x:v>7.589858195562194</x:v>
      </x:c>
      <x:c r="C51" s="90" t="n">
        <x:f>IF(OR(B51="",B50=""),"",B51-B50)</x:f>
        <x:v>-0.019814723315751515</x:v>
      </x:c>
      <x:c r="D51" s="90" t="n">
        <x:f>IF('Datos_fuente'!C51="","",LN('Datos_fuente'!C51))</x:f>
        <x:v>4.214291040836084</x:v>
      </x:c>
      <x:c r="E51" s="90" t="n">
        <x:f>IF(OR(D51="",D50=""),"",D51-D50)</x:f>
        <x:v>-0.06941374065701833</x:v>
      </x:c>
      <x:c r="F51" s="90" t="n">
        <x:f>IF('Datos_fuente'!E51="","",LN('Datos_fuente'!E51))</x:f>
        <x:v>8.337465866690502</x:v>
      </x:c>
      <x:c r="G51" s="90" t="n">
        <x:f>IF(OR(F51="",F50=""),"",F51-F50)</x:f>
        <x:v>-0.03823979437965086</x:v>
      </x:c>
      <x:c r="H51" s="55" t="n">
        <x:f>'Datos_fuente'!H51</x:f>
        <x:v>4.3</x:v>
      </x:c>
      <x:c r="I51" s="55" t="n">
        <x:f>IF(OR(H51="",H50=""),"",H51-H50)</x:f>
        <x:v>-0.040000000000000036</x:v>
      </x:c>
      <x:c r="J51" s="55" t="n">
        <x:f>'Datos_fuente'!J51</x:f>
        <x:v>3.078867119</x:v>
      </x:c>
      <x:c r="K51" s="55" t="n">
        <x:f>IF(OR(J51="",J50=""),"",J51-J50)</x:f>
        <x:v>0.120685967</x:v>
      </x:c>
      <x:c r="L51" s="90" t="n">
        <x:f>IF('Datos_fuente'!K51="","",LN('Datos_fuente'!K51))</x:f>
        <x:v>4.539711775215087</x:v>
      </x:c>
      <x:c r="M51" s="90" t="n">
        <x:f>IF(OR(L51="",L50=""),"",L51-L50)</x:f>
        <x:v>-0.007543694231783249</x:v>
      </x:c>
      <x:c r="N51" s="90" t="n">
        <x:f>IF('Datos_fuente'!L51="","",LN('Datos_fuente'!L51))</x:f>
        <x:v>3.2159381810145837</x:v>
      </x:c>
      <x:c r="O51" s="90" t="n">
        <x:f>IF(OR(N51="",N50=""),"",N51-N50)</x:f>
        <x:v>-0.016333235350924014</x:v>
      </x:c>
      <x:c r="P51" s="88" t="n">
        <x:f>'Datos_fuente'!N51</x:f>
        <x:v>0</x:v>
      </x:c>
      <x:c r="Q51" s="90" t="n">
        <x:f>IF('Datos_fuente'!O51="","",LN('Datos_fuente'!O51))</x:f>
        <x:v>10.131523118410763</x:v>
      </x:c>
      <x:c r="R51" s="90" t="n">
        <x:f>IF(OR(Q51="",Q50=""),"",Q51-Q50)</x:f>
        <x:v>-0.004620200532066576</x:v>
      </x:c>
      <x:c r="S51" s="55" t="n">
        <x:f>'Datos_fuente'!R51</x:f>
        <x:v>6.501904762</x:v>
      </x:c>
      <x:c r="T51" s="55" t="n">
        <x:f>IF(OR(S51="",S50=""),"",S51-S50)</x:f>
        <x:v>0.24852130299999953</x:v>
      </x:c>
      <x:c r="U51" s="90" t="n">
        <x:f>IF('Datos_fuente'!S51="","",ASINH('Datos_fuente'!S51/1000))</x:f>
        <x:v>-0.7343228420665582</x:v>
      </x:c>
      <x:c r="V51" s="90" t="n">
        <x:f>IF(OR(U51="",U50=""),"",U51-U50)</x:f>
        <x:v>-0.1925568336486162</x:v>
      </x:c>
      <x:c r="W51" s="90" t="n">
        <x:f>IF('Datos_fuente'!T51="","",ASINH('Datos_fuente'!T51/1000))</x:f>
        <x:v>0.6765048567996715</x:v>
      </x:c>
      <x:c r="X51" s="90" t="n">
        <x:f>IF(OR(W51="",W50=""),"",W51-W50)</x:f>
        <x:v>-0.4737955123076275</x:v>
      </x:c>
      <x:c r="Y51" s="55" t="n">
        <x:f>'Datos_fuente'!W51</x:f>
        <x:v>4.50080197</x:v>
      </x:c>
      <x:c r="Z51" s="55" t="n">
        <x:f>IF(OR(Y51="",Y50=""),"",Y51-Y50)</x:f>
        <x:v>-0.10538505799999953</x:v>
      </x:c>
      <x:c r="AA51" s="90" t="n">
        <x:f>'Datos_fuente'!AA51</x:f>
        <x:v>0.1660605909</x:v>
      </x:c>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t="str">
        <x:f>'Datos_fuente'!A52</x:f>
        <x:v>2009-10</x:v>
      </x:c>
      <x:c r="B52" s="90" t="n">
        <x:f>IF('Datos_fuente'!B52="","",LN('Datos_fuente'!B52))</x:f>
        <x:v>7.550345905799745</x:v>
      </x:c>
      <x:c r="C52" s="90" t="n">
        <x:f>IF(OR(B52="",B51=""),"",B52-B51)</x:f>
        <x:v>-0.039512289762449804</x:v>
      </x:c>
      <x:c r="D52" s="90" t="n">
        <x:f>IF('Datos_fuente'!C52="","",LN('Datos_fuente'!C52))</x:f>
        <x:v>4.287297535946742</x:v>
      </x:c>
      <x:c r="E52" s="90" t="n">
        <x:f>IF(OR(D52="",D51=""),"",D52-D51)</x:f>
        <x:v>0.07300649511065771</x:v>
      </x:c>
      <x:c r="F52" s="90" t="n">
        <x:f>IF('Datos_fuente'!E52="","",LN('Datos_fuente'!E52))</x:f>
        <x:v>8.316603381571646</x:v>
      </x:c>
      <x:c r="G52" s="90" t="n">
        <x:f>IF(OR(F52="",F51=""),"",F52-F51)</x:f>
        <x:v>-0.020862485118856355</x:v>
      </x:c>
      <x:c r="H52" s="55" t="n">
        <x:f>'Datos_fuente'!H52</x:f>
        <x:v>3.88</x:v>
      </x:c>
      <x:c r="I52" s="55" t="n">
        <x:f>IF(OR(H52="",H51=""),"",H52-H51)</x:f>
        <x:v>-0.41999999999999993</x:v>
      </x:c>
      <x:c r="J52" s="55" t="n">
        <x:f>'Datos_fuente'!J52</x:f>
        <x:v>3.601588988</x:v>
      </x:c>
      <x:c r="K52" s="55" t="n">
        <x:f>IF(OR(J52="",J51=""),"",J52-J51)</x:f>
        <x:v>0.5227218690000002</x:v>
      </x:c>
      <x:c r="L52" s="90" t="n">
        <x:f>IF('Datos_fuente'!K52="","",LN('Datos_fuente'!K52))</x:f>
        <x:v>4.52460809737629</x:v>
      </x:c>
      <x:c r="M52" s="90" t="n">
        <x:f>IF(OR(L52="",L51=""),"",L52-L51)</x:f>
        <x:v>-0.015103677838797402</x:v>
      </x:c>
      <x:c r="N52" s="90" t="n">
        <x:f>IF('Datos_fuente'!L52="","",LN('Datos_fuente'!L52))</x:f>
        <x:v>3.1885103338167124</x:v>
      </x:c>
      <x:c r="O52" s="90" t="n">
        <x:f>IF(OR(N52="",N51=""),"",N52-N51)</x:f>
        <x:v>-0.02742784719787128</x:v>
      </x:c>
      <x:c r="P52" s="88" t="n">
        <x:f>'Datos_fuente'!N52</x:f>
        <x:v>0</x:v>
      </x:c>
      <x:c r="Q52" s="90" t="n">
        <x:f>IF('Datos_fuente'!O52="","",LN('Datos_fuente'!O52))</x:f>
        <x:v>10.134034431466603</x:v>
      </x:c>
      <x:c r="R52" s="90" t="n">
        <x:f>IF(OR(Q52="",Q51=""),"",Q52-Q51)</x:f>
        <x:v>0.0025113130558391816</x:v>
      </x:c>
      <x:c r="S52" s="55" t="n">
        <x:f>'Datos_fuente'!R52</x:f>
        <x:v>5.837142857</x:v>
      </x:c>
      <x:c r="T52" s="55" t="n">
        <x:f>IF(OR(S52="",S51=""),"",S52-S51)</x:f>
        <x:v>-0.6647619049999998</x:v>
      </x:c>
      <x:c r="U52" s="90" t="n">
        <x:f>IF('Datos_fuente'!S52="","",ASINH('Datos_fuente'!S52/1000))</x:f>
        <x:v>-0.6218166229904061</x:v>
      </x:c>
      <x:c r="V52" s="90" t="n">
        <x:f>IF(OR(U52="",U51=""),"",U52-U51)</x:f>
        <x:v>0.1125062190761521</x:v>
      </x:c>
      <x:c r="W52" s="90" t="n">
        <x:f>IF('Datos_fuente'!T52="","",ASINH('Datos_fuente'!T52/1000))</x:f>
        <x:v>0.7333552731179949</x:v>
      </x:c>
      <x:c r="X52" s="90" t="n">
        <x:f>IF(OR(W52="",W51=""),"",W52-W51)</x:f>
        <x:v>0.05685041631832333</x:v>
      </x:c>
      <x:c r="Y52" s="55" t="n">
        <x:f>'Datos_fuente'!W52</x:f>
        <x:v>2.910121005</x:v>
      </x:c>
      <x:c r="Z52" s="55" t="n">
        <x:f>IF(OR(Y52="",Y51=""),"",Y52-Y51)</x:f>
        <x:v>-1.5906809650000002</x:v>
      </x:c>
      <x:c r="AA52" s="90" t="n">
        <x:f>'Datos_fuente'!AA52</x:f>
        <x:v>-0.7617096426</x:v>
      </x:c>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t="str">
        <x:f>'Datos_fuente'!A53</x:f>
        <x:v>2009-11</x:v>
      </x:c>
      <x:c r="B53" s="90" t="n">
        <x:f>IF('Datos_fuente'!B53="","",LN('Datos_fuente'!B53))</x:f>
        <x:v>7.589274785900698</x:v>
      </x:c>
      <x:c r="C53" s="90" t="n">
        <x:f>IF(OR(B53="",B52=""),"",B53-B52)</x:f>
        <x:v>0.0389288801009533</x:v>
      </x:c>
      <x:c r="D53" s="90" t="n">
        <x:f>IF('Datos_fuente'!C53="","",LN('Datos_fuente'!C53))</x:f>
        <x:v>4.3394061488372415</x:v>
      </x:c>
      <x:c r="E53" s="90" t="n">
        <x:f>IF(OR(D53="",D52=""),"",D53-D52)</x:f>
        <x:v>0.05210861289049973</x:v>
      </x:c>
      <x:c r="F53" s="90" t="n">
        <x:f>IF('Datos_fuente'!E53="","",LN('Datos_fuente'!E53))</x:f>
        <x:v>8.322318776130032</x:v>
      </x:c>
      <x:c r="G53" s="90" t="n">
        <x:f>IF(OR(F53="",F52=""),"",F53-F52)</x:f>
        <x:v>0.005715394558386322</x:v>
      </x:c>
      <x:c r="H53" s="55" t="n">
        <x:f>'Datos_fuente'!H53</x:f>
        <x:v>3.763333333</x:v>
      </x:c>
      <x:c r="I53" s="55" t="n">
        <x:f>IF(OR(H53="",H52=""),"",H53-H52)</x:f>
        <x:v>-0.11666666700000006</x:v>
      </x:c>
      <x:c r="J53" s="55" t="n">
        <x:f>'Datos_fuente'!J53</x:f>
        <x:v>3.348767122</x:v>
      </x:c>
      <x:c r="K53" s="55" t="n">
        <x:f>IF(OR(J53="",J52=""),"",J53-J52)</x:f>
        <x:v>-0.2528218660000001</x:v>
      </x:c>
      <x:c r="L53" s="90" t="n">
        <x:f>IF('Datos_fuente'!K53="","",LN('Datos_fuente'!K53))</x:f>
        <x:v>4.519608055024852</x:v>
      </x:c>
      <x:c r="M53" s="90" t="n">
        <x:f>IF(OR(L53="",L52=""),"",L53-L52)</x:f>
        <x:v>-0.005000042351437806</x:v>
      </x:c>
      <x:c r="N53" s="90" t="n">
        <x:f>IF('Datos_fuente'!L53="","",LN('Datos_fuente'!L53))</x:f>
        <x:v>3.1692232889631295</x:v>
      </x:c>
      <x:c r="O53" s="90" t="n">
        <x:f>IF(OR(N53="",N52=""),"",N53-N52)</x:f>
        <x:v>-0.019287044853582902</x:v>
      </x:c>
      <x:c r="P53" s="88" t="n">
        <x:f>'Datos_fuente'!N53</x:f>
        <x:v>0</x:v>
      </x:c>
      <x:c r="Q53" s="90" t="n">
        <x:f>IF('Datos_fuente'!O53="","",LN('Datos_fuente'!O53))</x:f>
        <x:v>10.144099243643875</x:v>
      </x:c>
      <x:c r="R53" s="90" t="n">
        <x:f>IF(OR(Q53="",Q52=""),"",Q53-Q52)</x:f>
        <x:v>0.010064812177272842</x:v>
      </x:c>
      <x:c r="S53" s="55" t="n">
        <x:f>'Datos_fuente'!R53</x:f>
        <x:v>5.095789474</x:v>
      </x:c>
      <x:c r="T53" s="55" t="n">
        <x:f>IF(OR(S53="",S52=""),"",S53-S52)</x:f>
        <x:v>-0.7413533829999999</x:v>
      </x:c>
      <x:c r="U53" s="90" t="n">
        <x:f>IF('Datos_fuente'!S53="","",ASINH('Datos_fuente'!S53/1000))</x:f>
        <x:v>-0.5824622203074259</x:v>
      </x:c>
      <x:c r="V53" s="90" t="n">
        <x:f>IF(OR(U53="",U52=""),"",U53-U52)</x:f>
        <x:v>0.03935440268298018</x:v>
      </x:c>
      <x:c r="W53" s="90" t="n">
        <x:f>IF('Datos_fuente'!T53="","",ASINH('Datos_fuente'!T53/1000))</x:f>
        <x:v>0.6208577467389507</x:v>
      </x:c>
      <x:c r="X53" s="90" t="n">
        <x:f>IF(OR(W53="",W52=""),"",W53-W52)</x:f>
        <x:v>-0.1124975263790442</x:v>
      </x:c>
      <x:c r="Y53" s="55" t="n">
        <x:f>'Datos_fuente'!W53</x:f>
        <x:v>0.5361464967</x:v>
      </x:c>
      <x:c r="Z53" s="55" t="n">
        <x:f>IF(OR(Y53="",Y52=""),"",Y53-Y52)</x:f>
        <x:v>-2.3739745083</x:v>
      </x:c>
      <x:c r="AA53" s="90" t="n">
        <x:f>'Datos_fuente'!AA53</x:f>
        <x:v>-1.203479883</x:v>
      </x:c>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t="str">
        <x:f>'Datos_fuente'!A54</x:f>
        <x:v>2009-12</x:v>
      </x:c>
      <x:c r="B54" s="90" t="n">
        <x:f>IF('Datos_fuente'!B54="","",LN('Datos_fuente'!B54))</x:f>
        <x:v>7.609868435284606</x:v>
      </x:c>
      <x:c r="C54" s="90" t="n">
        <x:f>IF(OR(B54="",B53=""),"",B54-B53)</x:f>
        <x:v>0.020593649383908286</x:v>
      </x:c>
      <x:c r="D54" s="90" t="n">
        <x:f>IF('Datos_fuente'!C54="","",LN('Datos_fuente'!C54))</x:f>
        <x:v>4.310213230829794</x:v>
      </x:c>
      <x:c r="E54" s="90" t="n">
        <x:f>IF(OR(D54="",D53=""),"",D54-D53)</x:f>
        <x:v>-0.029192918007447943</x:v>
      </x:c>
      <x:c r="F54" s="90" t="n">
        <x:f>IF('Datos_fuente'!E54="","",LN('Datos_fuente'!E54))</x:f>
        <x:v>8.316368706351295</x:v>
      </x:c>
      <x:c r="G54" s="90" t="n">
        <x:f>IF(OR(F54="",F53=""),"",F54-F53)</x:f>
        <x:v>-0.005950069778737799</x:v>
      </x:c>
      <x:c r="H54" s="55" t="n">
        <x:f>'Datos_fuente'!H54</x:f>
        <x:v>3.38</x:v>
      </x:c>
      <x:c r="I54" s="55" t="n">
        <x:f>IF(OR(H54="",H53=""),"",H54-H53)</x:f>
        <x:v>-0.38333333299999994</x:v>
      </x:c>
      <x:c r="J54" s="55" t="n">
        <x:f>'Datos_fuente'!J54</x:f>
        <x:v>4.13000348</x:v>
      </x:c>
      <x:c r="K54" s="55" t="n">
        <x:f>IF(OR(J54="",J53=""),"",J54-J53)</x:f>
        <x:v>0.7812363580000001</x:v>
      </x:c>
      <x:c r="L54" s="90" t="n">
        <x:f>IF('Datos_fuente'!K54="","",LN('Datos_fuente'!K54))</x:f>
        <x:v>4.524595709992506</x:v>
      </x:c>
      <x:c r="M54" s="90" t="n">
        <x:f>IF(OR(L54="",L53=""),"",L54-L53)</x:f>
        <x:v>0.004987654967654187</x:v>
      </x:c>
      <x:c r="N54" s="90" t="n">
        <x:f>IF('Datos_fuente'!L54="","",LN('Datos_fuente'!L54))</x:f>
        <x:v>3.055864795485607</x:v>
      </x:c>
      <x:c r="O54" s="90" t="n">
        <x:f>IF(OR(N54="",N53=""),"",N54-N53)</x:f>
        <x:v>-0.11335849347752269</x:v>
      </x:c>
      <x:c r="P54" s="88" t="n">
        <x:f>'Datos_fuente'!N54</x:f>
        <x:v>0</x:v>
      </x:c>
      <x:c r="Q54" s="90" t="n">
        <x:f>IF('Datos_fuente'!O54="","",LN('Datos_fuente'!O54))</x:f>
        <x:v>10.140760413368206</x:v>
      </x:c>
      <x:c r="R54" s="90" t="n">
        <x:f>IF(OR(Q54="",Q53=""),"",Q54-Q53)</x:f>
        <x:v>-0.003338830275669835</x:v>
      </x:c>
      <x:c r="S54" s="55" t="n">
        <x:f>'Datos_fuente'!R54</x:f>
        <x:v>5.035</x:v>
      </x:c>
      <x:c r="T54" s="55" t="n">
        <x:f>IF(OR(S54="",S53=""),"",S54-S53)</x:f>
        <x:v>-0.0607894739999999</x:v>
      </x:c>
      <x:c r="U54" s="90" t="n">
        <x:f>IF('Datos_fuente'!S54="","",ASINH('Datos_fuente'!S54/1000))</x:f>
        <x:v>-0.652543676964449</x:v>
      </x:c>
      <x:c r="V54" s="90" t="n">
        <x:f>IF(OR(U54="",U53=""),"",U54-U53)</x:f>
        <x:v>-0.07008145665702314</x:v>
      </x:c>
      <x:c r="W54" s="90" t="n">
        <x:f>IF('Datos_fuente'!T54="","",ASINH('Datos_fuente'!T54/1000))</x:f>
        <x:v>0.4015791369670748</x:v>
      </x:c>
      <x:c r="X54" s="90" t="n">
        <x:f>IF(OR(W54="",W53=""),"",W54-W53)</x:f>
        <x:v>-0.21927860977187585</x:v>
      </x:c>
      <x:c r="Y54" s="55" t="n">
        <x:f>'Datos_fuente'!W54</x:f>
        <x:v>-0.7156004672</x:v>
      </x:c>
      <x:c r="Z54" s="55" t="n">
        <x:f>IF(OR(Y54="",Y53=""),"",Y54-Y53)</x:f>
        <x:v>-1.2517469639</x:v>
      </x:c>
      <x:c r="AA54" s="90" t="n">
        <x:f>'Datos_fuente'!AA54</x:f>
        <x:v>-0.2853463917</x:v>
      </x:c>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t="str">
        <x:f>'Datos_fuente'!A55</x:f>
        <x:v>2010-01</x:v>
      </x:c>
      <x:c r="B55" s="90" t="n">
        <x:f>IF('Datos_fuente'!B55="","",LN('Datos_fuente'!B55))</x:f>
        <x:v>7.592581321702962</x:v>
      </x:c>
      <x:c r="C55" s="90" t="n">
        <x:f>IF(OR(B55="",B54=""),"",B55-B54)</x:f>
        <x:v>-0.017287113581644142</x:v>
      </x:c>
      <x:c r="D55" s="90" t="n">
        <x:f>IF('Datos_fuente'!C55="","",LN('Datos_fuente'!C55))</x:f>
        <x:v>4.3329331350153915</x:v>
      </x:c>
      <x:c r="E55" s="90" t="n">
        <x:f>IF(OR(D55="",D54=""),"",D55-D54)</x:f>
        <x:v>0.022719904185597883</x:v>
      </x:c>
      <x:c r="F55" s="90" t="n">
        <x:f>IF('Datos_fuente'!E55="","",LN('Datos_fuente'!E55))</x:f>
        <x:v>8.30309609723786</x:v>
      </x:c>
      <x:c r="G55" s="90" t="n">
        <x:f>IF(OR(F55="",F54=""),"",F55-F54)</x:f>
        <x:v>-0.013272609113434086</x:v>
      </x:c>
      <x:c r="H55" s="55" t="n">
        <x:f>'Datos_fuente'!H55</x:f>
        <x:v>3.39</x:v>
      </x:c>
      <x:c r="I55" s="55" t="n">
        <x:f>IF(OR(H55="",H54=""),"",H55-H54)</x:f>
        <x:v>0.010000000000000231</x:v>
      </x:c>
      <x:c r="J55" s="55" t="n">
        <x:f>'Datos_fuente'!J55</x:f>
        <x:v>3.616995811</x:v>
      </x:c>
      <x:c r="K55" s="55" t="n">
        <x:f>IF(OR(J55="",J54=""),"",J55-J54)</x:f>
        <x:v>-0.5130076690000003</x:v>
      </x:c>
      <x:c r="L55" s="90" t="n">
        <x:f>IF('Datos_fuente'!K55="","",LN('Datos_fuente'!K55))</x:f>
        <x:v>4.526563030749248</x:v>
      </x:c>
      <x:c r="M55" s="90" t="n">
        <x:f>IF(OR(L55="",L54=""),"",L55-L54)</x:f>
        <x:v>0.001967320756741664</x:v>
      </x:c>
      <x:c r="N55" s="90" t="n">
        <x:f>IF('Datos_fuente'!L55="","",LN('Datos_fuente'!L55))</x:f>
        <x:v>3.02738392745679</x:v>
      </x:c>
      <x:c r="O55" s="90" t="n">
        <x:f>IF(OR(N55="",N54=""),"",N55-N54)</x:f>
        <x:v>-0.028480868028816886</x:v>
      </x:c>
      <x:c r="P55" s="88" t="n">
        <x:f>'Datos_fuente'!N55</x:f>
        <x:v>0</x:v>
      </x:c>
      <x:c r="Q55" s="90" t="n">
        <x:f>IF('Datos_fuente'!O55="","",LN('Datos_fuente'!O55))</x:f>
        <x:v>10.136945328882026</x:v>
      </x:c>
      <x:c r="R55" s="90" t="n">
        <x:f>IF(OR(Q55="",Q54=""),"",Q55-Q54)</x:f>
        <x:v>-0.0038150844861792876</x:v>
      </x:c>
      <x:c r="S55" s="55" t="n">
        <x:f>'Datos_fuente'!R55</x:f>
        <x:v>5.329473684</x:v>
      </x:c>
      <x:c r="T55" s="55" t="n">
        <x:f>IF(OR(S55="",S54=""),"",S55-S54)</x:f>
        <x:v>0.29447368399999974</x:v>
      </x:c>
      <x:c r="U55" s="90" t="n">
        <x:f>IF('Datos_fuente'!S55="","",ASINH('Datos_fuente'!S55/1000))</x:f>
        <x:v>-0.7581378380562491</x:v>
      </x:c>
      <x:c r="V55" s="90" t="n">
        <x:f>IF(OR(U55="",U54=""),"",U55-U54)</x:f>
        <x:v>-0.10559416109180009</x:v>
      </x:c>
      <x:c r="W55" s="90" t="n">
        <x:f>IF('Datos_fuente'!T55="","",ASINH('Datos_fuente'!T55/1000))</x:f>
        <x:v>0.6668223095258431</x:v>
      </x:c>
      <x:c r="X55" s="90" t="n">
        <x:f>IF(OR(W55="",W54=""),"",W55-W54)</x:f>
        <x:v>0.2652431725587683</x:v>
      </x:c>
      <x:c r="Y55" s="55" t="n">
        <x:f>'Datos_fuente'!W55</x:f>
        <x:v>-0.5177468142</x:v>
      </x:c>
      <x:c r="Z55" s="55" t="n">
        <x:f>IF(OR(Y55="",Y54=""),"",Y55-Y54)</x:f>
        <x:v>0.19785365300000002</x:v>
      </x:c>
      <x:c r="AA55" s="90" t="n">
        <x:f>'Datos_fuente'!AA55</x:f>
        <x:v>-0.003769763674</x:v>
      </x:c>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t="str">
        <x:f>'Datos_fuente'!A56</x:f>
        <x:v>2010-02</x:v>
      </x:c>
      <x:c r="B56" s="90" t="n">
        <x:f>IF('Datos_fuente'!B56="","",LN('Datos_fuente'!B56))</x:f>
        <x:v>7.576468327155324</x:v>
      </x:c>
      <x:c r="C56" s="90" t="n">
        <x:f>IF(OR(B56="",B55=""),"",B56-B55)</x:f>
        <x:v>-0.016112994547637705</x:v>
      </x:c>
      <x:c r="D56" s="90" t="n">
        <x:f>IF('Datos_fuente'!C56="","",LN('Datos_fuente'!C56))</x:f>
        <x:v>4.300709540710808</x:v>
      </x:c>
      <x:c r="E56" s="90" t="n">
        <x:f>IF(OR(D56="",D55=""),"",D56-D55)</x:f>
        <x:v>-0.032223594304583436</x:v>
      </x:c>
      <x:c r="F56" s="90" t="n">
        <x:f>IF('Datos_fuente'!E56="","",LN('Datos_fuente'!E56))</x:f>
        <x:v>8.277625499287858</x:v>
      </x:c>
      <x:c r="G56" s="90" t="n">
        <x:f>IF(OR(F56="",F55=""),"",F56-F55)</x:f>
        <x:v>-0.025470597950002727</x:v>
      </x:c>
      <x:c r="H56" s="55" t="n">
        <x:f>'Datos_fuente'!H56</x:f>
        <x:v>3.37</x:v>
      </x:c>
      <x:c r="I56" s="55" t="n">
        <x:f>IF(OR(H56="",H55=""),"",H56-H55)</x:f>
        <x:v>-0.020000000000000018</x:v>
      </x:c>
      <x:c r="J56" s="55" t="n">
        <x:f>'Datos_fuente'!J56</x:f>
        <x:v>3.109598706</x:v>
      </x:c>
      <x:c r="K56" s="55" t="n">
        <x:f>IF(OR(J56="",J55=""),"",J56-J55)</x:f>
        <x:v>-0.5073971049999999</x:v>
      </x:c>
      <x:c r="L56" s="90" t="n">
        <x:f>IF('Datos_fuente'!K56="","",LN('Datos_fuente'!K56))</x:f>
        <x:v>4.5420885231169805</x:v>
      </x:c>
      <x:c r="M56" s="90" t="n">
        <x:f>IF(OR(L56="",L55=""),"",L56-L55)</x:f>
        <x:v>0.015525492367732596</x:v>
      </x:c>
      <x:c r="N56" s="90" t="n">
        <x:f>IF('Datos_fuente'!L56="","",LN('Datos_fuente'!L56))</x:f>
        <x:v>3.11529150861163</x:v>
      </x:c>
      <x:c r="O56" s="90" t="n">
        <x:f>IF(OR(N56="",N55=""),"",N56-N55)</x:f>
        <x:v>0.08790758115484021</x:v>
      </x:c>
      <x:c r="P56" s="88" t="n">
        <x:f>'Datos_fuente'!N56</x:f>
        <x:v>0</x:v>
      </x:c>
      <x:c r="Q56" s="90" t="n">
        <x:f>IF('Datos_fuente'!O56="","",LN('Datos_fuente'!O56))</x:f>
        <x:v>10.134809568846215</x:v>
      </x:c>
      <x:c r="R56" s="90" t="n">
        <x:f>IF(OR(Q56="",Q55=""),"",Q56-Q55)</x:f>
        <x:v>-0.002135760035811174</x:v>
      </x:c>
      <x:c r="S56" s="55" t="n">
        <x:f>'Datos_fuente'!R56</x:f>
        <x:v>5.823447368</x:v>
      </x:c>
      <x:c r="T56" s="55" t="n">
        <x:f>IF(OR(S56="",S55=""),"",S56-S55)</x:f>
        <x:v>0.4939736840000002</x:v>
      </x:c>
      <x:c r="U56" s="90" t="n">
        <x:f>IF('Datos_fuente'!S56="","",ASINH('Datos_fuente'!S56/1000))</x:f>
        <x:v>-0.7646708390169459</x:v>
      </x:c>
      <x:c r="V56" s="90" t="n">
        <x:f>IF(OR(U56="",U55=""),"",U56-U55)</x:f>
        <x:v>-0.006533000960696755</x:v>
      </x:c>
      <x:c r="W56" s="90" t="n">
        <x:f>IF('Datos_fuente'!T56="","",ASINH('Datos_fuente'!T56/1000))</x:f>
        <x:v>0.7632316399408661</x:v>
      </x:c>
      <x:c r="X56" s="90" t="n">
        <x:f>IF(OR(W56="",W55=""),"",W56-W55)</x:f>
        <x:v>0.09640933041502298</x:v>
      </x:c>
      <x:c r="Y56" s="55" t="n">
        <x:f>'Datos_fuente'!W56</x:f>
        <x:v>-0.05293629792</x:v>
      </x:c>
      <x:c r="Z56" s="55" t="n">
        <x:f>IF(OR(Y56="",Y55=""),"",Y56-Y55)</x:f>
        <x:v>0.46481051628000003</x:v>
      </x:c>
      <x:c r="AA56" s="90" t="n">
        <x:f>'Datos_fuente'!AA56</x:f>
        <x:v>1.025260927</x:v>
      </x:c>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t="str">
        <x:f>'Datos_fuente'!A57</x:f>
        <x:v>2010-03</x:v>
      </x:c>
      <x:c r="B57" s="90" t="n">
        <x:f>IF('Datos_fuente'!B57="","",LN('Datos_fuente'!B57))</x:f>
        <x:v>7.554330598991837</x:v>
      </x:c>
      <x:c r="C57" s="90" t="n">
        <x:f>IF(OR(B57="",B56=""),"",B57-B56)</x:f>
        <x:v>-0.02213772816348758</x:v>
      </x:c>
      <x:c r="D57" s="90" t="n">
        <x:f>IF('Datos_fuente'!C57="","",LN('Datos_fuente'!C57))</x:f>
        <x:v>4.367260541793047</x:v>
      </x:c>
      <x:c r="E57" s="90" t="n">
        <x:f>IF(OR(D57="",D56=""),"",D57-D56)</x:f>
        <x:v>0.06655100108223877</x:v>
      </x:c>
      <x:c r="F57" s="90" t="n">
        <x:f>IF('Datos_fuente'!E57="","",LN('Datos_fuente'!E57))</x:f>
        <x:v>8.271290095431384</x:v>
      </x:c>
      <x:c r="G57" s="90" t="n">
        <x:f>IF(OR(F57="",F56=""),"",F57-F56)</x:f>
        <x:v>-0.006335403856473576</x:v>
      </x:c>
      <x:c r="H57" s="55" t="n">
        <x:f>'Datos_fuente'!H57</x:f>
        <x:v>3.34</x:v>
      </x:c>
      <x:c r="I57" s="55" t="n">
        <x:f>IF(OR(H57="",H56=""),"",H57-H56)</x:f>
        <x:v>-0.03000000000000025</x:v>
      </x:c>
      <x:c r="J57" s="55" t="n">
        <x:f>'Datos_fuente'!J57</x:f>
        <x:v>3.076223761</x:v>
      </x:c>
      <x:c r="K57" s="55" t="n">
        <x:f>IF(OR(J57="",J56=""),"",J57-J56)</x:f>
        <x:v>-0.03337494499999982</x:v>
      </x:c>
      <x:c r="L57" s="90" t="n">
        <x:f>IF('Datos_fuente'!K57="","",LN('Datos_fuente'!K57))</x:f>
        <x:v>4.534209790122428</x:v>
      </x:c>
      <x:c r="M57" s="90" t="n">
        <x:f>IF(OR(L57="",L56=""),"",L57-L56)</x:f>
        <x:v>-0.007878732994552884</x:v>
      </x:c>
      <x:c r="N57" s="90" t="n">
        <x:f>IF('Datos_fuente'!L57="","",LN('Datos_fuente'!L57))</x:f>
        <x:v>2.8773648277882806</x:v>
      </x:c>
      <x:c r="O57" s="90" t="n">
        <x:f>IF(OR(N57="",N56=""),"",N57-N56)</x:f>
        <x:v>-0.23792668082334956</x:v>
      </x:c>
      <x:c r="P57" s="88" t="n">
        <x:f>'Datos_fuente'!N57</x:f>
        <x:v>0</x:v>
      </x:c>
      <x:c r="Q57" s="90" t="n">
        <x:f>IF('Datos_fuente'!O57="","",LN('Datos_fuente'!O57))</x:f>
        <x:v>10.146474514628586</x:v>
      </x:c>
      <x:c r="R57" s="90" t="n">
        <x:f>IF(OR(Q57="",Q56=""),"",Q57-Q56)</x:f>
        <x:v>0.011664945782371205</x:v>
      </x:c>
      <x:c r="S57" s="55" t="n">
        <x:f>'Datos_fuente'!R57</x:f>
        <x:v>5.723063241</x:v>
      </x:c>
      <x:c r="T57" s="55" t="n">
        <x:f>IF(OR(S57="",S56=""),"",S57-S56)</x:f>
        <x:v>-0.10038412699999988</x:v>
      </x:c>
      <x:c r="U57" s="90" t="n">
        <x:f>IF('Datos_fuente'!S57="","",ASINH('Datos_fuente'!S57/1000))</x:f>
        <x:v>-0.6944586641871235</x:v>
      </x:c>
      <x:c r="V57" s="90" t="n">
        <x:f>IF(OR(U57="",U56=""),"",U57-U56)</x:f>
        <x:v>0.07021217482982234</x:v>
      </x:c>
      <x:c r="W57" s="90" t="n">
        <x:f>IF('Datos_fuente'!T57="","",ASINH('Datos_fuente'!T57/1000))</x:f>
        <x:v>1.0724923426846238</x:v>
      </x:c>
      <x:c r="X57" s="90" t="n">
        <x:f>IF(OR(W57="",W56=""),"",W57-W56)</x:f>
        <x:v>0.3092607027437577</x:v>
      </x:c>
      <x:c r="Y57" s="55" t="n">
        <x:f>'Datos_fuente'!W57</x:f>
        <x:v>-0.4727788426</x:v>
      </x:c>
      <x:c r="Z57" s="55" t="n">
        <x:f>IF(OR(Y57="",Y56=""),"",Y57-Y56)</x:f>
        <x:v>-0.41984254468000004</x:v>
      </x:c>
      <x:c r="AA57" s="90" t="n">
        <x:f>'Datos_fuente'!AA57</x:f>
        <x:v>-0.9384199028</x:v>
      </x:c>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t="str">
        <x:f>'Datos_fuente'!A58</x:f>
        <x:v>2010-04</x:v>
      </x:c>
      <x:c r="B58" s="90" t="n">
        <x:f>IF('Datos_fuente'!B58="","",LN('Datos_fuente'!B58))</x:f>
        <x:v>7.569127438300412</x:v>
      </x:c>
      <x:c r="C58" s="90" t="n">
        <x:f>IF(OR(B58="",B57=""),"",B58-B57)</x:f>
        <x:v>0.014796839308575116</x:v>
      </x:c>
      <x:c r="D58" s="90" t="n">
        <x:f>IF('Datos_fuente'!C58="","",LN('Datos_fuente'!C58))</x:f>
        <x:v>4.440503293032321</x:v>
      </x:c>
      <x:c r="E58" s="90" t="n">
        <x:f>IF(OR(D58="",D57=""),"",D58-D57)</x:f>
        <x:v>0.07324275123927393</x:v>
      </x:c>
      <x:c r="F58" s="90" t="n">
        <x:f>IF('Datos_fuente'!E58="","",LN('Datos_fuente'!E58))</x:f>
        <x:v>8.265508694668442</x:v>
      </x:c>
      <x:c r="G58" s="90" t="n">
        <x:f>IF(OR(F58="",F57=""),"",F58-F57)</x:f>
        <x:v>-0.005781400762941757</x:v>
      </x:c>
      <x:c r="H58" s="55" t="n">
        <x:f>'Datos_fuente'!H58</x:f>
        <x:v>3.3</x:v>
      </x:c>
      <x:c r="I58" s="55" t="n">
        <x:f>IF(OR(H58="",H57=""),"",H58-H57)</x:f>
        <x:v>-0.040000000000000036</x:v>
      </x:c>
      <x:c r="J58" s="55" t="n">
        <x:f>'Datos_fuente'!J58</x:f>
        <x:v>3.553742597</x:v>
      </x:c>
      <x:c r="K58" s="55" t="n">
        <x:f>IF(OR(J58="",J57=""),"",J58-J57)</x:f>
        <x:v>0.4775188359999998</x:v>
      </x:c>
      <x:c r="L58" s="90" t="n">
        <x:f>IF('Datos_fuente'!K58="","",LN('Datos_fuente'!K58))</x:f>
        <x:v>4.528711151513531</x:v>
      </x:c>
      <x:c r="M58" s="90" t="n">
        <x:f>IF(OR(L58="",L57=""),"",L58-L57)</x:f>
        <x:v>-0.0054986386088966555</x:v>
      </x:c>
      <x:c r="N58" s="90" t="n">
        <x:f>IF('Datos_fuente'!L58="","",LN('Datos_fuente'!L58))</x:f>
        <x:v>2.8578649635538715</x:v>
      </x:c>
      <x:c r="O58" s="90" t="n">
        <x:f>IF(OR(N58="",N57=""),"",N58-N57)</x:f>
        <x:v>-0.01949986423440908</x:v>
      </x:c>
      <x:c r="P58" s="88" t="n">
        <x:f>'Datos_fuente'!N58</x:f>
        <x:v>0</x:v>
      </x:c>
      <x:c r="Q58" s="90" t="n">
        <x:f>IF('Datos_fuente'!O58="","",LN('Datos_fuente'!O58))</x:f>
        <x:v>10.162211352392337</x:v>
      </x:c>
      <x:c r="R58" s="90" t="n">
        <x:f>IF(OR(Q58="",Q57=""),"",Q58-Q57)</x:f>
        <x:v>0.015736837763750344</x:v>
      </x:c>
      <x:c r="S58" s="55" t="n">
        <x:f>'Datos_fuente'!R58</x:f>
        <x:v>5.107181818</x:v>
      </x:c>
      <x:c r="T58" s="55" t="n">
        <x:f>IF(OR(S58="",S57=""),"",S58-S57)</x:f>
        <x:v>-0.6158814230000003</x:v>
      </x:c>
      <x:c r="U58" s="90" t="n">
        <x:f>IF('Datos_fuente'!S58="","",ASINH('Datos_fuente'!S58/1000))</x:f>
        <x:v>-0.6000138492386364</x:v>
      </x:c>
      <x:c r="V58" s="90" t="n">
        <x:f>IF(OR(U58="",U57=""),"",U58-U57)</x:f>
        <x:v>0.09444481494848711</x:v>
      </x:c>
      <x:c r="W58" s="90" t="n">
        <x:f>IF('Datos_fuente'!T58="","",ASINH('Datos_fuente'!T58/1000))</x:f>
        <x:v>0.9209930533510569</x:v>
      </x:c>
      <x:c r="X58" s="90" t="n">
        <x:f>IF(OR(W58="",W57=""),"",W58-W57)</x:f>
        <x:v>-0.15149928933356693</x:v>
      </x:c>
      <x:c r="Y58" s="55" t="n">
        <x:f>'Datos_fuente'!W58</x:f>
        <x:v>-0.2611039622</x:v>
      </x:c>
      <x:c r="Z58" s="55" t="n">
        <x:f>IF(OR(Y58="",Y57=""),"",Y58-Y57)</x:f>
        <x:v>0.21167488040000004</x:v>
      </x:c>
      <x:c r="AA58" s="90" t="n">
        <x:f>'Datos_fuente'!AA58</x:f>
        <x:v>-0.6159872758</x:v>
      </x:c>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t="str">
        <x:f>'Datos_fuente'!A59</x:f>
        <x:v>2010-05</x:v>
      </x:c>
      <x:c r="B59" s="90" t="n">
        <x:f>IF('Datos_fuente'!B59="","",LN('Datos_fuente'!B59))</x:f>
        <x:v>7.592665239606123</x:v>
      </x:c>
      <x:c r="C59" s="90" t="n">
        <x:f>IF(OR(B59="",B58=""),"",B59-B58)</x:f>
        <x:v>0.023537801305710815</x:v>
      </x:c>
      <x:c r="D59" s="90" t="n">
        <x:f>IF('Datos_fuente'!C59="","",LN('Datos_fuente'!C59))</x:f>
        <x:v>4.3300159777802065</x:v>
      </x:c>
      <x:c r="E59" s="90" t="n">
        <x:f>IF(OR(D59="",D58=""),"",D59-D58)</x:f>
        <x:v>-0.1104873152521142</x:v>
      </x:c>
      <x:c r="F59" s="90" t="n">
        <x:f>IF('Datos_fuente'!E59="","",LN('Datos_fuente'!E59))</x:f>
        <x:v>8.262481570634366</x:v>
      </x:c>
      <x:c r="G59" s="90" t="n">
        <x:f>IF(OR(F59="",F58=""),"",F59-F58)</x:f>
        <x:v>-0.003027124034076678</x:v>
      </x:c>
      <x:c r="H59" s="55" t="n">
        <x:f>'Datos_fuente'!H59</x:f>
        <x:v>2.832258065</x:v>
      </x:c>
      <x:c r="I59" s="55" t="n">
        <x:f>IF(OR(H59="",H58=""),"",H59-H58)</x:f>
        <x:v>-0.46774193499999983</x:v>
      </x:c>
      <x:c r="J59" s="55" t="n">
        <x:f>'Datos_fuente'!J59</x:f>
        <x:v>3.538401375</x:v>
      </x:c>
      <x:c r="K59" s="55" t="n">
        <x:f>IF(OR(J59="",J58=""),"",J59-J58)</x:f>
        <x:v>-0.015341221999999988</x:v>
      </x:c>
      <x:c r="L59" s="90" t="n">
        <x:f>IF('Datos_fuente'!K59="","",LN('Datos_fuente'!K59))</x:f>
        <x:v>4.559447033725612</x:v>
      </x:c>
      <x:c r="M59" s="90" t="n">
        <x:f>IF(OR(L59="",L58=""),"",L59-L58)</x:f>
        <x:v>0.030735882212081123</x:v>
      </x:c>
      <x:c r="N59" s="90" t="n">
        <x:f>IF('Datos_fuente'!L59="","",LN('Datos_fuente'!L59))</x:f>
        <x:v>3.463530347349464</x:v>
      </x:c>
      <x:c r="O59" s="90" t="n">
        <x:f>IF(OR(N59="",N58=""),"",N59-N58)</x:f>
        <x:v>0.6056653837955923</x:v>
      </x:c>
      <x:c r="P59" s="88" t="n">
        <x:f>'Datos_fuente'!N59</x:f>
        <x:v>0</x:v>
      </x:c>
      <x:c r="Q59" s="90" t="n">
        <x:f>IF('Datos_fuente'!O59="","",LN('Datos_fuente'!O59))</x:f>
        <x:v>10.163304729775449</x:v>
      </x:c>
      <x:c r="R59" s="90" t="n">
        <x:f>IF(OR(Q59="",Q58=""),"",Q59-Q58)</x:f>
        <x:v>0.0010933773831123261</x:v>
      </x:c>
      <x:c r="S59" s="55" t="n">
        <x:f>'Datos_fuente'!R59</x:f>
        <x:v>5.268</x:v>
      </x:c>
      <x:c r="T59" s="55" t="n">
        <x:f>IF(OR(S59="",S58=""),"",S59-S58)</x:f>
        <x:v>0.16081818199999987</x:v>
      </x:c>
      <x:c r="U59" s="90" t="n">
        <x:f>IF('Datos_fuente'!S59="","",ASINH('Datos_fuente'!S59/1000))</x:f>
        <x:v>-0.7050722353353694</x:v>
      </x:c>
      <x:c r="V59" s="90" t="n">
        <x:f>IF(OR(U59="",U58=""),"",U59-U58)</x:f>
        <x:v>-0.10505838609673301</x:v>
      </x:c>
      <x:c r="W59" s="90" t="n">
        <x:f>IF('Datos_fuente'!T59="","",ASINH('Datos_fuente'!T59/1000))</x:f>
        <x:v>0.8039531378320676</x:v>
      </x:c>
      <x:c r="X59" s="90" t="n">
        <x:f>IF(OR(W59="",W58=""),"",W59-W58)</x:f>
        <x:v>-0.11703991551898929</x:v>
      </x:c>
      <x:c r="Y59" s="55" t="n">
        <x:f>'Datos_fuente'!W59</x:f>
        <x:v>0.05213340043</x:v>
      </x:c>
      <x:c r="Z59" s="55" t="n">
        <x:f>IF(OR(Y59="",Y58=""),"",Y59-Y58)</x:f>
        <x:v>0.31323736262999996</x:v>
      </x:c>
      <x:c r="AA59" s="90" t="n">
        <x:f>'Datos_fuente'!AA59</x:f>
        <x:v>0.9632611718</x:v>
      </x:c>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t="str">
        <x:f>'Datos_fuente'!A60</x:f>
        <x:v>2010-06</x:v>
      </x:c>
      <x:c r="B60" s="90" t="n">
        <x:f>IF('Datos_fuente'!B60="","",LN('Datos_fuente'!B60))</x:f>
        <x:v>7.563639748251453</x:v>
      </x:c>
      <x:c r="C60" s="90" t="n">
        <x:f>IF(OR(B60="",B59=""),"",B60-B59)</x:f>
        <x:v>-0.029025491354669697</x:v>
      </x:c>
      <x:c r="D60" s="90" t="n">
        <x:f>IF('Datos_fuente'!C60="","",LN('Datos_fuente'!C60))</x:f>
        <x:v>4.314295142625788</x:v>
      </x:c>
      <x:c r="E60" s="90" t="n">
        <x:f>IF(OR(D60="",D59=""),"",D60-D59)</x:f>
        <x:v>-0.015720835154418467</x:v>
      </x:c>
      <x:c r="F60" s="90" t="n">
        <x:f>IF('Datos_fuente'!E60="","",LN('Datos_fuente'!E60))</x:f>
        <x:v>8.264025904795854</x:v>
      </x:c>
      <x:c r="G60" s="90" t="n">
        <x:f>IF(OR(F60="",F59=""),"",F60-F59)</x:f>
        <x:v>0.0015443341614886918</x:v>
      </x:c>
      <x:c r="H60" s="55" t="n">
        <x:f>'Datos_fuente'!H60</x:f>
        <x:v>2.82</x:v>
      </x:c>
      <x:c r="I60" s="55" t="n">
        <x:f>IF(OR(H60="",H59=""),"",H60-H59)</x:f>
        <x:v>-0.012258065000000151</x:v>
      </x:c>
      <x:c r="J60" s="55" t="n">
        <x:f>'Datos_fuente'!J60</x:f>
        <x:v>3.831127284</x:v>
      </x:c>
      <x:c r="K60" s="55" t="n">
        <x:f>IF(OR(J60="",J59=""),"",J60-J59)</x:f>
        <x:v>0.29272590900000006</x:v>
      </x:c>
      <x:c r="L60" s="90" t="n">
        <x:f>IF('Datos_fuente'!K60="","",LN('Datos_fuente'!K60))</x:f>
        <x:v>4.56497952619662</x:v>
      </x:c>
      <x:c r="M60" s="90" t="n">
        <x:f>IF(OR(L60="",L59=""),"",L60-L59)</x:f>
        <x:v>0.005532492471007622</x:v>
      </x:c>
      <x:c r="N60" s="90" t="n">
        <x:f>IF('Datos_fuente'!L60="","",LN('Datos_fuente'!L60))</x:f>
        <x:v>3.39840560962391</x:v>
      </x:c>
      <x:c r="O60" s="90" t="n">
        <x:f>IF(OR(N60="",N59=""),"",N60-N59)</x:f>
        <x:v>-0.06512473772555394</x:v>
      </x:c>
      <x:c r="P60" s="88" t="n">
        <x:f>'Datos_fuente'!N60</x:f>
        <x:v>0</x:v>
      </x:c>
      <x:c r="Q60" s="90" t="n">
        <x:f>IF('Datos_fuente'!O60="","",LN('Datos_fuente'!O60))</x:f>
        <x:v>10.181203376508057</x:v>
      </x:c>
      <x:c r="R60" s="90" t="n">
        <x:f>IF(OR(Q60="",Q59=""),"",Q60-Q59)</x:f>
        <x:v>0.01789864673260766</x:v>
      </x:c>
      <x:c r="S60" s="55" t="n">
        <x:f>'Datos_fuente'!R60</x:f>
        <x:v>5.296409091</x:v>
      </x:c>
      <x:c r="T60" s="55" t="n">
        <x:f>IF(OR(S60="",S59=""),"",S60-S59)</x:f>
        <x:v>0.02840909100000033</x:v>
      </x:c>
      <x:c r="U60" s="90" t="n">
        <x:f>IF('Datos_fuente'!S60="","",ASINH('Datos_fuente'!S60/1000))</x:f>
        <x:v>-0.8721654934789171</x:v>
      </x:c>
      <x:c r="V60" s="90" t="n">
        <x:f>IF(OR(U60="",U59=""),"",U60-U59)</x:f>
        <x:v>-0.1670932581435477</x:v>
      </x:c>
      <x:c r="W60" s="90" t="n">
        <x:f>IF('Datos_fuente'!T60="","",ASINH('Datos_fuente'!T60/1000))</x:f>
        <x:v>1.2739081744397098</x:v>
      </x:c>
      <x:c r="X60" s="90" t="n">
        <x:f>IF(OR(W60="",W59=""),"",W60-W59)</x:f>
        <x:v>0.46995503660764226</x:v>
      </x:c>
      <x:c r="Y60" s="55" t="n">
        <x:f>'Datos_fuente'!W60</x:f>
        <x:v>1.189117741</x:v>
      </x:c>
      <x:c r="Z60" s="55" t="n">
        <x:f>IF(OR(Y60="",Y59=""),"",Y60-Y59)</x:f>
        <x:v>1.13698434057</x:v>
      </x:c>
      <x:c r="AA60" s="90" t="n">
        <x:f>'Datos_fuente'!AA60</x:f>
        <x:v>-0.06941040029</x:v>
      </x:c>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t="str">
        <x:f>'Datos_fuente'!A61</x:f>
        <x:v>2010-07</x:v>
      </x:c>
      <x:c r="B61" s="90" t="n">
        <x:f>IF('Datos_fuente'!B61="","",LN('Datos_fuente'!B61))</x:f>
        <x:v>7.536049910436223</x:v>
      </x:c>
      <x:c r="C61" s="90" t="n">
        <x:f>IF(OR(B61="",B60=""),"",B61-B60)</x:f>
        <x:v>-0.02758983781523039</x:v>
      </x:c>
      <x:c r="D61" s="90" t="n">
        <x:f>IF('Datos_fuente'!C61="","",LN('Datos_fuente'!C61))</x:f>
        <x:v>4.325191697921343</x:v>
      </x:c>
      <x:c r="E61" s="90" t="n">
        <x:f>IF(OR(D61="",D60=""),"",D61-D60)</x:f>
        <x:v>0.01089655529555511</x:v>
      </x:c>
      <x:c r="F61" s="90" t="n">
        <x:f>IF('Datos_fuente'!E61="","",LN('Datos_fuente'!E61))</x:f>
        <x:v>8.270988258830126</x:v>
      </x:c>
      <x:c r="G61" s="90" t="n">
        <x:f>IF(OR(F61="",F60=""),"",F61-F60)</x:f>
        <x:v>0.0069623540342718115</x:v>
      </x:c>
      <x:c r="H61" s="55" t="n">
        <x:f>'Datos_fuente'!H61</x:f>
        <x:v>2.82</x:v>
      </x:c>
      <x:c r="I61" s="55" t="n">
        <x:f>IF(OR(H61="",H60=""),"",H61-H60)</x:f>
        <x:v>0</x:v>
      </x:c>
      <x:c r="J61" s="55" t="n">
        <x:f>'Datos_fuente'!J61</x:f>
        <x:v>3.723117998</x:v>
      </x:c>
      <x:c r="K61" s="55" t="n">
        <x:f>IF(OR(J61="",J60=""),"",J61-J60)</x:f>
        <x:v>-0.1080092859999997</x:v>
      </x:c>
      <x:c r="L61" s="90" t="n">
        <x:f>IF('Datos_fuente'!K61="","",LN('Datos_fuente'!K61))</x:f>
        <x:v>4.548120253699101</x:v>
      </x:c>
      <x:c r="M61" s="90" t="n">
        <x:f>IF(OR(L61="",L60=""),"",L61-L60)</x:f>
        <x:v>-0.01685927249751895</x:v>
      </x:c>
      <x:c r="N61" s="90" t="n">
        <x:f>IF('Datos_fuente'!L61="","",LN('Datos_fuente'!L61))</x:f>
        <x:v>3.2412335420031626</x:v>
      </x:c>
      <x:c r="O61" s="90" t="n">
        <x:f>IF(OR(N61="",N60=""),"",N61-N60)</x:f>
        <x:v>-0.1571720676207473</x:v>
      </x:c>
      <x:c r="P61" s="88" t="n">
        <x:f>'Datos_fuente'!N61</x:f>
        <x:v>0</x:v>
      </x:c>
      <x:c r="Q61" s="90" t="n">
        <x:f>IF('Datos_fuente'!O61="","",LN('Datos_fuente'!O61))</x:f>
        <x:v>10.191107873081299</x:v>
      </x:c>
      <x:c r="R61" s="90" t="n">
        <x:f>IF(OR(Q61="",Q60=""),"",Q61-Q60)</x:f>
        <x:v>0.009904496573241772</x:v>
      </x:c>
      <x:c r="S61" s="55" t="n">
        <x:f>'Datos_fuente'!R61</x:f>
        <x:v>5.100071429</x:v>
      </x:c>
      <x:c r="T61" s="55" t="n">
        <x:f>IF(OR(S61="",S60=""),"",S61-S60)</x:f>
        <x:v>-0.19633766200000036</x:v>
      </x:c>
      <x:c r="U61" s="90" t="n">
        <x:f>IF('Datos_fuente'!S61="","",ASINH('Datos_fuente'!S61/1000))</x:f>
        <x:v>-0.9013971744695232</x:v>
      </x:c>
      <x:c r="V61" s="90" t="n">
        <x:f>IF(OR(U61="",U60=""),"",U61-U60)</x:f>
        <x:v>-0.029231680990606024</x:v>
      </x:c>
      <x:c r="W61" s="90" t="n">
        <x:f>IF('Datos_fuente'!T61="","",ASINH('Datos_fuente'!T61/1000))</x:f>
        <x:v>1.1139002031920278</x:v>
      </x:c>
      <x:c r="X61" s="90" t="n">
        <x:f>IF(OR(W61="",W60=""),"",W61-W60)</x:f>
        <x:v>-0.16000797124768207</x:v>
      </x:c>
      <x:c r="Y61" s="55" t="n">
        <x:f>'Datos_fuente'!W61</x:f>
        <x:v>1.008217205</x:v>
      </x:c>
      <x:c r="Z61" s="55" t="n">
        <x:f>IF(OR(Y61="",Y60=""),"",Y61-Y60)</x:f>
        <x:v>-0.180900536</x:v>
      </x:c>
      <x:c r="AA61" s="90" t="n">
        <x:f>'Datos_fuente'!AA61</x:f>
        <x:v>-0.3588252628</x:v>
      </x:c>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t="str">
        <x:f>'Datos_fuente'!A62</x:f>
        <x:v>2010-08</x:v>
      </x:c>
      <x:c r="B62" s="90" t="n">
        <x:f>IF('Datos_fuente'!B62="","",LN('Datos_fuente'!B62))</x:f>
        <x:v>7.507251257622655</x:v>
      </x:c>
      <x:c r="C62" s="90" t="n">
        <x:f>IF(OR(B62="",B61=""),"",B62-B61)</x:f>
        <x:v>-0.02879865281356775</x:v>
      </x:c>
      <x:c r="D62" s="90" t="n">
        <x:f>IF('Datos_fuente'!C62="","",LN('Datos_fuente'!C62))</x:f>
        <x:v>4.34431886729074</x:v>
      </x:c>
      <x:c r="E62" s="90" t="n">
        <x:f>IF(OR(D62="",D61=""),"",D62-D61)</x:f>
        <x:v>0.019127169369396846</x:v>
      </x:c>
      <x:c r="F62" s="90" t="n">
        <x:f>IF('Datos_fuente'!E62="","",LN('Datos_fuente'!E62))</x:f>
        <x:v>8.279382603058624</x:v>
      </x:c>
      <x:c r="G62" s="90" t="n">
        <x:f>IF(OR(F62="",F61=""),"",F62-F61)</x:f>
        <x:v>0.008394344228497275</x:v>
      </x:c>
      <x:c r="H62" s="55" t="n">
        <x:f>'Datos_fuente'!H62</x:f>
        <x:v>2.81</x:v>
      </x:c>
      <x:c r="I62" s="55" t="n">
        <x:f>IF(OR(H62="",H61=""),"",H62-H61)</x:f>
        <x:v>-0.009999999999999787</x:v>
      </x:c>
      <x:c r="J62" s="55" t="n">
        <x:f>'Datos_fuente'!J62</x:f>
        <x:v>3.835619272</x:v>
      </x:c>
      <x:c r="K62" s="55" t="n">
        <x:f>IF(OR(J62="",J61=""),"",J62-J61)</x:f>
        <x:v>0.11250127399999998</x:v>
      </x:c>
      <x:c r="L62" s="90" t="n">
        <x:f>IF('Datos_fuente'!K62="","",LN('Datos_fuente'!K62))</x:f>
        <x:v>4.539908542874167</x:v>
      </x:c>
      <x:c r="M62" s="90" t="n">
        <x:f>IF(OR(L62="",L61=""),"",L62-L61)</x:f>
        <x:v>-0.008211710824934215</x:v>
      </x:c>
      <x:c r="N62" s="90" t="n">
        <x:f>IF('Datos_fuente'!L62="","",LN('Datos_fuente'!L62))</x:f>
        <x:v>3.2086601860599893</x:v>
      </x:c>
      <x:c r="O62" s="90" t="n">
        <x:f>IF(OR(N62="",N61=""),"",N62-N61)</x:f>
        <x:v>-0.03257335594317334</x:v>
      </x:c>
      <x:c r="P62" s="88" t="n">
        <x:f>'Datos_fuente'!N62</x:f>
        <x:v>0</x:v>
      </x:c>
      <x:c r="Q62" s="90" t="n">
        <x:f>IF('Datos_fuente'!O62="","",LN('Datos_fuente'!O62))</x:f>
        <x:v>10.192490002905203</x:v>
      </x:c>
      <x:c r="R62" s="90" t="n">
        <x:f>IF(OR(Q62="",Q61=""),"",Q62-Q61)</x:f>
        <x:v>0.0013821298239040658</x:v>
      </x:c>
      <x:c r="S62" s="55" t="n">
        <x:f>'Datos_fuente'!R62</x:f>
        <x:v>4.988982684</x:v>
      </x:c>
      <x:c r="T62" s="55" t="n">
        <x:f>IF(OR(S62="",S61=""),"",S62-S61)</x:f>
        <x:v>-0.11108874499999999</x:v>
      </x:c>
      <x:c r="U62" s="90" t="n">
        <x:f>IF('Datos_fuente'!S62="","",ASINH('Datos_fuente'!S62/1000))</x:f>
        <x:v>-0.8094391625900286</x:v>
      </x:c>
      <x:c r="V62" s="90" t="n">
        <x:f>IF(OR(U62="",U61=""),"",U62-U61)</x:f>
        <x:v>0.0919580118794946</x:v>
      </x:c>
      <x:c r="W62" s="90" t="n">
        <x:f>IF('Datos_fuente'!T62="","",ASINH('Datos_fuente'!T62/1000))</x:f>
        <x:v>0.8800789894220586</x:v>
      </x:c>
      <x:c r="X62" s="90" t="n">
        <x:f>IF(OR(W62="",W61=""),"",W62-W61)</x:f>
        <x:v>-0.23382121376996912</x:v>
      </x:c>
      <x:c r="Y62" s="55" t="n">
        <x:f>'Datos_fuente'!W62</x:f>
        <x:v>1.164439236</x:v>
      </x:c>
      <x:c r="Z62" s="55" t="n">
        <x:f>IF(OR(Y62="",Y61=""),"",Y62-Y61)</x:f>
        <x:v>0.15622203099999998</x:v>
      </x:c>
      <x:c r="AA62" s="90" t="n">
        <x:f>'Datos_fuente'!AA62</x:f>
        <x:v>-0.740102386</x:v>
      </x:c>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t="str">
        <x:f>'Datos_fuente'!A63</x:f>
        <x:v>2010-09</x:v>
      </x:c>
      <x:c r="B63" s="90" t="n">
        <x:f>IF('Datos_fuente'!B63="","",LN('Datos_fuente'!B63))</x:f>
        <x:v>7.498743664568723</x:v>
      </x:c>
      <x:c r="C63" s="90" t="n">
        <x:f>IF(OR(B63="",B62=""),"",B63-B62)</x:f>
        <x:v>-0.008507593053932005</x:v>
      </x:c>
      <x:c r="D63" s="90" t="n">
        <x:f>IF('Datos_fuente'!C63="","",LN('Datos_fuente'!C63))</x:f>
        <x:v>4.354661555407856</x:v>
      </x:c>
      <x:c r="E63" s="90" t="n">
        <x:f>IF(OR(D63="",D62=""),"",D63-D62)</x:f>
        <x:v>0.010342688117115806</x:v>
      </x:c>
      <x:c r="F63" s="90" t="n">
        <x:f>IF('Datos_fuente'!E63="","",LN('Datos_fuente'!E63))</x:f>
        <x:v>8.283592655921735</x:v>
      </x:c>
      <x:c r="G63" s="90" t="n">
        <x:f>IF(OR(F63="",F62=""),"",F63-F62)</x:f>
        <x:v>0.004210052863111713</x:v>
      </x:c>
      <x:c r="H63" s="55" t="n">
        <x:f>'Datos_fuente'!H63</x:f>
        <x:v>2.81</x:v>
      </x:c>
      <x:c r="I63" s="55" t="n">
        <x:f>IF(OR(H63="",H62=""),"",H63-H62)</x:f>
        <x:v>0</x:v>
      </x:c>
      <x:c r="J63" s="55" t="n">
        <x:f>'Datos_fuente'!J63</x:f>
        <x:v>3.519088865</x:v>
      </x:c>
      <x:c r="K63" s="55" t="n">
        <x:f>IF(OR(J63="",J62=""),"",J63-J62)</x:f>
        <x:v>-0.3165304070000001</x:v>
      </x:c>
      <x:c r="L63" s="90" t="n">
        <x:f>IF('Datos_fuente'!K63="","",LN('Datos_fuente'!K63))</x:f>
        <x:v>4.530043490003716</x:v>
      </x:c>
      <x:c r="M63" s="90" t="n">
        <x:f>IF(OR(L63="",L62=""),"",L63-L62)</x:f>
        <x:v>-0.009865052870450697</x:v>
      </x:c>
      <x:c r="N63" s="90" t="n">
        <x:f>IF('Datos_fuente'!L63="","",LN('Datos_fuente'!L63))</x:f>
        <x:v>3.1142980716607855</x:v>
      </x:c>
      <x:c r="O63" s="90" t="n">
        <x:f>IF(OR(N63="",N62=""),"",N63-N62)</x:f>
        <x:v>-0.09436211439920372</x:v>
      </x:c>
      <x:c r="P63" s="88" t="n">
        <x:f>'Datos_fuente'!N63</x:f>
        <x:v>0</x:v>
      </x:c>
      <x:c r="Q63" s="90" t="n">
        <x:f>IF('Datos_fuente'!O63="","",LN('Datos_fuente'!O63))</x:f>
        <x:v>10.214131961024993</x:v>
      </x:c>
      <x:c r="R63" s="90" t="n">
        <x:f>IF(OR(Q63="",Q62=""),"",Q63-Q62)</x:f>
        <x:v>0.021641958119790417</x:v>
      </x:c>
      <x:c r="S63" s="55" t="n">
        <x:f>'Datos_fuente'!R63</x:f>
        <x:v>5.097835498</x:v>
      </x:c>
      <x:c r="T63" s="55" t="n">
        <x:f>IF(OR(S63="",S62=""),"",S63-S62)</x:f>
        <x:v>0.10885281400000046</x:v>
      </x:c>
      <x:c r="U63" s="90" t="n">
        <x:f>IF('Datos_fuente'!S63="","",ASINH('Datos_fuente'!S63/1000))</x:f>
        <x:v>-0.9637403444661807</x:v>
      </x:c>
      <x:c r="V63" s="90" t="n">
        <x:f>IF(OR(U63="",U62=""),"",U63-U62)</x:f>
        <x:v>-0.15430118187615216</x:v>
      </x:c>
      <x:c r="W63" s="90" t="n">
        <x:f>IF('Datos_fuente'!T63="","",ASINH('Datos_fuente'!T63/1000))</x:f>
        <x:v>1.308919600783264</x:v>
      </x:c>
      <x:c r="X63" s="90" t="n">
        <x:f>IF(OR(W63="",W62=""),"",W63-W62)</x:f>
        <x:v>0.4288406113612053</x:v>
      </x:c>
      <x:c r="Y63" s="55" t="n">
        <x:f>'Datos_fuente'!W63</x:f>
        <x:v>1.129044615</x:v>
      </x:c>
      <x:c r="Z63" s="55" t="n">
        <x:f>IF(OR(Y63="",Y62=""),"",Y63-Y62)</x:f>
        <x:v>-0.035394621000000015</x:v>
      </x:c>
      <x:c r="AA63" s="90" t="n">
        <x:f>'Datos_fuente'!AA63</x:f>
        <x:v>-0.6491606132</x:v>
      </x:c>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t="str">
        <x:f>'Datos_fuente'!A64</x:f>
        <x:v>2010-10</x:v>
      </x:c>
      <x:c r="B64" s="90" t="n">
        <x:f>IF('Datos_fuente'!B64="","",LN('Datos_fuente'!B64))</x:f>
        <x:v>7.500312268328317</x:v>
      </x:c>
      <x:c r="C64" s="90" t="n">
        <x:f>IF(OR(B64="",B63=""),"",B64-B63)</x:f>
        <x:v>0.0015686037595941116</x:v>
      </x:c>
      <x:c r="D64" s="90" t="n">
        <x:f>IF('Datos_fuente'!C64="","",LN('Datos_fuente'!C64))</x:f>
        <x:v>4.414793415699155</x:v>
      </x:c>
      <x:c r="E64" s="90" t="n">
        <x:f>IF(OR(D64="",D63=""),"",D64-D63)</x:f>
        <x:v>0.0601318602912988</x:v>
      </x:c>
      <x:c r="F64" s="90" t="n">
        <x:f>IF('Datos_fuente'!E64="","",LN('Datos_fuente'!E64))</x:f>
        <x:v>8.285818355841236</x:v>
      </x:c>
      <x:c r="G64" s="90" t="n">
        <x:f>IF(OR(F64="",F63=""),"",F64-F63)</x:f>
        <x:v>0.0022256999195011673</x:v>
      </x:c>
      <x:c r="H64" s="55" t="n">
        <x:f>'Datos_fuente'!H64</x:f>
        <x:v>2.81</x:v>
      </x:c>
      <x:c r="I64" s="55" t="n">
        <x:f>IF(OR(H64="",H63=""),"",H64-H63)</x:f>
        <x:v>0</x:v>
      </x:c>
      <x:c r="J64" s="55" t="n">
        <x:f>'Datos_fuente'!J64</x:f>
        <x:v>3.296175502</x:v>
      </x:c>
      <x:c r="K64" s="55" t="n">
        <x:f>IF(OR(J64="",J63=""),"",J64-J63)</x:f>
        <x:v>-0.22291336299999998</x:v>
      </x:c>
      <x:c r="L64" s="90" t="n">
        <x:f>IF('Datos_fuente'!K64="","",LN('Datos_fuente'!K64))</x:f>
        <x:v>4.5023522131050315</x:v>
      </x:c>
      <x:c r="M64" s="90" t="n">
        <x:f>IF(OR(L64="",L63=""),"",L64-L63)</x:f>
        <x:v>-0.027691276898684336</x:v>
      </x:c>
      <x:c r="N64" s="90" t="n">
        <x:f>IF('Datos_fuente'!L64="","",LN('Datos_fuente'!L64))</x:f>
        <x:v>3.014226856026543</x:v>
      </x:c>
      <x:c r="O64" s="90" t="n">
        <x:f>IF(OR(N64="",N63=""),"",N64-N63)</x:f>
        <x:v>-0.1000712156342427</x:v>
      </x:c>
      <x:c r="P64" s="88" t="n">
        <x:f>'Datos_fuente'!N64</x:f>
        <x:v>0</x:v>
      </x:c>
      <x:c r="Q64" s="90" t="n">
        <x:f>IF('Datos_fuente'!O64="","",LN('Datos_fuente'!O64))</x:f>
        <x:v>10.234188165334091</x:v>
      </x:c>
      <x:c r="R64" s="90" t="n">
        <x:f>IF(OR(Q64="",Q63=""),"",Q64-Q63)</x:f>
        <x:v>0.020056204309097936</x:v>
      </x:c>
      <x:c r="S64" s="55" t="n">
        <x:f>'Datos_fuente'!R64</x:f>
        <x:v>5.091</x:v>
      </x:c>
      <x:c r="T64" s="55" t="n">
        <x:f>IF(OR(S64="",S63=""),"",S64-S63)</x:f>
        <x:v>-0.006835498000000051</x:v>
      </x:c>
      <x:c r="U64" s="90" t="n">
        <x:f>IF('Datos_fuente'!S64="","",ASINH('Datos_fuente'!S64/1000))</x:f>
        <x:v>-0.8401031763536654</x:v>
      </x:c>
      <x:c r="V64" s="90" t="n">
        <x:f>IF(OR(U64="",U63=""),"",U64-U63)</x:f>
        <x:v>0.12363716811251535</x:v>
      </x:c>
      <x:c r="W64" s="90" t="n">
        <x:f>IF('Datos_fuente'!T64="","",ASINH('Datos_fuente'!T64/1000))</x:f>
        <x:v>1.2493701636733863</x:v>
      </x:c>
      <x:c r="X64" s="90" t="n">
        <x:f>IF(OR(W64="",W63=""),"",W64-W63)</x:f>
        <x:v>-0.0595494371098777</x:v>
      </x:c>
      <x:c r="Y64" s="55" t="n">
        <x:f>'Datos_fuente'!W64</x:f>
        <x:v>1.14555365</x:v>
      </x:c>
      <x:c r="Z64" s="55" t="n">
        <x:f>IF(OR(Y64="",Y63=""),"",Y64-Y63)</x:f>
        <x:v>0.016509035000000116</x:v>
      </x:c>
      <x:c r="AA64" s="90" t="n">
        <x:f>'Datos_fuente'!AA64</x:f>
        <x:v>-0.8488139257</x:v>
      </x:c>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t="str">
        <x:f>'Datos_fuente'!A65</x:f>
        <x:v>2010-11</x:v>
      </x:c>
      <x:c r="B65" s="90" t="n">
        <x:f>IF('Datos_fuente'!B65="","",LN('Datos_fuente'!B65))</x:f>
        <x:v>7.529940149984486</x:v>
      </x:c>
      <x:c r="C65" s="90" t="n">
        <x:f>IF(OR(B65="",B64=""),"",B65-B64)</x:f>
        <x:v>0.02962788165616903</x:v>
      </x:c>
      <x:c r="D65" s="90" t="n">
        <x:f>IF('Datos_fuente'!C65="","",LN('Datos_fuente'!C65))</x:f>
        <x:v>4.445878536157744</x:v>
      </x:c>
      <x:c r="E65" s="90" t="n">
        <x:f>IF(OR(D65="",D64=""),"",D65-D64)</x:f>
        <x:v>0.0310851204585898</x:v>
      </x:c>
      <x:c r="F65" s="90" t="n">
        <x:f>IF('Datos_fuente'!E65="","",LN('Datos_fuente'!E65))</x:f>
        <x:v>8.290852033201821</x:v>
      </x:c>
      <x:c r="G65" s="90" t="n">
        <x:f>IF(OR(F65="",F64=""),"",F65-F64)</x:f>
        <x:v>0.005033677360584576</x:v>
      </x:c>
      <x:c r="H65" s="55" t="n">
        <x:f>'Datos_fuente'!H65</x:f>
        <x:v>2.81</x:v>
      </x:c>
      <x:c r="I65" s="55" t="n">
        <x:f>IF(OR(H65="",H64=""),"",H65-H64)</x:f>
        <x:v>0</x:v>
      </x:c>
      <x:c r="J65" s="55" t="n">
        <x:f>'Datos_fuente'!J65</x:f>
        <x:v>3.142361823</x:v>
      </x:c>
      <x:c r="K65" s="55" t="n">
        <x:f>IF(OR(J65="",J64=""),"",J65-J64)</x:f>
        <x:v>-0.1538136790000002</x:v>
      </x:c>
      <x:c r="L65" s="90" t="n">
        <x:f>IF('Datos_fuente'!K65="","",LN('Datos_fuente'!K65))</x:f>
        <x:v>4.505455204272021</x:v>
      </x:c>
      <x:c r="M65" s="90" t="n">
        <x:f>IF(OR(L65="",L64=""),"",L65-L64)</x:f>
        <x:v>0.0031029911669895327</x:v>
      </x:c>
      <x:c r="N65" s="90" t="n">
        <x:f>IF('Datos_fuente'!L65="","",LN('Datos_fuente'!L65))</x:f>
        <x:v>3.0005065729275566</x:v>
      </x:c>
      <x:c r="O65" s="90" t="n">
        <x:f>IF(OR(N65="",N64=""),"",N65-N64)</x:f>
        <x:v>-0.013720283098986208</x:v>
      </x:c>
      <x:c r="P65" s="88" t="n">
        <x:f>'Datos_fuente'!N65</x:f>
        <x:v>0</x:v>
      </x:c>
      <x:c r="Q65" s="90" t="n">
        <x:f>IF('Datos_fuente'!O65="","",LN('Datos_fuente'!O65))</x:f>
        <x:v>10.235344153480753</x:v>
      </x:c>
      <x:c r="R65" s="90" t="n">
        <x:f>IF(OR(Q65="",Q64=""),"",Q65-Q64)</x:f>
        <x:v>0.001155988146662068</x:v>
      </x:c>
      <x:c r="S65" s="55" t="n">
        <x:f>'Datos_fuente'!R65</x:f>
        <x:v>5.079</x:v>
      </x:c>
      <x:c r="T65" s="55" t="n">
        <x:f>IF(OR(S65="",S64=""),"",S65-S64)</x:f>
        <x:v>-0.012000000000000455</x:v>
      </x:c>
      <x:c r="U65" s="90" t="n">
        <x:f>IF('Datos_fuente'!S65="","",ASINH('Datos_fuente'!S65/1000))</x:f>
        <x:v>-0.8347737549466689</x:v>
      </x:c>
      <x:c r="V65" s="90" t="n">
        <x:f>IF(OR(U65="",U64=""),"",U65-U64)</x:f>
        <x:v>0.005329421406996437</x:v>
      </x:c>
      <x:c r="W65" s="90" t="n">
        <x:f>IF('Datos_fuente'!T65="","",ASINH('Datos_fuente'!T65/1000))</x:f>
        <x:v>0.7781327718238205</x:v>
      </x:c>
      <x:c r="X65" s="90" t="n">
        <x:f>IF(OR(W65="",W64=""),"",W65-W64)</x:f>
        <x:v>-0.4712373918495658</x:v>
      </x:c>
      <x:c r="Y65" s="55" t="n">
        <x:f>'Datos_fuente'!W65</x:f>
        <x:v>1.443288343</x:v>
      </x:c>
      <x:c r="Z65" s="55" t="n">
        <x:f>IF(OR(Y65="",Y64=""),"",Y65-Y64)</x:f>
        <x:v>0.297734693</x:v>
      </x:c>
      <x:c r="AA65" s="90" t="n">
        <x:f>'Datos_fuente'!AA65</x:f>
        <x:v>-0.1024320116</x:v>
      </x:c>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t="str">
        <x:f>'Datos_fuente'!A66</x:f>
        <x:v>2010-12</x:v>
      </x:c>
      <x:c r="B66" s="90" t="n">
        <x:f>IF('Datos_fuente'!B66="","",LN('Datos_fuente'!B66))</x:f>
        <x:v>7.5612939420024</x:v>
      </x:c>
      <x:c r="C66" s="90" t="n">
        <x:f>IF(OR(B66="",B65=""),"",B66-B65)</x:f>
        <x:v>0.03135379201791366</x:v>
      </x:c>
      <x:c r="D66" s="90" t="n">
        <x:f>IF('Datos_fuente'!C66="","",LN('Datos_fuente'!C66))</x:f>
        <x:v>4.515757581229944</x:v>
      </x:c>
      <x:c r="E66" s="90" t="n">
        <x:f>IF(OR(D66="",D65=""),"",D66-D65)</x:f>
        <x:v>0.06987904507219955</x:v>
      </x:c>
      <x:c r="F66" s="90" t="n">
        <x:f>IF('Datos_fuente'!E66="","",LN('Datos_fuente'!E66))</x:f>
        <x:v>8.293134221233998</x:v>
      </x:c>
      <x:c r="G66" s="90" t="n">
        <x:f>IF(OR(F66="",F65=""),"",F66-F65)</x:f>
        <x:v>0.002282188032177501</x:v>
      </x:c>
      <x:c r="H66" s="55" t="n">
        <x:f>'Datos_fuente'!H66</x:f>
        <x:v>2.82</x:v>
      </x:c>
      <x:c r="I66" s="55" t="n">
        <x:f>IF(OR(H66="",H65=""),"",H66-H65)</x:f>
        <x:v>0.009999999999999787</x:v>
      </x:c>
      <x:c r="J66" s="55" t="n">
        <x:f>'Datos_fuente'!J66</x:f>
        <x:v>3.863366127</x:v>
      </x:c>
      <x:c r="K66" s="55" t="n">
        <x:f>IF(OR(J66="",J65=""),"",J66-J65)</x:f>
        <x:v>0.721004304</x:v>
      </x:c>
      <x:c r="L66" s="90" t="n">
        <x:f>IF('Datos_fuente'!K66="","",LN('Datos_fuente'!K66))</x:f>
        <x:v>4.512873646335186</x:v>
      </x:c>
      <x:c r="M66" s="90" t="n">
        <x:f>IF(OR(L66="",L65=""),"",L66-L65)</x:f>
        <x:v>0.007418442063165109</x:v>
      </x:c>
      <x:c r="N66" s="90" t="n">
        <x:f>IF('Datos_fuente'!L66="","",LN('Datos_fuente'!L66))</x:f>
        <x:v>2.8661670310618463</x:v>
      </x:c>
      <x:c r="O66" s="90" t="n">
        <x:f>IF(OR(N66="",N65=""),"",N66-N65)</x:f>
        <x:v>-0.1343395418657103</x:v>
      </x:c>
      <x:c r="P66" s="88" t="n">
        <x:f>'Datos_fuente'!N66</x:f>
        <x:v>0</x:v>
      </x:c>
      <x:c r="Q66" s="90" t="n">
        <x:f>IF('Datos_fuente'!O66="","",LN('Datos_fuente'!O66))</x:f>
        <x:v>10.255968112331338</x:v>
      </x:c>
      <x:c r="R66" s="90" t="n">
        <x:f>IF(OR(Q66="",Q65=""),"",Q66-Q65)</x:f>
        <x:v>0.02062395885058521</x:v>
      </x:c>
      <x:c r="S66" s="55" t="n">
        <x:f>'Datos_fuente'!R66</x:f>
        <x:v>4.887662338</x:v>
      </x:c>
      <x:c r="T66" s="55" t="n">
        <x:f>IF(OR(S66="",S65=""),"",S66-S65)</x:f>
        <x:v>-0.19133766199999958</x:v>
      </x:c>
      <x:c r="U66" s="90" t="n">
        <x:f>IF('Datos_fuente'!S66="","",ASINH('Datos_fuente'!S66/1000))</x:f>
        <x:v>-0.9620942838629954</x:v>
      </x:c>
      <x:c r="V66" s="90" t="n">
        <x:f>IF(OR(U66="",U65=""),"",U66-U65)</x:f>
        <x:v>-0.1273205289163265</x:v>
      </x:c>
      <x:c r="W66" s="90" t="n">
        <x:f>IF('Datos_fuente'!T66="","",ASINH('Datos_fuente'!T66/1000))</x:f>
        <x:v>1.5118644407028943</x:v>
      </x:c>
      <x:c r="X66" s="90" t="n">
        <x:f>IF(OR(W66="",W65=""),"",W66-W65)</x:f>
        <x:v>0.7337316688790738</x:v>
      </x:c>
      <x:c r="Y66" s="55" t="n">
        <x:f>'Datos_fuente'!W66</x:f>
        <x:v>1.664388832</x:v>
      </x:c>
      <x:c r="Z66" s="55" t="n">
        <x:f>IF(OR(Y66="",Y65=""),"",Y66-Y65)</x:f>
        <x:v>0.2211004889999999</x:v>
      </x:c>
      <x:c r="AA66" s="90" t="n">
        <x:f>'Datos_fuente'!AA66</x:f>
        <x:v>-0.3956209811</x:v>
      </x:c>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t="str">
        <x:f>'Datos_fuente'!A67</x:f>
        <x:v>2011-01</x:v>
      </x:c>
      <x:c r="B67" s="90" t="n">
        <x:f>IF('Datos_fuente'!B67="","",LN('Datos_fuente'!B67))</x:f>
        <x:v>7.532129264281685</x:v>
      </x:c>
      <x:c r="C67" s="90" t="n">
        <x:f>IF(OR(B67="",B66=""),"",B67-B66)</x:f>
        <x:v>-0.02916467772071485</x:v>
      </x:c>
      <x:c r="D67" s="90" t="n">
        <x:f>IF('Datos_fuente'!C67="","",LN('Datos_fuente'!C67))</x:f>
        <x:v>4.569786502014013</x:v>
      </x:c>
      <x:c r="E67" s="90" t="n">
        <x:f>IF(OR(D67="",D66=""),"",D67-D66)</x:f>
        <x:v>0.05402892078406918</x:v>
      </x:c>
      <x:c r="F67" s="90" t="n">
        <x:f>IF('Datos_fuente'!E67="","",LN('Datos_fuente'!E67))</x:f>
        <x:v>8.299634018395928</x:v>
      </x:c>
      <x:c r="G67" s="90" t="n">
        <x:f>IF(OR(F67="",F66=""),"",F67-F66)</x:f>
        <x:v>0.006499797161929166</x:v>
      </x:c>
      <x:c r="H67" s="55" t="n">
        <x:f>'Datos_fuente'!H67</x:f>
        <x:v>2.83</x:v>
      </x:c>
      <x:c r="I67" s="55" t="n">
        <x:f>IF(OR(H67="",H66=""),"",H67-H66)</x:f>
        <x:v>0.010000000000000231</x:v>
      </x:c>
      <x:c r="J67" s="55" t="n">
        <x:f>'Datos_fuente'!J67</x:f>
        <x:v>3.08770208</x:v>
      </x:c>
      <x:c r="K67" s="55" t="n">
        <x:f>IF(OR(J67="",J66=""),"",J67-J66)</x:f>
        <x:v>-0.7756640469999998</x:v>
      </x:c>
      <x:c r="L67" s="90" t="n">
        <x:f>IF('Datos_fuente'!K67="","",LN('Datos_fuente'!K67))</x:f>
        <x:v>4.501044685163174</x:v>
      </x:c>
      <x:c r="M67" s="90" t="n">
        <x:f>IF(OR(L67="",L66=""),"",L67-L66)</x:f>
        <x:v>-0.011828961172012598</x:v>
      </x:c>
      <x:c r="N67" s="90" t="n">
        <x:f>IF('Datos_fuente'!L67="","",LN('Datos_fuente'!L67))</x:f>
        <x:v>2.8516020541339673</x:v>
      </x:c>
      <x:c r="O67" s="90" t="n">
        <x:f>IF(OR(N67="",N66=""),"",N67-N66)</x:f>
        <x:v>-0.014564976927879059</x:v>
      </x:c>
      <x:c r="P67" s="88" t="n">
        <x:f>'Datos_fuente'!N67</x:f>
        <x:v>0</x:v>
      </x:c>
      <x:c r="Q67" s="90" t="n">
        <x:f>IF('Datos_fuente'!O67="","",LN('Datos_fuente'!O67))</x:f>
        <x:v>10.271465723632165</x:v>
      </x:c>
      <x:c r="R67" s="90" t="n">
        <x:f>IF(OR(Q67="",Q66=""),"",Q67-Q66)</x:f>
        <x:v>0.015497611300826719</x:v>
      </x:c>
      <x:c r="S67" s="55" t="n">
        <x:f>'Datos_fuente'!R67</x:f>
        <x:v>5.001</x:v>
      </x:c>
      <x:c r="T67" s="55" t="n">
        <x:f>IF(OR(S67="",S66=""),"",S67-S66)</x:f>
        <x:v>0.11333766200000017</x:v>
      </x:c>
      <x:c r="U67" s="90" t="n">
        <x:f>IF('Datos_fuente'!S67="","",ASINH('Datos_fuente'!S67/1000))</x:f>
        <x:v>-1.0097935294643408</x:v>
      </x:c>
      <x:c r="V67" s="90" t="n">
        <x:f>IF(OR(U67="",U66=""),"",U67-U66)</x:f>
        <x:v>-0.04769924560134531</x:v>
      </x:c>
      <x:c r="W67" s="90" t="n">
        <x:f>IF('Datos_fuente'!T67="","",ASINH('Datos_fuente'!T67/1000))</x:f>
        <x:v>1.2830871584243702</x:v>
      </x:c>
      <x:c r="X67" s="90" t="n">
        <x:f>IF(OR(W67="",W66=""),"",W67-W66)</x:f>
        <x:v>-0.22877728227852412</x:v>
      </x:c>
      <x:c r="Y67" s="55" t="n">
        <x:f>'Datos_fuente'!W67</x:f>
        <x:v>1.757747228</x:v>
      </x:c>
      <x:c r="Z67" s="55" t="n">
        <x:f>IF(OR(Y67="",Y66=""),"",Y67-Y66)</x:f>
        <x:v>0.09335839599999995</x:v>
      </x:c>
      <x:c r="AA67" s="90" t="n">
        <x:f>'Datos_fuente'!AA67</x:f>
        <x:v>-0.02879319328</x:v>
      </x:c>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t="str">
        <x:f>'Datos_fuente'!A68</x:f>
        <x:v>2011-02</x:v>
      </x:c>
      <x:c r="B68" s="90" t="n">
        <x:f>IF('Datos_fuente'!B68="","",LN('Datos_fuente'!B68))</x:f>
        <x:v>7.540287659333665</x:v>
      </x:c>
      <x:c r="C68" s="90" t="n">
        <x:f>IF(OR(B68="",B67=""),"",B68-B67)</x:f>
        <x:v>0.00815839505198035</x:v>
      </x:c>
      <x:c r="D68" s="90" t="n">
        <x:f>IF('Datos_fuente'!C68="","",LN('Datos_fuente'!C68))</x:f>
        <x:v>4.641659439407119</x:v>
      </x:c>
      <x:c r="E68" s="90" t="n">
        <x:f>IF(OR(D68="",D67=""),"",D68-D67)</x:f>
        <x:v>0.07187293739310618</x:v>
      </x:c>
      <x:c r="F68" s="90" t="n">
        <x:f>IF('Datos_fuente'!E68="","",LN('Datos_fuente'!E68))</x:f>
        <x:v>8.311223816044516</x:v>
      </x:c>
      <x:c r="G68" s="90" t="n">
        <x:f>IF(OR(F68="",F67=""),"",F68-F67)</x:f>
        <x:v>0.011589797648587918</x:v>
      </x:c>
      <x:c r="H68" s="55" t="n">
        <x:f>'Datos_fuente'!H68</x:f>
        <x:v>2.848928571</x:v>
      </x:c>
      <x:c r="I68" s="55" t="n">
        <x:f>IF(OR(H68="",H67=""),"",H68-H67)</x:f>
        <x:v>0.018928571000000005</x:v>
      </x:c>
      <x:c r="J68" s="55" t="n">
        <x:f>'Datos_fuente'!J68</x:f>
        <x:v>3.142188177</x:v>
      </x:c>
      <x:c r="K68" s="55" t="n">
        <x:f>IF(OR(J68="",J67=""),"",J68-J67)</x:f>
        <x:v>0.054486096999999845</x:v>
      </x:c>
      <x:c r="L68" s="90" t="n">
        <x:f>IF('Datos_fuente'!K68="","",LN('Datos_fuente'!K68))</x:f>
        <x:v>4.493083650956908</x:v>
      </x:c>
      <x:c r="M68" s="90" t="n">
        <x:f>IF(OR(L68="",L67=""),"",L68-L67)</x:f>
        <x:v>-0.00796103420626526</x:v>
      </x:c>
      <x:c r="N68" s="90" t="n">
        <x:f>IF('Datos_fuente'!L68="","",LN('Datos_fuente'!L68))</x:f>
        <x:v>2.8581928595319295</x:v>
      </x:c>
      <x:c r="O68" s="90" t="n">
        <x:f>IF(OR(N68="",N67=""),"",N68-N67)</x:f>
        <x:v>0.006590805397962196</x:v>
      </x:c>
      <x:c r="P68" s="88" t="n">
        <x:f>'Datos_fuente'!N68</x:f>
        <x:v>0</x:v>
      </x:c>
      <x:c r="Q68" s="90" t="n">
        <x:f>IF('Datos_fuente'!O68="","",LN('Datos_fuente'!O68))</x:f>
        <x:v>10.285748855895985</x:v>
      </x:c>
      <x:c r="R68" s="90" t="n">
        <x:f>IF(OR(Q68="",Q67=""),"",Q68-Q67)</x:f>
        <x:v>0.014283132263820164</x:v>
      </x:c>
      <x:c r="S68" s="55" t="n">
        <x:f>'Datos_fuente'!R68</x:f>
        <x:v>5.199684211</x:v>
      </x:c>
      <x:c r="T68" s="55" t="n">
        <x:f>IF(OR(S68="",S67=""),"",S68-S67)</x:f>
        <x:v>0.19868421099999978</x:v>
      </x:c>
      <x:c r="U68" s="90" t="n">
        <x:f>IF('Datos_fuente'!S68="","",ASINH('Datos_fuente'!S68/1000))</x:f>
        <x:v>-0.7374556136068944</x:v>
      </x:c>
      <x:c r="V68" s="90" t="n">
        <x:f>IF(OR(U68="",U67=""),"",U68-U67)</x:f>
        <x:v>0.2723379158574464</x:v>
      </x:c>
      <x:c r="W68" s="90" t="n">
        <x:f>IF('Datos_fuente'!T68="","",ASINH('Datos_fuente'!T68/1000))</x:f>
        <x:v>0.9022613060960093</x:v>
      </x:c>
      <x:c r="X68" s="90" t="n">
        <x:f>IF(OR(W68="",W67=""),"",W68-W67)</x:f>
        <x:v>-0.38082585232836086</x:v>
      </x:c>
      <x:c r="Y68" s="55" t="n">
        <x:f>'Datos_fuente'!W68</x:f>
        <x:v>1.060650014</x:v>
      </x:c>
      <x:c r="Z68" s="55" t="n">
        <x:f>IF(OR(Y68="",Y67=""),"",Y68-Y67)</x:f>
        <x:v>-0.697097214</x:v>
      </x:c>
      <x:c r="AA68" s="90" t="n">
        <x:f>'Datos_fuente'!AA68</x:f>
        <x:v>-0.6035450963</x:v>
      </x:c>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t="str">
        <x:f>'Datos_fuente'!A69</x:f>
        <x:v>2011-03</x:v>
      </x:c>
      <x:c r="B69" s="90" t="n">
        <x:f>IF('Datos_fuente'!B69="","",LN('Datos_fuente'!B69))</x:f>
        <x:v>7.539991930076701</x:v>
      </x:c>
      <x:c r="C69" s="90" t="n">
        <x:f>IF(OR(B69="",B68=""),"",B69-B68)</x:f>
        <x:v>-0.00029572925696452756</x:v>
      </x:c>
      <x:c r="D69" s="90" t="n">
        <x:f>IF('Datos_fuente'!C69="","",LN('Datos_fuente'!C69))</x:f>
        <x:v>4.741827124127326</x:v>
      </x:c>
      <x:c r="E69" s="90" t="n">
        <x:f>IF(OR(D69="",D68=""),"",D69-D68)</x:f>
        <x:v>0.10016768472020665</x:v>
      </x:c>
      <x:c r="F69" s="90" t="n">
        <x:f>IF('Datos_fuente'!E69="","",LN('Datos_fuente'!E69))</x:f>
        <x:v>8.310727291704623</x:v>
      </x:c>
      <x:c r="G69" s="90" t="n">
        <x:f>IF(OR(F69="",F68=""),"",F69-F68)</x:f>
        <x:v>-0.0004965243398924457</x:v>
      </x:c>
      <x:c r="H69" s="55" t="n">
        <x:f>'Datos_fuente'!H69</x:f>
        <x:v>3.190645161</x:v>
      </x:c>
      <x:c r="I69" s="55" t="n">
        <x:f>IF(OR(H69="",H68=""),"",H69-H68)</x:f>
        <x:v>0.3417165899999999</x:v>
      </x:c>
      <x:c r="J69" s="55" t="n">
        <x:f>'Datos_fuente'!J69</x:f>
        <x:v>2.906603181</x:v>
      </x:c>
      <x:c r="K69" s="55" t="n">
        <x:f>IF(OR(J69="",J68=""),"",J69-J68)</x:f>
        <x:v>-0.23558499600000005</x:v>
      </x:c>
      <x:c r="L69" s="90" t="n">
        <x:f>IF('Datos_fuente'!K69="","",LN('Datos_fuente'!K69))</x:f>
        <x:v>4.482858203630055</x:v>
      </x:c>
      <x:c r="M69" s="90" t="n">
        <x:f>IF(OR(L69="",L68=""),"",L69-L68)</x:f>
        <x:v>-0.010225447326853043</x:v>
      </x:c>
      <x:c r="N69" s="90" t="n">
        <x:f>IF('Datos_fuente'!L69="","",LN('Datos_fuente'!L69))</x:f>
        <x:v>3.031267272993862</x:v>
      </x:c>
      <x:c r="O69" s="90" t="n">
        <x:f>IF(OR(N69="",N68=""),"",N69-N68)</x:f>
        <x:v>0.17307441346193242</x:v>
      </x:c>
      <x:c r="P69" s="88" t="n">
        <x:f>'Datos_fuente'!N69</x:f>
        <x:v>0</x:v>
      </x:c>
      <x:c r="Q69" s="90" t="n">
        <x:f>IF('Datos_fuente'!O69="","",LN('Datos_fuente'!O69))</x:f>
        <x:v>10.303826544532237</x:v>
      </x:c>
      <x:c r="R69" s="90" t="n">
        <x:f>IF(OR(Q69="",Q68=""),"",Q69-Q68)</x:f>
        <x:v>0.01807768863625192</x:v>
      </x:c>
      <x:c r="S69" s="55" t="n">
        <x:f>'Datos_fuente'!R69</x:f>
        <x:v>5.404743083</x:v>
      </x:c>
      <x:c r="T69" s="55" t="n">
        <x:f>IF(OR(S69="",S68=""),"",S69-S68)</x:f>
        <x:v>0.2050588719999995</x:v>
      </x:c>
      <x:c r="U69" s="90" t="n">
        <x:f>IF('Datos_fuente'!S69="","",ASINH('Datos_fuente'!S69/1000))</x:f>
        <x:v>-0.9999279385065671</x:v>
      </x:c>
      <x:c r="V69" s="90" t="n">
        <x:f>IF(OR(U69="",U68=""),"",U69-U68)</x:f>
        <x:v>-0.26247232489967276</x:v>
      </x:c>
      <x:c r="W69" s="90" t="n">
        <x:f>IF('Datos_fuente'!T69="","",ASINH('Datos_fuente'!T69/1000))</x:f>
        <x:v>1.4157565328993698</x:v>
      </x:c>
      <x:c r="X69" s="90" t="n">
        <x:f>IF(OR(W69="",W68=""),"",W69-W68)</x:f>
        <x:v>0.5134952268033605</x:v>
      </x:c>
      <x:c r="Y69" s="55" t="n">
        <x:f>'Datos_fuente'!W69</x:f>
        <x:v>0.50636251</x:v>
      </x:c>
      <x:c r="Z69" s="55" t="n">
        <x:f>IF(OR(Y69="",Y68=""),"",Y69-Y68)</x:f>
        <x:v>-0.5542875039999999</x:v>
      </x:c>
      <x:c r="AA69" s="90" t="n">
        <x:f>'Datos_fuente'!AA69</x:f>
        <x:v>-0.1036843936</x:v>
      </x:c>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t="str">
        <x:f>'Datos_fuente'!A70</x:f>
        <x:v>2011-04</x:v>
      </x:c>
      <x:c r="B70" s="90" t="n">
        <x:f>IF('Datos_fuente'!B70="","",LN('Datos_fuente'!B70))</x:f>
        <x:v>7.500990407346822</x:v>
      </x:c>
      <x:c r="C70" s="90" t="n">
        <x:f>IF(OR(B70="",B69=""),"",B70-B69)</x:f>
        <x:v>-0.03900152272987878</x:v>
      </x:c>
      <x:c r="D70" s="90" t="n">
        <x:f>IF('Datos_fuente'!C70="","",LN('Datos_fuente'!C70))</x:f>
        <x:v>4.814286931214708</x:v>
      </x:c>
      <x:c r="E70" s="90" t="n">
        <x:f>IF(OR(D70="",D69=""),"",D70-D69)</x:f>
        <x:v>0.07245980708738209</x:v>
      </x:c>
      <x:c r="F70" s="90" t="n">
        <x:f>IF('Datos_fuente'!E70="","",LN('Datos_fuente'!E70))</x:f>
        <x:v>8.308381447362207</x:v>
      </x:c>
      <x:c r="G70" s="90" t="n">
        <x:f>IF(OR(F70="",F69=""),"",F70-F69)</x:f>
        <x:v>-0.00234584434241647</x:v>
      </x:c>
      <x:c r="H70" s="55" t="n">
        <x:f>'Datos_fuente'!H70</x:f>
        <x:v>3.4</x:v>
      </x:c>
      <x:c r="I70" s="55" t="n">
        <x:f>IF(OR(H70="",H69=""),"",H70-H69)</x:f>
        <x:v>0.20935483899999996</x:v>
      </x:c>
      <x:c r="J70" s="55" t="n">
        <x:f>'Datos_fuente'!J70</x:f>
        <x:v>2.322726513</x:v>
      </x:c>
      <x:c r="K70" s="55" t="n">
        <x:f>IF(OR(J70="",J69=""),"",J70-J69)</x:f>
        <x:v>-0.5838766679999998</x:v>
      </x:c>
      <x:c r="L70" s="90" t="n">
        <x:f>IF('Datos_fuente'!K70="","",LN('Datos_fuente'!K70))</x:f>
        <x:v>4.465003878573409</x:v>
      </x:c>
      <x:c r="M70" s="90" t="n">
        <x:f>IF(OR(L70="",L69=""),"",L70-L69)</x:f>
        <x:v>-0.017854325056646303</x:v>
      </x:c>
      <x:c r="N70" s="90" t="n">
        <x:f>IF('Datos_fuente'!L70="","",LN('Datos_fuente'!L70))</x:f>
        <x:v>2.7877236098240514</x:v>
      </x:c>
      <x:c r="O70" s="90" t="n">
        <x:f>IF(OR(N70="",N69=""),"",N70-N69)</x:f>
        <x:v>-0.24354366316981046</x:v>
      </x:c>
      <x:c r="P70" s="88" t="n">
        <x:f>'Datos_fuente'!N70</x:f>
        <x:v>0</x:v>
      </x:c>
      <x:c r="Q70" s="90" t="n">
        <x:f>IF('Datos_fuente'!O70="","",LN('Datos_fuente'!O70))</x:f>
        <x:v>10.327300308402286</x:v>
      </x:c>
      <x:c r="R70" s="90" t="n">
        <x:f>IF(OR(Q70="",Q69=""),"",Q70-Q69)</x:f>
        <x:v>0.02347376387004907</x:v>
      </x:c>
      <x:c r="S70" s="55" t="n">
        <x:f>'Datos_fuente'!R70</x:f>
        <x:v>5.092368421</x:v>
      </x:c>
      <x:c r="T70" s="55" t="n">
        <x:f>IF(OR(S70="",S69=""),"",S70-S69)</x:f>
        <x:v>-0.31237466199999986</x:v>
      </x:c>
      <x:c r="U70" s="90" t="n">
        <x:f>IF('Datos_fuente'!S70="","",ASINH('Datos_fuente'!S70/1000))</x:f>
        <x:v>-1.020669998546239</x:v>
      </x:c>
      <x:c r="V70" s="90" t="n">
        <x:f>IF(OR(U70="",U69=""),"",U70-U69)</x:f>
        <x:v>-0.02074206003967194</x:v>
      </x:c>
      <x:c r="W70" s="90" t="n">
        <x:f>IF('Datos_fuente'!T70="","",ASINH('Datos_fuente'!T70/1000))</x:f>
        <x:v>1.5087015773700088</x:v>
      </x:c>
      <x:c r="X70" s="90" t="n">
        <x:f>IF(OR(W70="",W69=""),"",W70-W69)</x:f>
        <x:v>0.092945044470639</x:v>
      </x:c>
      <x:c r="Y70" s="55" t="n">
        <x:f>'Datos_fuente'!W70</x:f>
        <x:v>-0.3198336344</x:v>
      </x:c>
      <x:c r="Z70" s="55" t="n">
        <x:f>IF(OR(Y70="",Y69=""),"",Y70-Y69)</x:f>
        <x:v>-0.8261961444</x:v>
      </x:c>
      <x:c r="AA70" s="90" t="n">
        <x:f>'Datos_fuente'!AA70</x:f>
        <x:v>-1.065286415</x:v>
      </x:c>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t="str">
        <x:f>'Datos_fuente'!A71</x:f>
        <x:v>2011-05</x:v>
      </x:c>
      <x:c r="B71" s="90" t="n">
        <x:f>IF('Datos_fuente'!B71="","",LN('Datos_fuente'!B71))</x:f>
        <x:v>7.495824520622356</x:v>
      </x:c>
      <x:c r="C71" s="90" t="n">
        <x:f>IF(OR(B71="",B70=""),"",B71-B70)</x:f>
        <x:v>-0.005165886724466162</x:v>
      </x:c>
      <x:c r="D71" s="90" t="n">
        <x:f>IF('Datos_fuente'!C71="","",LN('Datos_fuente'!C71))</x:f>
        <x:v>4.744836885566929</x:v>
      </x:c>
      <x:c r="E71" s="90" t="n">
        <x:f>IF(OR(D71="",D70=""),"",D71-D70)</x:f>
        <x:v>-0.06945004564777868</x:v>
      </x:c>
      <x:c r="F71" s="90" t="n">
        <x:f>IF('Datos_fuente'!E71="","",LN('Datos_fuente'!E71))</x:f>
        <x:v>8.313249144379608</x:v>
      </x:c>
      <x:c r="G71" s="90" t="n">
        <x:f>IF(OR(F71="",F70=""),"",F71-F70)</x:f>
        <x:v>0.004867697017401085</x:v>
      </x:c>
      <x:c r="H71" s="55" t="n">
        <x:f>'Datos_fuente'!H71</x:f>
        <x:v>3.66</x:v>
      </x:c>
      <x:c r="I71" s="55" t="n">
        <x:f>IF(OR(H71="",H70=""),"",H71-H70)</x:f>
        <x:v>0.26000000000000023</x:v>
      </x:c>
      <x:c r="J71" s="55" t="n">
        <x:f>'Datos_fuente'!J71</x:f>
        <x:v>2.01589302</x:v>
      </x:c>
      <x:c r="K71" s="55" t="n">
        <x:f>IF(OR(J71="",J70=""),"",J71-J70)</x:f>
        <x:v>-0.30683349300000007</x:v>
      </x:c>
      <x:c r="L71" s="90" t="n">
        <x:f>IF('Datos_fuente'!K71="","",LN('Datos_fuente'!K71))</x:f>
        <x:v>4.465291891584298</x:v>
      </x:c>
      <x:c r="M71" s="90" t="n">
        <x:f>IF(OR(L71="",L70=""),"",L71-L70)</x:f>
        <x:v>0.0002880130108886547</x:v>
      </x:c>
      <x:c r="N71" s="90" t="n">
        <x:f>IF('Datos_fuente'!L71="","",LN('Datos_fuente'!L71))</x:f>
        <x:v>2.827989640122792</x:v>
      </x:c>
      <x:c r="O71" s="90" t="n">
        <x:f>IF(OR(N71="",N70=""),"",N71-N70)</x:f>
        <x:v>0.04026603029874076</x:v>
      </x:c>
      <x:c r="P71" s="88" t="n">
        <x:f>'Datos_fuente'!N71</x:f>
        <x:v>0</x:v>
      </x:c>
      <x:c r="Q71" s="90" t="n">
        <x:f>IF('Datos_fuente'!O71="","",LN('Datos_fuente'!O71))</x:f>
        <x:v>10.335648144197643</x:v>
      </x:c>
      <x:c r="R71" s="90" t="n">
        <x:f>IF(OR(Q71="",Q70=""),"",Q71-Q70)</x:f>
        <x:v>0.008347835795357028</x:v>
      </x:c>
      <x:c r="S71" s="55" t="n">
        <x:f>'Datos_fuente'!R71</x:f>
        <x:v>5.250519481</x:v>
      </x:c>
      <x:c r="T71" s="55" t="n">
        <x:f>IF(OR(S71="",S70=""),"",S71-S70)</x:f>
        <x:v>0.15815106000000068</x:v>
      </x:c>
      <x:c r="U71" s="90" t="n">
        <x:f>IF('Datos_fuente'!S71="","",ASINH('Datos_fuente'!S71/1000))</x:f>
        <x:v>-0.9755959459675599</x:v>
      </x:c>
      <x:c r="V71" s="90" t="n">
        <x:f>IF(OR(U71="",U70=""),"",U71-U70)</x:f>
        <x:v>0.045074052578679136</x:v>
      </x:c>
      <x:c r="W71" s="90" t="n">
        <x:f>IF('Datos_fuente'!T71="","",ASINH('Datos_fuente'!T71/1000))</x:f>
        <x:v>1.1613729991741142</x:v>
      </x:c>
      <x:c r="X71" s="90" t="n">
        <x:f>IF(OR(W71="",W70=""),"",W71-W70)</x:f>
        <x:v>-0.3473285781958946</x:v>
      </x:c>
      <x:c r="Y71" s="55" t="n">
        <x:f>'Datos_fuente'!W71</x:f>
        <x:v>-0.5495707195</x:v>
      </x:c>
      <x:c r="Z71" s="55" t="n">
        <x:f>IF(OR(Y71="",Y70=""),"",Y71-Y70)</x:f>
        <x:v>-0.22973708510000002</x:v>
      </x:c>
      <x:c r="AA71" s="90" t="n">
        <x:f>'Datos_fuente'!AA71</x:f>
        <x:v>-0.0367921051</x:v>
      </x:c>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t="str">
        <x:f>'Datos_fuente'!A72</x:f>
        <x:v>2011-06</x:v>
      </x:c>
      <x:c r="B72" s="90" t="n">
        <x:f>IF('Datos_fuente'!B72="","",LN('Datos_fuente'!B72))</x:f>
        <x:v>7.48614197618128</x:v>
      </x:c>
      <x:c r="C72" s="90" t="n">
        <x:f>IF(OR(B72="",B71=""),"",B72-B71)</x:f>
        <x:v>-0.009682544441075969</x:v>
      </x:c>
      <x:c r="D72" s="90" t="n">
        <x:f>IF('Datos_fuente'!C72="","",LN('Datos_fuente'!C72))</x:f>
        <x:v>4.734734059155905</x:v>
      </x:c>
      <x:c r="E72" s="90" t="n">
        <x:f>IF(OR(D72="",D71=""),"",D72-D71)</x:f>
        <x:v>-0.010102826411024779</x:v>
      </x:c>
      <x:c r="F72" s="90" t="n">
        <x:f>IF('Datos_fuente'!E72="","",LN('Datos_fuente'!E72))</x:f>
        <x:v>8.315101486798639</x:v>
      </x:c>
      <x:c r="G72" s="90" t="n">
        <x:f>IF(OR(F72="",F71=""),"",F72-F71)</x:f>
        <x:v>0.0018523424190313165</x:v>
      </x:c>
      <x:c r="H72" s="55" t="n">
        <x:f>'Datos_fuente'!H72</x:f>
        <x:v>4.001666667</x:v>
      </x:c>
      <x:c r="I72" s="55" t="n">
        <x:f>IF(OR(H72="",H71=""),"",H72-H71)</x:f>
        <x:v>0.34166666700000015</x:v>
      </x:c>
      <x:c r="J72" s="55" t="n">
        <x:f>'Datos_fuente'!J72</x:f>
        <x:v>1.400903244</x:v>
      </x:c>
      <x:c r="K72" s="55" t="n">
        <x:f>IF(OR(J72="",J71=""),"",J72-J71)</x:f>
        <x:v>-0.614989776</x:v>
      </x:c>
      <x:c r="L72" s="90" t="n">
        <x:f>IF('Datos_fuente'!K72="","",LN('Datos_fuente'!K72))</x:f>
        <x:v>4.465232655523247</x:v>
      </x:c>
      <x:c r="M72" s="90" t="n">
        <x:f>IF(OR(L72="",L71=""),"",L72-L71)</x:f>
        <x:v>-0.00005923606105096013</x:v>
      </x:c>
      <x:c r="N72" s="90" t="n">
        <x:f>IF('Datos_fuente'!L72="","",LN('Datos_fuente'!L72))</x:f>
        <x:v>2.952468854305278</x:v>
      </x:c>
      <x:c r="O72" s="90" t="n">
        <x:f>IF(OR(N72="",N71=""),"",N72-N71)</x:f>
        <x:v>0.12447921418248598</x:v>
      </x:c>
      <x:c r="P72" s="88" t="n">
        <x:f>'Datos_fuente'!N72</x:f>
        <x:v>0</x:v>
      </x:c>
      <x:c r="Q72" s="90" t="n">
        <x:f>IF('Datos_fuente'!O72="","",LN('Datos_fuente'!O72))</x:f>
        <x:v>10.34810382009672</x:v>
      </x:c>
      <x:c r="R72" s="90" t="n">
        <x:f>IF(OR(Q72="",Q71=""),"",Q72-Q71)</x:f>
        <x:v>0.012455675899076368</x:v>
      </x:c>
      <x:c r="S72" s="55" t="n">
        <x:f>'Datos_fuente'!R72</x:f>
        <x:v>5.016727273</x:v>
      </x:c>
      <x:c r="T72" s="55" t="n">
        <x:f>IF(OR(S72="",S71=""),"",S72-S71)</x:f>
        <x:v>-0.23379220800000056</x:v>
      </x:c>
      <x:c r="U72" s="90" t="n">
        <x:f>IF('Datos_fuente'!S72="","",ASINH('Datos_fuente'!S72/1000))</x:f>
        <x:v>-0.9918408856076459</x:v>
      </x:c>
      <x:c r="V72" s="90" t="n">
        <x:f>IF(OR(U72="",U71=""),"",U72-U71)</x:f>
        <x:v>-0.016244939640085998</x:v>
      </x:c>
      <x:c r="W72" s="90" t="n">
        <x:f>IF('Datos_fuente'!T72="","",ASINH('Datos_fuente'!T72/1000))</x:f>
        <x:v>1.3150809687991802</x:v>
      </x:c>
      <x:c r="X72" s="90" t="n">
        <x:f>IF(OR(W72="",W71=""),"",W72-W71)</x:f>
        <x:v>0.15370796962506605</x:v>
      </x:c>
      <x:c r="Y72" s="55" t="n">
        <x:f>'Datos_fuente'!W72</x:f>
        <x:v>-0.3237357231</x:v>
      </x:c>
      <x:c r="Z72" s="55" t="n">
        <x:f>IF(OR(Y72="",Y71=""),"",Y72-Y71)</x:f>
        <x:v>0.22583499640000004</x:v>
      </x:c>
      <x:c r="AA72" s="90" t="n">
        <x:f>'Datos_fuente'!AA72</x:f>
        <x:v>-0.06070425238</x:v>
      </x:c>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t="str">
        <x:f>'Datos_fuente'!A73</x:f>
        <x:v>2011-07</x:v>
      </x:c>
      <x:c r="B73" s="90" t="n">
        <x:f>IF('Datos_fuente'!B73="","",LN('Datos_fuente'!B73))</x:f>
        <x:v>7.47397428673893</x:v>
      </x:c>
      <x:c r="C73" s="90" t="n">
        <x:f>IF(OR(B73="",B72=""),"",B73-B72)</x:f>
        <x:v>-0.012167689442350138</x:v>
      </x:c>
      <x:c r="D73" s="90" t="n">
        <x:f>IF('Datos_fuente'!C73="","",LN('Datos_fuente'!C73))</x:f>
        <x:v>4.7619474134172295</x:v>
      </x:c>
      <x:c r="E73" s="90" t="n">
        <x:f>IF(OR(D73="",D72=""),"",D73-D72)</x:f>
        <x:v>0.027213354261324874</x:v>
      </x:c>
      <x:c r="F73" s="90" t="n">
        <x:f>IF('Datos_fuente'!E73="","",LN('Datos_fuente'!E73))</x:f>
        <x:v>8.30965966719053</x:v>
      </x:c>
      <x:c r="G73" s="90" t="n">
        <x:f>IF(OR(F73="",F72=""),"",F73-F72)</x:f>
        <x:v>-0.005441819608108744</x:v>
      </x:c>
      <x:c r="H73" s="55" t="n">
        <x:f>'Datos_fuente'!H73</x:f>
        <x:v>4.18</x:v>
      </x:c>
      <x:c r="I73" s="55" t="n">
        <x:f>IF(OR(H73="",H72=""),"",H73-H72)</x:f>
        <x:v>0.17833333299999943</x:v>
      </x:c>
      <x:c r="J73" s="55" t="n">
        <x:f>'Datos_fuente'!J73</x:f>
        <x:v>1.073446088</x:v>
      </x:c>
      <x:c r="K73" s="55" t="n">
        <x:f>IF(OR(J73="",J72=""),"",J73-J72)</x:f>
        <x:v>-0.3274571559999999</x:v>
      </x:c>
      <x:c r="L73" s="90" t="n">
        <x:f>IF('Datos_fuente'!K73="","",LN('Datos_fuente'!K73))</x:f>
        <x:v>4.4580358919889385</x:v>
      </x:c>
      <x:c r="M73" s="90" t="n">
        <x:f>IF(OR(L73="",L72=""),"",L73-L72)</x:f>
        <x:v>-0.007196763534308204</x:v>
      </x:c>
      <x:c r="N73" s="90" t="n">
        <x:f>IF('Datos_fuente'!L73="","",LN('Datos_fuente'!L73))</x:f>
        <x:v>2.956341545949072</x:v>
      </x:c>
      <x:c r="O73" s="90" t="n">
        <x:f>IF(OR(N73="",N72=""),"",N73-N72)</x:f>
        <x:v>0.0038726916437936687</x:v>
      </x:c>
      <x:c r="P73" s="88" t="n">
        <x:f>'Datos_fuente'!N73</x:f>
        <x:v>0</x:v>
      </x:c>
      <x:c r="Q73" s="90" t="n">
        <x:f>IF('Datos_fuente'!O73="","",LN('Datos_fuente'!O73))</x:f>
        <x:v>10.377999752883495</x:v>
      </x:c>
      <x:c r="R73" s="90" t="n">
        <x:f>IF(OR(Q73="",Q72=""),"",Q73-Q72)</x:f>
        <x:v>0.029895932786775603</x:v>
      </x:c>
      <x:c r="S73" s="55" t="n">
        <x:f>'Datos_fuente'!R73</x:f>
        <x:v>4.907526316</x:v>
      </x:c>
      <x:c r="T73" s="55" t="n">
        <x:f>IF(OR(S73="",S72=""),"",S73-S72)</x:f>
        <x:v>-0.10920095699999965</x:v>
      </x:c>
      <x:c r="U73" s="90" t="n">
        <x:f>IF('Datos_fuente'!S73="","",ASINH('Datos_fuente'!S73/1000))</x:f>
        <x:v>-0.7286652132588881</x:v>
      </x:c>
      <x:c r="V73" s="90" t="n">
        <x:f>IF(OR(U73="",U72=""),"",U73-U72)</x:f>
        <x:v>0.2631756723487578</x:v>
      </x:c>
      <x:c r="W73" s="90" t="n">
        <x:f>IF('Datos_fuente'!T73="","",ASINH('Datos_fuente'!T73/1000))</x:f>
        <x:v>1.3687906724544645</x:v>
      </x:c>
      <x:c r="X73" s="90" t="n">
        <x:f>IF(OR(W73="",W72=""),"",W73-W72)</x:f>
        <x:v>0.05370970365528427</x:v>
      </x:c>
      <x:c r="Y73" s="55" t="n">
        <x:f>'Datos_fuente'!W73</x:f>
        <x:v>-0.2003012812</x:v>
      </x:c>
      <x:c r="Z73" s="55" t="n">
        <x:f>IF(OR(Y73="",Y72=""),"",Y73-Y72)</x:f>
        <x:v>0.1234344419</x:v>
      </x:c>
      <x:c r="AA73" s="90" t="n">
        <x:f>'Datos_fuente'!AA73</x:f>
        <x:v>-0.5802948451</x:v>
      </x:c>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t="str">
        <x:f>'Datos_fuente'!A74</x:f>
        <x:v>2011-08</x:v>
      </x:c>
      <x:c r="B74" s="90" t="n">
        <x:f>IF('Datos_fuente'!B74="","",LN('Datos_fuente'!B74))</x:f>
        <x:v>7.487487370502384</x:v>
      </x:c>
      <x:c r="C74" s="90" t="n">
        <x:f>IF(OR(B74="",B73=""),"",B74-B73)</x:f>
        <x:v>0.013513083763454503</x:v>
      </x:c>
      <x:c r="D74" s="90" t="n">
        <x:f>IF('Datos_fuente'!C74="","",LN('Datos_fuente'!C74))</x:f>
        <x:v>4.702474244875548</x:v>
      </x:c>
      <x:c r="E74" s="90" t="n">
        <x:f>IF(OR(D74="",D73=""),"",D74-D73)</x:f>
        <x:v>-0.05947316854168161</x:v>
      </x:c>
      <x:c r="F74" s="90" t="n">
        <x:f>IF('Datos_fuente'!E74="","",LN('Datos_fuente'!E74))</x:f>
        <x:v>8.317663622399355</x:v>
      </x:c>
      <x:c r="G74" s="90" t="n">
        <x:f>IF(OR(F74="",F73=""),"",F74-F73)</x:f>
        <x:v>0.008003955208824465</x:v>
      </x:c>
      <x:c r="H74" s="55" t="n">
        <x:f>'Datos_fuente'!H74</x:f>
        <x:v>4.4</x:v>
      </x:c>
      <x:c r="I74" s="55" t="n">
        <x:f>IF(OR(H74="",H73=""),"",H74-H73)</x:f>
        <x:v>0.22000000000000064</x:v>
      </x:c>
      <x:c r="J74" s="55" t="n">
        <x:f>'Datos_fuente'!J74</x:f>
        <x:v>1.627614564</x:v>
      </x:c>
      <x:c r="K74" s="55" t="n">
        <x:f>IF(OR(J74="",J73=""),"",J74-J73)</x:f>
        <x:v>0.5541684759999999</x:v>
      </x:c>
      <x:c r="L74" s="90" t="n">
        <x:f>IF('Datos_fuente'!K74="","",LN('Datos_fuente'!K74))</x:f>
        <x:v>4.464737818948532</x:v>
      </x:c>
      <x:c r="M74" s="90" t="n">
        <x:f>IF(OR(L74="",L73=""),"",L74-L73)</x:f>
        <x:v>0.006701926959593152</x:v>
      </x:c>
      <x:c r="N74" s="90" t="n">
        <x:f>IF('Datos_fuente'!L74="","",LN('Datos_fuente'!L74))</x:f>
        <x:v>3.5561800133214967</x:v>
      </x:c>
      <x:c r="O74" s="90" t="n">
        <x:f>IF(OR(N74="",N73=""),"",N74-N73)</x:f>
        <x:v>0.5998384673724249</x:v>
      </x:c>
      <x:c r="P74" s="88" t="n">
        <x:f>'Datos_fuente'!N74</x:f>
        <x:v>0</x:v>
      </x:c>
      <x:c r="Q74" s="90" t="n">
        <x:f>IF('Datos_fuente'!O74="","",LN('Datos_fuente'!O74))</x:f>
        <x:v>10.384532192380053</x:v>
      </x:c>
      <x:c r="R74" s="90" t="n">
        <x:f>IF(OR(Q74="",Q73=""),"",Q74-Q73)</x:f>
        <x:v>0.00653243949655824</x:v>
      </x:c>
      <x:c r="S74" s="55" t="n">
        <x:f>'Datos_fuente'!R74</x:f>
        <x:v>5.26013834</x:v>
      </x:c>
      <x:c r="T74" s="55" t="n">
        <x:f>IF(OR(S74="",S73=""),"",S74-S73)</x:f>
        <x:v>0.3526120239999999</x:v>
      </x:c>
      <x:c r="U74" s="90" t="n">
        <x:f>IF('Datos_fuente'!S74="","",ASINH('Datos_fuente'!S74/1000))</x:f>
        <x:v>-0.7555000281136546</x:v>
      </x:c>
      <x:c r="V74" s="90" t="n">
        <x:f>IF(OR(U74="",U73=""),"",U74-U73)</x:f>
        <x:v>-0.026834814854766464</x:v>
      </x:c>
      <x:c r="W74" s="90" t="n">
        <x:f>IF('Datos_fuente'!T74="","",ASINH('Datos_fuente'!T74/1000))</x:f>
        <x:v>0.7918385268650455</x:v>
      </x:c>
      <x:c r="X74" s="90" t="n">
        <x:f>IF(OR(W74="",W73=""),"",W74-W73)</x:f>
        <x:v>-0.576952145589419</x:v>
      </x:c>
      <x:c r="Y74" s="55" t="n">
        <x:f>'Datos_fuente'!W74</x:f>
        <x:v>-0.4972355764</x:v>
      </x:c>
      <x:c r="Z74" s="55" t="n">
        <x:f>IF(OR(Y74="",Y73=""),"",Y74-Y73)</x:f>
        <x:v>-0.29693429520000003</x:v>
      </x:c>
      <x:c r="AA74" s="90" t="n">
        <x:f>'Datos_fuente'!AA74</x:f>
        <x:v>0.7798503499</x:v>
      </x:c>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t="str">
        <x:f>'Datos_fuente'!A75</x:f>
        <x:v>2011-09</x:v>
      </x:c>
      <x:c r="B75" s="90" t="n">
        <x:f>IF('Datos_fuente'!B75="","",LN('Datos_fuente'!B75))</x:f>
        <x:v>7.513883628161032</x:v>
      </x:c>
      <x:c r="C75" s="90" t="n">
        <x:f>IF(OR(B75="",B74=""),"",B75-B74)</x:f>
        <x:v>0.02639625765864828</x:v>
      </x:c>
      <x:c r="D75" s="90" t="n">
        <x:f>IF('Datos_fuente'!C75="","",LN('Datos_fuente'!C75))</x:f>
        <x:v>4.725916023763942</x:v>
      </x:c>
      <x:c r="E75" s="90" t="n">
        <x:f>IF(OR(D75="",D74=""),"",D75-D74)</x:f>
        <x:v>0.023441778888393827</x:v>
      </x:c>
      <x:c r="F75" s="90" t="n">
        <x:f>IF('Datos_fuente'!E75="","",LN('Datos_fuente'!E75))</x:f>
        <x:v>8.319863574995008</x:v>
      </x:c>
      <x:c r="G75" s="90" t="n">
        <x:f>IF(OR(F75="",F74=""),"",F75-F74)</x:f>
        <x:v>0.0021999525956530874</x:v>
      </x:c>
      <x:c r="H75" s="55" t="n">
        <x:f>'Datos_fuente'!H75</x:f>
        <x:v>4.42</x:v>
      </x:c>
      <x:c r="I75" s="55" t="n">
        <x:f>IF(OR(H75="",H74=""),"",H75-H74)</x:f>
        <x:v>0.019999999999999574</x:v>
      </x:c>
      <x:c r="J75" s="55" t="n">
        <x:f>'Datos_fuente'!J75</x:f>
        <x:v>1.490459654</x:v>
      </x:c>
      <x:c r="K75" s="55" t="n">
        <x:f>IF(OR(J75="",J74=""),"",J75-J74)</x:f>
        <x:v>-0.13715491000000002</x:v>
      </x:c>
      <x:c r="L75" s="90" t="n">
        <x:f>IF('Datos_fuente'!K75="","",LN('Datos_fuente'!K75))</x:f>
        <x:v>4.496752409110614</x:v>
      </x:c>
      <x:c r="M75" s="90" t="n">
        <x:f>IF(OR(L75="",L74=""),"",L75-L74)</x:f>
        <x:v>0.03201459016208208</x:v>
      </x:c>
      <x:c r="N75" s="90" t="n">
        <x:f>IF('Datos_fuente'!L75="","",LN('Datos_fuente'!L75))</x:f>
        <x:v>3.5981338408071912</x:v>
      </x:c>
      <x:c r="O75" s="90" t="n">
        <x:f>IF(OR(N75="",N74=""),"",N75-N74)</x:f>
        <x:v>0.04195382748569454</x:v>
      </x:c>
      <x:c r="P75" s="88" t="n">
        <x:f>'Datos_fuente'!N75</x:f>
        <x:v>0</x:v>
      </x:c>
      <x:c r="Q75" s="90" t="n">
        <x:f>IF('Datos_fuente'!O75="","",LN('Datos_fuente'!O75))</x:f>
        <x:v>10.386965925776313</x:v>
      </x:c>
      <x:c r="R75" s="90" t="n">
        <x:f>IF(OR(Q75="",Q74=""),"",Q75-Q74)</x:f>
        <x:v>0.0024337333962591856</x:v>
      </x:c>
      <x:c r="S75" s="55" t="n">
        <x:f>'Datos_fuente'!R75</x:f>
        <x:v>5.515670996</x:v>
      </x:c>
      <x:c r="T75" s="55" t="n">
        <x:f>IF(OR(S75="",S74=""),"",S75-S74)</x:f>
        <x:v>0.25553265599999975</x:v>
      </x:c>
      <x:c r="U75" s="90" t="n">
        <x:f>IF('Datos_fuente'!S75="","",ASINH('Datos_fuente'!S75/1000))</x:f>
        <x:v>-0.5472957231778587</x:v>
      </x:c>
      <x:c r="V75" s="90" t="n">
        <x:f>IF(OR(U75="",U74=""),"",U75-U74)</x:f>
        <x:v>0.2082043049357959</x:v>
      </x:c>
      <x:c r="W75" s="90" t="n">
        <x:f>IF('Datos_fuente'!T75="","",ASINH('Datos_fuente'!T75/1000))</x:f>
        <x:v>0.5651170010116018</x:v>
      </x:c>
      <x:c r="X75" s="90" t="n">
        <x:f>IF(OR(W75="",W74=""),"",W75-W74)</x:f>
        <x:v>-0.22672152585344374</x:v>
      </x:c>
      <x:c r="Y75" s="55" t="n">
        <x:f>'Datos_fuente'!W75</x:f>
        <x:v>-0.1372182951</x:v>
      </x:c>
      <x:c r="Z75" s="55" t="n">
        <x:f>IF(OR(Y75="",Y74=""),"",Y75-Y74)</x:f>
        <x:v>0.3600172813</x:v>
      </x:c>
      <x:c r="AA75" s="90" t="n">
        <x:f>'Datos_fuente'!AA75</x:f>
        <x:v>2.031721955</x:v>
      </x:c>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t="str">
        <x:f>'Datos_fuente'!A76</x:f>
        <x:v>2011-10</x:v>
      </x:c>
      <x:c r="B76" s="90" t="n">
        <x:f>IF('Datos_fuente'!B76="","",LN('Datos_fuente'!B76))</x:f>
        <x:v>7.55360592115809</x:v>
      </x:c>
      <x:c r="C76" s="90" t="n">
        <x:f>IF(OR(B76="",B75=""),"",B76-B75)</x:f>
        <x:v>0.039722292997057984</x:v>
      </x:c>
      <x:c r="D76" s="90" t="n">
        <x:f>IF('Datos_fuente'!C76="","",LN('Datos_fuente'!C76))</x:f>
        <x:v>4.696381066041475</x:v>
      </x:c>
      <x:c r="E76" s="90" t="n">
        <x:f>IF(OR(D76="",D75=""),"",D76-D75)</x:f>
        <x:v>-0.029534957722466615</x:v>
      </x:c>
      <x:c r="F76" s="90" t="n">
        <x:f>IF('Datos_fuente'!E76="","",LN('Datos_fuente'!E76))</x:f>
        <x:v>8.321669670936402</x:v>
      </x:c>
      <x:c r="G76" s="90" t="n">
        <x:f>IF(OR(F76="",F75=""),"",F76-F75)</x:f>
        <x:v>0.0018060959413936928</x:v>
      </x:c>
      <x:c r="H76" s="55" t="n">
        <x:f>'Datos_fuente'!H76</x:f>
        <x:v>4.43</x:v>
      </x:c>
      <x:c r="I76" s="55" t="n">
        <x:f>IF(OR(H76="",H75=""),"",H76-H75)</x:f>
        <x:v>0.009999999999999787</x:v>
      </x:c>
      <x:c r="J76" s="55" t="n">
        <x:f>'Datos_fuente'!J76</x:f>
        <x:v>1.604418414</x:v>
      </x:c>
      <x:c r="K76" s="55" t="n">
        <x:f>IF(OR(J76="",J75=""),"",J76-J75)</x:f>
        <x:v>0.11395876000000005</x:v>
      </x:c>
      <x:c r="L76" s="90" t="n">
        <x:f>IF('Datos_fuente'!K76="","",LN('Datos_fuente'!K76))</x:f>
        <x:v>4.50656287160454</x:v>
      </x:c>
      <x:c r="M76" s="90" t="n">
        <x:f>IF(OR(L76="",L75=""),"",L76-L75)</x:f>
        <x:v>0.009810462493926586</x:v>
      </x:c>
      <x:c r="N76" s="90" t="n">
        <x:f>IF('Datos_fuente'!L76="","",LN('Datos_fuente'!L76))</x:f>
        <x:v>3.491313721650136</x:v>
      </x:c>
      <x:c r="O76" s="90" t="n">
        <x:f>IF(OR(N76="",N75=""),"",N76-N75)</x:f>
        <x:v>-0.10682011915705525</x:v>
      </x:c>
      <x:c r="P76" s="88" t="n">
        <x:f>'Datos_fuente'!N76</x:f>
        <x:v>0</x:v>
      </x:c>
      <x:c r="Q76" s="90" t="n">
        <x:f>IF('Datos_fuente'!O76="","",LN('Datos_fuente'!O76))</x:f>
        <x:v>10.39632291767322</x:v>
      </x:c>
      <x:c r="R76" s="90" t="n">
        <x:f>IF(OR(Q76="",Q75=""),"",Q76-Q75)</x:f>
        <x:v>0.009356991896908085</x:v>
      </x:c>
      <x:c r="S76" s="55" t="n">
        <x:f>'Datos_fuente'!R76</x:f>
        <x:v>5.53</x:v>
      </x:c>
      <x:c r="T76" s="55" t="n">
        <x:f>IF(OR(S76="",S75=""),"",S76-S75)</x:f>
        <x:v>0.014329004000000367</x:v>
      </x:c>
      <x:c r="U76" s="90" t="n">
        <x:f>IF('Datos_fuente'!S76="","",ASINH('Datos_fuente'!S76/1000))</x:f>
        <x:v>-0.7103455948834508</x:v>
      </x:c>
      <x:c r="V76" s="90" t="n">
        <x:f>IF(OR(U76="",U75=""),"",U76-U75)</x:f>
        <x:v>-0.16304987170559215</x:v>
      </x:c>
      <x:c r="W76" s="90" t="n">
        <x:f>IF('Datos_fuente'!T76="","",ASINH('Datos_fuente'!T76/1000))</x:f>
        <x:v>0.9875039272228813</x:v>
      </x:c>
      <x:c r="X76" s="90" t="n">
        <x:f>IF(OR(W76="",W75=""),"",W76-W75)</x:f>
        <x:v>0.4223869262112795</x:v>
      </x:c>
      <x:c r="Y76" s="55" t="n">
        <x:f>'Datos_fuente'!W76</x:f>
        <x:v>0.4973151802</x:v>
      </x:c>
      <x:c r="Z76" s="55" t="n">
        <x:f>IF(OR(Y76="",Y75=""),"",Y76-Y75)</x:f>
        <x:v>0.6345334753</x:v>
      </x:c>
      <x:c r="AA76" s="90" t="n">
        <x:f>'Datos_fuente'!AA76</x:f>
        <x:v>0.9328167599</x:v>
      </x:c>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t="str">
        <x:f>'Datos_fuente'!A77</x:f>
        <x:v>2011-11</x:v>
      </x:c>
      <x:c r="B77" s="90" t="n">
        <x:f>IF('Datos_fuente'!B77="","",LN('Datos_fuente'!B77))</x:f>
        <x:v>7.559806990130978</x:v>
      </x:c>
      <x:c r="C77" s="90" t="n">
        <x:f>IF(OR(B77="",B76=""),"",B77-B76)</x:f>
        <x:v>0.006201068972887747</x:v>
      </x:c>
      <x:c r="D77" s="90" t="n">
        <x:f>IF('Datos_fuente'!C77="","",LN('Datos_fuente'!C77))</x:f>
        <x:v>4.707438783389295</x:v>
      </x:c>
      <x:c r="E77" s="90" t="n">
        <x:f>IF(OR(D77="",D76=""),"",D77-D76)</x:f>
        <x:v>0.011057717347819462</x:v>
      </x:c>
      <x:c r="F77" s="90" t="n">
        <x:f>IF('Datos_fuente'!E77="","",LN('Datos_fuente'!E77))</x:f>
        <x:v>8.319995126055279</x:v>
      </x:c>
      <x:c r="G77" s="90" t="n">
        <x:f>IF(OR(F77="",F76=""),"",F77-F76)</x:f>
        <x:v>-0.0016745448811228414</x:v>
      </x:c>
      <x:c r="H77" s="55" t="n">
        <x:f>'Datos_fuente'!H77</x:f>
        <x:v>4.445</x:v>
      </x:c>
      <x:c r="I77" s="55" t="n">
        <x:f>IF(OR(H77="",H76=""),"",H77-H76)</x:f>
        <x:v>0.015000000000000568</x:v>
      </x:c>
      <x:c r="J77" s="55" t="n">
        <x:f>'Datos_fuente'!J77</x:f>
        <x:v>2.652862846</x:v>
      </x:c>
      <x:c r="K77" s="55" t="n">
        <x:f>IF(OR(J77="",J76=""),"",J77-J76)</x:f>
        <x:v>1.0484444320000001</x:v>
      </x:c>
      <x:c r="L77" s="90" t="n">
        <x:f>IF('Datos_fuente'!K77="","",LN('Datos_fuente'!K77))</x:f>
        <x:v>4.51376604766153</x:v>
      </x:c>
      <x:c r="M77" s="90" t="n">
        <x:f>IF(OR(L77="",L76=""),"",L77-L76)</x:f>
        <x:v>0.007203176056989946</x:v>
      </x:c>
      <x:c r="N77" s="90" t="n">
        <x:f>IF('Datos_fuente'!L77="","",LN('Datos_fuente'!L77))</x:f>
        <x:v>3.463918776575424</x:v>
      </x:c>
      <x:c r="O77" s="90" t="n">
        <x:f>IF(OR(N77="",N76=""),"",N77-N76)</x:f>
        <x:v>-0.027394945074711963</x:v>
      </x:c>
      <x:c r="P77" s="88" t="n">
        <x:f>'Datos_fuente'!N77</x:f>
        <x:v>0</x:v>
      </x:c>
      <x:c r="Q77" s="90" t="n">
        <x:f>IF('Datos_fuente'!O77="","",LN('Datos_fuente'!O77))</x:f>
        <x:v>10.391728859693087</x:v>
      </x:c>
      <x:c r="R77" s="90" t="n">
        <x:f>IF(OR(Q77="",Q76=""),"",Q77-Q76)</x:f>
        <x:v>-0.00459405798013357</x:v>
      </x:c>
      <x:c r="S77" s="55" t="n">
        <x:f>'Datos_fuente'!R77</x:f>
        <x:v>5.6695</x:v>
      </x:c>
      <x:c r="T77" s="55" t="n">
        <x:f>IF(OR(S77="",S76=""),"",S77-S76)</x:f>
        <x:v>0.13949999999999996</x:v>
      </x:c>
      <x:c r="U77" s="90" t="n">
        <x:f>IF('Datos_fuente'!S77="","",ASINH('Datos_fuente'!S77/1000))</x:f>
        <x:v>-0.5019897214048097</x:v>
      </x:c>
      <x:c r="V77" s="90" t="n">
        <x:f>IF(OR(U77="",U76=""),"",U77-U76)</x:f>
        <x:v>0.20835587347864115</x:v>
      </x:c>
      <x:c r="W77" s="90" t="n">
        <x:f>IF('Datos_fuente'!T77="","",ASINH('Datos_fuente'!T77/1000))</x:f>
        <x:v>0.23771485348379873</x:v>
      </x:c>
      <x:c r="X77" s="90" t="n">
        <x:f>IF(OR(W77="",W76=""),"",W77-W76)</x:f>
        <x:v>-0.7497890737390825</x:v>
      </x:c>
      <x:c r="Y77" s="55" t="n">
        <x:f>'Datos_fuente'!W77</x:f>
        <x:v>0.5656114473</x:v>
      </x:c>
      <x:c r="Z77" s="55" t="n">
        <x:f>IF(OR(Y77="",Y76=""),"",Y77-Y76)</x:f>
        <x:v>0.06829626710000003</x:v>
      </x:c>
      <x:c r="AA77" s="90" t="n">
        <x:f>'Datos_fuente'!AA77</x:f>
        <x:v>0.1826083147</x:v>
      </x:c>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t="str">
        <x:f>'Datos_fuente'!A78</x:f>
        <x:v>2011-12</x:v>
      </x:c>
      <x:c r="B78" s="90" t="n">
        <x:f>IF('Datos_fuente'!B78="","",LN('Datos_fuente'!B78))</x:f>
        <x:v>7.567010195754303</x:v>
      </x:c>
      <x:c r="C78" s="90" t="n">
        <x:f>IF(OR(B78="",B77=""),"",B78-B77)</x:f>
        <x:v>0.007203205623325104</x:v>
      </x:c>
      <x:c r="D78" s="90" t="n">
        <x:f>IF('Datos_fuente'!C78="","",LN('Datos_fuente'!C78))</x:f>
        <x:v>4.680931433585643</x:v>
      </x:c>
      <x:c r="E78" s="90" t="n">
        <x:f>IF(OR(D78="",D77=""),"",D78-D77)</x:f>
        <x:v>-0.026507349803651437</x:v>
      </x:c>
      <x:c r="F78" s="90" t="n">
        <x:f>IF('Datos_fuente'!E78="","",LN('Datos_fuente'!E78))</x:f>
        <x:v>8.309947595254801</x:v>
      </x:c>
      <x:c r="G78" s="90" t="n">
        <x:f>IF(OR(F78="",F77=""),"",F78-F77)</x:f>
        <x:v>-0.010047530800477489</x:v>
      </x:c>
      <x:c r="H78" s="55" t="n">
        <x:f>'Datos_fuente'!H78</x:f>
        <x:v>4.68</x:v>
      </x:c>
      <x:c r="I78" s="55" t="n">
        <x:f>IF(OR(H78="",H77=""),"",H78-H77)</x:f>
        <x:v>0.23499999999999943</x:v>
      </x:c>
      <x:c r="J78" s="55" t="n">
        <x:f>'Datos_fuente'!J78</x:f>
        <x:v>2.82812027</x:v>
      </x:c>
      <x:c r="K78" s="55" t="n">
        <x:f>IF(OR(J78="",J77=""),"",J78-J77)</x:f>
        <x:v>0.17525742399999977</x:v>
      </x:c>
      <x:c r="L78" s="90" t="n">
        <x:f>IF('Datos_fuente'!K78="","",LN('Datos_fuente'!K78))</x:f>
        <x:v>4.524020762997684</x:v>
      </x:c>
      <x:c r="M78" s="90" t="n">
        <x:f>IF(OR(L78="",L77=""),"",L78-L77)</x:f>
        <x:v>0.01025471533615363</x:v>
      </x:c>
      <x:c r="N78" s="90" t="n">
        <x:f>IF('Datos_fuente'!L78="","",LN('Datos_fuente'!L78))</x:f>
        <x:v>3.220778775109344</x:v>
      </x:c>
      <x:c r="O78" s="90" t="n">
        <x:f>IF(OR(N78="",N77=""),"",N78-N77)</x:f>
        <x:v>-0.24314000146608006</x:v>
      </x:c>
      <x:c r="P78" s="88" t="n">
        <x:f>'Datos_fuente'!N78</x:f>
        <x:v>0</x:v>
      </x:c>
      <x:c r="Q78" s="90" t="n">
        <x:f>IF('Datos_fuente'!O78="","",LN('Datos_fuente'!O78))</x:f>
        <x:v>10.382836131408986</x:v>
      </x:c>
      <x:c r="R78" s="90" t="n">
        <x:f>IF(OR(Q78="",Q77=""),"",Q78-Q77)</x:f>
        <x:v>-0.008892728284100926</x:v>
      </x:c>
      <x:c r="S78" s="55" t="n">
        <x:f>'Datos_fuente'!R78</x:f>
        <x:v>5.773404762</x:v>
      </x:c>
      <x:c r="T78" s="55" t="n">
        <x:f>IF(OR(S78="",S77=""),"",S78-S77)</x:f>
        <x:v>0.10390476199999998</x:v>
      </x:c>
      <x:c r="U78" s="90" t="n">
        <x:f>IF('Datos_fuente'!S78="","",ASINH('Datos_fuente'!S78/1000))</x:f>
        <x:v>-0.786876402306501</x:v>
      </x:c>
      <x:c r="V78" s="90" t="n">
        <x:f>IF(OR(U78="",U77=""),"",U78-U77)</x:f>
        <x:v>-0.28488668090169134</x:v>
      </x:c>
      <x:c r="W78" s="90" t="n">
        <x:f>IF('Datos_fuente'!T78="","",ASINH('Datos_fuente'!T78/1000))</x:f>
        <x:v>0.5819683214090142</x:v>
      </x:c>
      <x:c r="X78" s="90" t="n">
        <x:f>IF(OR(W78="",W77=""),"",W78-W77)</x:f>
        <x:v>0.3442534679252155</x:v>
      </x:c>
      <x:c r="Y78" s="55" t="n">
        <x:f>'Datos_fuente'!W78</x:f>
        <x:v>0.7680100183</x:v>
      </x:c>
      <x:c r="Z78" s="55" t="n">
        <x:f>IF(OR(Y78="",Y77=""),"",Y78-Y77)</x:f>
        <x:v>0.20239857100000003</x:v>
      </x:c>
      <x:c r="AA78" s="90" t="n">
        <x:f>'Datos_fuente'!AA78</x:f>
        <x:v>0.4194774238</x:v>
      </x:c>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t="str">
        <x:f>'Datos_fuente'!A79</x:f>
        <x:v>2012-01</x:v>
      </x:c>
      <x:c r="B79" s="90" t="n">
        <x:f>IF('Datos_fuente'!B79="","",LN('Datos_fuente'!B79))</x:f>
        <x:v>7.524713539563678</x:v>
      </x:c>
      <x:c r="C79" s="90" t="n">
        <x:f>IF(OR(B79="",B78=""),"",B79-B78)</x:f>
        <x:v>-0.04229665619062484</x:v>
      </x:c>
      <x:c r="D79" s="90" t="n">
        <x:f>IF('Datos_fuente'!C79="","",LN('Datos_fuente'!C79))</x:f>
        <x:v>4.706697363785502</x:v>
      </x:c>
      <x:c r="E79" s="90" t="n">
        <x:f>IF(OR(D79="",D78=""),"",D79-D78)</x:f>
        <x:v>0.025765930199859177</x:v>
      </x:c>
      <x:c r="F79" s="90" t="n">
        <x:f>IF('Datos_fuente'!E79="","",LN('Datos_fuente'!E79))</x:f>
        <x:v>8.310727291704623</x:v>
      </x:c>
      <x:c r="G79" s="90" t="n">
        <x:f>IF(OR(F79="",F78=""),"",F79-F78)</x:f>
        <x:v>0.0007796964498218983</x:v>
      </x:c>
      <x:c r="H79" s="55" t="n">
        <x:f>'Datos_fuente'!H79</x:f>
        <x:v>4.678064516</x:v>
      </x:c>
      <x:c r="I79" s="55" t="n">
        <x:f>IF(OR(H79="",H78=""),"",H79-H78)</x:f>
        <x:v>-0.0019354839999996543</x:v>
      </x:c>
      <x:c r="J79" s="55" t="n">
        <x:f>'Datos_fuente'!J79</x:f>
        <x:v>2.641034086</x:v>
      </x:c>
      <x:c r="K79" s="55" t="n">
        <x:f>IF(OR(J79="",J78=""),"",J79-J78)</x:f>
        <x:v>-0.187086184</x:v>
      </x:c>
      <x:c r="L79" s="90" t="n">
        <x:f>IF('Datos_fuente'!K79="","",LN('Datos_fuente'!K79))</x:f>
        <x:v>4.517936220591136</x:v>
      </x:c>
      <x:c r="M79" s="90" t="n">
        <x:f>IF(OR(L79="",L78=""),"",L79-L78)</x:f>
        <x:v>-0.006084542406547655</x:v>
      </x:c>
      <x:c r="N79" s="90" t="n">
        <x:f>IF('Datos_fuente'!L79="","",LN('Datos_fuente'!L79))</x:f>
        <x:v>3.0070677832177366</x:v>
      </x:c>
      <x:c r="O79" s="90" t="n">
        <x:f>IF(OR(N79="",N78=""),"",N79-N78)</x:f>
        <x:v>-0.21371099189160736</x:v>
      </x:c>
      <x:c r="P79" s="88" t="n">
        <x:f>'Datos_fuente'!N79</x:f>
        <x:v>0</x:v>
      </x:c>
      <x:c r="Q79" s="90" t="n">
        <x:f>IF('Datos_fuente'!O79="","",LN('Datos_fuente'!O79))</x:f>
        <x:v>10.389559209329606</x:v>
      </x:c>
      <x:c r="R79" s="90" t="n">
        <x:f>IF(OR(Q79="",Q78=""),"",Q79-Q78)</x:f>
        <x:v>0.006723077920620213</x:v>
      </x:c>
      <x:c r="S79" s="55" t="n">
        <x:f>'Datos_fuente'!R79</x:f>
        <x:v>5.605404762</x:v>
      </x:c>
      <x:c r="T79" s="55" t="n">
        <x:f>IF(OR(S79="",S78=""),"",S79-S78)</x:f>
        <x:v>-0.16800000000000015</x:v>
      </x:c>
      <x:c r="U79" s="90" t="n">
        <x:f>IF('Datos_fuente'!S79="","",ASINH('Datos_fuente'!S79/1000))</x:f>
        <x:v>-0.8226799778091564</x:v>
      </x:c>
      <x:c r="V79" s="90" t="n">
        <x:f>IF(OR(U79="",U78=""),"",U79-U78)</x:f>
        <x:v>-0.03580357550265534</x:v>
      </x:c>
      <x:c r="W79" s="90" t="n">
        <x:f>IF('Datos_fuente'!T79="","",ASINH('Datos_fuente'!T79/1000))</x:f>
        <x:v>1.0465555988601705</x:v>
      </x:c>
      <x:c r="X79" s="90" t="n">
        <x:f>IF(OR(W79="",W78=""),"",W79-W78)</x:f>
        <x:v>0.46458727745115624</x:v>
      </x:c>
      <x:c r="Y79" s="55" t="n">
        <x:f>'Datos_fuente'!W79</x:f>
        <x:v>0.6230833418</x:v>
      </x:c>
      <x:c r="Z79" s="55" t="n">
        <x:f>IF(OR(Y79="",Y78=""),"",Y79-Y78)</x:f>
        <x:v>-0.14492667650000002</x:v>
      </x:c>
      <x:c r="AA79" s="90" t="n">
        <x:f>'Datos_fuente'!AA79</x:f>
        <x:v>-1.095017501</x:v>
      </x:c>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t="str">
        <x:f>'Datos_fuente'!A80</x:f>
        <x:v>2012-02</x:v>
      </x:c>
      <x:c r="B80" s="90" t="n">
        <x:f>IF('Datos_fuente'!B80="","",LN('Datos_fuente'!B80))</x:f>
        <x:v>7.485915103080317</x:v>
      </x:c>
      <x:c r="C80" s="90" t="n">
        <x:f>IF(OR(B80="",B79=""),"",B80-B79)</x:f>
        <x:v>-0.03879843648336134</x:v>
      </x:c>
      <x:c r="D80" s="90" t="n">
        <x:f>IF('Datos_fuente'!C80="","",LN('Datos_fuente'!C80))</x:f>
        <x:v>4.78186762369849</x:v>
      </x:c>
      <x:c r="E80" s="90" t="n">
        <x:f>IF(OR(D80="",D79=""),"",D80-D79)</x:f>
        <x:v>0.07517025991298798</x:v>
      </x:c>
      <x:c r="F80" s="90" t="n">
        <x:f>IF('Datos_fuente'!E80="","",LN('Datos_fuente'!E80))</x:f>
        <x:v>8.306398083282891</x:v>
      </x:c>
      <x:c r="G80" s="90" t="n">
        <x:f>IF(OR(F80="",F79=""),"",F80-F79)</x:f>
        <x:v>-0.004329208421731678</x:v>
      </x:c>
      <x:c r="H80" s="55" t="n">
        <x:f>'Datos_fuente'!H80</x:f>
        <x:v>4.925862069</x:v>
      </x:c>
      <x:c r="I80" s="55" t="n">
        <x:f>IF(OR(H80="",H79=""),"",H80-H79)</x:f>
        <x:v>0.24779755299999984</x:v>
      </x:c>
      <x:c r="J80" s="55" t="n">
        <x:f>'Datos_fuente'!J80</x:f>
        <x:v>2.578632323</x:v>
      </x:c>
      <x:c r="K80" s="55" t="n">
        <x:f>IF(OR(J80="",J79=""),"",J80-J79)</x:f>
        <x:v>-0.062401763</x:v>
      </x:c>
      <x:c r="L80" s="90" t="n">
        <x:f>IF('Datos_fuente'!K80="","",LN('Datos_fuente'!K80))</x:f>
        <x:v>4.499370685101458</x:v>
      </x:c>
      <x:c r="M80" s="90" t="n">
        <x:f>IF(OR(L80="",L79=""),"",L80-L79)</x:f>
        <x:v>-0.018565535489678098</x:v>
      </x:c>
      <x:c r="N80" s="90" t="n">
        <x:f>IF('Datos_fuente'!L80="","",LN('Datos_fuente'!L80))</x:f>
        <x:v>2.91346417486701</x:v>
      </x:c>
      <x:c r="O80" s="90" t="n">
        <x:f>IF(OR(N80="",N79=""),"",N80-N79)</x:f>
        <x:v>-0.09360360835072656</x:v>
      </x:c>
      <x:c r="P80" s="88" t="n">
        <x:f>'Datos_fuente'!N80</x:f>
        <x:v>0</x:v>
      </x:c>
      <x:c r="Q80" s="90" t="n">
        <x:f>IF('Datos_fuente'!O80="","",LN('Datos_fuente'!O80))</x:f>
        <x:v>10.398741260910107</x:v>
      </x:c>
      <x:c r="R80" s="90" t="n">
        <x:f>IF(OR(Q80="",Q79=""),"",Q80-Q79)</x:f>
        <x:v>0.009182051580500783</x:v>
      </x:c>
      <x:c r="S80" s="55" t="n">
        <x:f>'Datos_fuente'!R80</x:f>
        <x:v>5.51297619</x:v>
      </x:c>
      <x:c r="T80" s="55" t="n">
        <x:f>IF(OR(S80="",S79=""),"",S80-S79)</x:f>
        <x:v>-0.09242857200000021</x:v>
      </x:c>
      <x:c r="U80" s="90" t="n">
        <x:f>IF('Datos_fuente'!S80="","",ASINH('Datos_fuente'!S80/1000))</x:f>
        <x:v>-0.6123977593387047</x:v>
      </x:c>
      <x:c r="V80" s="90" t="n">
        <x:f>IF(OR(U80="",U79=""),"",U80-U79)</x:f>
        <x:v>0.2102822184704517</x:v>
      </x:c>
      <x:c r="W80" s="90" t="n">
        <x:f>IF('Datos_fuente'!T80="","",ASINH('Datos_fuente'!T80/1000))</x:f>
        <x:v>0.8162444403377286</x:v>
      </x:c>
      <x:c r="X80" s="90" t="n">
        <x:f>IF(OR(W80="",W79=""),"",W80-W79)</x:f>
        <x:v>-0.23031115852244188</x:v>
      </x:c>
      <x:c r="Y80" s="55" t="n">
        <x:f>'Datos_fuente'!W80</x:f>
        <x:v>0.682609145</x:v>
      </x:c>
      <x:c r="Z80" s="55" t="n">
        <x:f>IF(OR(Y80="",Y79=""),"",Y80-Y79)</x:f>
        <x:v>0.059525803200000005</x:v>
      </x:c>
      <x:c r="AA80" s="90" t="n">
        <x:f>'Datos_fuente'!AA80</x:f>
        <x:v>-1.534431971</x:v>
      </x:c>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t="str">
        <x:f>'Datos_fuente'!A81</x:f>
        <x:v>2012-03</x:v>
      </x:c>
      <x:c r="B81" s="90" t="n">
        <x:f>IF('Datos_fuente'!B81="","",LN('Datos_fuente'!B81))</x:f>
        <x:v>7.476660139866827</x:v>
      </x:c>
      <x:c r="C81" s="90" t="n">
        <x:f>IF(OR(B81="",B80=""),"",B81-B80)</x:f>
        <x:v>-0.00925496321348973</x:v>
      </x:c>
      <x:c r="D81" s="90" t="n">
        <x:f>IF('Datos_fuente'!C81="","",LN('Datos_fuente'!C81))</x:f>
        <x:v>4.831871038596793</x:v>
      </x:c>
      <x:c r="E81" s="90" t="n">
        <x:f>IF(OR(D81="",D80=""),"",D81-D80)</x:f>
        <x:v>0.05000341489830262</x:v>
      </x:c>
      <x:c r="F81" s="90" t="n">
        <x:f>IF('Datos_fuente'!E81="","",LN('Datos_fuente'!E81))</x:f>
        <x:v>8.301305750741793</x:v>
      </x:c>
      <x:c r="G81" s="90" t="n">
        <x:f>IF(OR(F81="",F80=""),"",F81-F80)</x:f>
        <x:v>-0.005092332541098088</x:v>
      </x:c>
      <x:c r="H81" s="55" t="n">
        <x:f>'Datos_fuente'!H81</x:f>
        <x:v>5.12</x:v>
      </x:c>
      <x:c r="I81" s="55" t="n">
        <x:f>IF(OR(H81="",H80=""),"",H81-H80)</x:f>
        <x:v>0.1941379310000002</x:v>
      </x:c>
      <x:c r="J81" s="55" t="n">
        <x:f>'Datos_fuente'!J81</x:f>
        <x:v>2.738779895</x:v>
      </x:c>
      <x:c r="K81" s="55" t="n">
        <x:f>IF(OR(J81="",J80=""),"",J81-J80)</x:f>
        <x:v>0.16014757200000007</x:v>
      </x:c>
      <x:c r="L81" s="90" t="n">
        <x:f>IF('Datos_fuente'!K81="","",LN('Datos_fuente'!K81))</x:f>
        <x:v>4.505473750654274</x:v>
      </x:c>
      <x:c r="M81" s="90" t="n">
        <x:f>IF(OR(L81="",L80=""),"",L81-L80)</x:f>
        <x:v>0.006103065552816034</x:v>
      </x:c>
      <x:c r="N81" s="90" t="n">
        <x:f>IF('Datos_fuente'!L81="","",LN('Datos_fuente'!L81))</x:f>
        <x:v>2.7829889970262616</x:v>
      </x:c>
      <x:c r="O81" s="90" t="n">
        <x:f>IF(OR(N81="",N80=""),"",N81-N80)</x:f>
        <x:v>-0.13047517784074847</x:v>
      </x:c>
      <x:c r="P81" s="88" t="n">
        <x:f>'Datos_fuente'!N81</x:f>
        <x:v>0</x:v>
      </x:c>
      <x:c r="Q81" s="90" t="n">
        <x:f>IF('Datos_fuente'!O81="","",LN('Datos_fuente'!O81))</x:f>
        <x:v>10.4079451433511</x:v>
      </x:c>
      <x:c r="R81" s="90" t="n">
        <x:f>IF(OR(Q81="",Q80=""),"",Q81-Q80)</x:f>
        <x:v>0.009203882440992572</x:v>
      </x:c>
      <x:c r="S81" s="55" t="n">
        <x:f>'Datos_fuente'!R81</x:f>
        <x:v>5.208701299</x:v>
      </x:c>
      <x:c r="T81" s="55" t="n">
        <x:f>IF(OR(S81="",S80=""),"",S81-S80)</x:f>
        <x:v>-0.3042748909999995</x:v>
      </x:c>
      <x:c r="U81" s="90" t="n">
        <x:f>IF('Datos_fuente'!S81="","",ASINH('Datos_fuente'!S81/1000))</x:f>
        <x:v>-0.5436688310965867</x:v>
      </x:c>
      <x:c r="V81" s="90" t="n">
        <x:f>IF(OR(U81="",U80=""),"",U81-U80)</x:f>
        <x:v>0.06872892824211796</x:v>
      </x:c>
      <x:c r="W81" s="90" t="n">
        <x:f>IF('Datos_fuente'!T81="","",ASINH('Datos_fuente'!T81/1000))</x:f>
        <x:v>0.8001151547027019</x:v>
      </x:c>
      <x:c r="X81" s="90" t="n">
        <x:f>IF(OR(W81="",W80=""),"",W81-W80)</x:f>
        <x:v>-0.01612928563502669</x:v>
      </x:c>
      <x:c r="Y81" s="55" t="n">
        <x:f>'Datos_fuente'!W81</x:f>
        <x:v>0.7456861991</x:v>
      </x:c>
      <x:c r="Z81" s="55" t="n">
        <x:f>IF(OR(Y81="",Y80=""),"",Y81-Y80)</x:f>
        <x:v>0.06307705409999997</x:v>
      </x:c>
      <x:c r="AA81" s="90" t="n">
        <x:f>'Datos_fuente'!AA81</x:f>
        <x:v>0.3981916376</x:v>
      </x:c>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t="str">
        <x:f>'Datos_fuente'!A82</x:f>
        <x:v>2012-04</x:v>
      </x:c>
      <x:c r="B82" s="90" t="n">
        <x:f>IF('Datos_fuente'!B82="","",LN('Datos_fuente'!B82))</x:f>
        <x:v>7.481132513786503</x:v>
      </x:c>
      <x:c r="C82" s="90" t="n">
        <x:f>IF(OR(B82="",B81=""),"",B82-B81)</x:f>
        <x:v>0.004472373919675476</x:v>
      </x:c>
      <x:c r="D82" s="90" t="n">
        <x:f>IF('Datos_fuente'!C82="","",LN('Datos_fuente'!C82))</x:f>
        <x:v>4.782660647645135</x:v>
      </x:c>
      <x:c r="E82" s="90" t="n">
        <x:f>IF(OR(D82="",D81=""),"",D82-D81)</x:f>
        <x:v>-0.049210390951658134</x:v>
      </x:c>
      <x:c r="F82" s="90" t="n">
        <x:f>IF('Datos_fuente'!E82="","",LN('Datos_fuente'!E82))</x:f>
        <x:v>8.30689676130276</x:v>
      </x:c>
      <x:c r="G82" s="90" t="n">
        <x:f>IF(OR(F82="",F81=""),"",F82-F81)</x:f>
        <x:v>0.005591010560966225</x:v>
      </x:c>
      <x:c r="H82" s="55" t="n">
        <x:f>'Datos_fuente'!H82</x:f>
        <x:v>5.11</x:v>
      </x:c>
      <x:c r="I82" s="55" t="n">
        <x:f>IF(OR(H82="",H81=""),"",H82-H81)</x:f>
        <x:v>-0.009999999999999787</x:v>
      </x:c>
      <x:c r="J82" s="55" t="n">
        <x:f>'Datos_fuente'!J82</x:f>
        <x:v>1.86842231</x:v>
      </x:c>
      <x:c r="K82" s="55" t="n">
        <x:f>IF(OR(J82="",J81=""),"",J82-J81)</x:f>
        <x:v>-0.870357585</x:v>
      </x:c>
      <x:c r="L82" s="90" t="n">
        <x:f>IF('Datos_fuente'!K82="","",LN('Datos_fuente'!K82))</x:f>
        <x:v>4.5088311818454585</x:v>
      </x:c>
      <x:c r="M82" s="90" t="n">
        <x:f>IF(OR(L82="",L81=""),"",L82-L81)</x:f>
        <x:v>0.003357431191184368</x:v>
      </x:c>
      <x:c r="N82" s="90" t="n">
        <x:f>IF('Datos_fuente'!L82="","",LN('Datos_fuente'!L82))</x:f>
        <x:v>2.880489758041714</x:v>
      </x:c>
      <x:c r="O82" s="90" t="n">
        <x:f>IF(OR(N82="",N81=""),"",N82-N81)</x:f>
        <x:v>0.09750076101545258</x:v>
      </x:c>
      <x:c r="P82" s="88" t="n">
        <x:f>'Datos_fuente'!N82</x:f>
        <x:v>0</x:v>
      </x:c>
      <x:c r="Q82" s="90" t="n">
        <x:f>IF('Datos_fuente'!O82="","",LN('Datos_fuente'!O82))</x:f>
        <x:v>10.420926857617427</x:v>
      </x:c>
      <x:c r="R82" s="90" t="n">
        <x:f>IF(OR(Q82="",Q81=""),"",Q82-Q81)</x:f>
        <x:v>0.01298171426632777</x:v>
      </x:c>
      <x:c r="S82" s="55" t="n">
        <x:f>'Datos_fuente'!R82</x:f>
        <x:v>5.192406015</x:v>
      </x:c>
      <x:c r="T82" s="55" t="n">
        <x:f>IF(OR(S82="",S81=""),"",S82-S81)</x:f>
        <x:v>-0.01629528399999991</x:v>
      </x:c>
      <x:c r="U82" s="90" t="n">
        <x:f>IF('Datos_fuente'!S82="","",ASINH('Datos_fuente'!S82/1000))</x:f>
        <x:v>-0.48775834647096505</x:v>
      </x:c>
      <x:c r="V82" s="90" t="n">
        <x:f>IF(OR(U82="",U81=""),"",U82-U81)</x:f>
        <x:v>0.05591048462562165</x:v>
      </x:c>
      <x:c r="W82" s="90" t="n">
        <x:f>IF('Datos_fuente'!T82="","",ASINH('Datos_fuente'!T82/1000))</x:f>
        <x:v>0.8739720913030834</x:v>
      </x:c>
      <x:c r="X82" s="90" t="n">
        <x:f>IF(OR(W82="",W81=""),"",W82-W81)</x:f>
        <x:v>0.0738569366003815</x:v>
      </x:c>
      <x:c r="Y82" s="55" t="n">
        <x:f>'Datos_fuente'!W82</x:f>
        <x:v>1.116976993</x:v>
      </x:c>
      <x:c r="Z82" s="55" t="n">
        <x:f>IF(OR(Y82="",Y81=""),"",Y82-Y81)</x:f>
        <x:v>0.37129079389999997</x:v>
      </x:c>
      <x:c r="AA82" s="90" t="n">
        <x:f>'Datos_fuente'!AA82</x:f>
        <x:v>0.4744600182</x:v>
      </x:c>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t="str">
        <x:f>'Datos_fuente'!A83</x:f>
        <x:v>2012-05</x:v>
      </x:c>
      <x:c r="B83" s="90" t="n">
        <x:f>IF('Datos_fuente'!B83="","",LN('Datos_fuente'!B83))</x:f>
        <x:v>7.491799825328656</x:v>
      </x:c>
      <x:c r="C83" s="90" t="n">
        <x:f>IF(OR(B83="",B82=""),"",B83-B82)</x:f>
        <x:v>0.010667311542153612</x:v>
      </x:c>
      <x:c r="D83" s="90" t="n">
        <x:f>IF('Datos_fuente'!C83="","",LN('Datos_fuente'!C83))</x:f>
        <x:v>4.703562192083657</x:v>
      </x:c>
      <x:c r="E83" s="90" t="n">
        <x:f>IF(OR(D83="",D82=""),"",D83-D82)</x:f>
        <x:v>-0.07909845556147754</x:v>
      </x:c>
      <x:c r="F83" s="90" t="n">
        <x:f>IF('Datos_fuente'!E83="","",LN('Datos_fuente'!E83))</x:f>
        <x:v>8.308046229245457</x:v>
      </x:c>
      <x:c r="G83" s="90" t="n">
        <x:f>IF(OR(F83="",F82=""),"",F83-F82)</x:f>
        <x:v>0.0011494679426977683</x:v>
      </x:c>
      <x:c r="H83" s="55" t="n">
        <x:f>'Datos_fuente'!H83</x:f>
        <x:v>5.09</x:v>
      </x:c>
      <x:c r="I83" s="55" t="n">
        <x:f>IF(OR(H83="",H82=""),"",H83-H82)</x:f>
        <x:v>-0.020000000000000462</x:v>
      </x:c>
      <x:c r="J83" s="55" t="n">
        <x:f>'Datos_fuente'!J83</x:f>
        <x:v>1.767762633</x:v>
      </x:c>
      <x:c r="K83" s="55" t="n">
        <x:f>IF(OR(J83="",J82=""),"",J83-J82)</x:f>
        <x:v>-0.10065967699999989</x:v>
      </x:c>
      <x:c r="L83" s="90" t="n">
        <x:f>IF('Datos_fuente'!K83="","",LN('Datos_fuente'!K83))</x:f>
        <x:v>4.527130656180071</x:v>
      </x:c>
      <x:c r="M83" s="90" t="n">
        <x:f>IF(OR(L83="",L82=""),"",L83-L82)</x:f>
        <x:v>0.01829947433461232</x:v>
      </x:c>
      <x:c r="N83" s="90" t="n">
        <x:f>IF('Datos_fuente'!L83="","",LN('Datos_fuente'!L83))</x:f>
        <x:v>3.0446090139755912</x:v>
      </x:c>
      <x:c r="O83" s="90" t="n">
        <x:f>IF(OR(N83="",N82=""),"",N83-N82)</x:f>
        <x:v>0.1641192559338771</x:v>
      </x:c>
      <x:c r="P83" s="88" t="n">
        <x:f>'Datos_fuente'!N83</x:f>
        <x:v>0</x:v>
      </x:c>
      <x:c r="Q83" s="90" t="n">
        <x:f>IF('Datos_fuente'!O83="","",LN('Datos_fuente'!O83))</x:f>
        <x:v>10.424337266811214</x:v>
      </x:c>
      <x:c r="R83" s="90" t="n">
        <x:f>IF(OR(Q83="",Q82=""),"",Q83-Q82)</x:f>
        <x:v>0.0034104091937869896</x:v>
      </x:c>
      <x:c r="S83" s="55" t="n">
        <x:f>'Datos_fuente'!R83</x:f>
        <x:v>5.418246753</x:v>
      </x:c>
      <x:c r="T83" s="55" t="n">
        <x:f>IF(OR(S83="",S82=""),"",S83-S82)</x:f>
        <x:v>0.2258407379999996</x:v>
      </x:c>
      <x:c r="U83" s="90" t="n">
        <x:f>IF('Datos_fuente'!S83="","",ASINH('Datos_fuente'!S83/1000))</x:f>
        <x:v>-0.4053389512016597</x:v>
      </x:c>
      <x:c r="V83" s="90" t="n">
        <x:f>IF(OR(U83="",U82=""),"",U83-U82)</x:f>
        <x:v>0.08241939526930536</x:v>
      </x:c>
      <x:c r="W83" s="90" t="n">
        <x:f>IF('Datos_fuente'!T83="","",ASINH('Datos_fuente'!T83/1000))</x:f>
        <x:v>0.4781597501417175</x:v>
      </x:c>
      <x:c r="X83" s="90" t="n">
        <x:f>IF(OR(W83="",W82=""),"",W83-W82)</x:f>
        <x:v>-0.3958123411613659</x:v>
      </x:c>
      <x:c r="Y83" s="55" t="n">
        <x:f>'Datos_fuente'!W83</x:f>
        <x:v>1.745859453</x:v>
      </x:c>
      <x:c r="Z83" s="55" t="n">
        <x:f>IF(OR(Y83="",Y82=""),"",Y83-Y82)</x:f>
        <x:v>0.62888246</x:v>
      </x:c>
      <x:c r="AA83" s="90" t="n">
        <x:f>'Datos_fuente'!AA83</x:f>
        <x:v>1.341861733</x:v>
      </x:c>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t="str">
        <x:f>'Datos_fuente'!A84</x:f>
        <x:v>2012-06</x:v>
      </x:c>
      <x:c r="B84" s="90" t="n">
        <x:f>IF('Datos_fuente'!B84="","",LN('Datos_fuente'!B84))</x:f>
        <x:v>7.491392606723445</x:v>
      </x:c>
      <x:c r="C84" s="90" t="n">
        <x:f>IF(OR(B84="",B83=""),"",B84-B83)</x:f>
        <x:v>-0.0004072186052113125</x:v>
      </x:c>
      <x:c r="D84" s="90" t="n">
        <x:f>IF('Datos_fuente'!C84="","",LN('Datos_fuente'!C84))</x:f>
        <x:v>4.55551464753532</x:v>
      </x:c>
      <x:c r="E84" s="90" t="n">
        <x:f>IF(OR(D84="",D83=""),"",D84-D83)</x:f>
        <x:v>-0.14804754454833713</x:v>
      </x:c>
      <x:c r="F84" s="90" t="n">
        <x:f>IF('Datos_fuente'!E84="","",LN('Datos_fuente'!E84))</x:f>
        <x:v>8.306328939968529</x:v>
      </x:c>
      <x:c r="G84" s="90" t="n">
        <x:f>IF(OR(F84="",F83=""),"",F84-F83)</x:f>
        <x:v>-0.001717289276928824</x:v>
      </x:c>
      <x:c r="H84" s="55" t="n">
        <x:f>'Datos_fuente'!H84</x:f>
        <x:v>5.09</x:v>
      </x:c>
      <x:c r="I84" s="55" t="n">
        <x:f>IF(OR(H84="",H83=""),"",H84-H83)</x:f>
        <x:v>0</x:v>
      </x:c>
      <x:c r="J84" s="55" t="n">
        <x:f>'Datos_fuente'!J84</x:f>
        <x:v>1.408046888</x:v>
      </x:c>
      <x:c r="K84" s="55" t="n">
        <x:f>IF(OR(J84="",J83=""),"",J84-J83)</x:f>
        <x:v>-0.3597157449999999</x:v>
      </x:c>
      <x:c r="L84" s="90" t="n">
        <x:f>IF('Datos_fuente'!K84="","",LN('Datos_fuente'!K84))</x:f>
        <x:v>4.54202660261895</x:v>
      </x:c>
      <x:c r="M84" s="90" t="n">
        <x:f>IF(OR(L84="",L83=""),"",L84-L83)</x:f>
        <x:v>0.01489594643887937</x:v>
      </x:c>
      <x:c r="N84" s="90" t="n">
        <x:f>IF('Datos_fuente'!L84="","",LN('Datos_fuente'!L84))</x:f>
        <x:v>3.050738903021132</x:v>
      </x:c>
      <x:c r="O84" s="90" t="n">
        <x:f>IF(OR(N84="",N83=""),"",N84-N83)</x:f>
        <x:v>0.006129889045540793</x:v>
      </x:c>
      <x:c r="P84" s="88" t="n">
        <x:f>'Datos_fuente'!N84</x:f>
        <x:v>0</x:v>
      </x:c>
      <x:c r="Q84" s="90" t="n">
        <x:f>IF('Datos_fuente'!O84="","",LN('Datos_fuente'!O84))</x:f>
        <x:v>10.44189517157869</x:v>
      </x:c>
      <x:c r="R84" s="90" t="n">
        <x:f>IF(OR(Q84="",Q83=""),"",Q84-Q83)</x:f>
        <x:v>0.017557904767475208</x:v>
      </x:c>
      <x:c r="S84" s="55" t="n">
        <x:f>'Datos_fuente'!R84</x:f>
        <x:v>5.529197995</x:v>
      </x:c>
      <x:c r="T84" s="55" t="n">
        <x:f>IF(OR(S84="",S83=""),"",S84-S83)</x:f>
        <x:v>0.11095124199999962</x:v>
      </x:c>
      <x:c r="U84" s="90" t="n">
        <x:f>IF('Datos_fuente'!S84="","",ASINH('Datos_fuente'!S84/1000))</x:f>
        <x:v>-0.4705249179977622</x:v>
      </x:c>
      <x:c r="V84" s="90" t="n">
        <x:f>IF(OR(U84="",U83=""),"",U84-U83)</x:f>
        <x:v>-0.0651859667961025</x:v>
      </x:c>
      <x:c r="W84" s="90" t="n">
        <x:f>IF('Datos_fuente'!T84="","",ASINH('Datos_fuente'!T84/1000))</x:f>
        <x:v>1.0575616628613924</x:v>
      </x:c>
      <x:c r="X84" s="90" t="n">
        <x:f>IF(OR(W84="",W83=""),"",W84-W83)</x:f>
        <x:v>0.5794019127196749</x:v>
      </x:c>
      <x:c r="Y84" s="55" t="n">
        <x:f>'Datos_fuente'!W84</x:f>
        <x:v>1.536112465</x:v>
      </x:c>
      <x:c r="Z84" s="55" t="n">
        <x:f>IF(OR(Y84="",Y83=""),"",Y84-Y83)</x:f>
        <x:v>-0.20974698800000002</x:v>
      </x:c>
      <x:c r="AA84" s="90" t="n">
        <x:f>'Datos_fuente'!AA84</x:f>
        <x:v>0.6053731685</x:v>
      </x:c>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t="str">
        <x:f>'Datos_fuente'!A85</x:f>
        <x:v>2012-07</x:v>
      </x:c>
      <x:c r="B85" s="90" t="n">
        <x:f>IF('Datos_fuente'!B85="","",LN('Datos_fuente'!B85))</x:f>
        <x:v>7.486512592260603</x:v>
      </x:c>
      <x:c r="C85" s="90" t="n">
        <x:f>IF(OR(B85="",B84=""),"",B85-B84)</x:f>
        <x:v>-0.004880014462842475</x:v>
      </x:c>
      <x:c r="D85" s="90" t="n">
        <x:f>IF('Datos_fuente'!C85="","",LN('Datos_fuente'!C85))</x:f>
        <x:v>4.631018924154005</x:v>
      </x:c>
      <x:c r="E85" s="90" t="n">
        <x:f>IF(OR(D85="",D84=""),"",D85-D84)</x:f>
        <x:v>0.07550427661868486</x:v>
      </x:c>
      <x:c r="F85" s="90" t="n">
        <x:f>IF('Datos_fuente'!E85="","",LN('Datos_fuente'!E85))</x:f>
        <x:v>8.309034307095697</x:v>
      </x:c>
      <x:c r="G85" s="90" t="n">
        <x:f>IF(OR(F85="",F84=""),"",F85-F84)</x:f>
        <x:v>0.002705367127168401</x:v>
      </x:c>
      <x:c r="H85" s="55" t="n">
        <x:f>'Datos_fuente'!H85</x:f>
        <x:v>5.073870968</x:v>
      </x:c>
      <x:c r="I85" s="55" t="n">
        <x:f>IF(OR(H85="",H84=""),"",H85-H84)</x:f>
        <x:v>-0.016129032000000265</x:v>
      </x:c>
      <x:c r="J85" s="55" t="n">
        <x:f>'Datos_fuente'!J85</x:f>
        <x:v>1.500560281</x:v>
      </x:c>
      <x:c r="K85" s="55" t="n">
        <x:f>IF(OR(J85="",J84=""),"",J85-J84)</x:f>
        <x:v>0.09251339299999994</x:v>
      </x:c>
      <x:c r="L85" s="90" t="n">
        <x:f>IF('Datos_fuente'!K85="","",LN('Datos_fuente'!K85))</x:f>
        <x:v>4.536957367359357</x:v>
      </x:c>
      <x:c r="M85" s="90" t="n">
        <x:f>IF(OR(L85="",L84=""),"",L85-L84)</x:f>
        <x:v>-0.005069235259592908</x:v>
      </x:c>
      <x:c r="N85" s="90" t="n">
        <x:f>IF('Datos_fuente'!L85="","",LN('Datos_fuente'!L85))</x:f>
        <x:v>2.8659218409917013</x:v>
      </x:c>
      <x:c r="O85" s="90" t="n">
        <x:f>IF(OR(N85="",N84=""),"",N85-N84)</x:f>
        <x:v>-0.1848170620294307</x:v>
      </x:c>
      <x:c r="P85" s="88" t="n">
        <x:f>'Datos_fuente'!N85</x:f>
        <x:v>0</x:v>
      </x:c>
      <x:c r="Q85" s="90" t="n">
        <x:f>IF('Datos_fuente'!O85="","",LN('Datos_fuente'!O85))</x:f>
        <x:v>10.454856860097536</x:v>
      </x:c>
      <x:c r="R85" s="90" t="n">
        <x:f>IF(OR(Q85="",Q84=""),"",Q85-Q84)</x:f>
        <x:v>0.01296168851884616</x:v>
      </x:c>
      <x:c r="S85" s="55" t="n">
        <x:f>'Datos_fuente'!R85</x:f>
        <x:v>5.399833333</x:v>
      </x:c>
      <x:c r="T85" s="55" t="n">
        <x:f>IF(OR(S85="",S84=""),"",S85-S84)</x:f>
        <x:v>-0.12936466199999952</x:v>
      </x:c>
      <x:c r="U85" s="90" t="n">
        <x:f>IF('Datos_fuente'!S85="","",ASINH('Datos_fuente'!S85/1000))</x:f>
        <x:v>-0.49072603429733885</x:v>
      </x:c>
      <x:c r="V85" s="90" t="n">
        <x:f>IF(OR(U85="",U84=""),"",U85-U84)</x:f>
        <x:v>-0.02020111629957666</x:v>
      </x:c>
      <x:c r="W85" s="90" t="n">
        <x:f>IF('Datos_fuente'!T85="","",ASINH('Datos_fuente'!T85/1000))</x:f>
        <x:v>0.9490345810651302</x:v>
      </x:c>
      <x:c r="X85" s="90" t="n">
        <x:f>IF(OR(W85="",W84=""),"",W85-W84)</x:f>
        <x:v>-0.10852708179626225</x:v>
      </x:c>
      <x:c r="Y85" s="55" t="n">
        <x:f>'Datos_fuente'!W85</x:f>
        <x:v>1.614620099</x:v>
      </x:c>
      <x:c r="Z85" s="55" t="n">
        <x:f>IF(OR(Y85="",Y84=""),"",Y85-Y84)</x:f>
        <x:v>0.07850763399999994</x:v>
      </x:c>
      <x:c r="AA85" s="90" t="n">
        <x:f>'Datos_fuente'!AA85</x:f>
        <x:v>-1.023997101</x:v>
      </x:c>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t="str">
        <x:f>'Datos_fuente'!A86</x:f>
        <x:v>2012-08</x:v>
      </x:c>
      <x:c r="B86" s="90" t="n">
        <x:f>IF('Datos_fuente'!B86="","",LN('Datos_fuente'!B86))</x:f>
        <x:v>7.498605704661357</x:v>
      </x:c>
      <x:c r="C86" s="90" t="n">
        <x:f>IF(OR(B86="",B85=""),"",B86-B85)</x:f>
        <x:v>0.012093112400754613</x:v>
      </x:c>
      <x:c r="D86" s="90" t="n">
        <x:f>IF('Datos_fuente'!C86="","",LN('Datos_fuente'!C86))</x:f>
        <x:v>4.73053407643803</x:v>
      </x:c>
      <x:c r="E86" s="90" t="n">
        <x:f>IF(OR(D86="",D85=""),"",D86-D85)</x:f>
        <x:v>0.09951515228402474</x:v>
      </x:c>
      <x:c r="F86" s="90" t="n">
        <x:f>IF('Datos_fuente'!E86="","",LN('Datos_fuente'!E86))</x:f>
        <x:v>8.303385921079014</x:v>
      </x:c>
      <x:c r="G86" s="90" t="n">
        <x:f>IF(OR(F86="",F85=""),"",F86-F85)</x:f>
        <x:v>-0.005648386016682494</x:v>
      </x:c>
      <x:c r="H86" s="55" t="n">
        <x:f>'Datos_fuente'!H86</x:f>
        <x:v>4.829677419</x:v>
      </x:c>
      <x:c r="I86" s="55" t="n">
        <x:f>IF(OR(H86="",H85=""),"",H86-H85)</x:f>
        <x:v>-0.24419354899999934</x:v>
      </x:c>
      <x:c r="J86" s="55" t="n">
        <x:f>'Datos_fuente'!J86</x:f>
        <x:v>1.515547366</x:v>
      </x:c>
      <x:c r="K86" s="55" t="n">
        <x:f>IF(OR(J86="",J85=""),"",J86-J85)</x:f>
        <x:v>0.014987085000000011</x:v>
      </x:c>
      <x:c r="L86" s="90" t="n">
        <x:f>IF('Datos_fuente'!K86="","",LN('Datos_fuente'!K86))</x:f>
        <x:v>4.527514167787338</x:v>
      </x:c>
      <x:c r="M86" s="90" t="n">
        <x:f>IF(OR(L86="",L85=""),"",L86-L85)</x:f>
        <x:v>-0.009443199572019445</x:v>
      </x:c>
      <x:c r="N86" s="90" t="n">
        <x:f>IF('Datos_fuente'!L86="","",LN('Datos_fuente'!L86))</x:f>
        <x:v>2.752995855717272</x:v>
      </x:c>
      <x:c r="O86" s="90" t="n">
        <x:f>IF(OR(N86="",N85=""),"",N86-N85)</x:f>
        <x:v>-0.11292598527442932</x:v>
      </x:c>
      <x:c r="P86" s="88" t="n">
        <x:f>'Datos_fuente'!N86</x:f>
        <x:v>0</x:v>
      </x:c>
      <x:c r="Q86" s="90" t="n">
        <x:f>IF('Datos_fuente'!O86="","",LN('Datos_fuente'!O86))</x:f>
        <x:v>10.470789157337762</x:v>
      </x:c>
      <x:c r="R86" s="90" t="n">
        <x:f>IF(OR(Q86="",Q85=""),"",Q86-Q85)</x:f>
        <x:v>0.01593229724022649</x:v>
      </x:c>
      <x:c r="S86" s="55" t="n">
        <x:f>'Datos_fuente'!R86</x:f>
        <x:v>5.049834369</x:v>
      </x:c>
      <x:c r="T86" s="55" t="n">
        <x:f>IF(OR(S86="",S85=""),"",S86-S85)</x:f>
        <x:v>-0.3499989640000001</x:v>
      </x:c>
      <x:c r="U86" s="90" t="n">
        <x:f>IF('Datos_fuente'!S86="","",ASINH('Datos_fuente'!S86/1000))</x:f>
        <x:v>-0.3786096324966266</x:v>
      </x:c>
      <x:c r="V86" s="90" t="n">
        <x:f>IF(OR(U86="",U85=""),"",U86-U85)</x:f>
        <x:v>0.11211640180071225</x:v>
      </x:c>
      <x:c r="W86" s="90" t="n">
        <x:f>IF('Datos_fuente'!T86="","",ASINH('Datos_fuente'!T86/1000))</x:f>
        <x:v>0.784257051854449</x:v>
      </x:c>
      <x:c r="X86" s="90" t="n">
        <x:f>IF(OR(W86="",W85=""),"",W86-W85)</x:f>
        <x:v>-0.16477752921068112</x:v>
      </x:c>
      <x:c r="Y86" s="55" t="n">
        <x:f>'Datos_fuente'!W86</x:f>
        <x:v>1.411480931</x:v>
      </x:c>
      <x:c r="Z86" s="55" t="n">
        <x:f>IF(OR(Y86="",Y85=""),"",Y86-Y85)</x:f>
        <x:v>-0.20313916799999987</x:v>
      </x:c>
      <x:c r="AA86" s="90" t="n">
        <x:f>'Datos_fuente'!AA86</x:f>
        <x:v>-0.5212470283</x:v>
      </x:c>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t="str">
        <x:f>'Datos_fuente'!A87</x:f>
        <x:v>2012-09</x:v>
      </x:c>
      <x:c r="B87" s="90" t="n">
        <x:f>IF('Datos_fuente'!B87="","",LN('Datos_fuente'!B87))</x:f>
        <x:v>7.497066521680253</x:v>
      </x:c>
      <x:c r="C87" s="90" t="n">
        <x:f>IF(OR(B87="",B86=""),"",B87-B86)</x:f>
        <x:v>-0.0015391829811042257</x:v>
      </x:c>
      <x:c r="D87" s="90" t="n">
        <x:f>IF('Datos_fuente'!C87="","",LN('Datos_fuente'!C87))</x:f>
        <x:v>4.726180755991887</x:v>
      </x:c>
      <x:c r="E87" s="90" t="n">
        <x:f>IF(OR(D87="",D86=""),"",D87-D86)</x:f>
        <x:v>-0.004353320446142561</x:v>
      </x:c>
      <x:c r="F87" s="90" t="n">
        <x:f>IF('Datos_fuente'!E87="","",LN('Datos_fuente'!E87))</x:f>
        <x:v>8.296863178388577</x:v>
      </x:c>
      <x:c r="G87" s="90" t="n">
        <x:f>IF(OR(F87="",F86=""),"",F87-F86)</x:f>
        <x:v>-0.006522742690437511</x:v>
      </x:c>
      <x:c r="H87" s="55" t="n">
        <x:f>'Datos_fuente'!H87</x:f>
        <x:v>4.61</x:v>
      </x:c>
      <x:c r="I87" s="55" t="n">
        <x:f>IF(OR(H87="",H86=""),"",H87-H86)</x:f>
        <x:v>-0.21967741899999993</x:v>
      </x:c>
      <x:c r="J87" s="55" t="n">
        <x:f>'Datos_fuente'!J87</x:f>
        <x:v>1.617997108</x:v>
      </x:c>
      <x:c r="K87" s="55" t="n">
        <x:f>IF(OR(J87="",J86=""),"",J87-J86)</x:f>
        <x:v>0.1024497419999999</x:v>
      </x:c>
      <x:c r="L87" s="90" t="n">
        <x:f>IF('Datos_fuente'!K87="","",LN('Datos_fuente'!K87))</x:f>
        <x:v>4.510641900424779</x:v>
      </x:c>
      <x:c r="M87" s="90" t="n">
        <x:f>IF(OR(L87="",L86=""),"",L87-L86)</x:f>
        <x:v>-0.01687226736255898</x:v>
      </x:c>
      <x:c r="N87" s="90" t="n">
        <x:f>IF('Datos_fuente'!L87="","",LN('Datos_fuente'!L87))</x:f>
        <x:v>2.7268547383152923</x:v>
      </x:c>
      <x:c r="O87" s="90" t="n">
        <x:f>IF(OR(N87="",N86=""),"",N87-N86)</x:f>
        <x:v>-0.026141117401979663</x:v>
      </x:c>
      <x:c r="P87" s="88" t="n">
        <x:f>'Datos_fuente'!N87</x:f>
        <x:v>0</x:v>
      </x:c>
      <x:c r="Q87" s="90" t="n">
        <x:f>IF('Datos_fuente'!O87="","",LN('Datos_fuente'!O87))</x:f>
        <x:v>10.486525739016017</x:v>
      </x:c>
      <x:c r="R87" s="90" t="n">
        <x:f>IF(OR(Q87="",Q86=""),"",Q87-Q86)</x:f>
        <x:v>0.015736581678254424</x:v>
      </x:c>
      <x:c r="S87" s="55" t="n">
        <x:f>'Datos_fuente'!R87</x:f>
        <x:v>4.896842105</x:v>
      </x:c>
      <x:c r="T87" s="55" t="n">
        <x:f>IF(OR(S87="",S86=""),"",S87-S86)</x:f>
        <x:v>-0.15299226399999988</x:v>
      </x:c>
      <x:c r="U87" s="90" t="n">
        <x:f>IF('Datos_fuente'!S87="","",ASINH('Datos_fuente'!S87/1000))</x:f>
        <x:v>-0.40805151109298476</x:v>
      </x:c>
      <x:c r="V87" s="90" t="n">
        <x:f>IF(OR(U87="",U86=""),"",U87-U86)</x:f>
        <x:v>-0.029441878596358162</x:v>
      </x:c>
      <x:c r="W87" s="90" t="n">
        <x:f>IF('Datos_fuente'!T87="","",ASINH('Datos_fuente'!T87/1000))</x:f>
        <x:v>0.8801851485529915</x:v>
      </x:c>
      <x:c r="X87" s="90" t="n">
        <x:f>IF(OR(W87="",W86=""),"",W87-W86)</x:f>
        <x:v>0.09592809669854241</x:v>
      </x:c>
      <x:c r="Y87" s="55" t="n">
        <x:f>'Datos_fuente'!W87</x:f>
        <x:v>1.103137385</x:v>
      </x:c>
      <x:c r="Z87" s="55" t="n">
        <x:f>IF(OR(Y87="",Y86=""),"",Y87-Y86)</x:f>
        <x:v>-0.30834354600000013</x:v>
      </x:c>
      <x:c r="AA87" s="90" t="n">
        <x:f>'Datos_fuente'!AA87</x:f>
        <x:v>-0.5246747376</x:v>
      </x:c>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t="str">
        <x:f>'Datos_fuente'!A88</x:f>
        <x:v>2012-10</x:v>
      </x:c>
      <x:c r="B88" s="90" t="n">
        <x:f>IF('Datos_fuente'!B88="","",LN('Datos_fuente'!B88))</x:f>
        <x:v>7.497983942000513</x:v>
      </x:c>
      <x:c r="C88" s="90" t="n">
        <x:f>IF(OR(B88="",B87=""),"",B88-B87)</x:f>
        <x:v>0.0009174203202597653</x:v>
      </x:c>
      <x:c r="D88" s="90" t="n">
        <x:f>IF('Datos_fuente'!C88="","",LN('Datos_fuente'!C88))</x:f>
        <x:v>4.715914011994316</x:v>
      </x:c>
      <x:c r="E88" s="90" t="n">
        <x:f>IF(OR(D88="",D87=""),"",D88-D87)</x:f>
        <x:v>-0.01026674399757077</x:v>
      </x:c>
      <x:c r="F88" s="90" t="n">
        <x:f>IF('Datos_fuente'!E88="","",LN('Datos_fuente'!E88))</x:f>
        <x:v>8.297473771068722</x:v>
      </x:c>
      <x:c r="G88" s="90" t="n">
        <x:f>IF(OR(F88="",F87=""),"",F88-F87)</x:f>
        <x:v>0.0006105926801449613</x:v>
      </x:c>
      <x:c r="H88" s="55" t="n">
        <x:f>'Datos_fuente'!H88</x:f>
        <x:v>4.59</x:v>
      </x:c>
      <x:c r="I88" s="55" t="n">
        <x:f>IF(OR(H88="",H87=""),"",H88-H87)</x:f>
        <x:v>-0.020000000000000462</x:v>
      </x:c>
      <x:c r="J88" s="55" t="n">
        <x:f>'Datos_fuente'!J88</x:f>
        <x:v>1.981446547</x:v>
      </x:c>
      <x:c r="K88" s="55" t="n">
        <x:f>IF(OR(J88="",J87=""),"",J88-J87)</x:f>
        <x:v>0.36344943900000004</x:v>
      </x:c>
      <x:c r="L88" s="90" t="n">
        <x:f>IF('Datos_fuente'!K88="","",LN('Datos_fuente'!K88))</x:f>
        <x:v>4.508181528327605</x:v>
      </x:c>
      <x:c r="M88" s="90" t="n">
        <x:f>IF(OR(L88="",L87=""),"",L88-L87)</x:f>
        <x:v>-0.0024603720971736465</x:v>
      </x:c>
      <x:c r="N88" s="90" t="n">
        <x:f>IF('Datos_fuente'!L88="","",LN('Datos_fuente'!L88))</x:f>
        <x:v>2.7897033331921226</x:v>
      </x:c>
      <x:c r="O88" s="90" t="n">
        <x:f>IF(OR(N88="",N87=""),"",N88-N87)</x:f>
        <x:v>0.06284859487683025</x:v>
      </x:c>
      <x:c r="P88" s="88" t="n">
        <x:f>'Datos_fuente'!N88</x:f>
        <x:v>0</x:v>
      </x:c>
      <x:c r="Q88" s="90" t="n">
        <x:f>IF('Datos_fuente'!O88="","",LN('Datos_fuente'!O88))</x:f>
        <x:v>10.50219574869081</x:v>
      </x:c>
      <x:c r="R88" s="90" t="n">
        <x:f>IF(OR(Q88="",Q87=""),"",Q88-Q87)</x:f>
        <x:v>0.015670009674792595</x:v>
      </x:c>
      <x:c r="S88" s="55" t="n">
        <x:f>'Datos_fuente'!R88</x:f>
        <x:v>4.443354978</x:v>
      </x:c>
      <x:c r="T88" s="55" t="n">
        <x:f>IF(OR(S88="",S87=""),"",S88-S87)</x:f>
        <x:v>-0.4534871269999998</x:v>
      </x:c>
      <x:c r="U88" s="90" t="n">
        <x:f>IF('Datos_fuente'!S88="","",ASINH('Datos_fuente'!S88/1000))</x:f>
        <x:v>-0.289758267477951</x:v>
      </x:c>
      <x:c r="V88" s="90" t="n">
        <x:f>IF(OR(U88="",U87=""),"",U88-U87)</x:f>
        <x:v>0.11829324361503374</x:v>
      </x:c>
      <x:c r="W88" s="90" t="n">
        <x:f>IF('Datos_fuente'!T88="","",ASINH('Datos_fuente'!T88/1000))</x:f>
        <x:v>0.8774224218825192</x:v>
      </x:c>
      <x:c r="X88" s="90" t="n">
        <x:f>IF(OR(W88="",W87=""),"",W88-W87)</x:f>
        <x:v>-0.002762726670472282</x:v>
      </x:c>
      <x:c r="Y88" s="55" t="n">
        <x:f>'Datos_fuente'!W88</x:f>
        <x:v>0.8863564143</x:v>
      </x:c>
      <x:c r="Z88" s="55" t="n">
        <x:f>IF(OR(Y88="",Y87=""),"",Y88-Y87)</x:f>
        <x:v>-0.2167809706999999</x:v>
      </x:c>
      <x:c r="AA88" s="90" t="n">
        <x:f>'Datos_fuente'!AA88</x:f>
        <x:v>-0.08289523778</x:v>
      </x:c>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t="str">
        <x:f>'Datos_fuente'!A89</x:f>
        <x:v>2012-11</x:v>
      </x:c>
      <x:c r="B89" s="90" t="n">
        <x:f>IF('Datos_fuente'!B89="","",LN('Datos_fuente'!B89))</x:f>
        <x:v>7.507148584916358</x:v>
      </x:c>
      <x:c r="C89" s="90" t="n">
        <x:f>IF(OR(B89="",B88=""),"",B89-B88)</x:f>
        <x:v>0.009164642915845178</x:v>
      </x:c>
      <x:c r="D89" s="90" t="n">
        <x:f>IF('Datos_fuente'!C89="","",LN('Datos_fuente'!C89))</x:f>
        <x:v>4.691885090200677</x:v>
      </x:c>
      <x:c r="E89" s="90" t="n">
        <x:f>IF(OR(D89="",D88=""),"",D89-D88)</x:f>
        <x:v>-0.024028921793639135</x:v>
      </x:c>
      <x:c r="F89" s="90" t="n">
        <x:f>IF('Datos_fuente'!E89="","",LN('Datos_fuente'!E89))</x:f>
        <x:v>8.290781806545258</x:v>
      </x:c>
      <x:c r="G89" s="90" t="n">
        <x:f>IF(OR(F89="",F88=""),"",F89-F88)</x:f>
        <x:v>-0.006691964523463767</x:v>
      </x:c>
      <x:c r="H89" s="55" t="n">
        <x:f>'Datos_fuente'!H89</x:f>
        <x:v>4.548333333</x:v>
      </x:c>
      <x:c r="I89" s="55" t="n">
        <x:f>IF(OR(H89="",H88=""),"",H89-H88)</x:f>
        <x:v>-0.041666666999999435</x:v>
      </x:c>
      <x:c r="J89" s="55" t="n">
        <x:f>'Datos_fuente'!J89</x:f>
        <x:v>1.037831214</x:v>
      </x:c>
      <x:c r="K89" s="55" t="n">
        <x:f>IF(OR(J89="",J88=""),"",J89-J88)</x:f>
        <x:v>-0.9436153330000001</x:v>
      </x:c>
      <x:c r="L89" s="90" t="n">
        <x:f>IF('Datos_fuente'!K89="","",LN('Datos_fuente'!K89))</x:f>
        <x:v>4.516066585460778</x:v>
      </x:c>
      <x:c r="M89" s="90" t="n">
        <x:f>IF(OR(L89="",L88=""),"",L89-L88)</x:f>
        <x:v>0.00788505713317278</x:v>
      </x:c>
      <x:c r="N89" s="90" t="n">
        <x:f>IF('Datos_fuente'!L89="","",LN('Datos_fuente'!L89))</x:f>
        <x:v>2.815522770403679</x:v>
      </x:c>
      <x:c r="O89" s="90" t="n">
        <x:f>IF(OR(N89="",N88=""),"",N89-N88)</x:f>
        <x:v>0.02581943721155655</x:v>
      </x:c>
      <x:c r="P89" s="88" t="n">
        <x:f>'Datos_fuente'!N89</x:f>
        <x:v>0</x:v>
      </x:c>
      <x:c r="Q89" s="90" t="n">
        <x:f>IF('Datos_fuente'!O89="","",LN('Datos_fuente'!O89))</x:f>
        <x:v>10.515691724439868</x:v>
      </x:c>
      <x:c r="R89" s="90" t="n">
        <x:f>IF(OR(Q89="",Q88=""),"",Q89-Q88)</x:f>
        <x:v>0.013495975749059141</x:v>
      </x:c>
      <x:c r="S89" s="55" t="n">
        <x:f>'Datos_fuente'!R89</x:f>
        <x:v>4.548</x:v>
      </x:c>
      <x:c r="T89" s="55" t="n">
        <x:f>IF(OR(S89="",S88=""),"",S89-S88)</x:f>
        <x:v>0.1046450219999997</x:v>
      </x:c>
      <x:c r="U89" s="90" t="n">
        <x:f>IF('Datos_fuente'!S89="","",ASINH('Datos_fuente'!S89/1000))</x:f>
        <x:v>-0.35557003724487235</x:v>
      </x:c>
      <x:c r="V89" s="90" t="n">
        <x:f>IF(OR(U89="",U88=""),"",U89-U88)</x:f>
        <x:v>-0.06581176976692132</x:v>
      </x:c>
      <x:c r="W89" s="90" t="n">
        <x:f>IF('Datos_fuente'!T89="","",ASINH('Datos_fuente'!T89/1000))</x:f>
        <x:v>0.7797324437778991</x:v>
      </x:c>
      <x:c r="X89" s="90" t="n">
        <x:f>IF(OR(W89="",W88=""),"",W89-W88)</x:f>
        <x:v>-0.0976899781046201</x:v>
      </x:c>
      <x:c r="Y89" s="55" t="n">
        <x:f>'Datos_fuente'!W89</x:f>
        <x:v>1.016939042</x:v>
      </x:c>
      <x:c r="Z89" s="55" t="n">
        <x:f>IF(OR(Y89="",Y88=""),"",Y89-Y88)</x:f>
        <x:v>0.13058262769999995</x:v>
      </x:c>
      <x:c r="AA89" s="90" t="n">
        <x:f>'Datos_fuente'!AA89</x:f>
        <x:v>0.3461067737</x:v>
      </x:c>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t="str">
        <x:f>'Datos_fuente'!A90</x:f>
        <x:v>2012-12</x:v>
      </x:c>
      <x:c r="B90" s="90" t="n">
        <x:f>IF('Datos_fuente'!B90="","",LN('Datos_fuente'!B90))</x:f>
        <x:v>7.491363693250663</x:v>
      </x:c>
      <x:c r="C90" s="90" t="n">
        <x:f>IF(OR(B90="",B89=""),"",B90-B89)</x:f>
        <x:v>-0.015784891665695078</x:v>
      </x:c>
      <x:c r="D90" s="90" t="n">
        <x:f>IF('Datos_fuente'!C90="","",LN('Datos_fuente'!C90))</x:f>
        <x:v>4.695869753234733</x:v>
      </x:c>
      <x:c r="E90" s="90" t="n">
        <x:f>IF(OR(D90="",D89=""),"",D90-D89)</x:f>
        <x:v>0.003984663034056091</x:v>
      </x:c>
      <x:c r="F90" s="90" t="n">
        <x:f>IF('Datos_fuente'!E90="","",LN('Datos_fuente'!E90))</x:f>
        <x:v>8.2864382468006</x:v>
      </x:c>
      <x:c r="G90" s="90" t="n">
        <x:f>IF(OR(F90="",F89=""),"",F90-F89)</x:f>
        <x:v>-0.004343559744658165</x:v>
      </x:c>
      <x:c r="H90" s="55" t="n">
        <x:f>'Datos_fuente'!H90</x:f>
        <x:v>4.275483871</x:v>
      </x:c>
      <x:c r="I90" s="55" t="n">
        <x:f>IF(OR(H90="",H89=""),"",H90-H89)</x:f>
        <x:v>-0.2728494620000008</x:v>
      </x:c>
      <x:c r="J90" s="55" t="n">
        <x:f>'Datos_fuente'!J90</x:f>
        <x:v>2.316502485</x:v>
      </x:c>
      <x:c r="K90" s="55" t="n">
        <x:f>IF(OR(J90="",J89=""),"",J90-J89)</x:f>
        <x:v>1.278671271</x:v>
      </x:c>
      <x:c r="L90" s="90" t="n">
        <x:f>IF('Datos_fuente'!K90="","",LN('Datos_fuente'!K90))</x:f>
        <x:v>4.509544246336873</x:v>
      </x:c>
      <x:c r="M90" s="90" t="n">
        <x:f>IF(OR(L90="",L89=""),"",L90-L89)</x:f>
        <x:v>-0.0065223391239053186</x:v>
      </x:c>
      <x:c r="N90" s="90" t="n">
        <x:f>IF('Datos_fuente'!L90="","",LN('Datos_fuente'!L90))</x:f>
        <x:v>2.851111043942862</x:v>
      </x:c>
      <x:c r="O90" s="90" t="n">
        <x:f>IF(OR(N90="",N89=""),"",N90-N89)</x:f>
        <x:v>0.035588273539183035</x:v>
      </x:c>
      <x:c r="P90" s="88" t="n">
        <x:f>'Datos_fuente'!N90</x:f>
        <x:v>0</x:v>
      </x:c>
      <x:c r="Q90" s="90" t="n">
        <x:f>IF('Datos_fuente'!O90="","",LN('Datos_fuente'!O90))</x:f>
        <x:v>10.531205415316958</x:v>
      </x:c>
      <x:c r="R90" s="90" t="n">
        <x:f>IF(OR(Q90="",Q89=""),"",Q90-Q89)</x:f>
        <x:v>0.015513690877089203</x:v>
      </x:c>
      <x:c r="S90" s="55" t="n">
        <x:f>'Datos_fuente'!R90</x:f>
        <x:v>4.185210526</x:v>
      </x:c>
      <x:c r="T90" s="55" t="n">
        <x:f>IF(OR(S90="",S89=""),"",S90-S89)</x:f>
        <x:v>-0.3627894740000004</x:v>
      </x:c>
      <x:c r="U90" s="90" t="n">
        <x:f>IF('Datos_fuente'!S90="","",ASINH('Datos_fuente'!S90/1000))</x:f>
        <x:v>-0.550500669259655</x:v>
      </x:c>
      <x:c r="V90" s="90" t="n">
        <x:f>IF(OR(U90="",U89=""),"",U90-U89)</x:f>
        <x:v>-0.19493063201478267</x:v>
      </x:c>
      <x:c r="W90" s="90" t="n">
        <x:f>IF('Datos_fuente'!T90="","",ASINH('Datos_fuente'!T90/1000))</x:f>
        <x:v>1.0207274060948501</x:v>
      </x:c>
      <x:c r="X90" s="90" t="n">
        <x:f>IF(OR(W90="",W89=""),"",W90-W89)</x:f>
        <x:v>0.24099496231695106</x:v>
      </x:c>
      <x:c r="Y90" s="55" t="n">
        <x:f>'Datos_fuente'!W90</x:f>
        <x:v>0.7002428892</x:v>
      </x:c>
      <x:c r="Z90" s="55" t="n">
        <x:f>IF(OR(Y90="",Y89=""),"",Y90-Y89)</x:f>
        <x:v>-0.31669615279999996</x:v>
      </x:c>
      <x:c r="AA90" s="90" t="n">
        <x:f>'Datos_fuente'!AA90</x:f>
        <x:v>-0.3382040945</x:v>
      </x:c>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t="str">
        <x:f>'Datos_fuente'!A91</x:f>
        <x:v>2013-01</x:v>
      </x:c>
      <x:c r="B91" s="90" t="n">
        <x:f>IF('Datos_fuente'!B91="","",LN('Datos_fuente'!B91))</x:f>
        <x:v>7.478549825970629</x:v>
      </x:c>
      <x:c r="C91" s="90" t="n">
        <x:f>IF(OR(B91="",B90=""),"",B91-B90)</x:f>
        <x:v>-0.012813867280033975</x:v>
      </x:c>
      <x:c r="D91" s="90" t="n">
        <x:f>IF('Datos_fuente'!C91="","",LN('Datos_fuente'!C91))</x:f>
        <x:v>4.727033773744932</x:v>
      </x:c>
      <x:c r="E91" s="90" t="n">
        <x:f>IF(OR(D91="",D90=""),"",D91-D90)</x:f>
        <x:v>0.031164020510198398</x:v>
      </x:c>
      <x:c r="F91" s="90" t="n">
        <x:f>IF('Datos_fuente'!E91="","",LN('Datos_fuente'!E91))</x:f>
        <x:v>8.295181499307656</x:v>
      </x:c>
      <x:c r="G91" s="90" t="n">
        <x:f>IF(OR(F91="",F90=""),"",F91-F90)</x:f>
        <x:v>0.008743252507056098</x:v>
      </x:c>
      <x:c r="H91" s="55" t="n">
        <x:f>'Datos_fuente'!H91</x:f>
        <x:v>4.085806452</x:v>
      </x:c>
      <x:c r="I91" s="55" t="n">
        <x:f>IF(OR(H91="",H90=""),"",H91-H90)</x:f>
        <x:v>-0.18967741899999968</x:v>
      </x:c>
      <x:c r="J91" s="55" t="n">
        <x:f>'Datos_fuente'!J91</x:f>
        <x:v>1.469951168</x:v>
      </x:c>
      <x:c r="K91" s="55" t="n">
        <x:f>IF(OR(J91="",J90=""),"",J91-J90)</x:f>
        <x:v>-0.8465513170000001</x:v>
      </x:c>
      <x:c r="L91" s="90" t="n">
        <x:f>IF('Datos_fuente'!K91="","",LN('Datos_fuente'!K91))</x:f>
        <x:v>4.50894024051898</x:v>
      </x:c>
      <x:c r="M91" s="90" t="n">
        <x:f>IF(OR(L91="",L90=""),"",L91-L90)</x:f>
        <x:v>-0.0006040058178928831</x:v>
      </x:c>
      <x:c r="N91" s="90" t="n">
        <x:f>IF('Datos_fuente'!L91="","",LN('Datos_fuente'!L91))</x:f>
        <x:v>2.603077617596383</x:v>
      </x:c>
      <x:c r="O91" s="90" t="n">
        <x:f>IF(OR(N91="",N90=""),"",N91-N90)</x:f>
        <x:v>-0.2480334263464794</x:v>
      </x:c>
      <x:c r="P91" s="88" t="n">
        <x:f>'Datos_fuente'!N91</x:f>
        <x:v>0</x:v>
      </x:c>
      <x:c r="Q91" s="90" t="n">
        <x:f>IF('Datos_fuente'!O91="","",LN('Datos_fuente'!O91))</x:f>
        <x:v>10.541716719449028</x:v>
      </x:c>
      <x:c r="R91" s="90" t="n">
        <x:f>IF(OR(Q91="",Q90=""),"",Q91-Q90)</x:f>
        <x:v>0.01051130413206991</x:v>
      </x:c>
      <x:c r="S91" s="55" t="n">
        <x:f>'Datos_fuente'!R91</x:f>
        <x:v>3.548571429</x:v>
      </x:c>
      <x:c r="T91" s="55" t="n">
        <x:f>IF(OR(S91="",S90=""),"",S91-S90)</x:f>
        <x:v>-0.6366390969999998</x:v>
      </x:c>
      <x:c r="U91" s="90" t="n">
        <x:f>IF('Datos_fuente'!S91="","",ASINH('Datos_fuente'!S91/1000))</x:f>
        <x:v>-0.44728575853010144</x:v>
      </x:c>
      <x:c r="V91" s="90" t="n">
        <x:f>IF(OR(U91="",U90=""),"",U91-U90)</x:f>
        <x:v>0.10321491072955358</x:v>
      </x:c>
      <x:c r="W91" s="90" t="n">
        <x:f>IF('Datos_fuente'!T91="","",ASINH('Datos_fuente'!T91/1000))</x:f>
        <x:v>0.863914298360071</x:v>
      </x:c>
      <x:c r="X91" s="90" t="n">
        <x:f>IF(OR(W91="",W90=""),"",W91-W90)</x:f>
        <x:v>-0.15681310773477908</x:v>
      </x:c>
      <x:c r="Y91" s="55" t="n">
        <x:f>'Datos_fuente'!W91</x:f>
        <x:v>0.3986206739</x:v>
      </x:c>
      <x:c r="Z91" s="55" t="n">
        <x:f>IF(OR(Y91="",Y90=""),"",Y91-Y90)</x:f>
        <x:v>-0.3016222153</x:v>
      </x:c>
      <x:c r="AA91" s="90" t="n">
        <x:f>'Datos_fuente'!AA91</x:f>
        <x:v>-0.5923571245</x:v>
      </x:c>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t="str">
        <x:f>'Datos_fuente'!A92</x:f>
        <x:v>2013-02</x:v>
      </x:c>
      <x:c r="B92" s="90" t="n">
        <x:f>IF('Datos_fuente'!B92="","",LN('Datos_fuente'!B92))</x:f>
        <x:v>7.4902769173694805</x:v>
      </x:c>
      <x:c r="C92" s="90" t="n">
        <x:f>IF(OR(B92="",B91=""),"",B92-B91)</x:f>
        <x:v>0.011727091398851641</x:v>
      </x:c>
      <x:c r="D92" s="90" t="n">
        <x:f>IF('Datos_fuente'!C92="","",LN('Datos_fuente'!C92))</x:f>
        <x:v>4.7540256678243376</x:v>
      </x:c>
      <x:c r="E92" s="90" t="n">
        <x:f>IF(OR(D92="",D91=""),"",D92-D91)</x:f>
        <x:v>0.02699189407940583</x:v>
      </x:c>
      <x:c r="F92" s="90" t="n">
        <x:f>IF('Datos_fuente'!E92="","",LN('Datos_fuente'!E92))</x:f>
        <x:v>8.298870501055967</x:v>
      </x:c>
      <x:c r="G92" s="90" t="n">
        <x:f>IF(OR(F92="",F91=""),"",F92-F91)</x:f>
        <x:v>0.003689001748311327</x:v>
      </x:c>
      <x:c r="H92" s="55" t="n">
        <x:f>'Datos_fuente'!H92</x:f>
        <x:v>3.814285714</x:v>
      </x:c>
      <x:c r="I92" s="55" t="n">
        <x:f>IF(OR(H92="",H91=""),"",H92-H91)</x:f>
        <x:v>-0.271520738</x:v>
      </x:c>
      <x:c r="J92" s="55" t="n">
        <x:f>'Datos_fuente'!J92</x:f>
        <x:v>1.680938137</x:v>
      </x:c>
      <x:c r="K92" s="55" t="n">
        <x:f>IF(OR(J92="",J91=""),"",J92-J91)</x:f>
        <x:v>0.21098696900000014</x:v>
      </x:c>
      <x:c r="L92" s="90" t="n">
        <x:f>IF('Datos_fuente'!K92="","",LN('Datos_fuente'!K92))</x:f>
        <x:v>4.51689481427542</x:v>
      </x:c>
      <x:c r="M92" s="90" t="n">
        <x:f>IF(OR(L92="",L91=""),"",L92-L91)</x:f>
        <x:v>0.007954573756440375</x:v>
      </x:c>
      <x:c r="N92" s="90" t="n">
        <x:f>IF('Datos_fuente'!L92="","",LN('Datos_fuente'!L92))</x:f>
        <x:v>2.644231888463336</x:v>
      </x:c>
      <x:c r="O92" s="90" t="n">
        <x:f>IF(OR(N92="",N91=""),"",N92-N91)</x:f>
        <x:v>0.041154270866953</x:v>
      </x:c>
      <x:c r="P92" s="88" t="n">
        <x:f>'Datos_fuente'!N92</x:f>
        <x:v>0</x:v>
      </x:c>
      <x:c r="Q92" s="90" t="n">
        <x:f>IF('Datos_fuente'!O92="","",LN('Datos_fuente'!O92))</x:f>
        <x:v>10.559342698845343</x:v>
      </x:c>
      <x:c r="R92" s="90" t="n">
        <x:f>IF(OR(Q92="",Q91=""),"",Q92-Q91)</x:f>
        <x:v>0.017625979396315827</x:v>
      </x:c>
      <x:c r="S92" s="55" t="n">
        <x:f>'Datos_fuente'!R92</x:f>
        <x:v>3.167789474</x:v>
      </x:c>
      <x:c r="T92" s="55" t="n">
        <x:f>IF(OR(S92="",S91=""),"",S92-S91)</x:f>
        <x:v>-0.3807819549999998</x:v>
      </x:c>
      <x:c r="U92" s="90" t="n">
        <x:f>IF('Datos_fuente'!S92="","",ASINH('Datos_fuente'!S92/1000))</x:f>
        <x:v>-0.2580563214172582</x:v>
      </x:c>
      <x:c r="V92" s="90" t="n">
        <x:f>IF(OR(U92="",U91=""),"",U92-U91)</x:f>
        <x:v>0.18922943711284324</x:v>
      </x:c>
      <x:c r="W92" s="90" t="n">
        <x:f>IF('Datos_fuente'!T92="","",ASINH('Datos_fuente'!T92/1000))</x:f>
        <x:v>0.6828596115204223</x:v>
      </x:c>
      <x:c r="X92" s="90" t="n">
        <x:f>IF(OR(W92="",W91=""),"",W92-W91)</x:f>
        <x:v>-0.18105468683964876</x:v>
      </x:c>
      <x:c r="Y92" s="55" t="n">
        <x:f>'Datos_fuente'!W92</x:f>
        <x:v>-0.1519716838</x:v>
      </x:c>
      <x:c r="Z92" s="55" t="n">
        <x:f>IF(OR(Y92="",Y91=""),"",Y92-Y91)</x:f>
        <x:v>-0.5505923577</x:v>
      </x:c>
      <x:c r="AA92" s="90" t="n">
        <x:f>'Datos_fuente'!AA92</x:f>
        <x:v>-0.3363675092</x:v>
      </x:c>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t="str">
        <x:f>'Datos_fuente'!A93</x:f>
        <x:v>2013-03</x:v>
      </x:c>
      <x:c r="B93" s="90" t="n">
        <x:f>IF('Datos_fuente'!B93="","",LN('Datos_fuente'!B93))</x:f>
        <x:v>7.503151092964512</x:v>
      </x:c>
      <x:c r="C93" s="90" t="n">
        <x:f>IF(OR(B93="",B92=""),"",B93-B92)</x:f>
        <x:v>0.0128741755950319</x:v>
      </x:c>
      <x:c r="D93" s="90" t="n">
        <x:f>IF('Datos_fuente'!C93="","",LN('Datos_fuente'!C93))</x:f>
        <x:v>4.686510512927932</x:v>
      </x:c>
      <x:c r="E93" s="90" t="n">
        <x:f>IF(OR(D93="",D92=""),"",D93-D92)</x:f>
        <x:v>-0.06751515489640525</x:v>
      </x:c>
      <x:c r="F93" s="90" t="n">
        <x:f>IF('Datos_fuente'!E93="","",LN('Datos_fuente'!E93))</x:f>
        <x:v>8.297800098333022</x:v>
      </x:c>
      <x:c r="G93" s="90" t="n">
        <x:f>IF(OR(F93="",F92=""),"",F93-F92)</x:f>
        <x:v>-0.0010704027229451185</x:v>
      </x:c>
      <x:c r="H93" s="55" t="n">
        <x:f>'Datos_fuente'!H93</x:f>
        <x:v>3.513225806</x:v>
      </x:c>
      <x:c r="I93" s="55" t="n">
        <x:f>IF(OR(H93="",H92=""),"",H93-H92)</x:f>
        <x:v>-0.30105990800000004</x:v>
      </x:c>
      <x:c r="J93" s="55" t="n">
        <x:f>'Datos_fuente'!J93</x:f>
        <x:v>2.144560764</x:v>
      </x:c>
      <x:c r="K93" s="55" t="n">
        <x:f>IF(OR(J93="",J92=""),"",J93-J92)</x:f>
        <x:v>0.4636226269999999</x:v>
      </x:c>
      <x:c r="L93" s="90" t="n">
        <x:f>IF('Datos_fuente'!K93="","",LN('Datos_fuente'!K93))</x:f>
        <x:v>4.526269609168063</x:v>
      </x:c>
      <x:c r="M93" s="90" t="n">
        <x:f>IF(OR(L93="",L92=""),"",L93-L92)</x:f>
        <x:v>0.00937479489264259</x:v>
      </x:c>
      <x:c r="N93" s="90" t="n">
        <x:f>IF('Datos_fuente'!L93="","",LN('Datos_fuente'!L93))</x:f>
        <x:v>2.56736950346733</x:v>
      </x:c>
      <x:c r="O93" s="90" t="n">
        <x:f>IF(OR(N93="",N92=""),"",N93-N92)</x:f>
        <x:v>-0.07686238499600595</x:v>
      </x:c>
      <x:c r="P93" s="88" t="n">
        <x:f>'Datos_fuente'!N93</x:f>
        <x:v>0</x:v>
      </x:c>
      <x:c r="Q93" s="90" t="n">
        <x:f>IF('Datos_fuente'!O93="","",LN('Datos_fuente'!O93))</x:f>
        <x:v>10.57986820717615</x:v>
      </x:c>
      <x:c r="R93" s="90" t="n">
        <x:f>IF(OR(Q93="",Q92=""),"",Q93-Q92)</x:f>
        <x:v>0.02052550833080602</x:v>
      </x:c>
      <x:c r="S93" s="55" t="n">
        <x:f>'Datos_fuente'!R93</x:f>
        <x:v>3.1175</x:v>
      </x:c>
      <x:c r="T93" s="55" t="n">
        <x:f>IF(OR(S93="",S92=""),"",S93-S92)</x:f>
        <x:v>-0.050289473999999945</x:v>
      </x:c>
      <x:c r="U93" s="90" t="n">
        <x:f>IF('Datos_fuente'!S93="","",ASINH('Datos_fuente'!S93/1000))</x:f>
        <x:v>-0.13332466412577357</x:v>
      </x:c>
      <x:c r="V93" s="90" t="n">
        <x:f>IF(OR(U93="",U92=""),"",U93-U92)</x:f>
        <x:v>0.12473165729148464</x:v>
      </x:c>
      <x:c r="W93" s="90" t="n">
        <x:f>IF('Datos_fuente'!T93="","",ASINH('Datos_fuente'!T93/1000))</x:f>
        <x:v>0.8990459802991351</x:v>
      </x:c>
      <x:c r="X93" s="90" t="n">
        <x:f>IF(OR(W93="",W92=""),"",W93-W92)</x:f>
        <x:v>0.21618636877871278</x:v>
      </x:c>
      <x:c r="Y93" s="55" t="n">
        <x:f>'Datos_fuente'!W93</x:f>
        <x:v>0.4404745027</x:v>
      </x:c>
      <x:c r="Z93" s="55" t="n">
        <x:f>IF(OR(Y93="",Y92=""),"",Y93-Y92)</x:f>
        <x:v>0.5924461865</x:v>
      </x:c>
      <x:c r="AA93" s="90" t="n">
        <x:f>'Datos_fuente'!AA93</x:f>
        <x:v>-0.2519671956</x:v>
      </x:c>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t="str">
        <x:f>'Datos_fuente'!A94</x:f>
        <x:v>2013-04</x:v>
      </x:c>
      <x:c r="B94" s="90" t="n">
        <x:f>IF('Datos_fuente'!B94="","",LN('Datos_fuente'!B94))</x:f>
        <x:v>7.512197649321619</x:v>
      </x:c>
      <x:c r="C94" s="90" t="n">
        <x:f>IF(OR(B94="",B93=""),"",B94-B93)</x:f>
        <x:v>0.009046556357106716</x:v>
      </x:c>
      <x:c r="D94" s="90" t="n">
        <x:f>IF('Datos_fuente'!C94="","",LN('Datos_fuente'!C94))</x:f>
        <x:v>4.62740301285772</x:v>
      </x:c>
      <x:c r="E94" s="90" t="n">
        <x:f>IF(OR(D94="",D93=""),"",D94-D93)</x:f>
        <x:v>-0.05910750007021193</x:v>
      </x:c>
      <x:c r="F94" s="90" t="n">
        <x:f>IF('Datos_fuente'!E94="","",LN('Datos_fuente'!E94))</x:f>
        <x:v>8.311781497382173</x:v>
      </x:c>
      <x:c r="G94" s="90" t="n">
        <x:f>IF(OR(F94="",F93=""),"",F94-F93)</x:f>
        <x:v>0.013981399049150411</x:v>
      </x:c>
      <x:c r="H94" s="55" t="n">
        <x:f>'Datos_fuente'!H94</x:f>
        <x:v>3.1</x:v>
      </x:c>
      <x:c r="I94" s="55" t="n">
        <x:f>IF(OR(H94="",H93=""),"",H94-H93)</x:f>
        <x:v>-0.4132258059999998</x:v>
      </x:c>
      <x:c r="J94" s="55" t="n">
        <x:f>'Datos_fuente'!J94</x:f>
        <x:v>2.953051089</x:v>
      </x:c>
      <x:c r="K94" s="55" t="n">
        <x:f>IF(OR(J94="",J93=""),"",J94-J93)</x:f>
        <x:v>0.8084903250000002</x:v>
      </x:c>
      <x:c r="L94" s="90" t="n">
        <x:f>IF('Datos_fuente'!K94="","",LN('Datos_fuente'!K94))</x:f>
        <x:v>4.522308254276044</x:v>
      </x:c>
      <x:c r="M94" s="90" t="n">
        <x:f>IF(OR(L94="",L93=""),"",L94-L93)</x:f>
        <x:v>-0.003961354892018321</x:v>
      </x:c>
      <x:c r="N94" s="90" t="n">
        <x:f>IF('Datos_fuente'!L94="","",LN('Datos_fuente'!L94))</x:f>
        <x:v>2.636716930874595</x:v>
      </x:c>
      <x:c r="O94" s="90" t="n">
        <x:f>IF(OR(N94="",N93=""),"",N94-N93)</x:f>
        <x:v>0.06934742740726518</x:v>
      </x:c>
      <x:c r="P94" s="88" t="n">
        <x:f>'Datos_fuente'!N94</x:f>
        <x:v>0</x:v>
      </x:c>
      <x:c r="Q94" s="90" t="n">
        <x:f>IF('Datos_fuente'!O94="","",LN('Datos_fuente'!O94))</x:f>
        <x:v>10.598873724682655</x:v>
      </x:c>
      <x:c r="R94" s="90" t="n">
        <x:f>IF(OR(Q94="",Q93=""),"",Q94-Q93)</x:f>
        <x:v>0.019005517506505143</x:v>
      </x:c>
      <x:c r="S94" s="55" t="n">
        <x:f>'Datos_fuente'!R94</x:f>
        <x:v>3.400454545</x:v>
      </x:c>
      <x:c r="T94" s="55" t="n">
        <x:f>IF(OR(S94="",S93=""),"",S94-S93)</x:f>
        <x:v>0.28295454499999995</x:v>
      </x:c>
      <x:c r="U94" s="90" t="n">
        <x:f>IF('Datos_fuente'!S94="","",ASINH('Datos_fuente'!S94/1000))</x:f>
        <x:v>-0.4288714550410456</x:v>
      </x:c>
      <x:c r="V94" s="90" t="n">
        <x:f>IF(OR(U94="",U93=""),"",U94-U93)</x:f>
        <x:v>-0.29554679091527203</x:v>
      </x:c>
      <x:c r="W94" s="90" t="n">
        <x:f>IF('Datos_fuente'!T94="","",ASINH('Datos_fuente'!T94/1000))</x:f>
        <x:v>1.0447349709453837</x:v>
      </x:c>
      <x:c r="X94" s="90" t="n">
        <x:f>IF(OR(W94="",W93=""),"",W94-W93)</x:f>
        <x:v>0.14568899064624863</x:v>
      </x:c>
      <x:c r="Y94" s="55" t="n">
        <x:f>'Datos_fuente'!W94</x:f>
        <x:v>0.964814386</x:v>
      </x:c>
      <x:c r="Z94" s="55" t="n">
        <x:f>IF(OR(Y94="",Y93=""),"",Y94-Y93)</x:f>
        <x:v>0.5243398833</x:v>
      </x:c>
      <x:c r="AA94" s="90" t="n">
        <x:f>'Datos_fuente'!AA94</x:f>
        <x:v>-0.3097547991</x:v>
      </x:c>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t="str">
        <x:f>'Datos_fuente'!A95</x:f>
        <x:v>2013-05</x:v>
      </x:c>
      <x:c r="B95" s="90" t="n">
        <x:f>IF('Datos_fuente'!B95="","",LN('Datos_fuente'!B95))</x:f>
        <x:v>7.521816659303223</x:v>
      </x:c>
      <x:c r="C95" s="90" t="n">
        <x:f>IF(OR(B95="",B94=""),"",B95-B94)</x:f>
        <x:v>0.00961900998160381</x:v>
      </x:c>
      <x:c r="D95" s="90" t="n">
        <x:f>IF('Datos_fuente'!C95="","",LN('Datos_fuente'!C95))</x:f>
        <x:v>4.630434697452147</x:v>
      </x:c>
      <x:c r="E95" s="90" t="n">
        <x:f>IF(OR(D95="",D94=""),"",D95-D94)</x:f>
        <x:v>0.003031684594426487</x:v>
      </x:c>
      <x:c r="F95" s="90" t="n">
        <x:f>IF('Datos_fuente'!E95="","",LN('Datos_fuente'!E95))</x:f>
        <x:v>8.321912830849286</x:v>
      </x:c>
      <x:c r="G95" s="90" t="n">
        <x:f>IF(OR(F95="",F94=""),"",F95-F94)</x:f>
        <x:v>0.010131333467112924</x:v>
      </x:c>
      <x:c r="H95" s="55" t="n">
        <x:f>'Datos_fuente'!H95</x:f>
        <x:v>3.14</x:v>
      </x:c>
      <x:c r="I95" s="55" t="n">
        <x:f>IF(OR(H95="",H94=""),"",H95-H94)</x:f>
        <x:v>0.040000000000000036</x:v>
      </x:c>
      <x:c r="J95" s="55" t="n">
        <x:f>'Datos_fuente'!J95</x:f>
        <x:v>2.98816712</x:v>
      </x:c>
      <x:c r="K95" s="55" t="n">
        <x:f>IF(OR(J95="",J94=""),"",J95-J94)</x:f>
        <x:v>0.035116030999999825</x:v>
      </x:c>
      <x:c r="L95" s="90" t="n">
        <x:f>IF('Datos_fuente'!K95="","",LN('Datos_fuente'!K95))</x:f>
        <x:v>4.527521765004557</x:v>
      </x:c>
      <x:c r="M95" s="90" t="n">
        <x:f>IF(OR(L95="",L94=""),"",L95-L94)</x:f>
        <x:v>0.005213510728512283</x:v>
      </x:c>
      <x:c r="N95" s="90" t="n">
        <x:f>IF('Datos_fuente'!L95="","",LN('Datos_fuente'!L95))</x:f>
        <x:v>2.602218193568816</x:v>
      </x:c>
      <x:c r="O95" s="90" t="n">
        <x:f>IF(OR(N95="",N94=""),"",N95-N94)</x:f>
        <x:v>-0.03449873730577924</x:v>
      </x:c>
      <x:c r="P95" s="88" t="n">
        <x:f>'Datos_fuente'!N95</x:f>
        <x:v>0</x:v>
      </x:c>
      <x:c r="Q95" s="90" t="n">
        <x:f>IF('Datos_fuente'!O95="","",LN('Datos_fuente'!O95))</x:f>
        <x:v>10.609285868935347</x:v>
      </x:c>
      <x:c r="R95" s="90" t="n">
        <x:f>IF(OR(Q95="",Q94=""),"",Q95-Q94)</x:f>
        <x:v>0.010412144252692102</x:v>
      </x:c>
      <x:c r="S95" s="55" t="n">
        <x:f>'Datos_fuente'!R95</x:f>
        <x:v>3.499437229</x:v>
      </x:c>
      <x:c r="T95" s="55" t="n">
        <x:f>IF(OR(S95="",S94=""),"",S95-S94)</x:f>
        <x:v>0.0989826840000001</x:v>
      </x:c>
      <x:c r="U95" s="90" t="n">
        <x:f>IF('Datos_fuente'!S95="","",ASINH('Datos_fuente'!S95/1000))</x:f>
        <x:v>-0.25857879254696453</x:v>
      </x:c>
      <x:c r="V95" s="90" t="n">
        <x:f>IF(OR(U95="",U94=""),"",U95-U94)</x:f>
        <x:v>0.1702926624940811</x:v>
      </x:c>
      <x:c r="W95" s="90" t="n">
        <x:f>IF('Datos_fuente'!T95="","",ASINH('Datos_fuente'!T95/1000))</x:f>
        <x:v>0.5209805964393922</x:v>
      </x:c>
      <x:c r="X95" s="90" t="n">
        <x:f>IF(OR(W95="",W94=""),"",W95-W94)</x:f>
        <x:v>-0.5237543745059915</x:v>
      </x:c>
      <x:c r="Y95" s="55" t="n">
        <x:f>'Datos_fuente'!W95</x:f>
        <x:v>0.6339144158</x:v>
      </x:c>
      <x:c r="Z95" s="55" t="n">
        <x:f>IF(OR(Y95="",Y94=""),"",Y95-Y94)</x:f>
        <x:v>-0.33089997020000006</x:v>
      </x:c>
      <x:c r="AA95" s="90" t="n">
        <x:f>'Datos_fuente'!AA95</x:f>
        <x:v>0.4110659314</x:v>
      </x:c>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t="str">
        <x:f>'Datos_fuente'!A96</x:f>
        <x:v>2013-06</x:v>
      </x:c>
      <x:c r="B96" s="90" t="n">
        <x:f>IF('Datos_fuente'!B96="","",LN('Datos_fuente'!B96))</x:f>
        <x:v>7.554779634683156</x:v>
      </x:c>
      <x:c r="C96" s="90" t="n">
        <x:f>IF(OR(B96="",B95=""),"",B96-B95)</x:f>
        <x:v>0.03296297537993276</x:v>
      </x:c>
      <x:c r="D96" s="90" t="n">
        <x:f>IF('Datos_fuente'!C96="","",LN('Datos_fuente'!C96))</x:f>
        <x:v>4.6339471292594965</x:v>
      </x:c>
      <x:c r="E96" s="90" t="n">
        <x:f>IF(OR(D96="",D95=""),"",D96-D95)</x:f>
        <x:v>0.003512431807349614</x:v>
      </x:c>
      <x:c r="F96" s="90" t="n">
        <x:f>IF('Datos_fuente'!E96="","",LN('Datos_fuente'!E96))</x:f>
        <x:v>8.334764428875951</x:v>
      </x:c>
      <x:c r="G96" s="90" t="n">
        <x:f>IF(OR(F96="",F95=""),"",F96-F95)</x:f>
        <x:v>0.012851598026665911</x:v>
      </x:c>
      <x:c r="H96" s="55" t="n">
        <x:f>'Datos_fuente'!H96</x:f>
        <x:v>3.16</x:v>
      </x:c>
      <x:c r="I96" s="55" t="n">
        <x:f>IF(OR(H96="",H95=""),"",H96-H95)</x:f>
        <x:v>0.020000000000000018</x:v>
      </x:c>
      <x:c r="J96" s="55" t="n">
        <x:f>'Datos_fuente'!J96</x:f>
        <x:v>3.064526836</x:v>
      </x:c>
      <x:c r="K96" s="55" t="n">
        <x:f>IF(OR(J96="",J95=""),"",J96-J95)</x:f>
        <x:v>0.07635971600000024</x:v>
      </x:c>
      <x:c r="L96" s="90" t="n">
        <x:f>IF('Datos_fuente'!K96="","",LN('Datos_fuente'!K96))</x:f>
        <x:v>4.535644476139419</x:v>
      </x:c>
      <x:c r="M96" s="90" t="n">
        <x:f>IF(OR(L96="",L95=""),"",L96-L95)</x:f>
        <x:v>0.008122711134862293</x:v>
      </x:c>
      <x:c r="N96" s="90" t="n">
        <x:f>IF('Datos_fuente'!L96="","",LN('Datos_fuente'!L96))</x:f>
        <x:v>2.8490577442061786</x:v>
      </x:c>
      <x:c r="O96" s="90" t="n">
        <x:f>IF(OR(N96="",N95=""),"",N96-N95)</x:f>
        <x:v>0.24683955063736285</x:v>
      </x:c>
      <x:c r="P96" s="88" t="n">
        <x:f>'Datos_fuente'!N96</x:f>
        <x:v>0</x:v>
      </x:c>
      <x:c r="Q96" s="90" t="n">
        <x:f>IF('Datos_fuente'!O96="","",LN('Datos_fuente'!O96))</x:f>
        <x:v>10.616847815359773</x:v>
      </x:c>
      <x:c r="R96" s="90" t="n">
        <x:f>IF(OR(Q96="",Q95=""),"",Q96-Q95)</x:f>
        <x:v>0.007561946424425869</x:v>
      </x:c>
      <x:c r="S96" s="55" t="n">
        <x:f>'Datos_fuente'!R96</x:f>
        <x:v>4.681666667</x:v>
      </x:c>
      <x:c r="T96" s="55" t="n">
        <x:f>IF(OR(S96="",S95=""),"",S96-S95)</x:f>
        <x:v>1.1822294379999998</x:v>
      </x:c>
      <x:c r="U96" s="90" t="n">
        <x:f>IF('Datos_fuente'!S96="","",ASINH('Datos_fuente'!S96/1000))</x:f>
        <x:v>-0.2820648845879499</x:v>
      </x:c>
      <x:c r="V96" s="90" t="n">
        <x:f>IF(OR(U96="",U95=""),"",U96-U95)</x:f>
        <x:v>-0.023486092040985396</x:v>
      </x:c>
      <x:c r="W96" s="90" t="n">
        <x:f>IF('Datos_fuente'!T96="","",ASINH('Datos_fuente'!T96/1000))</x:f>
        <x:v>0.6320075111743576</x:v>
      </x:c>
      <x:c r="X96" s="90" t="n">
        <x:f>IF(OR(W96="",W95=""),"",W96-W95)</x:f>
        <x:v>0.1110269147349654</x:v>
      </x:c>
      <x:c r="Y96" s="55" t="n">
        <x:f>'Datos_fuente'!W96</x:f>
        <x:v>0.3943225179</x:v>
      </x:c>
      <x:c r="Z96" s="55" t="n">
        <x:f>IF(OR(Y96="",Y95=""),"",Y96-Y95)</x:f>
        <x:v>-0.23959189789999996</x:v>
      </x:c>
      <x:c r="AA96" s="90" t="n">
        <x:f>'Datos_fuente'!AA96</x:f>
        <x:v>1.636875579</x:v>
      </x:c>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t="str">
        <x:f>'Datos_fuente'!A97</x:f>
        <x:v>2013-07</x:v>
      </x:c>
      <x:c r="B97" s="90" t="n">
        <x:f>IF('Datos_fuente'!B97="","",LN('Datos_fuente'!B97))</x:f>
        <x:v>7.550420720491239</x:v>
      </x:c>
      <x:c r="C97" s="90" t="n">
        <x:f>IF(OR(B97="",B96=""),"",B97-B96)</x:f>
        <x:v>-0.004358914191916696</x:v>
      </x:c>
      <x:c r="D97" s="90" t="n">
        <x:f>IF('Datos_fuente'!C97="","",LN('Datos_fuente'!C97))</x:f>
        <x:v>4.681512348621382</x:v>
      </x:c>
      <x:c r="E97" s="90" t="n">
        <x:f>IF(OR(D97="",D96=""),"",D97-D96)</x:f>
        <x:v>0.047565219361885624</x:v>
      </x:c>
      <x:c r="F97" s="90" t="n">
        <x:f>IF('Datos_fuente'!E97="","",LN('Datos_fuente'!E97))</x:f>
        <x:v>8.34997145633689</x:v>
      </x:c>
      <x:c r="G97" s="90" t="n">
        <x:f>IF(OR(F97="",F96=""),"",F97-F96)</x:f>
        <x:v>0.015207027460938605</x:v>
      </x:c>
      <x:c r="H97" s="55" t="n">
        <x:f>'Datos_fuente'!H97</x:f>
        <x:v>3.16</x:v>
      </x:c>
      <x:c r="I97" s="55" t="n">
        <x:f>IF(OR(H97="",H96=""),"",H97-H96)</x:f>
        <x:v>0</x:v>
      </x:c>
      <x:c r="J97" s="55" t="n">
        <x:f>'Datos_fuente'!J97</x:f>
        <x:v>3.398081706</x:v>
      </x:c>
      <x:c r="K97" s="55" t="n">
        <x:f>IF(OR(J97="",J96=""),"",J97-J96)</x:f>
        <x:v>0.33355486999999995</x:v>
      </x:c>
      <x:c r="L97" s="90" t="n">
        <x:f>IF('Datos_fuente'!K97="","",LN('Datos_fuente'!K97))</x:f>
        <x:v>4.541936267992317</x:v>
      </x:c>
      <x:c r="M97" s="90" t="n">
        <x:f>IF(OR(L97="",L96=""),"",L97-L96)</x:f>
        <x:v>0.0062917918528979655</x:v>
      </x:c>
      <x:c r="N97" s="90" t="n">
        <x:f>IF('Datos_fuente'!L97="","",LN('Datos_fuente'!L97))</x:f>
        <x:v>2.637237492573006</x:v>
      </x:c>
      <x:c r="O97" s="90" t="n">
        <x:f>IF(OR(N97="",N96=""),"",N97-N96)</x:f>
        <x:v>-0.21182025163317242</x:v>
      </x:c>
      <x:c r="P97" s="88" t="n">
        <x:f>'Datos_fuente'!N97</x:f>
        <x:v>0</x:v>
      </x:c>
      <x:c r="Q97" s="90" t="n">
        <x:f>IF('Datos_fuente'!O97="","",LN('Datos_fuente'!O97))</x:f>
        <x:v>10.634027574786625</x:v>
      </x:c>
      <x:c r="R97" s="90" t="n">
        <x:f>IF(OR(Q97="",Q96=""),"",Q97-Q96)</x:f>
        <x:v>0.01717975942685257</x:v>
      </x:c>
      <x:c r="S97" s="55" t="n">
        <x:f>'Datos_fuente'!R97</x:f>
        <x:v>4.569090909</x:v>
      </x:c>
      <x:c r="T97" s="55" t="n">
        <x:f>IF(OR(S97="",S96=""),"",S97-S96)</x:f>
        <x:v>-0.11257575800000019</x:v>
      </x:c>
      <x:c r="U97" s="90" t="n">
        <x:f>IF('Datos_fuente'!S97="","",ASINH('Datos_fuente'!S97/1000))</x:f>
        <x:v>-0.5093133215051354</x:v>
      </x:c>
      <x:c r="V97" s="90" t="n">
        <x:f>IF(OR(U97="",U96=""),"",U97-U96)</x:f>
        <x:v>-0.2272484369171855</x:v>
      </x:c>
      <x:c r="W97" s="90" t="n">
        <x:f>IF('Datos_fuente'!T97="","",ASINH('Datos_fuente'!T97/1000))</x:f>
        <x:v>1.1057538272469893</x:v>
      </x:c>
      <x:c r="X97" s="90" t="n">
        <x:f>IF(OR(W97="",W96=""),"",W97-W96)</x:f>
        <x:v>0.47374631607263173</x:v>
      </x:c>
      <x:c r="Y97" s="55" t="n">
        <x:f>'Datos_fuente'!W97</x:f>
        <x:v>0.2658306147</x:v>
      </x:c>
      <x:c r="Z97" s="55" t="n">
        <x:f>IF(OR(Y97="",Y96=""),"",Y97-Y96)</x:f>
        <x:v>-0.12849190319999998</x:v>
      </x:c>
      <x:c r="AA97" s="90" t="n">
        <x:f>'Datos_fuente'!AA97</x:f>
        <x:v>0.09269878677</x:v>
      </x:c>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t="str">
        <x:f>'Datos_fuente'!A98</x:f>
        <x:v>2013-08</x:v>
      </x:c>
      <x:c r="B98" s="90" t="n">
        <x:f>IF('Datos_fuente'!B98="","",LN('Datos_fuente'!B98))</x:f>
        <x:v>7.550716022887756</x:v>
      </x:c>
      <x:c r="C98" s="90" t="n">
        <x:f>IF(OR(B98="",B97=""),"",B98-B97)</x:f>
        <x:v>0.0002953023965170942</x:v>
      </x:c>
      <x:c r="D98" s="90" t="n">
        <x:f>IF('Datos_fuente'!C98="","",LN('Datos_fuente'!C98))</x:f>
        <x:v>4.712053631898723</x:v>
      </x:c>
      <x:c r="E98" s="90" t="n">
        <x:f>IF(OR(D98="",D97=""),"",D98-D97)</x:f>
        <x:v>0.030541283277340625</x:v>
      </x:c>
      <x:c r="F98" s="90" t="n">
        <x:f>IF('Datos_fuente'!E98="","",LN('Datos_fuente'!E98))</x:f>
        <x:v>8.355969892814384</x:v>
      </x:c>
      <x:c r="G98" s="90" t="n">
        <x:f>IF(OR(F98="",F97=""),"",F98-F97)</x:f>
        <x:v>0.005998436477494096</x:v>
      </x:c>
      <x:c r="H98" s="55" t="n">
        <x:f>'Datos_fuente'!H98</x:f>
        <x:v>3.17</x:v>
      </x:c>
      <x:c r="I98" s="55" t="n">
        <x:f>IF(OR(H98="",H97=""),"",H98-H97)</x:f>
        <x:v>0.009999999999999787</x:v>
      </x:c>
      <x:c r="J98" s="55" t="n">
        <x:f>'Datos_fuente'!J98</x:f>
        <x:v>3.383563558</x:v>
      </x:c>
      <x:c r="K98" s="55" t="n">
        <x:f>IF(OR(J98="",J97=""),"",J98-J97)</x:f>
        <x:v>-0.014518148000000064</x:v>
      </x:c>
      <x:c r="L98" s="90" t="n">
        <x:f>IF('Datos_fuente'!K98="","",LN('Datos_fuente'!K98))</x:f>
        <x:v>4.540257049197504</x:v>
      </x:c>
      <x:c r="M98" s="90" t="n">
        <x:f>IF(OR(L98="",L97=""),"",L98-L97)</x:f>
        <x:v>-0.001679218794812698</x:v>
      </x:c>
      <x:c r="N98" s="90" t="n">
        <x:f>IF('Datos_fuente'!L98="","",LN('Datos_fuente'!L98))</x:f>
        <x:v>2.6539459421090092</x:v>
      </x:c>
      <x:c r="O98" s="90" t="n">
        <x:f>IF(OR(N98="",N97=""),"",N98-N97)</x:f>
        <x:v>0.016708449536003034</x:v>
      </x:c>
      <x:c r="P98" s="88" t="n">
        <x:f>'Datos_fuente'!N98</x:f>
        <x:v>0</x:v>
      </x:c>
      <x:c r="Q98" s="90" t="n">
        <x:f>IF('Datos_fuente'!O98="","",LN('Datos_fuente'!O98))</x:f>
        <x:v>10.647634121797578</x:v>
      </x:c>
      <x:c r="R98" s="90" t="n">
        <x:f>IF(OR(Q98="",Q97=""),"",Q98-Q97)</x:f>
        <x:v>0.013606547010953207</x:v>
      </x:c>
      <x:c r="S98" s="55" t="n">
        <x:f>'Datos_fuente'!R98</x:f>
        <x:v>4.841227273</x:v>
      </x:c>
      <x:c r="T98" s="55" t="n">
        <x:f>IF(OR(S98="",S97=""),"",S98-S97)</x:f>
        <x:v>0.2721363640000005</x:v>
      </x:c>
      <x:c r="U98" s="90" t="n">
        <x:f>IF('Datos_fuente'!S98="","",ASINH('Datos_fuente'!S98/1000))</x:f>
        <x:v>-0.297310544532486</x:v>
      </x:c>
      <x:c r="V98" s="90" t="n">
        <x:f>IF(OR(U98="",U97=""),"",U98-U97)</x:f>
        <x:v>0.2120027769726494</x:v>
      </x:c>
      <x:c r="W98" s="90" t="n">
        <x:f>IF('Datos_fuente'!T98="","",ASINH('Datos_fuente'!T98/1000))</x:f>
        <x:v>0.738070534852766</x:v>
      </x:c>
      <x:c r="X98" s="90" t="n">
        <x:f>IF(OR(W98="",W97=""),"",W98-W97)</x:f>
        <x:v>-0.36768329239422337</x:v>
      </x:c>
      <x:c r="Y98" s="55" t="n">
        <x:f>'Datos_fuente'!W98</x:f>
        <x:v>0.7587455242</x:v>
      </x:c>
      <x:c r="Z98" s="55" t="n">
        <x:f>IF(OR(Y98="",Y97=""),"",Y98-Y97)</x:f>
        <x:v>0.49291490949999994</x:v>
      </x:c>
      <x:c r="AA98" s="90" t="n">
        <x:f>'Datos_fuente'!AA98</x:f>
        <x:v>0.5769155335</x:v>
      </x:c>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t="str">
        <x:f>'Datos_fuente'!A99</x:f>
        <x:v>2013-09</x:v>
      </x:c>
      <x:c r="B99" s="90" t="n">
        <x:f>IF('Datos_fuente'!B99="","",LN('Datos_fuente'!B99))</x:f>
        <x:v>7.559826439530918</x:v>
      </x:c>
      <x:c r="C99" s="90" t="n">
        <x:f>IF(OR(B99="",B98=""),"",B99-B98)</x:f>
        <x:v>0.009110416643161479</x:v>
      </x:c>
      <x:c r="D99" s="90" t="n">
        <x:f>IF('Datos_fuente'!C99="","",LN('Datos_fuente'!C99))</x:f>
        <x:v>4.714889687448244</x:v>
      </x:c>
      <x:c r="E99" s="90" t="n">
        <x:f>IF(OR(D99="",D98=""),"",D99-D98)</x:f>
        <x:v>0.00283605554952171</x:v>
      </x:c>
      <x:c r="F99" s="90" t="n">
        <x:f>IF('Datos_fuente'!E99="","",LN('Datos_fuente'!E99))</x:f>
        <x:v>8.365567654064826</x:v>
      </x:c>
      <x:c r="G99" s="90" t="n">
        <x:f>IF(OR(F99="",F98=""),"",F99-F98)</x:f>
        <x:v>0.00959776125044165</x:v>
      </x:c>
      <x:c r="H99" s="55" t="n">
        <x:f>'Datos_fuente'!H99</x:f>
        <x:v>3.17</x:v>
      </x:c>
      <x:c r="I99" s="55" t="n">
        <x:f>IF(OR(H99="",H98=""),"",H99-H98)</x:f>
        <x:v>0</x:v>
      </x:c>
      <x:c r="J99" s="55" t="n">
        <x:f>'Datos_fuente'!J99</x:f>
        <x:v>3.209636489</x:v>
      </x:c>
      <x:c r="K99" s="55" t="n">
        <x:f>IF(OR(J99="",J98=""),"",J99-J98)</x:f>
        <x:v>-0.17392706899999988</x:v>
      </x:c>
      <x:c r="L99" s="90" t="n">
        <x:f>IF('Datos_fuente'!K99="","",LN('Datos_fuente'!K99))</x:f>
        <x:v>4.5376465738964535</x:v>
      </x:c>
      <x:c r="M99" s="90" t="n">
        <x:f>IF(OR(L99="",L98=""),"",L99-L98)</x:f>
        <x:v>-0.002610475301050741</x:v>
      </x:c>
      <x:c r="N99" s="90" t="n">
        <x:f>IF('Datos_fuente'!L99="","",LN('Datos_fuente'!L99))</x:f>
        <x:v>2.687303127957421</x:v>
      </x:c>
      <x:c r="O99" s="90" t="n">
        <x:f>IF(OR(N99="",N98=""),"",N99-N98)</x:f>
        <x:v>0.03335718584841185</x:v>
      </x:c>
      <x:c r="P99" s="88" t="n">
        <x:f>'Datos_fuente'!N99</x:f>
        <x:v>0</x:v>
      </x:c>
      <x:c r="Q99" s="90" t="n">
        <x:f>IF('Datos_fuente'!O99="","",LN('Datos_fuente'!O99))</x:f>
        <x:v>10.670459611611143</x:v>
      </x:c>
      <x:c r="R99" s="90" t="n">
        <x:f>IF(OR(Q99="",Q98=""),"",Q99-Q98)</x:f>
        <x:v>0.022825489813564914</x:v>
      </x:c>
      <x:c r="S99" s="55" t="n">
        <x:f>'Datos_fuente'!R99</x:f>
        <x:v>4.70097619</x:v>
      </x:c>
      <x:c r="T99" s="55" t="n">
        <x:f>IF(OR(S99="",S98=""),"",S99-S98)</x:f>
        <x:v>-0.1402510829999999</x:v>
      </x:c>
      <x:c r="U99" s="90" t="n">
        <x:f>IF('Datos_fuente'!S99="","",ASINH('Datos_fuente'!S99/1000))</x:f>
        <x:v>-0.43851061179755085</x:v>
      </x:c>
      <x:c r="V99" s="90" t="n">
        <x:f>IF(OR(U99="",U98=""),"",U99-U98)</x:f>
        <x:v>-0.14120006726506484</x:v>
      </x:c>
      <x:c r="W99" s="90" t="n">
        <x:f>IF('Datos_fuente'!T99="","",ASINH('Datos_fuente'!T99/1000))</x:f>
        <x:v>1.1384237079407695</x:v>
      </x:c>
      <x:c r="X99" s="90" t="n">
        <x:f>IF(OR(W99="",W98=""),"",W99-W98)</x:f>
        <x:v>0.40035317308800356</x:v>
      </x:c>
      <x:c r="Y99" s="55" t="n">
        <x:f>'Datos_fuente'!W99</x:f>
        <x:v>1.085469813</x:v>
      </x:c>
      <x:c r="Z99" s="55" t="n">
        <x:f>IF(OR(Y99="",Y98=""),"",Y99-Y98)</x:f>
        <x:v>0.32672428880000004</x:v>
      </x:c>
      <x:c r="AA99" s="90" t="n">
        <x:f>'Datos_fuente'!AA99</x:f>
        <x:v>-0.4598737282</x:v>
      </x:c>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t="str">
        <x:f>'Datos_fuente'!A100</x:f>
        <x:v>2013-10</x:v>
      </x:c>
      <x:c r="B100" s="90" t="n">
        <x:f>IF('Datos_fuente'!B100="","",LN('Datos_fuente'!B100))</x:f>
        <x:v>7.541752747324046</x:v>
      </x:c>
      <x:c r="C100" s="90" t="n">
        <x:f>IF(OR(B100="",B99=""),"",B100-B99)</x:f>
        <x:v>-0.018073692206871605</x:v>
      </x:c>
      <x:c r="D100" s="90" t="n">
        <x:f>IF('Datos_fuente'!C100="","",LN('Datos_fuente'!C100))</x:f>
        <x:v>4.69204966986354</x:v>
      </x:c>
      <x:c r="E100" s="90" t="n">
        <x:f>IF(OR(D100="",D99=""),"",D100-D99)</x:f>
        <x:v>-0.022840017584704775</x:v>
      </x:c>
      <x:c r="F100" s="90" t="n">
        <x:f>IF('Datos_fuente'!E100="","",LN('Datos_fuente'!E100))</x:f>
        <x:v>8.368978525214485</x:v>
      </x:c>
      <x:c r="G100" s="90" t="n">
        <x:f>IF(OR(F100="",F99=""),"",F100-F99)</x:f>
        <x:v>0.0034108711496596555</x:v>
      </x:c>
      <x:c r="H100" s="55" t="n">
        <x:f>'Datos_fuente'!H100</x:f>
        <x:v>3.16</x:v>
      </x:c>
      <x:c r="I100" s="55" t="n">
        <x:f>IF(OR(H100="",H99=""),"",H100-H99)</x:f>
        <x:v>-0.009999999999999787</x:v>
      </x:c>
      <x:c r="J100" s="55" t="n">
        <x:f>'Datos_fuente'!J100</x:f>
        <x:v>3.29885302</x:v>
      </x:c>
      <x:c r="K100" s="55" t="n">
        <x:f>IF(OR(J100="",J99=""),"",J100-J99)</x:f>
        <x:v>0.08921653099999993</x:v>
      </x:c>
      <x:c r="L100" s="90" t="n">
        <x:f>IF('Datos_fuente'!K100="","",LN('Datos_fuente'!K100))</x:f>
        <x:v>4.527200732919515</x:v>
      </x:c>
      <x:c r="M100" s="90" t="n">
        <x:f>IF(OR(L100="",L99=""),"",L100-L99)</x:f>
        <x:v>-0.01044584097693857</x:v>
      </x:c>
      <x:c r="N100" s="90" t="n">
        <x:f>IF('Datos_fuente'!L100="","",LN('Datos_fuente'!L100))</x:f>
        <x:v>2.734875567998302</x:v>
      </x:c>
      <x:c r="O100" s="90" t="n">
        <x:f>IF(OR(N100="",N99=""),"",N100-N99)</x:f>
        <x:v>0.04757244004088079</x:v>
      </x:c>
      <x:c r="P100" s="88" t="n">
        <x:f>'Datos_fuente'!N100</x:f>
        <x:v>0</x:v>
      </x:c>
      <x:c r="Q100" s="90" t="n">
        <x:f>IF('Datos_fuente'!O100="","",LN('Datos_fuente'!O100))</x:f>
        <x:v>10.675742773334829</x:v>
      </x:c>
      <x:c r="R100" s="90" t="n">
        <x:f>IF(OR(Q100="",Q99=""),"",Q100-Q99)</x:f>
        <x:v>0.005283161723685481</x:v>
      </x:c>
      <x:c r="S100" s="55" t="n">
        <x:f>'Datos_fuente'!R100</x:f>
        <x:v>4.466818182</x:v>
      </x:c>
      <x:c r="T100" s="55" t="n">
        <x:f>IF(OR(S100="",S99=""),"",S100-S99)</x:f>
        <x:v>-0.23415800800000053</x:v>
      </x:c>
      <x:c r="U100" s="90" t="n">
        <x:f>IF('Datos_fuente'!S100="","",ASINH('Datos_fuente'!S100/1000))</x:f>
        <x:v>-0.6125234411054358</x:v>
      </x:c>
      <x:c r="V100" s="90" t="n">
        <x:f>IF(OR(U100="",U99=""),"",U100-U99)</x:f>
        <x:v>-0.17401282930788492</x:v>
      </x:c>
      <x:c r="W100" s="90" t="n">
        <x:f>IF('Datos_fuente'!T100="","",ASINH('Datos_fuente'!T100/1000))</x:f>
        <x:v>0.9089471340498292</x:v>
      </x:c>
      <x:c r="X100" s="90" t="n">
        <x:f>IF(OR(W100="",W99=""),"",W100-W99)</x:f>
        <x:v>-0.22947657389094034</x:v>
      </x:c>
      <x:c r="Y100" s="55" t="n">
        <x:f>'Datos_fuente'!W100</x:f>
        <x:v>0.8806495904</x:v>
      </x:c>
      <x:c r="Z100" s="55" t="n">
        <x:f>IF(OR(Y100="",Y99=""),"",Y100-Y99)</x:f>
        <x:v>-0.2048202226</x:v>
      </x:c>
      <x:c r="AA100" s="90" t="n">
        <x:f>'Datos_fuente'!AA100</x:f>
        <x:v>-0.5606630627</x:v>
      </x:c>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t="str">
        <x:f>'Datos_fuente'!A101</x:f>
        <x:v>2013-11</x:v>
      </x:c>
      <x:c r="B101" s="90" t="n">
        <x:f>IF('Datos_fuente'!B101="","",LN('Datos_fuente'!B101))</x:f>
        <x:v>7.560993069305166</x:v>
      </x:c>
      <x:c r="C101" s="90" t="n">
        <x:f>IF(OR(B101="",B100=""),"",B101-B100)</x:f>
        <x:v>0.019240321981119912</x:v>
      </x:c>
      <x:c r="D101" s="90" t="n">
        <x:f>IF('Datos_fuente'!C101="","",LN('Datos_fuente'!C101))</x:f>
        <x:v>4.680203444218304</x:v>
      </x:c>
      <x:c r="E101" s="90" t="n">
        <x:f>IF(OR(D101="",D100=""),"",D101-D100)</x:f>
        <x:v>-0.011846225645236075</x:v>
      </x:c>
      <x:c r="F101" s="90" t="n">
        <x:f>IF('Datos_fuente'!E101="","",LN('Datos_fuente'!E101))</x:f>
        <x:v>8.37668897362283</x:v>
      </x:c>
      <x:c r="G101" s="90" t="n">
        <x:f>IF(OR(F101="",F100=""),"",F101-F100)</x:f>
        <x:v>0.007710448408344561</x:v>
      </x:c>
      <x:c r="H101" s="55" t="n">
        <x:f>'Datos_fuente'!H101</x:f>
        <x:v>3.17</x:v>
      </x:c>
      <x:c r="I101" s="55" t="n">
        <x:f>IF(OR(H101="",H100=""),"",H101-H100)</x:f>
        <x:v>0.009999999999999787</x:v>
      </x:c>
      <x:c r="J101" s="55" t="n">
        <x:f>'Datos_fuente'!J101</x:f>
        <x:v>3.267082136</x:v>
      </x:c>
      <x:c r="K101" s="55" t="n">
        <x:f>IF(OR(J101="",J100=""),"",J101-J100)</x:f>
        <x:v>-0.031770884000000166</x:v>
      </x:c>
      <x:c r="L101" s="90" t="n">
        <x:f>IF('Datos_fuente'!K101="","",LN('Datos_fuente'!K101))</x:f>
        <x:v>4.53660938278905</x:v>
      </x:c>
      <x:c r="M101" s="90" t="n">
        <x:f>IF(OR(L101="",L100=""),"",L101-L100)</x:f>
        <x:v>0.009408649869534713</x:v>
      </x:c>
      <x:c r="N101" s="90" t="n">
        <x:f>IF('Datos_fuente'!L101="","",LN('Datos_fuente'!L101))</x:f>
        <x:v>2.5590860479622517</x:v>
      </x:c>
      <x:c r="O101" s="90" t="n">
        <x:f>IF(OR(N101="",N100=""),"",N101-N100)</x:f>
        <x:v>-0.1757895200360502</x:v>
      </x:c>
      <x:c r="P101" s="88" t="n">
        <x:f>'Datos_fuente'!N101</x:f>
        <x:v>0</x:v>
      </x:c>
      <x:c r="Q101" s="90" t="n">
        <x:f>IF('Datos_fuente'!O101="","",LN('Datos_fuente'!O101))</x:f>
        <x:v>10.678613488496072</x:v>
      </x:c>
      <x:c r="R101" s="90" t="n">
        <x:f>IF(OR(Q101="",Q100=""),"",Q101-Q100)</x:f>
        <x:v>0.0028707151612437087</x:v>
      </x:c>
      <x:c r="S101" s="55" t="n">
        <x:f>'Datos_fuente'!R101</x:f>
        <x:v>4.626842105</x:v>
      </x:c>
      <x:c r="T101" s="55" t="n">
        <x:f>IF(OR(S101="",S100=""),"",S101-S100)</x:f>
        <x:v>0.1600239229999998</x:v>
      </x:c>
      <x:c r="U101" s="90" t="n">
        <x:f>IF('Datos_fuente'!S101="","",ASINH('Datos_fuente'!S101/1000))</x:f>
        <x:v>-0.3673986814151919</x:v>
      </x:c>
      <x:c r="V101" s="90" t="n">
        <x:f>IF(OR(U101="",U100=""),"",U101-U100)</x:f>
        <x:v>0.2451247596902439</x:v>
      </x:c>
      <x:c r="W101" s="90" t="n">
        <x:f>IF('Datos_fuente'!T101="","",ASINH('Datos_fuente'!T101/1000))</x:f>
        <x:v>0.3527676430822438</x:v>
      </x:c>
      <x:c r="X101" s="90" t="n">
        <x:f>IF(OR(W101="",W100=""),"",W101-W100)</x:f>
        <x:v>-0.5561794909675855</x:v>
      </x:c>
      <x:c r="Y101" s="55" t="n">
        <x:f>'Datos_fuente'!W101</x:f>
        <x:v>0.519788529</x:v>
      </x:c>
      <x:c r="Z101" s="55" t="n">
        <x:f>IF(OR(Y101="",Y100=""),"",Y101-Y100)</x:f>
        <x:v>-0.36086106139999996</x:v>
      </x:c>
      <x:c r="AA101" s="90" t="n">
        <x:f>'Datos_fuente'!AA101</x:f>
        <x:v>0.8652023057</x:v>
      </x:c>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t="str">
        <x:f>'Datos_fuente'!A102</x:f>
        <x:v>2013-12</x:v>
      </x:c>
      <x:c r="B102" s="90" t="n">
        <x:f>IF('Datos_fuente'!B102="","",LN('Datos_fuente'!B102))</x:f>
        <x:v>7.566805783141155</x:v>
      </x:c>
      <x:c r="C102" s="90" t="n">
        <x:f>IF(OR(B102="",B101=""),"",B102-B101)</x:f>
        <x:v>0.005812713835989136</x:v>
      </x:c>
      <x:c r="D102" s="90" t="n">
        <x:f>IF('Datos_fuente'!C102="","",LN('Datos_fuente'!C102))</x:f>
        <x:v>4.707335603050337</x:v>
      </x:c>
      <x:c r="E102" s="90" t="n">
        <x:f>IF(OR(D102="",D101=""),"",D102-D101)</x:f>
        <x:v>0.02713215883203368</x:v>
      </x:c>
      <x:c r="F102" s="90" t="n">
        <x:f>IF('Datos_fuente'!E102="","",LN('Datos_fuente'!E102))</x:f>
        <x:v>8.389596155613233</x:v>
      </x:c>
      <x:c r="G102" s="90" t="n">
        <x:f>IF(OR(F102="",F101=""),"",F102-F101)</x:f>
        <x:v>0.012907181990403416</x:v>
      </x:c>
      <x:c r="H102" s="55" t="n">
        <x:f>'Datos_fuente'!H102</x:f>
        <x:v>3.16</x:v>
      </x:c>
      <x:c r="I102" s="55" t="n">
        <x:f>IF(OR(H102="",H101=""),"",H102-H101)</x:f>
        <x:v>-0.009999999999999787</x:v>
      </x:c>
      <x:c r="J102" s="55" t="n">
        <x:f>'Datos_fuente'!J102</x:f>
        <x:v>2.330987593</x:v>
      </x:c>
      <x:c r="K102" s="55" t="n">
        <x:f>IF(OR(J102="",J101=""),"",J102-J101)</x:f>
        <x:v>-0.9360945429999998</x:v>
      </x:c>
      <x:c r="L102" s="90" t="n">
        <x:f>IF('Datos_fuente'!K102="","",LN('Datos_fuente'!K102))</x:f>
        <x:v>4.538325220384564</x:v>
      </x:c>
      <x:c r="M102" s="90" t="n">
        <x:f>IF(OR(L102="",L101=""),"",L102-L101)</x:f>
        <x:v>0.0017158375955146354</x:v>
      </x:c>
      <x:c r="N102" s="90" t="n">
        <x:f>IF('Datos_fuente'!L102="","",LN('Datos_fuente'!L102))</x:f>
        <x:v>2.652705267794341</x:v>
      </x:c>
      <x:c r="O102" s="90" t="n">
        <x:f>IF(OR(N102="",N101=""),"",N102-N101)</x:f>
        <x:v>0.09361921983208932</x:v>
      </x:c>
      <x:c r="P102" s="88" t="n">
        <x:f>'Datos_fuente'!N102</x:f>
        <x:v>0</x:v>
      </x:c>
      <x:c r="Q102" s="90" t="n">
        <x:f>IF('Datos_fuente'!O102="","",LN('Datos_fuente'!O102))</x:f>
        <x:v>10.683563064970887</x:v>
      </x:c>
      <x:c r="R102" s="90" t="n">
        <x:f>IF(OR(Q102="",Q101=""),"",Q102-Q101)</x:f>
        <x:v>0.004949576474814421</x:v>
      </x:c>
      <x:c r="S102" s="55" t="n">
        <x:f>'Datos_fuente'!R102</x:f>
        <x:v>4.369095238</x:v>
      </x:c>
      <x:c r="T102" s="55" t="n">
        <x:f>IF(OR(S102="",S101=""),"",S102-S101)</x:f>
        <x:v>-0.2577468669999998</x:v>
      </x:c>
      <x:c r="U102" s="90" t="n">
        <x:f>IF('Datos_fuente'!S102="","",ASINH('Datos_fuente'!S102/1000))</x:f>
        <x:v>-0.597287207756461</x:v>
      </x:c>
      <x:c r="V102" s="90" t="n">
        <x:f>IF(OR(U102="",U101=""),"",U102-U101)</x:f>
        <x:v>-0.22988852634126916</x:v>
      </x:c>
      <x:c r="W102" s="90" t="n">
        <x:f>IF('Datos_fuente'!T102="","",ASINH('Datos_fuente'!T102/1000))</x:f>
        <x:v>0.721360622109817</x:v>
      </x:c>
      <x:c r="X102" s="90" t="n">
        <x:f>IF(OR(W102="",W101=""),"",W102-W101)</x:f>
        <x:v>0.3685929790275732</x:v>
      </x:c>
      <x:c r="Y102" s="55" t="n">
        <x:f>'Datos_fuente'!W102</x:f>
        <x:v>0.4329216514</x:v>
      </x:c>
      <x:c r="Z102" s="55" t="n">
        <x:f>IF(OR(Y102="",Y101=""),"",Y102-Y101)</x:f>
        <x:v>-0.08686687760000006</x:v>
      </x:c>
      <x:c r="AA102" s="90" t="n">
        <x:f>'Datos_fuente'!AA102</x:f>
        <x:v>0.2345250256</x:v>
      </x:c>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t="str">
        <x:f>'Datos_fuente'!A103</x:f>
        <x:v>2014-01</x:v>
      </x:c>
      <x:c r="B103" s="90" t="n">
        <x:f>IF('Datos_fuente'!B103="","",LN('Datos_fuente'!B103))</x:f>
        <x:v>7.579314659242331</x:v>
      </x:c>
      <x:c r="C103" s="90" t="n">
        <x:f>IF(OR(B103="",B102=""),"",B103-B102)</x:f>
        <x:v>0.012508876101176014</x:v>
      </x:c>
      <x:c r="D103" s="90" t="n">
        <x:f>IF('Datos_fuente'!C103="","",LN('Datos_fuente'!C103))</x:f>
        <x:v>4.683220701024538</x:v>
      </x:c>
      <x:c r="E103" s="90" t="n">
        <x:f>IF(OR(D103="",D102=""),"",D103-D102)</x:f>
        <x:v>-0.024114902025798912</x:v>
      </x:c>
      <x:c r="F103" s="90" t="n">
        <x:f>IF('Datos_fuente'!E103="","",LN('Datos_fuente'!E103))</x:f>
        <x:v>8.394847010430015</x:v>
      </x:c>
      <x:c r="G103" s="90" t="n">
        <x:f>IF(OR(F103="",F102=""),"",F103-F102)</x:f>
        <x:v>0.005250854816781114</x:v>
      </x:c>
      <x:c r="H103" s="55" t="n">
        <x:f>'Datos_fuente'!H103</x:f>
        <x:v>3.18</x:v>
      </x:c>
      <x:c r="I103" s="55" t="n">
        <x:f>IF(OR(H103="",H102=""),"",H103-H102)</x:f>
        <x:v>0.020000000000000018</x:v>
      </x:c>
      <x:c r="J103" s="55" t="n">
        <x:f>'Datos_fuente'!J103</x:f>
        <x:v>2.382871769</x:v>
      </x:c>
      <x:c r="K103" s="55" t="n">
        <x:f>IF(OR(J103="",J102=""),"",J103-J102)</x:f>
        <x:v>0.051884175999999727</x:v>
      </x:c>
      <x:c r="L103" s="90" t="n">
        <x:f>IF('Datos_fuente'!K103="","",LN('Datos_fuente'!K103))</x:f>
        <x:v>4.548226723844372</x:v>
      </x:c>
      <x:c r="M103" s="90" t="n">
        <x:f>IF(OR(L103="",L102=""),"",L103-L102)</x:f>
        <x:v>0.009901503459807337</x:v>
      </x:c>
      <x:c r="N103" s="90" t="n">
        <x:f>IF('Datos_fuente'!L103="","",LN('Datos_fuente'!L103))</x:f>
        <x:v>2.6561217843653986</x:v>
      </x:c>
      <x:c r="O103" s="90" t="n">
        <x:f>IF(OR(N103="",N102=""),"",N103-N102)</x:f>
        <x:v>0.0034165165710575707</x:v>
      </x:c>
      <x:c r="P103" s="88" t="n">
        <x:f>'Datos_fuente'!N103</x:f>
        <x:v>0</x:v>
      </x:c>
      <x:c r="Q103" s="90" t="n">
        <x:f>IF('Datos_fuente'!O103="","",LN('Datos_fuente'!O103))</x:f>
        <x:v>10.685343626821906</x:v>
      </x:c>
      <x:c r="R103" s="90" t="n">
        <x:f>IF(OR(Q103="",Q102=""),"",Q103-Q102)</x:f>
        <x:v>0.0017805618510191579</x:v>
      </x:c>
      <x:c r="S103" s="55" t="n">
        <x:f>'Datos_fuente'!R103</x:f>
        <x:v>4.471428571</x:v>
      </x:c>
      <x:c r="T103" s="55" t="n">
        <x:f>IF(OR(S103="",S102=""),"",S103-S102)</x:f>
        <x:v>0.1023333329999998</x:v>
      </x:c>
      <x:c r="U103" s="90" t="n">
        <x:f>IF('Datos_fuente'!S103="","",ASINH('Datos_fuente'!S103/1000))</x:f>
        <x:v>-0.4381097392247459</x:v>
      </x:c>
      <x:c r="V103" s="90" t="n">
        <x:f>IF(OR(U103="",U102=""),"",U103-U102)</x:f>
        <x:v>0.15917746853171516</x:v>
      </x:c>
      <x:c r="W103" s="90" t="n">
        <x:f>IF('Datos_fuente'!T103="","",ASINH('Datos_fuente'!T103/1000))</x:f>
        <x:v>0.5144548695778417</x:v>
      </x:c>
      <x:c r="X103" s="90" t="n">
        <x:f>IF(OR(W103="",W102=""),"",W103-W102)</x:f>
        <x:v>-0.2069057525319753</x:v>
      </x:c>
      <x:c r="Y103" s="55" t="n">
        <x:f>'Datos_fuente'!W103</x:f>
        <x:v>0.5544200307</x:v>
      </x:c>
      <x:c r="Z103" s="55" t="n">
        <x:f>IF(OR(Y103="",Y102=""),"",Y103-Y102)</x:f>
        <x:v>0.12149837930000001</x:v>
      </x:c>
      <x:c r="AA103" s="90" t="n">
        <x:f>'Datos_fuente'!AA103</x:f>
        <x:v>0.4432168626</x:v>
      </x:c>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t="str">
        <x:f>'Datos_fuente'!A104</x:f>
        <x:v>2014-02</x:v>
      </x:c>
      <x:c r="B104" s="90" t="n">
        <x:f>IF('Datos_fuente'!B104="","",LN('Datos_fuente'!B104))</x:f>
        <x:v>7.619965843076676</x:v>
      </x:c>
      <x:c r="C104" s="90" t="n">
        <x:f>IF(OR(B104="",B103=""),"",B104-B103)</x:f>
        <x:v>0.04065118383434463</x:v>
      </x:c>
      <x:c r="D104" s="90" t="n">
        <x:f>IF('Datos_fuente'!C104="","",LN('Datos_fuente'!C104))</x:f>
        <x:v>4.690434862801433</x:v>
      </x:c>
      <x:c r="E104" s="90" t="n">
        <x:f>IF(OR(D104="",D103=""),"",D104-D103)</x:f>
        <x:v>0.007214161776894379</x:v>
      </x:c>
      <x:c r="F104" s="90" t="n">
        <x:f>IF('Datos_fuente'!E104="","",LN('Datos_fuente'!E104))</x:f>
        <x:v>8.39775854259741</x:v>
      </x:c>
      <x:c r="G104" s="90" t="n">
        <x:f>IF(OR(F104="",F103=""),"",F104-F103)</x:f>
        <x:v>0.002911532167395592</x:v>
      </x:c>
      <x:c r="H104" s="55" t="n">
        <x:f>'Datos_fuente'!H104</x:f>
        <x:v>3.18</x:v>
      </x:c>
      <x:c r="I104" s="55" t="n">
        <x:f>IF(OR(H104="",H103=""),"",H104-H103)</x:f>
        <x:v>0</x:v>
      </x:c>
      <x:c r="J104" s="55" t="n">
        <x:f>'Datos_fuente'!J104</x:f>
        <x:v>2.497874675</x:v>
      </x:c>
      <x:c r="K104" s="55" t="n">
        <x:f>IF(OR(J104="",J103=""),"",J104-J103)</x:f>
        <x:v>0.11500290599999996</x:v>
      </x:c>
      <x:c r="L104" s="90" t="n">
        <x:f>IF('Datos_fuente'!K104="","",LN('Datos_fuente'!K104))</x:f>
        <x:v>4.550139203032016</x:v>
      </x:c>
      <x:c r="M104" s="90" t="n">
        <x:f>IF(OR(L104="",L103=""),"",L104-L103)</x:f>
        <x:v>0.001912479187644145</x:v>
      </x:c>
      <x:c r="N104" s="90" t="n">
        <x:f>IF('Datos_fuente'!L104="","",LN('Datos_fuente'!L104))</x:f>
        <x:v>2.738902664584975</x:v>
      </x:c>
      <x:c r="O104" s="90" t="n">
        <x:f>IF(OR(N104="",N103=""),"",N104-N103)</x:f>
        <x:v>0.08278088021957641</x:v>
      </x:c>
      <x:c r="P104" s="88" t="n">
        <x:f>'Datos_fuente'!N104</x:f>
        <x:v>0</x:v>
      </x:c>
      <x:c r="Q104" s="90" t="n">
        <x:f>IF('Datos_fuente'!O104="","",LN('Datos_fuente'!O104))</x:f>
        <x:v>10.692555181194273</x:v>
      </x:c>
      <x:c r="R104" s="90" t="n">
        <x:f>IF(OR(Q104="",Q103=""),"",Q104-Q103)</x:f>
        <x:v>0.007211554372366535</x:v>
      </x:c>
      <x:c r="S104" s="55" t="n">
        <x:f>'Datos_fuente'!R104</x:f>
        <x:v>4.898026316</x:v>
      </x:c>
      <x:c r="T104" s="55" t="n">
        <x:f>IF(OR(S104="",S103=""),"",S104-S103)</x:f>
        <x:v>0.4265977450000005</x:v>
      </x:c>
      <x:c r="U104" s="90" t="n">
        <x:f>IF('Datos_fuente'!S104="","",ASINH('Datos_fuente'!S104/1000))</x:f>
        <x:v>-0.38425402036751355</x:v>
      </x:c>
      <x:c r="V104" s="90" t="n">
        <x:f>IF(OR(U104="",U103=""),"",U104-U103)</x:f>
        <x:v>0.05385571885723234</x:v>
      </x:c>
      <x:c r="W104" s="90" t="n">
        <x:f>IF('Datos_fuente'!T104="","",ASINH('Datos_fuente'!T104/1000))</x:f>
        <x:v>0.5873856790438978</x:v>
      </x:c>
      <x:c r="X104" s="90" t="n">
        <x:f>IF(OR(W104="",W103=""),"",W104-W103)</x:f>
        <x:v>0.07293080946605612</x:v>
      </x:c>
      <x:c r="Y104" s="55" t="n">
        <x:f>'Datos_fuente'!W104</x:f>
        <x:v>1.188288929</x:v>
      </x:c>
      <x:c r="Z104" s="55" t="n">
        <x:f>IF(OR(Y104="",Y103=""),"",Y104-Y103)</x:f>
        <x:v>0.6338688983</x:v>
      </x:c>
      <x:c r="AA104" s="90" t="n">
        <x:f>'Datos_fuente'!AA104</x:f>
        <x:v>0.3327563874</x:v>
      </x:c>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t="str">
        <x:f>'Datos_fuente'!A105</x:f>
        <x:v>2014-03</x:v>
      </x:c>
      <x:c r="B105" s="90" t="n">
        <x:f>IF('Datos_fuente'!B105="","",LN('Datos_fuente'!B105))</x:f>
        <x:v>7.610710812990203</x:v>
      </x:c>
      <x:c r="C105" s="90" t="n">
        <x:f>IF(OR(B105="",B104=""),"",B105-B104)</x:f>
        <x:v>-0.009255030086472438</x:v>
      </x:c>
      <x:c r="D105" s="90" t="n">
        <x:f>IF('Datos_fuente'!C105="","",LN('Datos_fuente'!C105))</x:f>
        <x:v>4.677313644891506</x:v>
      </x:c>
      <x:c r="E105" s="90" t="n">
        <x:f>IF(OR(D105="",D104=""),"",D105-D104)</x:f>
        <x:v>-0.013121217909926486</x:v>
      </x:c>
      <x:c r="F105" s="90" t="n">
        <x:f>IF('Datos_fuente'!E105="","",LN('Datos_fuente'!E105))</x:f>
        <x:v>8.398778956595567</x:v>
      </x:c>
      <x:c r="G105" s="90" t="n">
        <x:f>IF(OR(F105="",F104=""),"",F105-F104)</x:f>
        <x:v>0.0010204139981571103</x:v>
      </x:c>
      <x:c r="H105" s="55" t="n">
        <x:f>'Datos_fuente'!H105</x:f>
        <x:v>3.17</x:v>
      </x:c>
      <x:c r="I105" s="55" t="n">
        <x:f>IF(OR(H105="",H104=""),"",H105-H104)</x:f>
        <x:v>-0.010000000000000231</x:v>
      </x:c>
      <x:c r="J105" s="55" t="n">
        <x:f>'Datos_fuente'!J105</x:f>
        <x:v>2.523444032</x:v>
      </x:c>
      <x:c r="K105" s="55" t="n">
        <x:f>IF(OR(J105="",J104=""),"",J105-J104)</x:f>
        <x:v>0.02556935700000018</x:v>
      </x:c>
      <x:c r="L105" s="90" t="n">
        <x:f>IF('Datos_fuente'!K105="","",LN('Datos_fuente'!K105))</x:f>
        <x:v>4.547973406059232</x:v>
      </x:c>
      <x:c r="M105" s="90" t="n">
        <x:f>IF(OR(L105="",L104=""),"",L105-L104)</x:f>
        <x:v>-0.002165796972783518</x:v>
      </x:c>
      <x:c r="N105" s="90" t="n">
        <x:f>IF('Datos_fuente'!L105="","",LN('Datos_fuente'!L105))</x:f>
        <x:v>2.6971015945843217</x:v>
      </x:c>
      <x:c r="O105" s="90" t="n">
        <x:f>IF(OR(N105="",N104=""),"",N105-N104)</x:f>
        <x:v>-0.04180107000065325</x:v>
      </x:c>
      <x:c r="P105" s="88" t="n">
        <x:f>'Datos_fuente'!N105</x:f>
        <x:v>0</x:v>
      </x:c>
      <x:c r="Q105" s="90" t="n">
        <x:f>IF('Datos_fuente'!O105="","",LN('Datos_fuente'!O105))</x:f>
        <x:v>10.698703386515811</x:v>
      </x:c>
      <x:c r="R105" s="90" t="n">
        <x:f>IF(OR(Q105="",Q104=""),"",Q105-Q104)</x:f>
        <x:v>0.006148205321538924</x:v>
      </x:c>
      <x:c r="S105" s="55" t="n">
        <x:f>'Datos_fuente'!R105</x:f>
        <x:v>4.675666667</x:v>
      </x:c>
      <x:c r="T105" s="55" t="n">
        <x:f>IF(OR(S105="",S104=""),"",S105-S104)</x:f>
        <x:v>-0.22235964900000038</x:v>
      </x:c>
      <x:c r="U105" s="90" t="n">
        <x:f>IF('Datos_fuente'!S105="","",ASINH('Datos_fuente'!S105/1000))</x:f>
        <x:v>-0.5246829383307722</x:v>
      </x:c>
      <x:c r="V105" s="90" t="n">
        <x:f>IF(OR(U105="",U104=""),"",U105-U104)</x:f>
        <x:v>-0.14042891796325863</x:v>
      </x:c>
      <x:c r="W105" s="90" t="n">
        <x:f>IF('Datos_fuente'!T105="","",ASINH('Datos_fuente'!T105/1000))</x:f>
        <x:v>0.7996889380313932</x:v>
      </x:c>
      <x:c r="X105" s="90" t="n">
        <x:f>IF(OR(W105="",W104=""),"",W105-W104)</x:f>
        <x:v>0.21230325898749536</x:v>
      </x:c>
      <x:c r="Y105" s="55" t="n">
        <x:f>'Datos_fuente'!W105</x:f>
        <x:v>1.000806389</x:v>
      </x:c>
      <x:c r="Z105" s="55" t="n">
        <x:f>IF(OR(Y105="",Y104=""),"",Y105-Y104)</x:f>
        <x:v>-0.18748253999999998</x:v>
      </x:c>
      <x:c r="AA105" s="90" t="n">
        <x:f>'Datos_fuente'!AA105</x:f>
        <x:v>-0.1911925957</x:v>
      </x:c>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t="str">
        <x:f>'Datos_fuente'!A106</x:f>
        <x:v>2014-04</x:v>
      </x:c>
      <x:c r="B106" s="90" t="n">
        <x:f>IF('Datos_fuente'!B106="","",LN('Datos_fuente'!B106))</x:f>
        <x:v>7.569597705508365</x:v>
      </x:c>
      <x:c r="C106" s="90" t="n">
        <x:f>IF(OR(B106="",B105=""),"",B106-B105)</x:f>
        <x:v>-0.04111310748183783</x:v>
      </x:c>
      <x:c r="D106" s="90" t="n">
        <x:f>IF('Datos_fuente'!C106="","",LN('Datos_fuente'!C106))</x:f>
        <x:v>4.679862341259338</x:v>
      </x:c>
      <x:c r="E106" s="90" t="n">
        <x:f>IF(OR(D106="",D105=""),"",D106-D105)</x:f>
        <x:v>0.0025486963678318375</x:v>
      </x:c>
      <x:c r="F106" s="90" t="n">
        <x:f>IF('Datos_fuente'!E106="","",LN('Datos_fuente'!E106))</x:f>
        <x:v>8.382870628756368</x:v>
      </x:c>
      <x:c r="G106" s="90" t="n">
        <x:f>IF(OR(F106="",F105=""),"",F106-F105)</x:f>
        <x:v>-0.015908327839198932</x:v>
      </x:c>
      <x:c r="H106" s="55" t="n">
        <x:f>'Datos_fuente'!H106</x:f>
        <x:v>3.185</x:v>
      </x:c>
      <x:c r="I106" s="55" t="n">
        <x:f>IF(OR(H106="",H105=""),"",H106-H105)</x:f>
        <x:v>0.015000000000000124</x:v>
      </x:c>
      <x:c r="J106" s="55" t="n">
        <x:f>'Datos_fuente'!J106</x:f>
        <x:v>2.707866792</x:v>
      </x:c>
      <x:c r="K106" s="55" t="n">
        <x:f>IF(OR(J106="",J105=""),"",J106-J105)</x:f>
        <x:v>0.1844227599999999</x:v>
      </x:c>
      <x:c r="L106" s="90" t="n">
        <x:f>IF('Datos_fuente'!K106="","",LN('Datos_fuente'!K106))</x:f>
        <x:v>4.543247440723879</x:v>
      </x:c>
      <x:c r="M106" s="90" t="n">
        <x:f>IF(OR(L106="",L105=""),"",L106-L105)</x:f>
        <x:v>-0.004725965335353521</x:v>
      </x:c>
      <x:c r="N106" s="90" t="n">
        <x:f>IF('Datos_fuente'!L106="","",LN('Datos_fuente'!L106))</x:f>
        <x:v>2.653107817581736</x:v>
      </x:c>
      <x:c r="O106" s="90" t="n">
        <x:f>IF(OR(N106="",N105=""),"",N106-N105)</x:f>
        <x:v>-0.04399377700258578</x:v>
      </x:c>
      <x:c r="P106" s="88" t="n">
        <x:f>'Datos_fuente'!N106</x:f>
        <x:v>0</x:v>
      </x:c>
      <x:c r="Q106" s="90" t="n">
        <x:f>IF('Datos_fuente'!O106="","",LN('Datos_fuente'!O106))</x:f>
        <x:v>10.70643935905085</x:v>
      </x:c>
      <x:c r="R106" s="90" t="n">
        <x:f>IF(OR(Q106="",Q105=""),"",Q106-Q105)</x:f>
        <x:v>0.007735972535039437</x:v>
      </x:c>
      <x:c r="S106" s="55" t="n">
        <x:f>'Datos_fuente'!R106</x:f>
        <x:v>3.910261905</x:v>
      </x:c>
      <x:c r="T106" s="55" t="n">
        <x:f>IF(OR(S106="",S105=""),"",S106-S105)</x:f>
        <x:v>-0.7654047619999997</x:v>
      </x:c>
      <x:c r="U106" s="90" t="n">
        <x:f>IF('Datos_fuente'!S106="","",ASINH('Datos_fuente'!S106/1000))</x:f>
        <x:v>-0.39549847800929455</x:v>
      </x:c>
      <x:c r="V106" s="90" t="n">
        <x:f>IF(OR(U106="",U105=""),"",U106-U105)</x:f>
        <x:v>0.12918446032147762</x:v>
      </x:c>
      <x:c r="W106" s="90" t="n">
        <x:f>IF('Datos_fuente'!T106="","",ASINH('Datos_fuente'!T106/1000))</x:f>
        <x:v>0.8105829593254846</x:v>
      </x:c>
      <x:c r="X106" s="90" t="n">
        <x:f>IF(OR(W106="",W105=""),"",W106-W105)</x:f>
        <x:v>0.01089402129409145</x:v>
      </x:c>
      <x:c r="Y106" s="55" t="n">
        <x:f>'Datos_fuente'!W106</x:f>
        <x:v>0.7690056285</x:v>
      </x:c>
      <x:c r="Z106" s="55" t="n">
        <x:f>IF(OR(Y106="",Y105=""),"",Y106-Y105)</x:f>
        <x:v>-0.2318007605000001</x:v>
      </x:c>
      <x:c r="AA106" s="90" t="n">
        <x:f>'Datos_fuente'!AA106</x:f>
        <x:v>-0.7843421155</x:v>
      </x:c>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t="str">
        <x:f>'Datos_fuente'!A107</x:f>
        <x:v>2014-05</x:v>
      </x:c>
      <x:c r="B107" s="90" t="n">
        <x:f>IF('Datos_fuente'!B107="","",LN('Datos_fuente'!B107))</x:f>
        <x:v>7.557661378890953</x:v>
      </x:c>
      <x:c r="C107" s="90" t="n">
        <x:f>IF(OR(B107="",B106=""),"",B107-B106)</x:f>
        <x:v>-0.011936326617412618</x:v>
      </x:c>
      <x:c r="D107" s="90" t="n">
        <x:f>IF('Datos_fuente'!C107="","",LN('Datos_fuente'!C107))</x:f>
        <x:v>4.696281480069722</x:v>
      </x:c>
      <x:c r="E107" s="90" t="n">
        <x:f>IF(OR(D107="",D106=""),"",D107-D106)</x:f>
        <x:v>0.016419138810383593</x:v>
      </x:c>
      <x:c r="F107" s="90" t="n">
        <x:f>IF('Datos_fuente'!E107="","",LN('Datos_fuente'!E107))</x:f>
        <x:v>8.368433288539265</x:v>
      </x:c>
      <x:c r="G107" s="90" t="n">
        <x:f>IF(OR(F107="",F106=""),"",F107-F106)</x:f>
        <x:v>-0.014437340217103412</x:v>
      </x:c>
      <x:c r="H107" s="55" t="n">
        <x:f>'Datos_fuente'!H107</x:f>
        <x:v>3.41</x:v>
      </x:c>
      <x:c r="I107" s="55" t="n">
        <x:f>IF(OR(H107="",H106=""),"",H107-H106)</x:f>
        <x:v>0.2250000000000001</x:v>
      </x:c>
      <x:c r="J107" s="55" t="n">
        <x:f>'Datos_fuente'!J107</x:f>
        <x:v>2.882476329</x:v>
      </x:c>
      <x:c r="K107" s="55" t="n">
        <x:f>IF(OR(J107="",J106=""),"",J107-J106)</x:f>
        <x:v>0.17460953700000026</x:v>
      </x:c>
      <x:c r="L107" s="90" t="n">
        <x:f>IF('Datos_fuente'!K107="","",LN('Datos_fuente'!K107))</x:f>
        <x:v>4.539778272227932</x:v>
      </x:c>
      <x:c r="M107" s="90" t="n">
        <x:f>IF(OR(L107="",L106=""),"",L107-L106)</x:f>
        <x:v>-0.003469168495946917</x:v>
      </x:c>
      <x:c r="N107" s="90" t="n">
        <x:f>IF('Datos_fuente'!L107="","",LN('Datos_fuente'!L107))</x:f>
        <x:v>2.5237457276277886</x:v>
      </x:c>
      <x:c r="O107" s="90" t="n">
        <x:f>IF(OR(N107="",N106=""),"",N107-N106)</x:f>
        <x:v>-0.12936208995394738</x:v>
      </x:c>
      <x:c r="P107" s="88" t="n">
        <x:f>'Datos_fuente'!N107</x:f>
        <x:v>0</x:v>
      </x:c>
      <x:c r="Q107" s="90" t="n">
        <x:f>IF('Datos_fuente'!O107="","",LN('Datos_fuente'!O107))</x:f>
        <x:v>10.715221223673868</x:v>
      </x:c>
      <x:c r="R107" s="90" t="n">
        <x:f>IF(OR(Q107="",Q106=""),"",Q107-Q106)</x:f>
        <x:v>0.008781864623017555</x:v>
      </x:c>
      <x:c r="S107" s="55" t="n">
        <x:f>'Datos_fuente'!R107</x:f>
        <x:v>4.075238095</x:v>
      </x:c>
      <x:c r="T107" s="55" t="n">
        <x:f>IF(OR(S107="",S106=""),"",S107-S106)</x:f>
        <x:v>0.16497618999999952</x:v>
      </x:c>
      <x:c r="U107" s="90" t="n">
        <x:f>IF('Datos_fuente'!S107="","",ASINH('Datos_fuente'!S107/1000))</x:f>
        <x:v>-0.44317952337704486</x:v>
      </x:c>
      <x:c r="V107" s="90" t="n">
        <x:f>IF(OR(U107="",U106=""),"",U107-U106)</x:f>
        <x:v>-0.04768104536775031</x:v>
      </x:c>
      <x:c r="W107" s="90" t="n">
        <x:f>IF('Datos_fuente'!T107="","",ASINH('Datos_fuente'!T107/1000))</x:f>
        <x:v>0.8489400331897689</x:v>
      </x:c>
      <x:c r="X107" s="90" t="n">
        <x:f>IF(OR(W107="",W106=""),"",W107-W106)</x:f>
        <x:v>0.03835707386428422</x:v>
      </x:c>
      <x:c r="Y107" s="55" t="n">
        <x:f>'Datos_fuente'!W107</x:f>
        <x:v>0.8018115658</x:v>
      </x:c>
      <x:c r="Z107" s="55" t="n">
        <x:f>IF(OR(Y107="",Y106=""),"",Y107-Y106)</x:f>
        <x:v>0.03280593730000003</x:v>
      </x:c>
      <x:c r="AA107" s="90" t="n">
        <x:f>'Datos_fuente'!AA107</x:f>
        <x:v>-0.2817255492</x:v>
      </x:c>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t="str">
        <x:f>'Datos_fuente'!A108</x:f>
        <x:v>2014-06</x:v>
      </x:c>
      <x:c r="B108" s="90" t="n">
        <x:f>IF('Datos_fuente'!B108="","",LN('Datos_fuente'!B108))</x:f>
        <x:v>7.542764389348451</x:v>
      </x:c>
      <x:c r="C108" s="90" t="n">
        <x:f>IF(OR(B108="",B107=""),"",B108-B107)</x:f>
        <x:v>-0.014896989542501515</x:v>
      </x:c>
      <x:c r="D108" s="90" t="n">
        <x:f>IF('Datos_fuente'!C108="","",LN('Datos_fuente'!C108))</x:f>
        <x:v>4.7166689667906345</x:v>
      </x:c>
      <x:c r="E108" s="90" t="n">
        <x:f>IF(OR(D108="",D107=""),"",D108-D107)</x:f>
        <x:v>0.02038748672091284</x:v>
      </x:c>
      <x:c r="F108" s="90" t="n">
        <x:f>IF('Datos_fuente'!E108="","",LN('Datos_fuente'!E108))</x:f>
        <x:v>8.350996920543778</x:v>
      </x:c>
      <x:c r="G108" s="90" t="n">
        <x:f>IF(OR(F108="",F107=""),"",F108-F107)</x:f>
        <x:v>-0.017436367995486535</x:v>
      </x:c>
      <x:c r="H108" s="55" t="n">
        <x:f>'Datos_fuente'!H108</x:f>
        <x:v>3.691666667</x:v>
      </x:c>
      <x:c r="I108" s="55" t="n">
        <x:f>IF(OR(H108="",H107=""),"",H108-H107)</x:f>
        <x:v>0.28166666699999965</x:v>
      </x:c>
      <x:c r="J108" s="55" t="n">
        <x:f>'Datos_fuente'!J108</x:f>
        <x:v>3.305413646</x:v>
      </x:c>
      <x:c r="K108" s="55" t="n">
        <x:f>IF(OR(J108="",J107=""),"",J108-J107)</x:f>
        <x:v>0.4229373169999997</x:v>
      </x:c>
      <x:c r="L108" s="90" t="n">
        <x:f>IF('Datos_fuente'!K108="","",LN('Datos_fuente'!K108))</x:f>
        <x:v>4.541456974961752</x:v>
      </x:c>
      <x:c r="M108" s="90" t="n">
        <x:f>IF(OR(L108="",L107=""),"",L108-L107)</x:f>
        <x:v>0.0016787027338205363</x:v>
      </x:c>
      <x:c r="N108" s="90" t="n">
        <x:f>IF('Datos_fuente'!L108="","",LN('Datos_fuente'!L108))</x:f>
        <x:v>2.4459430463125265</x:v>
      </x:c>
      <x:c r="O108" s="90" t="n">
        <x:f>IF(OR(N108="",N107=""),"",N108-N107)</x:f>
        <x:v>-0.07780268131526213</x:v>
      </x:c>
      <x:c r="P108" s="88" t="n">
        <x:f>'Datos_fuente'!N108</x:f>
        <x:v>0</x:v>
      </x:c>
      <x:c r="Q108" s="90" t="n">
        <x:f>IF('Datos_fuente'!O108="","",LN('Datos_fuente'!O108))</x:f>
        <x:v>10.725503648245517</x:v>
      </x:c>
      <x:c r="R108" s="90" t="n">
        <x:f>IF(OR(Q108="",Q107=""),"",Q108-Q107)</x:f>
        <x:v>0.010282424571649074</x:v>
      </x:c>
      <x:c r="S108" s="55" t="n">
        <x:f>'Datos_fuente'!R108</x:f>
        <x:v>4.155873016</x:v>
      </x:c>
      <x:c r="T108" s="55" t="n">
        <x:f>IF(OR(S108="",S107=""),"",S108-S107)</x:f>
        <x:v>0.08063492100000058</x:v>
      </x:c>
      <x:c r="U108" s="90" t="n">
        <x:f>IF('Datos_fuente'!S108="","",ASINH('Datos_fuente'!S108/1000))</x:f>
        <x:v>-0.41110204457562266</x:v>
      </x:c>
      <x:c r="V108" s="90" t="n">
        <x:f>IF(OR(U108="",U107=""),"",U108-U107)</x:f>
        <x:v>0.0320774788014222</x:v>
      </x:c>
      <x:c r="W108" s="90" t="n">
        <x:f>IF('Datos_fuente'!T108="","",ASINH('Datos_fuente'!T108/1000))</x:f>
        <x:v>0.9546451872544084</x:v>
      </x:c>
      <x:c r="X108" s="90" t="n">
        <x:f>IF(OR(W108="",W107=""),"",W108-W107)</x:f>
        <x:v>0.10570515406463954</x:v>
      </x:c>
      <x:c r="Y108" s="55" t="n">
        <x:f>'Datos_fuente'!W108</x:f>
        <x:v>0.7239805817</x:v>
      </x:c>
      <x:c r="Z108" s="55" t="n">
        <x:f>IF(OR(Y108="",Y107=""),"",Y108-Y107)</x:f>
        <x:v>-0.0778309841</x:v>
      </x:c>
      <x:c r="AA108" s="90" t="n">
        <x:f>'Datos_fuente'!AA108</x:f>
        <x:v>-0.02481825408</x:v>
      </x:c>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t="str">
        <x:f>'Datos_fuente'!A109</x:f>
        <x:v>2014-07</x:v>
      </x:c>
      <x:c r="B109" s="90" t="n">
        <x:f>IF('Datos_fuente'!B109="","",LN('Datos_fuente'!B109))</x:f>
        <x:v>7.527064401573634</x:v>
      </x:c>
      <x:c r="C109" s="90" t="n">
        <x:f>IF(OR(B109="",B108=""),"",B109-B108)</x:f>
        <x:v>-0.01569998777481718</x:v>
      </x:c>
      <x:c r="D109" s="90" t="n">
        <x:f>IF('Datos_fuente'!C109="","",LN('Datos_fuente'!C109))</x:f>
        <x:v>4.670659958917182</x:v>
      </x:c>
      <x:c r="E109" s="90" t="n">
        <x:f>IF(OR(D109="",D108=""),"",D109-D108)</x:f>
        <x:v>-0.046009007873452745</x:v>
      </x:c>
      <x:c r="F109" s="90" t="n">
        <x:f>IF('Datos_fuente'!E109="","",LN('Datos_fuente'!E109))</x:f>
        <x:v>8.339591677672232</x:v>
      </x:c>
      <x:c r="G109" s="90" t="n">
        <x:f>IF(OR(F109="",F108=""),"",F109-F108)</x:f>
        <x:v>-0.011405242871546761</x:v>
      </x:c>
      <x:c r="H109" s="55" t="n">
        <x:f>'Datos_fuente'!H109</x:f>
        <x:v>3.91</x:v>
      </x:c>
      <x:c r="I109" s="55" t="n">
        <x:f>IF(OR(H109="",H108=""),"",H109-H108)</x:f>
        <x:v>0.21833333300000035</x:v>
      </x:c>
      <x:c r="J109" s="55" t="n">
        <x:f>'Datos_fuente'!J109</x:f>
        <x:v>3.251003553</x:v>
      </x:c>
      <x:c r="K109" s="55" t="n">
        <x:f>IF(OR(J109="",J108=""),"",J109-J108)</x:f>
        <x:v>-0.05441009299999999</x:v>
      </x:c>
      <x:c r="L109" s="90" t="n">
        <x:f>IF('Datos_fuente'!K109="","",LN('Datos_fuente'!K109))</x:f>
        <x:v>4.539071612227647</x:v>
      </x:c>
      <x:c r="M109" s="90" t="n">
        <x:f>IF(OR(L109="",L108=""),"",L109-L108)</x:f>
        <x:v>-0.0023853627341052785</x:v>
      </x:c>
      <x:c r="N109" s="90" t="n">
        <x:f>IF('Datos_fuente'!L109="","",LN('Datos_fuente'!L109))</x:f>
        <x:v>2.50930357964415</x:v>
      </x:c>
      <x:c r="O109" s="90" t="n">
        <x:f>IF(OR(N109="",N108=""),"",N109-N108)</x:f>
        <x:v>0.06336053333162361</x:v>
      </x:c>
      <x:c r="P109" s="88" t="n">
        <x:f>'Datos_fuente'!N109</x:f>
        <x:v>0</x:v>
      </x:c>
      <x:c r="Q109" s="90" t="n">
        <x:f>IF('Datos_fuente'!O109="","",LN('Datos_fuente'!O109))</x:f>
        <x:v>10.738394244219032</x:v>
      </x:c>
      <x:c r="R109" s="90" t="n">
        <x:f>IF(OR(Q109="",Q108=""),"",Q109-Q108)</x:f>
        <x:v>0.012890595973514607</x:v>
      </x:c>
      <x:c r="S109" s="55" t="n">
        <x:f>'Datos_fuente'!R109</x:f>
        <x:v>4.342944664</x:v>
      </x:c>
      <x:c r="T109" s="55" t="n">
        <x:f>IF(OR(S109="",S108=""),"",S109-S108)</x:f>
        <x:v>0.18707164799999987</x:v>
      </x:c>
      <x:c r="U109" s="90" t="n">
        <x:f>IF('Datos_fuente'!S109="","",ASINH('Datos_fuente'!S109/1000))</x:f>
        <x:v>-0.49507673773224925</x:v>
      </x:c>
      <x:c r="V109" s="90" t="n">
        <x:f>IF(OR(U109="",U108=""),"",U109-U108)</x:f>
        <x:v>-0.08397469315662659</x:v>
      </x:c>
      <x:c r="W109" s="90" t="n">
        <x:f>IF('Datos_fuente'!T109="","",ASINH('Datos_fuente'!T109/1000))</x:f>
        <x:v>1.0424665216707982</x:v>
      </x:c>
      <x:c r="X109" s="90" t="n">
        <x:f>IF(OR(W109="",W108=""),"",W109-W108)</x:f>
        <x:v>0.08782133441638984</x:v>
      </x:c>
      <x:c r="Y109" s="55" t="n">
        <x:f>'Datos_fuente'!W109</x:f>
        <x:v>0.9033027378</x:v>
      </x:c>
      <x:c r="Z109" s="55" t="n">
        <x:f>IF(OR(Y109="",Y108=""),"",Y109-Y108)</x:f>
        <x:v>0.17932215610000002</x:v>
      </x:c>
      <x:c r="AA109" s="90" t="n">
        <x:f>'Datos_fuente'!AA109</x:f>
        <x:v>-0.03860818642</x:v>
      </x:c>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t="str">
        <x:f>'Datos_fuente'!A110</x:f>
        <x:v>2014-08</x:v>
      </x:c>
      <x:c r="B110" s="90" t="n">
        <x:f>IF('Datos_fuente'!B110="","",LN('Datos_fuente'!B110))</x:f>
        <x:v>7.5486219206205565</x:v>
      </x:c>
      <x:c r="C110" s="90" t="n">
        <x:f>IF(OR(B110="",B109=""),"",B110-B109)</x:f>
        <x:v>0.02155751904692238</x:v>
      </x:c>
      <x:c r="D110" s="90" t="n">
        <x:f>IF('Datos_fuente'!C110="","",LN('Datos_fuente'!C110))</x:f>
        <x:v>4.621123209135679</x:v>
      </x:c>
      <x:c r="E110" s="90" t="n">
        <x:f>IF(OR(D110="",D109=""),"",D110-D109)</x:f>
        <x:v>-0.049536749781502465</x:v>
      </x:c>
      <x:c r="F110" s="90" t="n">
        <x:f>IF('Datos_fuente'!E110="","",LN('Datos_fuente'!E110))</x:f>
        <x:v>8.325889818607168</x:v>
      </x:c>
      <x:c r="G110" s="90" t="n">
        <x:f>IF(OR(F110="",F109=""),"",F110-F109)</x:f>
        <x:v>-0.013701859065063715</x:v>
      </x:c>
      <x:c r="H110" s="55" t="n">
        <x:f>'Datos_fuente'!H110</x:f>
        <x:v>4.16</x:v>
      </x:c>
      <x:c r="I110" s="55" t="n">
        <x:f>IF(OR(H110="",H109=""),"",H110-H109)</x:f>
        <x:v>0.25</x:v>
      </x:c>
      <x:c r="J110" s="55" t="n">
        <x:f>'Datos_fuente'!J110</x:f>
        <x:v>3.559866605</x:v>
      </x:c>
      <x:c r="K110" s="55" t="n">
        <x:f>IF(OR(J110="",J109=""),"",J110-J109)</x:f>
        <x:v>0.30886305199999997</x:v>
      </x:c>
      <x:c r="L110" s="90" t="n">
        <x:f>IF('Datos_fuente'!K110="","",LN('Datos_fuente'!K110))</x:f>
        <x:v>4.549454596282505</x:v>
      </x:c>
      <x:c r="M110" s="90" t="n">
        <x:f>IF(OR(L110="",L109=""),"",L110-L109)</x:f>
        <x:v>0.010382984054857936</x:v>
      </x:c>
      <x:c r="N110" s="90" t="n">
        <x:f>IF('Datos_fuente'!L110="","",LN('Datos_fuente'!L110))</x:f>
        <x:v>2.6020898581765644</x:v>
      </x:c>
      <x:c r="O110" s="90" t="n">
        <x:f>IF(OR(N110="",N109=""),"",N110-N109)</x:f>
        <x:v>0.09278627853241428</x:v>
      </x:c>
      <x:c r="P110" s="88" t="n">
        <x:f>'Datos_fuente'!N110</x:f>
        <x:v>0</x:v>
      </x:c>
      <x:c r="Q110" s="90" t="n">
        <x:f>IF('Datos_fuente'!O110="","",LN('Datos_fuente'!O110))</x:f>
        <x:v>10.751607788965154</x:v>
      </x:c>
      <x:c r="R110" s="90" t="n">
        <x:f>IF(OR(Q110="",Q109=""),"",Q110-Q109)</x:f>
        <x:v>0.013213544746122352</x:v>
      </x:c>
      <x:c r="S110" s="55" t="n">
        <x:f>'Datos_fuente'!R110</x:f>
        <x:v>4.529473684</x:v>
      </x:c>
      <x:c r="T110" s="55" t="n">
        <x:f>IF(OR(S110="",S109=""),"",S110-S109)</x:f>
        <x:v>0.18652902000000005</x:v>
      </x:c>
      <x:c r="U110" s="90" t="n">
        <x:f>IF('Datos_fuente'!S110="","",ASINH('Datos_fuente'!S110/1000))</x:f>
        <x:v>-0.393885735456743</x:v>
      </x:c>
      <x:c r="V110" s="90" t="n">
        <x:f>IF(OR(U110="",U109=""),"",U110-U109)</x:f>
        <x:v>0.10119100227550626</x:v>
      </x:c>
      <x:c r="W110" s="90" t="n">
        <x:f>IF('Datos_fuente'!T110="","",ASINH('Datos_fuente'!T110/1000))</x:f>
        <x:v>1.1776405168864579</x:v>
      </x:c>
      <x:c r="X110" s="90" t="n">
        <x:f>IF(OR(W110="",W109=""),"",W110-W109)</x:f>
        <x:v>0.13517399521565965</x:v>
      </x:c>
      <x:c r="Y110" s="55" t="n">
        <x:f>'Datos_fuente'!W110</x:f>
        <x:v>1.31925659</x:v>
      </x:c>
      <x:c r="Z110" s="55" t="n">
        <x:f>IF(OR(Y110="",Y109=""),"",Y110-Y109)</x:f>
        <x:v>0.4159538521999999</x:v>
      </x:c>
      <x:c r="AA110" s="90" t="n">
        <x:f>'Datos_fuente'!AA110</x:f>
        <x:v>0.6871038693</x:v>
      </x:c>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t="str">
        <x:f>'Datos_fuente'!A111</x:f>
        <x:v>2014-09</x:v>
      </x:c>
      <x:c r="B111" s="90" t="n">
        <x:f>IF('Datos_fuente'!B111="","",LN('Datos_fuente'!B111))</x:f>
        <x:v>7.587673677270184</x:v>
      </x:c>
      <x:c r="C111" s="90" t="n">
        <x:f>IF(OR(B111="",B110=""),"",B111-B110)</x:f>
        <x:v>0.03905175664962712</x:v>
      </x:c>
      <x:c r="D111" s="90" t="n">
        <x:f>IF('Datos_fuente'!C111="","",LN('Datos_fuente'!C111))</x:f>
        <x:v>4.575653097147531</x:v>
      </x:c>
      <x:c r="E111" s="90" t="n">
        <x:f>IF(OR(D111="",D110=""),"",D111-D110)</x:f>
        <x:v>-0.04547011198814843</x:v>
      </x:c>
      <x:c r="F111" s="90" t="n">
        <x:f>IF('Datos_fuente'!E111="","",LN('Datos_fuente'!E111))</x:f>
        <x:v>8.323256438649969</x:v>
      </x:c>
      <x:c r="G111" s="90" t="n">
        <x:f>IF(OR(F111="",F110=""),"",F111-F110)</x:f>
        <x:v>-0.0026333799571993666</x:v>
      </x:c>
      <x:c r="H111" s="55" t="n">
        <x:f>'Datos_fuente'!H111</x:f>
        <x:v>4.41</x:v>
      </x:c>
      <x:c r="I111" s="55" t="n">
        <x:f>IF(OR(H111="",H110=""),"",H111-H110)</x:f>
        <x:v>0.25</x:v>
      </x:c>
      <x:c r="J111" s="55" t="n">
        <x:f>'Datos_fuente'!J111</x:f>
        <x:v>3.370339697</x:v>
      </x:c>
      <x:c r="K111" s="55" t="n">
        <x:f>IF(OR(J111="",J110=""),"",J111-J110)</x:f>
        <x:v>-0.18952690799999994</x:v>
      </x:c>
      <x:c r="L111" s="90" t="n">
        <x:f>IF('Datos_fuente'!K111="","",LN('Datos_fuente'!K111))</x:f>
        <x:v>4.565606427369442</x:v>
      </x:c>
      <x:c r="M111" s="90" t="n">
        <x:f>IF(OR(L111="",L110=""),"",L111-L110)</x:f>
        <x:v>0.016151831086936852</x:v>
      </x:c>
      <x:c r="N111" s="90" t="n">
        <x:f>IF('Datos_fuente'!L111="","",LN('Datos_fuente'!L111))</x:f>
        <x:v>2.6002174965465197</x:v>
      </x:c>
      <x:c r="O111" s="90" t="n">
        <x:f>IF(OR(N111="",N110=""),"",N111-N110)</x:f>
        <x:v>-0.0018723616300446722</x:v>
      </x:c>
      <x:c r="P111" s="88" t="n">
        <x:f>'Datos_fuente'!N111</x:f>
        <x:v>0</x:v>
      </x:c>
      <x:c r="Q111" s="90" t="n">
        <x:f>IF('Datos_fuente'!O111="","",LN('Datos_fuente'!O111))</x:f>
        <x:v>10.760167123868438</x:v>
      </x:c>
      <x:c r="R111" s="90" t="n">
        <x:f>IF(OR(Q111="",Q110=""),"",Q111-Q110)</x:f>
        <x:v>0.008559334903283755</x:v>
      </x:c>
      <x:c r="S111" s="55" t="n">
        <x:f>'Datos_fuente'!R111</x:f>
        <x:v>4.376623377</x:v>
      </x:c>
      <x:c r="T111" s="55" t="n">
        <x:f>IF(OR(S111="",S110=""),"",S111-S110)</x:f>
        <x:v>-0.15285030700000046</x:v>
      </x:c>
      <x:c r="U111" s="90" t="n">
        <x:f>IF('Datos_fuente'!S111="","",ASINH('Datos_fuente'!S111/1000))</x:f>
        <x:v>-0.349811903261142</x:v>
      </x:c>
      <x:c r="V111" s="90" t="n">
        <x:f>IF(OR(U111="",U110=""),"",U111-U110)</x:f>
        <x:v>0.044073832195601015</x:v>
      </x:c>
      <x:c r="W111" s="90" t="n">
        <x:f>IF('Datos_fuente'!T111="","",ASINH('Datos_fuente'!T111/1000))</x:f>
        <x:v>0.8264456367411759</x:v>
      </x:c>
      <x:c r="X111" s="90" t="n">
        <x:f>IF(OR(W111="",W110=""),"",W111-W110)</x:f>
        <x:v>-0.351194880145282</x:v>
      </x:c>
      <x:c r="Y111" s="55" t="n">
        <x:f>'Datos_fuente'!W111</x:f>
        <x:v>1.201732648</x:v>
      </x:c>
      <x:c r="Z111" s="55" t="n">
        <x:f>IF(OR(Y111="",Y110=""),"",Y111-Y110)</x:f>
        <x:v>-0.11752394200000005</x:v>
      </x:c>
      <x:c r="AA111" s="90" t="n">
        <x:f>'Datos_fuente'!AA111</x:f>
        <x:v>0.5465466648</x:v>
      </x:c>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t="str">
        <x:f>'Datos_fuente'!A112</x:f>
        <x:v>2014-10</x:v>
      </x:c>
      <x:c r="B112" s="90" t="n">
        <x:f>IF('Datos_fuente'!B112="","",LN('Datos_fuente'!B112))</x:f>
        <x:v>7.624896007843942</x:v>
      </x:c>
      <x:c r="C112" s="90" t="n">
        <x:f>IF(OR(B112="",B111=""),"",B112-B111)</x:f>
        <x:v>0.037222330573758455</x:v>
      </x:c>
      <x:c r="D112" s="90" t="n">
        <x:f>IF('Datos_fuente'!C112="","",LN('Datos_fuente'!C112))</x:f>
        <x:v>4.470783769534853</x:v>
      </x:c>
      <x:c r="E112" s="90" t="n">
        <x:f>IF(OR(D112="",D111=""),"",D112-D111)</x:f>
        <x:v>-0.1048693276126782</x:v>
      </x:c>
      <x:c r="F112" s="90" t="n">
        <x:f>IF('Datos_fuente'!E112="","",LN('Datos_fuente'!E112))</x:f>
        <x:v>8.318622733355125</x:v>
      </x:c>
      <x:c r="G112" s="90" t="n">
        <x:f>IF(OR(F112="",F111=""),"",F112-F111)</x:f>
        <x:v>-0.004633705294843082</x:v>
      </x:c>
      <x:c r="H112" s="55" t="n">
        <x:f>'Datos_fuente'!H112</x:f>
        <x:v>4.41</x:v>
      </x:c>
      <x:c r="I112" s="55" t="n">
        <x:f>IF(OR(H112="",H111=""),"",H112-H111)</x:f>
        <x:v>0</x:v>
      </x:c>
      <x:c r="J112" s="55" t="n">
        <x:f>'Datos_fuente'!J112</x:f>
        <x:v>3.013679212</x:v>
      </x:c>
      <x:c r="K112" s="55" t="n">
        <x:f>IF(OR(J112="",J111=""),"",J112-J111)</x:f>
        <x:v>-0.3566604849999999</x:v>
      </x:c>
      <x:c r="L112" s="90" t="n">
        <x:f>IF('Datos_fuente'!K112="","",LN('Datos_fuente'!K112))</x:f>
        <x:v>4.579232745558442</x:v>
      </x:c>
      <x:c r="M112" s="90" t="n">
        <x:f>IF(OR(L112="",L111=""),"",L112-L111)</x:f>
        <x:v>0.013626318188999953</x:v>
      </x:c>
      <x:c r="N112" s="90" t="n">
        <x:f>IF('Datos_fuente'!L112="","",LN('Datos_fuente'!L112))</x:f>
        <x:v>2.8936273222355506</x:v>
      </x:c>
      <x:c r="O112" s="90" t="n">
        <x:f>IF(OR(N112="",N111=""),"",N112-N111)</x:f>
        <x:v>0.29340982568903096</x:v>
      </x:c>
      <x:c r="P112" s="88" t="n">
        <x:f>'Datos_fuente'!N112</x:f>
        <x:v>0</x:v>
      </x:c>
      <x:c r="Q112" s="90" t="n">
        <x:f>IF('Datos_fuente'!O112="","",LN('Datos_fuente'!O112))</x:f>
        <x:v>10.765629970963237</x:v>
      </x:c>
      <x:c r="R112" s="90" t="n">
        <x:f>IF(OR(Q112="",Q111=""),"",Q112-Q111)</x:f>
        <x:v>0.0054628470947992724</x:v>
      </x:c>
      <x:c r="S112" s="55" t="n">
        <x:f>'Datos_fuente'!R112</x:f>
        <x:v>4.71</x:v>
      </x:c>
      <x:c r="T112" s="55" t="n">
        <x:f>IF(OR(S112="",S111=""),"",S112-S111)</x:f>
        <x:v>0.33337662300000037</x:v>
      </x:c>
      <x:c r="U112" s="90" t="n">
        <x:f>IF('Datos_fuente'!S112="","",ASINH('Datos_fuente'!S112/1000))</x:f>
        <x:v>-0.3855191509970518</x:v>
      </x:c>
      <x:c r="V112" s="90" t="n">
        <x:f>IF(OR(U112="",U111=""),"",U112-U111)</x:f>
        <x:v>-0.03570724773590983</x:v>
      </x:c>
      <x:c r="W112" s="90" t="n">
        <x:f>IF('Datos_fuente'!T112="","",ASINH('Datos_fuente'!T112/1000))</x:f>
        <x:v>0.7979005053931834</x:v>
      </x:c>
      <x:c r="X112" s="90" t="n">
        <x:f>IF(OR(W112="",W111=""),"",W112-W111)</x:f>
        <x:v>-0.028545131347992525</x:v>
      </x:c>
      <x:c r="Y112" s="55" t="n">
        <x:f>'Datos_fuente'!W112</x:f>
        <x:v>1.630428396</x:v>
      </x:c>
      <x:c r="Z112" s="55" t="n">
        <x:f>IF(OR(Y112="",Y111=""),"",Y112-Y111)</x:f>
        <x:v>0.428695748</x:v>
      </x:c>
      <x:c r="AA112" s="90" t="n">
        <x:f>'Datos_fuente'!AA112</x:f>
        <x:v>0.4259806319</x:v>
      </x:c>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t="str">
        <x:f>'Datos_fuente'!A113</x:f>
        <x:v>2014-11</x:v>
      </x:c>
      <x:c r="B113" s="90" t="n">
        <x:f>IF('Datos_fuente'!B113="","",LN('Datos_fuente'!B113))</x:f>
        <x:v>7.663259070951175</x:v>
      </x:c>
      <x:c r="C113" s="90" t="n">
        <x:f>IF(OR(B113="",B112=""),"",B113-B112)</x:f>
        <x:v>0.0383630631072327</x:v>
      </x:c>
      <x:c r="D113" s="90" t="n">
        <x:f>IF('Datos_fuente'!C113="","",LN('Datos_fuente'!C113))</x:f>
        <x:v>4.374975518126941</x:v>
      </x:c>
      <x:c r="E113" s="90" t="n">
        <x:f>IF(OR(D113="",D112=""),"",D113-D112)</x:f>
        <x:v>-0.09580825140791127</x:v>
      </x:c>
      <x:c r="F113" s="90" t="n">
        <x:f>IF('Datos_fuente'!E113="","",LN('Datos_fuente'!E113))</x:f>
        <x:v>8.30970150804025</x:v>
      </x:c>
      <x:c r="G113" s="90" t="n">
        <x:f>IF(OR(F113="",F112=""),"",F113-F112)</x:f>
        <x:v>-0.008921225314875159</x:v>
      </x:c>
      <x:c r="H113" s="55" t="n">
        <x:f>'Datos_fuente'!H113</x:f>
        <x:v>4.41</x:v>
      </x:c>
      <x:c r="I113" s="55" t="n">
        <x:f>IF(OR(H113="",H112=""),"",H113-H112)</x:f>
        <x:v>0</x:v>
      </x:c>
      <x:c r="J113" s="55" t="n">
        <x:f>'Datos_fuente'!J113</x:f>
        <x:v>2.848812219</x:v>
      </x:c>
      <x:c r="K113" s="55" t="n">
        <x:f>IF(OR(J113="",J112=""),"",J113-J112)</x:f>
        <x:v>-0.16486699299999996</x:v>
      </x:c>
      <x:c r="L113" s="90" t="n">
        <x:f>IF('Datos_fuente'!K113="","",LN('Datos_fuente'!K113))</x:f>
        <x:v>4.596277653258168</x:v>
      </x:c>
      <x:c r="M113" s="90" t="n">
        <x:f>IF(OR(L113="",L112=""),"",L113-L112)</x:f>
        <x:v>0.01704490769972633</x:v>
      </x:c>
      <x:c r="N113" s="90" t="n">
        <x:f>IF('Datos_fuente'!L113="","",LN('Datos_fuente'!L113))</x:f>
        <x:v>2.5962361572664614</x:v>
      </x:c>
      <x:c r="O113" s="90" t="n">
        <x:f>IF(OR(N113="",N112=""),"",N113-N112)</x:f>
        <x:v>-0.29739116496908924</x:v>
      </x:c>
      <x:c r="P113" s="88" t="n">
        <x:f>'Datos_fuente'!N113</x:f>
        <x:v>0</x:v>
      </x:c>
      <x:c r="Q113" s="90" t="n">
        <x:f>IF('Datos_fuente'!O113="","",LN('Datos_fuente'!O113))</x:f>
        <x:v>10.765959698894243</x:v>
      </x:c>
      <x:c r="R113" s="90" t="n">
        <x:f>IF(OR(Q113="",Q112=""),"",Q113-Q112)</x:f>
        <x:v>0.0003297279310050527</x:v>
      </x:c>
      <x:c r="S113" s="55" t="n">
        <x:f>'Datos_fuente'!R113</x:f>
        <x:v>4.520555556</x:v>
      </x:c>
      <x:c r="T113" s="55" t="n">
        <x:f>IF(OR(S113="",S112=""),"",S113-S112)</x:f>
        <x:v>-0.18944444400000027</x:v>
      </x:c>
      <x:c r="U113" s="90" t="n">
        <x:f>IF('Datos_fuente'!S113="","",ASINH('Datos_fuente'!S113/1000))</x:f>
        <x:v>-0.2623887997062685</x:v>
      </x:c>
      <x:c r="V113" s="90" t="n">
        <x:f>IF(OR(U113="",U112=""),"",U113-U112)</x:f>
        <x:v>0.12313035129078331</x:v>
      </x:c>
      <x:c r="W113" s="90" t="n">
        <x:f>IF('Datos_fuente'!T113="","",ASINH('Datos_fuente'!T113/1000))</x:f>
        <x:v>0.31392821310683683</x:v>
      </x:c>
      <x:c r="X113" s="90" t="n">
        <x:f>IF(OR(W113="",W112=""),"",W113-W112)</x:f>
        <x:v>-0.48397229228634653</x:v>
      </x:c>
      <x:c r="Y113" s="55" t="n">
        <x:f>'Datos_fuente'!W113</x:f>
        <x:v>2.33233921</x:v>
      </x:c>
      <x:c r="Z113" s="55" t="n">
        <x:f>IF(OR(Y113="",Y112=""),"",Y113-Y112)</x:f>
        <x:v>0.7019108140000003</x:v>
      </x:c>
      <x:c r="AA113" s="90" t="n">
        <x:f>'Datos_fuente'!AA113</x:f>
        <x:v>0.5107452137</x:v>
      </x:c>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t="str">
        <x:f>'Datos_fuente'!A114</x:f>
        <x:v>2014-12</x:v>
      </x:c>
      <x:c r="B114" s="90" t="n">
        <x:f>IF('Datos_fuente'!B114="","",LN('Datos_fuente'!B114))</x:f>
        <x:v>7.758868799612944</x:v>
      </x:c>
      <x:c r="C114" s="90" t="n">
        <x:f>IF(OR(B114="",B113=""),"",B114-B113)</x:f>
        <x:v>0.09560972866176964</x:v>
      </x:c>
      <x:c r="D114" s="90" t="n">
        <x:f>IF('Datos_fuente'!C114="","",LN('Datos_fuente'!C114))</x:f>
        <x:v>4.1325230657969385</x:v>
      </x:c>
      <x:c r="E114" s="90" t="n">
        <x:f>IF(OR(D114="",D113=""),"",D114-D113)</x:f>
        <x:v>-0.2424524523300029</x:v>
      </x:c>
      <x:c r="F114" s="90" t="n">
        <x:f>IF('Datos_fuente'!E114="","",LN('Datos_fuente'!E114))</x:f>
        <x:v>8.317084782285939</x:v>
      </x:c>
      <x:c r="G114" s="90" t="n">
        <x:f>IF(OR(F114="",F113=""),"",F114-F113)</x:f>
        <x:v>0.007383274245688298</x:v>
      </x:c>
      <x:c r="H114" s="55" t="n">
        <x:f>'Datos_fuente'!H114</x:f>
        <x:v>4.38</x:v>
      </x:c>
      <x:c r="I114" s="55" t="n">
        <x:f>IF(OR(H114="",H113=""),"",H114-H113)</x:f>
        <x:v>-0.03000000000000025</x:v>
      </x:c>
      <x:c r="J114" s="55" t="n">
        <x:f>'Datos_fuente'!J114</x:f>
        <x:v>2.406132394</x:v>
      </x:c>
      <x:c r="K114" s="55" t="n">
        <x:f>IF(OR(J114="",J113=""),"",J114-J113)</x:f>
        <x:v>-0.4426798249999999</x:v>
      </x:c>
      <x:c r="L114" s="90" t="n">
        <x:f>IF('Datos_fuente'!K114="","",LN('Datos_fuente'!K114))</x:f>
        <x:v>4.619508236112753</x:v>
      </x:c>
      <x:c r="M114" s="90" t="n">
        <x:f>IF(OR(L114="",L113=""),"",L114-L113)</x:f>
        <x:v>0.023230582854584902</x:v>
      </x:c>
      <x:c r="N114" s="90" t="n">
        <x:f>IF('Datos_fuente'!L114="","",LN('Datos_fuente'!L114))</x:f>
        <x:v>2.790690929763901</x:v>
      </x:c>
      <x:c r="O114" s="90" t="n">
        <x:f>IF(OR(N114="",N113=""),"",N114-N113)</x:f>
        <x:v>0.1944547724974397</x:v>
      </x:c>
      <x:c r="P114" s="88" t="n">
        <x:f>'Datos_fuente'!N114</x:f>
        <x:v>0</x:v>
      </x:c>
      <x:c r="Q114" s="90" t="n">
        <x:f>IF('Datos_fuente'!O114="","",LN('Datos_fuente'!O114))</x:f>
        <x:v>10.764753616044896</x:v>
      </x:c>
      <x:c r="R114" s="90" t="n">
        <x:f>IF(OR(Q114="",Q113=""),"",Q114-Q113)</x:f>
        <x:v>-0.0012060828493467568</x:v>
      </x:c>
      <x:c r="S114" s="55" t="n">
        <x:f>'Datos_fuente'!R114</x:f>
        <x:v>5.185227273</x:v>
      </x:c>
      <x:c r="T114" s="55" t="n">
        <x:f>IF(OR(S114="",S113=""),"",S114-S113)</x:f>
        <x:v>0.664671717</x:v>
      </x:c>
      <x:c r="U114" s="90" t="n">
        <x:f>IF('Datos_fuente'!S114="","",ASINH('Datos_fuente'!S114/1000))</x:f>
        <x:v>-0.35028275972442807</x:v>
      </x:c>
      <x:c r="V114" s="90" t="n">
        <x:f>IF(OR(U114="",U113=""),"",U114-U113)</x:f>
        <x:v>-0.08789396001815958</x:v>
      </x:c>
      <x:c r="W114" s="90" t="n">
        <x:f>IF('Datos_fuente'!T114="","",ASINH('Datos_fuente'!T114/1000))</x:f>
        <x:v>0.2572144174391348</x:v>
      </x:c>
      <x:c r="X114" s="90" t="n">
        <x:f>IF(OR(W114="",W113=""),"",W114-W113)</x:f>
        <x:v>-0.056713795667702016</x:v>
      </x:c>
      <x:c r="Y114" s="55" t="n">
        <x:f>'Datos_fuente'!W114</x:f>
        <x:v>2.901123623</x:v>
      </x:c>
      <x:c r="Z114" s="55" t="n">
        <x:f>IF(OR(Y114="",Y113=""),"",Y114-Y113)</x:f>
        <x:v>0.5687844129999999</x:v>
      </x:c>
      <x:c r="AA114" s="90" t="n">
        <x:f>'Datos_fuente'!AA114</x:f>
        <x:v>1.373736468</x:v>
      </x:c>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t="str">
        <x:f>'Datos_fuente'!A115</x:f>
        <x:v>2015-01</x:v>
      </x:c>
      <x:c r="B115" s="90" t="n">
        <x:f>IF('Datos_fuente'!B115="","",LN('Datos_fuente'!B115))</x:f>
        <x:v>7.782080890299692</x:v>
      </x:c>
      <x:c r="C115" s="90" t="n">
        <x:f>IF(OR(B115="",B114=""),"",B115-B114)</x:f>
        <x:v>0.0232120906867479</x:v>
      </x:c>
      <x:c r="D115" s="90" t="n">
        <x:f>IF('Datos_fuente'!C115="","",LN('Datos_fuente'!C115))</x:f>
        <x:v>3.866178000017821</x:v>
      </x:c>
      <x:c r="E115" s="90" t="n">
        <x:f>IF(OR(D115="",D114=""),"",D115-D114)</x:f>
        <x:v>-0.26634506577911754</x:v>
      </x:c>
      <x:c r="F115" s="90" t="n">
        <x:f>IF('Datos_fuente'!E115="","",LN('Datos_fuente'!E115))</x:f>
        <x:v>8.316212225602996</x:v>
      </x:c>
      <x:c r="G115" s="90" t="n">
        <x:f>IF(OR(F115="",F114=""),"",F115-F114)</x:f>
        <x:v>-0.0008725566829426157</x:v>
      </x:c>
      <x:c r="H115" s="55" t="n">
        <x:f>'Datos_fuente'!H115</x:f>
        <x:v>4.39</x:v>
      </x:c>
      <x:c r="I115" s="55" t="n">
        <x:f>IF(OR(H115="",H114=""),"",H115-H114)</x:f>
        <x:v>0.009999999999999787</x:v>
      </x:c>
      <x:c r="J115" s="55" t="n">
        <x:f>'Datos_fuente'!J115</x:f>
        <x:v>2.679027018</x:v>
      </x:c>
      <x:c r="K115" s="55" t="n">
        <x:f>IF(OR(J115="",J114=""),"",J115-J114)</x:f>
        <x:v>0.2728946240000001</x:v>
      </x:c>
      <x:c r="L115" s="90" t="n">
        <x:f>IF('Datos_fuente'!K115="","",LN('Datos_fuente'!K115))</x:f>
        <x:v>4.642087671825471</x:v>
      </x:c>
      <x:c r="M115" s="90" t="n">
        <x:f>IF(OR(L115="",L114=""),"",L115-L114)</x:f>
        <x:v>0.02257943571271781</x:v>
      </x:c>
      <x:c r="N115" s="90" t="n">
        <x:f>IF('Datos_fuente'!L115="","",LN('Datos_fuente'!L115))</x:f>
        <x:v>2.9507087566537065</x:v>
      </x:c>
      <x:c r="O115" s="90" t="n">
        <x:f>IF(OR(N115="",N114=""),"",N115-N114)</x:f>
        <x:v>0.16001782688980537</x:v>
      </x:c>
      <x:c r="P115" s="88" t="n">
        <x:f>'Datos_fuente'!N115</x:f>
        <x:v>0</x:v>
      </x:c>
      <x:c r="Q115" s="90" t="n">
        <x:f>IF('Datos_fuente'!O115="","",LN('Datos_fuente'!O115))</x:f>
        <x:v>10.75933079690464</x:v>
      </x:c>
      <x:c r="R115" s="90" t="n">
        <x:f>IF(OR(Q115="",Q114=""),"",Q115-Q114)</x:f>
        <x:v>-0.0054228191402554415</x:v>
      </x:c>
      <x:c r="S115" s="55" t="n">
        <x:f>'Datos_fuente'!R115</x:f>
        <x:v>5.246</x:v>
      </x:c>
      <x:c r="T115" s="55" t="n">
        <x:f>IF(OR(S115="",S114=""),"",S115-S114)</x:f>
        <x:v>0.06077272700000069</x:v>
      </x:c>
      <x:c r="U115" s="90" t="n">
        <x:f>IF('Datos_fuente'!S115="","",ASINH('Datos_fuente'!S115/1000))</x:f>
        <x:v>-0.28594725197757115</x:v>
      </x:c>
      <x:c r="V115" s="90" t="n">
        <x:f>IF(OR(U115="",U114=""),"",U115-U114)</x:f>
        <x:v>0.06433550774685692</x:v>
      </x:c>
      <x:c r="W115" s="90" t="n">
        <x:f>IF('Datos_fuente'!T115="","",ASINH('Datos_fuente'!T115/1000))</x:f>
        <x:v>0.010349815222594597</x:v>
      </x:c>
      <x:c r="X115" s="90" t="n">
        <x:f>IF(OR(W115="",W114=""),"",W115-W114)</x:f>
        <x:v>-0.24686460221654022</x:v>
      </x:c>
      <x:c r="Y115" s="55" t="n">
        <x:f>'Datos_fuente'!W115</x:f>
        <x:v>3.904232616</x:v>
      </x:c>
      <x:c r="Z115" s="55" t="n">
        <x:f>IF(OR(Y115="",Y114=""),"",Y115-Y114)</x:f>
        <x:v>1.0031089929999997</x:v>
      </x:c>
      <x:c r="AA115" s="90" t="n">
        <x:f>'Datos_fuente'!AA115</x:f>
        <x:v>0.1985991189</x:v>
      </x:c>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t="str">
        <x:f>'Datos_fuente'!A116</x:f>
        <x:v>2015-02</x:v>
      </x:c>
      <x:c r="B116" s="90" t="n">
        <x:f>IF('Datos_fuente'!B116="","",LN('Datos_fuente'!B116))</x:f>
        <x:v>7.79180067310773</x:v>
      </x:c>
      <x:c r="C116" s="90" t="n">
        <x:f>IF(OR(B116="",B115=""),"",B116-B115)</x:f>
        <x:v>0.009719782808037536</x:v>
      </x:c>
      <x:c r="D116" s="90" t="n">
        <x:f>IF('Datos_fuente'!C116="","",LN('Datos_fuente'!C116))</x:f>
        <x:v>4.062088208190438</x:v>
      </x:c>
      <x:c r="E116" s="90" t="n">
        <x:f>IF(OR(D116="",D115=""),"",D116-D115)</x:f>
        <x:v>0.1959102081726174</x:v>
      </x:c>
      <x:c r="F116" s="90" t="n">
        <x:f>IF('Datos_fuente'!E116="","",LN('Datos_fuente'!E116))</x:f>
        <x:v>8.323943337716168</x:v>
      </x:c>
      <x:c r="G116" s="90" t="n">
        <x:f>IF(OR(F116="",F115=""),"",F116-F115)</x:f>
        <x:v>0.00773111211317179</x:v>
      </x:c>
      <x:c r="H116" s="55" t="n">
        <x:f>'Datos_fuente'!H116</x:f>
        <x:v>4.39</x:v>
      </x:c>
      <x:c r="I116" s="55" t="n">
        <x:f>IF(OR(H116="",H115=""),"",H116-H115)</x:f>
        <x:v>0</x:v>
      </x:c>
      <x:c r="J116" s="55" t="n">
        <x:f>'Datos_fuente'!J116</x:f>
        <x:v>2.700039179</x:v>
      </x:c>
      <x:c r="K116" s="55" t="n">
        <x:f>IF(OR(J116="",J115=""),"",J116-J115)</x:f>
        <x:v>0.021012160999999807</x:v>
      </x:c>
      <x:c r="L116" s="90" t="n">
        <x:f>IF('Datos_fuente'!K116="","",LN('Datos_fuente'!K116))</x:f>
        <x:v>4.655564195690353</x:v>
      </x:c>
      <x:c r="M116" s="90" t="n">
        <x:f>IF(OR(L116="",L115=""),"",L116-L115)</x:f>
        <x:v>0.013476523864881962</x:v>
      </x:c>
      <x:c r="N116" s="90" t="n">
        <x:f>IF('Datos_fuente'!L116="","",LN('Datos_fuente'!L116))</x:f>
        <x:v>2.7665838873769046</x:v>
      </x:c>
      <x:c r="O116" s="90" t="n">
        <x:f>IF(OR(N116="",N115=""),"",N116-N115)</x:f>
        <x:v>-0.18412486927680183</x:v>
      </x:c>
      <x:c r="P116" s="88" t="n">
        <x:f>'Datos_fuente'!N116</x:f>
        <x:v>0</x:v>
      </x:c>
      <x:c r="Q116" s="90" t="n">
        <x:f>IF('Datos_fuente'!O116="","",LN('Datos_fuente'!O116))</x:f>
        <x:v>10.759077934726566</x:v>
      </x:c>
      <x:c r="R116" s="90" t="n">
        <x:f>IF(OR(Q116="",Q115=""),"",Q116-Q115)</x:f>
        <x:v>-0.0002528621780744089</x:v>
      </x:c>
      <x:c r="S116" s="55" t="n">
        <x:f>'Datos_fuente'!R116</x:f>
        <x:v>5.051736842</x:v>
      </x:c>
      <x:c r="T116" s="55" t="n">
        <x:f>IF(OR(S116="",S115=""),"",S116-S115)</x:f>
        <x:v>-0.19426315800000005</x:v>
      </x:c>
      <x:c r="U116" s="90" t="n">
        <x:f>IF('Datos_fuente'!S116="","",ASINH('Datos_fuente'!S116/1000))</x:f>
        <x:v>-0.23902738689030206</x:v>
      </x:c>
      <x:c r="V116" s="90" t="n">
        <x:f>IF(OR(U116="",U115=""),"",U116-U115)</x:f>
        <x:v>0.046919865087269086</x:v>
      </x:c>
      <x:c r="W116" s="90" t="n">
        <x:f>IF('Datos_fuente'!T116="","",ASINH('Datos_fuente'!T116/1000))</x:f>
        <x:v>0.16586838238457546</x:v>
      </x:c>
      <x:c r="X116" s="90" t="n">
        <x:f>IF(OR(W116="",W115=""),"",W116-W115)</x:f>
        <x:v>0.15551856716198087</x:v>
      </x:c>
      <x:c r="Y116" s="55" t="n">
        <x:f>'Datos_fuente'!W116</x:f>
        <x:v>4.388088161</x:v>
      </x:c>
      <x:c r="Z116" s="55" t="n">
        <x:f>IF(OR(Y116="",Y115=""),"",Y116-Y115)</x:f>
        <x:v>0.48385554499999994</x:v>
      </x:c>
      <x:c r="AA116" s="90" t="n">
        <x:f>'Datos_fuente'!AA116</x:f>
        <x:v>0.7119261065</x:v>
      </x:c>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t="str">
        <x:f>'Datos_fuente'!A117</x:f>
        <x:v>2015-03</x:v>
      </x:c>
      <x:c r="B117" s="90" t="n">
        <x:f>IF('Datos_fuente'!B117="","",LN('Datos_fuente'!B117))</x:f>
        <x:v>7.857620915615344</x:v>
      </x:c>
      <x:c r="C117" s="90" t="n">
        <x:f>IF(OR(B117="",B116=""),"",B117-B116)</x:f>
        <x:v>0.06582024250761442</x:v>
      </x:c>
      <x:c r="D117" s="90" t="n">
        <x:f>IF('Datos_fuente'!C117="","",LN('Datos_fuente'!C117))</x:f>
        <x:v>4.023304141471849</x:v>
      </x:c>
      <x:c r="E117" s="90" t="n">
        <x:f>IF(OR(D117="",D116=""),"",D117-D116)</x:f>
        <x:v>-0.03878406671858947</x:v>
      </x:c>
      <x:c r="F117" s="90" t="n">
        <x:f>IF('Datos_fuente'!E117="","",LN('Datos_fuente'!E117))</x:f>
        <x:v>8.347263339331239</x:v>
      </x:c>
      <x:c r="G117" s="90" t="n">
        <x:f>IF(OR(F117="",F116=""),"",F117-F116)</x:f>
        <x:v>0.02332000161507075</x:v>
      </x:c>
      <x:c r="H117" s="55" t="n">
        <x:f>'Datos_fuente'!H117</x:f>
        <x:v>4.39</x:v>
      </x:c>
      <x:c r="I117" s="55" t="n">
        <x:f>IF(OR(H117="",H116=""),"",H117-H116)</x:f>
        <x:v>0</x:v>
      </x:c>
      <x:c r="J117" s="55" t="n">
        <x:f>'Datos_fuente'!J117</x:f>
        <x:v>2.741533371</x:v>
      </x:c>
      <x:c r="K117" s="55" t="n">
        <x:f>IF(OR(J117="",J116=""),"",J117-J116)</x:f>
        <x:v>0.04149419200000004</x:v>
      </x:c>
      <x:c r="L117" s="90" t="n">
        <x:f>IF('Datos_fuente'!K117="","",LN('Datos_fuente'!K117))</x:f>
        <x:v>4.67623180507369</x:v>
      </x:c>
      <x:c r="M117" s="90" t="n">
        <x:f>IF(OR(L117="",L116=""),"",L117-L116)</x:f>
        <x:v>0.020667609383337116</x:v>
      </x:c>
      <x:c r="N117" s="90" t="n">
        <x:f>IF('Datos_fuente'!L117="","",LN('Datos_fuente'!L117))</x:f>
        <x:v>2.6954867619000082</x:v>
      </x:c>
      <x:c r="O117" s="90" t="n">
        <x:f>IF(OR(N117="",N116=""),"",N117-N116)</x:f>
        <x:v>-0.0710971254768964</x:v>
      </x:c>
      <x:c r="P117" s="88" t="n">
        <x:f>'Datos_fuente'!N117</x:f>
        <x:v>0</x:v>
      </x:c>
      <x:c r="Q117" s="90" t="n">
        <x:f>IF('Datos_fuente'!O117="","",LN('Datos_fuente'!O117))</x:f>
        <x:v>10.756063530549929</x:v>
      </x:c>
      <x:c r="R117" s="90" t="n">
        <x:f>IF(OR(Q117="",Q116=""),"",Q117-Q116)</x:f>
        <x:v>-0.003014404176637342</x:v>
      </x:c>
      <x:c r="S117" s="55" t="n">
        <x:f>'Datos_fuente'!R117</x:f>
        <x:v>5.275367965</x:v>
      </x:c>
      <x:c r="T117" s="55" t="n">
        <x:f>IF(OR(S117="",S116=""),"",S117-S116)</x:f>
        <x:v>0.22363112299999965</x:v>
      </x:c>
      <x:c r="U117" s="90" t="n">
        <x:f>IF('Datos_fuente'!S117="","",ASINH('Datos_fuente'!S117/1000))</x:f>
        <x:v>-0.26447595864430146</x:v>
      </x:c>
      <x:c r="V117" s="90" t="n">
        <x:f>IF(OR(U117="",U116=""),"",U117-U116)</x:f>
        <x:v>-0.025448571753999394</x:v>
      </x:c>
      <x:c r="W117" s="90" t="n">
        <x:f>IF('Datos_fuente'!T117="","",ASINH('Datos_fuente'!T117/1000))</x:f>
        <x:v>0.051087774252793296</x:v>
      </x:c>
      <x:c r="X117" s="90" t="n">
        <x:f>IF(OR(W117="",W116=""),"",W117-W116)</x:f>
        <x:v>-0.11478060813178217</x:v>
      </x:c>
      <x:c r="Y117" s="55" t="n">
        <x:f>'Datos_fuente'!W117</x:f>
        <x:v>4.629784475</x:v>
      </x:c>
      <x:c r="Z117" s="55" t="n">
        <x:f>IF(OR(Y117="",Y116=""),"",Y117-Y116)</x:f>
        <x:v>0.24169631400000036</x:v>
      </x:c>
      <x:c r="AA117" s="90" t="n">
        <x:f>'Datos_fuente'!AA117</x:f>
        <x:v>1.252769852</x:v>
      </x:c>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t="str">
        <x:f>'Datos_fuente'!A118</x:f>
        <x:v>2015-04</x:v>
      </x:c>
      <x:c r="B118" s="90" t="n">
        <x:f>IF('Datos_fuente'!B118="","",LN('Datos_fuente'!B118))</x:f>
        <x:v>7.826143010614599</x:v>
      </x:c>
      <x:c r="C118" s="90" t="n">
        <x:f>IF(OR(B118="",B117=""),"",B118-B117)</x:f>
        <x:v>-0.03147790500074521</x:v>
      </x:c>
      <x:c r="D118" s="90" t="n">
        <x:f>IF('Datos_fuente'!C118="","",LN('Datos_fuente'!C118))</x:f>
        <x:v>4.086384392468925</x:v>
      </x:c>
      <x:c r="E118" s="90" t="n">
        <x:f>IF(OR(D118="",D117=""),"",D118-D117)</x:f>
        <x:v>0.06308025099707582</x:v>
      </x:c>
      <x:c r="F118" s="90" t="n">
        <x:f>IF('Datos_fuente'!E118="","",LN('Datos_fuente'!E118))</x:f>
        <x:v>8.355720772958243</x:v>
      </x:c>
      <x:c r="G118" s="90" t="n">
        <x:f>IF(OR(F118="",F117=""),"",F118-F117)</x:f>
        <x:v>0.008457433627004463</x:v>
      </x:c>
      <x:c r="H118" s="55" t="n">
        <x:f>'Datos_fuente'!H118</x:f>
        <x:v>4.38</x:v>
      </x:c>
      <x:c r="I118" s="55" t="n">
        <x:f>IF(OR(H118="",H117=""),"",H118-H117)</x:f>
        <x:v>-0.009999999999999787</x:v>
      </x:c>
      <x:c r="J118" s="55" t="n">
        <x:f>'Datos_fuente'!J118</x:f>
        <x:v>2.775702112</x:v>
      </x:c>
      <x:c r="K118" s="55" t="n">
        <x:f>IF(OR(J118="",J117=""),"",J118-J117)</x:f>
        <x:v>0.03416874099999978</x:v>
      </x:c>
      <x:c r="L118" s="90" t="n">
        <x:f>IF('Datos_fuente'!K118="","",LN('Datos_fuente'!K118))</x:f>
        <x:v>4.6667569969873055</x:v>
      </x:c>
      <x:c r="M118" s="90" t="n">
        <x:f>IF(OR(L118="",L117=""),"",L118-L117)</x:f>
        <x:v>-0.009474808086384456</x:v>
      </x:c>
      <x:c r="N118" s="90" t="n">
        <x:f>IF('Datos_fuente'!L118="","",LN('Datos_fuente'!L118))</x:f>
        <x:v>2.6023016027426253</x:v>
      </x:c>
      <x:c r="O118" s="90" t="n">
        <x:f>IF(OR(N118="",N117=""),"",N118-N117)</x:f>
        <x:v>-0.0931851591573829</x:v>
      </x:c>
      <x:c r="P118" s="88" t="n">
        <x:f>'Datos_fuente'!N118</x:f>
        <x:v>0</x:v>
      </x:c>
      <x:c r="Q118" s="90" t="n">
        <x:f>IF('Datos_fuente'!O118="","",LN('Datos_fuente'!O118))</x:f>
        <x:v>10.761576762015839</x:v>
      </x:c>
      <x:c r="R118" s="90" t="n">
        <x:f>IF(OR(Q118="",Q117=""),"",Q118-Q117)</x:f>
        <x:v>0.005513231465910096</x:v>
      </x:c>
      <x:c r="S118" s="55" t="n">
        <x:f>'Datos_fuente'!R118</x:f>
        <x:v>5.273</x:v>
      </x:c>
      <x:c r="T118" s="55" t="n">
        <x:f>IF(OR(S118="",S117=""),"",S118-S117)</x:f>
        <x:v>-0.0023679650000003605</x:v>
      </x:c>
      <x:c r="U118" s="90" t="n">
        <x:f>IF('Datos_fuente'!S118="","",ASINH('Datos_fuente'!S118/1000))</x:f>
        <x:v>-0.3255110807398358</x:v>
      </x:c>
      <x:c r="V118" s="90" t="n">
        <x:f>IF(OR(U118="",U117=""),"",U118-U117)</x:f>
        <x:v>-0.061035122095534355</x:v>
      </x:c>
      <x:c r="W118" s="90" t="n">
        <x:f>IF('Datos_fuente'!T118="","",ASINH('Datos_fuente'!T118/1000))</x:f>
        <x:v>0.5635871584995228</x:v>
      </x:c>
      <x:c r="X118" s="90" t="n">
        <x:f>IF(OR(W118="",W117=""),"",W118-W117)</x:f>
        <x:v>0.5124993842467295</x:v>
      </x:c>
      <x:c r="Y118" s="55" t="n">
        <x:f>'Datos_fuente'!W118</x:f>
        <x:v>4.833483431</x:v>
      </x:c>
      <x:c r="Z118" s="55" t="n">
        <x:f>IF(OR(Y118="",Y117=""),"",Y118-Y117)</x:f>
        <x:v>0.2036989560000002</x:v>
      </x:c>
      <x:c r="AA118" s="90" t="n">
        <x:f>'Datos_fuente'!AA118</x:f>
        <x:v>-0.6781398962</x:v>
      </x:c>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t="str">
        <x:f>'Datos_fuente'!A119</x:f>
        <x:v>2015-05</x:v>
      </x:c>
      <x:c r="B119" s="90" t="n">
        <x:f>IF('Datos_fuente'!B119="","",LN('Datos_fuente'!B119))</x:f>
        <x:v>7.798742627793604</x:v>
      </x:c>
      <x:c r="C119" s="90" t="n">
        <x:f>IF(OR(B119="",B118=""),"",B119-B118)</x:f>
        <x:v>-0.02740038282099544</x:v>
      </x:c>
      <x:c r="D119" s="90" t="n">
        <x:f>IF('Datos_fuente'!C119="","",LN('Datos_fuente'!C119))</x:f>
        <x:v>4.160054272250135</x:v>
      </x:c>
      <x:c r="E119" s="90" t="n">
        <x:f>IF(OR(D119="",D118=""),"",D119-D118)</x:f>
        <x:v>0.07366987978121031</x:v>
      </x:c>
      <x:c r="F119" s="90" t="n">
        <x:f>IF('Datos_fuente'!E119="","",LN('Datos_fuente'!E119))</x:f>
        <x:v>8.362647100090822</x:v>
      </x:c>
      <x:c r="G119" s="90" t="n">
        <x:f>IF(OR(F119="",F118=""),"",F119-F118)</x:f>
        <x:v>0.006926327132578791</x:v>
      </x:c>
      <x:c r="H119" s="55" t="n">
        <x:f>'Datos_fuente'!H119</x:f>
        <x:v>4.38</x:v>
      </x:c>
      <x:c r="I119" s="55" t="n">
        <x:f>IF(OR(H119="",H118=""),"",H119-H118)</x:f>
        <x:v>0</x:v>
      </x:c>
      <x:c r="J119" s="55" t="n">
        <x:f>'Datos_fuente'!J119</x:f>
        <x:v>2.567352415</x:v>
      </x:c>
      <x:c r="K119" s="55" t="n">
        <x:f>IF(OR(J119="",J118=""),"",J119-J118)</x:f>
        <x:v>-0.2083496969999996</x:v>
      </x:c>
      <x:c r="L119" s="90" t="n">
        <x:f>IF('Datos_fuente'!K119="","",LN('Datos_fuente'!K119))</x:f>
        <x:v>4.657824446341182</x:v>
      </x:c>
      <x:c r="M119" s="90" t="n">
        <x:f>IF(OR(L119="",L118=""),"",L119-L118)</x:f>
        <x:v>-0.008932550646123083</x:v>
      </x:c>
      <x:c r="N119" s="90" t="n">
        <x:f>IF('Datos_fuente'!L119="","",LN('Datos_fuente'!L119))</x:f>
        <x:v>2.590654590387091</x:v>
      </x:c>
      <x:c r="O119" s="90" t="n">
        <x:f>IF(OR(N119="",N118=""),"",N119-N118)</x:f>
        <x:v>-0.011647012355534336</x:v>
      </x:c>
      <x:c r="P119" s="88" t="n">
        <x:f>'Datos_fuente'!N119</x:f>
        <x:v>0</x:v>
      </x:c>
      <x:c r="Q119" s="90" t="n">
        <x:f>IF('Datos_fuente'!O119="","",LN('Datos_fuente'!O119))</x:f>
        <x:v>10.758019256898946</x:v>
      </x:c>
      <x:c r="R119" s="90" t="n">
        <x:f>IF(OR(Q119="",Q118=""),"",Q119-Q118)</x:f>
        <x:v>-0.0035575051168930116</x:v>
      </x:c>
      <x:c r="S119" s="55" t="n">
        <x:f>'Datos_fuente'!R119</x:f>
        <x:v>5.154605263</x:v>
      </x:c>
      <x:c r="T119" s="55" t="n">
        <x:f>IF(OR(S119="",S118=""),"",S119-S118)</x:f>
        <x:v>-0.11839473700000003</x:v>
      </x:c>
      <x:c r="U119" s="90" t="n">
        <x:f>IF('Datos_fuente'!S119="","",ASINH('Datos_fuente'!S119/1000))</x:f>
        <x:v>-0.20023919189184525</x:v>
      </x:c>
      <x:c r="V119" s="90" t="n">
        <x:f>IF(OR(U119="",U118=""),"",U119-U118)</x:f>
        <x:v>0.12527188884799056</x:v>
      </x:c>
      <x:c r="W119" s="90" t="n">
        <x:f>IF('Datos_fuente'!T119="","",ASINH('Datos_fuente'!T119/1000))</x:f>
        <x:v>-0.10525554270396642</x:v>
      </x:c>
      <x:c r="X119" s="90" t="n">
        <x:f>IF(OR(W119="",W118=""),"",W119-W118)</x:f>
        <x:v>-0.6688427012034892</x:v>
      </x:c>
      <x:c r="Y119" s="55" t="n">
        <x:f>'Datos_fuente'!W119</x:f>
        <x:v>4.443219878</x:v>
      </x:c>
      <x:c r="Z119" s="55" t="n">
        <x:f>IF(OR(Y119="",Y118=""),"",Y119-Y118)</x:f>
        <x:v>-0.3902635530000005</x:v>
      </x:c>
      <x:c r="AA119" s="90" t="n">
        <x:f>'Datos_fuente'!AA119</x:f>
        <x:v>-0.1687206708</x:v>
      </x:c>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t="str">
        <x:f>'Datos_fuente'!A120</x:f>
        <x:v>2015-06</x:v>
      </x:c>
      <x:c r="B120" s="90" t="n">
        <x:f>IF('Datos_fuente'!B120="","",LN('Datos_fuente'!B120))</x:f>
        <x:v>7.848729908091612</x:v>
      </x:c>
      <x:c r="C120" s="90" t="n">
        <x:f>IF(OR(B120="",B119=""),"",B120-B119)</x:f>
        <x:v>0.049987280298008585</x:v>
      </x:c>
      <x:c r="D120" s="90" t="n">
        <x:f>IF('Datos_fuente'!C120="","",LN('Datos_fuente'!C120))</x:f>
        <x:v>4.118674951005968</x:v>
      </x:c>
      <x:c r="E120" s="90" t="n">
        <x:f>IF(OR(D120="",D119=""),"",D120-D119)</x:f>
        <x:v>-0.04137932124416732</x:v>
      </x:c>
      <x:c r="F120" s="90" t="n">
        <x:f>IF('Datos_fuente'!E120="","",LN('Datos_fuente'!E120))</x:f>
        <x:v>8.385399716309259</x:v>
      </x:c>
      <x:c r="G120" s="90" t="n">
        <x:f>IF(OR(F120="",F119=""),"",F120-F119)</x:f>
        <x:v>0.022752616218436827</x:v>
      </x:c>
      <x:c r="H120" s="55" t="n">
        <x:f>'Datos_fuente'!H120</x:f>
        <x:v>4.37</x:v>
      </x:c>
      <x:c r="I120" s="55" t="n">
        <x:f>IF(OR(H120="",H119=""),"",H120-H119)</x:f>
        <x:v>-0.009999999999999787</x:v>
      </x:c>
      <x:c r="J120" s="55" t="n">
        <x:f>'Datos_fuente'!J120</x:f>
        <x:v>2.664923762</x:v>
      </x:c>
      <x:c r="K120" s="55" t="n">
        <x:f>IF(OR(J120="",J119=""),"",J120-J119)</x:f>
        <x:v>0.0975713469999997</x:v>
      </x:c>
      <x:c r="L120" s="90" t="n">
        <x:f>IF('Datos_fuente'!K120="","",LN('Datos_fuente'!K120))</x:f>
        <x:v>4.665126221056091</x:v>
      </x:c>
      <x:c r="M120" s="90" t="n">
        <x:f>IF(OR(L120="",L119=""),"",L120-L119)</x:f>
        <x:v>0.007301774714908227</x:v>
      </x:c>
      <x:c r="N120" s="90" t="n">
        <x:f>IF('Datos_fuente'!L120="","",LN('Datos_fuente'!L120))</x:f>
        <x:v>2.6630211366216607</x:v>
      </x:c>
      <x:c r="O120" s="90" t="n">
        <x:f>IF(OR(N120="",N119=""),"",N120-N119)</x:f>
        <x:v>0.07236654623456973</x:v>
      </x:c>
      <x:c r="P120" s="88" t="n">
        <x:f>'Datos_fuente'!N120</x:f>
        <x:v>0</x:v>
      </x:c>
      <x:c r="Q120" s="90" t="n">
        <x:f>IF('Datos_fuente'!O120="","",LN('Datos_fuente'!O120))</x:f>
        <x:v>10.757387215845036</x:v>
      </x:c>
      <x:c r="R120" s="90" t="n">
        <x:f>IF(OR(Q120="",Q119=""),"",Q120-Q119)</x:f>
        <x:v>-0.0006320410539100152</x:v>
      </x:c>
      <x:c r="S120" s="55" t="n">
        <x:f>'Datos_fuente'!R120</x:f>
        <x:v>5.258995215</x:v>
      </x:c>
      <x:c r="T120" s="55" t="n">
        <x:f>IF(OR(S120="",S119=""),"",S120-S119)</x:f>
        <x:v>0.10438995200000001</x:v>
      </x:c>
      <x:c r="U120" s="90" t="n">
        <x:f>IF('Datos_fuente'!S120="","",ASINH('Datos_fuente'!S120/1000))</x:f>
        <x:v>-0.163461092978414</x:v>
      </x:c>
      <x:c r="V120" s="90" t="n">
        <x:f>IF(OR(U120="",U119=""),"",U120-U119)</x:f>
        <x:v>0.036778098913431256</x:v>
      </x:c>
      <x:c r="W120" s="90" t="n">
        <x:f>IF('Datos_fuente'!T120="","",ASINH('Datos_fuente'!T120/1000))</x:f>
        <x:v>0.16726890842847242</x:v>
      </x:c>
      <x:c r="X120" s="90" t="n">
        <x:f>IF(OR(W120="",W119=""),"",W120-W119)</x:f>
        <x:v>0.27252445113243884</x:v>
      </x:c>
      <x:c r="Y120" s="55" t="n">
        <x:f>'Datos_fuente'!W120</x:f>
        <x:v>4.287452911</x:v>
      </x:c>
      <x:c r="Z120" s="55" t="n">
        <x:f>IF(OR(Y120="",Y119=""),"",Y120-Y119)</x:f>
        <x:v>-0.15576696699999992</x:v>
      </x:c>
      <x:c r="AA120" s="90" t="n">
        <x:f>'Datos_fuente'!AA120</x:f>
        <x:v>0.7211464185</x:v>
      </x:c>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t="str">
        <x:f>'Datos_fuente'!A121</x:f>
        <x:v>2015-07</x:v>
      </x:c>
      <x:c r="B121" s="90" t="n">
        <x:f>IF('Datos_fuente'!B121="","",LN('Datos_fuente'!B121))</x:f>
        <x:v>7.912802326754137</x:v>
      </x:c>
      <x:c r="C121" s="90" t="n">
        <x:f>IF(OR(B121="",B120=""),"",B121-B120)</x:f>
        <x:v>0.06407241866252456</x:v>
      </x:c>
      <x:c r="D121" s="90" t="n">
        <x:f>IF('Datos_fuente'!C121="","",LN('Datos_fuente'!C121))</x:f>
        <x:v>4.035325082673187</x:v>
      </x:c>
      <x:c r="E121" s="90" t="n">
        <x:f>IF(OR(D121="",D120=""),"",D121-D120)</x:f>
        <x:v>-0.08334986833278091</x:v>
      </x:c>
      <x:c r="F121" s="90" t="n">
        <x:f>IF('Datos_fuente'!E121="","",LN('Datos_fuente'!E121))</x:f>
        <x:v>8.410745418241445</x:v>
      </x:c>
      <x:c r="G121" s="90" t="n">
        <x:f>IF(OR(F121="",F120=""),"",F121-F120)</x:f>
        <x:v>0.02534570193218677</x:v>
      </x:c>
      <x:c r="H121" s="55" t="n">
        <x:f>'Datos_fuente'!H121</x:f>
        <x:v>4.37</x:v>
      </x:c>
      <x:c r="I121" s="55" t="n">
        <x:f>IF(OR(H121="",H120=""),"",H121-H120)</x:f>
        <x:v>0</x:v>
      </x:c>
      <x:c r="J121" s="55" t="n">
        <x:f>'Datos_fuente'!J121</x:f>
        <x:v>2.717291316</x:v>
      </x:c>
      <x:c r="K121" s="55" t="n">
        <x:f>IF(OR(J121="",J120=""),"",J121-J120)</x:f>
        <x:v>0.05236755399999993</x:v>
      </x:c>
      <x:c r="L121" s="90" t="n">
        <x:f>IF('Datos_fuente'!K121="","",LN('Datos_fuente'!K121))</x:f>
        <x:v>4.683274723083441</x:v>
      </x:c>
      <x:c r="M121" s="90" t="n">
        <x:f>IF(OR(L121="",L120=""),"",L121-L120)</x:f>
        <x:v>0.01814850202735041</x:v>
      </x:c>
      <x:c r="N121" s="90" t="n">
        <x:f>IF('Datos_fuente'!L121="","",LN('Datos_fuente'!L121))</x:f>
        <x:v>2.6639399778062582</x:v>
      </x:c>
      <x:c r="O121" s="90" t="n">
        <x:f>IF(OR(N121="",N120=""),"",N121-N120)</x:f>
        <x:v>0.0009188411845975075</x:v>
      </x:c>
      <x:c r="P121" s="88" t="n">
        <x:f>'Datos_fuente'!N121</x:f>
        <x:v>0</x:v>
      </x:c>
      <x:c r="Q121" s="90" t="n">
        <x:f>IF('Datos_fuente'!O121="","",LN('Datos_fuente'!O121))</x:f>
        <x:v>10.754616635835797</x:v>
      </x:c>
      <x:c r="R121" s="90" t="n">
        <x:f>IF(OR(Q121="",Q120=""),"",Q121-Q120)</x:f>
        <x:v>-0.002770580009238799</x:v>
      </x:c>
      <x:c r="S121" s="55" t="n">
        <x:f>'Datos_fuente'!R121</x:f>
        <x:v>5.515909091</x:v>
      </x:c>
      <x:c r="T121" s="55" t="n">
        <x:f>IF(OR(S121="",S120=""),"",S121-S120)</x:f>
        <x:v>0.2569138760000005</x:v>
      </x:c>
      <x:c r="U121" s="90" t="n">
        <x:f>IF('Datos_fuente'!S121="","",ASINH('Datos_fuente'!S121/1000))</x:f>
        <x:v>-0.218780500203145</x:v>
      </x:c>
      <x:c r="V121" s="90" t="n">
        <x:f>IF(OR(U121="",U120=""),"",U121-U120)</x:f>
        <x:v>-0.055319407224731</x:v>
      </x:c>
      <x:c r="W121" s="90" t="n">
        <x:f>IF('Datos_fuente'!T121="","",ASINH('Datos_fuente'!T121/1000))</x:f>
        <x:v>-0.057797814849252976</x:v>
      </x:c>
      <x:c r="X121" s="90" t="n">
        <x:f>IF(OR(W121="",W120=""),"",W121-W120)</x:f>
        <x:v>-0.2250667232777254</x:v>
      </x:c>
      <x:c r="Y121" s="55" t="n">
        <x:f>'Datos_fuente'!W121</x:f>
        <x:v>4.284119196</x:v>
      </x:c>
      <x:c r="Z121" s="55" t="n">
        <x:f>IF(OR(Y121="",Y120=""),"",Y121-Y120)</x:f>
        <x:v>-0.003333715000000126</x:v>
      </x:c>
      <x:c r="AA121" s="90" t="n">
        <x:f>'Datos_fuente'!AA121</x:f>
        <x:v>0.9312664655</x:v>
      </x:c>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t="str">
        <x:f>'Datos_fuente'!A122</x:f>
        <x:v>2015-08</x:v>
      </x:c>
      <x:c r="B122" s="90" t="n">
        <x:f>IF('Datos_fuente'!B122="","",LN('Datos_fuente'!B122))</x:f>
        <x:v>8.010554596133062</x:v>
      </x:c>
      <x:c r="C122" s="90" t="n">
        <x:f>IF(OR(B122="",B121=""),"",B122-B121)</x:f>
        <x:v>0.09775226937892523</x:v>
      </x:c>
      <x:c r="D122" s="90" t="n">
        <x:f>IF('Datos_fuente'!C122="","",LN('Datos_fuente'!C122))</x:f>
        <x:v>3.839774841220522</x:v>
      </x:c>
      <x:c r="E122" s="90" t="n">
        <x:f>IF(OR(D122="",D121=""),"",D122-D121)</x:f>
        <x:v>-0.19555024145266486</x:v>
      </x:c>
      <x:c r="F122" s="90" t="n">
        <x:f>IF('Datos_fuente'!E122="","",LN('Datos_fuente'!E122))</x:f>
        <x:v>8.451480648050856</x:v>
      </x:c>
      <x:c r="G122" s="90" t="n">
        <x:f>IF(OR(F122="",F121=""),"",F122-F121)</x:f>
        <x:v>0.040735229809410356</x:v>
      </x:c>
      <x:c r="H122" s="55" t="n">
        <x:f>'Datos_fuente'!H122</x:f>
        <x:v>4.36</x:v>
      </x:c>
      <x:c r="I122" s="55" t="n">
        <x:f>IF(OR(H122="",H121=""),"",H122-H121)</x:f>
        <x:v>-0.009999999999999787</x:v>
      </x:c>
      <x:c r="J122" s="55" t="n">
        <x:f>'Datos_fuente'!J122</x:f>
        <x:v>2.536322549</x:v>
      </x:c>
      <x:c r="K122" s="55" t="n">
        <x:f>IF(OR(J122="",J121=""),"",J122-J121)</x:f>
        <x:v>-0.18096876699999997</x:v>
      </x:c>
      <x:c r="L122" s="90" t="n">
        <x:f>IF('Datos_fuente'!K122="","",LN('Datos_fuente'!K122))</x:f>
        <x:v>4.700268957992817</x:v>
      </x:c>
      <x:c r="M122" s="90" t="n">
        <x:f>IF(OR(L122="",L121=""),"",L122-L121)</x:f>
        <x:v>0.016994234909375905</x:v>
      </x:c>
      <x:c r="N122" s="90" t="n">
        <x:f>IF('Datos_fuente'!L122="","",LN('Datos_fuente'!L122))</x:f>
        <x:v>2.9667202266744885</x:v>
      </x:c>
      <x:c r="O122" s="90" t="n">
        <x:f>IF(OR(N122="",N121=""),"",N122-N121)</x:f>
        <x:v>0.3027802488682303</x:v>
      </x:c>
      <x:c r="P122" s="88" t="n">
        <x:f>'Datos_fuente'!N122</x:f>
        <x:v>0</x:v>
      </x:c>
      <x:c r="Q122" s="90" t="n">
        <x:f>IF('Datos_fuente'!O122="","",LN('Datos_fuente'!O122))</x:f>
        <x:v>10.751569676736628</x:v>
      </x:c>
      <x:c r="R122" s="90" t="n">
        <x:f>IF(OR(Q122="",Q121=""),"",Q122-Q121)</x:f>
        <x:v>-0.0030469590991692996</x:v>
      </x:c>
      <x:c r="S122" s="55" t="n">
        <x:f>'Datos_fuente'!R122</x:f>
        <x:v>5.891804511</x:v>
      </x:c>
      <x:c r="T122" s="55" t="n">
        <x:f>IF(OR(S122="",S121=""),"",S122-S121)</x:f>
        <x:v>0.37589542</x:v>
      </x:c>
      <x:c r="U122" s="90" t="n">
        <x:f>IF('Datos_fuente'!S122="","",ASINH('Datos_fuente'!S122/1000))</x:f>
        <x:v>-0.17052239253687132</x:v>
      </x:c>
      <x:c r="V122" s="90" t="n">
        <x:f>IF(OR(U122="",U121=""),"",U122-U121)</x:f>
        <x:v>0.04825810766627367</x:v>
      </x:c>
      <x:c r="W122" s="90" t="n">
        <x:f>IF('Datos_fuente'!T122="","",ASINH('Datos_fuente'!T122/1000))</x:f>
        <x:v>-0.1702168377614545</x:v>
      </x:c>
      <x:c r="X122" s="90" t="n">
        <x:f>IF(OR(W122="",W121=""),"",W122-W121)</x:f>
        <x:v>-0.11241902291220152</x:v>
      </x:c>
      <x:c r="Y122" s="55" t="n">
        <x:f>'Datos_fuente'!W122</x:f>
        <x:v>4.542405444</x:v>
      </x:c>
      <x:c r="Z122" s="55" t="n">
        <x:f>IF(OR(Y122="",Y121=""),"",Y122-Y121)</x:f>
        <x:v>0.2582862480000001</x:v>
      </x:c>
      <x:c r="AA122" s="90" t="n">
        <x:f>'Datos_fuente'!AA122</x:f>
        <x:v>1.825155624</x:v>
      </x:c>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t="str">
        <x:f>'Datos_fuente'!A123</x:f>
        <x:v>2015-09</x:v>
      </x:c>
      <x:c r="B123" s="90" t="n">
        <x:f>IF('Datos_fuente'!B123="","",LN('Datos_fuente'!B123))</x:f>
        <x:v>8.028262122985456</x:v>
      </x:c>
      <x:c r="C123" s="90" t="n">
        <x:f>IF(OR(B123="",B122=""),"",B123-B122)</x:f>
        <x:v>0.017707526852394295</x:v>
      </x:c>
      <x:c r="D123" s="90" t="n">
        <x:f>IF('Datos_fuente'!C123="","",LN('Datos_fuente'!C123))</x:f>
        <x:v>3.8633196557102307</x:v>
      </x:c>
      <x:c r="E123" s="90" t="n">
        <x:f>IF(OR(D123="",D122=""),"",D123-D122)</x:f>
        <x:v>0.0235448144897088</x:v>
      </x:c>
      <x:c r="F123" s="90" t="n">
        <x:f>IF('Datos_fuente'!E123="","",LN('Datos_fuente'!E123))</x:f>
        <x:v>8.474429730135125</x:v>
      </x:c>
      <x:c r="G123" s="90" t="n">
        <x:f>IF(OR(F123="",F122=""),"",F123-F122)</x:f>
        <x:v>0.022949082084268824</x:v>
      </x:c>
      <x:c r="H123" s="55" t="n">
        <x:f>'Datos_fuente'!H123</x:f>
        <x:v>4.385</x:v>
      </x:c>
      <x:c r="I123" s="55" t="n">
        <x:f>IF(OR(H123="",H122=""),"",H123-H122)</x:f>
        <x:v>0.024999999999999467</x:v>
      </x:c>
      <x:c r="J123" s="55" t="n">
        <x:f>'Datos_fuente'!J123</x:f>
        <x:v>2.766922547</x:v>
      </x:c>
      <x:c r="K123" s="55" t="n">
        <x:f>IF(OR(J123="",J122=""),"",J123-J122)</x:f>
        <x:v>0.2305999980000002</x:v>
      </x:c>
      <x:c r="L123" s="90" t="n">
        <x:f>IF('Datos_fuente'!K123="","",LN('Datos_fuente'!K123))</x:f>
        <x:v>4.70818927654831</x:v>
      </x:c>
      <x:c r="M123" s="90" t="n">
        <x:f>IF(OR(L123="",L122=""),"",L123-L122)</x:f>
        <x:v>0.007920318555493466</x:v>
      </x:c>
      <x:c r="N123" s="90" t="n">
        <x:f>IF('Datos_fuente'!L123="","",LN('Datos_fuente'!L123))</x:f>
        <x:v>3.1936459252249874</x:v>
      </x:c>
      <x:c r="O123" s="90" t="n">
        <x:f>IF(OR(N123="",N122=""),"",N123-N122)</x:f>
        <x:v>0.22692569855049882</x:v>
      </x:c>
      <x:c r="P123" s="88" t="n">
        <x:f>'Datos_fuente'!N123</x:f>
        <x:v>0</x:v>
      </x:c>
      <x:c r="Q123" s="90" t="n">
        <x:f>IF('Datos_fuente'!O123="","",LN('Datos_fuente'!O123))</x:f>
        <x:v>10.752063952386168</x:v>
      </x:c>
      <x:c r="R123" s="90" t="n">
        <x:f>IF(OR(Q123="",Q122=""),"",Q123-Q122)</x:f>
        <x:v>0.0004942756495402989</x:v>
      </x:c>
      <x:c r="S123" s="55" t="n">
        <x:f>'Datos_fuente'!R123</x:f>
        <x:v>6.418506494</x:v>
      </x:c>
      <x:c r="T123" s="55" t="n">
        <x:f>IF(OR(S123="",S122=""),"",S123-S122)</x:f>
        <x:v>0.5267019829999997</x:v>
      </x:c>
      <x:c r="U123" s="90" t="n">
        <x:f>IF('Datos_fuente'!S123="","",ASINH('Datos_fuente'!S123/1000))</x:f>
        <x:v>-0.2493384105333207</x:v>
      </x:c>
      <x:c r="V123" s="90" t="n">
        <x:f>IF(OR(U123="",U122=""),"",U123-U122)</x:f>
        <x:v>-0.07881601799644938</x:v>
      </x:c>
      <x:c r="W123" s="90" t="n">
        <x:f>IF('Datos_fuente'!T123="","",ASINH('Datos_fuente'!T123/1000))</x:f>
        <x:v>-0.05084808564389913</x:v>
      </x:c>
      <x:c r="X123" s="90" t="n">
        <x:f>IF(OR(W123="",W122=""),"",W123-W122)</x:f>
        <x:v>0.11936875211755536</x:v>
      </x:c>
      <x:c r="Y123" s="55" t="n">
        <x:f>'Datos_fuente'!W123</x:f>
        <x:v>5.376941844</x:v>
      </x:c>
      <x:c r="Z123" s="55" t="n">
        <x:f>IF(OR(Y123="",Y122=""),"",Y123-Y122)</x:f>
        <x:v>0.8345364000000002</x:v>
      </x:c>
      <x:c r="AA123" s="90" t="n">
        <x:f>'Datos_fuente'!AA123</x:f>
        <x:v>1.113319359</x:v>
      </x:c>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t="str">
        <x:f>'Datos_fuente'!A124</x:f>
        <x:v>2015-10</x:v>
      </x:c>
      <x:c r="B124" s="90" t="n">
        <x:f>IF('Datos_fuente'!B124="","",LN('Datos_fuente'!B124))</x:f>
        <x:v>7.982577569064598</x:v>
      </x:c>
      <x:c r="C124" s="90" t="n">
        <x:f>IF(OR(B124="",B123=""),"",B124-B123)</x:f>
        <x:v>-0.04568455392085813</x:v>
      </x:c>
      <x:c r="D124" s="90" t="n">
        <x:f>IF('Datos_fuente'!C124="","",LN('Datos_fuente'!C124))</x:f>
        <x:v>3.880119456415138</x:v>
      </x:c>
      <x:c r="E124" s="90" t="n">
        <x:f>IF(OR(D124="",D123=""),"",D124-D123)</x:f>
        <x:v>0.016799800704907053</x:v>
      </x:c>
      <x:c r="F124" s="90" t="n">
        <x:f>IF('Datos_fuente'!E124="","",LN('Datos_fuente'!E124))</x:f>
        <x:v>8.482636942714601</x:v>
      </x:c>
      <x:c r="G124" s="90" t="n">
        <x:f>IF(OR(F124="",F123=""),"",F124-F123)</x:f>
        <x:v>0.00820721257947632</x:v>
      </x:c>
      <x:c r="H124" s="55" t="n">
        <x:f>'Datos_fuente'!H124</x:f>
        <x:v>4.63</x:v>
      </x:c>
      <x:c r="I124" s="55" t="n">
        <x:f>IF(OR(H124="",H123=""),"",H124-H123)</x:f>
        <x:v>0.2450000000000001</x:v>
      </x:c>
      <x:c r="J124" s="55" t="n">
        <x:f>'Datos_fuente'!J124</x:f>
        <x:v>2.80153607</x:v>
      </x:c>
      <x:c r="K124" s="55" t="n">
        <x:f>IF(OR(J124="",J123=""),"",J124-J123)</x:f>
        <x:v>0.03461352299999998</x:v>
      </x:c>
      <x:c r="L124" s="90" t="n">
        <x:f>IF('Datos_fuente'!K124="","",LN('Datos_fuente'!K124))</x:f>
        <x:v>4.699603357696852</x:v>
      </x:c>
      <x:c r="M124" s="90" t="n">
        <x:f>IF(OR(L124="",L123=""),"",L124-L123)</x:f>
        <x:v>-0.008585918851458096</x:v>
      </x:c>
      <x:c r="N124" s="90" t="n">
        <x:f>IF('Datos_fuente'!L124="","",LN('Datos_fuente'!L124))</x:f>
        <x:v>2.8207563980606793</x:v>
      </x:c>
      <x:c r="O124" s="90" t="n">
        <x:f>IF(OR(N124="",N123=""),"",N124-N123)</x:f>
        <x:v>-0.372889527164308</x:v>
      </x:c>
      <x:c r="P124" s="88" t="n">
        <x:f>'Datos_fuente'!N124</x:f>
        <x:v>0</x:v>
      </x:c>
      <x:c r="Q124" s="90" t="n">
        <x:f>IF('Datos_fuente'!O124="","",LN('Datos_fuente'!O124))</x:f>
        <x:v>10.754200930539453</x:v>
      </x:c>
      <x:c r="R124" s="90" t="n">
        <x:f>IF(OR(Q124="",Q123=""),"",Q124-Q123)</x:f>
        <x:v>0.00213697815328473</x:v>
      </x:c>
      <x:c r="S124" s="55" t="n">
        <x:f>'Datos_fuente'!R124</x:f>
        <x:v>6.152857143</x:v>
      </x:c>
      <x:c r="T124" s="55" t="n">
        <x:f>IF(OR(S124="",S123=""),"",S124-S123)</x:f>
        <x:v>-0.26564935099999953</x:v>
      </x:c>
      <x:c r="U124" s="90" t="n">
        <x:f>IF('Datos_fuente'!S124="","",ASINH('Datos_fuente'!S124/1000))</x:f>
        <x:v>-0.3250838834410608</x:v>
      </x:c>
      <x:c r="V124" s="90" t="n">
        <x:f>IF(OR(U124="",U123=""),"",U124-U123)</x:f>
        <x:v>-0.07574547290774011</x:v>
      </x:c>
      <x:c r="W124" s="90" t="n">
        <x:f>IF('Datos_fuente'!T124="","",ASINH('Datos_fuente'!T124/1000))</x:f>
        <x:v>0.4039077192260707</x:v>
      </x:c>
      <x:c r="X124" s="90" t="n">
        <x:f>IF(OR(W124="",W123=""),"",W124-W123)</x:f>
        <x:v>0.45475580486996986</x:v>
      </x:c>
      <x:c r="Y124" s="55" t="n">
        <x:f>'Datos_fuente'!W124</x:f>
        <x:v>5.72180443</x:v>
      </x:c>
      <x:c r="Z124" s="55" t="n">
        <x:f>IF(OR(Y124="",Y123=""),"",Y124-Y123)</x:f>
        <x:v>0.34486258599999964</x:v>
      </x:c>
      <x:c r="AA124" s="90" t="n">
        <x:f>'Datos_fuente'!AA124</x:f>
        <x:v>-0.49477594</x:v>
      </x:c>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t="str">
        <x:f>'Datos_fuente'!A125</x:f>
        <x:v>2015-11</x:v>
      </x:c>
      <x:c r="B125" s="90" t="n">
        <x:f>IF('Datos_fuente'!B125="","",LN('Datos_fuente'!B125))</x:f>
        <x:v>8.006826240110616</x:v>
      </x:c>
      <x:c r="C125" s="90" t="n">
        <x:f>IF(OR(B125="",B124=""),"",B125-B124)</x:f>
        <x:v>0.02424867104601791</x:v>
      </x:c>
      <x:c r="D125" s="90" t="n">
        <x:f>IF('Datos_fuente'!C125="","",LN('Datos_fuente'!C125))</x:f>
        <x:v>3.7902534628265214</x:v>
      </x:c>
      <x:c r="E125" s="90" t="n">
        <x:f>IF(OR(D125="",D124=""),"",D125-D124)</x:f>
        <x:v>-0.08986599358861636</x:v>
      </x:c>
      <x:c r="F125" s="90" t="n">
        <x:f>IF('Datos_fuente'!E125="","",LN('Datos_fuente'!E125))</x:f>
        <x:v>8.498004255772809</x:v>
      </x:c>
      <x:c r="G125" s="90" t="n">
        <x:f>IF(OR(F125="",F124=""),"",F125-F124)</x:f>
        <x:v>0.015367313058208154</x:v>
      </x:c>
      <x:c r="H125" s="55" t="n">
        <x:f>'Datos_fuente'!H125</x:f>
        <x:v>5.105</x:v>
      </x:c>
      <x:c r="I125" s="55" t="n">
        <x:f>IF(OR(H125="",H124=""),"",H125-H124)</x:f>
        <x:v>0.47500000000000053</x:v>
      </x:c>
      <x:c r="J125" s="55" t="n">
        <x:f>'Datos_fuente'!J125</x:f>
        <x:v>2.981295634</x:v>
      </x:c>
      <x:c r="K125" s="55" t="n">
        <x:f>IF(OR(J125="",J124=""),"",J125-J124)</x:f>
        <x:v>0.17975956399999982</x:v>
      </x:c>
      <x:c r="L125" s="90" t="n">
        <x:f>IF('Datos_fuente'!K125="","",LN('Datos_fuente'!K125))</x:f>
        <x:v>4.715741595823833</x:v>
      </x:c>
      <x:c r="M125" s="90" t="n">
        <x:f>IF(OR(L125="",L124=""),"",L125-L124)</x:f>
        <x:v>0.016138238126981008</x:v>
      </x:c>
      <x:c r="N125" s="90" t="n">
        <x:f>IF('Datos_fuente'!L125="","",LN('Datos_fuente'!L125))</x:f>
        <x:v>2.785628335747585</x:v>
      </x:c>
      <x:c r="O125" s="90" t="n">
        <x:f>IF(OR(N125="",N124=""),"",N125-N124)</x:f>
        <x:v>-0.03512806231309451</x:v>
      </x:c>
      <x:c r="P125" s="88" t="n">
        <x:f>'Datos_fuente'!N125</x:f>
        <x:v>0</x:v>
      </x:c>
      <x:c r="Q125" s="90" t="n">
        <x:f>IF('Datos_fuente'!O125="","",LN('Datos_fuente'!O125))</x:f>
        <x:v>10.752735724115166</x:v>
      </x:c>
      <x:c r="R125" s="90" t="n">
        <x:f>IF(OR(Q125="",Q124=""),"",Q125-Q124)</x:f>
        <x:v>-0.0014652064242870466</x:v>
      </x:c>
      <x:c r="S125" s="55" t="n">
        <x:f>'Datos_fuente'!R125</x:f>
        <x:v>6.282105263</x:v>
      </x:c>
      <x:c r="T125" s="55" t="n">
        <x:f>IF(OR(S125="",S124=""),"",S125-S124)</x:f>
        <x:v>0.12924811999999974</x:v>
      </x:c>
      <x:c r="U125" s="90" t="n">
        <x:f>IF('Datos_fuente'!S125="","",ASINH('Datos_fuente'!S125/1000))</x:f>
        <x:v>-0.14622831602820874</x:v>
      </x:c>
      <x:c r="V125" s="90" t="n">
        <x:f>IF(OR(U125="",U124=""),"",U125-U124)</x:f>
        <x:v>0.17885556741285208</x:v>
      </x:c>
      <x:c r="W125" s="90" t="n">
        <x:f>IF('Datos_fuente'!T125="","",ASINH('Datos_fuente'!T125/1000))</x:f>
        <x:v>-0.15437608770468345</x:v>
      </x:c>
      <x:c r="X125" s="90" t="n">
        <x:f>IF(OR(W125="",W124=""),"",W125-W124)</x:f>
        <x:v>-0.5582838069307542</x:v>
      </x:c>
      <x:c r="Y125" s="55" t="n">
        <x:f>'Datos_fuente'!W125</x:f>
        <x:v>5.893339199</x:v>
      </x:c>
      <x:c r="Z125" s="55" t="n">
        <x:f>IF(OR(Y125="",Y124=""),"",Y125-Y124)</x:f>
        <x:v>0.17153476899999998</x:v>
      </x:c>
      <x:c r="AA125" s="90" t="n">
        <x:f>'Datos_fuente'!AA125</x:f>
        <x:v>0.09072250098</x:v>
      </x:c>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t="str">
        <x:f>'Datos_fuente'!A126</x:f>
        <x:v>2015-12</x:v>
      </x:c>
      <x:c r="B126" s="90" t="n">
        <x:f>IF('Datos_fuente'!B126="","",LN('Datos_fuente'!B126))</x:f>
        <x:v>8.084624562810884</x:v>
      </x:c>
      <x:c r="C126" s="90" t="n">
        <x:f>IF(OR(B126="",B125=""),"",B126-B125)</x:f>
        <x:v>0.07779832270026787</x:v>
      </x:c>
      <x:c r="D126" s="90" t="n">
        <x:f>IF('Datos_fuente'!C126="","",LN('Datos_fuente'!C126))</x:f>
        <x:v>3.637729690214866</x:v>
      </x:c>
      <x:c r="E126" s="90" t="n">
        <x:f>IF(OR(D126="",D125=""),"",D126-D125)</x:f>
        <x:v>-0.1525237726116555</x:v>
      </x:c>
      <x:c r="F126" s="90" t="n">
        <x:f>IF('Datos_fuente'!E126="","",LN('Datos_fuente'!E126))</x:f>
        <x:v>8.508636688733116</x:v>
      </x:c>
      <x:c r="G126" s="90" t="n">
        <x:f>IF(OR(F126="",F125=""),"",F126-F125)</x:f>
        <x:v>0.010632432960306915</x:v>
      </x:c>
      <x:c r="H126" s="55" t="n">
        <x:f>'Datos_fuente'!H126</x:f>
        <x:v>5.348709677</x:v>
      </x:c>
      <x:c r="I126" s="55" t="n">
        <x:f>IF(OR(H126="",H125=""),"",H126-H125)</x:f>
        <x:v>0.243709677</x:v>
      </x:c>
      <x:c r="J126" s="55" t="n">
        <x:f>'Datos_fuente'!J126</x:f>
        <x:v>3.015885516</x:v>
      </x:c>
      <x:c r="K126" s="55" t="n">
        <x:f>IF(OR(J126="",J125=""),"",J126-J125)</x:f>
        <x:v>0.03458988200000013</x:v>
      </x:c>
      <x:c r="L126" s="90" t="n">
        <x:f>IF('Datos_fuente'!K126="","",LN('Datos_fuente'!K126))</x:f>
        <x:v>4.72548992061249</x:v>
      </x:c>
      <x:c r="M126" s="90" t="n">
        <x:f>IF(OR(L126="",L125=""),"",L126-L125)</x:f>
        <x:v>0.009748324788656504</x:v>
      </x:c>
      <x:c r="N126" s="90" t="n">
        <x:f>IF('Datos_fuente'!L126="","",LN('Datos_fuente'!L126))</x:f>
        <x:v>2.8917849006061713</x:v>
      </x:c>
      <x:c r="O126" s="90" t="n">
        <x:f>IF(OR(N126="",N125=""),"",N126-N125)</x:f>
        <x:v>0.10615656485858649</x:v>
      </x:c>
      <x:c r="P126" s="88" t="n">
        <x:f>'Datos_fuente'!N126</x:f>
        <x:v>0</x:v>
      </x:c>
      <x:c r="Q126" s="90" t="n">
        <x:f>IF('Datos_fuente'!O126="","",LN('Datos_fuente'!O126))</x:f>
        <x:v>10.752165388889786</x:v>
      </x:c>
      <x:c r="R126" s="90" t="n">
        <x:f>IF(OR(Q126="",Q125=""),"",Q126-Q125)</x:f>
        <x:v>-0.0005703352253796368</x:v>
      </x:c>
      <x:c r="S126" s="55" t="n">
        <x:f>'Datos_fuente'!R126</x:f>
        <x:v>6.630272727</x:v>
      </x:c>
      <x:c r="T126" s="55" t="n">
        <x:f>IF(OR(S126="",S125=""),"",S126-S125)</x:f>
        <x:v>0.3481674640000003</x:v>
      </x:c>
      <x:c r="U126" s="90" t="n">
        <x:f>IF('Datos_fuente'!S126="","",ASINH('Datos_fuente'!S126/1000))</x:f>
        <x:v>-0.249561435580671</x:v>
      </x:c>
      <x:c r="V126" s="90" t="n">
        <x:f>IF(OR(U126="",U125=""),"",U126-U125)</x:f>
        <x:v>-0.10333311955246227</x:v>
      </x:c>
      <x:c r="W126" s="90" t="n">
        <x:f>IF('Datos_fuente'!T126="","",ASINH('Datos_fuente'!T126/1000))</x:f>
        <x:v>-0.03149479301215018</x:v>
      </x:c>
      <x:c r="X126" s="90" t="n">
        <x:f>IF(OR(W126="",W125=""),"",W126-W125)</x:f>
        <x:v>0.12288129469253327</x:v>
      </x:c>
      <x:c r="Y126" s="55" t="n">
        <x:f>'Datos_fuente'!W126</x:f>
        <x:v>6.036576976</x:v>
      </x:c>
      <x:c r="Z126" s="55" t="n">
        <x:f>IF(OR(Y126="",Y125=""),"",Y126-Y125)</x:f>
        <x:v>0.1432377770000004</x:v>
      </x:c>
      <x:c r="AA126" s="90" t="n">
        <x:f>'Datos_fuente'!AA126</x:f>
        <x:v>0.4270484975</x:v>
      </x:c>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t="str">
        <x:f>'Datos_fuente'!A127</x:f>
        <x:v>2016-01</x:v>
      </x:c>
      <x:c r="B127" s="90" t="n">
        <x:f>IF('Datos_fuente'!B127="","",LN('Datos_fuente'!B127))</x:f>
        <x:v>8.092604944373381</x:v>
      </x:c>
      <x:c r="C127" s="90" t="n">
        <x:f>IF(OR(B127="",B126=""),"",B127-B126)</x:f>
        <x:v>0.00798038156249703</x:v>
      </x:c>
      <x:c r="D127" s="90" t="n">
        <x:f>IF('Datos_fuente'!C127="","",LN('Datos_fuente'!C127))</x:f>
        <x:v>3.4242463678155715</x:v>
      </x:c>
      <x:c r="E127" s="90" t="n">
        <x:f>IF(OR(D127="",D126=""),"",D127-D126)</x:f>
        <x:v>-0.21348332239929446</x:v>
      </x:c>
      <x:c r="F127" s="90" t="n">
        <x:f>IF('Datos_fuente'!E127="","",LN('Datos_fuente'!E127))</x:f>
        <x:v>8.520724947417415</x:v>
      </x:c>
      <x:c r="G127" s="90" t="n">
        <x:f>IF(OR(F127="",F126=""),"",F127-F126)</x:f>
        <x:v>0.012088258684299191</x:v>
      </x:c>
      <x:c r="H127" s="55" t="n">
        <x:f>'Datos_fuente'!H127</x:f>
        <x:v>5.41</x:v>
      </x:c>
      <x:c r="I127" s="55" t="n">
        <x:f>IF(OR(H127="",H126=""),"",H127-H126)</x:f>
        <x:v>0.0612903229999997</x:v>
      </x:c>
      <x:c r="J127" s="55" t="n">
        <x:f>'Datos_fuente'!J127</x:f>
        <x:v>3.113369713</x:v>
      </x:c>
      <x:c r="K127" s="55" t="n">
        <x:f>IF(OR(J127="",J126=""),"",J127-J126)</x:f>
        <x:v>0.097484197</x:v>
      </x:c>
      <x:c r="L127" s="90" t="n">
        <x:f>IF('Datos_fuente'!K127="","",LN('Datos_fuente'!K127))</x:f>
        <x:v>4.7469682063229195</x:v>
      </x:c>
      <x:c r="M127" s="90" t="n">
        <x:f>IF(OR(L127="",L126=""),"",L127-L126)</x:f>
        <x:v>0.021478285710429645</x:v>
      </x:c>
      <x:c r="N127" s="90" t="n">
        <x:f>IF('Datos_fuente'!L127="","",LN('Datos_fuente'!L127))</x:f>
        <x:v>3.166229815553162</x:v>
      </x:c>
      <x:c r="O127" s="90" t="n">
        <x:f>IF(OR(N127="",N126=""),"",N127-N126)</x:f>
        <x:v>0.2744449149469905</x:v>
      </x:c>
      <x:c r="P127" s="88" t="n">
        <x:f>'Datos_fuente'!N127</x:f>
        <x:v>0</x:v>
      </x:c>
      <x:c r="Q127" s="90" t="n">
        <x:f>IF('Datos_fuente'!O127="","",LN('Datos_fuente'!O127))</x:f>
        <x:v>10.752233435461056</x:v>
      </x:c>
      <x:c r="R127" s="90" t="n">
        <x:f>IF(OR(Q127="",Q126=""),"",Q127-Q126)</x:f>
        <x:v>0.00006804657127013058</x:v>
      </x:c>
      <x:c r="S127" s="55" t="n">
        <x:f>'Datos_fuente'!R127</x:f>
        <x:v>7.072105263</x:v>
      </x:c>
      <x:c r="T127" s="55" t="n">
        <x:f>IF(OR(S127="",S126=""),"",S127-S126)</x:f>
        <x:v>0.4418325359999997</x:v>
      </x:c>
      <x:c r="U127" s="90" t="n">
        <x:f>IF('Datos_fuente'!S127="","",ASINH('Datos_fuente'!S127/1000))</x:f>
        <x:v>-0.15707331658677168</x:v>
      </x:c>
      <x:c r="V127" s="90" t="n">
        <x:f>IF(OR(U127="",U126=""),"",U127-U126)</x:f>
        <x:v>0.09248811899389933</x:v>
      </x:c>
      <x:c r="W127" s="90" t="n">
        <x:f>IF('Datos_fuente'!T127="","",ASINH('Datos_fuente'!T127/1000))</x:f>
        <x:v>0.036641800104690765</x:v>
      </x:c>
      <x:c r="X127" s="90" t="n">
        <x:f>IF(OR(W127="",W126=""),"",W127-W126)</x:f>
        <x:v>0.06813659311684095</x:v>
      </x:c>
      <x:c r="Y127" s="55" t="n">
        <x:f>'Datos_fuente'!W127</x:f>
        <x:v>6.084744511</x:v>
      </x:c>
      <x:c r="Z127" s="55" t="n">
        <x:f>IF(OR(Y127="",Y126=""),"",Y127-Y126)</x:f>
        <x:v>0.04816753500000015</x:v>
      </x:c>
      <x:c r="AA127" s="90" t="n">
        <x:f>'Datos_fuente'!AA127</x:f>
        <x:v>1.249890468</x:v>
      </x:c>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t="str">
        <x:f>'Datos_fuente'!A128</x:f>
        <x:v>2016-02</x:v>
      </x:c>
      <x:c r="B128" s="90" t="n">
        <x:f>IF('Datos_fuente'!B128="","",LN('Datos_fuente'!B128))</x:f>
        <x:v>8.118194201931301</x:v>
      </x:c>
      <x:c r="C128" s="90" t="n">
        <x:f>IF(OR(B128="",B127=""),"",B128-B127)</x:f>
        <x:v>0.025589257557919964</x:v>
      </x:c>
      <x:c r="D128" s="90" t="n">
        <x:f>IF('Datos_fuente'!C128="","",LN('Datos_fuente'!C128))</x:f>
        <x:v>3.4713917532808773</x:v>
      </x:c>
      <x:c r="E128" s="90" t="n">
        <x:f>IF(OR(D128="",D127=""),"",D128-D127)</x:f>
        <x:v>0.04714538546530589</x:v>
      </x:c>
      <x:c r="F128" s="90" t="n">
        <x:f>IF('Datos_fuente'!E128="","",LN('Datos_fuente'!E128))</x:f>
        <x:v>8.53839679766726</x:v>
      </x:c>
      <x:c r="G128" s="90" t="n">
        <x:f>IF(OR(F128="",F127=""),"",F128-F127)</x:f>
        <x:v>0.017671850249845633</x:v>
      </x:c>
      <x:c r="H128" s="55" t="n">
        <x:f>'Datos_fuente'!H128</x:f>
        <x:v>5.688965517</x:v>
      </x:c>
      <x:c r="I128" s="55" t="n">
        <x:f>IF(OR(H128="",H127=""),"",H128-H127)</x:f>
        <x:v>0.2789655169999996</x:v>
      </x:c>
      <x:c r="J128" s="55" t="n">
        <x:f>'Datos_fuente'!J128</x:f>
        <x:v>3.414282317</x:v>
      </x:c>
      <x:c r="K128" s="55" t="n">
        <x:f>IF(OR(J128="",J127=""),"",J128-J127)</x:f>
        <x:v>0.3009126040000001</x:v>
      </x:c>
      <x:c r="L128" s="90" t="n">
        <x:f>IF('Datos_fuente'!K128="","",LN('Datos_fuente'!K128))</x:f>
        <x:v>4.738666759256427</x:v>
      </x:c>
      <x:c r="M128" s="90" t="n">
        <x:f>IF(OR(L128="",L127=""),"",L128-L127)</x:f>
        <x:v>-0.008301447066492607</x:v>
      </x:c>
      <x:c r="N128" s="90" t="n">
        <x:f>IF('Datos_fuente'!L128="","",LN('Datos_fuente'!L128))</x:f>
        <x:v>3.114270579477523</x:v>
      </x:c>
      <x:c r="O128" s="90" t="n">
        <x:f>IF(OR(N128="",N127=""),"",N128-N127)</x:f>
        <x:v>-0.05195923607563868</x:v>
      </x:c>
      <x:c r="P128" s="88" t="n">
        <x:f>'Datos_fuente'!N128</x:f>
        <x:v>0</x:v>
      </x:c>
      <x:c r="Q128" s="90" t="n">
        <x:f>IF('Datos_fuente'!O128="","",LN('Datos_fuente'!O128))</x:f>
        <x:v>10.754693267304322</x:v>
      </x:c>
      <x:c r="R128" s="90" t="n">
        <x:f>IF(OR(Q128="",Q127=""),"",Q128-Q127)</x:f>
        <x:v>0.002459831843266258</x:v>
      </x:c>
      <x:c r="S128" s="55" t="n">
        <x:f>'Datos_fuente'!R128</x:f>
        <x:v>7.57002381</x:v>
      </x:c>
      <x:c r="T128" s="55" t="n">
        <x:f>IF(OR(S128="",S127=""),"",S128-S127)</x:f>
        <x:v>0.49791854700000027</x:v>
      </x:c>
      <x:c r="U128" s="90" t="n">
        <x:f>IF('Datos_fuente'!S128="","",ASINH('Datos_fuente'!S128/1000))</x:f>
        <x:v>-0.14703957867922526</x:v>
      </x:c>
      <x:c r="V128" s="90" t="n">
        <x:f>IF(OR(U128="",U127=""),"",U128-U127)</x:f>
        <x:v>0.010033737907546414</x:v>
      </x:c>
      <x:c r="W128" s="90" t="n">
        <x:f>IF('Datos_fuente'!T128="","",ASINH('Datos_fuente'!T128/1000))</x:f>
        <x:v>0.05432327789090474</x:v>
      </x:c>
      <x:c r="X128" s="90" t="n">
        <x:f>IF(OR(W128="",W127=""),"",W128-W127)</x:f>
        <x:v>0.017681477786213977</x:v>
      </x:c>
      <x:c r="Y128" s="55" t="n">
        <x:f>'Datos_fuente'!W128</x:f>
        <x:v>6.569146385</x:v>
      </x:c>
      <x:c r="Z128" s="55" t="n">
        <x:f>IF(OR(Y128="",Y127=""),"",Y128-Y127)</x:f>
        <x:v>0.48440187399999957</x:v>
      </x:c>
      <x:c r="AA128" s="90" t="n">
        <x:f>'Datos_fuente'!AA128</x:f>
        <x:v>-0.3337051692</x:v>
      </x:c>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t="str">
        <x:f>'Datos_fuente'!A129</x:f>
        <x:v>2016-03</x:v>
      </x:c>
      <x:c r="B129" s="90" t="n">
        <x:f>IF('Datos_fuente'!B129="","",LN('Datos_fuente'!B129))</x:f>
        <x:v>8.048401317937845</x:v>
      </x:c>
      <x:c r="C129" s="90" t="n">
        <x:f>IF(OR(B129="",B128=""),"",B129-B128)</x:f>
        <x:v>-0.06979288399345585</x:v>
      </x:c>
      <x:c r="D129" s="90" t="n">
        <x:f>IF('Datos_fuente'!C129="","",LN('Datos_fuente'!C129))</x:f>
        <x:v>3.643109157488548</x:v>
      </x:c>
      <x:c r="E129" s="90" t="n">
        <x:f>IF(OR(D129="",D128=""),"",D129-D128)</x:f>
        <x:v>0.17171740420767057</x:v>
      </x:c>
      <x:c r="F129" s="90" t="n">
        <x:f>IF('Datos_fuente'!E129="","",LN('Datos_fuente'!E129))</x:f>
        <x:v>8.534264641460576</x:v>
      </x:c>
      <x:c r="G129" s="90" t="n">
        <x:f>IF(OR(F129="",F128=""),"",F129-F128)</x:f>
        <x:v>-0.004132156206685167</x:v>
      </x:c>
      <x:c r="H129" s="55" t="n">
        <x:f>'Datos_fuente'!H129</x:f>
        <x:v>5.970645161</x:v>
      </x:c>
      <x:c r="I129" s="55" t="n">
        <x:f>IF(OR(H129="",H128=""),"",H129-H128)</x:f>
        <x:v>0.28167964400000045</x:v>
      </x:c>
      <x:c r="J129" s="55" t="n">
        <x:f>'Datos_fuente'!J129</x:f>
        <x:v>3.253348464</x:v>
      </x:c>
      <x:c r="K129" s="55" t="n">
        <x:f>IF(OR(J129="",J128=""),"",J129-J128)</x:f>
        <x:v>-0.16093385299999996</x:v>
      </x:c>
      <x:c r="L129" s="90" t="n">
        <x:f>IF('Datos_fuente'!K129="","",LN('Datos_fuente'!K129))</x:f>
        <x:v>4.717546554592596</x:v>
      </x:c>
      <x:c r="M129" s="90" t="n">
        <x:f>IF(OR(L129="",L128=""),"",L129-L128)</x:f>
        <x:v>-0.021120204663830577</x:v>
      </x:c>
      <x:c r="N129" s="90" t="n">
        <x:f>IF('Datos_fuente'!L129="","",LN('Datos_fuente'!L129))</x:f>
        <x:v>2.7631121428424184</x:v>
      </x:c>
      <x:c r="O129" s="90" t="n">
        <x:f>IF(OR(N129="",N128=""),"",N129-N128)</x:f>
        <x:v>-0.3511584366351048</x:v>
      </x:c>
      <x:c r="P129" s="88" t="n">
        <x:f>'Datos_fuente'!N129</x:f>
        <x:v>0</x:v>
      </x:c>
      <x:c r="Q129" s="90" t="n">
        <x:f>IF('Datos_fuente'!O129="","",LN('Datos_fuente'!O129))</x:f>
        <x:v>10.762677845360352</x:v>
      </x:c>
      <x:c r="R129" s="90" t="n">
        <x:f>IF(OR(Q129="",Q128=""),"",Q129-Q128)</x:f>
        <x:v>0.007984578056030145</x:v>
      </x:c>
      <x:c r="S129" s="55" t="n">
        <x:f>'Datos_fuente'!R129</x:f>
        <x:v>6.802409091</x:v>
      </x:c>
      <x:c r="T129" s="55" t="n">
        <x:f>IF(OR(S129="",S128=""),"",S129-S128)</x:f>
        <x:v>-0.767614719</x:v>
      </x:c>
      <x:c r="U129" s="90" t="n">
        <x:f>IF('Datos_fuente'!S129="","",ASINH('Datos_fuente'!S129/1000))</x:f>
        <x:v>-0.25601415406155076</x:v>
      </x:c>
      <x:c r="V129" s="90" t="n">
        <x:f>IF(OR(U129="",U128=""),"",U129-U128)</x:f>
        <x:v>-0.1089745753823255</x:v>
      </x:c>
      <x:c r="W129" s="90" t="n">
        <x:f>IF('Datos_fuente'!T129="","",ASINH('Datos_fuente'!T129/1000))</x:f>
        <x:v>0.5247881219704461</x:v>
      </x:c>
      <x:c r="X129" s="90" t="n">
        <x:f>IF(OR(W129="",W128=""),"",W129-W128)</x:f>
        <x:v>0.47046484407954137</x:v>
      </x:c>
      <x:c r="Y129" s="55" t="n">
        <x:f>'Datos_fuente'!W129</x:f>
        <x:v>7.116676331</x:v>
      </x:c>
      <x:c r="Z129" s="55" t="n">
        <x:f>IF(OR(Y129="",Y128=""),"",Y129-Y128)</x:f>
        <x:v>0.547529946</x:v>
      </x:c>
      <x:c r="AA129" s="90" t="n">
        <x:f>'Datos_fuente'!AA129</x:f>
        <x:v>-1.695845552</x:v>
      </x:c>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t="str">
        <x:f>'Datos_fuente'!A130</x:f>
        <x:v>2016-04</x:v>
      </x:c>
      <x:c r="B130" s="90" t="n">
        <x:f>IF('Datos_fuente'!B130="","",LN('Datos_fuente'!B130))</x:f>
        <x:v>8.005609613809128</x:v>
      </x:c>
      <x:c r="C130" s="90" t="n">
        <x:f>IF(OR(B130="",B129=""),"",B130-B129)</x:f>
        <x:v>-0.042791704128717356</x:v>
      </x:c>
      <x:c r="D130" s="90" t="n">
        <x:f>IF('Datos_fuente'!C130="","",LN('Datos_fuente'!C130))</x:f>
        <x:v>3.727699445883358</x:v>
      </x:c>
      <x:c r="E130" s="90" t="n">
        <x:f>IF(OR(D130="",D129=""),"",D130-D129)</x:f>
        <x:v>0.0845902883948102</x:v>
      </x:c>
      <x:c r="F130" s="90" t="n">
        <x:f>IF('Datos_fuente'!E130="","",LN('Datos_fuente'!E130))</x:f>
        <x:v>8.543443614379953</x:v>
      </x:c>
      <x:c r="G130" s="90" t="n">
        <x:f>IF(OR(F130="",F129=""),"",F130-F129)</x:f>
        <x:v>0.009178972919377415</x:v>
      </x:c>
      <x:c r="H130" s="55" t="n">
        <x:f>'Datos_fuente'!H130</x:f>
        <x:v>6.13</x:v>
      </x:c>
      <x:c r="I130" s="55" t="n">
        <x:f>IF(OR(H130="",H129=""),"",H130-H129)</x:f>
        <x:v>0.1593548389999997</x:v>
      </x:c>
      <x:c r="J130" s="55" t="n">
        <x:f>'Datos_fuente'!J130</x:f>
        <x:v>3.567805895</x:v>
      </x:c>
      <x:c r="K130" s="55" t="n">
        <x:f>IF(OR(J130="",J129=""),"",J130-J129)</x:f>
        <x:v>0.3144574309999997</x:v>
      </x:c>
      <x:c r="L130" s="90" t="n">
        <x:f>IF('Datos_fuente'!K130="","",LN('Datos_fuente'!K130))</x:f>
        <x:v>4.7006355919260345</x:v>
      </x:c>
      <x:c r="M130" s="90" t="n">
        <x:f>IF(OR(L130="",L129=""),"",L130-L129)</x:f>
        <x:v>-0.01691096266656178</x:v>
      </x:c>
      <x:c r="N130" s="90" t="n">
        <x:f>IF('Datos_fuente'!L130="","",LN('Datos_fuente'!L130))</x:f>
        <x:v>2.6602928367114287</x:v>
      </x:c>
      <x:c r="O130" s="90" t="n">
        <x:f>IF(OR(N130="",N129=""),"",N130-N129)</x:f>
        <x:v>-0.10281930613098966</x:v>
      </x:c>
      <x:c r="P130" s="88" t="n">
        <x:f>'Datos_fuente'!N130</x:f>
        <x:v>0</x:v>
      </x:c>
      <x:c r="Q130" s="90" t="n">
        <x:f>IF('Datos_fuente'!O130="","",LN('Datos_fuente'!O130))</x:f>
        <x:v>10.764116514745382</x:v>
      </x:c>
      <x:c r="R130" s="90" t="n">
        <x:f>IF(OR(Q130="",Q129=""),"",Q130-Q129)</x:f>
        <x:v>0.0014386693850294563</x:v>
      </x:c>
      <x:c r="S130" s="55" t="n">
        <x:f>'Datos_fuente'!R130</x:f>
        <x:v>6.464761905</x:v>
      </x:c>
      <x:c r="T130" s="55" t="n">
        <x:f>IF(OR(S130="",S129=""),"",S130-S129)</x:f>
        <x:v>-0.33764718600000077</x:v>
      </x:c>
      <x:c r="U130" s="90" t="n">
        <x:f>IF('Datos_fuente'!S130="","",ASINH('Datos_fuente'!S130/1000))</x:f>
        <x:v>-0.16107260765438527</x:v>
      </x:c>
      <x:c r="V130" s="90" t="n">
        <x:f>IF(OR(U130="",U129=""),"",U130-U129)</x:f>
        <x:v>0.09494154640716548</x:v>
      </x:c>
      <x:c r="W130" s="90" t="n">
        <x:f>IF('Datos_fuente'!T130="","",ASINH('Datos_fuente'!T130/1000))</x:f>
        <x:v>0.11776758736653216</x:v>
      </x:c>
      <x:c r="X130" s="90" t="n">
        <x:f>IF(OR(W130="",W129=""),"",W130-W129)</x:f>
        <x:v>-0.40702053460391396</x:v>
      </x:c>
      <x:c r="Y130" s="55" t="n">
        <x:f>'Datos_fuente'!W130</x:f>
        <x:v>6.80186249</x:v>
      </x:c>
      <x:c r="Z130" s="55" t="n">
        <x:f>IF(OR(Y130="",Y129=""),"",Y130-Y129)</x:f>
        <x:v>-0.31481384099999943</x:v>
      </x:c>
      <x:c r="AA130" s="90" t="n">
        <x:f>'Datos_fuente'!AA130</x:f>
        <x:v>-0.7525010312</x:v>
      </x:c>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t="str">
        <x:f>'Datos_fuente'!A131</x:f>
        <x:v>2016-05</x:v>
      </x:c>
      <x:c r="B131" s="90" t="n">
        <x:f>IF('Datos_fuente'!B131="","",LN('Datos_fuente'!B131))</x:f>
        <x:v>8.00420135209858</x:v>
      </x:c>
      <x:c r="C131" s="90" t="n">
        <x:f>IF(OR(B131="",B130=""),"",B131-B130)</x:f>
        <x:v>-0.0014082617105479756</x:v>
      </x:c>
      <x:c r="D131" s="90" t="n">
        <x:f>IF('Datos_fuente'!C131="","",LN('Datos_fuente'!C131))</x:f>
        <x:v>3.844651268121386</x:v>
      </x:c>
      <x:c r="E131" s="90" t="n">
        <x:f>IF(OR(D131="",D130=""),"",D131-D130)</x:f>
        <x:v>0.11695182223802769</x:v>
      </x:c>
      <x:c r="F131" s="90" t="n">
        <x:f>IF('Datos_fuente'!E131="","",LN('Datos_fuente'!E131))</x:f>
        <x:v>8.557144406918464</x:v>
      </x:c>
      <x:c r="G131" s="90" t="n">
        <x:f>IF(OR(F131="",F130=""),"",F131-F130)</x:f>
        <x:v>0.013700792538511308</x:v>
      </x:c>
      <x:c r="H131" s="55" t="n">
        <x:f>'Datos_fuente'!H131</x:f>
        <x:v>6.621935484</x:v>
      </x:c>
      <x:c r="I131" s="55" t="n">
        <x:f>IF(OR(H131="",H130=""),"",H131-H130)</x:f>
        <x:v>0.49193548399999987</x:v>
      </x:c>
      <x:c r="J131" s="55" t="n">
        <x:f>'Datos_fuente'!J131</x:f>
        <x:v>3.634494068</x:v>
      </x:c>
      <x:c r="K131" s="55" t="n">
        <x:f>IF(OR(J131="",J130=""),"",J131-J130)</x:f>
        <x:v>0.06668817300000018</x:v>
      </x:c>
      <x:c r="L131" s="90" t="n">
        <x:f>IF('Datos_fuente'!K131="","",LN('Datos_fuente'!K131))</x:f>
        <x:v>4.7107952953379195</x:v>
      </x:c>
      <x:c r="M131" s="90" t="n">
        <x:f>IF(OR(L131="",L130=""),"",L131-L130)</x:f>
        <x:v>0.01015970341188499</x:v>
      </x:c>
      <x:c r="N131" s="90" t="n">
        <x:f>IF('Datos_fuente'!L131="","",LN('Datos_fuente'!L131))</x:f>
        <x:v>2.6981922467422024</x:v>
      </x:c>
      <x:c r="O131" s="90" t="n">
        <x:f>IF(OR(N131="",N130=""),"",N131-N130)</x:f>
        <x:v>0.037899410030773684</x:v>
      </x:c>
      <x:c r="P131" s="88" t="n">
        <x:f>'Datos_fuente'!N131</x:f>
        <x:v>0</x:v>
      </x:c>
      <x:c r="Q131" s="90" t="n">
        <x:f>IF('Datos_fuente'!O131="","",LN('Datos_fuente'!O131))</x:f>
        <x:v>10.769168125053907</x:v>
      </x:c>
      <x:c r="R131" s="90" t="n">
        <x:f>IF(OR(Q131="",Q130=""),"",Q131-Q130)</x:f>
        <x:v>0.005051610308525412</x:v>
      </x:c>
      <x:c r="S131" s="55" t="n">
        <x:f>'Datos_fuente'!R131</x:f>
        <x:v>6.388309524</x:v>
      </x:c>
      <x:c r="T131" s="55" t="n">
        <x:f>IF(OR(S131="",S130=""),"",S131-S130)</x:f>
        <x:v>-0.07645238099999929</x:v>
      </x:c>
      <x:c r="U131" s="90" t="n">
        <x:f>IF('Datos_fuente'!S131="","",ASINH('Datos_fuente'!S131/1000))</x:f>
        <x:v>0.00974984553004534</x:v>
      </x:c>
      <x:c r="V131" s="90" t="n">
        <x:f>IF(OR(U131="",U130=""),"",U131-U130)</x:f>
        <x:v>0.17082245318443062</x:v>
      </x:c>
      <x:c r="W131" s="90" t="n">
        <x:f>IF('Datos_fuente'!T131="","",ASINH('Datos_fuente'!T131/1000))</x:f>
        <x:v>-0.12843659450901052</x:v>
      </x:c>
      <x:c r="X131" s="90" t="n">
        <x:f>IF(OR(W131="",W130=""),"",W131-W130)</x:f>
        <x:v>-0.24620418187554266</x:v>
      </x:c>
      <x:c r="Y131" s="55" t="n">
        <x:f>'Datos_fuente'!W131</x:f>
        <x:v>7.180865416</x:v>
      </x:c>
      <x:c r="Z131" s="55" t="n">
        <x:f>IF(OR(Y131="",Y130=""),"",Y131-Y130)</x:f>
        <x:v>0.3790029259999992</x:v>
      </x:c>
      <x:c r="AA131" s="90" t="n">
        <x:f>'Datos_fuente'!AA131</x:f>
        <x:v>0.5034172842</x:v>
      </x:c>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t="str">
        <x:f>'Datos_fuente'!A132</x:f>
        <x:v>2016-06</x:v>
      </x:c>
      <x:c r="B132" s="90" t="n">
        <x:f>IF('Datos_fuente'!B132="","",LN('Datos_fuente'!B132))</x:f>
        <x:v>8.003984285554983</x:v>
      </x:c>
      <x:c r="C132" s="90" t="n">
        <x:f>IF(OR(B132="",B131=""),"",B132-B131)</x:f>
        <x:v>-0.00021706654359654465</x:v>
      </x:c>
      <x:c r="D132" s="90" t="n">
        <x:f>IF('Datos_fuente'!C132="","",LN('Datos_fuente'!C132))</x:f>
        <x:v>3.876339302456899</x:v>
      </x:c>
      <x:c r="E132" s="90" t="n">
        <x:f>IF(OR(D132="",D131=""),"",D132-D131)</x:f>
        <x:v>0.03168803433551304</x:v>
      </x:c>
      <x:c r="F132" s="90" t="n">
        <x:f>IF('Datos_fuente'!E132="","",LN('Datos_fuente'!E132))</x:f>
        <x:v>8.558550082853627</x:v>
      </x:c>
      <x:c r="G132" s="90" t="n">
        <x:f>IF(OR(F132="",F131=""),"",F132-F131)</x:f>
        <x:v>0.001405675935162165</x:v>
      </x:c>
      <x:c r="H132" s="55" t="n">
        <x:f>'Datos_fuente'!H132</x:f>
        <x:v>6.936666667</x:v>
      </x:c>
      <x:c r="I132" s="55" t="n">
        <x:f>IF(OR(H132="",H131=""),"",H132-H131)</x:f>
        <x:v>0.31473118300000014</x:v>
      </x:c>
      <x:c r="J132" s="55" t="n">
        <x:f>'Datos_fuente'!J132</x:f>
        <x:v>3.589465567</x:v>
      </x:c>
      <x:c r="K132" s="55" t="n">
        <x:f>IF(OR(J132="",J131=""),"",J132-J131)</x:f>
        <x:v>-0.045028501</x:v>
      </x:c>
      <x:c r="L132" s="90" t="n">
        <x:f>IF('Datos_fuente'!K132="","",LN('Datos_fuente'!K132))</x:f>
        <x:v>4.7145592219505525</x:v>
      </x:c>
      <x:c r="M132" s="90" t="n">
        <x:f>IF(OR(L132="",L131=""),"",L132-L131)</x:f>
        <x:v>0.0037639266126330284</x:v>
      </x:c>
      <x:c r="N132" s="90" t="n">
        <x:f>IF('Datos_fuente'!L132="","",LN('Datos_fuente'!L132))</x:f>
        <x:v>2.877767402929132</x:v>
      </x:c>
      <x:c r="O132" s="90" t="n">
        <x:f>IF(OR(N132="",N131=""),"",N132-N131)</x:f>
        <x:v>0.17957515618692943</x:v>
      </x:c>
      <x:c r="P132" s="88" t="n">
        <x:f>'Datos_fuente'!N132</x:f>
        <x:v>0</x:v>
      </x:c>
      <x:c r="Q132" s="90" t="n">
        <x:f>IF('Datos_fuente'!O132="","",LN('Datos_fuente'!O132))</x:f>
        <x:v>10.758436355390538</x:v>
      </x:c>
      <x:c r="R132" s="90" t="n">
        <x:f>IF(OR(Q132="",Q131=""),"",Q132-Q131)</x:f>
        <x:v>-0.010731769663369306</x:v>
      </x:c>
      <x:c r="S132" s="55" t="n">
        <x:f>'Datos_fuente'!R132</x:f>
        <x:v>6.329242424</x:v>
      </x:c>
      <x:c r="T132" s="55" t="n">
        <x:f>IF(OR(S132="",S131=""),"",S132-S131)</x:f>
        <x:v>-0.05906710000000004</x:v>
      </x:c>
      <x:c r="U132" s="90" t="n">
        <x:f>IF('Datos_fuente'!S132="","",ASINH('Datos_fuente'!S132/1000))</x:f>
        <x:v>-0.15125262986570517</x:v>
      </x:c>
      <x:c r="V132" s="90" t="n">
        <x:f>IF(OR(U132="",U131=""),"",U132-U131)</x:f>
        <x:v>-0.16100247539575052</x:v>
      </x:c>
      <x:c r="W132" s="90" t="n">
        <x:f>IF('Datos_fuente'!T132="","",ASINH('Datos_fuente'!T132/1000))</x:f>
        <x:v>-0.41275022191421973</x:v>
      </x:c>
      <x:c r="X132" s="90" t="n">
        <x:f>IF(OR(W132="",W131=""),"",W132-W131)</x:f>
        <x:v>-0.2843136274052092</x:v>
      </x:c>
      <x:c r="Y132" s="55" t="n">
        <x:f>'Datos_fuente'!W132</x:f>
        <x:v>7.604950234</x:v>
      </x:c>
      <x:c r="Z132" s="55" t="n">
        <x:f>IF(OR(Y132="",Y131=""),"",Y132-Y131)</x:f>
        <x:v>0.42408481800000075</x:v>
      </x:c>
      <x:c r="AA132" s="90" t="n">
        <x:f>'Datos_fuente'!AA132</x:f>
        <x:v>-0.1583088956</x:v>
      </x:c>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t="str">
        <x:f>'Datos_fuente'!A133</x:f>
        <x:v>2016-07</x:v>
      </x:c>
      <x:c r="B133" s="90" t="n">
        <x:f>IF('Datos_fuente'!B133="","",LN('Datos_fuente'!B133))</x:f>
        <x:v>7.993282219016817</x:v>
      </x:c>
      <x:c r="C133" s="90" t="n">
        <x:f>IF(OR(B133="",B132=""),"",B133-B132)</x:f>
        <x:v>-0.0107020665381663</x:v>
      </x:c>
      <x:c r="D133" s="90" t="n">
        <x:f>IF('Datos_fuente'!C133="","",LN('Datos_fuente'!C133))</x:f>
        <x:v>3.8055931351032566</x:v>
      </x:c>
      <x:c r="E133" s="90" t="n">
        <x:f>IF(OR(D133="",D132=""),"",D133-D132)</x:f>
        <x:v>-0.07074616735364225</x:v>
      </x:c>
      <x:c r="F133" s="90" t="n">
        <x:f>IF('Datos_fuente'!E133="","",LN('Datos_fuente'!E133))</x:f>
        <x:v>8.547146090748603</x:v>
      </x:c>
      <x:c r="G133" s="90" t="n">
        <x:f>IF(OR(F133="",F132=""),"",F133-F132)</x:f>
        <x:v>-0.01140399210502352</x:v>
      </x:c>
      <x:c r="H133" s="55" t="n">
        <x:f>'Datos_fuente'!H133</x:f>
        <x:v>7.11</x:v>
      </x:c>
      <x:c r="I133" s="55" t="n">
        <x:f>IF(OR(H133="",H132=""),"",H133-H132)</x:f>
        <x:v>0.17333333300000042</x:v>
      </x:c>
      <x:c r="J133" s="55" t="n">
        <x:f>'Datos_fuente'!J133</x:f>
        <x:v>3.980406075</x:v>
      </x:c>
      <x:c r="K133" s="55" t="n">
        <x:f>IF(OR(J133="",J132=""),"",J133-J132)</x:f>
        <x:v>0.3909405079999999</x:v>
      </x:c>
      <x:c r="L133" s="90" t="n">
        <x:f>IF('Datos_fuente'!K133="","",LN('Datos_fuente'!K133))</x:f>
        <x:v>4.72275133459999</x:v>
      </x:c>
      <x:c r="M133" s="90" t="n">
        <x:f>IF(OR(L133="",L132=""),"",L133-L132)</x:f>
        <x:v>0.008192112649437533</x:v>
      </x:c>
      <x:c r="N133" s="90" t="n">
        <x:f>IF('Datos_fuente'!L133="","",LN('Datos_fuente'!L133))</x:f>
        <x:v>2.5770679376378385</x:v>
      </x:c>
      <x:c r="O133" s="90" t="n">
        <x:f>IF(OR(N133="",N132=""),"",N133-N132)</x:f>
        <x:v>-0.3006994652912933</x:v>
      </x:c>
      <x:c r="P133" s="88" t="n">
        <x:f>'Datos_fuente'!N133</x:f>
        <x:v>0</x:v>
      </x:c>
      <x:c r="Q133" s="90" t="n">
        <x:f>IF('Datos_fuente'!O133="","",LN('Datos_fuente'!O133))</x:f>
        <x:v>10.759841213676422</x:v>
      </x:c>
      <x:c r="R133" s="90" t="n">
        <x:f>IF(OR(Q133="",Q132=""),"",Q133-Q132)</x:f>
        <x:v>0.001404858285884103</x:v>
      </x:c>
      <x:c r="S133" s="55" t="n">
        <x:f>'Datos_fuente'!R133</x:f>
        <x:v>6.096526316</x:v>
      </x:c>
      <x:c r="T133" s="55" t="n">
        <x:f>IF(OR(S133="",S132=""),"",S133-S132)</x:f>
        <x:v>-0.23271610799999998</x:v>
      </x:c>
      <x:c r="U133" s="90" t="n">
        <x:f>IF('Datos_fuente'!S133="","",ASINH('Datos_fuente'!S133/1000))</x:f>
        <x:v>-0.04348629285609957</x:v>
      </x:c>
      <x:c r="V133" s="90" t="n">
        <x:f>IF(OR(U133="",U132=""),"",U133-U132)</x:f>
        <x:v>0.10776633700960561</x:v>
      </x:c>
      <x:c r="W133" s="90" t="n">
        <x:f>IF('Datos_fuente'!T133="","",ASINH('Datos_fuente'!T133/1000))</x:f>
        <x:v>-0.030315356379283523</x:v>
      </x:c>
      <x:c r="X133" s="90" t="n">
        <x:f>IF(OR(W133="",W132=""),"",W133-W132)</x:f>
        <x:v>0.3824348655349362</x:v>
      </x:c>
      <x:c r="Y133" s="55" t="n">
        <x:f>'Datos_fuente'!W133</x:f>
        <x:v>8.133854453</x:v>
      </x:c>
      <x:c r="Z133" s="55" t="n">
        <x:f>IF(OR(Y133="",Y132=""),"",Y133-Y132)</x:f>
        <x:v>0.5289042189999993</x:v>
      </x:c>
      <x:c r="AA133" s="90" t="n">
        <x:f>'Datos_fuente'!AA133</x:f>
        <x:v>-0.9606139338</x:v>
      </x:c>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t="str">
        <x:f>'Datos_fuente'!A134</x:f>
        <x:v>2016-08</x:v>
      </x:c>
      <x:c r="B134" s="90" t="n">
        <x:f>IF('Datos_fuente'!B134="","",LN('Datos_fuente'!B134))</x:f>
        <x:v>7.990497899281849</x:v>
      </x:c>
      <x:c r="C134" s="90" t="n">
        <x:f>IF(OR(B134="",B133=""),"",B134-B133)</x:f>
        <x:v>-0.002784319734967511</x:v>
      </x:c>
      <x:c r="D134" s="90" t="n">
        <x:f>IF('Datos_fuente'!C134="","",LN('Datos_fuente'!C134))</x:f>
        <x:v>3.8252234637452878</x:v>
      </x:c>
      <x:c r="E134" s="90" t="n">
        <x:f>IF(OR(D134="",D133=""),"",D134-D133)</x:f>
        <x:v>0.01963032864203118</x:v>
      </x:c>
      <x:c r="F134" s="90" t="n">
        <x:f>IF('Datos_fuente'!E134="","",LN('Datos_fuente'!E134))</x:f>
        <x:v>8.53760151759275</x:v>
      </x:c>
      <x:c r="G134" s="90" t="n">
        <x:f>IF(OR(F134="",F133=""),"",F134-F133)</x:f>
        <x:v>-0.009544573155853442</x:v>
      </x:c>
      <x:c r="H134" s="55" t="n">
        <x:f>'Datos_fuente'!H134</x:f>
        <x:v>7.35</x:v>
      </x:c>
      <x:c r="I134" s="55" t="n">
        <x:f>IF(OR(H134="",H133=""),"",H134-H133)</x:f>
        <x:v>0.23999999999999932</x:v>
      </x:c>
      <x:c r="J134" s="55" t="n">
        <x:f>'Datos_fuente'!J134</x:f>
        <x:v>4.258203268</x:v>
      </x:c>
      <x:c r="K134" s="55" t="n">
        <x:f>IF(OR(J134="",J133=""),"",J134-J133)</x:f>
        <x:v>0.27779719300000005</x:v>
      </x:c>
      <x:c r="L134" s="90" t="n">
        <x:f>IF('Datos_fuente'!K134="","",LN('Datos_fuente'!K134))</x:f>
        <x:v>4.7134716990701975</x:v>
      </x:c>
      <x:c r="M134" s="90" t="n">
        <x:f>IF(OR(L134="",L133=""),"",L134-L133)</x:f>
        <x:v>-0.009279635529792607</x:v>
      </x:c>
      <x:c r="N134" s="90" t="n">
        <x:f>IF('Datos_fuente'!L134="","",LN('Datos_fuente'!L134))</x:f>
        <x:v>2.5176614090930474</x:v>
      </x:c>
      <x:c r="O134" s="90" t="n">
        <x:f>IF(OR(N134="",N133=""),"",N134-N133)</x:f>
        <x:v>-0.059406528544791115</x:v>
      </x:c>
      <x:c r="P134" s="88" t="n">
        <x:f>'Datos_fuente'!N134</x:f>
        <x:v>0</x:v>
      </x:c>
      <x:c r="Q134" s="90" t="n">
        <x:f>IF('Datos_fuente'!O134="","",LN('Datos_fuente'!O134))</x:f>
        <x:v>10.758679812844786</x:v>
      </x:c>
      <x:c r="R134" s="90" t="n">
        <x:f>IF(OR(Q134="",Q133=""),"",Q134-Q133)</x:f>
        <x:v>-0.0011614008316360724</x:v>
      </x:c>
      <x:c r="S134" s="55" t="n">
        <x:f>'Datos_fuente'!R134</x:f>
        <x:v>5.939387352</x:v>
      </x:c>
      <x:c r="T134" s="55" t="n">
        <x:f>IF(OR(S134="",S133=""),"",S134-S133)</x:f>
        <x:v>-0.1571389640000005</x:v>
      </x:c>
      <x:c r="U134" s="90" t="n">
        <x:f>IF('Datos_fuente'!S134="","",ASINH('Datos_fuente'!S134/1000))</x:f>
        <x:v>-0.2284185216269964</x:v>
      </x:c>
      <x:c r="V134" s="90" t="n">
        <x:f>IF(OR(U134="",U133=""),"",U134-U133)</x:f>
        <x:v>-0.18493222877089685</x:v>
      </x:c>
      <x:c r="W134" s="90" t="n">
        <x:f>IF('Datos_fuente'!T134="","",ASINH('Datos_fuente'!T134/1000))</x:f>
        <x:v>0.024627510435083447</x:v>
      </x:c>
      <x:c r="X134" s="90" t="n">
        <x:f>IF(OR(W134="",W133=""),"",W134-W133)</x:f>
        <x:v>0.05494286681436697</x:v>
      </x:c>
      <x:c r="Y134" s="55" t="n">
        <x:f>'Datos_fuente'!W134</x:f>
        <x:v>7.039247204</x:v>
      </x:c>
      <x:c r="Z134" s="55" t="n">
        <x:f>IF(OR(Y134="",Y133=""),"",Y134-Y133)</x:f>
        <x:v>-1.094607249</x:v>
      </x:c>
      <x:c r="AA134" s="90" t="n">
        <x:f>'Datos_fuente'!AA134</x:f>
        <x:v>-0.3097098478</x:v>
      </x:c>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t="str">
        <x:f>'Datos_fuente'!A135</x:f>
        <x:v>2016-09</x:v>
      </x:c>
      <x:c r="B135" s="90" t="n">
        <x:f>IF('Datos_fuente'!B135="","",LN('Datos_fuente'!B135))</x:f>
        <x:v>7.980798559912812</x:v>
      </x:c>
      <x:c r="C135" s="90" t="n">
        <x:f>IF(OR(B135="",B134=""),"",B135-B134)</x:f>
        <x:v>-0.009699339369037219</x:v>
      </x:c>
      <x:c r="D135" s="90" t="n">
        <x:f>IF('Datos_fuente'!C135="","",LN('Datos_fuente'!C135))</x:f>
        <x:v>3.84090775335548</x:v>
      </x:c>
      <x:c r="E135" s="90" t="n">
        <x:f>IF(OR(D135="",D134=""),"",D135-D134)</x:f>
        <x:v>0.01568428961019208</x:v>
      </x:c>
      <x:c r="F135" s="90" t="n">
        <x:f>IF('Datos_fuente'!E135="","",LN('Datos_fuente'!E135))</x:f>
        <x:v>8.530024516731402</x:v>
      </x:c>
      <x:c r="G135" s="90" t="n">
        <x:f>IF(OR(F135="",F134=""),"",F135-F134)</x:f>
        <x:v>-0.007577000861347827</x:v>
      </x:c>
      <x:c r="H135" s="55" t="n">
        <x:f>'Datos_fuente'!H135</x:f>
        <x:v>7.35</x:v>
      </x:c>
      <x:c r="I135" s="55" t="n">
        <x:f>IF(OR(H135="",H134=""),"",H135-H134)</x:f>
        <x:v>0</x:v>
      </x:c>
      <x:c r="J135" s="55" t="n">
        <x:f>'Datos_fuente'!J135</x:f>
        <x:v>4.409383572</x:v>
      </x:c>
      <x:c r="K135" s="55" t="n">
        <x:f>IF(OR(J135="",J134=""),"",J135-J134)</x:f>
        <x:v>0.15118030400000038</x:v>
      </x:c>
      <x:c r="L135" s="90" t="n">
        <x:f>IF('Datos_fuente'!K135="","",LN('Datos_fuente'!K135))</x:f>
        <x:v>4.7213240009627</x:v>
      </x:c>
      <x:c r="M135" s="90" t="n">
        <x:f>IF(OR(L135="",L134=""),"",L135-L134)</x:f>
        <x:v>0.007852301892502744</x:v>
      </x:c>
      <x:c r="N135" s="90" t="n">
        <x:f>IF('Datos_fuente'!L135="","",LN('Datos_fuente'!L135))</x:f>
        <x:v>2.654615936472609</x:v>
      </x:c>
      <x:c r="O135" s="90" t="n">
        <x:f>IF(OR(N135="",N134=""),"",N135-N134)</x:f>
        <x:v>0.1369545273795616</x:v>
      </x:c>
      <x:c r="P135" s="88" t="n">
        <x:f>'Datos_fuente'!N135</x:f>
        <x:v>0</x:v>
      </x:c>
      <x:c r="Q135" s="90" t="n">
        <x:f>IF('Datos_fuente'!O135="","",LN('Datos_fuente'!O135))</x:f>
        <x:v>10.760156721861657</x:v>
      </x:c>
      <x:c r="R135" s="90" t="n">
        <x:f>IF(OR(Q135="",Q134=""),"",Q135-Q134)</x:f>
        <x:v>0.0014769090168709198</x:v>
      </x:c>
      <x:c r="S135" s="55" t="n">
        <x:f>'Datos_fuente'!R135</x:f>
        <x:v>5.526796537</x:v>
      </x:c>
      <x:c r="T135" s="55" t="n">
        <x:f>IF(OR(S135="",S134=""),"",S135-S134)</x:f>
        <x:v>-0.4125908149999997</x:v>
      </x:c>
      <x:c r="U135" s="90" t="n">
        <x:f>IF('Datos_fuente'!S135="","",ASINH('Datos_fuente'!S135/1000))</x:f>
        <x:v>-0.14322977646909046</x:v>
      </x:c>
      <x:c r="V135" s="90" t="n">
        <x:f>IF(OR(U135="",U134=""),"",U135-U134)</x:f>
        <x:v>0.08518874515790595</x:v>
      </x:c>
      <x:c r="W135" s="90" t="n">
        <x:f>IF('Datos_fuente'!T135="","",ASINH('Datos_fuente'!T135/1000))</x:f>
        <x:v>-0.11787682824400514</x:v>
      </x:c>
      <x:c r="X135" s="90" t="n">
        <x:f>IF(OR(W135="",W134=""),"",W135-W134)</x:f>
        <x:v>-0.14250433867908857</x:v>
      </x:c>
      <x:c r="Y135" s="55" t="n">
        <x:f>'Datos_fuente'!W135</x:f>
        <x:v>5.817151646</x:v>
      </x:c>
      <x:c r="Z135" s="55" t="n">
        <x:f>IF(OR(Y135="",Y134=""),"",Y135-Y134)</x:f>
        <x:v>-1.2220955579999995</x:v>
      </x:c>
      <x:c r="AA135" s="90" t="n">
        <x:f>'Datos_fuente'!AA135</x:f>
        <x:v>0.589903467</x:v>
      </x:c>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t="str">
        <x:f>'Datos_fuente'!A136</x:f>
        <x:v>2016-10</x:v>
      </x:c>
      <x:c r="B136" s="90" t="n">
        <x:f>IF('Datos_fuente'!B136="","",LN('Datos_fuente'!B136))</x:f>
        <x:v>7.982549048845238</x:v>
      </x:c>
      <x:c r="C136" s="90" t="n">
        <x:f>IF(OR(B136="",B135=""),"",B136-B135)</x:f>
        <x:v>0.0017504889324255757</x:v>
      </x:c>
      <x:c r="D136" s="90" t="n">
        <x:f>IF('Datos_fuente'!C136="","",LN('Datos_fuente'!C136))</x:f>
        <x:v>3.9024247077940126</x:v>
      </x:c>
      <x:c r="E136" s="90" t="n">
        <x:f>IF(OR(D136="",D135=""),"",D136-D135)</x:f>
        <x:v>0.06151695443853278</x:v>
      </x:c>
      <x:c r="F136" s="90" t="n">
        <x:f>IF('Datos_fuente'!E136="","",LN('Datos_fuente'!E136))</x:f>
        <x:v>8.536654584027895</x:v>
      </x:c>
      <x:c r="G136" s="90" t="n">
        <x:f>IF(OR(F136="",F135=""),"",F136-F135)</x:f>
        <x:v>0.006630067296493181</x:v>
      </x:c>
      <x:c r="H136" s="55" t="n">
        <x:f>'Datos_fuente'!H136</x:f>
        <x:v>7.35</x:v>
      </x:c>
      <x:c r="I136" s="55" t="n">
        <x:f>IF(OR(H136="",H135=""),"",H136-H135)</x:f>
        <x:v>0</x:v>
      </x:c>
      <x:c r="J136" s="55" t="n">
        <x:f>'Datos_fuente'!J136</x:f>
        <x:v>4.517448165</x:v>
      </x:c>
      <x:c r="K136" s="55" t="n">
        <x:f>IF(OR(J136="",J135=""),"",J136-J135)</x:f>
        <x:v>0.10806459299999993</x:v>
      </x:c>
      <x:c r="L136" s="90" t="n">
        <x:f>IF('Datos_fuente'!K136="","",LN('Datos_fuente'!K136))</x:f>
        <x:v>4.731579860522217</x:v>
      </x:c>
      <x:c r="M136" s="90" t="n">
        <x:f>IF(OR(L136="",L135=""),"",L136-L135)</x:f>
        <x:v>0.0102558595595168</x:v>
      </x:c>
      <x:c r="N136" s="90" t="n">
        <x:f>IF('Datos_fuente'!L136="","",LN('Datos_fuente'!L136))</x:f>
        <x:v>2.680009928177863</x:v>
      </x:c>
      <x:c r="O136" s="90" t="n">
        <x:f>IF(OR(N136="",N135=""),"",N136-N135)</x:f>
        <x:v>0.025393991705254138</x:v>
      </x:c>
      <x:c r="P136" s="88" t="n">
        <x:f>'Datos_fuente'!N136</x:f>
        <x:v>0</x:v>
      </x:c>
      <x:c r="Q136" s="90" t="n">
        <x:f>IF('Datos_fuente'!O136="","",LN('Datos_fuente'!O136))</x:f>
        <x:v>10.757187305580446</x:v>
      </x:c>
      <x:c r="R136" s="90" t="n">
        <x:f>IF(OR(Q136="",Q135=""),"",Q136-Q135)</x:f>
        <x:v>-0.002969416281210613</x:v>
      </x:c>
      <x:c r="S136" s="55" t="n">
        <x:f>'Datos_fuente'!R136</x:f>
        <x:v>5.4675</x:v>
      </x:c>
      <x:c r="T136" s="55" t="n">
        <x:f>IF(OR(S136="",S135=""),"",S136-S135)</x:f>
        <x:v>-0.059296536999999816</x:v>
      </x:c>
      <x:c r="U136" s="90" t="n">
        <x:f>IF('Datos_fuente'!S136="","",ASINH('Datos_fuente'!S136/1000))</x:f>
        <x:v>-0.005359974335222435</x:v>
      </x:c>
      <x:c r="V136" s="90" t="n">
        <x:f>IF(OR(U136="",U135=""),"",U136-U135)</x:f>
        <x:v>0.13786980213386804</x:v>
      </x:c>
      <x:c r="W136" s="90" t="n">
        <x:f>IF('Datos_fuente'!T136="","",ASINH('Datos_fuente'!T136/1000))</x:f>
        <x:v>-0.4569057412338848</x:v>
      </x:c>
      <x:c r="X136" s="90" t="n">
        <x:f>IF(OR(W136="",W135=""),"",W136-W135)</x:f>
        <x:v>-0.33902891298987964</x:v>
      </x:c>
      <x:c r="Y136" s="55" t="n">
        <x:f>'Datos_fuente'!W136</x:f>
        <x:v>4.848261732</x:v>
      </x:c>
      <x:c r="Z136" s="55" t="n">
        <x:f>IF(OR(Y136="",Y135=""),"",Y136-Y135)</x:f>
        <x:v>-0.968889914</x:v>
      </x:c>
      <x:c r="AA136" s="90" t="n">
        <x:f>'Datos_fuente'!AA136</x:f>
        <x:v>-0.5213670002</x:v>
      </x:c>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t="str">
        <x:f>'Datos_fuente'!A137</x:f>
        <x:v>2016-11</x:v>
      </x:c>
      <x:c r="B137" s="90" t="n">
        <x:f>IF('Datos_fuente'!B137="","",LN('Datos_fuente'!B137))</x:f>
        <x:v>8.042461174383435</x:v>
      </x:c>
      <x:c r="C137" s="90" t="n">
        <x:f>IF(OR(B137="",B136=""),"",B137-B136)</x:f>
        <x:v>0.05991212553819736</x:v>
      </x:c>
      <x:c r="D137" s="90" t="n">
        <x:f>IF('Datos_fuente'!C137="","",LN('Datos_fuente'!C137))</x:f>
        <x:v>3.8007358711210024</x:v>
      </x:c>
      <x:c r="E137" s="90" t="n">
        <x:f>IF(OR(D137="",D136=""),"",D137-D136)</x:f>
        <x:v>-0.10168883667301021</x:v>
      </x:c>
      <x:c r="F137" s="90" t="n">
        <x:f>IF('Datos_fuente'!E137="","",LN('Datos_fuente'!E137))</x:f>
        <x:v>8.552091113216973</x:v>
      </x:c>
      <x:c r="G137" s="90" t="n">
        <x:f>IF(OR(F137="",F136=""),"",F137-F136)</x:f>
        <x:v>0.015436529189077675</x:v>
      </x:c>
      <x:c r="H137" s="55" t="n">
        <x:f>'Datos_fuente'!H137</x:f>
        <x:v>7.34</x:v>
      </x:c>
      <x:c r="I137" s="55" t="n">
        <x:f>IF(OR(H137="",H136=""),"",H137-H136)</x:f>
        <x:v>-0.009999999999999787</x:v>
      </x:c>
      <x:c r="J137" s="55" t="n">
        <x:f>'Datos_fuente'!J137</x:f>
        <x:v>4.757673775</x:v>
      </x:c>
      <x:c r="K137" s="55" t="n">
        <x:f>IF(OR(J137="",J136=""),"",J137-J136)</x:f>
        <x:v>0.24022560999999953</x:v>
      </x:c>
      <x:c r="L137" s="90" t="n">
        <x:f>IF('Datos_fuente'!K137="","",LN('Datos_fuente'!K137))</x:f>
        <x:v>4.754516615291205</x:v>
      </x:c>
      <x:c r="M137" s="90" t="n">
        <x:f>IF(OR(L137="",L136=""),"",L137-L136)</x:f>
        <x:v>0.022936754768988266</x:v>
      </x:c>
      <x:c r="N137" s="90" t="n">
        <x:f>IF('Datos_fuente'!L137="","",LN('Datos_fuente'!L137))</x:f>
        <x:v>2.7236735505072294</x:v>
      </x:c>
      <x:c r="O137" s="90" t="n">
        <x:f>IF(OR(N137="",N136=""),"",N137-N136)</x:f>
        <x:v>0.04366362232936627</x:v>
      </x:c>
      <x:c r="P137" s="88" t="n">
        <x:f>'Datos_fuente'!N137</x:f>
        <x:v>0</x:v>
      </x:c>
      <x:c r="Q137" s="90" t="n">
        <x:f>IF('Datos_fuente'!O137="","",LN('Datos_fuente'!O137))</x:f>
        <x:v>10.752404387390925</x:v>
      </x:c>
      <x:c r="R137" s="90" t="n">
        <x:f>IF(OR(Q137="",Q136=""),"",Q137-Q136)</x:f>
        <x:v>-0.004782918189521368</x:v>
      </x:c>
      <x:c r="S137" s="55" t="n">
        <x:f>'Datos_fuente'!R137</x:f>
        <x:v>5.3935</x:v>
      </x:c>
      <x:c r="T137" s="55" t="n">
        <x:f>IF(OR(S137="",S136=""),"",S137-S136)</x:f>
        <x:v>-0.07399999999999984</x:v>
      </x:c>
      <x:c r="U137" s="90" t="n">
        <x:f>IF('Datos_fuente'!S137="","",ASINH('Datos_fuente'!S137/1000))</x:f>
        <x:v>-0.0005999999640000438</x:v>
      </x:c>
      <x:c r="V137" s="90" t="n">
        <x:f>IF(OR(U137="",U136=""),"",U137-U136)</x:f>
        <x:v>0.0047599743712223915</x:v>
      </x:c>
      <x:c r="W137" s="90" t="n">
        <x:f>IF('Datos_fuente'!T137="","",ASINH('Datos_fuente'!T137/1000))</x:f>
        <x:v>-0.5843514790698552</x:v>
      </x:c>
      <x:c r="X137" s="90" t="n">
        <x:f>IF(OR(W137="",W136=""),"",W137-W136)</x:f>
        <x:v>-0.1274457378359704</x:v>
      </x:c>
      <x:c r="Y137" s="55" t="n">
        <x:f>'Datos_fuente'!W137</x:f>
        <x:v>4.272495405</x:v>
      </x:c>
      <x:c r="Z137" s="55" t="n">
        <x:f>IF(OR(Y137="",Y136=""),"",Y137-Y136)</x:f>
        <x:v>-0.5757663270000002</x:v>
      </x:c>
      <x:c r="AA137" s="90" t="n">
        <x:f>'Datos_fuente'!AA137</x:f>
        <x:v>1.109984454</x:v>
      </x:c>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t="str">
        <x:f>'Datos_fuente'!A138</x:f>
        <x:v>2016-12</x:v>
      </x:c>
      <x:c r="B138" s="90" t="n">
        <x:f>IF('Datos_fuente'!B138="","",LN('Datos_fuente'!B138))</x:f>
        <x:v>8.00965013113882</x:v>
      </x:c>
      <x:c r="C138" s="90" t="n">
        <x:f>IF(OR(B138="",B137=""),"",B138-B137)</x:f>
        <x:v>-0.03281104324461559</x:v>
      </x:c>
      <x:c r="D138" s="90" t="n">
        <x:f>IF('Datos_fuente'!C138="","",LN('Datos_fuente'!C138))</x:f>
        <x:v>3.976095793128735</x:v>
      </x:c>
      <x:c r="E138" s="90" t="n">
        <x:f>IF(OR(D138="",D137=""),"",D138-D137)</x:f>
        <x:v>0.17535992200773265</x:v>
      </x:c>
      <x:c r="F138" s="90" t="n">
        <x:f>IF('Datos_fuente'!E138="","",LN('Datos_fuente'!E138))</x:f>
        <x:v>8.546260610813082</x:v>
      </x:c>
      <x:c r="G138" s="90" t="n">
        <x:f>IF(OR(F138="",F137=""),"",F138-F137)</x:f>
        <x:v>-0.005830502403890492</x:v>
      </x:c>
      <x:c r="H138" s="55" t="n">
        <x:f>'Datos_fuente'!H138</x:f>
        <x:v>7.10516129</x:v>
      </x:c>
      <x:c r="I138" s="55" t="n">
        <x:f>IF(OR(H138="",H137=""),"",H138-H137)</x:f>
        <x:v>-0.23483871</x:v>
      </x:c>
      <x:c r="J138" s="55" t="n">
        <x:f>'Datos_fuente'!J138</x:f>
        <x:v>4.043303494</x:v>
      </x:c>
      <x:c r="K138" s="55" t="n">
        <x:f>IF(OR(J138="",J137=""),"",J138-J137)</x:f>
        <x:v>-0.7143702809999999</x:v>
      </x:c>
      <x:c r="L138" s="90" t="n">
        <x:f>IF('Datos_fuente'!K138="","",LN('Datos_fuente'!K138))</x:f>
        <x:v>4.76987776175134</x:v>
      </x:c>
      <x:c r="M138" s="90" t="n">
        <x:f>IF(OR(L138="",L137=""),"",L138-L137)</x:f>
        <x:v>0.015361146460135089</x:v>
      </x:c>
      <x:c r="N138" s="90" t="n">
        <x:f>IF('Datos_fuente'!L138="","",LN('Datos_fuente'!L138))</x:f>
        <x:v>2.5235166757085037</x:v>
      </x:c>
      <x:c r="O138" s="90" t="n">
        <x:f>IF(OR(N138="",N137=""),"",N138-N137)</x:f>
        <x:v>-0.20015687479872568</x:v>
      </x:c>
      <x:c r="P138" s="88" t="n">
        <x:f>'Datos_fuente'!N138</x:f>
        <x:v>0</x:v>
      </x:c>
      <x:c r="Q138" s="90" t="n">
        <x:f>IF('Datos_fuente'!O138="","",LN('Datos_fuente'!O138))</x:f>
        <x:v>10.750956041222638</x:v>
      </x:c>
      <x:c r="R138" s="90" t="n">
        <x:f>IF(OR(Q138="",Q137=""),"",Q138-Q137)</x:f>
        <x:v>-0.0014483461682868182</x:v>
      </x:c>
      <x:c r="S138" s="55" t="n">
        <x:f>'Datos_fuente'!R138</x:f>
        <x:v>4.858095238</x:v>
      </x:c>
      <x:c r="T138" s="55" t="n">
        <x:f>IF(OR(S138="",S137=""),"",S138-S137)</x:f>
        <x:v>-0.5354047620000006</x:v>
      </x:c>
      <x:c r="U138" s="90" t="n">
        <x:f>IF('Datos_fuente'!S138="","",ASINH('Datos_fuente'!S138/1000))</x:f>
        <x:v>-0.21497045695893466</x:v>
      </x:c>
      <x:c r="V138" s="90" t="n">
        <x:f>IF(OR(U138="",U137=""),"",U138-U137)</x:f>
        <x:v>-0.21437045699493462</x:v>
      </x:c>
      <x:c r="W138" s="90" t="n">
        <x:f>IF('Datos_fuente'!T138="","",ASINH('Datos_fuente'!T138/1000))</x:f>
        <x:v>-0.05997404024080447</x:v>
      </x:c>
      <x:c r="X138" s="90" t="n">
        <x:f>IF(OR(W138="",W137=""),"",W138-W137)</x:f>
        <x:v>0.5243774388290507</x:v>
      </x:c>
      <x:c r="Y138" s="55" t="n">
        <x:f>'Datos_fuente'!W138</x:f>
        <x:v>3.672112677</x:v>
      </x:c>
      <x:c r="Z138" s="55" t="n">
        <x:f>IF(OR(Y138="",Y137=""),"",Y138-Y137)</x:f>
        <x:v>-0.600382728</x:v>
      </x:c>
      <x:c r="AA138" s="90" t="n">
        <x:f>'Datos_fuente'!AA138</x:f>
        <x:v>0.1949879014</x:v>
      </x:c>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t="str">
        <x:f>'Datos_fuente'!A139</x:f>
        <x:v>2017-01</x:v>
      </x:c>
      <x:c r="B139" s="90" t="n">
        <x:f>IF('Datos_fuente'!B139="","",LN('Datos_fuente'!B139))</x:f>
        <x:v>7.986640718182855</x:v>
      </x:c>
      <x:c r="C139" s="90" t="n">
        <x:f>IF(OR(B139="",B138=""),"",B139-B138)</x:f>
        <x:v>-0.023009412955964592</x:v>
      </x:c>
      <x:c r="D139" s="90" t="n">
        <x:f>IF('Datos_fuente'!C139="","",LN('Datos_fuente'!C139))</x:f>
        <x:v>3.9996064410443672</x:v>
      </x:c>
      <x:c r="E139" s="90" t="n">
        <x:f>IF(OR(D139="",D138=""),"",D139-D138)</x:f>
        <x:v>0.023510647915632177</x:v>
      </x:c>
      <x:c r="F139" s="90" t="n">
        <x:f>IF('Datos_fuente'!E139="","",LN('Datos_fuente'!E139))</x:f>
        <x:v>8.551534712957649</x:v>
      </x:c>
      <x:c r="G139" s="90" t="n">
        <x:f>IF(OR(F139="",F138=""),"",F139-F138)</x:f>
        <x:v>0.005274102144566584</x:v>
      </x:c>
      <x:c r="H139" s="55" t="n">
        <x:f>'Datos_fuente'!H139</x:f>
        <x:v>6.85</x:v>
      </x:c>
      <x:c r="I139" s="55" t="n">
        <x:f>IF(OR(H139="",H138=""),"",H139-H138)</x:f>
        <x:v>-0.2551612900000002</x:v>
      </x:c>
      <x:c r="J139" s="55" t="n">
        <x:f>'Datos_fuente'!J139</x:f>
        <x:v>3.99186059</x:v>
      </x:c>
      <x:c r="K139" s="55" t="n">
        <x:f>IF(OR(J139="",J138=""),"",J139-J138)</x:f>
        <x:v>-0.051442903999999956</x:v>
      </x:c>
      <x:c r="L139" s="90" t="n">
        <x:f>IF('Datos_fuente'!K139="","",LN('Datos_fuente'!K139))</x:f>
        <x:v>4.768867541519084</x:v>
      </x:c>
      <x:c r="M139" s="90" t="n">
        <x:f>IF(OR(L139="",L138=""),"",L139-L138)</x:f>
        <x:v>-0.001010220232256387</x:v>
      </x:c>
      <x:c r="N139" s="90" t="n">
        <x:f>IF('Datos_fuente'!L139="","",LN('Datos_fuente'!L139))</x:f>
        <x:v>2.4517375883964863</x:v>
      </x:c>
      <x:c r="O139" s="90" t="n">
        <x:f>IF(OR(N139="",N138=""),"",N139-N138)</x:f>
        <x:v>-0.07177908731201743</x:v>
      </x:c>
      <x:c r="P139" s="88" t="n">
        <x:f>'Datos_fuente'!N139</x:f>
        <x:v>0</x:v>
      </x:c>
      <x:c r="Q139" s="90" t="n">
        <x:f>IF('Datos_fuente'!O139="","",LN('Datos_fuente'!O139))</x:f>
        <x:v>10.757511101829218</x:v>
      </x:c>
      <x:c r="R139" s="90" t="n">
        <x:f>IF(OR(Q139="",Q138=""),"",Q139-Q138)</x:f>
        <x:v>0.006555060606579843</x:v>
      </x:c>
      <x:c r="S139" s="55" t="n">
        <x:f>'Datos_fuente'!R139</x:f>
        <x:v>4.521785714</x:v>
      </x:c>
      <x:c r="T139" s="55" t="n">
        <x:f>IF(OR(S139="",S138=""),"",S139-S138)</x:f>
        <x:v>-0.3363095239999998</x:v>
      </x:c>
      <x:c r="U139" s="90" t="n">
        <x:f>IF('Datos_fuente'!S139="","",ASINH('Datos_fuente'!S139/1000))</x:f>
        <x:v>-0.20333592958623808</x:v>
      </x:c>
      <x:c r="V139" s="90" t="n">
        <x:f>IF(OR(U139="",U138=""),"",U139-U138)</x:f>
        <x:v>0.011634527372696574</x:v>
      </x:c>
      <x:c r="W139" s="90" t="n">
        <x:f>IF('Datos_fuente'!T139="","",ASINH('Datos_fuente'!T139/1000))</x:f>
        <x:v>0.348474264623581</x:v>
      </x:c>
      <x:c r="X139" s="90" t="n">
        <x:f>IF(OR(W139="",W138=""),"",W139-W138)</x:f>
        <x:v>0.4084483048643855</x:v>
      </x:c>
      <x:c r="Y139" s="55" t="n">
        <x:f>'Datos_fuente'!W139</x:f>
        <x:v>2.971423202</x:v>
      </x:c>
      <x:c r="Z139" s="55" t="n">
        <x:f>IF(OR(Y139="",Y138=""),"",Y139-Y138)</x:f>
        <x:v>-0.7006894749999999</x:v>
      </x:c>
      <x:c r="AA139" s="90" t="n">
        <x:f>'Datos_fuente'!AA139</x:f>
        <x:v>-0.17863863</x:v>
      </x:c>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t="str">
        <x:f>'Datos_fuente'!A140</x:f>
        <x:v>2017-02</x:v>
      </x:c>
      <x:c r="B140" s="90" t="n">
        <x:f>IF('Datos_fuente'!B140="","",LN('Datos_fuente'!B140))</x:f>
        <x:v>7.965395140287761</x:v>
      </x:c>
      <x:c r="C140" s="90" t="n">
        <x:f>IF(OR(B140="",B139=""),"",B140-B139)</x:f>
        <x:v>-0.02124557789509396</x:v>
      </x:c>
      <x:c r="D140" s="90" t="n">
        <x:f>IF('Datos_fuente'!C140="","",LN('Datos_fuente'!C140))</x:f>
        <x:v>4.004957638581762</x:v>
      </x:c>
      <x:c r="E140" s="90" t="n">
        <x:f>IF(OR(D140="",D139=""),"",D140-D139)</x:f>
        <x:v>0.0053511975373945475</x:v>
      </x:c>
      <x:c r="F140" s="90" t="n">
        <x:f>IF('Datos_fuente'!E140="","",LN('Datos_fuente'!E140))</x:f>
        <x:v>8.540157482049995</x:v>
      </x:c>
      <x:c r="G140" s="90" t="n">
        <x:f>IF(OR(F140="",F139=""),"",F140-F139)</x:f>
        <x:v>-0.011377230907653413</x:v>
      </x:c>
      <x:c r="H140" s="55" t="n">
        <x:f>'Datos_fuente'!H140</x:f>
        <x:v>6.822142857</x:v>
      </x:c>
      <x:c r="I140" s="55" t="n">
        <x:f>IF(OR(H140="",H139=""),"",H140-H139)</x:f>
        <x:v>-0.027857142999999418</x:v>
      </x:c>
      <x:c r="J140" s="55" t="n">
        <x:f>'Datos_fuente'!J140</x:f>
        <x:v>4.089234215</x:v>
      </x:c>
      <x:c r="K140" s="55" t="n">
        <x:f>IF(OR(J140="",J139=""),"",J140-J139)</x:f>
        <x:v>0.09737362500000035</x:v>
      </x:c>
      <x:c r="L140" s="90" t="n">
        <x:f>IF('Datos_fuente'!K140="","",LN('Datos_fuente'!K140))</x:f>
        <x:v>4.754627493439471</x:v>
      </x:c>
      <x:c r="M140" s="90" t="n">
        <x:f>IF(OR(L140="",L139=""),"",L140-L139)</x:f>
        <x:v>-0.01424004807961321</x:v>
      </x:c>
      <x:c r="N140" s="90" t="n">
        <x:f>IF('Datos_fuente'!L140="","",LN('Datos_fuente'!L140))</x:f>
        <x:v>2.4449979811142435</x:v>
      </x:c>
      <x:c r="O140" s="90" t="n">
        <x:f>IF(OR(N140="",N139=""),"",N140-N139)</x:f>
        <x:v>-0.0067396072822427655</x:v>
      </x:c>
      <x:c r="P140" s="88" t="n">
        <x:f>'Datos_fuente'!N140</x:f>
        <x:v>0</x:v>
      </x:c>
      <x:c r="Q140" s="90" t="n">
        <x:f>IF('Datos_fuente'!O140="","",LN('Datos_fuente'!O140))</x:f>
        <x:v>10.757596025106198</x:v>
      </x:c>
      <x:c r="R140" s="90" t="n">
        <x:f>IF(OR(Q140="",Q139=""),"",Q140-Q139)</x:f>
        <x:v>0.00008492327697950941</x:v>
      </x:c>
      <x:c r="S140" s="55" t="n">
        <x:f>'Datos_fuente'!R140</x:f>
        <x:v>4.497052632</x:v>
      </x:c>
      <x:c r="T140" s="55" t="n">
        <x:f>IF(OR(S140="",S139=""),"",S140-S139)</x:f>
        <x:v>-0.024733082000000017</x:v>
      </x:c>
      <x:c r="U140" s="90" t="n">
        <x:f>IF('Datos_fuente'!S140="","",ASINH('Datos_fuente'!S140/1000))</x:f>
        <x:v>-0.048391111546870265</x:v>
      </x:c>
      <x:c r="V140" s="90" t="n">
        <x:f>IF(OR(U140="",U139=""),"",U140-U139)</x:f>
        <x:v>0.15494481803936783</x:v>
      </x:c>
      <x:c r="W140" s="90" t="n">
        <x:f>IF('Datos_fuente'!T140="","",ASINH('Datos_fuente'!T140/1000))</x:f>
        <x:v>-0.10899406884539525</x:v>
      </x:c>
      <x:c r="X140" s="90" t="n">
        <x:f>IF(OR(W140="",W139=""),"",W140-W139)</x:f>
        <x:v>-0.45746833346897625</x:v>
      </x:c>
      <x:c r="Y140" s="55" t="n">
        <x:f>'Datos_fuente'!W140</x:f>
        <x:v>2.443044818</x:v>
      </x:c>
      <x:c r="Z140" s="55" t="n">
        <x:f>IF(OR(Y140="",Y139=""),"",Y140-Y139)</x:f>
        <x:v>-0.5283783839999998</x:v>
      </x:c>
      <x:c r="AA140" s="90" t="n">
        <x:f>'Datos_fuente'!AA140</x:f>
        <x:v>-1.309475568</x:v>
      </x:c>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t="str">
        <x:f>'Datos_fuente'!A141</x:f>
        <x:v>2017-03</x:v>
      </x:c>
      <x:c r="B141" s="90" t="n">
        <x:f>IF('Datos_fuente'!B141="","",LN('Datos_fuente'!B141))</x:f>
        <x:v>7.986942153060408</x:v>
      </x:c>
      <x:c r="C141" s="90" t="n">
        <x:f>IF(OR(B141="",B140=""),"",B141-B140)</x:f>
        <x:v>0.021547012772646923</x:v>
      </x:c>
      <x:c r="D141" s="90" t="n">
        <x:f>IF('Datos_fuente'!C141="","",LN('Datos_fuente'!C141))</x:f>
        <x:v>3.9433109997161715</x:v>
      </x:c>
      <x:c r="E141" s="90" t="n">
        <x:f>IF(OR(D141="",D140=""),"",D141-D140)</x:f>
        <x:v>-0.0616466388655903</x:v>
      </x:c>
      <x:c r="F141" s="90" t="n">
        <x:f>IF('Datos_fuente'!E141="","",LN('Datos_fuente'!E141))</x:f>
        <x:v>8.552614387846715</x:v>
      </x:c>
      <x:c r="G141" s="90" t="n">
        <x:f>IF(OR(F141="",F140=""),"",F141-F140)</x:f>
        <x:v>0.012456905796719653</x:v>
      </x:c>
      <x:c r="H141" s="55" t="n">
        <x:f>'Datos_fuente'!H141</x:f>
        <x:v>6.419677419</x:v>
      </x:c>
      <x:c r="I141" s="55" t="n">
        <x:f>IF(OR(H141="",H140=""),"",H141-H140)</x:f>
        <x:v>-0.4024654380000001</x:v>
      </x:c>
      <x:c r="J141" s="55" t="n">
        <x:f>'Datos_fuente'!J141</x:f>
        <x:v>4.19787776</x:v>
      </x:c>
      <x:c r="K141" s="55" t="n">
        <x:f>IF(OR(J141="",J140=""),"",J141-J140)</x:f>
        <x:v>0.10864354499999962</x:v>
      </x:c>
      <x:c r="L141" s="90" t="n">
        <x:f>IF('Datos_fuente'!K141="","",LN('Datos_fuente'!K141))</x:f>
        <x:v>4.750618952033774</x:v>
      </x:c>
      <x:c r="M141" s="90" t="n">
        <x:f>IF(OR(L141="",L140=""),"",L141-L140)</x:f>
        <x:v>-0.004008541405696953</x:v>
      </x:c>
      <x:c r="N141" s="90" t="n">
        <x:f>IF('Datos_fuente'!L141="","",LN('Datos_fuente'!L141))</x:f>
        <x:v>2.476355701916579</x:v>
      </x:c>
      <x:c r="O141" s="90" t="n">
        <x:f>IF(OR(N141="",N140=""),"",N141-N140)</x:f>
        <x:v>0.031357720802335454</x:v>
      </x:c>
      <x:c r="P141" s="88" t="n">
        <x:f>'Datos_fuente'!N141</x:f>
        <x:v>0</x:v>
      </x:c>
      <x:c r="Q141" s="90" t="n">
        <x:f>IF('Datos_fuente'!O141="","",LN('Datos_fuente'!O141))</x:f>
        <x:v>10.756448419220412</x:v>
      </x:c>
      <x:c r="R141" s="90" t="n">
        <x:f>IF(OR(Q141="",Q140=""),"",Q141-Q140)</x:f>
        <x:v>-0.001147605885785552</x:v>
      </x:c>
      <x:c r="S141" s="55" t="n">
        <x:f>'Datos_fuente'!R141</x:f>
        <x:v>4.510988142</x:v>
      </x:c>
      <x:c r="T141" s="55" t="n">
        <x:f>IF(OR(S141="",S140=""),"",S141-S140)</x:f>
        <x:v>0.013935510000000484</x:v>
      </x:c>
      <x:c r="U141" s="90" t="n">
        <x:f>IF('Datos_fuente'!S141="","",ASINH('Datos_fuente'!S141/1000))</x:f>
        <x:v>-0.09786371338382045</x:v>
      </x:c>
      <x:c r="V141" s="90" t="n">
        <x:f>IF(OR(U141="",U140=""),"",U141-U140)</x:f>
        <x:v>-0.04947260183695019</x:v>
      </x:c>
      <x:c r="W141" s="90" t="n">
        <x:f>IF('Datos_fuente'!T141="","",ASINH('Datos_fuente'!T141/1000))</x:f>
        <x:v>-0.18736186780773256</x:v>
      </x:c>
      <x:c r="X141" s="90" t="n">
        <x:f>IF(OR(W141="",W140=""),"",W141-W140)</x:f>
        <x:v>-0.07836779896233731</x:v>
      </x:c>
      <x:c r="Y141" s="55" t="n">
        <x:f>'Datos_fuente'!W141</x:f>
        <x:v>2.313399411</x:v>
      </x:c>
      <x:c r="Z141" s="55" t="n">
        <x:f>IF(OR(Y141="",Y140=""),"",Y141-Y140)</x:f>
        <x:v>-0.12964540700000038</x:v>
      </x:c>
      <x:c r="AA141" s="90" t="n">
        <x:f>'Datos_fuente'!AA141</x:f>
        <x:v>-0.2770679549</x:v>
      </x:c>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t="str">
        <x:f>'Datos_fuente'!A142</x:f>
        <x:v>2017-04</x:v>
      </x:c>
      <x:c r="B142" s="90" t="n">
        <x:f>IF('Datos_fuente'!B142="","",LN('Datos_fuente'!B142))</x:f>
        <x:v>7.964788921316194</x:v>
      </x:c>
      <x:c r="C142" s="90" t="n">
        <x:f>IF(OR(B142="",B141=""),"",B142-B141)</x:f>
        <x:v>-0.022153231744213464</x:v>
      </x:c>
      <x:c r="D142" s="90" t="n">
        <x:f>IF('Datos_fuente'!C142="","",LN('Datos_fuente'!C142))</x:f>
        <x:v>3.957147310730539</x:v>
      </x:c>
      <x:c r="E142" s="90" t="n">
        <x:f>IF(OR(D142="",D141=""),"",D142-D141)</x:f>
        <x:v>0.013836311014367553</x:v>
      </x:c>
      <x:c r="F142" s="90" t="n">
        <x:f>IF('Datos_fuente'!E142="","",LN('Datos_fuente'!E142))</x:f>
        <x:v>8.552977236755009</x:v>
      </x:c>
      <x:c r="G142" s="90" t="n">
        <x:f>IF(OR(F142="",F141=""),"",F142-F141)</x:f>
        <x:v>0.00036284890829385574</x:v>
      </x:c>
      <x:c r="H142" s="55" t="n">
        <x:f>'Datos_fuente'!H142</x:f>
        <x:v>6.1</x:v>
      </x:c>
      <x:c r="I142" s="55" t="n">
        <x:f>IF(OR(H142="",H141=""),"",H142-H141)</x:f>
        <x:v>-0.31967741900000046</x:v>
      </x:c>
      <x:c r="J142" s="55" t="n">
        <x:f>'Datos_fuente'!J142</x:f>
        <x:v>3.973230938</x:v>
      </x:c>
      <x:c r="K142" s="55" t="n">
        <x:f>IF(OR(J142="",J141=""),"",J142-J141)</x:f>
        <x:v>-0.22464682199999997</x:v>
      </x:c>
      <x:c r="L142" s="90" t="n">
        <x:f>IF('Datos_fuente'!K142="","",LN('Datos_fuente'!K142))</x:f>
        <x:v>4.742928339509924</x:v>
      </x:c>
      <x:c r="M142" s="90" t="n">
        <x:f>IF(OR(L142="",L141=""),"",L142-L141)</x:f>
        <x:v>-0.007690612523849616</x:v>
      </x:c>
      <x:c r="N142" s="90" t="n">
        <x:f>IF('Datos_fuente'!L142="","",LN('Datos_fuente'!L142))</x:f>
        <x:v>2.575380592463746</x:v>
      </x:c>
      <x:c r="O142" s="90" t="n">
        <x:f>IF(OR(N142="",N141=""),"",N142-N141)</x:f>
        <x:v>0.09902489054716712</x:v>
      </x:c>
      <x:c r="P142" s="88" t="n">
        <x:f>'Datos_fuente'!N142</x:f>
        <x:v>0</x:v>
      </x:c>
      <x:c r="Q142" s="90" t="n">
        <x:f>IF('Datos_fuente'!O142="","",LN('Datos_fuente'!O142))</x:f>
        <x:v>10.756535350303933</x:v>
      </x:c>
      <x:c r="R142" s="90" t="n">
        <x:f>IF(OR(Q142="",Q141=""),"",Q142-Q141)</x:f>
        <x:v>0.00008693108352098022</x:v>
      </x:c>
      <x:c r="S142" s="55" t="n">
        <x:f>'Datos_fuente'!R142</x:f>
        <x:v>4.335964912</x:v>
      </x:c>
      <x:c r="T142" s="55" t="n">
        <x:f>IF(OR(S142="",S141=""),"",S142-S141)</x:f>
        <x:v>-0.17502323000000075</x:v>
      </x:c>
      <x:c r="U142" s="90" t="n">
        <x:f>IF('Datos_fuente'!S142="","",ASINH('Datos_fuente'!S142/1000))</x:f>
        <x:v>0.0036899916261497944</x:v>
      </x:c>
      <x:c r="V142" s="90" t="n">
        <x:f>IF(OR(U142="",U141=""),"",U142-U141)</x:f>
        <x:v>0.10155370500997024</x:v>
      </x:c>
      <x:c r="W142" s="90" t="n">
        <x:f>IF('Datos_fuente'!T142="","",ASINH('Datos_fuente'!T142/1000))</x:f>
        <x:v>-0.3059352127533255</x:v>
      </x:c>
      <x:c r="X142" s="90" t="n">
        <x:f>IF(OR(W142="",W141=""),"",W142-W141)</x:f>
        <x:v>-0.11857334494559296</x:v>
      </x:c>
      <x:c r="Y142" s="55" t="n">
        <x:f>'Datos_fuente'!W142</x:f>
        <x:v>2.471269414</x:v>
      </x:c>
      <x:c r="Z142" s="55" t="n">
        <x:f>IF(OR(Y142="",Y141=""),"",Y142-Y141)</x:f>
        <x:v>0.1578700030000002</x:v>
      </x:c>
      <x:c r="AA142" s="90" t="n">
        <x:f>'Datos_fuente'!AA142</x:f>
        <x:v>-0.5018768809</x:v>
      </x:c>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t="str">
        <x:f>'Datos_fuente'!A143</x:f>
        <x:v>2017-05</x:v>
      </x:c>
      <x:c r="B143" s="90" t="n">
        <x:f>IF('Datos_fuente'!B143="","",LN('Datos_fuente'!B143))</x:f>
        <x:v>7.980575425990943</x:v>
      </x:c>
      <x:c r="C143" s="90" t="n">
        <x:f>IF(OR(B143="",B142=""),"",B143-B142)</x:f>
        <x:v>0.015786504674748514</x:v>
      </x:c>
      <x:c r="D143" s="90" t="n">
        <x:f>IF('Datos_fuente'!C143="","",LN('Datos_fuente'!C143))</x:f>
        <x:v>3.9185322093200545</x:v>
      </x:c>
      <x:c r="E143" s="90" t="n">
        <x:f>IF(OR(D143="",D142=""),"",D143-D142)</x:f>
        <x:v>-0.03861510141048452</x:v>
      </x:c>
      <x:c r="F143" s="90" t="n">
        <x:f>IF('Datos_fuente'!E143="","",LN('Datos_fuente'!E143))</x:f>
        <x:v>8.56555088112969</x:v>
      </x:c>
      <x:c r="G143" s="90" t="n">
        <x:f>IF(OR(F143="",F142=""),"",F143-F142)</x:f>
        <x:v>0.012573644374681336</x:v>
      </x:c>
      <x:c r="H143" s="55" t="n">
        <x:f>'Datos_fuente'!H143</x:f>
        <x:v>5.59</x:v>
      </x:c>
      <x:c r="I143" s="55" t="n">
        <x:f>IF(OR(H143="",H142=""),"",H143-H142)</x:f>
        <x:v>-0.5099999999999998</x:v>
      </x:c>
      <x:c r="J143" s="55" t="n">
        <x:f>'Datos_fuente'!J143</x:f>
        <x:v>4.011046289</x:v>
      </x:c>
      <x:c r="K143" s="55" t="n">
        <x:f>IF(OR(J143="",J142=""),"",J143-J142)</x:f>
        <x:v>0.03781535100000033</x:v>
      </x:c>
      <x:c r="L143" s="90" t="n">
        <x:f>IF('Datos_fuente'!K143="","",LN('Datos_fuente'!K143))</x:f>
        <x:v>4.738468954807795</x:v>
      </x:c>
      <x:c r="M143" s="90" t="n">
        <x:f>IF(OR(L143="",L142=""),"",L143-L142)</x:f>
        <x:v>-0.004459384702129476</x:v>
      </x:c>
      <x:c r="N143" s="90" t="n">
        <x:f>IF('Datos_fuente'!L143="","",LN('Datos_fuente'!L143))</x:f>
        <x:v>2.3852955679330474</x:v>
      </x:c>
      <x:c r="O143" s="90" t="n">
        <x:f>IF(OR(N143="",N142=""),"",N143-N142)</x:f>
        <x:v>-0.19008502453069864</x:v>
      </x:c>
      <x:c r="P143" s="88" t="n">
        <x:f>'Datos_fuente'!N143</x:f>
        <x:v>0</x:v>
      </x:c>
      <x:c r="Q143" s="90" t="n">
        <x:f>IF('Datos_fuente'!O143="","",LN('Datos_fuente'!O143))</x:f>
        <x:v>10.761143157236296</x:v>
      </x:c>
      <x:c r="R143" s="90" t="n">
        <x:f>IF(OR(Q143="",Q142=""),"",Q143-Q142)</x:f>
        <x:v>0.004607806932362735</x:v>
      </x:c>
      <x:c r="S143" s="55" t="n">
        <x:f>'Datos_fuente'!R143</x:f>
        <x:v>4.193982684</x:v>
      </x:c>
      <x:c r="T143" s="55" t="n">
        <x:f>IF(OR(S143="",S142=""),"",S143-S142)</x:f>
        <x:v>-0.14198222799999982</x:v>
      </x:c>
      <x:c r="U143" s="90" t="n">
        <x:f>IF('Datos_fuente'!S143="","",ASINH('Datos_fuente'!S143/1000))</x:f>
        <x:v>-0.04490490705665995</x:v>
      </x:c>
      <x:c r="V143" s="90" t="n">
        <x:f>IF(OR(U143="",U142=""),"",U143-U142)</x:f>
        <x:v>-0.048594898682809744</x:v>
      </x:c>
      <x:c r="W143" s="90" t="n">
        <x:f>IF('Datos_fuente'!T143="","",ASINH('Datos_fuente'!T143/1000))</x:f>
        <x:v>-0.1360895395609807</x:v>
      </x:c>
      <x:c r="X143" s="90" t="n">
        <x:f>IF(OR(W143="",W142=""),"",W143-W142)</x:f>
        <x:v>0.16984567319234484</x:v>
      </x:c>
      <x:c r="Y143" s="55" t="n">
        <x:f>'Datos_fuente'!W143</x:f>
        <x:v>2.489943126</x:v>
      </x:c>
      <x:c r="Z143" s="55" t="n">
        <x:f>IF(OR(Y143="",Y142=""),"",Y143-Y142)</x:f>
        <x:v>0.01867371200000001</x:v>
      </x:c>
      <x:c r="AA143" s="90" t="n">
        <x:f>'Datos_fuente'!AA143</x:f>
        <x:v>0.4104604792</x:v>
      </x:c>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t="str">
        <x:f>'Datos_fuente'!A144</x:f>
        <x:v>2017-06</x:v>
      </x:c>
      <x:c r="B144" s="90" t="n">
        <x:f>IF('Datos_fuente'!B144="","",LN('Datos_fuente'!B144))</x:f>
        <x:v>7.991963773611367</x:v>
      </x:c>
      <x:c r="C144" s="90" t="n">
        <x:f>IF(OR(B144="",B143=""),"",B144-B143)</x:f>
        <x:v>0.011388347620424177</x:v>
      </x:c>
      <x:c r="D144" s="90" t="n">
        <x:f>IF('Datos_fuente'!C144="","",LN('Datos_fuente'!C144))</x:f>
        <x:v>3.836613487369369</x:v>
      </x:c>
      <x:c r="E144" s="90" t="n">
        <x:f>IF(OR(D144="",D143=""),"",D144-D143)</x:f>
        <x:v>-0.08191872195068539</x:v>
      </x:c>
      <x:c r="F144" s="90" t="n">
        <x:f>IF('Datos_fuente'!E144="","",LN('Datos_fuente'!E144))</x:f>
        <x:v>8.583508882451488</x:v>
      </x:c>
      <x:c r="G144" s="90" t="n">
        <x:f>IF(OR(F144="",F143=""),"",F144-F143)</x:f>
        <x:v>0.017958001321797923</x:v>
      </x:c>
      <x:c r="H144" s="55" t="n">
        <x:f>'Datos_fuente'!H144</x:f>
        <x:v>5.21</x:v>
      </x:c>
      <x:c r="I144" s="55" t="n">
        <x:f>IF(OR(H144="",H143=""),"",H144-H143)</x:f>
        <x:v>-0.3799999999999999</x:v>
      </x:c>
      <x:c r="J144" s="55" t="n">
        <x:f>'Datos_fuente'!J144</x:f>
        <x:v>4.214938459</x:v>
      </x:c>
      <x:c r="K144" s="55" t="n">
        <x:f>IF(OR(J144="",J143=""),"",J144-J143)</x:f>
        <x:v>0.2038921699999996</x:v>
      </x:c>
      <x:c r="L144" s="90" t="n">
        <x:f>IF('Datos_fuente'!K144="","",LN('Datos_fuente'!K144))</x:f>
        <x:v>4.725264084653771</x:v>
      </x:c>
      <x:c r="M144" s="90" t="n">
        <x:f>IF(OR(L144="",L143=""),"",L144-L143)</x:f>
        <x:v>-0.013204870154023496</x:v>
      </x:c>
      <x:c r="N144" s="90" t="n">
        <x:f>IF('Datos_fuente'!L144="","",LN('Datos_fuente'!L144))</x:f>
        <x:v>2.3526731155332063</x:v>
      </x:c>
      <x:c r="O144" s="90" t="n">
        <x:f>IF(OR(N144="",N143=""),"",N144-N143)</x:f>
        <x:v>-0.03262245239984107</x:v>
      </x:c>
      <x:c r="P144" s="88" t="n">
        <x:f>'Datos_fuente'!N144</x:f>
        <x:v>0</x:v>
      </x:c>
      <x:c r="Q144" s="90" t="n">
        <x:f>IF('Datos_fuente'!O144="","",LN('Datos_fuente'!O144))</x:f>
        <x:v>10.76287666112623</x:v>
      </x:c>
      <x:c r="R144" s="90" t="n">
        <x:f>IF(OR(Q144="",Q143=""),"",Q144-Q143)</x:f>
        <x:v>0.001733503889933985</x:v>
      </x:c>
      <x:c r="S144" s="55" t="n">
        <x:f>'Datos_fuente'!R144</x:f>
        <x:v>4.341681818</x:v>
      </x:c>
      <x:c r="T144" s="55" t="n">
        <x:f>IF(OR(S144="",S143=""),"",S144-S143)</x:f>
        <x:v>0.1476991339999998</x:v>
      </x:c>
      <x:c r="U144" s="90" t="n">
        <x:f>IF('Datos_fuente'!S144="","",ASINH('Datos_fuente'!S144/1000))</x:f>
        <x:v>0.03761113193884506</x:v>
      </x:c>
      <x:c r="V144" s="90" t="n">
        <x:f>IF(OR(U144="",U143=""),"",U144-U143)</x:f>
        <x:v>0.08251603899550501</x:v>
      </x:c>
      <x:c r="W144" s="90" t="n">
        <x:f>IF('Datos_fuente'!T144="","",ASINH('Datos_fuente'!T144/1000))</x:f>
        <x:v>-0.2964200718198526</x:v>
      </x:c>
      <x:c r="X144" s="90" t="n">
        <x:f>IF(OR(W144="",W143=""),"",W144-W143)</x:f>
        <x:v>-0.1603305322588719</x:v>
      </x:c>
      <x:c r="Y144" s="55" t="n">
        <x:f>'Datos_fuente'!W144</x:f>
        <x:v>2.353976925</x:v>
      </x:c>
      <x:c r="Z144" s="55" t="n">
        <x:f>IF(OR(Y144="",Y143=""),"",Y144-Y143)</x:f>
        <x:v>-0.135966201</x:v>
      </x:c>
      <x:c r="AA144" s="90" t="n">
        <x:f>'Datos_fuente'!AA144</x:f>
        <x:v>-0.413563418</x:v>
      </x:c>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t="str">
        <x:f>'Datos_fuente'!A145</x:f>
        <x:v>2017-07</x:v>
      </x:c>
      <x:c r="B145" s="90" t="n">
        <x:f>IF('Datos_fuente'!B145="","",LN('Datos_fuente'!B145))</x:f>
        <x:v>8.018488435901347</x:v>
      </x:c>
      <x:c r="C145" s="90" t="n">
        <x:f>IF(OR(B145="",B144=""),"",B145-B144)</x:f>
        <x:v>0.026524662289979517</x:v>
      </x:c>
      <x:c r="D145" s="90" t="n">
        <x:f>IF('Datos_fuente'!C145="","",LN('Datos_fuente'!C145))</x:f>
        <x:v>3.8811218741239224</x:v>
      </x:c>
      <x:c r="E145" s="90" t="n">
        <x:f>IF(OR(D145="",D144=""),"",D145-D144)</x:f>
        <x:v>0.044508386754553264</x:v>
      </x:c>
      <x:c r="F145" s="90" t="n">
        <x:f>IF('Datos_fuente'!E145="","",LN('Datos_fuente'!E145))</x:f>
        <x:v>8.603873513613276</x:v>
      </x:c>
      <x:c r="G145" s="90" t="n">
        <x:f>IF(OR(F145="",F144=""),"",F145-F144)</x:f>
        <x:v>0.020364631161788438</x:v>
      </x:c>
      <x:c r="H145" s="55" t="n">
        <x:f>'Datos_fuente'!H145</x:f>
        <x:v>4.616129032</x:v>
      </x:c>
      <x:c r="I145" s="55" t="n">
        <x:f>IF(OR(H145="",H144=""),"",H145-H144)</x:f>
        <x:v>-0.593870968</x:v>
      </x:c>
      <x:c r="J145" s="55" t="n">
        <x:f>'Datos_fuente'!J145</x:f>
        <x:v>4.206137479</x:v>
      </x:c>
      <x:c r="K145" s="55" t="n">
        <x:f>IF(OR(J145="",J144=""),"",J145-J144)</x:f>
        <x:v>-0.00880098000000018</x:v>
      </x:c>
      <x:c r="L145" s="90" t="n">
        <x:f>IF('Datos_fuente'!K145="","",LN('Datos_fuente'!K145))</x:f>
        <x:v>4.710075593099732</x:v>
      </x:c>
      <x:c r="M145" s="90" t="n">
        <x:f>IF(OR(L145="",L144=""),"",L145-L144)</x:f>
        <x:v>-0.015188491554039452</x:v>
      </x:c>
      <x:c r="N145" s="90" t="n">
        <x:f>IF('Datos_fuente'!L145="","",LN('Datos_fuente'!L145))</x:f>
        <x:v>2.328691340078525</x:v>
      </x:c>
      <x:c r="O145" s="90" t="n">
        <x:f>IF(OR(N145="",N144=""),"",N145-N144)</x:f>
        <x:v>-0.023981775454681387</x:v>
      </x:c>
      <x:c r="P145" s="88" t="n">
        <x:f>'Datos_fuente'!N145</x:f>
        <x:v>0</x:v>
      </x:c>
      <x:c r="Q145" s="90" t="n">
        <x:f>IF('Datos_fuente'!O145="","",LN('Datos_fuente'!O145))</x:f>
        <x:v>10.769139302229595</x:v>
      </x:c>
      <x:c r="R145" s="90" t="n">
        <x:f>IF(OR(Q145="",Q144=""),"",Q145-Q144)</x:f>
        <x:v>0.006262641103365496</x:v>
      </x:c>
      <x:c r="S145" s="55" t="n">
        <x:f>'Datos_fuente'!R145</x:f>
        <x:v>4.645157895</x:v>
      </x:c>
      <x:c r="T145" s="55" t="n">
        <x:f>IF(OR(S145="",S144=""),"",S145-S144)</x:f>
        <x:v>0.303476077</x:v>
      </x:c>
      <x:c r="U145" s="90" t="n">
        <x:f>IF('Datos_fuente'!S145="","",ASINH('Datos_fuente'!S145/1000))</x:f>
        <x:v>-0.09935644971619319</x:v>
      </x:c>
      <x:c r="V145" s="90" t="n">
        <x:f>IF(OR(U145="",U144=""),"",U145-U144)</x:f>
        <x:v>-0.13696758165503825</x:v>
      </x:c>
      <x:c r="W145" s="90" t="n">
        <x:f>IF('Datos_fuente'!T145="","",ASINH('Datos_fuente'!T145/1000))</x:f>
        <x:v>0.1150162456097003</x:v>
      </x:c>
      <x:c r="X145" s="90" t="n">
        <x:f>IF(OR(W145="",W144=""),"",W145-W144)</x:f>
        <x:v>0.4114363174295529</x:v>
      </x:c>
      <x:c r="Y145" s="55" t="n">
        <x:f>'Datos_fuente'!W145</x:f>
        <x:v>1.669140443</x:v>
      </x:c>
      <x:c r="Z145" s="55" t="n">
        <x:f>IF(OR(Y145="",Y144=""),"",Y145-Y144)</x:f>
        <x:v>-0.6848364819999999</x:v>
      </x:c>
      <x:c r="AA145" s="90" t="n">
        <x:f>'Datos_fuente'!AA145</x:f>
        <x:v>-0.7002852348</x:v>
      </x:c>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t="str">
        <x:f>'Datos_fuente'!A146</x:f>
        <x:v>2017-08</x:v>
      </x:c>
      <x:c r="B146" s="90" t="n">
        <x:f>IF('Datos_fuente'!B146="","",LN('Datos_fuente'!B146))</x:f>
        <x:v>7.997395720389165</x:v>
      </x:c>
      <x:c r="C146" s="90" t="n">
        <x:f>IF(OR(B146="",B145=""),"",B146-B145)</x:f>
        <x:v>-0.021092715512181393</x:v>
      </x:c>
      <x:c r="D146" s="90" t="n">
        <x:f>IF('Datos_fuente'!C146="","",LN('Datos_fuente'!C146))</x:f>
        <x:v>3.9455418752704743</x:v>
      </x:c>
      <x:c r="E146" s="90" t="n">
        <x:f>IF(OR(D146="",D145=""),"",D146-D145)</x:f>
        <x:v>0.06442000114655189</x:v>
      </x:c>
      <x:c r="F146" s="90" t="n">
        <x:f>IF('Datos_fuente'!E146="","",LN('Datos_fuente'!E146))</x:f>
        <x:v>8.61309410579344</x:v>
      </x:c>
      <x:c r="G146" s="90" t="n">
        <x:f>IF(OR(F146="",F145=""),"",F146-F145)</x:f>
        <x:v>0.009220592180163578</x:v>
      </x:c>
      <x:c r="H146" s="55" t="n">
        <x:f>'Datos_fuente'!H146</x:f>
        <x:v>4.34</x:v>
      </x:c>
      <x:c r="I146" s="55" t="n">
        <x:f>IF(OR(H146="",H145=""),"",H146-H145)</x:f>
        <x:v>-0.27612903200000005</x:v>
      </x:c>
      <x:c r="J146" s="55" t="n">
        <x:f>'Datos_fuente'!J146</x:f>
        <x:v>3.644644942</x:v>
      </x:c>
      <x:c r="K146" s="55" t="n">
        <x:f>IF(OR(J146="",J145=""),"",J146-J145)</x:f>
        <x:v>-0.5614925369999995</x:v>
      </x:c>
      <x:c r="L146" s="90" t="n">
        <x:f>IF('Datos_fuente'!K146="","",LN('Datos_fuente'!K146))</x:f>
        <x:v>4.699624189377969</x:v>
      </x:c>
      <x:c r="M146" s="90" t="n">
        <x:f>IF(OR(L146="",L145=""),"",L146-L145)</x:f>
        <x:v>-0.010451403721762453</x:v>
      </x:c>
      <x:c r="N146" s="90" t="n">
        <x:f>IF('Datos_fuente'!L146="","",LN('Datos_fuente'!L146))</x:f>
        <x:v>2.4828756027743686</x:v>
      </x:c>
      <x:c r="O146" s="90" t="n">
        <x:f>IF(OR(N146="",N145=""),"",N146-N145)</x:f>
        <x:v>0.15418426269584362</x:v>
      </x:c>
      <x:c r="P146" s="88" t="n">
        <x:f>'Datos_fuente'!N146</x:f>
        <x:v>0</x:v>
      </x:c>
      <x:c r="Q146" s="90" t="n">
        <x:f>IF('Datos_fuente'!O146="","",LN('Datos_fuente'!O146))</x:f>
        <x:v>10.769928368902713</x:v>
      </x:c>
      <x:c r="R146" s="90" t="n">
        <x:f>IF(OR(Q146="",Q145=""),"",Q146-Q145)</x:f>
        <x:v>0.0007890666731178442</x:v>
      </x:c>
      <x:c r="S146" s="55" t="n">
        <x:f>'Datos_fuente'!R146</x:f>
        <x:v>4.774679089</x:v>
      </x:c>
      <x:c r="T146" s="55" t="n">
        <x:f>IF(OR(S146="",S145=""),"",S146-S145)</x:f>
        <x:v>0.1295211940000005</x:v>
      </x:c>
      <x:c r="U146" s="90" t="n">
        <x:f>IF('Datos_fuente'!S146="","",ASINH('Datos_fuente'!S146/1000))</x:f>
        <x:v>-0.12331721202026044</x:v>
      </x:c>
      <x:c r="V146" s="90" t="n">
        <x:f>IF(OR(U146="",U145=""),"",U146-U145)</x:f>
        <x:v>-0.023960762304067254</x:v>
      </x:c>
      <x:c r="W146" s="90" t="n">
        <x:f>IF('Datos_fuente'!T146="","",ASINH('Datos_fuente'!T146/1000))</x:f>
        <x:v>-0.09676890171851231</x:v>
      </x:c>
      <x:c r="X146" s="90" t="n">
        <x:f>IF(OR(W146="",W145=""),"",W146-W145)</x:f>
        <x:v>-0.2117851473282126</x:v>
      </x:c>
      <x:c r="Y146" s="55" t="n">
        <x:f>'Datos_fuente'!W146</x:f>
        <x:v>1.932480549</x:v>
      </x:c>
      <x:c r="Z146" s="55" t="n">
        <x:f>IF(OR(Y146="",Y145=""),"",Y146-Y145)</x:f>
        <x:v>0.263340106</x:v>
      </x:c>
      <x:c r="AA146" s="90" t="n">
        <x:f>'Datos_fuente'!AA146</x:f>
        <x:v>-0.5274350351</x:v>
      </x:c>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t="str">
        <x:f>'Datos_fuente'!A147</x:f>
        <x:v>2017-09</x:v>
      </x:c>
      <x:c r="B147" s="90" t="n">
        <x:f>IF('Datos_fuente'!B147="","",LN('Datos_fuente'!B147))</x:f>
        <x:v>7.978340108970085</x:v>
      </x:c>
      <x:c r="C147" s="90" t="n">
        <x:f>IF(OR(B147="",B146=""),"",B147-B146)</x:f>
        <x:v>-0.01905561141908052</x:v>
      </x:c>
      <x:c r="D147" s="90" t="n">
        <x:f>IF('Datos_fuente'!C147="","",LN('Datos_fuente'!C147))</x:f>
        <x:v>4.028077563950454</x:v>
      </x:c>
      <x:c r="E147" s="90" t="n">
        <x:f>IF(OR(D147="",D146=""),"",D147-D146)</x:f>
        <x:v>0.08253568867997974</x:v>
      </x:c>
      <x:c r="F147" s="90" t="n">
        <x:f>IF('Datos_fuente'!E147="","",LN('Datos_fuente'!E147))</x:f>
        <x:v>8.62129191134455</x:v>
      </x:c>
      <x:c r="G147" s="90" t="n">
        <x:f>IF(OR(F147="",F146=""),"",F147-F146)</x:f>
        <x:v>0.008197805551109383</x:v>
      </x:c>
      <x:c r="H147" s="55" t="n">
        <x:f>'Datos_fuente'!H147</x:f>
        <x:v>4.1</x:v>
      </x:c>
      <x:c r="I147" s="55" t="n">
        <x:f>IF(OR(H147="",H146=""),"",H147-H146)</x:f>
        <x:v>-0.2400000000000002</x:v>
      </x:c>
      <x:c r="J147" s="55" t="n">
        <x:f>'Datos_fuente'!J147</x:f>
        <x:v>3.417510452</x:v>
      </x:c>
      <x:c r="K147" s="55" t="n">
        <x:f>IF(OR(J147="",J146=""),"",J147-J146)</x:f>
        <x:v>-0.22713449000000008</x:v>
      </x:c>
      <x:c r="L147" s="90" t="n">
        <x:f>IF('Datos_fuente'!K147="","",LN('Datos_fuente'!K147))</x:f>
        <x:v>4.690009785542087</x:v>
      </x:c>
      <x:c r="M147" s="90" t="n">
        <x:f>IF(OR(L147="",L146=""),"",L147-L146)</x:f>
        <x:v>-0.00961440383588208</x:v>
      </x:c>
      <x:c r="N147" s="90" t="n">
        <x:f>IF('Datos_fuente'!L147="","",LN('Datos_fuente'!L147))</x:f>
        <x:v>2.3454529932212216</x:v>
      </x:c>
      <x:c r="O147" s="90" t="n">
        <x:f>IF(OR(N147="",N146=""),"",N147-N146)</x:f>
        <x:v>-0.137422609553147</x:v>
      </x:c>
      <x:c r="P147" s="88" t="n">
        <x:f>'Datos_fuente'!N147</x:f>
        <x:v>0</x:v>
      </x:c>
      <x:c r="Q147" s="90" t="n">
        <x:f>IF('Datos_fuente'!O147="","",LN('Datos_fuente'!O147))</x:f>
        <x:v>10.76879146936893</x:v>
      </x:c>
      <x:c r="R147" s="90" t="n">
        <x:f>IF(OR(Q147="",Q146=""),"",Q147-Q146)</x:f>
        <x:v>-0.0011368995337832644</x:v>
      </x:c>
      <x:c r="S147" s="55" t="n">
        <x:f>'Datos_fuente'!R147</x:f>
        <x:v>4.594190476</x:v>
      </x:c>
      <x:c r="T147" s="55" t="n">
        <x:f>IF(OR(S147="",S146=""),"",S147-S146)</x:f>
        <x:v>-0.18048861300000052</x:v>
      </x:c>
      <x:c r="U147" s="90" t="n">
        <x:f>IF('Datos_fuente'!S147="","",ASINH('Datos_fuente'!S147/1000))</x:f>
        <x:v>-0.10368412584802691</x:v>
      </x:c>
      <x:c r="V147" s="90" t="n">
        <x:f>IF(OR(U147="",U146=""),"",U147-U146)</x:f>
        <x:v>0.019633086172233527</x:v>
      </x:c>
      <x:c r="W147" s="90" t="n">
        <x:f>IF('Datos_fuente'!T147="","",ASINH('Datos_fuente'!T147/1000))</x:f>
        <x:v>-0.20813402206669795</x:v>
      </x:c>
      <x:c r="X147" s="90" t="n">
        <x:f>IF(OR(W147="",W146=""),"",W147-W146)</x:f>
        <x:v>-0.11136512034818564</x:v>
      </x:c>
      <x:c r="Y147" s="55" t="n">
        <x:f>'Datos_fuente'!W147</x:f>
        <x:v>1.73768784</x:v>
      </x:c>
      <x:c r="Z147" s="55" t="n">
        <x:f>IF(OR(Y147="",Y146=""),"",Y147-Y146)</x:f>
        <x:v>-0.19479270900000012</x:v>
      </x:c>
      <x:c r="AA147" s="90" t="n">
        <x:f>'Datos_fuente'!AA147</x:f>
        <x:v>-0.4937918215</x:v>
      </x:c>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t="str">
        <x:f>'Datos_fuente'!A148</x:f>
        <x:v>2017-10</x:v>
      </x:c>
      <x:c r="B148" s="90" t="n">
        <x:f>IF('Datos_fuente'!B148="","",LN('Datos_fuente'!B148))</x:f>
        <x:v>7.990832794136088</x:v>
      </x:c>
      <x:c r="C148" s="90" t="n">
        <x:f>IF(OR(B148="",B147=""),"",B148-B147)</x:f>
        <x:v>0.012492685166002993</x:v>
      </x:c>
      <x:c r="D148" s="90" t="n">
        <x:f>IF('Datos_fuente'!C148="","",LN('Datos_fuente'!C148))</x:f>
        <x:v>4.051919326078488</x:v>
      </x:c>
      <x:c r="E148" s="90" t="n">
        <x:f>IF(OR(D148="",D147=""),"",D148-D147)</x:f>
        <x:v>0.023841762128033572</x:v>
      </x:c>
      <x:c r="F148" s="90" t="n">
        <x:f>IF('Datos_fuente'!E148="","",LN('Datos_fuente'!E148))</x:f>
        <x:v>8.640072552052924</x:v>
      </x:c>
      <x:c r="G148" s="90" t="n">
        <x:f>IF(OR(F148="",F147=""),"",F148-F147)</x:f>
        <x:v>0.01878064070837482</x:v>
      </x:c>
      <x:c r="H148" s="55" t="n">
        <x:f>'Datos_fuente'!H148</x:f>
        <x:v>4.083870968</x:v>
      </x:c>
      <x:c r="I148" s="55" t="n">
        <x:f>IF(OR(H148="",H147=""),"",H148-H147)</x:f>
        <x:v>-0.016129031999999377</x:v>
      </x:c>
      <x:c r="J148" s="55" t="n">
        <x:f>'Datos_fuente'!J148</x:f>
        <x:v>3.21711332</x:v>
      </x:c>
      <x:c r="K148" s="55" t="n">
        <x:f>IF(OR(J148="",J147=""),"",J148-J147)</x:f>
        <x:v>-0.20039713199999998</x:v>
      </x:c>
      <x:c r="L148" s="90" t="n">
        <x:f>IF('Datos_fuente'!K148="","",LN('Datos_fuente'!K148))</x:f>
        <x:v>4.708531289953852</x:v>
      </x:c>
      <x:c r="M148" s="90" t="n">
        <x:f>IF(OR(L148="",L147=""),"",L148-L147)</x:f>
        <x:v>0.01852150441176459</x:v>
      </x:c>
      <x:c r="N148" s="90" t="n">
        <x:f>IF('Datos_fuente'!L148="","",LN('Datos_fuente'!L148))</x:f>
        <x:v>2.3150525058120657</x:v>
      </x:c>
      <x:c r="O148" s="90" t="n">
        <x:f>IF(OR(N148="",N147=""),"",N148-N147)</x:f>
        <x:v>-0.030400487409155907</x:v>
      </x:c>
      <x:c r="P148" s="88" t="n">
        <x:f>'Datos_fuente'!N148</x:f>
        <x:v>0</x:v>
      </x:c>
      <x:c r="Q148" s="90" t="n">
        <x:f>IF('Datos_fuente'!O148="","",LN('Datos_fuente'!O148))</x:f>
        <x:v>10.766542894849838</x:v>
      </x:c>
      <x:c r="R148" s="90" t="n">
        <x:f>IF(OR(Q148="",Q147=""),"",Q148-Q147)</x:f>
        <x:v>-0.0022485745190916617</x:v>
      </x:c>
      <x:c r="S148" s="55" t="n">
        <x:f>'Datos_fuente'!R148</x:f>
        <x:v>4.367142857</x:v>
      </x:c>
      <x:c r="T148" s="55" t="n">
        <x:f>IF(OR(S148="",S147=""),"",S148-S147)</x:f>
        <x:v>-0.22704761899999948</x:v>
      </x:c>
      <x:c r="U148" s="90" t="n">
        <x:f>IF('Datos_fuente'!S148="","",ASINH('Datos_fuente'!S148/1000))</x:f>
        <x:v>0.0180190248988777</x:v>
      </x:c>
      <x:c r="V148" s="90" t="n">
        <x:f>IF(OR(U148="",U147=""),"",U148-U147)</x:f>
        <x:v>0.12170315074690462</x:v>
      </x:c>
      <x:c r="W148" s="90" t="n">
        <x:f>IF('Datos_fuente'!T148="","",ASINH('Datos_fuente'!T148/1000))</x:f>
        <x:v>-0.47702199270936846</x:v>
      </x:c>
      <x:c r="X148" s="90" t="n">
        <x:f>IF(OR(W148="",W147=""),"",W148-W147)</x:f>
        <x:v>-0.2688879706426705</x:v>
      </x:c>
      <x:c r="Y148" s="55" t="n">
        <x:f>'Datos_fuente'!W148</x:f>
        <x:v>2.007672853</x:v>
      </x:c>
      <x:c r="Z148" s="55" t="n">
        <x:f>IF(OR(Y148="",Y147=""),"",Y148-Y147)</x:f>
        <x:v>0.2699850129999999</x:v>
      </x:c>
      <x:c r="AA148" s="90" t="n">
        <x:f>'Datos_fuente'!AA148</x:f>
        <x:v>0.7486497355</x:v>
      </x:c>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t="str">
        <x:f>'Datos_fuente'!A149</x:f>
        <x:v>2017-11</x:v>
      </x:c>
      <x:c r="B149" s="90" t="n">
        <x:f>IF('Datos_fuente'!B149="","",LN('Datos_fuente'!B149))</x:f>
        <x:v>8.010846411637432</x:v>
      </x:c>
      <x:c r="C149" s="90" t="n">
        <x:f>IF(OR(B149="",B148=""),"",B149-B148)</x:f>
        <x:v>0.020013617501344783</x:v>
      </x:c>
      <x:c r="D149" s="90" t="n">
        <x:f>IF('Datos_fuente'!C149="","",LN('Datos_fuente'!C149))</x:f>
        <x:v>4.138586157796355</x:v>
      </x:c>
      <x:c r="E149" s="90" t="n">
        <x:f>IF(OR(D149="",D148=""),"",D149-D148)</x:f>
        <x:v>0.08666683171786715</x:v>
      </x:c>
      <x:c r="F149" s="90" t="n">
        <x:f>IF('Datos_fuente'!E149="","",LN('Datos_fuente'!E149))</x:f>
        <x:v>8.648868612791148</x:v>
      </x:c>
      <x:c r="G149" s="90" t="n">
        <x:f>IF(OR(F149="",F148=""),"",F149-F148)</x:f>
        <x:v>0.008796060738223588</x:v>
      </x:c>
      <x:c r="H149" s="55" t="n">
        <x:f>'Datos_fuente'!H149</x:f>
        <x:v>3.806666667</x:v>
      </x:c>
      <x:c r="I149" s="55" t="n">
        <x:f>IF(OR(H149="",H148=""),"",H149-H148)</x:f>
        <x:v>-0.27720430100000026</x:v>
      </x:c>
      <x:c r="J149" s="55" t="n">
        <x:f>'Datos_fuente'!J149</x:f>
        <x:v>3.399337069</x:v>
      </x:c>
      <x:c r="K149" s="55" t="n">
        <x:f>IF(OR(J149="",J148=""),"",J149-J148)</x:f>
        <x:v>0.18222374899999982</x:v>
      </x:c>
      <x:c r="L149" s="90" t="n">
        <x:f>IF('Datos_fuente'!K149="","",LN('Datos_fuente'!K149))</x:f>
        <x:v>4.711002315418658</x:v>
      </x:c>
      <x:c r="M149" s="90" t="n">
        <x:f>IF(OR(L149="",L148=""),"",L149-L148)</x:f>
        <x:v>0.0024710254648061536</x:v>
      </x:c>
      <x:c r="N149" s="90" t="n">
        <x:f>IF('Datos_fuente'!L149="","",LN('Datos_fuente'!L149))</x:f>
        <x:v>2.35522272140955</x:v>
      </x:c>
      <x:c r="O149" s="90" t="n">
        <x:f>IF(OR(N149="",N148=""),"",N149-N148)</x:f>
        <x:v>0.04017021559748413</x:v>
      </x:c>
      <x:c r="P149" s="88" t="n">
        <x:f>'Datos_fuente'!N149</x:f>
        <x:v>0</x:v>
      </x:c>
      <x:c r="Q149" s="90" t="n">
        <x:f>IF('Datos_fuente'!O149="","",LN('Datos_fuente'!O149))</x:f>
        <x:v>10.766277502682835</x:v>
      </x:c>
      <x:c r="R149" s="90" t="n">
        <x:f>IF(OR(Q149="",Q148=""),"",Q149-Q148)</x:f>
        <x:v>-0.00026539216700349755</x:v>
      </x:c>
      <x:c r="S149" s="55" t="n">
        <x:f>'Datos_fuente'!R149</x:f>
        <x:v>4.534166667</x:v>
      </x:c>
      <x:c r="T149" s="55" t="n">
        <x:f>IF(OR(S149="",S148=""),"",S149-S148)</x:f>
        <x:v>0.16702380999999988</x:v>
      </x:c>
      <x:c r="U149" s="90" t="n">
        <x:f>IF('Datos_fuente'!S149="","",ASINH('Datos_fuente'!S149/1000))</x:f>
        <x:v>-0.07717337322876054</x:v>
      </x:c>
      <x:c r="V149" s="90" t="n">
        <x:f>IF(OR(U149="",U148=""),"",U149-U148)</x:f>
        <x:v>-0.09519239812763824</x:v>
      </x:c>
      <x:c r="W149" s="90" t="n">
        <x:f>IF('Datos_fuente'!T149="","",ASINH('Datos_fuente'!T149/1000))</x:f>
        <x:v>-0.33449728107524274</x:v>
      </x:c>
      <x:c r="X149" s="90" t="n">
        <x:f>IF(OR(W149="",W148=""),"",W149-W148)</x:f>
        <x:v>0.14252471163412572</x:v>
      </x:c>
      <x:c r="Y149" s="55" t="n">
        <x:f>'Datos_fuente'!W149</x:f>
        <x:v>1.916903743</x:v>
      </x:c>
      <x:c r="Z149" s="55" t="n">
        <x:f>IF(OR(Y149="",Y148=""),"",Y149-Y148)</x:f>
        <x:v>-0.09076910999999988</x:v>
      </x:c>
      <x:c r="AA149" s="90" t="n">
        <x:f>'Datos_fuente'!AA149</x:f>
        <x:v>0.2866448418</x:v>
      </x:c>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t="str">
        <x:f>'Datos_fuente'!A150</x:f>
        <x:v>2017-12</x:v>
      </x:c>
      <x:c r="B150" s="90" t="n">
        <x:f>IF('Datos_fuente'!B150="","",LN('Datos_fuente'!B150))</x:f>
        <x:v>8.003617768749587</x:v>
      </x:c>
      <x:c r="C150" s="90" t="n">
        <x:f>IF(OR(B150="",B149=""),"",B150-B149)</x:f>
        <x:v>-0.007228642887845638</x:v>
      </x:c>
      <x:c r="D150" s="90" t="n">
        <x:f>IF('Datos_fuente'!C150="","",LN('Datos_fuente'!C150))</x:f>
        <x:v>4.164704919318701</x:v>
      </x:c>
      <x:c r="E150" s="90" t="n">
        <x:f>IF(OR(D150="",D149=""),"",D150-D149)</x:f>
        <x:v>0.026118761522345935</x:v>
      </x:c>
      <x:c r="F150" s="90" t="n">
        <x:f>IF('Datos_fuente'!E150="","",LN('Datos_fuente'!E150))</x:f>
        <x:v>8.662800624269046</x:v>
      </x:c>
      <x:c r="G150" s="90" t="n">
        <x:f>IF(OR(F150="",F149=""),"",F150-F149)</x:f>
        <x:v>0.013932011477898243</x:v>
      </x:c>
      <x:c r="H150" s="55" t="n">
        <x:f>'Datos_fuente'!H150</x:f>
        <x:v>3.45</x:v>
      </x:c>
      <x:c r="I150" s="55" t="n">
        <x:f>IF(OR(H150="",H149=""),"",H150-H149)</x:f>
        <x:v>-0.3566666669999998</x:v>
      </x:c>
      <x:c r="J150" s="55" t="n">
        <x:f>'Datos_fuente'!J150</x:f>
        <x:v>3.654192719</x:v>
      </x:c>
      <x:c r="K150" s="55" t="n">
        <x:f>IF(OR(J150="",J149=""),"",J150-J149)</x:f>
        <x:v>0.2548556500000001</x:v>
      </x:c>
      <x:c r="L150" s="90" t="n">
        <x:f>IF('Datos_fuente'!K150="","",LN('Datos_fuente'!K150))</x:f>
        <x:v>4.7084107461272975</x:v>
      </x:c>
      <x:c r="M150" s="90" t="n">
        <x:f>IF(OR(L150="",L149=""),"",L150-L149)</x:f>
        <x:v>-0.002591569291360507</x:v>
      </x:c>
      <x:c r="N150" s="90" t="n">
        <x:f>IF('Datos_fuente'!L150="","",LN('Datos_fuente'!L150))</x:f>
        <x:v>2.328691340078525</x:v>
      </x:c>
      <x:c r="O150" s="90" t="n">
        <x:f>IF(OR(N150="",N149=""),"",N150-N149)</x:f>
        <x:v>-0.02653138133102484</x:v>
      </x:c>
      <x:c r="P150" s="88" t="n">
        <x:f>'Datos_fuente'!N150</x:f>
        <x:v>0</x:v>
      </x:c>
      <x:c r="Q150" s="90" t="n">
        <x:f>IF('Datos_fuente'!O150="","",LN('Datos_fuente'!O150))</x:f>
        <x:v>10.771197938227518</x:v>
      </x:c>
      <x:c r="R150" s="90" t="n">
        <x:f>IF(OR(Q150="",Q149=""),"",Q150-Q149)</x:f>
        <x:v>0.004920435544683244</x:v>
      </x:c>
      <x:c r="S150" s="55" t="n">
        <x:f>'Datos_fuente'!R150</x:f>
        <x:v>4.358611111</x:v>
      </x:c>
      <x:c r="T150" s="55" t="n">
        <x:f>IF(OR(S150="",S149=""),"",S150-S149)</x:f>
        <x:v>-0.17555555599999995</x:v>
      </x:c>
      <x:c r="U150" s="90" t="n">
        <x:f>IF('Datos_fuente'!S150="","",ASINH('Datos_fuente'!S150/1000))</x:f>
        <x:v>-0.13925944908498272</x:v>
      </x:c>
      <x:c r="V150" s="90" t="n">
        <x:f>IF(OR(U150="",U149=""),"",U150-U149)</x:f>
        <x:v>-0.06208607585622218</x:v>
      </x:c>
      <x:c r="W150" s="90" t="n">
        <x:f>IF('Datos_fuente'!T150="","",ASINH('Datos_fuente'!T150/1000))</x:f>
        <x:v>-0.0026199970025545384</x:v>
      </x:c>
      <x:c r="X150" s="90" t="n">
        <x:f>IF(OR(W150="",W149=""),"",W150-W149)</x:f>
        <x:v>0.3318772840726882</x:v>
      </x:c>
      <x:c r="Y150" s="55" t="n">
        <x:f>'Datos_fuente'!W150</x:f>
        <x:v>1.982851797</x:v>
      </x:c>
      <x:c r="Z150" s="55" t="n">
        <x:f>IF(OR(Y150="",Y149=""),"",Y150-Y149)</x:f>
        <x:v>0.06594805399999992</x:v>
      </x:c>
      <x:c r="AA150" s="90" t="n">
        <x:f>'Datos_fuente'!AA150</x:f>
        <x:v>0.1671575097</x:v>
      </x:c>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t="str">
        <x:f>'Datos_fuente'!A151</x:f>
        <x:v>2018-01</x:v>
      </x:c>
      <x:c r="B151" s="90" t="n">
        <x:f>IF('Datos_fuente'!B151="","",LN('Datos_fuente'!B151))</x:f>
        <x:v>7.961569713893737</x:v>
      </x:c>
      <x:c r="C151" s="90" t="n">
        <x:f>IF(OR(B151="",B150=""),"",B151-B150)</x:f>
        <x:v>-0.04204805485584995</x:v>
      </x:c>
      <x:c r="D151" s="90" t="n">
        <x:f>IF('Datos_fuente'!C151="","",LN('Datos_fuente'!C151))</x:f>
        <x:v>4.235225772620725</x:v>
      </x:c>
      <x:c r="E151" s="90" t="n">
        <x:f>IF(OR(D151="",D150=""),"",D151-D150)</x:f>
        <x:v>0.07052085330202473</x:v>
      </x:c>
      <x:c r="F151" s="90" t="n">
        <x:f>IF('Datos_fuente'!E151="","",LN('Datos_fuente'!E151))</x:f>
        <x:v>8.679041596162527</x:v>
      </x:c>
      <x:c r="G151" s="90" t="n">
        <x:f>IF(OR(F151="",F150=""),"",F151-F150)</x:f>
        <x:v>0.01624097189348106</x:v>
      </x:c>
      <x:c r="H151" s="55" t="n">
        <x:f>'Datos_fuente'!H151</x:f>
        <x:v>3.323870968</x:v>
      </x:c>
      <x:c r="I151" s="55" t="n">
        <x:f>IF(OR(H151="",H150=""),"",H151-H150)</x:f>
        <x:v>-0.12612903200000014</x:v>
      </x:c>
      <x:c r="J151" s="55" t="n">
        <x:f>'Datos_fuente'!J151</x:f>
        <x:v>2.85513929</x:v>
      </x:c>
      <x:c r="K151" s="55" t="n">
        <x:f>IF(OR(J151="",J150=""),"",J151-J150)</x:f>
        <x:v>-0.7990534290000002</x:v>
      </x:c>
      <x:c r="L151" s="90" t="n">
        <x:f>IF('Datos_fuente'!K151="","",LN('Datos_fuente'!K151))</x:f>
        <x:v>4.685429265943765</x:v>
      </x:c>
      <x:c r="M151" s="90" t="n">
        <x:f>IF(OR(L151="",L150=""),"",L151-L150)</x:f>
        <x:v>-0.022981480183532632</x:v>
      </x:c>
      <x:c r="N151" s="90" t="n">
        <x:f>IF('Datos_fuente'!L151="","",LN('Datos_fuente'!L151))</x:f>
        <x:v>2.403550248694221</x:v>
      </x:c>
      <x:c r="O151" s="90" t="n">
        <x:f>IF(OR(N151="",N150=""),"",N151-N150)</x:f>
        <x:v>0.07485890861569588</x:v>
      </x:c>
      <x:c r="P151" s="88" t="n">
        <x:f>'Datos_fuente'!N151</x:f>
        <x:v>0</x:v>
      </x:c>
      <x:c r="Q151" s="90" t="n">
        <x:f>IF('Datos_fuente'!O151="","",LN('Datos_fuente'!O151))</x:f>
        <x:v>10.77444466948557</x:v>
      </x:c>
      <x:c r="R151" s="90" t="n">
        <x:f>IF(OR(Q151="",Q150=""),"",Q151-Q150)</x:f>
        <x:v>0.0032467312580521934</x:v>
      </x:c>
      <x:c r="S151" s="55" t="n">
        <x:f>'Datos_fuente'!R151</x:f>
        <x:v>4.116190476</x:v>
      </x:c>
      <x:c r="T151" s="55" t="n">
        <x:f>IF(OR(S151="",S150=""),"",S151-S150)</x:f>
        <x:v>-0.24242063500000022</x:v>
      </x:c>
      <x:c r="U151" s="90" t="n">
        <x:f>IF('Datos_fuente'!S151="","",ASINH('Datos_fuente'!S151/1000))</x:f>
        <x:v>-0.2258354356703735</x:v>
      </x:c>
      <x:c r="V151" s="90" t="n">
        <x:f>IF(OR(U151="",U150=""),"",U151-U150)</x:f>
        <x:v>-0.08657598658539079</x:v>
      </x:c>
      <x:c r="W151" s="90" t="n">
        <x:f>IF('Datos_fuente'!T151="","",ASINH('Datos_fuente'!T151/1000))</x:f>
        <x:v>0.14032898137717884</x:v>
      </x:c>
      <x:c r="X151" s="90" t="n">
        <x:f>IF(OR(W151="",W150=""),"",W151-W150)</x:f>
        <x:v>0.14294897837973336</x:v>
      </x:c>
      <x:c r="Y151" s="55" t="n">
        <x:f>'Datos_fuente'!W151</x:f>
        <x:v>1.607604424</x:v>
      </x:c>
      <x:c r="Z151" s="55" t="n">
        <x:f>IF(OR(Y151="",Y150=""),"",Y151-Y150)</x:f>
        <x:v>-0.3752473729999999</x:v>
      </x:c>
      <x:c r="AA151" s="90" t="n">
        <x:f>'Datos_fuente'!AA151</x:f>
        <x:v>-1.076734371</x:v>
      </x:c>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t="str">
        <x:f>'Datos_fuente'!A152</x:f>
        <x:v>2018-02</x:v>
      </x:c>
      <x:c r="B152" s="90" t="n">
        <x:f>IF('Datos_fuente'!B152="","",LN('Datos_fuente'!B152))</x:f>
        <x:v>7.95866531144429</x:v>
      </x:c>
      <x:c r="C152" s="90" t="n">
        <x:f>IF(OR(B152="",B151=""),"",B152-B151)</x:f>
        <x:v>-0.002904402449447119</x:v>
      </x:c>
      <x:c r="D152" s="90" t="n">
        <x:f>IF('Datos_fuente'!C152="","",LN('Datos_fuente'!C152))</x:f>
        <x:v>4.179259994252868</x:v>
      </x:c>
      <x:c r="E152" s="90" t="n">
        <x:f>IF(OR(D152="",D151=""),"",D152-D151)</x:f>
        <x:v>-0.055965778367857766</x:v>
      </x:c>
      <x:c r="F152" s="90" t="n">
        <x:f>IF('Datos_fuente'!E152="","",LN('Datos_fuente'!E152))</x:f>
        <x:v>8.69257237225472</x:v>
      </x:c>
      <x:c r="G152" s="90" t="n">
        <x:f>IF(OR(F152="",F151=""),"",F152-F151)</x:f>
        <x:v>0.013530776092192554</x:v>
      </x:c>
      <x:c r="H152" s="55" t="n">
        <x:f>'Datos_fuente'!H152</x:f>
        <x:v>3.08</x:v>
      </x:c>
      <x:c r="I152" s="55" t="n">
        <x:f>IF(OR(H152="",H151=""),"",H152-H151)</x:f>
        <x:v>-0.24387096799999997</x:v>
      </x:c>
      <x:c r="J152" s="55" t="n">
        <x:f>'Datos_fuente'!J152</x:f>
        <x:v>2.815829311</x:v>
      </x:c>
      <x:c r="K152" s="55" t="n">
        <x:f>IF(OR(J152="",J151=""),"",J152-J151)</x:f>
        <x:v>-0.039309978999999995</x:v>
      </x:c>
      <x:c r="L152" s="90" t="n">
        <x:f>IF('Datos_fuente'!K152="","",LN('Datos_fuente'!K152))</x:f>
        <x:v>4.678886103512726</x:v>
      </x:c>
      <x:c r="M152" s="90" t="n">
        <x:f>IF(OR(L152="",L151=""),"",L152-L151)</x:f>
        <x:v>-0.006543162431039029</x:v>
      </x:c>
      <x:c r="N152" s="90" t="n">
        <x:f>IF('Datos_fuente'!L152="","",LN('Datos_fuente'!L152))</x:f>
        <x:v>3.111946828231388</x:v>
      </x:c>
      <x:c r="O152" s="90" t="n">
        <x:f>IF(OR(N152="",N151=""),"",N152-N151)</x:f>
        <x:v>0.7083965795371672</x:v>
      </x:c>
      <x:c r="P152" s="88" t="n">
        <x:f>'Datos_fuente'!N152</x:f>
        <x:v>0</x:v>
      </x:c>
      <x:c r="Q152" s="90" t="n">
        <x:f>IF('Datos_fuente'!O152="","",LN('Datos_fuente'!O152))</x:f>
        <x:v>10.77136001108088</x:v>
      </x:c>
      <x:c r="R152" s="90" t="n">
        <x:f>IF(OR(Q152="",Q151=""),"",Q152-Q151)</x:f>
        <x:v>-0.003084658404690188</x:v>
      </x:c>
      <x:c r="S152" s="55" t="n">
        <x:f>'Datos_fuente'!R152</x:f>
        <x:v>3.997552632</x:v>
      </x:c>
      <x:c r="T152" s="55" t="n">
        <x:f>IF(OR(S152="",S151=""),"",S152-S151)</x:f>
        <x:v>-0.11863784399999977</x:v>
      </x:c>
      <x:c r="U152" s="90" t="n">
        <x:f>IF('Datos_fuente'!S152="","",ASINH('Datos_fuente'!S152/1000))</x:f>
        <x:v>0.008579894732035262</x:v>
      </x:c>
      <x:c r="V152" s="90" t="n">
        <x:f>IF(OR(U152="",U151=""),"",U152-U151)</x:f>
        <x:v>0.23441533040240878</x:v>
      </x:c>
      <x:c r="W152" s="90" t="n">
        <x:f>IF('Datos_fuente'!T152="","",ASINH('Datos_fuente'!T152/1000))</x:f>
        <x:v>-0.4124832707243171</x:v>
      </x:c>
      <x:c r="X152" s="90" t="n">
        <x:f>IF(OR(W152="",W151=""),"",W152-W151)</x:f>
        <x:v>-0.552812252101496</x:v>
      </x:c>
      <x:c r="Y152" s="55" t="n">
        <x:f>'Datos_fuente'!W152</x:f>
        <x:v>1.166796306</x:v>
      </x:c>
      <x:c r="Z152" s="55" t="n">
        <x:f>IF(OR(Y152="",Y151=""),"",Y152-Y151)</x:f>
        <x:v>-0.4408081180000001</x:v>
      </x:c>
      <x:c r="AA152" s="90" t="n">
        <x:f>'Datos_fuente'!AA152</x:f>
        <x:v>-0.3920744427</x:v>
      </x:c>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t="str">
        <x:f>'Datos_fuente'!A153</x:f>
        <x:v>2018-03</x:v>
      </x:c>
      <x:c r="B153" s="90" t="n">
        <x:f>IF('Datos_fuente'!B153="","",LN('Datos_fuente'!B153))</x:f>
        <x:v>7.954347920058381</x:v>
      </x:c>
      <x:c r="C153" s="90" t="n">
        <x:f>IF(OR(B153="",B152=""),"",B153-B152)</x:f>
        <x:v>-0.00431739138590892</x:v>
      </x:c>
      <x:c r="D153" s="90" t="n">
        <x:f>IF('Datos_fuente'!C153="","",LN('Datos_fuente'!C153))</x:f>
        <x:v>4.189907235450308</x:v>
      </x:c>
      <x:c r="E153" s="90" t="n">
        <x:f>IF(OR(D153="",D152=""),"",D153-D152)</x:f>
        <x:v>0.010647241197440316</x:v>
      </x:c>
      <x:c r="F153" s="90" t="n">
        <x:f>IF('Datos_fuente'!E153="","",LN('Datos_fuente'!E153))</x:f>
        <x:v>8.696021988955298</x:v>
      </x:c>
      <x:c r="G153" s="90" t="n">
        <x:f>IF(OR(F153="",F152=""),"",F153-F152)</x:f>
        <x:v>0.0034496167005784173</x:v>
      </x:c>
      <x:c r="H153" s="55" t="n">
        <x:f>'Datos_fuente'!H153</x:f>
        <x:v>2.99</x:v>
      </x:c>
      <x:c r="I153" s="55" t="n">
        <x:f>IF(OR(H153="",H152=""),"",H153-H152)</x:f>
        <x:v>-0.08999999999999986</x:v>
      </x:c>
      <x:c r="J153" s="55" t="n">
        <x:f>'Datos_fuente'!J153</x:f>
        <x:v>2.844060995</x:v>
      </x:c>
      <x:c r="K153" s="55" t="n">
        <x:f>IF(OR(J153="",J152=""),"",J153-J152)</x:f>
        <x:v>0.02823168400000009</x:v>
      </x:c>
      <x:c r="L153" s="90" t="n">
        <x:f>IF('Datos_fuente'!K153="","",LN('Datos_fuente'!K153))</x:f>
        <x:v>4.681641987095461</x:v>
      </x:c>
      <x:c r="M153" s="90" t="n">
        <x:f>IF(OR(L153="",L152=""),"",L153-L152)</x:f>
        <x:v>0.0027558835827354855</x:v>
      </x:c>
      <x:c r="N153" s="90" t="n">
        <x:f>IF('Datos_fuente'!L153="","",LN('Datos_fuente'!L153))</x:f>
        <x:v>2.945691327282656</x:v>
      </x:c>
      <x:c r="O153" s="90" t="n">
        <x:f>IF(OR(N153="",N152=""),"",N153-N152)</x:f>
        <x:v>-0.16625550094873187</x:v>
      </x:c>
      <x:c r="P153" s="88" t="n">
        <x:f>'Datos_fuente'!N153</x:f>
        <x:v>0</x:v>
      </x:c>
      <x:c r="Q153" s="90" t="n">
        <x:f>IF('Datos_fuente'!O153="","",LN('Datos_fuente'!O153))</x:f>
        <x:v>10.77076260481416</x:v>
      </x:c>
      <x:c r="R153" s="90" t="n">
        <x:f>IF(OR(Q153="",Q152=""),"",Q153-Q152)</x:f>
        <x:v>-0.0005974062667206681</x:v>
      </x:c>
      <x:c r="S153" s="55" t="n">
        <x:f>'Datos_fuente'!R153</x:f>
        <x:v>4.116566416</x:v>
      </x:c>
      <x:c r="T153" s="55" t="n">
        <x:f>IF(OR(S153="",S152=""),"",S153-S152)</x:f>
        <x:v>0.11901378400000029</x:v>
      </x:c>
      <x:c r="U153" s="90" t="n">
        <x:f>IF('Datos_fuente'!S153="","",ASINH('Datos_fuente'!S153/1000))</x:f>
        <x:v>-0.11875070475184654</x:v>
      </x:c>
      <x:c r="V153" s="90" t="n">
        <x:f>IF(OR(U153="",U152=""),"",U153-U152)</x:f>
        <x:v>-0.1273305994838818</x:v>
      </x:c>
      <x:c r="W153" s="90" t="n">
        <x:f>IF('Datos_fuente'!T153="","",ASINH('Datos_fuente'!T153/1000))</x:f>
        <x:v>-0.03064520314427595</x:v>
      </x:c>
      <x:c r="X153" s="90" t="n">
        <x:f>IF(OR(W153="",W152=""),"",W153-W152)</x:f>
        <x:v>0.3818380675800412</x:v>
      </x:c>
      <x:c r="Y153" s="55" t="n">
        <x:f>'Datos_fuente'!W153</x:f>
        <x:v>0.7724905654</x:v>
      </x:c>
      <x:c r="Z153" s="55" t="n">
        <x:f>IF(OR(Y153="",Y152=""),"",Y153-Y152)</x:f>
        <x:v>-0.3943057405999999</x:v>
      </x:c>
      <x:c r="AA153" s="90" t="n">
        <x:f>'Datos_fuente'!AA153</x:f>
        <x:v>0.150486674</x:v>
      </x:c>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t="str">
        <x:f>'Datos_fuente'!A154</x:f>
        <x:v>2018-04</x:v>
      </x:c>
      <x:c r="B154" s="90" t="n">
        <x:f>IF('Datos_fuente'!B154="","",LN('Datos_fuente'!B154))</x:f>
        <x:v>7.925260543793125</x:v>
      </x:c>
      <x:c r="C154" s="90" t="n">
        <x:f>IF(OR(B154="",B153=""),"",B154-B153)</x:f>
        <x:v>-0.029087376265255926</x:v>
      </x:c>
      <x:c r="D154" s="90" t="n">
        <x:f>IF('Datos_fuente'!C154="","",LN('Datos_fuente'!C154))</x:f>
        <x:v>4.278137258581618</x:v>
      </x:c>
      <x:c r="E154" s="90" t="n">
        <x:f>IF(OR(D154="",D153=""),"",D154-D153)</x:f>
        <x:v>0.08823002313131045</x:v>
      </x:c>
      <x:c r="F154" s="90" t="n">
        <x:f>IF('Datos_fuente'!E154="","",LN('Datos_fuente'!E154))</x:f>
        <x:v>8.718182745128603</x:v>
      </x:c>
      <x:c r="G154" s="90" t="n">
        <x:f>IF(OR(F154="",F153=""),"",F154-F153)</x:f>
        <x:v>0.02216075617330482</x:v>
      </x:c>
      <x:c r="H154" s="55" t="n">
        <x:f>'Datos_fuente'!H154</x:f>
        <x:v>2.801666667</x:v>
      </x:c>
      <x:c r="I154" s="55" t="n">
        <x:f>IF(OR(H154="",H153=""),"",H154-H153)</x:f>
        <x:v>-0.1883333330000001</x:v>
      </x:c>
      <x:c r="J154" s="55" t="n">
        <x:f>'Datos_fuente'!J154</x:f>
        <x:v>3.178393375</x:v>
      </x:c>
      <x:c r="K154" s="55" t="n">
        <x:f>IF(OR(J154="",J153=""),"",J154-J153)</x:f>
        <x:v>0.3343323800000002</x:v>
      </x:c>
      <x:c r="L154" s="90" t="n">
        <x:f>IF('Datos_fuente'!K154="","",LN('Datos_fuente'!K154))</x:f>
        <x:v>4.6816066182447456</x:v>
      </x:c>
      <x:c r="M154" s="90" t="n">
        <x:f>IF(OR(L154="",L153=""),"",L154-L153)</x:f>
        <x:v>-0.000035368850715755684</x:v>
      </x:c>
      <x:c r="N154" s="90" t="n">
        <x:f>IF('Datos_fuente'!L154="","",LN('Datos_fuente'!L154))</x:f>
        <x:v>2.905130041700456</x:v>
      </x:c>
      <x:c r="O154" s="90" t="n">
        <x:f>IF(OR(N154="",N153=""),"",N154-N153)</x:f>
        <x:v>-0.04056128558219996</x:v>
      </x:c>
      <x:c r="P154" s="88" t="n">
        <x:f>'Datos_fuente'!N154</x:f>
        <x:v>0</x:v>
      </x:c>
      <x:c r="Q154" s="90" t="n">
        <x:f>IF('Datos_fuente'!O154="","",LN('Datos_fuente'!O154))</x:f>
        <x:v>10.768574459704412</x:v>
      </x:c>
      <x:c r="R154" s="90" t="n">
        <x:f>IF(OR(Q154="",Q153=""),"",Q154-Q153)</x:f>
        <x:v>-0.002188145109746742</x:v>
      </x:c>
      <x:c r="S154" s="55" t="n">
        <x:f>'Datos_fuente'!R154</x:f>
        <x:v>3.796666667</x:v>
      </x:c>
      <x:c r="T154" s="55" t="n">
        <x:f>IF(OR(S154="",S153=""),"",S154-S153)</x:f>
        <x:v>-0.3198997490000002</x:v>
      </x:c>
      <x:c r="U154" s="90" t="n">
        <x:f>IF('Datos_fuente'!S154="","",ASINH('Datos_fuente'!S154/1000))</x:f>
        <x:v>-0.022438117136160077</x:v>
      </x:c>
      <x:c r="V154" s="90" t="n">
        <x:f>IF(OR(U154="",U153=""),"",U154-U153)</x:f>
        <x:v>0.09631258761568647</x:v>
      </x:c>
      <x:c r="W154" s="90" t="n">
        <x:f>IF('Datos_fuente'!T154="","",ASINH('Datos_fuente'!T154/1000))</x:f>
        <x:v>-0.3380164439139909</x:v>
      </x:c>
      <x:c r="X154" s="90" t="n">
        <x:f>IF(OR(W154="",W153=""),"",W154-W153)</x:f>
        <x:v>-0.30737124076971495</x:v>
      </x:c>
      <x:c r="Y154" s="55" t="n">
        <x:f>'Datos_fuente'!W154</x:f>
        <x:v>0.6651884933</x:v>
      </x:c>
      <x:c r="Z154" s="55" t="n">
        <x:f>IF(OR(Y154="",Y153=""),"",Y154-Y153)</x:f>
        <x:v>-0.10730207210000009</x:v>
      </x:c>
      <x:c r="AA154" s="90" t="n">
        <x:f>'Datos_fuente'!AA154</x:f>
        <x:v>-0.003140086552</x:v>
      </x:c>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t="str">
        <x:f>'Datos_fuente'!A155</x:f>
        <x:v>2018-05</x:v>
      </x:c>
      <x:c r="B155" s="90" t="n">
        <x:f>IF('Datos_fuente'!B155="","",LN('Datos_fuente'!B155))</x:f>
        <x:v>7.959215093833613</x:v>
      </x:c>
      <x:c r="C155" s="90" t="n">
        <x:f>IF(OR(B155="",B154=""),"",B155-B154)</x:f>
        <x:v>0.03395455004048831</x:v>
      </x:c>
      <x:c r="D155" s="90" t="n">
        <x:f>IF('Datos_fuente'!C155="","",LN('Datos_fuente'!C155))</x:f>
        <x:v>4.3434837870178615</x:v>
      </x:c>
      <x:c r="E155" s="90" t="n">
        <x:f>IF(OR(D155="",D154=""),"",D155-D154)</x:f>
        <x:v>0.06534652843624311</x:v>
      </x:c>
      <x:c r="F155" s="90" t="n">
        <x:f>IF('Datos_fuente'!E155="","",LN('Datos_fuente'!E155))</x:f>
        <x:v>8.726820204512132</x:v>
      </x:c>
      <x:c r="G155" s="90" t="n">
        <x:f>IF(OR(F155="",F154=""),"",F155-F154)</x:f>
        <x:v>0.008637459383528778</x:v>
      </x:c>
      <x:c r="H155" s="55" t="n">
        <x:f>'Datos_fuente'!H155</x:f>
        <x:v>2.55</x:v>
      </x:c>
      <x:c r="I155" s="55" t="n">
        <x:f>IF(OR(H155="",H154=""),"",H155-H154)</x:f>
        <x:v>-0.2516666670000003</x:v>
      </x:c>
      <x:c r="J155" s="55" t="n">
        <x:f>'Datos_fuente'!J155</x:f>
        <x:v>3.254779019</x:v>
      </x:c>
      <x:c r="K155" s="55" t="n">
        <x:f>IF(OR(J155="",J154=""),"",J155-J154)</x:f>
        <x:v>0.0763856439999997</x:v>
      </x:c>
      <x:c r="L155" s="90" t="n">
        <x:f>IF('Datos_fuente'!K155="","",LN('Datos_fuente'!K155))</x:f>
        <x:v>4.709953903429805</x:v>
      </x:c>
      <x:c r="M155" s="90" t="n">
        <x:f>IF(OR(L155="",L154=""),"",L155-L154)</x:f>
        <x:v>0.02834728518505969</x:v>
      </x:c>
      <x:c r="N155" s="90" t="n">
        <x:f>IF('Datos_fuente'!L155="","",LN('Datos_fuente'!L155))</x:f>
        <x:v>2.647914095983727</x:v>
      </x:c>
      <x:c r="O155" s="90" t="n">
        <x:f>IF(OR(N155="",N154=""),"",N155-N154)</x:f>
        <x:v>-0.25721594571672934</x:v>
      </x:c>
      <x:c r="P155" s="88" t="n">
        <x:f>'Datos_fuente'!N155</x:f>
        <x:v>0</x:v>
      </x:c>
      <x:c r="Q155" s="90" t="n">
        <x:f>IF('Datos_fuente'!O155="","",LN('Datos_fuente'!O155))</x:f>
        <x:v>10.770651273514362</x:v>
      </x:c>
      <x:c r="R155" s="90" t="n">
        <x:f>IF(OR(Q155="",Q154=""),"",Q155-Q154)</x:f>
        <x:v>0.00207681380994984</x:v>
      </x:c>
      <x:c r="S155" s="55" t="n">
        <x:f>'Datos_fuente'!R155</x:f>
        <x:v>3.843225108</x:v>
      </x:c>
      <x:c r="T155" s="55" t="n">
        <x:f>IF(OR(S155="",S154=""),"",S155-S154)</x:f>
        <x:v>0.04655844099999973</x:v>
      </x:c>
      <x:c r="U155" s="90" t="n">
        <x:f>IF('Datos_fuente'!S155="","",ASINH('Datos_fuente'!S155/1000))</x:f>
        <x:v>-0.021838264144980205</x:v>
      </x:c>
      <x:c r="V155" s="90" t="n">
        <x:f>IF(OR(U155="",U154=""),"",U155-U154)</x:f>
        <x:v>0.0005998529911798722</x:v>
      </x:c>
      <x:c r="W155" s="90" t="n">
        <x:f>IF('Datos_fuente'!T155="","",ASINH('Datos_fuente'!T155/1000))</x:f>
        <x:v>-0.26856004497674313</x:v>
      </x:c>
      <x:c r="X155" s="90" t="n">
        <x:f>IF(OR(W155="",W154=""),"",W155-W154)</x:f>
        <x:v>0.06945639893724775</x:v>
      </x:c>
      <x:c r="Y155" s="55" t="n">
        <x:f>'Datos_fuente'!W155</x:f>
        <x:v>0.3617015603</x:v>
      </x:c>
      <x:c r="Z155" s="55" t="n">
        <x:f>IF(OR(Y155="",Y154=""),"",Y155-Y154)</x:f>
        <x:v>-0.30348693299999996</x:v>
      </x:c>
      <x:c r="AA155" s="90" t="n">
        <x:f>'Datos_fuente'!AA155</x:f>
        <x:v>1.746583369</x:v>
      </x:c>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t="str">
        <x:f>'Datos_fuente'!A156</x:f>
        <x:v>2018-06</x:v>
      </x:c>
      <x:c r="B156" s="90" t="n">
        <x:f>IF('Datos_fuente'!B156="","",LN('Datos_fuente'!B156))</x:f>
        <x:v>7.968904162859094</x:v>
      </x:c>
      <x:c r="C156" s="90" t="n">
        <x:f>IF(OR(B156="",B155=""),"",B156-B155)</x:f>
        <x:v>0.009689069025481167</x:v>
      </x:c>
      <x:c r="D156" s="90" t="n">
        <x:f>IF('Datos_fuente'!C156="","",LN('Datos_fuente'!C156))</x:f>
        <x:v>4.309519943823133</x:v>
      </x:c>
      <x:c r="E156" s="90" t="n">
        <x:f>IF(OR(D156="",D155=""),"",D156-D155)</x:f>
        <x:v>-0.03396384319472823</x:v>
      </x:c>
      <x:c r="F156" s="90" t="n">
        <x:f>IF('Datos_fuente'!E156="","",LN('Datos_fuente'!E156))</x:f>
        <x:v>8.728733686879412</x:v>
      </x:c>
      <x:c r="G156" s="90" t="n">
        <x:f>IF(OR(F156="",F155=""),"",F156-F155)</x:f>
        <x:v>0.0019134823672803947</x:v>
      </x:c>
      <x:c r="H156" s="55" t="n">
        <x:f>'Datos_fuente'!H156</x:f>
        <x:v>2.43</x:v>
      </x:c>
      <x:c r="I156" s="55" t="n">
        <x:f>IF(OR(H156="",H155=""),"",H156-H155)</x:f>
        <x:v>-0.11999999999999966</x:v>
      </x:c>
      <x:c r="J156" s="55" t="n">
        <x:f>'Datos_fuente'!J156</x:f>
        <x:v>3.251444614</x:v>
      </x:c>
      <x:c r="K156" s="55" t="n">
        <x:f>IF(OR(J156="",J155=""),"",J156-J155)</x:f>
        <x:v>-0.0033344049999999292</x:v>
      </x:c>
      <x:c r="L156" s="90" t="n">
        <x:f>IF('Datos_fuente'!K156="","",LN('Datos_fuente'!K156))</x:f>
        <x:v>4.726010047011805</x:v>
      </x:c>
      <x:c r="M156" s="90" t="n">
        <x:f>IF(OR(L156="",L155=""),"",L156-L155)</x:f>
        <x:v>0.01605614358199947</x:v>
      </x:c>
      <x:c r="N156" s="90" t="n">
        <x:f>IF('Datos_fuente'!L156="","",LN('Datos_fuente'!L156))</x:f>
        <x:v>2.61579566565795</x:v>
      </x:c>
      <x:c r="O156" s="90" t="n">
        <x:f>IF(OR(N156="",N155=""),"",N156-N155)</x:f>
        <x:v>-0.03211843032577688</x:v>
      </x:c>
      <x:c r="P156" s="88" t="n">
        <x:f>'Datos_fuente'!N156</x:f>
        <x:v>0</x:v>
      </x:c>
      <x:c r="Q156" s="90" t="n">
        <x:f>IF('Datos_fuente'!O156="","",LN('Datos_fuente'!O156))</x:f>
        <x:v>10.768297182914397</x:v>
      </x:c>
      <x:c r="R156" s="90" t="n">
        <x:f>IF(OR(Q156="",Q155=""),"",Q156-Q155)</x:f>
        <x:v>-0.002354090599965275</x:v>
      </x:c>
      <x:c r="S156" s="55" t="n">
        <x:f>'Datos_fuente'!R156</x:f>
        <x:v>3.988671679</x:v>
      </x:c>
      <x:c r="T156" s="55" t="n">
        <x:f>IF(OR(S156="",S155=""),"",S156-S155)</x:f>
        <x:v>0.1454465709999999</x:v>
      </x:c>
      <x:c r="U156" s="90" t="n">
        <x:f>IF('Datos_fuente'!S156="","",ASINH('Datos_fuente'!S156/1000))</x:f>
        <x:v>0.002229998151742944</x:v>
      </x:c>
      <x:c r="V156" s="90" t="n">
        <x:f>IF(OR(U156="",U155=""),"",U156-U155)</x:f>
        <x:v>0.02406826229672315</x:v>
      </x:c>
      <x:c r="W156" s="90" t="n">
        <x:f>IF('Datos_fuente'!T156="","",ASINH('Datos_fuente'!T156/1000))</x:f>
        <x:v>-0.2642730896848588</x:v>
      </x:c>
      <x:c r="X156" s="90" t="n">
        <x:f>IF(OR(W156="",W155=""),"",W156-W155)</x:f>
        <x:v>0.004286955291884331</x:v>
      </x:c>
      <x:c r="Y156" s="55" t="n">
        <x:f>'Datos_fuente'!W156</x:f>
        <x:v>0.3291172379</x:v>
      </x:c>
      <x:c r="Z156" s="55" t="n">
        <x:f>IF(OR(Y156="",Y155=""),"",Y156-Y155)</x:f>
        <x:v>-0.032584322399999976</x:v>
      </x:c>
      <x:c r="AA156" s="90" t="n">
        <x:f>'Datos_fuente'!AA156</x:f>
        <x:v>0.8905220415</x:v>
      </x:c>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t="str">
        <x:f>'Datos_fuente'!A157</x:f>
        <x:v>2018-07</x:v>
      </x:c>
      <x:c r="B157" s="90" t="n">
        <x:f>IF('Datos_fuente'!B157="","",LN('Datos_fuente'!B157))</x:f>
        <x:v>7.967391761971348</x:v>
      </x:c>
      <x:c r="C157" s="90" t="n">
        <x:f>IF(OR(B157="",B156=""),"",B157-B156)</x:f>
        <x:v>-0.0015124008877460682</x:v>
      </x:c>
      <x:c r="D157" s="90" t="n">
        <x:f>IF('Datos_fuente'!C157="","",LN('Datos_fuente'!C157))</x:f>
        <x:v>4.307492872596033</x:v>
      </x:c>
      <x:c r="E157" s="90" t="n">
        <x:f>IF(OR(D157="",D156=""),"",D157-D156)</x:f>
        <x:v>-0.002027071227100663</x:v>
      </x:c>
      <x:c r="F157" s="90" t="n">
        <x:f>IF('Datos_fuente'!E157="","",LN('Datos_fuente'!E157))</x:f>
        <x:v>8.735832212550651</x:v>
      </x:c>
      <x:c r="G157" s="90" t="n">
        <x:f>IF(OR(F157="",F156=""),"",F157-F156)</x:f>
        <x:v>0.007098525671239031</x:v>
      </x:c>
      <x:c r="H157" s="55" t="n">
        <x:f>'Datos_fuente'!H157</x:f>
        <x:v>2.34</x:v>
      </x:c>
      <x:c r="I157" s="55" t="n">
        <x:f>IF(OR(H157="",H156=""),"",H157-H156)</x:f>
        <x:v>-0.0900000000000003</x:v>
      </x:c>
      <x:c r="J157" s="55" t="n">
        <x:f>'Datos_fuente'!J157</x:f>
        <x:v>3.408170597</x:v>
      </x:c>
      <x:c r="K157" s="55" t="n">
        <x:f>IF(OR(J157="",J156=""),"",J157-J156)</x:f>
        <x:v>0.15672598299999985</x:v>
      </x:c>
      <x:c r="L157" s="90" t="n">
        <x:f>IF('Datos_fuente'!K157="","",LN('Datos_fuente'!K157))</x:f>
        <x:v>4.727914523341933</x:v>
      </x:c>
      <x:c r="M157" s="90" t="n">
        <x:f>IF(OR(L157="",L156=""),"",L157-L156)</x:f>
        <x:v>0.0019044763301279133</x:v>
      </x:c>
      <x:c r="N157" s="90" t="n">
        <x:f>IF('Datos_fuente'!L157="","",LN('Datos_fuente'!L157))</x:f>
        <x:v>2.5762406813937795</x:v>
      </x:c>
      <x:c r="O157" s="90" t="n">
        <x:f>IF(OR(N157="",N156=""),"",N157-N156)</x:f>
        <x:v>-0.03955498426417048</x:v>
      </x:c>
      <x:c r="P157" s="88" t="n">
        <x:f>'Datos_fuente'!N157</x:f>
        <x:v>0</x:v>
      </x:c>
      <x:c r="Q157" s="90" t="n">
        <x:f>IF('Datos_fuente'!O157="","",LN('Datos_fuente'!O157))</x:f>
        <x:v>10.768867443193983</x:v>
      </x:c>
      <x:c r="R157" s="90" t="n">
        <x:f>IF(OR(Q157="",Q156=""),"",Q157-Q156)</x:f>
        <x:v>0.0005702602795860656</x:v>
      </x:c>
      <x:c r="S157" s="55" t="n">
        <x:f>'Datos_fuente'!R157</x:f>
        <x:v>4.076452381</x:v>
      </x:c>
      <x:c r="T157" s="55" t="n">
        <x:f>IF(OR(S157="",S156=""),"",S157-S156)</x:f>
        <x:v>0.08778070200000032</x:v>
      </x:c>
      <x:c r="U157" s="90" t="n">
        <x:f>IF('Datos_fuente'!S157="","",ASINH('Datos_fuente'!S157/1000))</x:f>
        <x:v>-0.13006299051936876</x:v>
      </x:c>
      <x:c r="V157" s="90" t="n">
        <x:f>IF(OR(U157="",U156=""),"",U157-U156)</x:f>
        <x:v>-0.1322929886711117</x:v>
      </x:c>
      <x:c r="W157" s="90" t="n">
        <x:f>IF('Datos_fuente'!T157="","",ASINH('Datos_fuente'!T157/1000))</x:f>
        <x:v>-0.08662163455858954</x:v>
      </x:c>
      <x:c r="X157" s="90" t="n">
        <x:f>IF(OR(W157="",W156=""),"",W157-W156)</x:f>
        <x:v>0.17765145512626926</x:v>
      </x:c>
      <x:c r="Y157" s="55" t="n">
        <x:f>'Datos_fuente'!W157</x:f>
        <x:v>0.1696365041</x:v>
      </x:c>
      <x:c r="Z157" s="55" t="n">
        <x:f>IF(OR(Y157="",Y156=""),"",Y157-Y156)</x:f>
        <x:v>-0.15948073380000002</x:v>
      </x:c>
      <x:c r="AA157" s="90" t="n">
        <x:f>'Datos_fuente'!AA157</x:f>
        <x:v>-0.4604413067</x:v>
      </x:c>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t="str">
        <x:f>'Datos_fuente'!A158</x:f>
        <x:v>2018-08</x:v>
      </x:c>
      <x:c r="B158" s="90" t="n">
        <x:f>IF('Datos_fuente'!B158="","",LN('Datos_fuente'!B158))</x:f>
        <x:v>7.992494031661977</x:v>
      </x:c>
      <x:c r="C158" s="90" t="n">
        <x:f>IF(OR(B158="",B157=""),"",B158-B157)</x:f>
        <x:v>0.025102269690628454</x:v>
      </x:c>
      <x:c r="D158" s="90" t="n">
        <x:f>IF('Datos_fuente'!C158="","",LN('Datos_fuente'!C158))</x:f>
        <x:v>4.283976291009806</x:v>
      </x:c>
      <x:c r="E158" s="90" t="n">
        <x:f>IF(OR(D158="",D157=""),"",D158-D157)</x:f>
        <x:v>-0.023516581586227048</x:v>
      </x:c>
      <x:c r="F158" s="90" t="n">
        <x:f>IF('Datos_fuente'!E158="","",LN('Datos_fuente'!E158))</x:f>
        <x:v>8.7522431789634</x:v>
      </x:c>
      <x:c r="G158" s="90" t="n">
        <x:f>IF(OR(F158="",F157=""),"",F158-F157)</x:f>
        <x:v>0.016410966412749417</x:v>
      </x:c>
      <x:c r="H158" s="55" t="n">
        <x:f>'Datos_fuente'!H158</x:f>
        <x:v>2.34</x:v>
      </x:c>
      <x:c r="I158" s="55" t="n">
        <x:f>IF(OR(H158="",H157=""),"",H158-H157)</x:f>
        <x:v>0</x:v>
      </x:c>
      <x:c r="J158" s="55" t="n">
        <x:f>'Datos_fuente'!J158</x:f>
        <x:v>3.888627123</x:v>
      </x:c>
      <x:c r="K158" s="55" t="n">
        <x:f>IF(OR(J158="",J157=""),"",J158-J157)</x:f>
        <x:v>0.4804565260000002</x:v>
      </x:c>
      <x:c r="L158" s="90" t="n">
        <x:f>IF('Datos_fuente'!K158="","",LN('Datos_fuente'!K158))</x:f>
        <x:v>4.7347204303479655</x:v>
      </x:c>
      <x:c r="M158" s="90" t="n">
        <x:f>IF(OR(L158="",L157=""),"",L158-L157)</x:f>
        <x:v>0.006805907006032896</x:v>
      </x:c>
      <x:c r="N158" s="90" t="n">
        <x:f>IF('Datos_fuente'!L158="","",LN('Datos_fuente'!L158))</x:f>
        <x:v>2.52947812780135</x:v>
      </x:c>
      <x:c r="O158" s="90" t="n">
        <x:f>IF(OR(N158="",N157=""),"",N158-N157)</x:f>
        <x:v>-0.04676255359242942</x:v>
      </x:c>
      <x:c r="P158" s="88" t="n">
        <x:f>'Datos_fuente'!N158</x:f>
        <x:v>0</x:v>
      </x:c>
      <x:c r="Q158" s="90" t="n">
        <x:f>IF('Datos_fuente'!O158="","",LN('Datos_fuente'!O158))</x:f>
        <x:v>10.769266579239131</x:v>
      </x:c>
      <x:c r="R158" s="90" t="n">
        <x:f>IF(OR(Q158="",Q157=""),"",Q158-Q157)</x:f>
        <x:v>0.00039913604514829615</x:v>
      </x:c>
      <x:c r="S158" s="55" t="n">
        <x:f>'Datos_fuente'!R158</x:f>
        <x:v>4.214679089</x:v>
      </x:c>
      <x:c r="T158" s="55" t="n">
        <x:f>IF(OR(S158="",S157=""),"",S158-S157)</x:f>
        <x:v>0.13822670799999948</x:v>
      </x:c>
      <x:c r="U158" s="90" t="n">
        <x:f>IF('Datos_fuente'!S158="","",ASINH('Datos_fuente'!S158/1000))</x:f>
        <x:v>-0.06841661305074505</x:v>
      </x:c>
      <x:c r="V158" s="90" t="n">
        <x:f>IF(OR(U158="",U157=""),"",U158-U157)</x:f>
        <x:v>0.06164637746862371</x:v>
      </x:c>
      <x:c r="W158" s="90" t="n">
        <x:f>IF('Datos_fuente'!T158="","",ASINH('Datos_fuente'!T158/1000))</x:f>
        <x:v>-0.39814718260163096</x:v>
      </x:c>
      <x:c r="X158" s="90" t="n">
        <x:f>IF(OR(W158="",W157=""),"",W158-W157)</x:f>
        <x:v>-0.31152554804304144</x:v>
      </x:c>
      <x:c r="Y158" s="55" t="n">
        <x:f>'Datos_fuente'!W158</x:f>
        <x:v>0.3946737164</x:v>
      </x:c>
      <x:c r="Z158" s="55" t="n">
        <x:f>IF(OR(Y158="",Y157=""),"",Y158-Y157)</x:f>
        <x:v>0.22503721229999998</x:v>
      </x:c>
      <x:c r="AA158" s="90" t="n">
        <x:f>'Datos_fuente'!AA158</x:f>
        <x:v>0.1475915266</x:v>
      </x:c>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t="str">
        <x:f>'Datos_fuente'!A159</x:f>
        <x:v>2018-09</x:v>
      </x:c>
      <x:c r="B159" s="90" t="n">
        <x:f>IF('Datos_fuente'!B159="","",LN('Datos_fuente'!B159))</x:f>
        <x:v>8.017560690274136</x:v>
      </x:c>
      <x:c r="C159" s="90" t="n">
        <x:f>IF(OR(B159="",B158=""),"",B159-B158)</x:f>
        <x:v>0.025066658612159287</x:v>
      </x:c>
      <x:c r="D159" s="90" t="n">
        <x:f>IF('Datos_fuente'!C159="","",LN('Datos_fuente'!C159))</x:f>
        <x:v>4.368067152904465</x:v>
      </x:c>
      <x:c r="E159" s="90" t="n">
        <x:f>IF(OR(D159="",D158=""),"",D159-D158)</x:f>
        <x:v>0.08409086189465942</x:v>
      </x:c>
      <x:c r="F159" s="90" t="n">
        <x:f>IF('Datos_fuente'!E159="","",LN('Datos_fuente'!E159))</x:f>
        <x:v>8.76659378949187</x:v>
      </x:c>
      <x:c r="G159" s="90" t="n">
        <x:f>IF(OR(F159="",F158=""),"",F159-F158)</x:f>
        <x:v>0.014350610528468977</x:v>
      </x:c>
      <x:c r="H159" s="55" t="n">
        <x:f>'Datos_fuente'!H159</x:f>
        <x:v>2.3</x:v>
      </x:c>
      <x:c r="I159" s="55" t="n">
        <x:f>IF(OR(H159="",H158=""),"",H159-H158)</x:f>
        <x:v>-0.040000000000000036</x:v>
      </x:c>
      <x:c r="J159" s="55" t="n">
        <x:f>'Datos_fuente'!J159</x:f>
        <x:v>3.978275332</x:v>
      </x:c>
      <x:c r="K159" s="55" t="n">
        <x:f>IF(OR(J159="",J158=""),"",J159-J158)</x:f>
        <x:v>0.08964820899999992</x:v>
      </x:c>
      <x:c r="L159" s="90" t="n">
        <x:f>IF('Datos_fuente'!K159="","",LN('Datos_fuente'!K159))</x:f>
        <x:v>4.736888238504762</x:v>
      </x:c>
      <x:c r="M159" s="90" t="n">
        <x:f>IF(OR(L159="",L158=""),"",L159-L158)</x:f>
        <x:v>0.0021678081567966245</x:v>
      </x:c>
      <x:c r="N159" s="90" t="n">
        <x:f>IF('Datos_fuente'!L159="","",LN('Datos_fuente'!L159))</x:f>
        <x:v>2.5580429724241345</x:v>
      </x:c>
      <x:c r="O159" s="90" t="n">
        <x:f>IF(OR(N159="",N158=""),"",N159-N158)</x:f>
        <x:v>0.028564844622784413</x:v>
      </x:c>
      <x:c r="P159" s="88" t="n">
        <x:f>'Datos_fuente'!N159</x:f>
        <x:v>0</x:v>
      </x:c>
      <x:c r="Q159" s="90" t="n">
        <x:f>IF('Datos_fuente'!O159="","",LN('Datos_fuente'!O159))</x:f>
        <x:v>10.76873169643031</x:v>
      </x:c>
      <x:c r="R159" s="90" t="n">
        <x:f>IF(OR(Q159="",Q158=""),"",Q159-Q158)</x:f>
        <x:v>-0.0005348828088216351</x:v>
      </x:c>
      <x:c r="S159" s="55" t="n">
        <x:f>'Datos_fuente'!R159</x:f>
        <x:v>4.153289474</x:v>
      </x:c>
      <x:c r="T159" s="55" t="n">
        <x:f>IF(OR(S159="",S158=""),"",S159-S158)</x:f>
        <x:v>-0.06138961499999951</x:v>
      </x:c>
      <x:c r="U159" s="90" t="n">
        <x:f>IF('Datos_fuente'!S159="","",ASINH('Datos_fuente'!S159/1000))</x:f>
        <x:v>-0.1450013472336027</x:v>
      </x:c>
      <x:c r="V159" s="90" t="n">
        <x:f>IF(OR(U159="",U158=""),"",U159-U158)</x:f>
        <x:v>-0.07658473418285765</x:v>
      </x:c>
      <x:c r="W159" s="90" t="n">
        <x:f>IF('Datos_fuente'!T159="","",ASINH('Datos_fuente'!T159/1000))</x:f>
        <x:v>-0.19943529714182257</x:v>
      </x:c>
      <x:c r="X159" s="90" t="n">
        <x:f>IF(OR(W159="",W158=""),"",W159-W158)</x:f>
        <x:v>0.1987118854598084</x:v>
      </x:c>
      <x:c r="Y159" s="55" t="n">
        <x:f>'Datos_fuente'!W159</x:f>
        <x:v>0.9505080881</x:v>
      </x:c>
      <x:c r="Z159" s="55" t="n">
        <x:f>IF(OR(Y159="",Y158=""),"",Y159-Y158)</x:f>
        <x:v>0.5558343717</x:v>
      </x:c>
      <x:c r="AA159" s="90" t="n">
        <x:f>'Datos_fuente'!AA159</x:f>
        <x:v>0.8383412221</x:v>
      </x:c>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t="str">
        <x:f>'Datos_fuente'!A160</x:f>
        <x:v>2018-10</x:v>
      </x:c>
      <x:c r="B160" s="90" t="n">
        <x:f>IF('Datos_fuente'!B160="","",LN('Datos_fuente'!B160))</x:f>
        <x:v>8.034252143266253</x:v>
      </x:c>
      <x:c r="C160" s="90" t="n">
        <x:f>IF(OR(B160="",B159=""),"",B160-B159)</x:f>
        <x:v>0.016691452992116496</x:v>
      </x:c>
      <x:c r="D160" s="90" t="n">
        <x:f>IF('Datos_fuente'!C160="","",LN('Datos_fuente'!C160))</x:f>
        <x:v>4.3948462845713525</x:v>
      </x:c>
      <x:c r="E160" s="90" t="n">
        <x:f>IF(OR(D160="",D159=""),"",D160-D159)</x:f>
        <x:v>0.0267791316668875</x:v>
      </x:c>
      <x:c r="F160" s="90" t="n">
        <x:f>IF('Datos_fuente'!E160="","",LN('Datos_fuente'!E160))</x:f>
        <x:v>8.780409400568084</x:v>
      </x:c>
      <x:c r="G160" s="90" t="n">
        <x:f>IF(OR(F160="",F159=""),"",F160-F159)</x:f>
        <x:v>0.013815611076214651</x:v>
      </x:c>
      <x:c r="H160" s="55" t="n">
        <x:f>'Datos_fuente'!H160</x:f>
        <x:v>2.06</x:v>
      </x:c>
      <x:c r="I160" s="55" t="n">
        <x:f>IF(OR(H160="",H159=""),"",H160-H159)</x:f>
        <x:v>-0.23999999999999977</x:v>
      </x:c>
      <x:c r="J160" s="55" t="n">
        <x:f>'Datos_fuente'!J160</x:f>
        <x:v>4.023956931</x:v>
      </x:c>
      <x:c r="K160" s="55" t="n">
        <x:f>IF(OR(J160="",J159=""),"",J160-J159)</x:f>
        <x:v>0.045681598999999906</x:v>
      </x:c>
      <x:c r="L160" s="90" t="n">
        <x:f>IF('Datos_fuente'!K160="","",LN('Datos_fuente'!K160))</x:f>
        <x:v>4.7434637386326255</x:v>
      </x:c>
      <x:c r="M160" s="90" t="n">
        <x:f>IF(OR(L160="",L159=""),"",L160-L159)</x:f>
        <x:v>0.006575500127863343</x:v>
      </x:c>
      <x:c r="N160" s="90" t="n">
        <x:f>IF('Datos_fuente'!L160="","",LN('Datos_fuente'!L160))</x:f>
        <x:v>2.962804759935391</x:v>
      </x:c>
      <x:c r="O160" s="90" t="n">
        <x:f>IF(OR(N160="",N159=""),"",N160-N159)</x:f>
        <x:v>0.40476178751125635</x:v>
      </x:c>
      <x:c r="P160" s="88" t="n">
        <x:f>'Datos_fuente'!N160</x:f>
        <x:v>0</x:v>
      </x:c>
      <x:c r="Q160" s="90" t="n">
        <x:f>IF('Datos_fuente'!O160="","",LN('Datos_fuente'!O160))</x:f>
        <x:v>10.768403091932333</x:v>
      </x:c>
      <x:c r="R160" s="90" t="n">
        <x:f>IF(OR(Q160="",Q159=""),"",Q160-Q159)</x:f>
        <x:v>-0.00032860449797667</x:v>
      </x:c>
      <x:c r="S160" s="55" t="n">
        <x:f>'Datos_fuente'!R160</x:f>
        <x:v>4.159545455</x:v>
      </x:c>
      <x:c r="T160" s="55" t="n">
        <x:f>IF(OR(S160="",S159=""),"",S160-S159)</x:f>
        <x:v>0.0062559809999997995</x:v>
      </x:c>
      <x:c r="U160" s="90" t="n">
        <x:f>IF('Datos_fuente'!S160="","",ASINH('Datos_fuente'!S160/1000))</x:f>
        <x:v>0.04035904262093077</x:v>
      </x:c>
      <x:c r="V160" s="90" t="n">
        <x:f>IF(OR(U160="",U159=""),"",U160-U159)</x:f>
        <x:v>0.18536038985453346</x:v>
      </x:c>
      <x:c r="W160" s="90" t="n">
        <x:f>IF('Datos_fuente'!T160="","",ASINH('Datos_fuente'!T160/1000))</x:f>
        <x:v>-0.7309572397660271</x:v>
      </x:c>
      <x:c r="X160" s="90" t="n">
        <x:f>IF(OR(W160="",W159=""),"",W160-W159)</x:f>
        <x:v>-0.5315219426242046</x:v>
      </x:c>
      <x:c r="Y160" s="55" t="n">
        <x:f>'Datos_fuente'!W160</x:f>
        <x:v>0.8188188542</x:v>
      </x:c>
      <x:c r="Z160" s="55" t="n">
        <x:f>IF(OR(Y160="",Y159=""),"",Y160-Y159)</x:f>
        <x:v>-0.13168923389999998</x:v>
      </x:c>
      <x:c r="AA160" s="90" t="n">
        <x:f>'Datos_fuente'!AA160</x:f>
        <x:v>-0.861603597</x:v>
      </x:c>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t="str">
        <x:f>'Datos_fuente'!A161</x:f>
        <x:v>2018-11</x:v>
      </x:c>
      <x:c r="B161" s="90" t="n">
        <x:f>IF('Datos_fuente'!B161="","",LN('Datos_fuente'!B161))</x:f>
        <x:v>8.069040077934467</x:v>
      </x:c>
      <x:c r="C161" s="90" t="n">
        <x:f>IF(OR(B161="",B160=""),"",B161-B160)</x:f>
        <x:v>0.034787934668214504</x:v>
      </x:c>
      <x:c r="D161" s="90" t="n">
        <x:f>IF('Datos_fuente'!C161="","",LN('Datos_fuente'!C161))</x:f>
        <x:v>4.170505620185397</x:v>
      </x:c>
      <x:c r="E161" s="90" t="n">
        <x:f>IF(OR(D161="",D160=""),"",D161-D160)</x:f>
        <x:v>-0.2243406643859558</x:v>
      </x:c>
      <x:c r="F161" s="90" t="n">
        <x:f>IF('Datos_fuente'!E161="","",LN('Datos_fuente'!E161))</x:f>
        <x:v>8.78961136096163</x:v>
      </x:c>
      <x:c r="G161" s="90" t="n">
        <x:f>IF(OR(F161="",F160=""),"",F161-F160)</x:f>
        <x:v>0.00920196039354515</x:v>
      </x:c>
      <x:c r="H161" s="55" t="n">
        <x:f>'Datos_fuente'!H161</x:f>
        <x:v>2.05</x:v>
      </x:c>
      <x:c r="I161" s="55" t="n">
        <x:f>IF(OR(H161="",H160=""),"",H161-H160)</x:f>
        <x:v>-0.010000000000000231</x:v>
      </x:c>
      <x:c r="J161" s="55" t="n">
        <x:f>'Datos_fuente'!J161</x:f>
        <x:v>3.73955471</x:v>
      </x:c>
      <x:c r="K161" s="55" t="n">
        <x:f>IF(OR(J161="",J160=""),"",J161-J160)</x:f>
        <x:v>-0.2844022209999997</x:v>
      </x:c>
      <x:c r="L161" s="90" t="n">
        <x:f>IF('Datos_fuente'!K161="","",LN('Datos_fuente'!K161))</x:f>
        <x:v>4.755046414780566</x:v>
      </x:c>
      <x:c r="M161" s="90" t="n">
        <x:f>IF(OR(L161="",L160=""),"",L161-L160)</x:f>
        <x:v>0.011582676147940951</x:v>
      </x:c>
      <x:c r="N161" s="90" t="n">
        <x:f>IF('Datos_fuente'!L161="","",LN('Datos_fuente'!L161))</x:f>
        <x:v>2.9647083509776224</x:v>
      </x:c>
      <x:c r="O161" s="90" t="n">
        <x:f>IF(OR(N161="",N160=""),"",N161-N160)</x:f>
        <x:v>0.0019035910422315894</x:v>
      </x:c>
      <x:c r="P161" s="88" t="n">
        <x:f>'Datos_fuente'!N161</x:f>
        <x:v>0</x:v>
      </x:c>
      <x:c r="Q161" s="90" t="n">
        <x:f>IF('Datos_fuente'!O161="","",LN('Datos_fuente'!O161))</x:f>
        <x:v>10.773807641651997</x:v>
      </x:c>
      <x:c r="R161" s="90" t="n">
        <x:f>IF(OR(Q161="",Q160=""),"",Q161-Q160)</x:f>
        <x:v>0.005404549719663976</x:v>
      </x:c>
      <x:c r="S161" s="55" t="n">
        <x:f>'Datos_fuente'!R161</x:f>
        <x:v>4.231</x:v>
      </x:c>
      <x:c r="T161" s="55" t="n">
        <x:f>IF(OR(S161="",S160=""),"",S161-S160)</x:f>
        <x:v>0.07145454499999992</x:v>
      </x:c>
      <x:c r="U161" s="90" t="n">
        <x:f>IF('Datos_fuente'!S161="","",ASINH('Datos_fuente'!S161/1000))</x:f>
        <x:v>-0.07758214888032075</x:v>
      </x:c>
      <x:c r="V161" s="90" t="n">
        <x:f>IF(OR(U161="",U160=""),"",U161-U160)</x:f>
        <x:v>-0.11794119150125151</x:v>
      </x:c>
      <x:c r="W161" s="90" t="n">
        <x:f>IF('Datos_fuente'!T161="","",ASINH('Datos_fuente'!T161/1000))</x:f>
        <x:v>-0.28306470404086864</x:v>
      </x:c>
      <x:c r="X161" s="90" t="n">
        <x:f>IF(OR(W161="",W160=""),"",W161-W160)</x:f>
        <x:v>0.44789253572515847</x:v>
      </x:c>
      <x:c r="Y161" s="55" t="n">
        <x:f>'Datos_fuente'!W161</x:f>
        <x:v>1.085957228</x:v>
      </x:c>
      <x:c r="Z161" s="55" t="n">
        <x:f>IF(OR(Y161="",Y160=""),"",Y161-Y160)</x:f>
        <x:v>0.26713837380000005</x:v>
      </x:c>
      <x:c r="AA161" s="90" t="n">
        <x:f>'Datos_fuente'!AA161</x:f>
        <x:v>0.5814211769</x:v>
      </x:c>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t="str">
        <x:f>'Datos_fuente'!A162</x:f>
        <x:v>2018-12</x:v>
      </x:c>
      <x:c r="B162" s="90" t="n">
        <x:f>IF('Datos_fuente'!B162="","",LN('Datos_fuente'!B162))</x:f>
        <x:v>8.076686527315706</x:v>
      </x:c>
      <x:c r="C162" s="90" t="n">
        <x:f>IF(OR(B162="",B161=""),"",B162-B161)</x:f>
        <x:v>0.007646449381239151</x:v>
      </x:c>
      <x:c r="D162" s="90" t="n">
        <x:f>IF('Datos_fuente'!C162="","",LN('Datos_fuente'!C162))</x:f>
        <x:v>4.049388216021871</x:v>
      </x:c>
      <x:c r="E162" s="90" t="n">
        <x:f>IF(OR(D162="",D161=""),"",D162-D161)</x:f>
        <x:v>-0.12111740416352568</x:v>
      </x:c>
      <x:c r="F162" s="90" t="n">
        <x:f>IF('Datos_fuente'!E162="","",LN('Datos_fuente'!E162))</x:f>
        <x:v>8.800293282606303</x:v>
      </x:c>
      <x:c r="G162" s="90" t="n">
        <x:f>IF(OR(F162="",F161=""),"",F162-F161)</x:f>
        <x:v>0.010681921644673409</x:v>
      </x:c>
      <x:c r="H162" s="55" t="n">
        <x:f>'Datos_fuente'!H162</x:f>
        <x:v>1.98</x:v>
      </x:c>
      <x:c r="I162" s="55" t="n">
        <x:f>IF(OR(H162="",H161=""),"",H162-H161)</x:f>
        <x:v>-0.06999999999999984</x:v>
      </x:c>
      <x:c r="J162" s="55" t="n">
        <x:f>'Datos_fuente'!J162</x:f>
        <x:v>3.069053995</x:v>
      </x:c>
      <x:c r="K162" s="55" t="n">
        <x:f>IF(OR(J162="",J161=""),"",J162-J161)</x:f>
        <x:v>-0.6705007150000002</x:v>
      </x:c>
      <x:c r="L162" s="90" t="n">
        <x:f>IF('Datos_fuente'!K162="","",LN('Datos_fuente'!K162))</x:f>
        <x:v>4.7554144339217945</x:v>
      </x:c>
      <x:c r="M162" s="90" t="n">
        <x:f>IF(OR(L162="",L161=""),"",L162-L161)</x:f>
        <x:v>0.000368019141228082</x:v>
      </x:c>
      <x:c r="N162" s="90" t="n">
        <x:f>IF('Datos_fuente'!L162="","",LN('Datos_fuente'!L162))</x:f>
        <x:v>3.217000382925856</x:v>
      </x:c>
      <x:c r="O162" s="90" t="n">
        <x:f>IF(OR(N162="",N161=""),"",N162-N161)</x:f>
        <x:v>0.2522920319482336</x:v>
      </x:c>
      <x:c r="P162" s="88" t="n">
        <x:f>'Datos_fuente'!N162</x:f>
        <x:v>0</x:v>
      </x:c>
      <x:c r="Q162" s="90" t="n">
        <x:f>IF('Datos_fuente'!O162="","",LN('Datos_fuente'!O162))</x:f>
        <x:v>10.787108801012879</x:v>
      </x:c>
      <x:c r="R162" s="90" t="n">
        <x:f>IF(OR(Q162="",Q161=""),"",Q162-Q161)</x:f>
        <x:v>0.013301159360882053</x:v>
      </x:c>
      <x:c r="S162" s="55" t="n">
        <x:f>'Datos_fuente'!R162</x:f>
        <x:v>4.300526316</x:v>
      </x:c>
      <x:c r="T162" s="55" t="n">
        <x:f>IF(OR(S162="",S161=""),"",S162-S161)</x:f>
        <x:v>0.06952631600000014</x:v>
      </x:c>
      <x:c r="U162" s="90" t="n">
        <x:f>IF('Datos_fuente'!S162="","",ASINH('Datos_fuente'!S162/1000))</x:f>
        <x:v>-0.09790352252179069</x:v>
      </x:c>
      <x:c r="V162" s="90" t="n">
        <x:f>IF(OR(U162="",U161=""),"",U162-U161)</x:f>
        <x:v>-0.020321373641469936</x:v>
      </x:c>
      <x:c r="W162" s="90" t="n">
        <x:f>IF('Datos_fuente'!T162="","",ASINH('Datos_fuente'!T162/1000))</x:f>
        <x:v>0.051257551910670246</x:v>
      </x:c>
      <x:c r="X162" s="90" t="n">
        <x:f>IF(OR(W162="",W161=""),"",W162-W161)</x:f>
        <x:v>0.33432225595153886</x:v>
      </x:c>
      <x:c r="Y162" s="55" t="n">
        <x:f>'Datos_fuente'!W162</x:f>
        <x:v>1.267719814</x:v>
      </x:c>
      <x:c r="Z162" s="55" t="n">
        <x:f>IF(OR(Y162="",Y161=""),"",Y162-Y161)</x:f>
        <x:v>0.18176258599999984</x:v>
      </x:c>
      <x:c r="AA162" s="90" t="n">
        <x:f>'Datos_fuente'!AA162</x:f>
        <x:v>0.1708379032</x:v>
      </x:c>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t="str">
        <x:f>'Datos_fuente'!A163</x:f>
        <x:v>2019-01</x:v>
      </x:c>
      <x:c r="B163" s="90" t="n">
        <x:f>IF('Datos_fuente'!B163="","",LN('Datos_fuente'!B163))</x:f>
        <x:v>8.059967753034135</x:v>
      </x:c>
      <x:c r="C163" s="90" t="n">
        <x:f>IF(OR(B163="",B162=""),"",B163-B162)</x:f>
        <x:v>-0.016718774281571314</x:v>
      </x:c>
      <x:c r="D163" s="90" t="n">
        <x:f>IF('Datos_fuente'!C163="","",LN('Datos_fuente'!C163))</x:f>
        <x:v>4.084454911269537</x:v>
      </x:c>
      <x:c r="E163" s="90" t="n">
        <x:f>IF(OR(D163="",D162=""),"",D163-D162)</x:f>
        <x:v>0.035066695247666146</x:v>
      </x:c>
      <x:c r="F163" s="90" t="n">
        <x:f>IF('Datos_fuente'!E163="","",LN('Datos_fuente'!E163))</x:f>
        <x:v>8.806492954700357</x:v>
      </x:c>
      <x:c r="G163" s="90" t="n">
        <x:f>IF(OR(F163="",F162=""),"",F163-F162)</x:f>
        <x:v>0.00619967209405381</x:v>
      </x:c>
      <x:c r="H163" s="55" t="n">
        <x:f>'Datos_fuente'!H163</x:f>
        <x:v>1.85</x:v>
      </x:c>
      <x:c r="I163" s="55" t="n">
        <x:f>IF(OR(H163="",H162=""),"",H163-H162)</x:f>
        <x:v>-0.1299999999999999</x:v>
      </x:c>
      <x:c r="J163" s="55" t="n">
        <x:f>'Datos_fuente'!J163</x:f>
        <x:v>2.966804535</x:v>
      </x:c>
      <x:c r="K163" s="55" t="n">
        <x:f>IF(OR(J163="",J162=""),"",J163-J162)</x:f>
        <x:v>-0.1022494599999999</x:v>
      </x:c>
      <x:c r="L163" s="90" t="n">
        <x:f>IF('Datos_fuente'!K163="","",LN('Datos_fuente'!K163))</x:f>
        <x:v>4.740072426071734</x:v>
      </x:c>
      <x:c r="M163" s="90" t="n">
        <x:f>IF(OR(L163="",L162=""),"",L163-L162)</x:f>
        <x:v>-0.015342007850060568</x:v>
      </x:c>
      <x:c r="N163" s="90" t="n">
        <x:f>IF('Datos_fuente'!L163="","",LN('Datos_fuente'!L163))</x:f>
        <x:v>2.9741194372677024</x:v>
      </x:c>
      <x:c r="O163" s="90" t="n">
        <x:f>IF(OR(N163="",N162=""),"",N163-N162)</x:f>
        <x:v>-0.24288094565815355</x:v>
      </x:c>
      <x:c r="P163" s="88" t="n">
        <x:f>'Datos_fuente'!N163</x:f>
        <x:v>0</x:v>
      </x:c>
      <x:c r="Q163" s="90" t="n">
        <x:f>IF('Datos_fuente'!O163="","",LN('Datos_fuente'!O163))</x:f>
        <x:v>10.803824293602542</x:v>
      </x:c>
      <x:c r="R163" s="90" t="n">
        <x:f>IF(OR(Q163="",Q162=""),"",Q163-Q162)</x:f>
        <x:v>0.016715492589662873</x:v>
      </x:c>
      <x:c r="S163" s="55" t="n">
        <x:f>'Datos_fuente'!R163</x:f>
        <x:v>4.35047619</x:v>
      </x:c>
      <x:c r="T163" s="55" t="n">
        <x:f>IF(OR(S163="",S162=""),"",S163-S162)</x:f>
        <x:v>0.04994987400000017</x:v>
      </x:c>
      <x:c r="U163" s="90" t="n">
        <x:f>IF('Datos_fuente'!S163="","",ASINH('Datos_fuente'!S163/1000))</x:f>
        <x:v>-0.20596077128667553</x:v>
      </x:c>
      <x:c r="V163" s="90" t="n">
        <x:f>IF(OR(U163="",U162=""),"",U163-U162)</x:f>
        <x:v>-0.10805724876488484</x:v>
      </x:c>
      <x:c r="W163" s="90" t="n">
        <x:f>IF('Datos_fuente'!T163="","",ASINH('Datos_fuente'!T163/1000))</x:f>
        <x:v>0.5049557856858246</x:v>
      </x:c>
      <x:c r="X163" s="90" t="n">
        <x:f>IF(OR(W163="",W162=""),"",W163-W162)</x:f>
        <x:v>0.4536982337751543</x:v>
      </x:c>
      <x:c r="Y163" s="55" t="n">
        <x:f>'Datos_fuente'!W163</x:f>
        <x:v>1.596514272</x:v>
      </x:c>
      <x:c r="Z163" s="55" t="n">
        <x:f>IF(OR(Y163="",Y162=""),"",Y163-Y162)</x:f>
        <x:v>0.3287944580000002</x:v>
      </x:c>
      <x:c r="AA163" s="90" t="n">
        <x:f>'Datos_fuente'!AA163</x:f>
        <x:v>-1.134521118</x:v>
      </x:c>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t="str">
        <x:f>'Datos_fuente'!A164</x:f>
        <x:v>2019-02</x:v>
      </x:c>
      <x:c r="B164" s="90" t="n">
        <x:f>IF('Datos_fuente'!B164="","",LN('Datos_fuente'!B164))</x:f>
        <x:v>8.044253599165966</x:v>
      </x:c>
      <x:c r="C164" s="90" t="n">
        <x:f>IF(OR(B164="",B163=""),"",B164-B163)</x:f>
        <x:v>-0.01571415386816888</x:v>
      </x:c>
      <x:c r="D164" s="90" t="n">
        <x:f>IF('Datos_fuente'!C164="","",LN('Datos_fuente'!C164))</x:f>
        <x:v>4.158265705321064</x:v>
      </x:c>
      <x:c r="E164" s="90" t="n">
        <x:f>IF(OR(D164="",D163=""),"",D164-D163)</x:f>
        <x:v>0.07381079405152668</x:v>
      </x:c>
      <x:c r="F164" s="90" t="n">
        <x:f>IF('Datos_fuente'!E164="","",LN('Datos_fuente'!E164))</x:f>
        <x:v>8.812359685577645</x:v>
      </x:c>
      <x:c r="G164" s="90" t="n">
        <x:f>IF(OR(F164="",F163=""),"",F164-F163)</x:f>
        <x:v>0.005866730877288617</x:v>
      </x:c>
      <x:c r="H164" s="55" t="n">
        <x:f>'Datos_fuente'!H164</x:f>
        <x:v>1.85</x:v>
      </x:c>
      <x:c r="I164" s="55" t="n">
        <x:f>IF(OR(H164="",H163=""),"",H164-H163)</x:f>
        <x:v>0</x:v>
      </x:c>
      <x:c r="J164" s="55" t="n">
        <x:f>'Datos_fuente'!J164</x:f>
        <x:v>3.111433419</x:v>
      </x:c>
      <x:c r="K164" s="55" t="n">
        <x:f>IF(OR(J164="",J163=""),"",J164-J163)</x:f>
        <x:v>0.14462888399999985</x:v>
      </x:c>
      <x:c r="L164" s="90" t="n">
        <x:f>IF('Datos_fuente'!K164="","",LN('Datos_fuente'!K164))</x:f>
        <x:v>4.7398147577986975</x:v>
      </x:c>
      <x:c r="M164" s="90" t="n">
        <x:f>IF(OR(L164="",L163=""),"",L164-L163)</x:f>
        <x:v>-0.0002576682730364155</x:v>
      </x:c>
      <x:c r="N164" s="90" t="n">
        <x:f>IF('Datos_fuente'!L164="","",LN('Datos_fuente'!L164))</x:f>
        <x:v>2.7235781389048297</x:v>
      </x:c>
      <x:c r="O164" s="90" t="n">
        <x:f>IF(OR(N164="",N163=""),"",N164-N163)</x:f>
        <x:v>-0.25054129836287276</x:v>
      </x:c>
      <x:c r="P164" s="88" t="n">
        <x:f>'Datos_fuente'!N164</x:f>
        <x:v>0</x:v>
      </x:c>
      <x:c r="Q164" s="90" t="n">
        <x:f>IF('Datos_fuente'!O164="","",LN('Datos_fuente'!O164))</x:f>
        <x:v>10.82969435725091</x:v>
      </x:c>
      <x:c r="R164" s="90" t="n">
        <x:f>IF(OR(Q164="",Q163=""),"",Q164-Q163)</x:f>
        <x:v>0.025870063648367747</x:v>
      </x:c>
      <x:c r="S164" s="55" t="n">
        <x:f>'Datos_fuente'!R164</x:f>
        <x:v>4.299684211</x:v>
      </x:c>
      <x:c r="T164" s="55" t="n">
        <x:f>IF(OR(S164="",S163=""),"",S164-S163)</x:f>
        <x:v>-0.05079197900000043</x:v>
      </x:c>
      <x:c r="U164" s="90" t="n">
        <x:f>IF('Datos_fuente'!S164="","",ASINH('Datos_fuente'!S164/1000))</x:f>
        <x:v>-0.023287895004221536</x:v>
      </x:c>
      <x:c r="V164" s="90" t="n">
        <x:f>IF(OR(U164="",U163=""),"",U164-U163)</x:f>
        <x:v>0.182672876282454</x:v>
      </x:c>
      <x:c r="W164" s="90" t="n">
        <x:f>IF('Datos_fuente'!T164="","",ASINH('Datos_fuente'!T164/1000))</x:f>
        <x:v>0.7087297039558551</x:v>
      </x:c>
      <x:c r="X164" s="90" t="n">
        <x:f>IF(OR(W164="",W163=""),"",W164-W163)</x:f>
        <x:v>0.20377391827003055</x:v>
      </x:c>
      <x:c r="Y164" s="55" t="n">
        <x:f>'Datos_fuente'!W164</x:f>
        <x:v>1.493507577</x:v>
      </x:c>
      <x:c r="Z164" s="55" t="n">
        <x:f>IF(OR(Y164="",Y163=""),"",Y164-Y163)</x:f>
        <x:v>-0.10300669500000015</x:v>
      </x:c>
      <x:c r="AA164" s="90" t="n">
        <x:f>'Datos_fuente'!AA164</x:f>
        <x:v>-0.516083351</x:v>
      </x:c>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t="str">
        <x:f>'Datos_fuente'!A165</x:f>
        <x:v>2019-03</x:v>
      </x:c>
      <x:c r="B165" s="90" t="n">
        <x:f>IF('Datos_fuente'!B165="","",LN('Datos_fuente'!B165))</x:f>
        <x:v>8.048367809844011</x:v>
      </x:c>
      <x:c r="C165" s="90" t="n">
        <x:f>IF(OR(B165="",B164=""),"",B165-B164)</x:f>
        <x:v>0.004114210678045183</x:v>
      </x:c>
      <x:c r="D165" s="90" t="n">
        <x:f>IF('Datos_fuente'!C165="","",LN('Datos_fuente'!C165))</x:f>
        <x:v>4.191752108136831</x:v>
      </x:c>
      <x:c r="E165" s="90" t="n">
        <x:f>IF(OR(D165="",D164=""),"",D165-D164)</x:f>
        <x:v>0.03348640281576731</x:v>
      </x:c>
      <x:c r="F165" s="90" t="n">
        <x:f>IF('Datos_fuente'!E165="","",LN('Datos_fuente'!E165))</x:f>
        <x:v>8.821307511929325</x:v>
      </x:c>
      <x:c r="G165" s="90" t="n">
        <x:f>IF(OR(F165="",F164=""),"",F165-F164)</x:f>
        <x:v>0.008947826351679566</x:v>
      </x:c>
      <x:c r="H165" s="55" t="n">
        <x:f>'Datos_fuente'!H165</x:f>
        <x:v>1.84</x:v>
      </x:c>
      <x:c r="I165" s="55" t="n">
        <x:f>IF(OR(H165="",H164=""),"",H165-H164)</x:f>
        <x:v>-0.010000000000000009</x:v>
      </x:c>
      <x:c r="J165" s="55" t="n">
        <x:f>'Datos_fuente'!J165</x:f>
        <x:v>2.964295513</x:v>
      </x:c>
      <x:c r="K165" s="55" t="n">
        <x:f>IF(OR(J165="",J164=""),"",J165-J164)</x:f>
        <x:v>-0.14713790599999976</x:v>
      </x:c>
      <x:c r="L165" s="90" t="n">
        <x:f>IF('Datos_fuente'!K165="","",LN('Datos_fuente'!K165))</x:f>
        <x:v>4.743047910861582</x:v>
      </x:c>
      <x:c r="M165" s="90" t="n">
        <x:f>IF(OR(L165="",L164=""),"",L165-L164)</x:f>
        <x:v>0.0032331530628848526</x:v>
      </x:c>
      <x:c r="N165" s="90" t="n">
        <x:f>IF('Datos_fuente'!L165="","",LN('Datos_fuente'!L165))</x:f>
        <x:v>2.6731300687803827</x:v>
      </x:c>
      <x:c r="O165" s="90" t="n">
        <x:f>IF(OR(N165="",N164=""),"",N165-N164)</x:f>
        <x:v>-0.050448070124446964</x:v>
      </x:c>
      <x:c r="P165" s="88" t="n">
        <x:f>'Datos_fuente'!N165</x:f>
        <x:v>0</x:v>
      </x:c>
      <x:c r="Q165" s="90" t="n">
        <x:f>IF('Datos_fuente'!O165="","",LN('Datos_fuente'!O165))</x:f>
        <x:v>10.844685313036283</x:v>
      </x:c>
      <x:c r="R165" s="90" t="n">
        <x:f>IF(OR(Q165="",Q164=""),"",Q165-Q164)</x:f>
        <x:v>0.014990955785373572</x:v>
      </x:c>
      <x:c r="S165" s="55" t="n">
        <x:f>'Datos_fuente'!R165</x:f>
        <x:v>4.264547619</x:v>
      </x:c>
      <x:c r="T165" s="55" t="n">
        <x:f>IF(OR(S165="",S164=""),"",S165-S164)</x:f>
        <x:v>-0.035136591999999744</x:v>
      </x:c>
      <x:c r="U165" s="90" t="n">
        <x:f>IF('Datos_fuente'!S165="","",ASINH('Datos_fuente'!S165/1000))</x:f>
        <x:v>0.012509673720269284</x:v>
      </x:c>
      <x:c r="V165" s="90" t="n">
        <x:f>IF(OR(U165="",U164=""),"",U165-U164)</x:f>
        <x:v>0.035797568724490816</x:v>
      </x:c>
      <x:c r="W165" s="90" t="n">
        <x:f>IF('Datos_fuente'!T165="","",ASINH('Datos_fuente'!T165/1000))</x:f>
        <x:v>0.22542590442730512</x:v>
      </x:c>
      <x:c r="X165" s="90" t="n">
        <x:f>IF(OR(W165="",W164=""),"",W165-W164)</x:f>
        <x:v>-0.48330379952854996</x:v>
      </x:c>
      <x:c r="Y165" s="55" t="n">
        <x:f>'Datos_fuente'!W165</x:f>
        <x:v>1.357385842</x:v>
      </x:c>
      <x:c r="Z165" s="55" t="n">
        <x:f>IF(OR(Y165="",Y164=""),"",Y165-Y164)</x:f>
        <x:v>-0.1361217349999999</x:v>
      </x:c>
      <x:c r="AA165" s="90" t="n">
        <x:f>'Datos_fuente'!AA165</x:f>
        <x:v>0.4596357577</x:v>
      </x:c>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t="str">
        <x:f>'Datos_fuente'!A166</x:f>
        <x:v>2019-04</x:v>
      </x:c>
      <x:c r="B166" s="90" t="n">
        <x:f>IF('Datos_fuente'!B166="","",LN('Datos_fuente'!B166))</x:f>
        <x:v>8.056986217849909</x:v>
      </x:c>
      <x:c r="C166" s="90" t="n">
        <x:f>IF(OR(B166="",B165=""),"",B166-B165)</x:f>
        <x:v>0.008618408005897749</x:v>
      </x:c>
      <x:c r="D166" s="90" t="n">
        <x:f>IF('Datos_fuente'!C166="","",LN('Datos_fuente'!C166))</x:f>
        <x:v>4.265960873610197</x:v>
      </x:c>
      <x:c r="E166" s="90" t="n">
        <x:f>IF(OR(D166="",D165=""),"",D166-D165)</x:f>
        <x:v>0.07420876547336608</x:v>
      </x:c>
      <x:c r="F166" s="90" t="n">
        <x:f>IF('Datos_fuente'!E166="","",LN('Datos_fuente'!E166))</x:f>
        <x:v>8.830254957437356</x:v>
      </x:c>
      <x:c r="G166" s="90" t="n">
        <x:f>IF(OR(F166="",F165=""),"",F166-F165)</x:f>
        <x:v>0.008947445508031393</x:v>
      </x:c>
      <x:c r="H166" s="55" t="n">
        <x:f>'Datos_fuente'!H166</x:f>
        <x:v>1.83</x:v>
      </x:c>
      <x:c r="I166" s="55" t="n">
        <x:f>IF(OR(H166="",H165=""),"",H166-H165)</x:f>
        <x:v>-0.010000000000000009</x:v>
      </x:c>
      <x:c r="J166" s="55" t="n">
        <x:f>'Datos_fuente'!J166</x:f>
        <x:v>2.704744298</x:v>
      </x:c>
      <x:c r="K166" s="55" t="n">
        <x:f>IF(OR(J166="",J165=""),"",J166-J165)</x:f>
        <x:v>-0.2595512150000001</x:v>
      </x:c>
      <x:c r="L166" s="90" t="n">
        <x:f>IF('Datos_fuente'!K166="","",LN('Datos_fuente'!K166))</x:f>
        <x:v>4.744094860561062</x:v>
      </x:c>
      <x:c r="M166" s="90" t="n">
        <x:f>IF(OR(L166="",L165=""),"",L166-L165)</x:f>
        <x:v>0.0010469496994796046</x:v>
      </x:c>
      <x:c r="N166" s="90" t="n">
        <x:f>IF('Datos_fuente'!L166="","",LN('Datos_fuente'!L166))</x:f>
        <x:v>2.5610222425839955</x:v>
      </x:c>
      <x:c r="O166" s="90" t="n">
        <x:f>IF(OR(N166="",N165=""),"",N166-N165)</x:f>
        <x:v>-0.11210782619638726</x:v>
      </x:c>
      <x:c r="P166" s="88" t="n">
        <x:f>'Datos_fuente'!N166</x:f>
        <x:v>0</x:v>
      </x:c>
      <x:c r="Q166" s="90" t="n">
        <x:f>IF('Datos_fuente'!O166="","",LN('Datos_fuente'!O166))</x:f>
        <x:v>10.849757774849166</x:v>
      </x:c>
      <x:c r="R166" s="90" t="n">
        <x:f>IF(OR(Q166="",Q165=""),"",Q166-Q165)</x:f>
        <x:v>0.005072461812883233</x:v>
      </x:c>
      <x:c r="S166" s="55" t="n">
        <x:f>'Datos_fuente'!R166</x:f>
        <x:v>4.225619048</x:v>
      </x:c>
      <x:c r="T166" s="55" t="n">
        <x:f>IF(OR(S166="",S165=""),"",S166-S165)</x:f>
        <x:v>-0.03892857099999958</x:v>
      </x:c>
      <x:c r="U166" s="90" t="n">
        <x:f>IF('Datos_fuente'!S166="","",ASINH('Datos_fuente'!S166/1000))</x:f>
        <x:v>0.028406179635869385</x:v>
      </x:c>
      <x:c r="V166" s="90" t="n">
        <x:f>IF(OR(U166="",U165=""),"",U166-U165)</x:f>
        <x:v>0.0158965059156001</x:v>
      </x:c>
      <x:c r="W166" s="90" t="n">
        <x:f>IF('Datos_fuente'!T166="","",ASINH('Datos_fuente'!T166/1000))</x:f>
        <x:v>-0.38508200315494945</x:v>
      </x:c>
      <x:c r="X166" s="90" t="n">
        <x:f>IF(OR(W166="",W165=""),"",W166-W165)</x:f>
        <x:v>-0.6105079075822546</x:v>
      </x:c>
      <x:c r="Y166" s="55" t="n">
        <x:f>'Datos_fuente'!W166</x:f>
        <x:v>1.248934807</x:v>
      </x:c>
      <x:c r="Z166" s="55" t="n">
        <x:f>IF(OR(Y166="",Y165=""),"",Y166-Y165)</x:f>
        <x:v>-0.10845103500000008</x:v>
      </x:c>
      <x:c r="AA166" s="90" t="n">
        <x:f>'Datos_fuente'!AA166</x:f>
        <x:v>-0.1714512532</x:v>
      </x:c>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t="str">
        <x:f>'Datos_fuente'!A167</x:f>
        <x:v>2019-05</x:v>
      </x:c>
      <x:c r="B167" s="90" t="n">
        <x:f>IF('Datos_fuente'!B167="","",LN('Datos_fuente'!B167))</x:f>
        <x:v>8.103038795353978</x:v>
      </x:c>
      <x:c r="C167" s="90" t="n">
        <x:f>IF(OR(B167="",B166=""),"",B167-B166)</x:f>
        <x:v>0.04605257750406899</x:v>
      </x:c>
      <x:c r="D167" s="90" t="n">
        <x:f>IF('Datos_fuente'!C167="","",LN('Datos_fuente'!C167))</x:f>
        <x:v>4.267144925829868</x:v>
      </x:c>
      <x:c r="E167" s="90" t="n">
        <x:f>IF(OR(D167="",D166=""),"",D167-D166)</x:f>
        <x:v>0.0011840522196706615</x:v>
      </x:c>
      <x:c r="F167" s="90" t="n">
        <x:f>IF('Datos_fuente'!E167="","",LN('Datos_fuente'!E167))</x:f>
        <x:v>8.844790447359404</x:v>
      </x:c>
      <x:c r="G167" s="90" t="n">
        <x:f>IF(OR(F167="",F166=""),"",F167-F166)</x:f>
        <x:v>0.014535489922048228</x:v>
      </x:c>
      <x:c r="H167" s="55" t="n">
        <x:f>'Datos_fuente'!H167</x:f>
        <x:v>1.86</x:v>
      </x:c>
      <x:c r="I167" s="55" t="n">
        <x:f>IF(OR(H167="",H166=""),"",H167-H166)</x:f>
        <x:v>0.030000000000000027</x:v>
      </x:c>
      <x:c r="J167" s="55" t="n">
        <x:f>'Datos_fuente'!J167</x:f>
        <x:v>2.636824315</x:v>
      </x:c>
      <x:c r="K167" s="55" t="n">
        <x:f>IF(OR(J167="",J166=""),"",J167-J166)</x:f>
        <x:v>-0.0679199829999999</x:v>
      </x:c>
      <x:c r="L167" s="90" t="n">
        <x:f>IF('Datos_fuente'!K167="","",LN('Datos_fuente'!K167))</x:f>
        <x:v>4.753222725323221</x:v>
      </x:c>
      <x:c r="M167" s="90" t="n">
        <x:f>IF(OR(L167="",L166=""),"",L167-L166)</x:f>
        <x:v>0.0091278647621591</x:v>
      </x:c>
      <x:c r="N167" s="90" t="n">
        <x:f>IF('Datos_fuente'!L167="","",LN('Datos_fuente'!L167))</x:f>
        <x:v>2.81671434456745</x:v>
      </x:c>
      <x:c r="O167" s="90" t="n">
        <x:f>IF(OR(N167="",N166=""),"",N167-N166)</x:f>
        <x:v>0.2556921019834544</x:v>
      </x:c>
      <x:c r="P167" s="88" t="n">
        <x:f>'Datos_fuente'!N167</x:f>
        <x:v>0</x:v>
      </x:c>
      <x:c r="Q167" s="90" t="n">
        <x:f>IF('Datos_fuente'!O167="","",LN('Datos_fuente'!O167))</x:f>
        <x:v>10.858522537920848</x:v>
      </x:c>
      <x:c r="R167" s="90" t="n">
        <x:f>IF(OR(Q167="",Q166=""),"",Q167-Q166)</x:f>
        <x:v>0.008764763071681614</x:v>
      </x:c>
      <x:c r="S167" s="55" t="n">
        <x:f>'Datos_fuente'!R167</x:f>
        <x:v>4.486363636</x:v>
      </x:c>
      <x:c r="T167" s="55" t="n">
        <x:f>IF(OR(S167="",S166=""),"",S167-S166)</x:f>
        <x:v>0.26074458799999967</x:v>
      </x:c>
      <x:c r="U167" s="90" t="n">
        <x:f>IF('Datos_fuente'!S167="","",ASINH('Datos_fuente'!S167/1000))</x:f>
        <x:v>-0.04656317234834558</x:v>
      </x:c>
      <x:c r="V167" s="90" t="n">
        <x:f>IF(OR(U167="",U166=""),"",U167-U166)</x:f>
        <x:v>-0.07496935198421496</x:v>
      </x:c>
      <x:c r="W167" s="90" t="n">
        <x:f>IF('Datos_fuente'!T167="","",ASINH('Datos_fuente'!T167/1000))</x:f>
        <x:v>-0.3504804971912442</x:v>
      </x:c>
      <x:c r="X167" s="90" t="n">
        <x:f>IF(OR(W167="",W166=""),"",W167-W166)</x:f>
        <x:v>0.03460150596370526</x:v>
      </x:c>
      <x:c r="Y167" s="55" t="n">
        <x:f>'Datos_fuente'!W167</x:f>
        <x:v>1.517556929</x:v>
      </x:c>
      <x:c r="Z167" s="55" t="n">
        <x:f>IF(OR(Y167="",Y166=""),"",Y167-Y166)</x:f>
        <x:v>0.268622122</x:v>
      </x:c>
      <x:c r="AA167" s="90" t="n">
        <x:f>'Datos_fuente'!AA167</x:f>
        <x:v>0.6956051346</x:v>
      </x:c>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t="str">
        <x:f>'Datos_fuente'!A168</x:f>
        <x:v>2019-06</x:v>
      </x:c>
      <x:c r="B168" s="90" t="n">
        <x:f>IF('Datos_fuente'!B168="","",LN('Datos_fuente'!B168))</x:f>
        <x:v>8.089641050743909</x:v>
      </x:c>
      <x:c r="C168" s="90" t="n">
        <x:f>IF(OR(B168="",B167=""),"",B168-B167)</x:f>
        <x:v>-0.01339774461006904</x:v>
      </x:c>
      <x:c r="D168" s="90" t="n">
        <x:f>IF('Datos_fuente'!C168="","",LN('Datos_fuente'!C168))</x:f>
        <x:v>4.16232247436759</x:v>
      </x:c>
      <x:c r="E168" s="90" t="n">
        <x:f>IF(OR(D168="",D167=""),"",D168-D167)</x:f>
        <x:v>-0.10482245146227775</x:v>
      </x:c>
      <x:c r="F168" s="90" t="n">
        <x:f>IF('Datos_fuente'!E168="","",LN('Datos_fuente'!E168))</x:f>
        <x:v>8.846885352325076</x:v>
      </x:c>
      <x:c r="G168" s="90" t="n">
        <x:f>IF(OR(F168="",F167=""),"",F168-F167)</x:f>
        <x:v>0.0020949049656717733</x:v>
      </x:c>
      <x:c r="H168" s="55" t="n">
        <x:f>'Datos_fuente'!H168</x:f>
        <x:v>1.87</x:v>
      </x:c>
      <x:c r="I168" s="55" t="n">
        <x:f>IF(OR(H168="",H167=""),"",H168-H167)</x:f>
        <x:v>0.010000000000000009</x:v>
      </x:c>
      <x:c r="J168" s="55" t="n">
        <x:f>'Datos_fuente'!J168</x:f>
        <x:v>2.284106697</x:v>
      </x:c>
      <x:c r="K168" s="55" t="n">
        <x:f>IF(OR(J168="",J167=""),"",J168-J167)</x:f>
        <x:v>-0.35271761800000023</x:v>
      </x:c>
      <x:c r="L168" s="90" t="n">
        <x:f>IF('Datos_fuente'!K168="","",LN('Datos_fuente'!K168))</x:f>
        <x:v>4.7486389019554425</x:v>
      </x:c>
      <x:c r="M168" s="90" t="n">
        <x:f>IF(OR(L168="",L167=""),"",L168-L167)</x:f>
        <x:v>-0.004583823367778628</x:v>
      </x:c>
      <x:c r="N168" s="90" t="n">
        <x:f>IF('Datos_fuente'!L168="","",LN('Datos_fuente'!L168))</x:f>
        <x:v>2.762285829243884</x:v>
      </x:c>
      <x:c r="O168" s="90" t="n">
        <x:f>IF(OR(N168="",N167=""),"",N168-N167)</x:f>
        <x:v>-0.05442851532356574</x:v>
      </x:c>
      <x:c r="P168" s="88" t="n">
        <x:f>'Datos_fuente'!N168</x:f>
        <x:v>0</x:v>
      </x:c>
      <x:c r="Q168" s="90" t="n">
        <x:f>IF('Datos_fuente'!O168="","",LN('Datos_fuente'!O168))</x:f>
        <x:v>10.867510555875164</x:v>
      </x:c>
      <x:c r="R168" s="90" t="n">
        <x:f>IF(OR(Q168="",Q167=""),"",Q168-Q167)</x:f>
        <x:v>0.008988017954315808</x:v>
      </x:c>
      <x:c r="S168" s="55" t="n">
        <x:f>'Datos_fuente'!R168</x:f>
        <x:v>4.329333333</x:v>
      </x:c>
      <x:c r="T168" s="55" t="n">
        <x:f>IF(OR(S168="",S167=""),"",S168-S167)</x:f>
        <x:v>-0.15703030299999998</x:v>
      </x:c>
      <x:c r="U168" s="90" t="n">
        <x:f>IF('Datos_fuente'!S168="","",ASINH('Datos_fuente'!S168/1000))</x:f>
        <x:v>-0.13931887170924703</x:v>
      </x:c>
      <x:c r="V168" s="90" t="n">
        <x:f>IF(OR(U168="",U167=""),"",U168-U167)</x:f>
        <x:v>-0.09275569936090144</x:v>
      </x:c>
      <x:c r="W168" s="90" t="n">
        <x:f>IF('Datos_fuente'!T168="","",ASINH('Datos_fuente'!T168/1000))</x:f>
        <x:v>-0.01720915055848426</x:v>
      </x:c>
      <x:c r="X168" s="90" t="n">
        <x:f>IF(OR(W168="",W167=""),"",W168-W167)</x:f>
        <x:v>0.3332713466327599</x:v>
      </x:c>
      <x:c r="Y168" s="55" t="n">
        <x:f>'Datos_fuente'!W168</x:f>
        <x:v>1.775138343</x:v>
      </x:c>
      <x:c r="Z168" s="55" t="n">
        <x:f>IF(OR(Y168="",Y167=""),"",Y168-Y167)</x:f>
        <x:v>0.2575814140000001</x:v>
      </x:c>
      <x:c r="AA168" s="90" t="n">
        <x:f>'Datos_fuente'!AA168</x:f>
        <x:v>-0.3841252541</x:v>
      </x:c>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t="str">
        <x:f>'Datos_fuente'!A169</x:f>
        <x:v>2019-07</x:v>
      </x:c>
      <x:c r="B169" s="90" t="n">
        <x:f>IF('Datos_fuente'!B169="","",LN('Datos_fuente'!B169))</x:f>
        <x:v>8.072966565484476</x:v>
      </x:c>
      <x:c r="C169" s="90" t="n">
        <x:f>IF(OR(B169="",B168=""),"",B169-B168)</x:f>
        <x:v>-0.016674485259432714</x:v>
      </x:c>
      <x:c r="D169" s="90" t="n">
        <x:f>IF('Datos_fuente'!C169="","",LN('Datos_fuente'!C169))</x:f>
        <x:v>4.157618697329188</x:v>
      </x:c>
      <x:c r="E169" s="90" t="n">
        <x:f>IF(OR(D169="",D168=""),"",D169-D168)</x:f>
        <x:v>-0.004703777038401746</x:v>
      </x:c>
      <x:c r="F169" s="90" t="n">
        <x:f>IF('Datos_fuente'!E169="","",LN('Datos_fuente'!E169))</x:f>
        <x:v>8.854526485792226</x:v>
      </x:c>
      <x:c r="G169" s="90" t="n">
        <x:f>IF(OR(F169="",F168=""),"",F169-F168)</x:f>
        <x:v>0.0076411334671497855</x:v>
      </x:c>
      <x:c r="H169" s="55" t="n">
        <x:f>'Datos_fuente'!H169</x:f>
        <x:v>1.85</x:v>
      </x:c>
      <x:c r="I169" s="55" t="n">
        <x:f>IF(OR(H169="",H168=""),"",H169-H168)</x:f>
        <x:v>-0.020000000000000018</x:v>
      </x:c>
      <x:c r="J169" s="55" t="n">
        <x:f>'Datos_fuente'!J169</x:f>
        <x:v>2.035827815</x:v>
      </x:c>
      <x:c r="K169" s="55" t="n">
        <x:f>IF(OR(J169="",J168=""),"",J169-J168)</x:f>
        <x:v>-0.2482788819999997</x:v>
      </x:c>
      <x:c r="L169" s="90" t="n">
        <x:f>IF('Datos_fuente'!K169="","",LN('Datos_fuente'!K169))</x:f>
        <x:v>4.7456066043314475</x:v>
      </x:c>
      <x:c r="M169" s="90" t="n">
        <x:f>IF(OR(L169="",L168=""),"",L169-L168)</x:f>
        <x:v>-0.0030322976239949284</x:v>
      </x:c>
      <x:c r="N169" s="90" t="n">
        <x:f>IF('Datos_fuente'!L169="","",LN('Datos_fuente'!L169))</x:f>
        <x:v>2.5882082290402306</x:v>
      </x:c>
      <x:c r="O169" s="90" t="n">
        <x:f>IF(OR(N169="",N168=""),"",N169-N168)</x:f>
        <x:v>-0.17407760020365348</x:v>
      </x:c>
      <x:c r="P169" s="88" t="n">
        <x:f>'Datos_fuente'!N169</x:f>
        <x:v>0</x:v>
      </x:c>
      <x:c r="Q169" s="90" t="n">
        <x:f>IF('Datos_fuente'!O169="","",LN('Datos_fuente'!O169))</x:f>
        <x:v>10.866008030648363</x:v>
      </x:c>
      <x:c r="R169" s="90" t="n">
        <x:f>IF(OR(Q169="",Q168=""),"",Q169-Q168)</x:f>
        <x:v>-0.0015025252268010547</x:v>
      </x:c>
      <x:c r="S169" s="55" t="n">
        <x:f>'Datos_fuente'!R169</x:f>
        <x:v>4.000454545</x:v>
      </x:c>
      <x:c r="T169" s="55" t="n">
        <x:f>IF(OR(S169="",S168=""),"",S169-S168)</x:f>
        <x:v>-0.3288787879999999</x:v>
      </x:c>
      <x:c r="U169" s="90" t="n">
        <x:f>IF('Datos_fuente'!S169="","",ASINH('Datos_fuente'!S169/1000))</x:f>
        <x:v>-0.1215206907766051</x:v>
      </x:c>
      <x:c r="V169" s="90" t="n">
        <x:f>IF(OR(U169="",U168=""),"",U169-U168)</x:f>
        <x:v>0.017798180932641933</x:v>
      </x:c>
      <x:c r="W169" s="90" t="n">
        <x:f>IF('Datos_fuente'!T169="","",ASINH('Datos_fuente'!T169/1000))</x:f>
        <x:v>-0.606111090029189</x:v>
      </x:c>
      <x:c r="X169" s="90" t="n">
        <x:f>IF(OR(W169="",W168=""),"",W169-W168)</x:f>
        <x:v>-0.5889019394707047</x:v>
      </x:c>
      <x:c r="Y169" s="55" t="n">
        <x:f>'Datos_fuente'!W169</x:f>
        <x:v>1.979622106</x:v>
      </x:c>
      <x:c r="Z169" s="55" t="n">
        <x:f>IF(OR(Y169="",Y168=""),"",Y169-Y168)</x:f>
        <x:v>0.20448376300000004</x:v>
      </x:c>
      <x:c r="AA169" s="90" t="n">
        <x:f>'Datos_fuente'!AA169</x:f>
        <x:v>-0.491274184</x:v>
      </x:c>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t="str">
        <x:f>'Datos_fuente'!A170</x:f>
        <x:v>2019-08</x:v>
      </x:c>
      <x:c r="B170" s="90" t="n">
        <x:f>IF('Datos_fuente'!B170="","",LN('Datos_fuente'!B170))</x:f>
        <x:v>8.134681339802595</x:v>
      </x:c>
      <x:c r="C170" s="90" t="n">
        <x:f>IF(OR(B170="",B169=""),"",B170-B169)</x:f>
        <x:v>0.061714774318119225</x:v>
      </x:c>
      <x:c r="D170" s="90" t="n">
        <x:f>IF('Datos_fuente'!C170="","",LN('Datos_fuente'!C170))</x:f>
        <x:v>4.078245975549746</x:v>
      </x:c>
      <x:c r="E170" s="90" t="n">
        <x:f>IF(OR(D170="",D169=""),"",D170-D169)</x:f>
        <x:v>-0.07937272177944266</x:v>
      </x:c>
      <x:c r="F170" s="90" t="n">
        <x:f>IF('Datos_fuente'!E170="","",LN('Datos_fuente'!E170))</x:f>
        <x:v>8.864981162935774</x:v>
      </x:c>
      <x:c r="G170" s="90" t="n">
        <x:f>IF(OR(F170="",F169=""),"",F170-F169)</x:f>
        <x:v>0.010454677143547642</x:v>
      </x:c>
      <x:c r="H170" s="55" t="n">
        <x:f>'Datos_fuente'!H170</x:f>
        <x:v>2.12</x:v>
      </x:c>
      <x:c r="I170" s="55" t="n">
        <x:f>IF(OR(H170="",H169=""),"",H170-H169)</x:f>
        <x:v>0.27</x:v>
      </x:c>
      <x:c r="J170" s="55" t="n">
        <x:f>'Datos_fuente'!J170</x:f>
        <x:v>2.009210978</x:v>
      </x:c>
      <x:c r="K170" s="55" t="n">
        <x:f>IF(OR(J170="",J169=""),"",J170-J169)</x:f>
        <x:v>-0.02661683700000017</x:v>
      </x:c>
      <x:c r="L170" s="90" t="n">
        <x:f>IF('Datos_fuente'!K170="","",LN('Datos_fuente'!K170))</x:f>
        <x:v>4.7630315703420365</x:v>
      </x:c>
      <x:c r="M170" s="90" t="n">
        <x:f>IF(OR(L170="",L169=""),"",L170-L169)</x:f>
        <x:v>0.01742496601058896</x:v>
      </x:c>
      <x:c r="N170" s="90" t="n">
        <x:f>IF('Datos_fuente'!L170="","",LN('Datos_fuente'!L170))</x:f>
        <x:v>2.9433378947743973</x:v>
      </x:c>
      <x:c r="O170" s="90" t="n">
        <x:f>IF(OR(N170="",N169=""),"",N170-N169)</x:f>
        <x:v>0.3551296657341667</x:v>
      </x:c>
      <x:c r="P170" s="88" t="n">
        <x:f>'Datos_fuente'!N170</x:f>
        <x:v>0</x:v>
      </x:c>
      <x:c r="Q170" s="90" t="n">
        <x:f>IF('Datos_fuente'!O170="","",LN('Datos_fuente'!O170))</x:f>
        <x:v>10.877927185333682</x:v>
      </x:c>
      <x:c r="R170" s="90" t="n">
        <x:f>IF(OR(Q170="",Q169=""),"",Q170-Q169)</x:f>
        <x:v>0.011919154685319455</x:v>
      </x:c>
      <x:c r="S170" s="55" t="n">
        <x:f>'Datos_fuente'!R170</x:f>
        <x:v>4.452136364</x:v>
      </x:c>
      <x:c r="T170" s="55" t="n">
        <x:f>IF(OR(S170="",S169=""),"",S170-S169)</x:f>
        <x:v>0.45168181900000004</x:v>
      </x:c>
      <x:c r="U170" s="90" t="n">
        <x:f>IF('Datos_fuente'!S170="","",ASINH('Datos_fuente'!S170/1000))</x:f>
        <x:v>-0.016429260890662035</x:v>
      </x:c>
      <x:c r="V170" s="90" t="n">
        <x:f>IF(OR(U170="",U169=""),"",U170-U169)</x:f>
        <x:v>0.10509142988594307</x:v>
      </x:c>
      <x:c r="W170" s="90" t="n">
        <x:f>IF('Datos_fuente'!T170="","",ASINH('Datos_fuente'!T170/1000))</x:f>
        <x:v>-0.49876226307517185</x:v>
      </x:c>
      <x:c r="X170" s="90" t="n">
        <x:f>IF(OR(W170="",W169=""),"",W170-W169)</x:f>
        <x:v>0.1073488269540171</x:v>
      </x:c>
      <x:c r="Y170" s="55" t="n">
        <x:f>'Datos_fuente'!W170</x:f>
        <x:v>2.006514169</x:v>
      </x:c>
      <x:c r="Z170" s="55" t="n">
        <x:f>IF(OR(Y170="",Y169=""),"",Y170-Y169)</x:f>
        <x:v>0.0268920629999998</x:v>
      </x:c>
      <x:c r="AA170" s="90" t="n">
        <x:f>'Datos_fuente'!AA170</x:f>
        <x:v>1.344400564</x:v>
      </x:c>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t="str">
        <x:f>'Datos_fuente'!A171</x:f>
        <x:v>2019-09</x:v>
      </x:c>
      <x:c r="B171" s="90" t="n">
        <x:f>IF('Datos_fuente'!B171="","",LN('Datos_fuente'!B171))</x:f>
        <x:v>8.131370991967557</x:v>
      </x:c>
      <x:c r="C171" s="90" t="n">
        <x:f>IF(OR(B171="",B170=""),"",B171-B170)</x:f>
        <x:v>-0.00331034783503803</x:v>
      </x:c>
      <x:c r="D171" s="90" t="n">
        <x:f>IF('Datos_fuente'!C171="","",LN('Datos_fuente'!C171))</x:f>
        <x:v>4.140379611848168</x:v>
      </x:c>
      <x:c r="E171" s="90" t="n">
        <x:f>IF(OR(D171="",D170=""),"",D171-D170)</x:f>
        <x:v>0.06213363629842217</x:v>
      </x:c>
      <x:c r="F171" s="90" t="n">
        <x:f>IF('Datos_fuente'!E171="","",LN('Datos_fuente'!E171))</x:f>
        <x:v>8.869513467537121</x:v>
      </x:c>
      <x:c r="G171" s="90" t="n">
        <x:f>IF(OR(F171="",F170=""),"",F171-F170)</x:f>
        <x:v>0.004532304601347903</x:v>
      </x:c>
      <x:c r="H171" s="55" t="n">
        <x:f>'Datos_fuente'!H171</x:f>
        <x:v>2.21</x:v>
      </x:c>
      <x:c r="I171" s="55" t="n">
        <x:f>IF(OR(H171="",H170=""),"",H171-H170)</x:f>
        <x:v>0.08999999999999986</x:v>
      </x:c>
      <x:c r="J171" s="55" t="n">
        <x:f>'Datos_fuente'!J171</x:f>
        <x:v>1.762752869</x:v>
      </x:c>
      <x:c r="K171" s="55" t="n">
        <x:f>IF(OR(J171="",J170=""),"",J171-J170)</x:f>
        <x:v>-0.24645810899999998</x:v>
      </x:c>
      <x:c r="L171" s="90" t="n">
        <x:f>IF('Datos_fuente'!K171="","",LN('Datos_fuente'!K171))</x:f>
        <x:v>4.76493865643888</x:v>
      </x:c>
      <x:c r="M171" s="90" t="n">
        <x:f>IF(OR(L171="",L170=""),"",L171-L170)</x:f>
        <x:v>0.0019070860968435355</x:v>
      </x:c>
      <x:c r="N171" s="90" t="n">
        <x:f>IF('Datos_fuente'!L171="","",LN('Datos_fuente'!L171))</x:f>
        <x:v>2.7446392493328258</x:v>
      </x:c>
      <x:c r="O171" s="90" t="n">
        <x:f>IF(OR(N171="",N170=""),"",N171-N170)</x:f>
        <x:v>-0.19869864544157156</x:v>
      </x:c>
      <x:c r="P171" s="88" t="n">
        <x:f>'Datos_fuente'!N171</x:f>
        <x:v>0</x:v>
      </x:c>
      <x:c r="Q171" s="90" t="n">
        <x:f>IF('Datos_fuente'!O171="","",LN('Datos_fuente'!O171))</x:f>
        <x:v>10.875567706052324</x:v>
      </x:c>
      <x:c r="R171" s="90" t="n">
        <x:f>IF(OR(Q171="",Q170=""),"",Q171-Q170)</x:f>
        <x:v>-0.0023594792813579346</x:v>
      </x:c>
      <x:c r="S171" s="55" t="n">
        <x:f>'Datos_fuente'!R171</x:f>
        <x:v>4.4005</x:v>
      </x:c>
      <x:c r="T171" s="55" t="n">
        <x:f>IF(OR(S171="",S170=""),"",S171-S170)</x:f>
        <x:v>-0.05163636400000016</x:v>
      </x:c>
      <x:c r="U171" s="90" t="n">
        <x:f>IF('Datos_fuente'!S171="","",ASINH('Datos_fuente'!S171/1000))</x:f>
        <x:v>-0.11104166400598033</x:v>
      </x:c>
      <x:c r="V171" s="90" t="n">
        <x:f>IF(OR(U171="",U170=""),"",U171-U170)</x:f>
        <x:v>-0.0946124031153183</x:v>
      </x:c>
      <x:c r="W171" s="90" t="n">
        <x:f>IF('Datos_fuente'!T171="","",ASINH('Datos_fuente'!T171/1000))</x:f>
        <x:v>-0.9099382324947201</x:v>
      </x:c>
      <x:c r="X171" s="90" t="n">
        <x:f>IF(OR(W171="",W170=""),"",W171-W170)</x:f>
        <x:v>-0.4111759694195482</x:v>
      </x:c>
      <x:c r="Y171" s="55" t="n">
        <x:f>'Datos_fuente'!W171</x:f>
        <x:v>2.098889515</x:v>
      </x:c>
      <x:c r="Z171" s="55" t="n">
        <x:f>IF(OR(Y171="",Y170=""),"",Y171-Y170)</x:f>
        <x:v>0.0923753460000003</x:v>
      </x:c>
      <x:c r="AA171" s="90" t="n">
        <x:f>'Datos_fuente'!AA171</x:f>
        <x:v>0.1311044368</x:v>
      </x:c>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t="str">
        <x:f>'Datos_fuente'!A172</x:f>
        <x:v>2019-10</x:v>
      </x:c>
      <x:c r="B172" s="90" t="n">
        <x:f>IF('Datos_fuente'!B172="","",LN('Datos_fuente'!B172))</x:f>
        <x:v>8.141280559218927</x:v>
      </x:c>
      <x:c r="C172" s="90" t="n">
        <x:f>IF(OR(B172="",B171=""),"",B172-B171)</x:f>
        <x:v>0.009909567251369822</x:v>
      </x:c>
      <x:c r="D172" s="90" t="n">
        <x:f>IF('Datos_fuente'!C172="","",LN('Datos_fuente'!C172))</x:f>
        <x:v>4.089550480286551</x:v>
      </x:c>
      <x:c r="E172" s="90" t="n">
        <x:f>IF(OR(D172="",D171=""),"",D172-D171)</x:f>
        <x:v>-0.05082913156161695</x:v>
      </x:c>
      <x:c r="F172" s="90" t="n">
        <x:f>IF('Datos_fuente'!E172="","",LN('Datos_fuente'!E172))</x:f>
        <x:v>8.86676214752021</x:v>
      </x:c>
      <x:c r="G172" s="90" t="n">
        <x:f>IF(OR(F172="",F171=""),"",F172-F171)</x:f>
        <x:v>-0.0027513200169106966</x:v>
      </x:c>
      <x:c r="H172" s="55" t="n">
        <x:f>'Datos_fuente'!H172</x:f>
        <x:v>2.42</x:v>
      </x:c>
      <x:c r="I172" s="55" t="n">
        <x:f>IF(OR(H172="",H171=""),"",H172-H171)</x:f>
        <x:v>0.20999999999999996</x:v>
      </x:c>
      <x:c r="J172" s="55" t="n">
        <x:f>'Datos_fuente'!J172</x:f>
        <x:v>2.044472782</x:v>
      </x:c>
      <x:c r="K172" s="55" t="n">
        <x:f>IF(OR(J172="",J171=""),"",J172-J171)</x:f>
        <x:v>0.2817199130000001</x:v>
      </x:c>
      <x:c r="L172" s="90" t="n">
        <x:f>IF('Datos_fuente'!K172="","",LN('Datos_fuente'!K172))</x:f>
        <x:v>4.760002854065631</x:v>
      </x:c>
      <x:c r="M172" s="90" t="n">
        <x:f>IF(OR(L172="",L171=""),"",L172-L171)</x:f>
        <x:v>-0.0049358023732493095</x:v>
      </x:c>
      <x:c r="N172" s="90" t="n">
        <x:f>IF('Datos_fuente'!L172="","",LN('Datos_fuente'!L172))</x:f>
        <x:v>2.738677800261578</x:v>
      </x:c>
      <x:c r="O172" s="90" t="n">
        <x:f>IF(OR(N172="",N171=""),"",N172-N171)</x:f>
        <x:v>-0.0059614490712478485</x:v>
      </x:c>
      <x:c r="P172" s="88" t="n">
        <x:f>'Datos_fuente'!N172</x:f>
        <x:v>0</x:v>
      </x:c>
      <x:c r="Q172" s="90" t="n">
        <x:f>IF('Datos_fuente'!O172="","",LN('Datos_fuente'!O172))</x:f>
        <x:v>10.87962519212078</x:v>
      </x:c>
      <x:c r="R172" s="90" t="n">
        <x:f>IF(OR(Q172="",Q171=""),"",Q172-Q171)</x:f>
        <x:v>0.004057486068456129</x:v>
      </x:c>
      <x:c r="S172" s="55" t="n">
        <x:f>'Datos_fuente'!R172</x:f>
        <x:v>4.397272727</x:v>
      </x:c>
      <x:c r="T172" s="55" t="n">
        <x:f>IF(OR(S172="",S171=""),"",S172-S171)</x:f>
        <x:v>-0.0032272730000002525</x:v>
      </x:c>
      <x:c r="U172" s="90" t="n">
        <x:f>IF('Datos_fuente'!S172="","",ASINH('Datos_fuente'!S172/1000))</x:f>
        <x:v>-0.17164590977689465</x:v>
      </x:c>
      <x:c r="V172" s="90" t="n">
        <x:f>IF(OR(U172="",U171=""),"",U172-U171)</x:f>
        <x:v>-0.06060424577091432</x:v>
      </x:c>
      <x:c r="W172" s="90" t="n">
        <x:f>IF('Datos_fuente'!T172="","",ASINH('Datos_fuente'!T172/1000))</x:f>
        <x:v>-0.45565790597757505</x:v>
      </x:c>
      <x:c r="X172" s="90" t="n">
        <x:f>IF(OR(W172="",W171=""),"",W172-W171)</x:f>
        <x:v>0.454280326517145</x:v>
      </x:c>
      <x:c r="Y172" s="55" t="n">
        <x:f>'Datos_fuente'!W172</x:f>
        <x:v>2.091765872</x:v>
      </x:c>
      <x:c r="Z172" s="55" t="n">
        <x:f>IF(OR(Y172="",Y171=""),"",Y172-Y171)</x:f>
        <x:v>-0.007123643000000346</x:v>
      </x:c>
      <x:c r="AA172" s="90" t="n">
        <x:f>'Datos_fuente'!AA172</x:f>
        <x:v>-0.2666762011</x:v>
      </x:c>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t="str">
        <x:f>'Datos_fuente'!A173</x:f>
        <x:v>2019-11</x:v>
      </x:c>
      <x:c r="B173" s="90" t="n">
        <x:f>IF('Datos_fuente'!B173="","",LN('Datos_fuente'!B173))</x:f>
        <x:v>8.131963852079057</x:v>
      </x:c>
      <x:c r="C173" s="90" t="n">
        <x:f>IF(OR(B173="",B172=""),"",B173-B172)</x:f>
        <x:v>-0.009316707139870317</x:v>
      </x:c>
      <x:c r="D173" s="90" t="n">
        <x:f>IF('Datos_fuente'!C173="","",LN('Datos_fuente'!C173))</x:f>
        <x:v>4.146492649869774</x:v>
      </x:c>
      <x:c r="E173" s="90" t="n">
        <x:f>IF(OR(D173="",D172=""),"",D173-D172)</x:f>
        <x:v>0.05694216958322329</x:v>
      </x:c>
      <x:c r="F173" s="90" t="n">
        <x:f>IF('Datos_fuente'!E173="","",LN('Datos_fuente'!E173))</x:f>
        <x:v>8.860331730216636</x:v>
      </x:c>
      <x:c r="G173" s="90" t="n">
        <x:f>IF(OR(F173="",F172=""),"",F173-F172)</x:f>
        <x:v>-0.0064304173035747425</x:v>
      </x:c>
      <x:c r="H173" s="55" t="n">
        <x:f>'Datos_fuente'!H173</x:f>
        <x:v>2.7</x:v>
      </x:c>
      <x:c r="I173" s="55" t="n">
        <x:f>IF(OR(H173="",H172=""),"",H173-H172)</x:f>
        <x:v>0.28000000000000025</x:v>
      </x:c>
      <x:c r="J173" s="55" t="n">
        <x:f>'Datos_fuente'!J173</x:f>
        <x:v>2.11895512</x:v>
      </x:c>
      <x:c r="K173" s="55" t="n">
        <x:f>IF(OR(J173="",J172=""),"",J173-J172)</x:f>
        <x:v>0.0744823379999997</x:v>
      </x:c>
      <x:c r="L173" s="90" t="n">
        <x:f>IF('Datos_fuente'!K173="","",LN('Datos_fuente'!K173))</x:f>
        <x:v>4.7584016011353</x:v>
      </x:c>
      <x:c r="M173" s="90" t="n">
        <x:f>IF(OR(L173="",L172=""),"",L173-L172)</x:f>
        <x:v>-0.0016012529303308654</x:v>
      </x:c>
      <x:c r="N173" s="90" t="n">
        <x:f>IF('Datos_fuente'!L173="","",LN('Datos_fuente'!L173))</x:f>
        <x:v>2.527606879320028</x:v>
      </x:c>
      <x:c r="O173" s="90" t="n">
        <x:f>IF(OR(N173="",N172=""),"",N173-N172)</x:f>
        <x:v>-0.21107092094155</x:v>
      </x:c>
      <x:c r="P173" s="88" t="n">
        <x:f>'Datos_fuente'!N173</x:f>
        <x:v>0</x:v>
      </x:c>
      <x:c r="Q173" s="90" t="n">
        <x:f>IF('Datos_fuente'!O173="","",LN('Datos_fuente'!O173))</x:f>
        <x:v>10.877137344786036</x:v>
      </x:c>
      <x:c r="R173" s="90" t="n">
        <x:f>IF(OR(Q173="",Q172=""),"",Q173-Q172)</x:f>
        <x:v>-0.0024878473347449415</x:v>
      </x:c>
      <x:c r="S173" s="55" t="n">
        <x:f>'Datos_fuente'!R173</x:f>
        <x:v>4.593684211</x:v>
      </x:c>
      <x:c r="T173" s="55" t="n">
        <x:f>IF(OR(S173="",S172=""),"",S173-S172)</x:f>
        <x:v>0.1964114840000004</x:v>
      </x:c>
      <x:c r="U173" s="90" t="n">
        <x:f>IF('Datos_fuente'!S173="","",ASINH('Datos_fuente'!S173/1000))</x:f>
        <x:v>-0.05717883797159469</x:v>
      </x:c>
      <x:c r="V173" s="90" t="n">
        <x:f>IF(OR(U173="",U172=""),"",U173-U172)</x:f>
        <x:v>0.11446707180529996</x:v>
      </x:c>
      <x:c r="W173" s="90" t="n">
        <x:f>IF('Datos_fuente'!T173="","",ASINH('Datos_fuente'!T173/1000))</x:f>
        <x:v>-0.8173460710827065</x:v>
      </x:c>
      <x:c r="X173" s="90" t="n">
        <x:f>IF(OR(W173="",W172=""),"",W173-W172)</x:f>
        <x:v>-0.36168816510513147</x:v>
      </x:c>
      <x:c r="Y173" s="55" t="n">
        <x:f>'Datos_fuente'!W173</x:f>
        <x:v>1.800276682</x:v>
      </x:c>
      <x:c r="Z173" s="55" t="n">
        <x:f>IF(OR(Y173="",Y172=""),"",Y173-Y172)</x:f>
        <x:v>-0.29148918999999984</x:v>
      </x:c>
      <x:c r="AA173" s="90" t="n">
        <x:f>'Datos_fuente'!AA173</x:f>
        <x:v>0.9927427176</x:v>
      </x:c>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t="str">
        <x:f>'Datos_fuente'!A174</x:f>
        <x:v>2019-12</x:v>
      </x:c>
      <x:c r="B174" s="90" t="n">
        <x:f>IF('Datos_fuente'!B174="","",LN('Datos_fuente'!B174))</x:f>
        <x:v>8.125054089854528</x:v>
      </x:c>
      <x:c r="C174" s="90" t="n">
        <x:f>IF(OR(B174="",B173=""),"",B174-B173)</x:f>
        <x:v>-0.0069097622245291035</x:v>
      </x:c>
      <x:c r="D174" s="90" t="n">
        <x:f>IF('Datos_fuente'!C174="","",LN('Datos_fuente'!C174))</x:f>
        <x:v>4.207928317079434</x:v>
      </x:c>
      <x:c r="E174" s="90" t="n">
        <x:f>IF(OR(D174="",D173=""),"",D174-D173)</x:f>
        <x:v>0.06143566720965943</x:v>
      </x:c>
      <x:c r="F174" s="90" t="n">
        <x:f>IF('Datos_fuente'!E174="","",LN('Datos_fuente'!E174))</x:f>
        <x:v>8.865951077999537</x:v>
      </x:c>
      <x:c r="G174" s="90" t="n">
        <x:f>IF(OR(F174="",F173=""),"",F174-F173)</x:f>
        <x:v>0.005619347782900519</x:v>
      </x:c>
      <x:c r="H174" s="55" t="n">
        <x:f>'Datos_fuente'!H174</x:f>
        <x:v>2.7</x:v>
      </x:c>
      <x:c r="I174" s="55" t="n">
        <x:f>IF(OR(H174="",H173=""),"",H174-H173)</x:f>
        <x:v>0</x:v>
      </x:c>
      <x:c r="J174" s="55" t="n">
        <x:f>'Datos_fuente'!J174</x:f>
        <x:v>2.457251638</x:v>
      </x:c>
      <x:c r="K174" s="55" t="n">
        <x:f>IF(OR(J174="",J173=""),"",J174-J173)</x:f>
        <x:v>0.33829651799999994</x:v>
      </x:c>
      <x:c r="L174" s="90" t="n">
        <x:f>IF('Datos_fuente'!K174="","",LN('Datos_fuente'!K174))</x:f>
        <x:v>4.7528106632155005</x:v>
      </x:c>
      <x:c r="M174" s="90" t="n">
        <x:f>IF(OR(L174="",L173=""),"",L174-L173)</x:f>
        <x:v>-0.005590937919799366</x:v>
      </x:c>
      <x:c r="N174" s="90" t="n">
        <x:f>IF('Datos_fuente'!L174="","",LN('Datos_fuente'!L174))</x:f>
        <x:v>2.6215235553386873</x:v>
      </x:c>
      <x:c r="O174" s="90" t="n">
        <x:f>IF(OR(N174="",N173=""),"",N174-N173)</x:f>
        <x:v>0.09391667601865938</x:v>
      </x:c>
      <x:c r="P174" s="88" t="n">
        <x:f>'Datos_fuente'!N174</x:f>
        <x:v>0</x:v>
      </x:c>
      <x:c r="Q174" s="90" t="n">
        <x:f>IF('Datos_fuente'!O174="","",LN('Datos_fuente'!O174))</x:f>
        <x:v>10.88119675575067</x:v>
      </x:c>
      <x:c r="R174" s="90" t="n">
        <x:f>IF(OR(Q174="",Q173=""),"",Q174-Q173)</x:f>
        <x:v>0.00405941096463458</x:v>
      </x:c>
      <x:c r="S174" s="55" t="n">
        <x:f>'Datos_fuente'!R174</x:f>
        <x:v>4.546642857</x:v>
      </x:c>
      <x:c r="T174" s="55" t="n">
        <x:f>IF(OR(S174="",S173=""),"",S174-S173)</x:f>
        <x:v>-0.04704135400000009</x:v>
      </x:c>
      <x:c r="U174" s="90" t="n">
        <x:f>IF('Datos_fuente'!S174="","",ASINH('Datos_fuente'!S174/1000))</x:f>
        <x:v>-0.3079304870651205</x:v>
      </x:c>
      <x:c r="V174" s="90" t="n">
        <x:f>IF(OR(U174="",U173=""),"",U174-U173)</x:f>
        <x:v>-0.2507516490935258</x:v>
      </x:c>
      <x:c r="W174" s="90" t="n">
        <x:f>IF('Datos_fuente'!T174="","",ASINH('Datos_fuente'!T174/1000))</x:f>
        <x:v>-0.6255971412252002</x:v>
      </x:c>
      <x:c r="X174" s="90" t="n">
        <x:f>IF(OR(W174="",W173=""),"",W174-W173)</x:f>
        <x:v>0.19174892985750636</x:v>
      </x:c>
      <x:c r="Y174" s="55" t="n">
        <x:f>'Datos_fuente'!W174</x:f>
        <x:v>1.51487026</x:v>
      </x:c>
      <x:c r="Z174" s="55" t="n">
        <x:f>IF(OR(Y174="",Y173=""),"",Y174-Y173)</x:f>
        <x:v>-0.2854064220000001</x:v>
      </x:c>
      <x:c r="AA174" s="90" t="n">
        <x:f>'Datos_fuente'!AA174</x:f>
        <x:v>-0.5690876847</x:v>
      </x:c>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t="str">
        <x:f>'Datos_fuente'!A175</x:f>
        <x:v>2020-01</x:v>
      </x:c>
      <x:c r="B175" s="90" t="n">
        <x:f>IF('Datos_fuente'!B175="","",LN('Datos_fuente'!B175))</x:f>
        <x:v>8.105062725582775</x:v>
      </x:c>
      <x:c r="C175" s="90" t="n">
        <x:f>IF(OR(B175="",B174=""),"",B175-B174)</x:f>
        <x:v>-0.019991364271753298</x:v>
      </x:c>
      <x:c r="D175" s="90" t="n">
        <x:f>IF('Datos_fuente'!C175="","",LN('Datos_fuente'!C175))</x:f>
        <x:v>4.1533279092562</x:v>
      </x:c>
      <x:c r="E175" s="90" t="n">
        <x:f>IF(OR(D175="",D174=""),"",D175-D174)</x:f>
        <x:v>-0.05460040782323361</x:v>
      </x:c>
      <x:c r="F175" s="90" t="n">
        <x:f>IF('Datos_fuente'!E175="","",LN('Datos_fuente'!E175))</x:f>
        <x:v>8.86106087135193</x:v>
      </x:c>
      <x:c r="G175" s="90" t="n">
        <x:f>IF(OR(F175="",F174=""),"",F175-F174)</x:f>
        <x:v>-0.004890206647607087</x:v>
      </x:c>
      <x:c r="H175" s="55" t="n">
        <x:f>'Datos_fuente'!H175</x:f>
        <x:v>2.7</x:v>
      </x:c>
      <x:c r="I175" s="55" t="n">
        <x:f>IF(OR(H175="",H174=""),"",H175-H174)</x:f>
        <x:v>0</x:v>
      </x:c>
      <x:c r="J175" s="55" t="n">
        <x:f>'Datos_fuente'!J175</x:f>
        <x:v>2.72996169</x:v>
      </x:c>
      <x:c r="K175" s="55" t="n">
        <x:f>IF(OR(J175="",J174=""),"",J175-J174)</x:f>
        <x:v>0.2727100520000003</x:v>
      </x:c>
      <x:c r="L175" s="90" t="n">
        <x:f>IF('Datos_fuente'!K175="","",LN('Datos_fuente'!K175))</x:f>
        <x:v>4.747358622912322</x:v>
      </x:c>
      <x:c r="M175" s="90" t="n">
        <x:f>IF(OR(L175="",L174=""),"",L175-L174)</x:f>
        <x:v>-0.005452040303178585</x:v>
      </x:c>
      <x:c r="N175" s="90" t="n">
        <x:f>IF('Datos_fuente'!L175="","",LN('Datos_fuente'!L175))</x:f>
        <x:v>2.634830722941288</x:v>
      </x:c>
      <x:c r="O175" s="90" t="n">
        <x:f>IF(OR(N175="",N174=""),"",N175-N174)</x:f>
        <x:v>0.013307167602600867</x:v>
      </x:c>
      <x:c r="P175" s="88" t="n">
        <x:f>'Datos_fuente'!N175</x:f>
        <x:v>0</x:v>
      </x:c>
      <x:c r="Q175" s="90" t="n">
        <x:f>IF('Datos_fuente'!O175="","",LN('Datos_fuente'!O175))</x:f>
        <x:v>10.886717421761592</x:v>
      </x:c>
      <x:c r="R175" s="90" t="n">
        <x:f>IF(OR(Q175="",Q174=""),"",Q175-Q174)</x:f>
        <x:v>0.005520666010921715</x:v>
      </x:c>
      <x:c r="S175" s="55" t="n">
        <x:f>'Datos_fuente'!R175</x:f>
        <x:v>4.442380952</x:v>
      </x:c>
      <x:c r="T175" s="55" t="n">
        <x:f>IF(OR(S175="",S174=""),"",S175-S174)</x:f>
        <x:v>-0.10426190500000043</x:v>
      </x:c>
      <x:c r="U175" s="90" t="n">
        <x:f>IF('Datos_fuente'!S175="","",ASINH('Datos_fuente'!S175/1000))</x:f>
        <x:v>-0.0783298756917985</x:v>
      </x:c>
      <x:c r="V175" s="90" t="n">
        <x:f>IF(OR(U175="",U174=""),"",U175-U174)</x:f>
        <x:v>0.229600611373322</x:v>
      </x:c>
      <x:c r="W175" s="90" t="n">
        <x:f>IF('Datos_fuente'!T175="","",ASINH('Datos_fuente'!T175/1000))</x:f>
        <x:v>-0.33034862645155233</x:v>
      </x:c>
      <x:c r="X175" s="90" t="n">
        <x:f>IF(OR(W175="",W174=""),"",W175-W174)</x:f>
        <x:v>0.29524851477364783</x:v>
      </x:c>
      <x:c r="Y175" s="55" t="n">
        <x:f>'Datos_fuente'!W175</x:f>
        <x:v>1.131718303</x:v>
      </x:c>
      <x:c r="Z175" s="55" t="n">
        <x:f>IF(OR(Y175="",Y174=""),"",Y175-Y174)</x:f>
        <x:v>-0.38315195699999993</x:v>
      </x:c>
      <x:c r="AA175" s="90" t="n">
        <x:f>'Datos_fuente'!AA175</x:f>
        <x:v>-0.07106709284</x:v>
      </x:c>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t="str">
        <x:f>'Datos_fuente'!A176</x:f>
        <x:v>2020-02</x:v>
      </x:c>
      <x:c r="B176" s="90" t="n">
        <x:f>IF('Datos_fuente'!B176="","",LN('Datos_fuente'!B176))</x:f>
        <x:v>8.134776249610667</x:v>
      </x:c>
      <x:c r="C176" s="90" t="n">
        <x:f>IF(OR(B176="",B175=""),"",B176-B175)</x:f>
        <x:v>0.02971352402789229</x:v>
      </x:c>
      <x:c r="D176" s="90" t="n">
        <x:f>IF('Datos_fuente'!C176="","",LN('Datos_fuente'!C176))</x:f>
        <x:v>4.01920785597466</x:v>
      </x:c>
      <x:c r="E176" s="90" t="n">
        <x:f>IF(OR(D176="",D175=""),"",D176-D175)</x:f>
        <x:v>-0.1341200532815403</x:v>
      </x:c>
      <x:c r="F176" s="90" t="n">
        <x:f>IF('Datos_fuente'!E176="","",LN('Datos_fuente'!E176))</x:f>
        <x:v>8.8644767742491</x:v>
      </x:c>
      <x:c r="G176" s="90" t="n">
        <x:f>IF(OR(F176="",F175=""),"",F176-F175)</x:f>
        <x:v>0.003415902897170753</x:v>
      </x:c>
      <x:c r="H176" s="55" t="n">
        <x:f>'Datos_fuente'!H176</x:f>
        <x:v>2.67</x:v>
      </x:c>
      <x:c r="I176" s="55" t="n">
        <x:f>IF(OR(H176="",H175=""),"",H176-H175)</x:f>
        <x:v>-0.03000000000000025</x:v>
      </x:c>
      <x:c r="J176" s="55" t="n">
        <x:f>'Datos_fuente'!J176</x:f>
        <x:v>2.376308178</x:v>
      </x:c>
      <x:c r="K176" s="55" t="n">
        <x:f>IF(OR(J176="",J175=""),"",J176-J175)</x:f>
        <x:v>-0.35365351200000017</x:v>
      </x:c>
      <x:c r="L176" s="90" t="n">
        <x:f>IF('Datos_fuente'!K176="","",LN('Datos_fuente'!K176))</x:f>
        <x:v>4.759696870259675</x:v>
      </x:c>
      <x:c r="M176" s="90" t="n">
        <x:f>IF(OR(L176="",L175=""),"",L176-L175)</x:f>
        <x:v>0.012338247347353004</x:v>
      </x:c>
      <x:c r="N176" s="90" t="n">
        <x:f>IF('Datos_fuente'!L176="","",LN('Datos_fuente'!L176))</x:f>
        <x:v>2.9770053833151713</x:v>
      </x:c>
      <x:c r="O176" s="90" t="n">
        <x:f>IF(OR(N176="",N175=""),"",N176-N175)</x:f>
        <x:v>0.3421746603738831</x:v>
      </x:c>
      <x:c r="P176" s="88" t="n">
        <x:f>'Datos_fuente'!N176</x:f>
        <x:v>0</x:v>
      </x:c>
      <x:c r="Q176" s="90" t="n">
        <x:f>IF('Datos_fuente'!O176="","",LN('Datos_fuente'!O176))</x:f>
        <x:v>10.890721998432584</x:v>
      </x:c>
      <x:c r="R176" s="90" t="n">
        <x:f>IF(OR(Q176="",Q175=""),"",Q176-Q175)</x:f>
        <x:v>0.004004576670991966</x:v>
      </x:c>
      <x:c r="S176" s="55" t="n">
        <x:f>'Datos_fuente'!R176</x:f>
        <x:v>4.455289474</x:v>
      </x:c>
      <x:c r="T176" s="55" t="n">
        <x:f>IF(OR(S176="",S175=""),"",S176-S175)</x:f>
        <x:v>0.012908522000000033</x:v>
      </x:c>
      <x:c r="U176" s="90" t="n">
        <x:f>IF('Datos_fuente'!S176="","",ASINH('Datos_fuente'!S176/1000))</x:f>
        <x:v>0.06918479420763127</x:v>
      </x:c>
      <x:c r="V176" s="90" t="n">
        <x:f>IF(OR(U176="",U175=""),"",U176-U175)</x:f>
        <x:v>0.14751466989942977</x:v>
      </x:c>
      <x:c r="W176" s="90" t="n">
        <x:f>IF('Datos_fuente'!T176="","",ASINH('Datos_fuente'!T176/1000))</x:f>
        <x:v>-0.8662102879082189</x:v>
      </x:c>
      <x:c r="X176" s="90" t="n">
        <x:f>IF(OR(W176="",W175=""),"",W176-W175)</x:f>
        <x:v>-0.5358616614566665</x:v>
      </x:c>
      <x:c r="Y176" s="55" t="n">
        <x:f>'Datos_fuente'!W176</x:f>
        <x:v>1.381275873</x:v>
      </x:c>
      <x:c r="Z176" s="55" t="n">
        <x:f>IF(OR(Y176="",Y175=""),"",Y176-Y175)</x:f>
        <x:v>0.24955757000000012</x:v>
      </x:c>
      <x:c r="AA176" s="90" t="n">
        <x:f>'Datos_fuente'!AA176</x:f>
        <x:v>0.7199279079</x:v>
      </x:c>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t="str">
        <x:f>'Datos_fuente'!A177</x:f>
        <x:v>2020-03</x:v>
      </x:c>
      <x:c r="B177" s="90" t="n">
        <x:f>IF('Datos_fuente'!B177="","",LN('Datos_fuente'!B177))</x:f>
        <x:v>8.262829418119228</x:v>
      </x:c>
      <x:c r="C177" s="90" t="n">
        <x:f>IF(OR(B177="",B176=""),"",B177-B176)</x:f>
        <x:v>0.1280531685085613</x:v>
      </x:c>
      <x:c r="D177" s="90" t="n">
        <x:f>IF('Datos_fuente'!C177="","",LN('Datos_fuente'!C177))</x:f>
        <x:v>3.4660909535117623</x:v>
      </x:c>
      <x:c r="E177" s="90" t="n">
        <x:f>IF(OR(D177="",D176=""),"",D177-D176)</x:f>
        <x:v>-0.5531169024628975</x:v>
      </x:c>
      <x:c r="F177" s="90" t="n">
        <x:f>IF('Datos_fuente'!E177="","",LN('Datos_fuente'!E177))</x:f>
        <x:v>8.886652466435212</x:v>
      </x:c>
      <x:c r="G177" s="90" t="n">
        <x:f>IF(OR(F177="",F176=""),"",F177-F176)</x:f>
        <x:v>0.022175692186111817</x:v>
      </x:c>
      <x:c r="H177" s="55" t="n">
        <x:f>'Datos_fuente'!H177</x:f>
        <x:v>3.567741935</x:v>
      </x:c>
      <x:c r="I177" s="55" t="n">
        <x:f>IF(OR(H177="",H176=""),"",H177-H176)</x:f>
        <x:v>0.897741935</x:v>
      </x:c>
      <x:c r="J177" s="55" t="n">
        <x:f>'Datos_fuente'!J177</x:f>
        <x:v>2.225878777</x:v>
      </x:c>
      <x:c r="K177" s="55" t="n">
        <x:f>IF(OR(J177="",J176=""),"",J177-J176)</x:f>
        <x:v>-0.1504294009999998</x:v>
      </x:c>
      <x:c r="L177" s="90" t="n">
        <x:f>IF('Datos_fuente'!K177="","",LN('Datos_fuente'!K177))</x:f>
        <x:v>4.795978469260297</x:v>
      </x:c>
      <x:c r="M177" s="90" t="n">
        <x:f>IF(OR(L177="",L176=""),"",L177-L176)</x:f>
        <x:v>0.03628159900062222</x:v>
      </x:c>
      <x:c r="N177" s="90" t="n">
        <x:f>IF('Datos_fuente'!L177="","",LN('Datos_fuente'!L177))</x:f>
        <x:v>4.055895066724019</x:v>
      </x:c>
      <x:c r="O177" s="90" t="n">
        <x:f>IF(OR(N177="",N176=""),"",N177-N176)</x:f>
        <x:v>1.0788896834088475</x:v>
      </x:c>
      <x:c r="P177" s="88" t="n">
        <x:f>'Datos_fuente'!N177</x:f>
        <x:v>1</x:v>
      </x:c>
      <x:c r="Q177" s="90" t="n">
        <x:f>IF('Datos_fuente'!O177="","",LN('Datos_fuente'!O177))</x:f>
        <x:v>10.884375991296343</x:v>
      </x:c>
      <x:c r="R177" s="90" t="n">
        <x:f>IF(OR(Q177="",Q176=""),"",Q177-Q176)</x:f>
        <x:v>-0.006346007136240672</x:v>
      </x:c>
      <x:c r="S177" s="55" t="n">
        <x:f>'Datos_fuente'!R177</x:f>
        <x:v>6.733333333</x:v>
      </x:c>
      <x:c r="T177" s="55" t="n">
        <x:f>IF(OR(S177="",S176=""),"",S177-S176)</x:f>
        <x:v>2.2780438590000003</x:v>
      </x:c>
      <x:c r="U177" s="90" t="n">
        <x:f>IF('Datos_fuente'!S177="","",ASINH('Datos_fuente'!S177/1000))</x:f>
        <x:v>0.2322952067330023</x:v>
      </x:c>
      <x:c r="V177" s="90" t="n">
        <x:f>IF(OR(U177="",U176=""),"",U177-U176)</x:f>
        <x:v>0.16311041252537103</x:v>
      </x:c>
      <x:c r="W177" s="90" t="n">
        <x:f>IF('Datos_fuente'!T177="","",ASINH('Datos_fuente'!T177/1000))</x:f>
        <x:v>-1.541767559894334</x:v>
      </x:c>
      <x:c r="X177" s="90" t="n">
        <x:f>IF(OR(W177="",W176=""),"",W177-W176)</x:f>
        <x:v>-0.675557271986115</x:v>
      </x:c>
      <x:c r="Y177" s="55" t="n">
        <x:f>'Datos_fuente'!W177</x:f>
        <x:v>2.30834079</x:v>
      </x:c>
      <x:c r="Z177" s="55" t="n">
        <x:f>IF(OR(Y177="",Y176=""),"",Y177-Y176)</x:f>
        <x:v>0.9270649169999998</x:v>
      </x:c>
      <x:c r="AA177" s="90" t="n">
        <x:f>'Datos_fuente'!AA177</x:f>
        <x:v>3.564684862</x:v>
      </x:c>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t="str">
        <x:f>'Datos_fuente'!A178</x:f>
        <x:v>2020-04</x:v>
      </x:c>
      <x:c r="B178" s="90" t="n">
        <x:f>IF('Datos_fuente'!B178="","",LN('Datos_fuente'!B178))</x:f>
        <x:v>8.28838194225335</x:v>
      </x:c>
      <x:c r="C178" s="90" t="n">
        <x:f>IF(OR(B178="",B177=""),"",B178-B177)</x:f>
        <x:v>0.025552524134122123</x:v>
      </x:c>
      <x:c r="D178" s="90" t="n">
        <x:f>IF('Datos_fuente'!C178="","",LN('Datos_fuente'!C178))</x:f>
        <x:v>2.91118150315109</x:v>
      </x:c>
      <x:c r="E178" s="90" t="n">
        <x:f>IF(OR(D178="",D177=""),"",D178-D177)</x:f>
        <x:v>-0.5549094503606722</x:v>
      </x:c>
      <x:c r="F178" s="90" t="n">
        <x:f>IF('Datos_fuente'!E178="","",LN('Datos_fuente'!E178))</x:f>
        <x:v>8.851913894998644</x:v>
      </x:c>
      <x:c r="G178" s="90" t="n">
        <x:f>IF(OR(F178="",F177=""),"",F178-F177)</x:f>
        <x:v>-0.03473857143656822</x:v>
      </x:c>
      <x:c r="H178" s="55" t="n">
        <x:f>'Datos_fuente'!H178</x:f>
        <x:v>3.7</x:v>
      </x:c>
      <x:c r="I178" s="55" t="n">
        <x:f>IF(OR(H178="",H177=""),"",H178-H177)</x:f>
        <x:v>0.13225806500000026</x:v>
      </x:c>
      <x:c r="J178" s="55" t="n">
        <x:f>'Datos_fuente'!J178</x:f>
        <x:v>3.178987191</x:v>
      </x:c>
      <x:c r="K178" s="55" t="n">
        <x:f>IF(OR(J178="",J177=""),"",J178-J177)</x:f>
        <x:v>0.9531084139999999</x:v>
      </x:c>
      <x:c r="L178" s="90" t="n">
        <x:f>IF('Datos_fuente'!K178="","",LN('Datos_fuente'!K178))</x:f>
        <x:v>4.8144609935712035</x:v>
      </x:c>
      <x:c r="M178" s="90" t="n">
        <x:f>IF(OR(L178="",L177=""),"",L178-L177)</x:f>
        <x:v>0.018482524310906356</x:v>
      </x:c>
      <x:c r="N178" s="90" t="n">
        <x:f>IF('Datos_fuente'!L178="","",LN('Datos_fuente'!L178))</x:f>
        <x:v>3.724579783751415</x:v>
      </x:c>
      <x:c r="O178" s="90" t="n">
        <x:f>IF(OR(N178="",N177=""),"",N178-N177)</x:f>
        <x:v>-0.3313152829726036</x:v>
      </x:c>
      <x:c r="P178" s="88" t="n">
        <x:f>'Datos_fuente'!N178</x:f>
        <x:v>1</x:v>
      </x:c>
      <x:c r="Q178" s="90" t="n">
        <x:f>IF('Datos_fuente'!O178="","",LN('Datos_fuente'!O178))</x:f>
        <x:v>10.894193123761164</x:v>
      </x:c>
      <x:c r="R178" s="90" t="n">
        <x:f>IF(OR(Q178="",Q177=""),"",Q178-Q177)</x:f>
        <x:v>0.009817132464821299</x:v>
      </x:c>
      <x:c r="S178" s="55" t="n">
        <x:f>'Datos_fuente'!R178</x:f>
        <x:v>6.845880952</x:v>
      </x:c>
      <x:c r="T178" s="55" t="n">
        <x:f>IF(OR(S178="",S177=""),"",S178-S177)</x:f>
        <x:v>0.11254761899999988</x:v>
      </x:c>
      <x:c r="U178" s="90" t="n">
        <x:f>IF('Datos_fuente'!S178="","",ASINH('Datos_fuente'!S178/1000))</x:f>
        <x:v>0.011169767734938316</x:v>
      </x:c>
      <x:c r="V178" s="90" t="n">
        <x:f>IF(OR(U178="",U177=""),"",U178-U177)</x:f>
        <x:v>-0.22112543899806397</x:v>
      </x:c>
      <x:c r="W178" s="90" t="n">
        <x:f>IF('Datos_fuente'!T178="","",ASINH('Datos_fuente'!T178/1000))</x:f>
        <x:v>0.014169525846388675</x:v>
      </x:c>
      <x:c r="X178" s="90" t="n">
        <x:f>IF(OR(W178="",W177=""),"",W178-W177)</x:f>
        <x:v>1.5559370857407226</x:v>
      </x:c>
      <x:c r="Y178" s="55" t="n">
        <x:f>'Datos_fuente'!W178</x:f>
        <x:v>3.176582906</x:v>
      </x:c>
      <x:c r="Z178" s="55" t="n">
        <x:f>IF(OR(Y178="",Y177=""),"",Y178-Y177)</x:f>
        <x:v>0.8682421160000002</x:v>
      </x:c>
      <x:c r="AA178" s="90" t="n">
        <x:f>'Datos_fuente'!AA178</x:f>
        <x:v>1.850095616</x:v>
      </x:c>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t="str">
        <x:f>'Datos_fuente'!A179</x:f>
        <x:v>2020-05</x:v>
      </x:c>
      <x:c r="B179" s="90" t="n">
        <x:f>IF('Datos_fuente'!B179="","",LN('Datos_fuente'!B179))</x:f>
        <x:v>8.257953858639803</x:v>
      </x:c>
      <x:c r="C179" s="90" t="n">
        <x:f>IF(OR(B179="",B178=""),"",B179-B178)</x:f>
        <x:v>-0.030428083613546875</x:v>
      </x:c>
      <x:c r="D179" s="90" t="n">
        <x:f>IF('Datos_fuente'!C179="","",LN('Datos_fuente'!C179))</x:f>
        <x:v>3.3802783419895253</x:v>
      </x:c>
      <x:c r="E179" s="90" t="n">
        <x:f>IF(OR(D179="",D178=""),"",D179-D178)</x:f>
        <x:v>0.4690968388384351</x:v>
      </x:c>
      <x:c r="F179" s="90" t="n">
        <x:f>IF('Datos_fuente'!E179="","",LN('Datos_fuente'!E179))</x:f>
        <x:v>8.822335443893174</x:v>
      </x:c>
      <x:c r="G179" s="90" t="n">
        <x:f>IF(OR(F179="",F178=""),"",F179-F178)</x:f>
        <x:v>-0.029578451105470194</x:v>
      </x:c>
      <x:c r="H179" s="55" t="n">
        <x:f>'Datos_fuente'!H179</x:f>
        <x:v>3.248387097</x:v>
      </x:c>
      <x:c r="I179" s="55" t="n">
        <x:f>IF(OR(H179="",H178=""),"",H179-H178)</x:f>
        <x:v>-0.451612903</x:v>
      </x:c>
      <x:c r="J179" s="55" t="n">
        <x:f>'Datos_fuente'!J179</x:f>
        <x:v>3.909812532</x:v>
      </x:c>
      <x:c r="K179" s="55" t="n">
        <x:f>IF(OR(J179="",J178=""),"",J179-J178)</x:f>
        <x:v>0.7308253410000001</x:v>
      </x:c>
      <x:c r="L179" s="90" t="n">
        <x:f>IF('Datos_fuente'!K179="","",LN('Datos_fuente'!K179))</x:f>
        <x:v>4.80904944667693</x:v>
      </x:c>
      <x:c r="M179" s="90" t="n">
        <x:f>IF(OR(L179="",L178=""),"",L179-L178)</x:f>
        <x:v>-0.005411546894273478</x:v>
      </x:c>
      <x:c r="N179" s="90" t="n">
        <x:f>IF('Datos_fuente'!L179="","",LN('Datos_fuente'!L179))</x:f>
        <x:v>3.4306590918117745</x:v>
      </x:c>
      <x:c r="O179" s="90" t="n">
        <x:f>IF(OR(N179="",N178=""),"",N179-N178)</x:f>
        <x:v>-0.29392069193964065</x:v>
      </x:c>
      <x:c r="P179" s="88" t="n">
        <x:f>'Datos_fuente'!N179</x:f>
        <x:v>1</x:v>
      </x:c>
      <x:c r="Q179" s="90" t="n">
        <x:f>IF('Datos_fuente'!O179="","",LN('Datos_fuente'!O179))</x:f>
        <x:v>10.939544773943089</x:v>
      </x:c>
      <x:c r="R179" s="90" t="n">
        <x:f>IF(OR(Q179="",Q178=""),"",Q179-Q178)</x:f>
        <x:v>0.04535165018192444</x:v>
      </x:c>
      <x:c r="S179" s="55" t="n">
        <x:f>'Datos_fuente'!R179</x:f>
        <x:v>5.714421053</x:v>
      </x:c>
      <x:c r="T179" s="55" t="n">
        <x:f>IF(OR(S179="",S178=""),"",S179-S178)</x:f>
        <x:v>-1.1314598990000002</x:v>
      </x:c>
      <x:c r="U179" s="90" t="n">
        <x:f>IF('Datos_fuente'!S179="","",ASINH('Datos_fuente'!S179/1000))</x:f>
        <x:v>-0.09475812915372624</x:v>
      </x:c>
      <x:c r="V179" s="90" t="n">
        <x:f>IF(OR(U179="",U178=""),"",U179-U178)</x:f>
        <x:v>-0.10592789688866455</x:v>
      </x:c>
      <x:c r="W179" s="90" t="n">
        <x:f>IF('Datos_fuente'!T179="","",ASINH('Datos_fuente'!T179/1000))</x:f>
        <x:v>1.3920725403865817</x:v>
      </x:c>
      <x:c r="X179" s="90" t="n">
        <x:f>IF(OR(W179="",W178=""),"",W179-W178)</x:f>
        <x:v>1.377903014540193</x:v>
      </x:c>
      <x:c r="Y179" s="55" t="n">
        <x:f>'Datos_fuente'!W179</x:f>
        <x:v>2.732522673</x:v>
      </x:c>
      <x:c r="Z179" s="55" t="n">
        <x:f>IF(OR(Y179="",Y178=""),"",Y179-Y178)</x:f>
        <x:v>-0.4440602330000001</x:v>
      </x:c>
      <x:c r="AA179" s="90" t="n">
        <x:f>'Datos_fuente'!AA179</x:f>
        <x:v>-0.4358909802</x:v>
      </x:c>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t="str">
        <x:f>'Datos_fuente'!A180</x:f>
        <x:v>2020-06</x:v>
      </x:c>
      <x:c r="B180" s="90" t="n">
        <x:f>IF('Datos_fuente'!B180="","",LN('Datos_fuente'!B180))</x:f>
        <x:v>8.21652160816699</x:v>
      </x:c>
      <x:c r="C180" s="90" t="n">
        <x:f>IF(OR(B180="",B179=""),"",B180-B179)</x:f>
        <x:v>-0.041432250472812626</x:v>
      </x:c>
      <x:c r="D180" s="90" t="n">
        <x:f>IF('Datos_fuente'!C180="","",LN('Datos_fuente'!C180))</x:f>
        <x:v>3.6955277595738703</x:v>
      </x:c>
      <x:c r="E180" s="90" t="n">
        <x:f>IF(OR(D180="",D179=""),"",D180-D179)</x:f>
        <x:v>0.315249417584345</x:v>
      </x:c>
      <x:c r="F180" s="90" t="n">
        <x:f>IF('Datos_fuente'!E180="","",LN('Datos_fuente'!E180))</x:f>
        <x:v>8.822434199498923</x:v>
      </x:c>
      <x:c r="G180" s="90" t="n">
        <x:f>IF(OR(F180="",F179=""),"",F180-F179)</x:f>
        <x:v>0.00009875560574990061</x:v>
      </x:c>
      <x:c r="H180" s="55" t="n">
        <x:f>'Datos_fuente'!H180</x:f>
        <x:v>2.67</x:v>
      </x:c>
      <x:c r="I180" s="55" t="n">
        <x:f>IF(OR(H180="",H179=""),"",H180-H179)</x:f>
        <x:v>-0.5783870970000002</x:v>
      </x:c>
      <x:c r="J180" s="55" t="n">
        <x:f>'Datos_fuente'!J180</x:f>
        <x:v>5.17609732</x:v>
      </x:c>
      <x:c r="K180" s="55" t="n">
        <x:f>IF(OR(J180="",J179=""),"",J180-J179)</x:f>
        <x:v>1.266284788</x:v>
      </x:c>
      <x:c r="L180" s="90" t="n">
        <x:f>IF('Datos_fuente'!K180="","",LN('Datos_fuente'!K180))</x:f>
        <x:v>4.784793142333047</x:v>
      </x:c>
      <x:c r="M180" s="90" t="n">
        <x:f>IF(OR(L180="",L179=""),"",L180-L179)</x:f>
        <x:v>-0.024256304343882817</x:v>
      </x:c>
      <x:c r="N180" s="90" t="n">
        <x:f>IF('Datos_fuente'!L180="","",LN('Datos_fuente'!L180))</x:f>
        <x:v>3.437836092841049</x:v>
      </x:c>
      <x:c r="O180" s="90" t="n">
        <x:f>IF(OR(N180="",N179=""),"",N180-N179)</x:f>
        <x:v>0.007177001029274432</x:v>
      </x:c>
      <x:c r="P180" s="88" t="n">
        <x:f>'Datos_fuente'!N180</x:f>
        <x:v>0</x:v>
      </x:c>
      <x:c r="Q180" s="90" t="n">
        <x:f>IF('Datos_fuente'!O180="","",LN('Datos_fuente'!O180))</x:f>
        <x:v>10.944179195763107</x:v>
      </x:c>
      <x:c r="R180" s="90" t="n">
        <x:f>IF(OR(Q180="",Q179=""),"",Q180-Q179)</x:f>
        <x:v>0.004634421820018275</x:v>
      </x:c>
      <x:c r="S180" s="55" t="n">
        <x:f>'Datos_fuente'!R180</x:f>
        <x:v>5.781889952</x:v>
      </x:c>
      <x:c r="T180" s="55" t="n">
        <x:f>IF(OR(S180="",S179=""),"",S180-S179)</x:f>
        <x:v>0.06746889900000053</x:v>
      </x:c>
      <x:c r="U180" s="90" t="n">
        <x:f>IF('Datos_fuente'!S180="","",ASINH('Datos_fuente'!S180/1000))</x:f>
        <x:v>-0.0573785103345123</x:v>
      </x:c>
      <x:c r="V180" s="90" t="n">
        <x:f>IF(OR(U180="",U179=""),"",U180-U179)</x:f>
        <x:v>0.037379618819213936</x:v>
      </x:c>
      <x:c r="W180" s="90" t="n">
        <x:f>IF('Datos_fuente'!T180="","",ASINH('Datos_fuente'!T180/1000))</x:f>
        <x:v>-0.6299590161441109</x:v>
      </x:c>
      <x:c r="X180" s="90" t="n">
        <x:f>IF(OR(W180="",W179=""),"",W180-W179)</x:f>
        <x:v>-2.0220315565306928</x:v>
      </x:c>
      <x:c r="Y180" s="55" t="n">
        <x:f>'Datos_fuente'!W180</x:f>
        <x:v>1.554636926</x:v>
      </x:c>
      <x:c r="Z180" s="55" t="n">
        <x:f>IF(OR(Y180="",Y179=""),"",Y180-Y179)</x:f>
        <x:v>-1.1778857470000001</x:v>
      </x:c>
      <x:c r="AA180" s="90" t="n">
        <x:f>'Datos_fuente'!AA180</x:f>
        <x:v>-1.843489585</x:v>
      </x:c>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t="str">
        <x:f>'Datos_fuente'!A181</x:f>
        <x:v>2020-07</x:v>
      </x:c>
      <x:c r="B181" s="90" t="n">
        <x:f>IF('Datos_fuente'!B181="","",LN('Datos_fuente'!B181))</x:f>
        <x:v>8.204635407839238</x:v>
      </x:c>
      <x:c r="C181" s="90" t="n">
        <x:f>IF(OR(B181="",B180=""),"",B181-B180)</x:f>
        <x:v>-0.011886200327753116</x:v>
      </x:c>
      <x:c r="D181" s="90" t="n">
        <x:f>IF('Datos_fuente'!C181="","",LN('Datos_fuente'!C181))</x:f>
        <x:v>3.766816266946648</x:v>
      </x:c>
      <x:c r="E181" s="90" t="n">
        <x:f>IF(OR(D181="",D180=""),"",D181-D180)</x:f>
        <x:v>0.07128850737277759</x:v>
      </x:c>
      <x:c r="F181" s="90" t="n">
        <x:f>IF('Datos_fuente'!E181="","",LN('Datos_fuente'!E181))</x:f>
        <x:v>8.819150880636501</x:v>
      </x:c>
      <x:c r="G181" s="90" t="n">
        <x:f>IF(OR(F181="",F180=""),"",F181-F180)</x:f>
        <x:v>-0.003283318862422391</x:v>
      </x:c>
      <x:c r="H181" s="55" t="n">
        <x:f>'Datos_fuente'!H181</x:f>
        <x:v>2.41</x:v>
      </x:c>
      <x:c r="I181" s="55" t="n">
        <x:f>IF(OR(H181="",H180=""),"",H181-H180)</x:f>
        <x:v>-0.2599999999999998</x:v>
      </x:c>
      <x:c r="J181" s="55" t="n">
        <x:f>'Datos_fuente'!J181</x:f>
        <x:v>5.791065909</x:v>
      </x:c>
      <x:c r="K181" s="55" t="n">
        <x:f>IF(OR(J181="",J180=""),"",J181-J180)</x:f>
        <x:v>0.6149685890000001</x:v>
      </x:c>
      <x:c r="L181" s="90" t="n">
        <x:f>IF('Datos_fuente'!K181="","",LN('Datos_fuente'!K181))</x:f>
        <x:v>4.776515473333807</x:v>
      </x:c>
      <x:c r="M181" s="90" t="n">
        <x:f>IF(OR(L181="",L180=""),"",L181-L180)</x:f>
        <x:v>-0.00827766899924054</x:v>
      </x:c>
      <x:c r="N181" s="90" t="n">
        <x:f>IF('Datos_fuente'!L181="","",LN('Datos_fuente'!L181))</x:f>
        <x:v>3.2899102475040407</x:v>
      </x:c>
      <x:c r="O181" s="90" t="n">
        <x:f>IF(OR(N181="",N180=""),"",N181-N180)</x:f>
        <x:v>-0.14792584533700825</x:v>
      </x:c>
      <x:c r="P181" s="88" t="n">
        <x:f>'Datos_fuente'!N181</x:f>
        <x:v>0</x:v>
      </x:c>
      <x:c r="Q181" s="90" t="n">
        <x:f>IF('Datos_fuente'!O181="","",LN('Datos_fuente'!O181))</x:f>
        <x:v>10.950313969379987</x:v>
      </x:c>
      <x:c r="R181" s="90" t="n">
        <x:f>IF(OR(Q181="",Q180=""),"",Q181-Q180)</x:f>
        <x:v>0.006134773616880196</x:v>
      </x:c>
      <x:c r="S181" s="55" t="n">
        <x:f>'Datos_fuente'!R181</x:f>
        <x:v>5.766363636</x:v>
      </x:c>
      <x:c r="T181" s="55" t="n">
        <x:f>IF(OR(S181="",S180=""),"",S181-S180)</x:f>
        <x:v>-0.015526315999999873</x:v>
      </x:c>
      <x:c r="U181" s="90" t="n">
        <x:f>IF('Datos_fuente'!S181="","",ASINH('Datos_fuente'!S181/1000))</x:f>
        <x:v>-0.029755608888138736</x:v>
      </x:c>
      <x:c r="V181" s="90" t="n">
        <x:f>IF(OR(U181="",U180=""),"",U181-U180)</x:f>
        <x:v>0.027622901446373565</x:v>
      </x:c>
      <x:c r="W181" s="90" t="n">
        <x:f>IF('Datos_fuente'!T181="","",ASINH('Datos_fuente'!T181/1000))</x:f>
        <x:v>-0.7096962616602978</x:v>
      </x:c>
      <x:c r="X181" s="90" t="n">
        <x:f>IF(OR(W181="",W180=""),"",W181-W180)</x:f>
        <x:v>-0.07973724551618688</x:v>
      </x:c>
      <x:c r="Y181" s="55" t="n">
        <x:f>'Datos_fuente'!W181</x:f>
        <x:v>0.9859407121</x:v>
      </x:c>
      <x:c r="Z181" s="55" t="n">
        <x:f>IF(OR(Y181="",Y180=""),"",Y181-Y180)</x:f>
        <x:v>-0.5686962138999999</x:v>
      </x:c>
      <x:c r="AA181" s="90" t="n">
        <x:f>'Datos_fuente'!AA181</x:f>
        <x:v>-0.0828278232</x:v>
      </x:c>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t="str">
        <x:f>'Datos_fuente'!A182</x:f>
        <x:v>2020-08</x:v>
      </x:c>
      <x:c r="B182" s="90" t="n">
        <x:f>IF('Datos_fuente'!B182="","",LN('Datos_fuente'!B182))</x:f>
        <x:v>8.238279446179945</x:v>
      </x:c>
      <x:c r="C182" s="90" t="n">
        <x:f>IF(OR(B182="",B181=""),"",B182-B181)</x:f>
        <x:v>0.03364403834070728</x:v>
      </x:c>
      <x:c r="D182" s="90" t="n">
        <x:f>IF('Datos_fuente'!C182="","",LN('Datos_fuente'!C182))</x:f>
        <x:v>3.800778546611345</x:v>
      </x:c>
      <x:c r="E182" s="90" t="n">
        <x:f>IF(OR(D182="",D181=""),"",D182-D181)</x:f>
        <x:v>0.033962279664697004</x:v>
      </x:c>
      <x:c r="F182" s="90" t="n">
        <x:f>IF('Datos_fuente'!E182="","",LN('Datos_fuente'!E182))</x:f>
        <x:v>8.812560655444006</x:v>
      </x:c>
      <x:c r="G182" s="90" t="n">
        <x:f>IF(OR(F182="",F181=""),"",F182-F181)</x:f>
        <x:v>-0.0065902251924949695</x:v>
      </x:c>
      <x:c r="H182" s="55" t="n">
        <x:f>'Datos_fuente'!H182</x:f>
        <x:v>2.166129032</x:v>
      </x:c>
      <x:c r="I182" s="55" t="n">
        <x:f>IF(OR(H182="",H181=""),"",H182-H181)</x:f>
        <x:v>-0.24387096799999997</x:v>
      </x:c>
      <x:c r="J182" s="55" t="n">
        <x:f>'Datos_fuente'!J182</x:f>
        <x:v>6.324605304</x:v>
      </x:c>
      <x:c r="K182" s="55" t="n">
        <x:f>IF(OR(J182="",J181=""),"",J182-J181)</x:f>
        <x:v>0.533539395</x:v>
      </x:c>
      <x:c r="L182" s="90" t="n">
        <x:f>IF('Datos_fuente'!K182="","",LN('Datos_fuente'!K182))</x:f>
        <x:v>4.761706711135863</x:v>
      </x:c>
      <x:c r="M182" s="90" t="n">
        <x:f>IF(OR(L182="",L181=""),"",L182-L181)</x:f>
        <x:v>-0.01480876219794336</x:v>
      </x:c>
      <x:c r="N182" s="90" t="n">
        <x:f>IF('Datos_fuente'!L182="","",LN('Datos_fuente'!L182))</x:f>
        <x:v>3.13067933034048</x:v>
      </x:c>
      <x:c r="O182" s="90" t="n">
        <x:f>IF(OR(N182="",N181=""),"",N182-N181)</x:f>
        <x:v>-0.15923091716356064</x:v>
      </x:c>
      <x:c r="P182" s="88" t="n">
        <x:f>'Datos_fuente'!N182</x:f>
        <x:v>0</x:v>
      </x:c>
      <x:c r="Q182" s="90" t="n">
        <x:f>IF('Datos_fuente'!O182="","",LN('Datos_fuente'!O182))</x:f>
        <x:v>10.95404568111734</x:v>
      </x:c>
      <x:c r="R182" s="90" t="n">
        <x:f>IF(OR(Q182="",Q181=""),"",Q182-Q181)</x:f>
        <x:v>0.0037317117373518727</x:v>
      </x:c>
      <x:c r="S182" s="55" t="n">
        <x:f>'Datos_fuente'!R182</x:f>
        <x:v>5.540526316</x:v>
      </x:c>
      <x:c r="T182" s="55" t="n">
        <x:f>IF(OR(S182="",S181=""),"",S182-S181)</x:f>
        <x:v>-0.22583732000000012</x:v>
      </x:c>
      <x:c r="U182" s="90" t="n">
        <x:f>IF('Datos_fuente'!S182="","",ASINH('Datos_fuente'!S182/1000))</x:f>
        <x:v>0.06413602112536818</x:v>
      </x:c>
      <x:c r="V182" s="90" t="n">
        <x:f>IF(OR(U182="",U181=""),"",U182-U181)</x:f>
        <x:v>0.09389163001350691</x:v>
      </x:c>
      <x:c r="W182" s="90" t="n">
        <x:f>IF('Datos_fuente'!T182="","",ASINH('Datos_fuente'!T182/1000))</x:f>
        <x:v>-0.729017443708295</x:v>
      </x:c>
      <x:c r="X182" s="90" t="n">
        <x:f>IF(OR(W182="",W181=""),"",W182-W181)</x:f>
        <x:v>-0.019321182047997265</x:v>
      </x:c>
      <x:c r="Y182" s="55" t="n">
        <x:f>'Datos_fuente'!W182</x:f>
        <x:v>0.5635954213</x:v>
      </x:c>
      <x:c r="Z182" s="55" t="n">
        <x:f>IF(OR(Y182="",Y181=""),"",Y182-Y181)</x:f>
        <x:v>-0.42234529080000005</x:v>
      </x:c>
      <x:c r="AA182" s="90" t="n">
        <x:f>'Datos_fuente'!AA182</x:f>
        <x:v>0.1689394899</x:v>
      </x:c>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t="str">
        <x:f>'Datos_fuente'!A183</x:f>
        <x:v>2020-09</x:v>
      </x:c>
      <x:c r="B183" s="90" t="n">
        <x:f>IF('Datos_fuente'!B183="","",LN('Datos_fuente'!B183))</x:f>
        <x:v>8.229568539449202</x:v>
      </x:c>
      <x:c r="C183" s="90" t="n">
        <x:f>IF(OR(B183="",B182=""),"",B183-B182)</x:f>
        <x:v>-0.008710906730742707</x:v>
      </x:c>
      <x:c r="D183" s="90" t="n">
        <x:f>IF('Datos_fuente'!C183="","",LN('Datos_fuente'!C183))</x:f>
        <x:v>3.7113634209042683</x:v>
      </x:c>
      <x:c r="E183" s="90" t="n">
        <x:f>IF(OR(D183="",D182=""),"",D183-D182)</x:f>
        <x:v>-0.08941512570707655</x:v>
      </x:c>
      <x:c r="F183" s="90" t="n">
        <x:f>IF('Datos_fuente'!E183="","",LN('Datos_fuente'!E183))</x:f>
        <x:v>8.823025055395167</x:v>
      </x:c>
      <x:c r="G183" s="90" t="n">
        <x:f>IF(OR(F183="",F182=""),"",F183-F182)</x:f>
        <x:v>0.010464399951160885</x:v>
      </x:c>
      <x:c r="H183" s="55" t="n">
        <x:f>'Datos_fuente'!H183</x:f>
        <x:v>1.885</x:v>
      </x:c>
      <x:c r="I183" s="55" t="n">
        <x:f>IF(OR(H183="",H182=""),"",H183-H182)</x:f>
        <x:v>-0.28112903200000017</x:v>
      </x:c>
      <x:c r="J183" s="55" t="n">
        <x:f>'Datos_fuente'!J183</x:f>
        <x:v>7.363909642</x:v>
      </x:c>
      <x:c r="K183" s="55" t="n">
        <x:f>IF(OR(J183="",J182=""),"",J183-J182)</x:f>
        <x:v>1.039304338</x:v>
      </x:c>
      <x:c r="L183" s="90" t="n">
        <x:f>IF('Datos_fuente'!K183="","",LN('Datos_fuente'!K183))</x:f>
        <x:v>4.75654387038744</x:v>
      </x:c>
      <x:c r="M183" s="90" t="n">
        <x:f>IF(OR(L183="",L182=""),"",L183-L182)</x:f>
        <x:v>-0.005162840748423214</x:v>
      </x:c>
      <x:c r="N183" s="90" t="n">
        <x:f>IF('Datos_fuente'!L183="","",LN('Datos_fuente'!L183))</x:f>
        <x:v>3.3195396139532245</x:v>
      </x:c>
      <x:c r="O183" s="90" t="n">
        <x:f>IF(OR(N183="",N182=""),"",N183-N182)</x:f>
        <x:v>0.18886028361274443</x:v>
      </x:c>
      <x:c r="P183" s="88" t="n">
        <x:f>'Datos_fuente'!N183</x:f>
        <x:v>0</x:v>
      </x:c>
      <x:c r="Q183" s="90" t="n">
        <x:f>IF('Datos_fuente'!O183="","",LN('Datos_fuente'!O183))</x:f>
        <x:v>10.950428931669412</x:v>
      </x:c>
      <x:c r="R183" s="90" t="n">
        <x:f>IF(OR(Q183="",Q182=""),"",Q183-Q182)</x:f>
        <x:v>-0.0036167494479268925</x:v>
      </x:c>
      <x:c r="S183" s="55" t="n">
        <x:f>'Datos_fuente'!R183</x:f>
        <x:v>5.236385281</x:v>
      </x:c>
      <x:c r="T183" s="55" t="n">
        <x:f>IF(OR(S183="",S182=""),"",S183-S182)</x:f>
        <x:v>-0.30414103500000067</x:v>
      </x:c>
      <x:c r="U183" s="90" t="n">
        <x:f>IF('Datos_fuente'!S183="","",ASINH('Datos_fuente'!S183/1000))</x:f>
        <x:v>0.109610383619729</x:v>
      </x:c>
      <x:c r="V183" s="90" t="n">
        <x:f>IF(OR(U183="",U182=""),"",U183-U182)</x:f>
        <x:v>0.04547436249436082</x:v>
      </x:c>
      <x:c r="W183" s="90" t="n">
        <x:f>IF('Datos_fuente'!T183="","",ASINH('Datos_fuente'!T183/1000))</x:f>
        <x:v>-1.07512375388979</x:v>
      </x:c>
      <x:c r="X183" s="90" t="n">
        <x:f>IF(OR(W183="",W182=""),"",W183-W182)</x:f>
        <x:v>-0.34610631018149496</x:v>
      </x:c>
      <x:c r="Y183" s="55" t="n">
        <x:f>'Datos_fuente'!W183</x:f>
        <x:v>0.5945864308</x:v>
      </x:c>
      <x:c r="Z183" s="55" t="n">
        <x:f>IF(OR(Y183="",Y182=""),"",Y183-Y182)</x:f>
        <x:v>0.0309910095</x:v>
      </x:c>
      <x:c r="AA183" s="90" t="n">
        <x:f>'Datos_fuente'!AA183</x:f>
        <x:v>-0.7336197567</x:v>
      </x:c>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t="str">
        <x:f>'Datos_fuente'!A184</x:f>
        <x:v>2020-10</x:v>
      </x:c>
      <x:c r="B184" s="90" t="n">
        <x:f>IF('Datos_fuente'!B184="","",LN('Datos_fuente'!B184))</x:f>
        <x:v>8.251608728289973</x:v>
      </x:c>
      <x:c r="C184" s="90" t="n">
        <x:f>IF(OR(B184="",B183=""),"",B184-B183)</x:f>
        <x:v>0.02204018884077108</x:v>
      </x:c>
      <x:c r="D184" s="90" t="n">
        <x:f>IF('Datos_fuente'!C184="","",LN('Datos_fuente'!C184))</x:f>
        <x:v>3.6936068983697807</x:v>
      </x:c>
      <x:c r="E184" s="90" t="n">
        <x:f>IF(OR(D184="",D183=""),"",D184-D183)</x:f>
        <x:v>-0.017756522534487562</x:v>
      </x:c>
      <x:c r="F184" s="90" t="n">
        <x:f>IF('Datos_fuente'!E184="","",LN('Datos_fuente'!E184))</x:f>
        <x:v>8.830254957437356</x:v>
      </x:c>
      <x:c r="G184" s="90" t="n">
        <x:f>IF(OR(F184="",F183=""),"",F184-F183)</x:f>
        <x:v>0.007229902042189096</x:v>
      </x:c>
      <x:c r="H184" s="55" t="n">
        <x:f>'Datos_fuente'!H184</x:f>
        <x:v>1.66</x:v>
      </x:c>
      <x:c r="I184" s="55" t="n">
        <x:f>IF(OR(H184="",H183=""),"",H184-H183)</x:f>
        <x:v>-0.2250000000000001</x:v>
      </x:c>
      <x:c r="J184" s="55" t="n">
        <x:f>'Datos_fuente'!J184</x:f>
        <x:v>6.480396271</x:v>
      </x:c>
      <x:c r="K184" s="55" t="n">
        <x:f>IF(OR(J184="",J183=""),"",J184-J183)</x:f>
        <x:v>-0.8835133710000003</x:v>
      </x:c>
      <x:c r="L184" s="90" t="n">
        <x:f>IF('Datos_fuente'!K184="","",LN('Datos_fuente'!K184))</x:f>
        <x:v>4.751690234745617</x:v>
      </x:c>
      <x:c r="M184" s="90" t="n">
        <x:f>IF(OR(L184="",L183=""),"",L184-L183)</x:f>
        <x:v>-0.004853635641823395</x:v>
      </x:c>
      <x:c r="N184" s="90" t="n">
        <x:f>IF('Datos_fuente'!L184="","",LN('Datos_fuente'!L184))</x:f>
        <x:v>3.3823079734944255</x:v>
      </x:c>
      <x:c r="O184" s="90" t="n">
        <x:f>IF(OR(N184="",N183=""),"",N184-N183)</x:f>
        <x:v>0.06276835954120097</x:v>
      </x:c>
      <x:c r="P184" s="88" t="n">
        <x:f>'Datos_fuente'!N184</x:f>
        <x:v>0</x:v>
      </x:c>
      <x:c r="Q184" s="90" t="n">
        <x:f>IF('Datos_fuente'!O184="","",LN('Datos_fuente'!O184))</x:f>
        <x:v>10.94938430784397</x:v>
      </x:c>
      <x:c r="R184" s="90" t="n">
        <x:f>IF(OR(Q184="",Q183=""),"",Q184-Q183)</x:f>
        <x:v>-0.001044623825443125</x:v>
      </x:c>
      <x:c r="S184" s="55" t="n">
        <x:f>'Datos_fuente'!R184</x:f>
        <x:v>5.256190476</x:v>
      </x:c>
      <x:c r="T184" s="55" t="n">
        <x:f>IF(OR(S184="",S183=""),"",S184-S183)</x:f>
        <x:v>0.019805194999999998</x:v>
      </x:c>
      <x:c r="U184" s="90" t="n">
        <x:f>IF('Datos_fuente'!S184="","",ASINH('Datos_fuente'!S184/1000))</x:f>
        <x:v>0.0931452529318545</x:v>
      </x:c>
      <x:c r="V184" s="90" t="n">
        <x:f>IF(OR(U184="",U183=""),"",U184-U183)</x:f>
        <x:v>-0.016465130687874502</x:v>
      </x:c>
      <x:c r="W184" s="90" t="n">
        <x:f>IF('Datos_fuente'!T184="","",ASINH('Datos_fuente'!T184/1000))</x:f>
        <x:v>-0.9865615008553508</x:v>
      </x:c>
      <x:c r="X184" s="90" t="n">
        <x:f>IF(OR(W184="",W183=""),"",W184-W183)</x:f>
        <x:v>0.08856225303443921</x:v>
      </x:c>
      <x:c r="Y184" s="55" t="n">
        <x:f>'Datos_fuente'!W184</x:f>
        <x:v>0.5582412866</x:v>
      </x:c>
      <x:c r="Z184" s="55" t="n">
        <x:f>IF(OR(Y184="",Y183=""),"",Y184-Y183)</x:f>
        <x:v>-0.0363451441999999</x:v>
      </x:c>
      <x:c r="AA184" s="90" t="n">
        <x:f>'Datos_fuente'!AA184</x:f>
        <x:v>0.3154473082</x:v>
      </x:c>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t="str">
        <x:f>'Datos_fuente'!A185</x:f>
        <x:v>2020-11</x:v>
      </x:c>
      <x:c r="B185" s="90" t="n">
        <x:f>IF('Datos_fuente'!B185="","",LN('Datos_fuente'!B185))</x:f>
        <x:v>8.212195849052446</x:v>
      </x:c>
      <x:c r="C185" s="90" t="n">
        <x:f>IF(OR(B185="",B184=""),"",B185-B184)</x:f>
        <x:v>-0.039412879237527676</x:v>
      </x:c>
      <x:c r="D185" s="90" t="n">
        <x:f>IF('Datos_fuente'!C185="","",LN('Datos_fuente'!C185))</x:f>
        <x:v>3.7540204722293717</x:v>
      </x:c>
      <x:c r="E185" s="90" t="n">
        <x:f>IF(OR(D185="",D184=""),"",D185-D184)</x:f>
        <x:v>0.06041357385959101</x:v>
      </x:c>
      <x:c r="F185" s="90" t="n">
        <x:f>IF('Datos_fuente'!E185="","",LN('Datos_fuente'!E185))</x:f>
        <x:v>8.83894040216268</x:v>
      </x:c>
      <x:c r="G185" s="90" t="n">
        <x:f>IF(OR(F185="",F184=""),"",F185-F184)</x:f>
        <x:v>0.008685444725323066</x:v>
      </x:c>
      <x:c r="H185" s="55" t="n">
        <x:f>'Datos_fuente'!H185</x:f>
        <x:v>1.66</x:v>
      </x:c>
      <x:c r="I185" s="55" t="n">
        <x:f>IF(OR(H185="",H184=""),"",H185-H184)</x:f>
        <x:v>0</x:v>
      </x:c>
      <x:c r="J185" s="55" t="n">
        <x:f>'Datos_fuente'!J185</x:f>
        <x:v>6.895144794</x:v>
      </x:c>
      <x:c r="K185" s="55" t="n">
        <x:f>IF(OR(J185="",J184=""),"",J185-J184)</x:f>
        <x:v>0.4147485230000001</x:v>
      </x:c>
      <x:c r="L185" s="90" t="n">
        <x:f>IF('Datos_fuente'!K185="","",LN('Datos_fuente'!K185))</x:f>
        <x:v>4.737061233982681</x:v>
      </x:c>
      <x:c r="M185" s="90" t="n">
        <x:f>IF(OR(L185="",L184=""),"",L185-L184)</x:f>
        <x:v>-0.014629000762935718</x:v>
      </x:c>
      <x:c r="N185" s="90" t="n">
        <x:f>IF('Datos_fuente'!L185="","",LN('Datos_fuente'!L185))</x:f>
        <x:v>3.2186958086662565</x:v>
      </x:c>
      <x:c r="O185" s="90" t="n">
        <x:f>IF(OR(N185="",N184=""),"",N185-N184)</x:f>
        <x:v>-0.16361216482816898</x:v>
      </x:c>
      <x:c r="P185" s="88" t="n">
        <x:f>'Datos_fuente'!N185</x:f>
        <x:v>0</x:v>
      </x:c>
      <x:c r="Q185" s="90" t="n">
        <x:f>IF('Datos_fuente'!O185="","",LN('Datos_fuente'!O185))</x:f>
        <x:v>10.955087720378462</x:v>
      </x:c>
      <x:c r="R185" s="90" t="n">
        <x:f>IF(OR(Q185="",Q184=""),"",Q185-Q184)</x:f>
        <x:v>0.005703412534492358</x:v>
      </x:c>
      <x:c r="S185" s="55" t="n">
        <x:f>'Datos_fuente'!R185</x:f>
        <x:v>5.117368421</x:v>
      </x:c>
      <x:c r="T185" s="55" t="n">
        <x:f>IF(OR(S185="",S184=""),"",S185-S184)</x:f>
        <x:v>-0.13882205499999944</x:v>
      </x:c>
      <x:c r="U185" s="90" t="n">
        <x:f>IF('Datos_fuente'!S185="","",ASINH('Datos_fuente'!S185/1000))</x:f>
        <x:v>-0.06298834037081712</x:v>
      </x:c>
      <x:c r="V185" s="90" t="n">
        <x:f>IF(OR(U185="",U184=""),"",U185-U184)</x:f>
        <x:v>-0.15613359330267162</x:v>
      </x:c>
      <x:c r="W185" s="90" t="n">
        <x:f>IF('Datos_fuente'!T185="","",ASINH('Datos_fuente'!T185/1000))</x:f>
        <x:v>-0.33222472917462476</x:v>
      </x:c>
      <x:c r="X185" s="90" t="n">
        <x:f>IF(OR(W185="",W184=""),"",W185-W184)</x:f>
        <x:v>0.654336771680726</x:v>
      </x:c>
      <x:c r="Y185" s="55" t="n">
        <x:f>'Datos_fuente'!W185</x:f>
        <x:v>0.3128121006</x:v>
      </x:c>
      <x:c r="Z185" s="55" t="n">
        <x:f>IF(OR(Y185="",Y184=""),"",Y185-Y184)</x:f>
        <x:v>-0.24542918600000008</x:v>
      </x:c>
      <x:c r="AA185" s="90" t="n">
        <x:f>'Datos_fuente'!AA185</x:f>
        <x:v>-1.311983844</x:v>
      </x:c>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t="str">
        <x:f>'Datos_fuente'!A186</x:f>
        <x:v>2020-12</x:v>
      </x:c>
      <x:c r="B186" s="90" t="n">
        <x:f>IF('Datos_fuente'!B186="","",LN('Datos_fuente'!B186))</x:f>
        <x:v>8.150793139251245</x:v>
      </x:c>
      <x:c r="C186" s="90" t="n">
        <x:f>IF(OR(B186="",B185=""),"",B186-B185)</x:f>
        <x:v>-0.06140270980120022</x:v>
      </x:c>
      <x:c r="D186" s="90" t="n">
        <x:f>IF('Datos_fuente'!C186="","",LN('Datos_fuente'!C186))</x:f>
        <x:v>3.911895724528276</x:v>
      </x:c>
      <x:c r="E186" s="90" t="n">
        <x:f>IF(OR(D186="",D185=""),"",D186-D185)</x:f>
        <x:v>0.1578752522989042</x:v>
      </x:c>
      <x:c r="F186" s="90" t="n">
        <x:f>IF('Datos_fuente'!E186="","",LN('Datos_fuente'!E186))</x:f>
        <x:v>8.84055703002119</x:v>
      </x:c>
      <x:c r="G186" s="90" t="n">
        <x:f>IF(OR(F186="",F185=""),"",F186-F185)</x:f>
        <x:v>0.0016166278585103555</x:v>
      </x:c>
      <x:c r="H186" s="55" t="n">
        <x:f>'Datos_fuente'!H186</x:f>
        <x:v>1.66</x:v>
      </x:c>
      <x:c r="I186" s="55" t="n">
        <x:f>IF(OR(H186="",H185=""),"",H186-H185)</x:f>
        <x:v>0</x:v>
      </x:c>
      <x:c r="J186" s="55" t="n">
        <x:f>'Datos_fuente'!J186</x:f>
        <x:v>7.788250635</x:v>
      </x:c>
      <x:c r="K186" s="55" t="n">
        <x:f>IF(OR(J186="",J185=""),"",J186-J185)</x:f>
        <x:v>0.8931058409999997</x:v>
      </x:c>
      <x:c r="L186" s="90" t="n">
        <x:f>IF('Datos_fuente'!K186="","",LN('Datos_fuente'!K186))</x:f>
        <x:v>4.717598593845508</x:v>
      </x:c>
      <x:c r="M186" s="90" t="n">
        <x:f>IF(OR(L186="",L185=""),"",L186-L185)</x:f>
        <x:v>-0.01946264013717336</x:v>
      </x:c>
      <x:c r="N186" s="90" t="n">
        <x:f>IF('Datos_fuente'!L186="","",LN('Datos_fuente'!L186))</x:f>
        <x:v>3.107903633614839</x:v>
      </x:c>
      <x:c r="O186" s="90" t="n">
        <x:f>IF(OR(N186="",N185=""),"",N186-N185)</x:f>
        <x:v>-0.11079217505141736</x:v>
      </x:c>
      <x:c r="P186" s="88" t="n">
        <x:f>'Datos_fuente'!N186</x:f>
        <x:v>0</x:v>
      </x:c>
      <x:c r="Q186" s="90" t="n">
        <x:f>IF('Datos_fuente'!O186="","",LN('Datos_fuente'!O186))</x:f>
        <x:v>10.985814451170764</x:v>
      </x:c>
      <x:c r="R186" s="90" t="n">
        <x:f>IF(OR(Q186="",Q185=""),"",Q186-Q185)</x:f>
        <x:v>0.030726730792302703</x:v>
      </x:c>
      <x:c r="S186" s="55" t="n">
        <x:f>'Datos_fuente'!R186</x:f>
        <x:v>4.946889952</x:v>
      </x:c>
      <x:c r="T186" s="55" t="n">
        <x:f>IF(OR(S186="",S185=""),"",S186-S185)</x:f>
        <x:v>-0.17047846899999985</x:v>
      </x:c>
      <x:c r="U186" s="90" t="n">
        <x:f>IF('Datos_fuente'!S186="","",ASINH('Datos_fuente'!S186/1000))</x:f>
        <x:v>-0.06891543660117533</x:v>
      </x:c>
      <x:c r="V186" s="90" t="n">
        <x:f>IF(OR(U186="",U185=""),"",U186-U185)</x:f>
        <x:v>-0.005927096230358211</x:v>
      </x:c>
      <x:c r="W186" s="90" t="n">
        <x:f>IF('Datos_fuente'!T186="","",ASINH('Datos_fuente'!T186/1000))</x:f>
        <x:v>0.8212285205725554</x:v>
      </x:c>
      <x:c r="X186" s="90" t="n">
        <x:f>IF(OR(W186="",W185=""),"",W186-W185)</x:f>
        <x:v>1.15345324974718</x:v>
      </x:c>
      <x:c r="Y186" s="55" t="n">
        <x:f>'Datos_fuente'!W186</x:f>
        <x:v>0.2564916151</x:v>
      </x:c>
      <x:c r="Z186" s="55" t="n">
        <x:f>IF(OR(Y186="",Y185=""),"",Y186-Y185)</x:f>
        <x:v>-0.05632048549999996</x:v>
      </x:c>
      <x:c r="AA186" s="90" t="n">
        <x:f>'Datos_fuente'!AA186</x:f>
        <x:v>-1.410605932</x:v>
      </x:c>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t="str">
        <x:f>'Datos_fuente'!A187</x:f>
        <x:v>2021-01</x:v>
      </x:c>
      <x:c r="B187" s="90" t="n">
        <x:f>IF('Datos_fuente'!B187="","",LN('Datos_fuente'!B187))</x:f>
        <x:v>8.158035629186502</x:v>
      </x:c>
      <x:c r="C187" s="90" t="n">
        <x:f>IF(OR(B187="",B186=""),"",B187-B186)</x:f>
        <x:v>0.0072424899352565575</x:v>
      </x:c>
      <x:c r="D187" s="90" t="n">
        <x:f>IF('Datos_fuente'!C187="","",LN('Datos_fuente'!C187))</x:f>
        <x:v>4.003215628810999</x:v>
      </x:c>
      <x:c r="E187" s="90" t="n">
        <x:f>IF(OR(D187="",D186=""),"",D187-D186)</x:f>
        <x:v>0.09131990428272285</x:v>
      </x:c>
      <x:c r="F187" s="90" t="n">
        <x:f>IF('Datos_fuente'!E187="","",LN('Datos_fuente'!E187))</x:f>
        <x:v>8.841961489083397</x:v>
      </x:c>
      <x:c r="G187" s="90" t="n">
        <x:f>IF(OR(F187="",F186=""),"",F187-F186)</x:f>
        <x:v>0.0014044590622077635</x:v>
      </x:c>
      <x:c r="H187" s="55" t="n">
        <x:f>'Datos_fuente'!H187</x:f>
        <x:v>1.66</x:v>
      </x:c>
      <x:c r="I187" s="55" t="n">
        <x:f>IF(OR(H187="",H186=""),"",H187-H186)</x:f>
        <x:v>0</x:v>
      </x:c>
      <x:c r="J187" s="55" t="n">
        <x:f>'Datos_fuente'!J187</x:f>
        <x:v>7.0911306</x:v>
      </x:c>
      <x:c r="K187" s="55" t="n">
        <x:f>IF(OR(J187="",J186=""),"",J187-J186)</x:f>
        <x:v>-0.6971200350000002</x:v>
      </x:c>
      <x:c r="L187" s="90" t="n">
        <x:f>IF('Datos_fuente'!K187="","",LN('Datos_fuente'!K187))</x:f>
        <x:v>4.713910433711844</x:v>
      </x:c>
      <x:c r="M187" s="90" t="n">
        <x:f>IF(OR(L187="",L186=""),"",L187-L186)</x:f>
        <x:v>-0.00368816013366402</x:v>
      </x:c>
      <x:c r="N187" s="90" t="n">
        <x:f>IF('Datos_fuente'!L187="","",LN('Datos_fuente'!L187))</x:f>
        <x:v>3.215269329274089</x:v>
      </x:c>
      <x:c r="O187" s="90" t="n">
        <x:f>IF(OR(N187="",N186=""),"",N187-N186)</x:f>
        <x:v>0.10736569565924992</x:v>
      </x:c>
      <x:c r="P187" s="88" t="n">
        <x:f>'Datos_fuente'!N187</x:f>
        <x:v>0</x:v>
      </x:c>
      <x:c r="Q187" s="90" t="n">
        <x:f>IF('Datos_fuente'!O187="","",LN('Datos_fuente'!O187))</x:f>
        <x:v>10.985307468541851</x:v>
      </x:c>
      <x:c r="R187" s="90" t="n">
        <x:f>IF(OR(Q187="",Q186=""),"",Q187-Q186)</x:f>
        <x:v>-0.0005069826289130219</x:v>
      </x:c>
      <x:c r="S187" s="55" t="n">
        <x:f>'Datos_fuente'!R187</x:f>
        <x:v>4.752105263</x:v>
      </x:c>
      <x:c r="T187" s="55" t="n">
        <x:f>IF(OR(S187="",S186=""),"",S187-S186)</x:f>
        <x:v>-0.19478468900000045</x:v>
      </x:c>
      <x:c r="U187" s="90" t="n">
        <x:f>IF('Datos_fuente'!S187="","",ASINH('Datos_fuente'!S187/1000))</x:f>
        <x:v>0.028985940905134847</x:v>
      </x:c>
      <x:c r="V187" s="90" t="n">
        <x:f>IF(OR(U187="",U186=""),"",U187-U186)</x:f>
        <x:v>0.09790137750631017</x:v>
      </x:c>
      <x:c r="W187" s="90" t="n">
        <x:f>IF('Datos_fuente'!T187="","",ASINH('Datos_fuente'!T187/1000))</x:f>
        <x:v>-0.7646402316344747</x:v>
      </x:c>
      <x:c r="X187" s="90" t="n">
        <x:f>IF(OR(W187="",W186=""),"",W187-W186)</x:f>
        <x:v>-1.58586875220703</x:v>
      </x:c>
      <x:c r="Y187" s="55" t="n">
        <x:f>'Datos_fuente'!W187</x:f>
        <x:v>0.2023023997</x:v>
      </x:c>
      <x:c r="Z187" s="55" t="n">
        <x:f>IF(OR(Y187="",Y186=""),"",Y187-Y186)</x:f>
        <x:v>-0.05418921540000002</x:v>
      </x:c>
      <x:c r="AA187" s="90" t="n">
        <x:f>'Datos_fuente'!AA187</x:f>
        <x:v>0.1035725325</x:v>
      </x:c>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t="str">
        <x:f>'Datos_fuente'!A188</x:f>
        <x:v>2021-02</x:v>
      </x:c>
      <x:c r="B188" s="90" t="n">
        <x:f>IF('Datos_fuente'!B188="","",LN('Datos_fuente'!B188))</x:f>
        <x:v>8.175970891164281</x:v>
      </x:c>
      <x:c r="C188" s="90" t="n">
        <x:f>IF(OR(B188="",B187=""),"",B188-B187)</x:f>
        <x:v>0.017935261977779504</x:v>
      </x:c>
      <x:c r="D188" s="90" t="n">
        <x:f>IF('Datos_fuente'!C188="","",LN('Datos_fuente'!C188))</x:f>
        <x:v>4.131584147570328</x:v>
      </x:c>
      <x:c r="E188" s="90" t="n">
        <x:f>IF(OR(D188="",D187=""),"",D188-D187)</x:f>
        <x:v>0.12836851875932886</x:v>
      </x:c>
      <x:c r="F188" s="90" t="n">
        <x:f>IF('Datos_fuente'!E188="","",LN('Datos_fuente'!E188))</x:f>
        <x:v>8.851976860351979</x:v>
      </x:c>
      <x:c r="G188" s="90" t="n">
        <x:f>IF(OR(F188="",F187=""),"",F188-F187)</x:f>
        <x:v>0.010015371268581319</x:v>
      </x:c>
      <x:c r="H188" s="55" t="n">
        <x:f>'Datos_fuente'!H188</x:f>
        <x:v>1.67</x:v>
      </x:c>
      <x:c r="I188" s="55" t="n">
        <x:f>IF(OR(H188="",H187=""),"",H188-H187)</x:f>
        <x:v>0.010000000000000009</x:v>
      </x:c>
      <x:c r="J188" s="55" t="n">
        <x:f>'Datos_fuente'!J188</x:f>
        <x:v>7.68803314</x:v>
      </x:c>
      <x:c r="K188" s="55" t="n">
        <x:f>IF(OR(J188="",J187=""),"",J188-J187)</x:f>
        <x:v>0.5969025400000003</x:v>
      </x:c>
      <x:c r="L188" s="90" t="n">
        <x:f>IF('Datos_fuente'!K188="","",LN('Datos_fuente'!K188))</x:f>
        <x:v>4.718651115062567</x:v>
      </x:c>
      <x:c r="M188" s="90" t="n">
        <x:f>IF(OR(L188="",L187=""),"",L188-L187)</x:f>
        <x:v>0.004740681350723364</x:v>
      </x:c>
      <x:c r="N188" s="90" t="n">
        <x:f>IF('Datos_fuente'!L188="","",LN('Datos_fuente'!L188))</x:f>
        <x:v>3.141585466537117</x:v>
      </x:c>
      <x:c r="O188" s="90" t="n">
        <x:f>IF(OR(N188="",N187=""),"",N188-N187)</x:f>
        <x:v>-0.07368386273697203</x:v>
      </x:c>
      <x:c r="P188" s="88" t="n">
        <x:f>'Datos_fuente'!N188</x:f>
        <x:v>0</x:v>
      </x:c>
      <x:c r="Q188" s="90" t="n">
        <x:f>IF('Datos_fuente'!O188="","",LN('Datos_fuente'!O188))</x:f>
        <x:v>10.984871786849084</x:v>
      </x:c>
      <x:c r="R188" s="90" t="n">
        <x:f>IF(OR(Q188="",Q187=""),"",Q188-Q187)</x:f>
        <x:v>-0.0004356816927675311</x:v>
      </x:c>
      <x:c r="S188" s="55" t="n">
        <x:f>'Datos_fuente'!R188</x:f>
        <x:v>4.773105263</x:v>
      </x:c>
      <x:c r="T188" s="55" t="n">
        <x:f>IF(OR(S188="",S187=""),"",S188-S187)</x:f>
        <x:v>0.020999999999999908</x:v>
      </x:c>
      <x:c r="U188" s="90" t="n">
        <x:f>IF('Datos_fuente'!S188="","",ASINH('Datos_fuente'!S188/1000))</x:f>
        <x:v>-0.029575688063911518</x:v>
      </x:c>
      <x:c r="V188" s="90" t="n">
        <x:f>IF(OR(U188="",U187=""),"",U188-U187)</x:f>
        <x:v>-0.05856162896904636</x:v>
      </x:c>
      <x:c r="W188" s="90" t="n">
        <x:f>IF('Datos_fuente'!T188="","",ASINH('Datos_fuente'!T188/1000))</x:f>
        <x:v>-0.952846957645142</x:v>
      </x:c>
      <x:c r="X188" s="90" t="n">
        <x:f>IF(OR(W188="",W187=""),"",W188-W187)</x:f>
        <x:v>-0.18820672601066735</x:v>
      </x:c>
      <x:c r="Y188" s="55" t="n">
        <x:f>'Datos_fuente'!W188</x:f>
        <x:v>-0.1134174282</x:v>
      </x:c>
      <x:c r="Z188" s="55" t="n">
        <x:f>IF(OR(Y188="",Y187=""),"",Y188-Y187)</x:f>
        <x:v>-0.31571982789999997</x:v>
      </x:c>
      <x:c r="AA188" s="90" t="n">
        <x:f>'Datos_fuente'!AA188</x:f>
        <x:v>0.2169412801</x:v>
      </x:c>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t="str">
        <x:f>'Datos_fuente'!A189</x:f>
        <x:v>2021-03</x:v>
      </x:c>
      <x:c r="B189" s="90" t="n">
        <x:f>IF('Datos_fuente'!B189="","",LN('Datos_fuente'!B189))</x:f>
        <x:v>8.192229623640266</x:v>
      </x:c>
      <x:c r="C189" s="90" t="n">
        <x:f>IF(OR(B189="",B188=""),"",B189-B188)</x:f>
        <x:v>0.016258732475984417</x:v>
      </x:c>
      <x:c r="D189" s="90" t="n">
        <x:f>IF('Datos_fuente'!C189="","",LN('Datos_fuente'!C189))</x:f>
        <x:v>4.180675151973121</x:v>
      </x:c>
      <x:c r="E189" s="90" t="n">
        <x:f>IF(OR(D189="",D188=""),"",D189-D188)</x:f>
        <x:v>0.04909100440279346</x:v>
      </x:c>
      <x:c r="F189" s="90" t="n">
        <x:f>IF('Datos_fuente'!E189="","",LN('Datos_fuente'!E189))</x:f>
        <x:v>8.862896971629182</x:v>
      </x:c>
      <x:c r="G189" s="90" t="n">
        <x:f>IF(OR(F189="",F188=""),"",F189-F188)</x:f>
        <x:v>0.010920111277203048</x:v>
      </x:c>
      <x:c r="H189" s="55" t="n">
        <x:f>'Datos_fuente'!H189</x:f>
        <x:v>1.68</x:v>
      </x:c>
      <x:c r="I189" s="55" t="n">
        <x:f>IF(OR(H189="",H188=""),"",H189-H188)</x:f>
        <x:v>0.010000000000000009</x:v>
      </x:c>
      <x:c r="J189" s="55" t="n">
        <x:f>'Datos_fuente'!J189</x:f>
        <x:v>7.560001257</x:v>
      </x:c>
      <x:c r="K189" s="55" t="n">
        <x:f>IF(OR(J189="",J188=""),"",J189-J188)</x:f>
        <x:v>-0.12803188300000024</x:v>
      </x:c>
      <x:c r="L189" s="90" t="n">
        <x:f>IF('Datos_fuente'!K189="","",LN('Datos_fuente'!K189))</x:f>
        <x:v>4.730362535868512</x:v>
      </x:c>
      <x:c r="M189" s="90" t="n">
        <x:f>IF(OR(L189="",L188=""),"",L189-L188)</x:f>
        <x:v>0.011711420805944783</x:v>
      </x:c>
      <x:c r="N189" s="90" t="n">
        <x:f>IF('Datos_fuente'!L189="","",LN('Datos_fuente'!L189))</x:f>
        <x:v>3.0838824946477637</x:v>
      </x:c>
      <x:c r="O189" s="90" t="n">
        <x:f>IF(OR(N189="",N188=""),"",N189-N188)</x:f>
        <x:v>-0.05770297188935336</x:v>
      </x:c>
      <x:c r="P189" s="88" t="n">
        <x:f>'Datos_fuente'!N189</x:f>
        <x:v>0</x:v>
      </x:c>
      <x:c r="Q189" s="90" t="n">
        <x:f>IF('Datos_fuente'!O189="","",LN('Datos_fuente'!O189))</x:f>
        <x:v>10.983605028345824</x:v>
      </x:c>
      <x:c r="R189" s="90" t="n">
        <x:f>IF(OR(Q189="",Q188=""),"",Q189-Q188)</x:f>
        <x:v>-0.001266758503259524</x:v>
      </x:c>
      <x:c r="S189" s="55" t="n">
        <x:f>'Datos_fuente'!R189</x:f>
        <x:v>5.391403162</x:v>
      </x:c>
      <x:c r="T189" s="55" t="n">
        <x:f>IF(OR(S189="",S188=""),"",S189-S188)</x:f>
        <x:v>0.6182978989999999</x:v>
      </x:c>
      <x:c r="U189" s="90" t="n">
        <x:f>IF('Datos_fuente'!S189="","",ASINH('Datos_fuente'!S189/1000))</x:f>
        <x:v>0.08136020985578885</x:v>
      </x:c>
      <x:c r="V189" s="90" t="n">
        <x:f>IF(OR(U189="",U188=""),"",U189-U188)</x:f>
        <x:v>0.11093589791970036</x:v>
      </x:c>
      <x:c r="W189" s="90" t="n">
        <x:f>IF('Datos_fuente'!T189="","",ASINH('Datos_fuente'!T189/1000))</x:f>
        <x:v>-1.1923589629446085</x:v>
      </x:c>
      <x:c r="X189" s="90" t="n">
        <x:f>IF(OR(W189="",W188=""),"",W189-W188)</x:f>
        <x:v>-0.23951200529946648</x:v>
      </x:c>
      <x:c r="Y189" s="55" t="n">
        <x:f>'Datos_fuente'!W189</x:f>
        <x:v>-1.113081944</x:v>
      </x:c>
      <x:c r="Z189" s="55" t="n">
        <x:f>IF(OR(Y189="",Y188=""),"",Y189-Y188)</x:f>
        <x:v>-0.9996645157999999</x:v>
      </x:c>
      <x:c r="AA189" s="90" t="n">
        <x:f>'Datos_fuente'!AA189</x:f>
        <x:v>0.606028151</x:v>
      </x:c>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t="str">
        <x:f>'Datos_fuente'!A190</x:f>
        <x:v>2021-04</x:v>
      </x:c>
      <x:c r="B190" s="90" t="n">
        <x:f>IF('Datos_fuente'!B190="","",LN('Datos_fuente'!B190))</x:f>
        <x:v>8.202695026719503</x:v>
      </x:c>
      <x:c r="C190" s="90" t="n">
        <x:f>IF(OR(B190="",B189=""),"",B190-B189)</x:f>
        <x:v>0.01046540307923749</x:v>
      </x:c>
      <x:c r="D190" s="90" t="n">
        <x:f>IF('Datos_fuente'!C190="","",LN('Datos_fuente'!C190))</x:f>
        <x:v>4.171405906969629</x:v>
      </x:c>
      <x:c r="E190" s="90" t="n">
        <x:f>IF(OR(D190="",D189=""),"",D190-D189)</x:f>
        <x:v>-0.00926924500349191</x:v>
      </x:c>
      <x:c r="F190" s="90" t="n">
        <x:f>IF('Datos_fuente'!E190="","",LN('Datos_fuente'!E190))</x:f>
        <x:v>8.912548702655743</x:v>
      </x:c>
      <x:c r="G190" s="90" t="n">
        <x:f>IF(OR(F190="",F189=""),"",F190-F189)</x:f>
        <x:v>0.04965173102656095</x:v>
      </x:c>
      <x:c r="H190" s="55" t="n">
        <x:f>'Datos_fuente'!H190</x:f>
        <x:v>1.68</x:v>
      </x:c>
      <x:c r="I190" s="55" t="n">
        <x:f>IF(OR(H190="",H189=""),"",H190-H189)</x:f>
        <x:v>0</x:v>
      </x:c>
      <x:c r="J190" s="55" t="n">
        <x:f>'Datos_fuente'!J190</x:f>
        <x:v>7.325164892</x:v>
      </x:c>
      <x:c r="K190" s="55" t="n">
        <x:f>IF(OR(J190="",J189=""),"",J190-J189)</x:f>
        <x:v>-0.2348363649999996</x:v>
      </x:c>
      <x:c r="L190" s="90" t="n">
        <x:f>IF('Datos_fuente'!K190="","",LN('Datos_fuente'!K190))</x:f>
        <x:v>4.724128409951226</x:v>
      </x:c>
      <x:c r="M190" s="90" t="n">
        <x:f>IF(OR(L190="",L189=""),"",L190-L189)</x:f>
        <x:v>-0.00623412591728556</x:v>
      </x:c>
      <x:c r="N190" s="90" t="n">
        <x:f>IF('Datos_fuente'!L190="","",LN('Datos_fuente'!L190))</x:f>
        <x:v>2.8574002609417986</x:v>
      </x:c>
      <x:c r="O190" s="90" t="n">
        <x:f>IF(OR(N190="",N189=""),"",N190-N189)</x:f>
        <x:v>-0.2264822337059651</x:v>
      </x:c>
      <x:c r="P190" s="88" t="n">
        <x:f>'Datos_fuente'!N190</x:f>
        <x:v>0</x:v>
      </x:c>
      <x:c r="Q190" s="90" t="n">
        <x:f>IF('Datos_fuente'!O190="","",LN('Datos_fuente'!O190))</x:f>
        <x:v>10.986736087515451</x:v>
      </x:c>
      <x:c r="R190" s="90" t="n">
        <x:f>IF(OR(Q190="",Q189=""),"",Q190-Q189)</x:f>
        <x:v>0.0031310591696271928</x:v>
      </x:c>
      <x:c r="S190" s="55" t="n">
        <x:f>'Datos_fuente'!R190</x:f>
        <x:v>5.5595</x:v>
      </x:c>
      <x:c r="T190" s="55" t="n">
        <x:f>IF(OR(S190="",S189=""),"",S190-S189)</x:f>
        <x:v>0.1680968380000003</x:v>
      </x:c>
      <x:c r="U190" s="90" t="n">
        <x:f>IF('Datos_fuente'!S190="","",ASINH('Datos_fuente'!S190/1000))</x:f>
        <x:v>0.04712255851114082</x:v>
      </x:c>
      <x:c r="V190" s="90" t="n">
        <x:f>IF(OR(U190="",U189=""),"",U190-U189)</x:f>
        <x:v>-0.034237651344648026</x:v>
      </x:c>
      <x:c r="W190" s="90" t="n">
        <x:f>IF('Datos_fuente'!T190="","",ASINH('Datos_fuente'!T190/1000))</x:f>
        <x:v>-0.7933112393252075</x:v>
      </x:c>
      <x:c r="X190" s="90" t="n">
        <x:f>IF(OR(W190="",W189=""),"",W190-W189)</x:f>
        <x:v>0.399047723619401</x:v>
      </x:c>
      <x:c r="Y190" s="55" t="n">
        <x:f>'Datos_fuente'!W190</x:f>
        <x:v>-2.210782824</x:v>
      </x:c>
      <x:c r="Z190" s="55" t="n">
        <x:f>IF(OR(Y190="",Y189=""),"",Y190-Y189)</x:f>
        <x:v>-1.0977008799999999</x:v>
      </x:c>
      <x:c r="AA190" s="90" t="n">
        <x:f>'Datos_fuente'!AA190</x:f>
        <x:v>-0.9377845485</x:v>
      </x:c>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t="str">
        <x:f>'Datos_fuente'!A191</x:f>
        <x:v>2021-05</x:v>
      </x:c>
      <x:c r="B191" s="90" t="n">
        <x:f>IF('Datos_fuente'!B191="","",LN('Datos_fuente'!B191))</x:f>
        <x:v>8.225681429456007</x:v>
      </x:c>
      <x:c r="C191" s="90" t="n">
        <x:f>IF(OR(B191="",B190=""),"",B191-B190)</x:f>
        <x:v>0.02298640273650321</x:v>
      </x:c>
      <x:c r="D191" s="90" t="n">
        <x:f>IF('Datos_fuente'!C191="","",LN('Datos_fuente'!C191))</x:f>
        <x:v>4.2273330443932435</x:v>
      </x:c>
      <x:c r="E191" s="90" t="n">
        <x:f>IF(OR(D191="",D190=""),"",D191-D190)</x:f>
        <x:v>0.055927137423614326</x:v>
      </x:c>
      <x:c r="F191" s="90" t="n">
        <x:f>IF('Datos_fuente'!E191="","",LN('Datos_fuente'!E191))</x:f>
        <x:v>8.953531447990386</x:v>
      </x:c>
      <x:c r="G191" s="90" t="n">
        <x:f>IF(OR(F191="",F190=""),"",F191-F190)</x:f>
        <x:v>0.04098274533464341</x:v>
      </x:c>
      <x:c r="H191" s="55" t="n">
        <x:f>'Datos_fuente'!H191</x:f>
        <x:v>1.69</x:v>
      </x:c>
      <x:c r="I191" s="55" t="n">
        <x:f>IF(OR(H191="",H190=""),"",H191-H190)</x:f>
        <x:v>0.010000000000000009</x:v>
      </x:c>
      <x:c r="J191" s="55" t="n">
        <x:f>'Datos_fuente'!J191</x:f>
        <x:v>7.053505991</x:v>
      </x:c>
      <x:c r="K191" s="55" t="n">
        <x:f>IF(OR(J191="",J190=""),"",J191-J190)</x:f>
        <x:v>-0.27165890100000034</x:v>
      </x:c>
      <x:c r="L191" s="90" t="n">
        <x:f>IF('Datos_fuente'!K191="","",LN('Datos_fuente'!K191))</x:f>
        <x:v>4.7114407174559005</x:v>
      </x:c>
      <x:c r="M191" s="90" t="n">
        <x:f>IF(OR(L191="",L190=""),"",L191-L190)</x:f>
        <x:v>-0.012687692495325642</x:v>
      </x:c>
      <x:c r="N191" s="90" t="n">
        <x:f>IF('Datos_fuente'!L191="","",LN('Datos_fuente'!L191))</x:f>
        <x:v>2.9836849956433147</x:v>
      </x:c>
      <x:c r="O191" s="90" t="n">
        <x:f>IF(OR(N191="",N190=""),"",N191-N190)</x:f>
        <x:v>0.12628473470151613</x:v>
      </x:c>
      <x:c r="P191" s="88" t="n">
        <x:f>'Datos_fuente'!N191</x:f>
        <x:v>0</x:v>
      </x:c>
      <x:c r="Q191" s="90" t="n">
        <x:f>IF('Datos_fuente'!O191="","",LN('Datos_fuente'!O191))</x:f>
        <x:v>10.987729750921273</x:v>
      </x:c>
      <x:c r="R191" s="90" t="n">
        <x:f>IF(OR(Q191="",Q190=""),"",Q191-Q190)</x:f>
        <x:v>0.0009936634058220761</x:v>
      </x:c>
      <x:c r="S191" s="55" t="n">
        <x:f>'Datos_fuente'!R191</x:f>
        <x:v>6.2195</x:v>
      </x:c>
      <x:c r="T191" s="55" t="n">
        <x:f>IF(OR(S191="",S190=""),"",S191-S190)</x:f>
        <x:v>0.6600000000000001</x:v>
      </x:c>
      <x:c r="U191" s="90" t="n">
        <x:f>IF('Datos_fuente'!S191="","",ASINH('Datos_fuente'!S191/1000))</x:f>
        <x:v>-0.016479254122855797</x:v>
      </x:c>
      <x:c r="V191" s="90" t="n">
        <x:f>IF(OR(U191="",U190=""),"",U191-U190)</x:f>
        <x:v>-0.06360181263399661</x:v>
      </x:c>
      <x:c r="W191" s="90" t="n">
        <x:f>IF('Datos_fuente'!T191="","",ASINH('Datos_fuente'!T191/1000))</x:f>
        <x:v>-0.84343963343055</x:v>
      </x:c>
      <x:c r="X191" s="90" t="n">
        <x:f>IF(OR(W191="",W190=""),"",W191-W190)</x:f>
        <x:v>-0.05012839410534242</x:v>
      </x:c>
      <x:c r="Y191" s="55" t="n">
        <x:f>'Datos_fuente'!W191</x:f>
        <x:v>-1.689745262</x:v>
      </x:c>
      <x:c r="Z191" s="55" t="n">
        <x:f>IF(OR(Y191="",Y190=""),"",Y191-Y190)</x:f>
        <x:v>0.5210375619999998</x:v>
      </x:c>
      <x:c r="AA191" s="90" t="n">
        <x:f>'Datos_fuente'!AA191</x:f>
        <x:v>-0.5295735298</x:v>
      </x:c>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t="str">
        <x:f>'Datos_fuente'!A192</x:f>
        <x:v>2021-06</x:v>
      </x:c>
      <x:c r="B192" s="90" t="n">
        <x:f>IF('Datos_fuente'!B192="","",LN('Datos_fuente'!B192))</x:f>
        <x:v>8.212037383118142</x:v>
      </x:c>
      <x:c r="C192" s="90" t="n">
        <x:f>IF(OR(B192="",B191=""),"",B192-B191)</x:f>
        <x:v>-0.013644046337864424</x:v>
      </x:c>
      <x:c r="D192" s="90" t="n">
        <x:f>IF('Datos_fuente'!C192="","",LN('Datos_fuente'!C192))</x:f>
        <x:v>4.292704739263889</x:v>
      </x:c>
      <x:c r="E192" s="90" t="n">
        <x:f>IF(OR(D192="",D191=""),"",D192-D191)</x:f>
        <x:v>0.06537169487064531</x:v>
      </x:c>
      <x:c r="F192" s="90" t="n">
        <x:f>IF('Datos_fuente'!E192="","",LN('Datos_fuente'!E192))</x:f>
        <x:v>8.975598570234895</x:v>
      </x:c>
      <x:c r="G192" s="90" t="n">
        <x:f>IF(OR(F192="",F191=""),"",F192-F191)</x:f>
        <x:v>0.022067122244509463</x:v>
      </x:c>
      <x:c r="H192" s="55" t="n">
        <x:f>'Datos_fuente'!H192</x:f>
        <x:v>1.67</x:v>
      </x:c>
      <x:c r="I192" s="55" t="n">
        <x:f>IF(OR(H192="",H191=""),"",H192-H191)</x:f>
        <x:v>-0.020000000000000018</x:v>
      </x:c>
      <x:c r="J192" s="55" t="n">
        <x:f>'Datos_fuente'!J192</x:f>
        <x:v>6.902005515</x:v>
      </x:c>
      <x:c r="K192" s="55" t="n">
        <x:f>IF(OR(J192="",J191=""),"",J192-J191)</x:f>
        <x:v>-0.15150047599999983</x:v>
      </x:c>
      <x:c r="L192" s="90" t="n">
        <x:f>IF('Datos_fuente'!K192="","",LN('Datos_fuente'!K192))</x:f>
        <x:v>4.714721168861206</x:v>
      </x:c>
      <x:c r="M192" s="90" t="n">
        <x:f>IF(OR(L192="",L191=""),"",L192-L191)</x:f>
        <x:v>0.003280451405305307</x:v>
      </x:c>
      <x:c r="N192" s="90" t="n">
        <x:f>IF('Datos_fuente'!L192="","",LN('Datos_fuente'!L192))</x:f>
        <x:v>2.8306700054519833</x:v>
      </x:c>
      <x:c r="O192" s="90" t="n">
        <x:f>IF(OR(N192="",N191=""),"",N192-N191)</x:f>
        <x:v>-0.15301499019133136</x:v>
      </x:c>
      <x:c r="P192" s="88" t="n">
        <x:f>'Datos_fuente'!N192</x:f>
        <x:v>0</x:v>
      </x:c>
      <x:c r="Q192" s="90" t="n">
        <x:f>IF('Datos_fuente'!O192="","",LN('Datos_fuente'!O192))</x:f>
        <x:v>10.983890214408746</x:v>
      </x:c>
      <x:c r="R192" s="90" t="n">
        <x:f>IF(OR(Q192="",Q191=""),"",Q192-Q191)</x:f>
        <x:v>-0.0038395365125278857</x:v>
      </x:c>
      <x:c r="S192" s="55" t="n">
        <x:f>'Datos_fuente'!R192</x:f>
        <x:v>6.008909091</x:v>
      </x:c>
      <x:c r="T192" s="55" t="n">
        <x:f>IF(OR(S192="",S191=""),"",S192-S191)</x:f>
        <x:v>-0.21059090900000044</x:v>
      </x:c>
      <x:c r="U192" s="90" t="n">
        <x:f>IF('Datos_fuente'!S192="","",ASINH('Datos_fuente'!S192/1000))</x:f>
        <x:v>0.06123172988634449</x:v>
      </x:c>
      <x:c r="V192" s="90" t="n">
        <x:f>IF(OR(U192="",U191=""),"",U192-U191)</x:f>
        <x:v>0.07771098400920029</x:v>
      </x:c>
      <x:c r="W192" s="90" t="n">
        <x:f>IF('Datos_fuente'!T192="","",ASINH('Datos_fuente'!T192/1000))</x:f>
        <x:v>-0.9176211251217781</x:v>
      </x:c>
      <x:c r="X192" s="90" t="n">
        <x:f>IF(OR(W192="",W191=""),"",W192-W191)</x:f>
        <x:v>-0.07418149169122812</x:v>
      </x:c>
      <x:c r="Y192" s="55" t="n">
        <x:f>'Datos_fuente'!W192</x:f>
        <x:v>-1.761842954</x:v>
      </x:c>
      <x:c r="Z192" s="55" t="n">
        <x:f>IF(OR(Y192="",Y191=""),"",Y192-Y191)</x:f>
        <x:v>-0.07209769200000005</x:v>
      </x:c>
      <x:c r="AA192" s="90" t="n">
        <x:f>'Datos_fuente'!AA192</x:f>
        <x:v>-0.2704856867</x:v>
      </x:c>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t="str">
        <x:f>'Datos_fuente'!A193</x:f>
        <x:v>2021-07</x:v>
      </x:c>
      <x:c r="B193" s="90" t="n">
        <x:f>IF('Datos_fuente'!B193="","",LN('Datos_fuente'!B193))</x:f>
        <x:v>8.250468129377186</x:v>
      </x:c>
      <x:c r="C193" s="90" t="n">
        <x:f>IF(OR(B193="",B192=""),"",B193-B192)</x:f>
        <x:v>0.03843074625904386</x:v>
      </x:c>
      <x:c r="D193" s="90" t="n">
        <x:f>IF('Datos_fuente'!C193="","",LN('Datos_fuente'!C193))</x:f>
        <x:v>4.319697791598556</x:v>
      </x:c>
      <x:c r="E193" s="90" t="n">
        <x:f>IF(OR(D193="",D192=""),"",D193-D192)</x:f>
        <x:v>0.02699305233466731</x:v>
      </x:c>
      <x:c r="F193" s="90" t="n">
        <x:f>IF('Datos_fuente'!E193="","",LN('Datos_fuente'!E193))</x:f>
        <x:v>8.99525303207028</x:v>
      </x:c>
      <x:c r="G193" s="90" t="n">
        <x:f>IF(OR(F193="",F192=""),"",F193-F192)</x:f>
        <x:v>0.019654461835385106</x:v>
      </x:c>
      <x:c r="H193" s="55" t="n">
        <x:f>'Datos_fuente'!H193</x:f>
        <x:v>1.65</x:v>
      </x:c>
      <x:c r="I193" s="55" t="n">
        <x:f>IF(OR(H193="",H192=""),"",H193-H192)</x:f>
        <x:v>-0.020000000000000018</x:v>
      </x:c>
      <x:c r="J193" s="55" t="n">
        <x:f>'Datos_fuente'!J193</x:f>
        <x:v>6.627304432</x:v>
      </x:c>
      <x:c r="K193" s="55" t="n">
        <x:f>IF(OR(J193="",J192=""),"",J193-J192)</x:f>
        <x:v>-0.27470108300000007</x:v>
      </x:c>
      <x:c r="L193" s="90" t="n">
        <x:f>IF('Datos_fuente'!K193="","",LN('Datos_fuente'!K193))</x:f>
        <x:v>4.727948006910372</x:v>
      </x:c>
      <x:c r="M193" s="90" t="n">
        <x:f>IF(OR(L193="",L192=""),"",L193-L192)</x:f>
        <x:v>0.013226838049166467</x:v>
      </x:c>
      <x:c r="N193" s="90" t="n">
        <x:f>IF('Datos_fuente'!L193="","",LN('Datos_fuente'!L193))</x:f>
        <x:v>2.868088277861374</x:v>
      </x:c>
      <x:c r="O193" s="90" t="n">
        <x:f>IF(OR(N193="",N192=""),"",N193-N192)</x:f>
        <x:v>0.037418272409390774</x:v>
      </x:c>
      <x:c r="P193" s="88" t="n">
        <x:f>'Datos_fuente'!N193</x:f>
        <x:v>0</x:v>
      </x:c>
      <x:c r="Q193" s="90" t="n">
        <x:f>IF('Datos_fuente'!O193="","",LN('Datos_fuente'!O193))</x:f>
        <x:v>10.983229409278911</x:v>
      </x:c>
      <x:c r="R193" s="90" t="n">
        <x:f>IF(OR(Q193="",Q192=""),"",Q193-Q192)</x:f>
        <x:v>-0.0006608051298346851</x:v>
      </x:c>
      <x:c r="S193" s="55" t="n">
        <x:f>'Datos_fuente'!R193</x:f>
        <x:v>6.219928571</x:v>
      </x:c>
      <x:c r="T193" s="55" t="n">
        <x:f>IF(OR(S193="",S192=""),"",S193-S192)</x:f>
        <x:v>0.21101948000000004</x:v>
      </x:c>
      <x:c r="U193" s="90" t="n">
        <x:f>IF('Datos_fuente'!S193="","",ASINH('Datos_fuente'!S193/1000))</x:f>
        <x:v>0.14264575279593794</x:v>
      </x:c>
      <x:c r="V193" s="90" t="n">
        <x:f>IF(OR(U193="",U192=""),"",U193-U192)</x:f>
        <x:v>0.08141402290959346</x:v>
      </x:c>
      <x:c r="W193" s="90" t="n">
        <x:f>IF('Datos_fuente'!T193="","",ASINH('Datos_fuente'!T193/1000))</x:f>
        <x:v>-1.031683830266172</x:v>
      </x:c>
      <x:c r="X193" s="90" t="n">
        <x:f>IF(OR(W193="",W192=""),"",W193-W192)</x:f>
        <x:v>-0.11406270514439387</x:v>
      </x:c>
      <x:c r="Y193" s="55" t="n">
        <x:f>'Datos_fuente'!W193</x:f>
        <x:v>-1.39291165</x:v>
      </x:c>
      <x:c r="Z193" s="55" t="n">
        <x:f>IF(OR(Y193="",Y192=""),"",Y193-Y192)</x:f>
        <x:v>0.36893130399999996</x:v>
      </x:c>
      <x:c r="AA193" s="90" t="n">
        <x:f>'Datos_fuente'!AA193</x:f>
        <x:v>0.4932260639</x:v>
      </x:c>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t="str">
        <x:f>'Datos_fuente'!A194</x:f>
        <x:v>2021-08</x:v>
      </x:c>
      <x:c r="B194" s="90" t="n">
        <x:f>IF('Datos_fuente'!B194="","",LN('Datos_fuente'!B194))</x:f>
        <x:v>8.263895424246973</x:v>
      </x:c>
      <x:c r="C194" s="90" t="n">
        <x:f>IF(OR(B194="",B193=""),"",B194-B193)</x:f>
        <x:v>0.013427294869787332</x:v>
      </x:c>
      <x:c r="D194" s="90" t="n">
        <x:f>IF('Datos_fuente'!C194="","",LN('Datos_fuente'!C194))</x:f>
        <x:v>4.259112152103667</x:v>
      </x:c>
      <x:c r="E194" s="90" t="n">
        <x:f>IF(OR(D194="",D193=""),"",D194-D193)</x:f>
        <x:v>-0.0605856394948896</x:v>
      </x:c>
      <x:c r="F194" s="90" t="n">
        <x:f>IF('Datos_fuente'!E194="","",LN('Datos_fuente'!E194))</x:f>
        <x:v>9.00862312907425</x:v>
      </x:c>
      <x:c r="G194" s="90" t="n">
        <x:f>IF(OR(F194="",F193=""),"",F194-F193)</x:f>
        <x:v>0.013370097003969406</x:v>
      </x:c>
      <x:c r="H194" s="55" t="n">
        <x:f>'Datos_fuente'!H194</x:f>
        <x:v>1.66</x:v>
      </x:c>
      <x:c r="I194" s="55" t="n">
        <x:f>IF(OR(H194="",H193=""),"",H194-H193)</x:f>
        <x:v>0.010000000000000009</x:v>
      </x:c>
      <x:c r="J194" s="55" t="n">
        <x:f>'Datos_fuente'!J194</x:f>
        <x:v>5.280166034</x:v>
      </x:c>
      <x:c r="K194" s="55" t="n">
        <x:f>IF(OR(J194="",J193=""),"",J194-J193)</x:f>
        <x:v>-1.3471383980000002</x:v>
      </x:c>
      <x:c r="L194" s="90" t="n">
        <x:f>IF('Datos_fuente'!K194="","",LN('Datos_fuente'!K194))</x:f>
        <x:v>4.730943757886551</x:v>
      </x:c>
      <x:c r="M194" s="90" t="n">
        <x:f>IF(OR(L194="",L193=""),"",L194-L193)</x:f>
        <x:v>0.002995750976178435</x:v>
      </x:c>
      <x:c r="N194" s="90" t="n">
        <x:f>IF('Datos_fuente'!L194="","",LN('Datos_fuente'!L194))</x:f>
        <x:v>2.8606412235817342</x:v>
      </x:c>
      <x:c r="O194" s="90" t="n">
        <x:f>IF(OR(N194="",N193=""),"",N194-N193)</x:f>
        <x:v>-0.007447054279639875</x:v>
      </x:c>
      <x:c r="P194" s="88" t="n">
        <x:f>'Datos_fuente'!N194</x:f>
        <x:v>0</x:v>
      </x:c>
      <x:c r="Q194" s="90" t="n">
        <x:f>IF('Datos_fuente'!O194="","",LN('Datos_fuente'!O194))</x:f>
        <x:v>10.982687807616403</x:v>
      </x:c>
      <x:c r="R194" s="90" t="n">
        <x:f>IF(OR(Q194="",Q193=""),"",Q194-Q193)</x:f>
        <x:v>-0.0005416016625083842</x:v>
      </x:c>
      <x:c r="S194" s="55" t="n">
        <x:f>'Datos_fuente'!R194</x:f>
        <x:v>6.413484848</x:v>
      </x:c>
      <x:c r="T194" s="55" t="n">
        <x:f>IF(OR(S194="",S193=""),"",S194-S193)</x:f>
        <x:v>0.19355627700000078</x:v>
      </x:c>
      <x:c r="U194" s="90" t="n">
        <x:f>IF('Datos_fuente'!S194="","",ASINH('Datos_fuente'!S194/1000))</x:f>
        <x:v>-0.18517983267900345</x:v>
      </x:c>
      <x:c r="V194" s="90" t="n">
        <x:f>IF(OR(U194="",U193=""),"",U194-U193)</x:f>
        <x:v>-0.3278255854749414</x:v>
      </x:c>
      <x:c r="W194" s="90" t="n">
        <x:f>IF('Datos_fuente'!T194="","",ASINH('Datos_fuente'!T194/1000))</x:f>
        <x:v>-0.8264529821462132</x:v>
      </x:c>
      <x:c r="X194" s="90" t="n">
        <x:f>IF(OR(W194="",W193=""),"",W194-W193)</x:f>
        <x:v>0.20523084811995873</x:v>
      </x:c>
      <x:c r="Y194" s="55" t="n">
        <x:f>'Datos_fuente'!W194</x:f>
        <x:v>-0.8114849695</x:v>
      </x:c>
      <x:c r="Z194" s="55" t="n">
        <x:f>IF(OR(Y194="",Y193=""),"",Y194-Y193)</x:f>
        <x:v>0.5814266805</x:v>
      </x:c>
      <x:c r="AA194" s="90" t="n">
        <x:f>'Datos_fuente'!AA194</x:f>
        <x:v>0.5900634574</x:v>
      </x:c>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t="str">
        <x:f>'Datos_fuente'!A195</x:f>
        <x:v>2021-09</x:v>
      </x:c>
      <x:c r="B195" s="90" t="n">
        <x:f>IF('Datos_fuente'!B195="","",LN('Datos_fuente'!B195))</x:f>
        <x:v>8.248408151235173</x:v>
      </x:c>
      <x:c r="C195" s="90" t="n">
        <x:f>IF(OR(B195="",B194=""),"",B195-B194)</x:f>
        <x:v>-0.015487273011800085</x:v>
      </x:c>
      <x:c r="D195" s="90" t="n">
        <x:f>IF('Datos_fuente'!C195="","",LN('Datos_fuente'!C195))</x:f>
        <x:v>4.310646581670776</x:v>
      </x:c>
      <x:c r="E195" s="90" t="n">
        <x:f>IF(OR(D195="",D194=""),"",D195-D194)</x:f>
        <x:v>0.051534429567109186</x:v>
      </x:c>
      <x:c r="F195" s="90" t="n">
        <x:f>IF('Datos_fuente'!E195="","",LN('Datos_fuente'!E195))</x:f>
        <x:v>9.012267410590397</x:v>
      </x:c>
      <x:c r="G195" s="90" t="n">
        <x:f>IF(OR(F195="",F194=""),"",F195-F194)</x:f>
        <x:v>0.003644281516146819</x:v>
      </x:c>
      <x:c r="H195" s="55" t="n">
        <x:f>'Datos_fuente'!H195</x:f>
        <x:v>1.67</x:v>
      </x:c>
      <x:c r="I195" s="55" t="n">
        <x:f>IF(OR(H195="",H194=""),"",H195-H194)</x:f>
        <x:v>0.010000000000000009</x:v>
      </x:c>
      <x:c r="J195" s="55" t="n">
        <x:f>'Datos_fuente'!J195</x:f>
        <x:v>4.840944881</x:v>
      </x:c>
      <x:c r="K195" s="55" t="n">
        <x:f>IF(OR(J195="",J194=""),"",J195-J194)</x:f>
        <x:v>-0.4392211529999992</x:v>
      </x:c>
      <x:c r="L195" s="90" t="n">
        <x:f>IF('Datos_fuente'!K195="","",LN('Datos_fuente'!K195))</x:f>
        <x:v>4.731307098204291</x:v>
      </x:c>
      <x:c r="M195" s="90" t="n">
        <x:f>IF(OR(L195="",L194=""),"",L195-L194)</x:f>
        <x:v>0.0003633403177403238</x:v>
      </x:c>
      <x:c r="N195" s="90" t="n">
        <x:f>IF('Datos_fuente'!L195="","",LN('Datos_fuente'!L195))</x:f>
        <x:v>2.9869317573605176</x:v>
      </x:c>
      <x:c r="O195" s="90" t="n">
        <x:f>IF(OR(N195="",N194=""),"",N195-N194)</x:f>
        <x:v>0.1262905337787834</x:v>
      </x:c>
      <x:c r="P195" s="88" t="n">
        <x:f>'Datos_fuente'!N195</x:f>
        <x:v>0</x:v>
      </x:c>
      <x:c r="Q195" s="90" t="n">
        <x:f>IF('Datos_fuente'!O195="","",LN('Datos_fuente'!O195))</x:f>
        <x:v>10.980553885193222</x:v>
      </x:c>
      <x:c r="R195" s="90" t="n">
        <x:f>IF(OR(Q195="",Q194=""),"",Q195-Q194)</x:f>
        <x:v>-0.0021339224231802234</x:v>
      </x:c>
      <x:c r="S195" s="55" t="n">
        <x:f>'Datos_fuente'!R195</x:f>
        <x:v>6.517056277</x:v>
      </x:c>
      <x:c r="T195" s="55" t="n">
        <x:f>IF(OR(S195="",S194=""),"",S195-S194)</x:f>
        <x:v>0.1035714289999996</x:v>
      </x:c>
      <x:c r="U195" s="90" t="n">
        <x:f>IF('Datos_fuente'!S195="","",ASINH('Datos_fuente'!S195/1000))</x:f>
        <x:v>-0.012779652136074682</x:v>
      </x:c>
      <x:c r="V195" s="90" t="n">
        <x:f>IF(OR(U195="",U194=""),"",U195-U194)</x:f>
        <x:v>0.17240018054292877</x:v>
      </x:c>
      <x:c r="W195" s="90" t="n">
        <x:f>IF('Datos_fuente'!T195="","",ASINH('Datos_fuente'!T195/1000))</x:f>
        <x:v>-0.9542428068115199</x:v>
      </x:c>
      <x:c r="X195" s="90" t="n">
        <x:f>IF(OR(W195="",W194=""),"",W195-W194)</x:f>
        <x:v>-0.12778982466530664</x:v>
      </x:c>
      <x:c r="Y195" s="55" t="n">
        <x:f>'Datos_fuente'!W195</x:f>
        <x:v>-0.8789992492</x:v>
      </x:c>
      <x:c r="Z195" s="55" t="n">
        <x:f>IF(OR(Y195="",Y194=""),"",Y195-Y194)</x:f>
        <x:v>-0.06751427970000001</x:v>
      </x:c>
      <x:c r="AA195" s="90" t="n">
        <x:f>'Datos_fuente'!AA195</x:f>
        <x:v>-0.002236865068</x:v>
      </x:c>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t="str">
        <x:f>'Datos_fuente'!A196</x:f>
        <x:v>2021-10</x:v>
      </x:c>
      <x:c r="B196" s="90" t="n">
        <x:f>IF('Datos_fuente'!B196="","",LN('Datos_fuente'!B196))</x:f>
        <x:v>8.235727541973489</x:v>
      </x:c>
      <x:c r="C196" s="90" t="n">
        <x:f>IF(OR(B196="",B195=""),"",B196-B195)</x:f>
        <x:v>-0.01268060926168424</x:v>
      </x:c>
      <x:c r="D196" s="90" t="n">
        <x:f>IF('Datos_fuente'!C196="","",LN('Datos_fuente'!C196))</x:f>
        <x:v>4.425302758234517</x:v>
      </x:c>
      <x:c r="E196" s="90" t="n">
        <x:f>IF(OR(D196="",D195=""),"",D196-D195)</x:f>
        <x:v>0.1146561765637415</x:v>
      </x:c>
      <x:c r="F196" s="90" t="n">
        <x:f>IF('Datos_fuente'!E196="","",LN('Datos_fuente'!E196))</x:f>
        <x:v>9.014389962857326</x:v>
      </x:c>
      <x:c r="G196" s="90" t="n">
        <x:f>IF(OR(F196="",F195=""),"",F196-F195)</x:f>
        <x:v>0.002122552266929034</x:v>
      </x:c>
      <x:c r="H196" s="55" t="n">
        <x:f>'Datos_fuente'!H196</x:f>
        <x:v>1.92</x:v>
      </x:c>
      <x:c r="I196" s="55" t="n">
        <x:f>IF(OR(H196="",H195=""),"",H196-H195)</x:f>
        <x:v>0.25</x:v>
      </x:c>
      <x:c r="J196" s="55" t="n">
        <x:f>'Datos_fuente'!J196</x:f>
        <x:v>6.25218226</x:v>
      </x:c>
      <x:c r="K196" s="55" t="n">
        <x:f>IF(OR(J196="",J195=""),"",J196-J195)</x:f>
        <x:v>1.4112373789999992</x:v>
      </x:c>
      <x:c r="L196" s="90" t="n">
        <x:f>IF('Datos_fuente'!K196="","",LN('Datos_fuente'!K196))</x:f>
        <x:v>4.736755179355963</x:v>
      </x:c>
      <x:c r="M196" s="90" t="n">
        <x:f>IF(OR(L196="",L195=""),"",L196-L195)</x:f>
        <x:v>0.005448081151671502</x:v>
      </x:c>
      <x:c r="N196" s="90" t="n">
        <x:f>IF('Datos_fuente'!L196="","",LN('Datos_fuente'!L196))</x:f>
        <x:v>2.883203268337616</x:v>
      </x:c>
      <x:c r="O196" s="90" t="n">
        <x:f>IF(OR(N196="",N195=""),"",N196-N195)</x:f>
        <x:v>-0.10372848902290155</x:v>
      </x:c>
      <x:c r="P196" s="88" t="n">
        <x:f>'Datos_fuente'!N196</x:f>
        <x:v>0</x:v>
      </x:c>
      <x:c r="Q196" s="90" t="n">
        <x:f>IF('Datos_fuente'!O196="","",LN('Datos_fuente'!O196))</x:f>
        <x:v>10.981761070208707</x:v>
      </x:c>
      <x:c r="R196" s="90" t="n">
        <x:f>IF(OR(Q196="",Q195=""),"",Q196-Q195)</x:f>
        <x:v>0.0012071850154846686</x:v>
      </x:c>
      <x:c r="S196" s="55" t="n">
        <x:f>'Datos_fuente'!R196</x:f>
        <x:v>6.586</x:v>
      </x:c>
      <x:c r="T196" s="55" t="n">
        <x:f>IF(OR(S196="",S195=""),"",S196-S195)</x:f>
        <x:v>0.06894372300000029</x:v>
      </x:c>
      <x:c r="U196" s="90" t="n">
        <x:f>IF('Datos_fuente'!S196="","",ASINH('Datos_fuente'!S196/1000))</x:f>
        <x:v>-0.0629284590875526</x:v>
      </x:c>
      <x:c r="V196" s="90" t="n">
        <x:f>IF(OR(U196="",U195=""),"",U196-U195)</x:f>
        <x:v>-0.050148806951477914</x:v>
      </x:c>
      <x:c r="W196" s="90" t="n">
        <x:f>IF('Datos_fuente'!T196="","",ASINH('Datos_fuente'!T196/1000))</x:f>
        <x:v>-0.61935587804873</x:v>
      </x:c>
      <x:c r="X196" s="90" t="n">
        <x:f>IF(OR(W196="",W195=""),"",W196-W195)</x:f>
        <x:v>0.3348869287627898</x:v>
      </x:c>
      <x:c r="Y196" s="55" t="n">
        <x:f>'Datos_fuente'!W196</x:f>
        <x:v>-1.63192307</x:v>
      </x:c>
      <x:c r="Z196" s="55" t="n">
        <x:f>IF(OR(Y196="",Y195=""),"",Y196-Y195)</x:f>
        <x:v>-0.7529238208</x:v>
      </x:c>
      <x:c r="AA196" s="90" t="n">
        <x:f>'Datos_fuente'!AA196</x:f>
        <x:v>1.058561938</x:v>
      </x:c>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t="str">
        <x:f>'Datos_fuente'!A197</x:f>
        <x:v>2021-11</x:v>
      </x:c>
      <x:c r="B197" s="90" t="n">
        <x:f>IF('Datos_fuente'!B197="","",LN('Datos_fuente'!B197))</x:f>
        <x:v>8.269475401755148</x:v>
      </x:c>
      <x:c r="C197" s="90" t="n">
        <x:f>IF(OR(B197="",B196=""),"",B197-B196)</x:f>
        <x:v>0.03374785978165917</x:v>
      </x:c>
      <x:c r="D197" s="90" t="n">
        <x:f>IF('Datos_fuente'!C197="","",LN('Datos_fuente'!C197))</x:f>
        <x:v>4.395066248181685</x:v>
      </x:c>
      <x:c r="E197" s="90" t="n">
        <x:f>IF(OR(D197="",D196=""),"",D197-D196)</x:f>
        <x:v>-0.030236510052832344</x:v>
      </x:c>
      <x:c r="F197" s="90" t="n">
        <x:f>IF('Datos_fuente'!E197="","",LN('Datos_fuente'!E197))</x:f>
        <x:v>9.040160406835223</x:v>
      </x:c>
      <x:c r="G197" s="90" t="n">
        <x:f>IF(OR(F197="",F196=""),"",F197-F196)</x:f>
        <x:v>0.025770443977897628</x:v>
      </x:c>
      <x:c r="H197" s="55" t="n">
        <x:f>'Datos_fuente'!H197</x:f>
        <x:v>2.403333333</x:v>
      </x:c>
      <x:c r="I197" s="55" t="n">
        <x:f>IF(OR(H197="",H196=""),"",H197-H196)</x:f>
        <x:v>0.48333333300000003</x:v>
      </x:c>
      <x:c r="J197" s="55" t="n">
        <x:f>'Datos_fuente'!J197</x:f>
        <x:v>6.64429459</x:v>
      </x:c>
      <x:c r="K197" s="55" t="n">
        <x:f>IF(OR(J197="",J196=""),"",J197-J196)</x:f>
        <x:v>0.3921123300000007</x:v>
      </x:c>
      <x:c r="L197" s="90" t="n">
        <x:f>IF('Datos_fuente'!K197="","",LN('Datos_fuente'!K197))</x:f>
        <x:v>4.744843385295265</x:v>
      </x:c>
      <x:c r="M197" s="90" t="n">
        <x:f>IF(OR(L197="",L196=""),"",L197-L196)</x:f>
        <x:v>0.008088205939302817</x:v>
      </x:c>
      <x:c r="N197" s="90" t="n">
        <x:f>IF('Datos_fuente'!L197="","",LN('Datos_fuente'!L197))</x:f>
        <x:v>2.917796471753011</x:v>
      </x:c>
      <x:c r="O197" s="90" t="n">
        <x:f>IF(OR(N197="",N196=""),"",N197-N196)</x:f>
        <x:v>0.034593203415394846</x:v>
      </x:c>
      <x:c r="P197" s="88" t="n">
        <x:f>'Datos_fuente'!N197</x:f>
        <x:v>0</x:v>
      </x:c>
      <x:c r="Q197" s="90" t="n">
        <x:f>IF('Datos_fuente'!O197="","",LN('Datos_fuente'!O197))</x:f>
        <x:v>10.977330429831582</x:v>
      </x:c>
      <x:c r="R197" s="90" t="n">
        <x:f>IF(OR(Q197="",Q196=""),"",Q197-Q196)</x:f>
        <x:v>-0.004430640377124817</x:v>
      </x:c>
      <x:c r="S197" s="55" t="n">
        <x:f>'Datos_fuente'!R197</x:f>
        <x:v>6.969</x:v>
      </x:c>
      <x:c r="T197" s="55" t="n">
        <x:f>IF(OR(S197="",S196=""),"",S197-S196)</x:f>
        <x:v>0.383</x:v>
      </x:c>
      <x:c r="U197" s="90" t="n">
        <x:f>IF('Datos_fuente'!S197="","",ASINH('Datos_fuente'!S197/1000))</x:f>
        <x:v>0.1392792566807008</x:v>
      </x:c>
      <x:c r="V197" s="90" t="n">
        <x:f>IF(OR(U197="",U196=""),"",U197-U196)</x:f>
        <x:v>0.2022077157682534</x:v>
      </x:c>
      <x:c r="W197" s="90" t="n">
        <x:f>IF('Datos_fuente'!T197="","",ASINH('Datos_fuente'!T197/1000))</x:f>
        <x:v>-1.2953520301350026</x:v>
      </x:c>
      <x:c r="X197" s="90" t="n">
        <x:f>IF(OR(W197="",W196=""),"",W197-W196)</x:f>
        <x:v>-0.6759961520862725</x:v>
      </x:c>
      <x:c r="Y197" s="55" t="n">
        <x:f>'Datos_fuente'!W197</x:f>
        <x:v>-1.555862375</x:v>
      </x:c>
      <x:c r="Z197" s="55" t="n">
        <x:f>IF(OR(Y197="",Y196=""),"",Y197-Y196)</x:f>
        <x:v>0.07606069500000001</x:v>
      </x:c>
      <x:c r="AA197" s="90" t="n">
        <x:f>'Datos_fuente'!AA197</x:f>
        <x:v>0.112040498</x:v>
      </x:c>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t="str">
        <x:f>'Datos_fuente'!A198</x:f>
        <x:v>2021-12</x:v>
      </x:c>
      <x:c r="B198" s="90" t="n">
        <x:f>IF('Datos_fuente'!B198="","",LN('Datos_fuente'!B198))</x:f>
        <x:v>8.284790291335742</x:v>
      </x:c>
      <x:c r="C198" s="90" t="n">
        <x:f>IF(OR(B198="",B197=""),"",B198-B197)</x:f>
        <x:v>0.015314889580594127</x:v>
      </x:c>
      <x:c r="D198" s="90" t="n">
        <x:f>IF('Datos_fuente'!C198="","",LN('Datos_fuente'!C198))</x:f>
        <x:v>4.306366175978632</x:v>
      </x:c>
      <x:c r="E198" s="90" t="n">
        <x:f>IF(OR(D198="",D197=""),"",D198-D197)</x:f>
        <x:v>-0.08870007220305265</x:v>
      </x:c>
      <x:c r="F198" s="90" t="n">
        <x:f>IF('Datos_fuente'!E198="","",LN('Datos_fuente'!E198))</x:f>
        <x:v>9.059196500499914</x:v>
      </x:c>
      <x:c r="G198" s="90" t="n">
        <x:f>IF(OR(F198="",F197=""),"",F198-F197)</x:f>
        <x:v>0.019036093664690057</x:v>
      </x:c>
      <x:c r="H198" s="55" t="n">
        <x:f>'Datos_fuente'!H198</x:f>
        <x:v>2.613548387</x:v>
      </x:c>
      <x:c r="I198" s="55" t="n">
        <x:f>IF(OR(H198="",H197=""),"",H198-H197)</x:f>
        <x:v>0.21021505399999985</x:v>
      </x:c>
      <x:c r="J198" s="55" t="n">
        <x:f>'Datos_fuente'!J198</x:f>
        <x:v>6.97187551</x:v>
      </x:c>
      <x:c r="K198" s="55" t="n">
        <x:f>IF(OR(J198="",J197=""),"",J198-J197)</x:f>
        <x:v>0.32758091999999994</x:v>
      </x:c>
      <x:c r="L198" s="90" t="n">
        <x:f>IF('Datos_fuente'!K198="","",LN('Datos_fuente'!K198))</x:f>
        <x:v>4.7519037534901925</x:v>
      </x:c>
      <x:c r="M198" s="90" t="n">
        <x:f>IF(OR(L198="",L197=""),"",L198-L197)</x:f>
        <x:v>0.007060368194927058</x:v>
      </x:c>
      <x:c r="N198" s="90" t="n">
        <x:f>IF('Datos_fuente'!L198="","",LN('Datos_fuente'!L198))</x:f>
        <x:v>3.06126461865364</x:v>
      </x:c>
      <x:c r="O198" s="90" t="n">
        <x:f>IF(OR(N198="",N197=""),"",N198-N197)</x:f>
        <x:v>0.14346814690062892</x:v>
      </x:c>
      <x:c r="P198" s="88" t="n">
        <x:f>'Datos_fuente'!N198</x:f>
        <x:v>0</x:v>
      </x:c>
      <x:c r="Q198" s="90" t="n">
        <x:f>IF('Datos_fuente'!O198="","",LN('Datos_fuente'!O198))</x:f>
        <x:v>10.978134963750405</x:v>
      </x:c>
      <x:c r="R198" s="90" t="n">
        <x:f>IF(OR(Q198="",Q197=""),"",Q198-Q197)</x:f>
        <x:v>0.0008045339188225142</x:v>
      </x:c>
      <x:c r="S198" s="55" t="n">
        <x:f>'Datos_fuente'!R198</x:f>
        <x:v>7</x:v>
      </x:c>
      <x:c r="T198" s="55" t="n">
        <x:f>IF(OR(S198="",S197=""),"",S198-S197)</x:f>
        <x:v>0.030999999999999694</x:v>
      </x:c>
      <x:c r="U198" s="90" t="n">
        <x:f>IF('Datos_fuente'!S198="","",ASINH('Datos_fuente'!S198/1000))</x:f>
        <x:v>-0.11269133098923659</x:v>
      </x:c>
      <x:c r="V198" s="90" t="n">
        <x:f>IF(OR(U198="",U197=""),"",U198-U197)</x:f>
        <x:v>-0.2519705876699374</x:v>
      </x:c>
      <x:c r="W198" s="90" t="n">
        <x:f>IF('Datos_fuente'!T198="","",ASINH('Datos_fuente'!T198/1000))</x:f>
        <x:v>-0.9226827912800641</x:v>
      </x:c>
      <x:c r="X198" s="90" t="n">
        <x:f>IF(OR(W198="",W197=""),"",W198-W197)</x:f>
        <x:v>0.3726692388549384</x:v>
      </x:c>
      <x:c r="Y198" s="55" t="n">
        <x:f>'Datos_fuente'!W198</x:f>
        <x:v>-1.414484018</x:v>
      </x:c>
      <x:c r="Z198" s="55" t="n">
        <x:f>IF(OR(Y198="",Y197=""),"",Y198-Y197)</x:f>
        <x:v>0.141378357</x:v>
      </x:c>
      <x:c r="AA198" s="90" t="n">
        <x:f>'Datos_fuente'!AA198</x:f>
        <x:v>0.6186153737</x:v>
      </x:c>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t="str">
        <x:f>'Datos_fuente'!A199</x:f>
        <x:v>2022-01</x:v>
      </x:c>
      <x:c r="B199" s="90" t="n">
        <x:f>IF('Datos_fuente'!B199="","",LN('Datos_fuente'!B199))</x:f>
        <x:v>8.293953667746829</x:v>
      </x:c>
      <x:c r="C199" s="90" t="n">
        <x:f>IF(OR(B199="",B198=""),"",B199-B198)</x:f>
        <x:v>0.009163376411086332</x:v>
      </x:c>
      <x:c r="D199" s="90" t="n">
        <x:f>IF('Datos_fuente'!C199="","",LN('Datos_fuente'!C199))</x:f>
        <x:v>4.460204968173753</x:v>
      </x:c>
      <x:c r="E199" s="90" t="n">
        <x:f>IF(OR(D199="",D198=""),"",D199-D198)</x:f>
        <x:v>0.15383879219512053</x:v>
      </x:c>
      <x:c r="F199" s="90" t="n">
        <x:f>IF('Datos_fuente'!E199="","",LN('Datos_fuente'!E199))</x:f>
        <x:v>9.072694239695387</x:v>
      </x:c>
      <x:c r="G199" s="90" t="n">
        <x:f>IF(OR(F199="",F198=""),"",F199-F198)</x:f>
        <x:v>0.013497739195473812</x:v>
      </x:c>
      <x:c r="H199" s="55" t="n">
        <x:f>'Datos_fuente'!H199</x:f>
        <x:v>2.952258065</x:v>
      </x:c>
      <x:c r="I199" s="55" t="n">
        <x:f>IF(OR(H199="",H198=""),"",H199-H198)</x:f>
        <x:v>0.3387096780000003</x:v>
      </x:c>
      <x:c r="J199" s="55" t="n">
        <x:f>'Datos_fuente'!J199</x:f>
        <x:v>5.215531798</x:v>
      </x:c>
      <x:c r="K199" s="55" t="n">
        <x:f>IF(OR(J199="",J198=""),"",J199-J198)</x:f>
        <x:v>-1.7563437120000005</x:v>
      </x:c>
      <x:c r="L199" s="90" t="n">
        <x:f>IF('Datos_fuente'!K199="","",LN('Datos_fuente'!K199))</x:f>
        <x:v>4.745256249743283</x:v>
      </x:c>
      <x:c r="M199" s="90" t="n">
        <x:f>IF(OR(L199="",L198=""),"",L199-L198)</x:f>
        <x:v>-0.006647503746909145</x:v>
      </x:c>
      <x:c r="N199" s="90" t="n">
        <x:f>IF('Datos_fuente'!L199="","",LN('Datos_fuente'!L199))</x:f>
        <x:v>3.1433329776195564</x:v>
      </x:c>
      <x:c r="O199" s="90" t="n">
        <x:f>IF(OR(N199="",N198=""),"",N199-N198)</x:f>
        <x:v>0.08206835896591658</x:v>
      </x:c>
      <x:c r="P199" s="88" t="n">
        <x:f>'Datos_fuente'!N199</x:f>
        <x:v>0</x:v>
      </x:c>
      <x:c r="Q199" s="90" t="n">
        <x:f>IF('Datos_fuente'!O199="","",LN('Datos_fuente'!O199))</x:f>
        <x:v>10.972742088750831</x:v>
      </x:c>
      <x:c r="R199" s="90" t="n">
        <x:f>IF(OR(Q199="",Q198=""),"",Q199-Q198)</x:f>
        <x:v>-0.005392874999573749</x:v>
      </x:c>
      <x:c r="S199" s="55" t="n">
        <x:f>'Datos_fuente'!R199</x:f>
        <x:v>7.491</x:v>
      </x:c>
      <x:c r="T199" s="55" t="n">
        <x:f>IF(OR(S199="",S198=""),"",S199-S198)</x:f>
        <x:v>0.49099999999999966</x:v>
      </x:c>
      <x:c r="U199" s="90" t="n">
        <x:f>IF('Datos_fuente'!S199="","",ASINH('Datos_fuente'!S199/1000))</x:f>
        <x:v>-0.03230438104332583</x:v>
      </x:c>
      <x:c r="V199" s="90" t="n">
        <x:f>IF(OR(U199="",U198=""),"",U199-U198)</x:f>
        <x:v>0.08038694994591075</x:v>
      </x:c>
      <x:c r="W199" s="90" t="n">
        <x:f>IF('Datos_fuente'!T199="","",ASINH('Datos_fuente'!T199/1000))</x:f>
        <x:v>-0.9550876670487805</x:v>
      </x:c>
      <x:c r="X199" s="90" t="n">
        <x:f>IF(OR(W199="",W198=""),"",W199-W198)</x:f>
        <x:v>-0.03240487576871631</x:v>
      </x:c>
      <x:c r="Y199" s="55" t="n">
        <x:f>'Datos_fuente'!W199</x:f>
        <x:v>-0.5400178748</x:v>
      </x:c>
      <x:c r="Z199" s="55" t="n">
        <x:f>IF(OR(Y199="",Y198=""),"",Y199-Y198)</x:f>
        <x:v>0.8744661432</x:v>
      </x:c>
      <x:c r="AA199" s="90" t="n">
        <x:f>'Datos_fuente'!AA199</x:f>
        <x:v>-0.9627257422</x:v>
      </x:c>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t="str">
        <x:f>'Datos_fuente'!A200</x:f>
        <x:v>2022-02</x:v>
      </x:c>
      <x:c r="B200" s="90" t="n">
        <x:f>IF('Datos_fuente'!B200="","",LN('Datos_fuente'!B200))</x:f>
        <x:v>8.277878517971766</x:v>
      </x:c>
      <x:c r="C200" s="90" t="n">
        <x:f>IF(OR(B200="",B199=""),"",B200-B199)</x:f>
        <x:v>-0.016075149775062414</x:v>
      </x:c>
      <x:c r="D200" s="90" t="n">
        <x:f>IF('Datos_fuente'!C200="","",LN('Datos_fuente'!C200))</x:f>
        <x:v>4.576039991880957</x:v>
      </x:c>
      <x:c r="E200" s="90" t="n">
        <x:f>IF(OR(D200="",D199=""),"",D200-D199)</x:f>
        <x:v>0.11583502370720389</x:v>
      </x:c>
      <x:c r="F200" s="90" t="n">
        <x:f>IF('Datos_fuente'!E200="","",LN('Datos_fuente'!E200))</x:f>
        <x:v>9.077415652431185</x:v>
      </x:c>
      <x:c r="G200" s="90" t="n">
        <x:f>IF(OR(F200="",F199=""),"",F200-F199)</x:f>
        <x:v>0.004721412735797514</x:v>
      </x:c>
      <x:c r="H200" s="55" t="n">
        <x:f>'Datos_fuente'!H200</x:f>
        <x:v>3.92</x:v>
      </x:c>
      <x:c r="I200" s="55" t="n">
        <x:f>IF(OR(H200="",H199=""),"",H200-H199)</x:f>
        <x:v>0.9677419349999998</x:v>
      </x:c>
      <x:c r="J200" s="55" t="n">
        <x:f>'Datos_fuente'!J200</x:f>
        <x:v>5.120245584</x:v>
      </x:c>
      <x:c r="K200" s="55" t="n">
        <x:f>IF(OR(J200="",J199=""),"",J200-J199)</x:f>
        <x:v>-0.0952862139999997</x:v>
      </x:c>
      <x:c r="L200" s="90" t="n">
        <x:f>IF('Datos_fuente'!K200="","",LN('Datos_fuente'!K200))</x:f>
        <x:v>4.744912494257459</x:v>
      </x:c>
      <x:c r="M200" s="90" t="n">
        <x:f>IF(OR(L200="",L199=""),"",L200-L199)</x:f>
        <x:v>-0.0003437554858241043</x:v>
      </x:c>
      <x:c r="N200" s="90" t="n">
        <x:f>IF('Datos_fuente'!L200="","",LN('Datos_fuente'!L200))</x:f>
        <x:v>3.2483733067830904</x:v>
      </x:c>
      <x:c r="O200" s="90" t="n">
        <x:f>IF(OR(N200="",N199=""),"",N200-N199)</x:f>
        <x:v>0.10504032916353401</x:v>
      </x:c>
      <x:c r="P200" s="88" t="n">
        <x:f>'Datos_fuente'!N200</x:f>
        <x:v>0</x:v>
      </x:c>
      <x:c r="Q200" s="90" t="n">
        <x:f>IF('Datos_fuente'!O200="","",LN('Datos_fuente'!O200))</x:f>
        <x:v>10.973090441346894</x:v>
      </x:c>
      <x:c r="R200" s="90" t="n">
        <x:f>IF(OR(Q200="",Q199=""),"",Q200-Q199)</x:f>
        <x:v>0.00034835259606325053</x:v>
      </x:c>
      <x:c r="S200" s="55" t="n">
        <x:f>'Datos_fuente'!R200</x:f>
        <x:v>7.432289474</x:v>
      </x:c>
      <x:c r="T200" s="55" t="n">
        <x:f>IF(OR(S200="",S199=""),"",S200-S199)</x:f>
        <x:v>-0.0587105259999996</x:v>
      </x:c>
      <x:c r="U200" s="90" t="n">
        <x:f>IF('Datos_fuente'!S200="","",ASINH('Datos_fuente'!S200/1000))</x:f>
        <x:v>0.001949998764189543</x:v>
      </x:c>
      <x:c r="V200" s="90" t="n">
        <x:f>IF(OR(U200="",U199=""),"",U200-U199)</x:f>
        <x:v>0.034254379807515375</x:v>
      </x:c>
      <x:c r="W200" s="90" t="n">
        <x:f>IF('Datos_fuente'!T200="","",ASINH('Datos_fuente'!T200/1000))</x:f>
        <x:v>-0.7298077242742552</x:v>
      </x:c>
      <x:c r="X200" s="90" t="n">
        <x:f>IF(OR(W200="",W199=""),"",W200-W199)</x:f>
        <x:v>0.22527994277452523</x:v>
      </x:c>
      <x:c r="Y200" s="55" t="n">
        <x:f>'Datos_fuente'!W200</x:f>
        <x:v>0.1323138467</x:v>
      </x:c>
      <x:c r="Z200" s="55" t="n">
        <x:f>IF(OR(Y200="",Y199=""),"",Y200-Y199)</x:f>
        <x:v>0.6723317215</x:v>
      </x:c>
      <x:c r="AA200" s="90" t="n">
        <x:f>'Datos_fuente'!AA200</x:f>
        <x:v>-0.9022178562</x:v>
      </x:c>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t="str">
        <x:f>'Datos_fuente'!A201</x:f>
        <x:v>2022-03</x:v>
      </x:c>
      <x:c r="B201" s="90" t="n">
        <x:f>IF('Datos_fuente'!B201="","",LN('Datos_fuente'!B201))</x:f>
        <x:v>8.24464166422624</x:v>
      </x:c>
      <x:c r="C201" s="90" t="n">
        <x:f>IF(OR(B201="",B200=""),"",B201-B200)</x:f>
        <x:v>-0.03323685374552632</x:v>
      </x:c>
      <x:c r="D201" s="90" t="n">
        <x:f>IF('Datos_fuente'!C201="","",LN('Datos_fuente'!C201))</x:f>
        <x:v>4.764267616729005</x:v>
      </x:c>
      <x:c r="E201" s="90" t="n">
        <x:f>IF(OR(D201="",D200=""),"",D201-D200)</x:f>
        <x:v>0.18822762484804834</x:v>
      </x:c>
      <x:c r="F201" s="90" t="n">
        <x:f>IF('Datos_fuente'!E201="","",LN('Datos_fuente'!E201))</x:f>
        <x:v>9.070375759064738</x:v>
      </x:c>
      <x:c r="G201" s="90" t="n">
        <x:f>IF(OR(F201="",F200=""),"",F201-F200)</x:f>
        <x:v>-0.0070398933664463925</x:v>
      </x:c>
      <x:c r="H201" s="55" t="n">
        <x:f>'Datos_fuente'!H201</x:f>
        <x:v>3.8</x:v>
      </x:c>
      <x:c r="I201" s="55" t="n">
        <x:f>IF(OR(H201="",H200=""),"",H201-H200)</x:f>
        <x:v>-0.1200000000000001</x:v>
      </x:c>
      <x:c r="J201" s="55" t="n">
        <x:f>'Datos_fuente'!J201</x:f>
        <x:v>5.78623551</x:v>
      </x:c>
      <x:c r="K201" s="55" t="n">
        <x:f>IF(OR(J201="",J200=""),"",J201-J200)</x:f>
        <x:v>0.665989926</x:v>
      </x:c>
      <x:c r="L201" s="90" t="n">
        <x:f>IF('Datos_fuente'!K201="","",LN('Datos_fuente'!K201))</x:f>
        <x:v>4.756094286860655</x:v>
      </x:c>
      <x:c r="M201" s="90" t="n">
        <x:f>IF(OR(L201="",L200=""),"",L201-L200)</x:f>
        <x:v>0.011181792603196072</x:v>
      </x:c>
      <x:c r="N201" s="90" t="n">
        <x:f>IF('Datos_fuente'!L201="","",LN('Datos_fuente'!L201))</x:f>
        <x:v>3.2946767729861897</x:v>
      </x:c>
      <x:c r="O201" s="90" t="n">
        <x:f>IF(OR(N201="",N200=""),"",N201-N200)</x:f>
        <x:v>0.04630346620309922</x:v>
      </x:c>
      <x:c r="P201" s="88" t="n">
        <x:f>'Datos_fuente'!N201</x:f>
        <x:v>0</x:v>
      </x:c>
      <x:c r="Q201" s="90" t="n">
        <x:f>IF('Datos_fuente'!O201="","",LN('Datos_fuente'!O201))</x:f>
        <x:v>10.968265873451609</x:v>
      </x:c>
      <x:c r="R201" s="90" t="n">
        <x:f>IF(OR(Q201="",Q200=""),"",Q201-Q200)</x:f>
        <x:v>-0.004824567895285625</x:v>
      </x:c>
      <x:c r="S201" s="55" t="n">
        <x:f>'Datos_fuente'!R201</x:f>
        <x:v>7.812173913</x:v>
      </x:c>
      <x:c r="T201" s="55" t="n">
        <x:f>IF(OR(S201="",S200=""),"",S201-S200)</x:f>
        <x:v>0.3798844389999996</x:v>
      </x:c>
      <x:c r="U201" s="90" t="n">
        <x:f>IF('Datos_fuente'!S201="","",ASINH('Datos_fuente'!S201/1000))</x:f>
        <x:v>0.031084993639945987</x:v>
      </x:c>
      <x:c r="V201" s="90" t="n">
        <x:f>IF(OR(U201="",U200=""),"",U201-U200)</x:f>
        <x:v>0.029134994875756444</x:v>
      </x:c>
      <x:c r="W201" s="90" t="n">
        <x:f>IF('Datos_fuente'!T201="","",ASINH('Datos_fuente'!T201/1000))</x:f>
        <x:v>-1.0153263873147347</x:v>
      </x:c>
      <x:c r="X201" s="90" t="n">
        <x:f>IF(OR(W201="",W200=""),"",W201-W200)</x:f>
        <x:v>-0.28551866304047946</x:v>
      </x:c>
      <x:c r="Y201" s="55" t="n">
        <x:f>'Datos_fuente'!W201</x:f>
        <x:v>-0.009968624297</x:v>
      </x:c>
      <x:c r="Z201" s="55" t="n">
        <x:f>IF(OR(Y201="",Y200=""),"",Y201-Y200)</x:f>
        <x:v>-0.14228247099699998</x:v>
      </x:c>
      <x:c r="AA201" s="90" t="n">
        <x:f>'Datos_fuente'!AA201</x:f>
        <x:v>-0.5771004569</x:v>
      </x:c>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t="str">
        <x:f>'Datos_fuente'!A202</x:f>
        <x:v>2022-04</x:v>
      </x:c>
      <x:c r="B202" s="90" t="n">
        <x:f>IF('Datos_fuente'!B202="","",LN('Datos_fuente'!B202))</x:f>
        <x:v>8.240907796093667</x:v>
      </x:c>
      <x:c r="C202" s="90" t="n">
        <x:f>IF(OR(B202="",B201=""),"",B202-B201)</x:f>
        <x:v>-0.003733868132572482</x:v>
      </x:c>
      <x:c r="D202" s="90" t="n">
        <x:f>IF('Datos_fuente'!C202="","",LN('Datos_fuente'!C202))</x:f>
        <x:v>4.649907034179027</x:v>
      </x:c>
      <x:c r="E202" s="90" t="n">
        <x:f>IF(OR(D202="",D201=""),"",D202-D201)</x:f>
        <x:v>-0.11436058254997761</x:v>
      </x:c>
      <x:c r="F202" s="90" t="n">
        <x:f>IF('Datos_fuente'!E202="","",LN('Datos_fuente'!E202))</x:f>
        <x:v>9.0756162683546</x:v>
      </x:c>
      <x:c r="G202" s="90" t="n">
        <x:f>IF(OR(F202="",F201=""),"",F202-F201)</x:f>
        <x:v>0.00524050928986064</x:v>
      </x:c>
      <x:c r="H202" s="55" t="n">
        <x:f>'Datos_fuente'!H202</x:f>
        <x:v>4.67</x:v>
      </x:c>
      <x:c r="I202" s="55" t="n">
        <x:f>IF(OR(H202="",H201=""),"",H202-H201)</x:f>
        <x:v>0.8700000000000001</x:v>
      </x:c>
      <x:c r="J202" s="55" t="n">
        <x:f>'Datos_fuente'!J202</x:f>
        <x:v>5.387696326</x:v>
      </x:c>
      <x:c r="K202" s="55" t="n">
        <x:f>IF(OR(J202="",J201=""),"",J202-J201)</x:f>
        <x:v>-0.39853918399999966</x:v>
      </x:c>
      <x:c r="L202" s="90" t="n">
        <x:f>IF('Datos_fuente'!K202="","",LN('Datos_fuente'!K202))</x:f>
        <x:v>4.76361558913168</x:v>
      </x:c>
      <x:c r="M202" s="90" t="n">
        <x:f>IF(OR(L202="",L201=""),"",L202-L201)</x:f>
        <x:v>0.007521302271024766</x:v>
      </x:c>
      <x:c r="N202" s="90" t="n">
        <x:f>IF('Datos_fuente'!L202="","",LN('Datos_fuente'!L202))</x:f>
        <x:v>3.1934964765288036</x:v>
      </x:c>
      <x:c r="O202" s="90" t="n">
        <x:f>IF(OR(N202="",N201=""),"",N202-N201)</x:f>
        <x:v>-0.10118029645738602</x:v>
      </x:c>
      <x:c r="P202" s="88" t="n">
        <x:f>'Datos_fuente'!N202</x:f>
        <x:v>0</x:v>
      </x:c>
      <x:c r="Q202" s="90" t="n">
        <x:f>IF('Datos_fuente'!O202="","",LN('Datos_fuente'!O202))</x:f>
        <x:v>10.959083252823527</x:v>
      </x:c>
      <x:c r="R202" s="90" t="n">
        <x:f>IF(OR(Q202="",Q201=""),"",Q202-Q201)</x:f>
        <x:v>-0.009182620628081395</x:v>
      </x:c>
      <x:c r="S202" s="55" t="n">
        <x:f>'Datos_fuente'!R202</x:f>
        <x:v>7.2325</x:v>
      </x:c>
      <x:c r="T202" s="55" t="n">
        <x:f>IF(OR(S202="",S201=""),"",S202-S201)</x:f>
        <x:v>-0.5796739129999997</x:v>
      </x:c>
      <x:c r="U202" s="90" t="n">
        <x:f>IF('Datos_fuente'!S202="","",ASINH('Datos_fuente'!S202/1000))</x:f>
        <x:v>0.31838367630849046</x:v>
      </x:c>
      <x:c r="V202" s="90" t="n">
        <x:f>IF(OR(U202="",U201=""),"",U202-U201)</x:f>
        <x:v>0.28729868266854447</x:v>
      </x:c>
      <x:c r="W202" s="90" t="n">
        <x:f>IF('Datos_fuente'!T202="","",ASINH('Datos_fuente'!T202/1000))</x:f>
        <x:v>-1.368188363898071</x:v>
      </x:c>
      <x:c r="X202" s="90" t="n">
        <x:f>IF(OR(W202="",W201=""),"",W202-W201)</x:f>
        <x:v>-0.3528619765833363</x:v>
      </x:c>
      <x:c r="Y202" s="55" t="n">
        <x:f>'Datos_fuente'!W202</x:f>
        <x:v>0.9748524706</x:v>
      </x:c>
      <x:c r="Z202" s="55" t="n">
        <x:f>IF(OR(Y202="",Y201=""),"",Y202-Y201)</x:f>
        <x:v>0.984821094897</x:v>
      </x:c>
      <x:c r="AA202" s="90" t="n">
        <x:f>'Datos_fuente'!AA202</x:f>
        <x:v>-0.4918526605</x:v>
      </x:c>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t="str">
        <x:f>'Datos_fuente'!A203</x:f>
        <x:v>2022-05</x:v>
      </x:c>
      <x:c r="B203" s="90" t="n">
        <x:f>IF('Datos_fuente'!B203="","",LN('Datos_fuente'!B203))</x:f>
        <x:v>8.298808139215705</x:v>
      </x:c>
      <x:c r="C203" s="90" t="n">
        <x:f>IF(OR(B203="",B202=""),"",B203-B202)</x:f>
        <x:v>0.05790034312203751</x:v>
      </x:c>
      <x:c r="D203" s="90" t="n">
        <x:f>IF('Datos_fuente'!C203="","",LN('Datos_fuente'!C203))</x:f>
        <x:v>4.730371142933022</x:v>
      </x:c>
      <x:c r="E203" s="90" t="n">
        <x:f>IF(OR(D203="",D202=""),"",D203-D202)</x:f>
        <x:v>0.08046410875399435</x:v>
      </x:c>
      <x:c r="F203" s="90" t="n">
        <x:f>IF('Datos_fuente'!E203="","",LN('Datos_fuente'!E203))</x:f>
        <x:v>9.084946068973418</x:v>
      </x:c>
      <x:c r="G203" s="90" t="n">
        <x:f>IF(OR(F203="",F202=""),"",F203-F202)</x:f>
        <x:v>0.009329800618818496</x:v>
      </x:c>
      <x:c r="H203" s="55" t="n">
        <x:f>'Datos_fuente'!H203</x:f>
        <x:v>5.197741935</x:v>
      </x:c>
      <x:c r="I203" s="55" t="n">
        <x:f>IF(OR(H203="",H202=""),"",H203-H202)</x:f>
        <x:v>0.5277419349999999</x:v>
      </x:c>
      <x:c r="J203" s="55" t="n">
        <x:f>'Datos_fuente'!J203</x:f>
        <x:v>5.298016658</x:v>
      </x:c>
      <x:c r="K203" s="55" t="n">
        <x:f>IF(OR(J203="",J202=""),"",J203-J202)</x:f>
        <x:v>-0.08967966800000049</x:v>
      </x:c>
      <x:c r="L203" s="90" t="n">
        <x:f>IF('Datos_fuente'!K203="","",LN('Datos_fuente'!K203))</x:f>
        <x:v>4.784956786660663</x:v>
      </x:c>
      <x:c r="M203" s="90" t="n">
        <x:f>IF(OR(L203="",L202=""),"",L203-L202)</x:f>
        <x:v>0.021341197528983002</x:v>
      </x:c>
      <x:c r="N203" s="90" t="n">
        <x:f>IF('Datos_fuente'!L203="","",LN('Datos_fuente'!L203))</x:f>
        <x:v>3.3780528125339657</x:v>
      </x:c>
      <x:c r="O203" s="90" t="n">
        <x:f>IF(OR(N203="",N202=""),"",N203-N202)</x:f>
        <x:v>0.18455633600516208</x:v>
      </x:c>
      <x:c r="P203" s="88" t="n">
        <x:f>'Datos_fuente'!N203</x:f>
        <x:v>0</x:v>
      </x:c>
      <x:c r="Q203" s="90" t="n">
        <x:f>IF('Datos_fuente'!O203="","",LN('Datos_fuente'!O203))</x:f>
        <x:v>10.961774077707666</x:v>
      </x:c>
      <x:c r="R203" s="90" t="n">
        <x:f>IF(OR(Q203="",Q202=""),"",Q203-Q202)</x:f>
        <x:v>0.002690824884139076</x:v>
      </x:c>
      <x:c r="S203" s="55" t="n">
        <x:f>'Datos_fuente'!R203</x:f>
        <x:v>8.431904762</x:v>
      </x:c>
      <x:c r="T203" s="55" t="n">
        <x:f>IF(OR(S203="",S202=""),"",S203-S202)</x:f>
        <x:v>1.1994047620000003</x:v>
      </x:c>
      <x:c r="U203" s="90" t="n">
        <x:f>IF('Datos_fuente'!S203="","",ASINH('Datos_fuente'!S203/1000))</x:f>
        <x:v>0.08034353472583149</x:v>
      </x:c>
      <x:c r="V203" s="90" t="n">
        <x:f>IF(OR(U203="",U202=""),"",U203-U202)</x:f>
        <x:v>-0.23804014158265896</x:v>
      </x:c>
      <x:c r="W203" s="90" t="n">
        <x:f>IF('Datos_fuente'!T203="","",ASINH('Datos_fuente'!T203/1000))</x:f>
        <x:v>-0.9650118249559221</x:v>
      </x:c>
      <x:c r="X203" s="90" t="n">
        <x:f>IF(OR(W203="",W202=""),"",W203-W202)</x:f>
        <x:v>0.4031765389421489</x:v>
      </x:c>
      <x:c r="Y203" s="55" t="n">
        <x:f>'Datos_fuente'!W203</x:f>
        <x:v>0.4776578793</x:v>
      </x:c>
      <x:c r="Z203" s="55" t="n">
        <x:f>IF(OR(Y203="",Y202=""),"",Y203-Y202)</x:f>
        <x:v>-0.49719459130000004</x:v>
      </x:c>
      <x:c r="AA203" s="90" t="n">
        <x:f>'Datos_fuente'!AA203</x:f>
        <x:v>0.6975517018</x:v>
      </x:c>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t="str">
        <x:f>'Datos_fuente'!A204</x:f>
        <x:v>2022-06</x:v>
      </x:c>
      <x:c r="B204" s="90" t="n">
        <x:f>IF('Datos_fuente'!B204="","",LN('Datos_fuente'!B204))</x:f>
        <x:v>8.276589766499127</x:v>
      </x:c>
      <x:c r="C204" s="90" t="n">
        <x:f>IF(OR(B204="",B203=""),"",B204-B203)</x:f>
        <x:v>-0.022218372716578116</x:v>
      </x:c>
      <x:c r="D204" s="90" t="n">
        <x:f>IF('Datos_fuente'!C204="","",LN('Datos_fuente'!C204))</x:f>
        <x:v>4.809831609346977</x:v>
      </x:c>
      <x:c r="E204" s="90" t="n">
        <x:f>IF(OR(D204="",D203=""),"",D204-D203)</x:f>
        <x:v>0.07946046641395554</x:v>
      </x:c>
      <x:c r="F204" s="90" t="n">
        <x:f>IF('Datos_fuente'!E204="","",LN('Datos_fuente'!E204))</x:f>
        <x:v>9.098746021840103</x:v>
      </x:c>
      <x:c r="G204" s="90" t="n">
        <x:f>IF(OR(F204="",F203=""),"",F204-F203)</x:f>
        <x:v>0.013799952866685672</x:v>
      </x:c>
      <x:c r="H204" s="55" t="n">
        <x:f>'Datos_fuente'!H204</x:f>
        <x:v>4.79</x:v>
      </x:c>
      <x:c r="I204" s="55" t="n">
        <x:f>IF(OR(H204="",H203=""),"",H204-H203)</x:f>
        <x:v>-0.4077419349999998</x:v>
      </x:c>
      <x:c r="J204" s="55" t="n">
        <x:f>'Datos_fuente'!J204</x:f>
        <x:v>5.517064225</x:v>
      </x:c>
      <x:c r="K204" s="55" t="n">
        <x:f>IF(OR(J204="",J203=""),"",J204-J203)</x:f>
        <x:v>0.2190475670000005</x:v>
      </x:c>
      <x:c r="L204" s="90" t="n">
        <x:f>IF('Datos_fuente'!K204="","",LN('Datos_fuente'!K204))</x:f>
        <x:v>4.787705965668018</x:v>
      </x:c>
      <x:c r="M204" s="90" t="n">
        <x:f>IF(OR(L204="",L203=""),"",L204-L203)</x:f>
        <x:v>0.0027491790073552735</x:v>
      </x:c>
      <x:c r="N204" s="90" t="n">
        <x:f>IF('Datos_fuente'!L204="","",LN('Datos_fuente'!L204))</x:f>
        <x:v>3.3404979465056055</x:v>
      </x:c>
      <x:c r="O204" s="90" t="n">
        <x:f>IF(OR(N204="",N203=""),"",N204-N203)</x:f>
        <x:v>-0.03755486602836022</x:v>
      </x:c>
      <x:c r="P204" s="88" t="n">
        <x:f>'Datos_fuente'!N204</x:f>
        <x:v>0</x:v>
      </x:c>
      <x:c r="Q204" s="90" t="n">
        <x:f>IF('Datos_fuente'!O204="","",LN('Datos_fuente'!O204))</x:f>
        <x:v>10.95368765559191</x:v>
      </x:c>
      <x:c r="R204" s="90" t="n">
        <x:f>IF(OR(Q204="",Q203=""),"",Q204-Q203)</x:f>
        <x:v>-0.008086422115756164</x:v>
      </x:c>
      <x:c r="S204" s="55" t="n">
        <x:f>'Datos_fuente'!R204</x:f>
        <x:v>8.425666667</x:v>
      </x:c>
      <x:c r="T204" s="55" t="n">
        <x:f>IF(OR(S204="",S203=""),"",S204-S203)</x:f>
        <x:v>-0.006238095000000499</x:v>
      </x:c>
      <x:c r="U204" s="90" t="n">
        <x:f>IF('Datos_fuente'!S204="","",ASINH('Datos_fuente'!S204/1000))</x:f>
        <x:v>0.1395565573165326</x:v>
      </x:c>
      <x:c r="V204" s="90" t="n">
        <x:f>IF(OR(U204="",U203=""),"",U204-U203)</x:f>
        <x:v>0.05921302259070112</x:v>
      </x:c>
      <x:c r="W204" s="90" t="n">
        <x:f>IF('Datos_fuente'!T204="","",ASINH('Datos_fuente'!T204/1000))</x:f>
        <x:v>-1.1527032880444859</x:v>
      </x:c>
      <x:c r="X204" s="90" t="n">
        <x:f>IF(OR(W204="",W203=""),"",W204-W203)</x:f>
        <x:v>-0.18769146308856377</x:v>
      </x:c>
      <x:c r="Y204" s="55" t="n">
        <x:f>'Datos_fuente'!W204</x:f>
        <x:v>0.6203302867</x:v>
      </x:c>
      <x:c r="Z204" s="55" t="n">
        <x:f>IF(OR(Y204="",Y203=""),"",Y204-Y203)</x:f>
        <x:v>0.14267240740000003</x:v>
      </x:c>
      <x:c r="AA204" s="90" t="n">
        <x:f>'Datos_fuente'!AA204</x:f>
        <x:v>0.3376256081</x:v>
      </x:c>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t="str">
        <x:f>'Datos_fuente'!A205</x:f>
        <x:v>2022-07</x:v>
      </x:c>
      <x:c r="B205" s="90" t="n">
        <x:f>IF('Datos_fuente'!B205="","",LN('Datos_fuente'!B205))</x:f>
        <x:v>8.382016058103106</x:v>
      </x:c>
      <x:c r="C205" s="90" t="n">
        <x:f>IF(OR(B205="",B204=""),"",B205-B204)</x:f>
        <x:v>0.10542629160397965</x:v>
      </x:c>
      <x:c r="D205" s="90" t="n">
        <x:f>IF('Datos_fuente'!C205="","",LN('Datos_fuente'!C205))</x:f>
        <x:v>4.717835386058865</x:v>
      </x:c>
      <x:c r="E205" s="90" t="n">
        <x:f>IF(OR(D205="",D204=""),"",D205-D204)</x:f>
        <x:v>-0.09199622328811241</x:v>
      </x:c>
      <x:c r="F205" s="90" t="n">
        <x:f>IF('Datos_fuente'!E205="","",LN('Datos_fuente'!E205))</x:f>
        <x:v>9.115141385989595</x:v>
      </x:c>
      <x:c r="G205" s="90" t="n">
        <x:f>IF(OR(F205="",F204=""),"",F205-F204)</x:f>
        <x:v>0.016395364149492053</x:v>
      </x:c>
      <x:c r="H205" s="55" t="n">
        <x:f>'Datos_fuente'!H205</x:f>
        <x:v>5.82</x:v>
      </x:c>
      <x:c r="I205" s="55" t="n">
        <x:f>IF(OR(H205="",H204=""),"",H205-H204)</x:f>
        <x:v>1.0300000000000002</x:v>
      </x:c>
      <x:c r="J205" s="55" t="n">
        <x:f>'Datos_fuente'!J205</x:f>
        <x:v>5.416419004</x:v>
      </x:c>
      <x:c r="K205" s="55" t="n">
        <x:f>IF(OR(J205="",J204=""),"",J205-J204)</x:f>
        <x:v>-0.10064522100000062</x:v>
      </x:c>
      <x:c r="L205" s="90" t="n">
        <x:f>IF('Datos_fuente'!K205="","",LN('Datos_fuente'!K205))</x:f>
        <x:v>4.810159542594259</x:v>
      </x:c>
      <x:c r="M205" s="90" t="n">
        <x:f>IF(OR(L205="",L204=""),"",L205-L204)</x:f>
        <x:v>0.022453576926240615</x:v>
      </x:c>
      <x:c r="N205" s="90" t="n">
        <x:f>IF('Datos_fuente'!L205="","",LN('Datos_fuente'!L205))</x:f>
        <x:v>3.218685330725344</x:v>
      </x:c>
      <x:c r="O205" s="90" t="n">
        <x:f>IF(OR(N205="",N204=""),"",N205-N204)</x:f>
        <x:v>-0.1218126157802617</x:v>
      </x:c>
      <x:c r="P205" s="88" t="n">
        <x:f>'Datos_fuente'!N205</x:f>
        <x:v>0</x:v>
      </x:c>
      <x:c r="Q205" s="90" t="n">
        <x:f>IF('Datos_fuente'!O205="","",LN('Datos_fuente'!O205))</x:f>
        <x:v>10.956917834797537</x:v>
      </x:c>
      <x:c r="R205" s="90" t="n">
        <x:f>IF(OR(Q205="",Q204=""),"",Q205-Q204)</x:f>
        <x:v>0.0032301792056266265</x:v>
      </x:c>
      <x:c r="S205" s="55" t="n">
        <x:f>'Datos_fuente'!R205</x:f>
        <x:v>9.737684211</x:v>
      </x:c>
      <x:c r="T205" s="55" t="n">
        <x:f>IF(OR(S205="",S204=""),"",S205-S204)</x:f>
        <x:v>1.3120175439999997</x:v>
      </x:c>
      <x:c r="U205" s="90" t="n">
        <x:f>IF('Datos_fuente'!S205="","",ASINH('Datos_fuente'!S205/1000))</x:f>
        <x:v>0.14075476936167067</x:v>
      </x:c>
      <x:c r="V205" s="90" t="n">
        <x:f>IF(OR(U205="",U204=""),"",U205-U204)</x:f>
        <x:v>0.001198212045138064</x:v>
      </x:c>
      <x:c r="W205" s="90" t="n">
        <x:f>IF('Datos_fuente'!T205="","",ASINH('Datos_fuente'!T205/1000))</x:f>
        <x:v>-1.0607622069422198</x:v>
      </x:c>
      <x:c r="X205" s="90" t="n">
        <x:f>IF(OR(W205="",W204=""),"",W205-W204)</x:f>
        <x:v>0.09194108110226606</x:v>
      </x:c>
      <x:c r="Y205" s="55" t="n">
        <x:f>'Datos_fuente'!W205</x:f>
        <x:v>1.673096194</x:v>
      </x:c>
      <x:c r="Z205" s="55" t="n">
        <x:f>IF(OR(Y205="",Y204=""),"",Y205-Y204)</x:f>
        <x:v>1.0527659073</x:v>
      </x:c>
      <x:c r="AA205" s="90" t="n">
        <x:f>'Datos_fuente'!AA205</x:f>
        <x:v>1.909497503</x:v>
      </x:c>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t="str">
        <x:f>'Datos_fuente'!A206</x:f>
        <x:v>2022-08</x:v>
      </x:c>
      <x:c r="B206" s="90" t="n">
        <x:f>IF('Datos_fuente'!B206="","",LN('Datos_fuente'!B206))</x:f>
        <x:v>8.37158212788512</x:v>
      </x:c>
      <x:c r="C206" s="90" t="n">
        <x:f>IF(OR(B206="",B205=""),"",B206-B205)</x:f>
        <x:v>-0.010433930217986997</x:v>
      </x:c>
      <x:c r="D206" s="90" t="n">
        <x:f>IF('Datos_fuente'!C206="","",LN('Datos_fuente'!C206))</x:f>
        <x:v>4.609623889510596</x:v>
      </x:c>
      <x:c r="E206" s="90" t="n">
        <x:f>IF(OR(D206="",D205=""),"",D206-D205)</x:f>
        <x:v>-0.108211496548269</x:v>
      </x:c>
      <x:c r="F206" s="90" t="n">
        <x:f>IF('Datos_fuente'!E206="","",LN('Datos_fuente'!E206))</x:f>
        <x:v>9.117888403591184</x:v>
      </x:c>
      <x:c r="G206" s="90" t="n">
        <x:f>IF(OR(F206="",F205=""),"",F206-F205)</x:f>
        <x:v>0.002747017601588908</x:v>
      </x:c>
      <x:c r="H206" s="55" t="n">
        <x:f>'Datos_fuente'!H206</x:f>
        <x:v>6.67</x:v>
      </x:c>
      <x:c r="I206" s="55" t="n">
        <x:f>IF(OR(H206="",H205=""),"",H206-H205)</x:f>
        <x:v>0.8499999999999996</x:v>
      </x:c>
      <x:c r="J206" s="55" t="n">
        <x:f>'Datos_fuente'!J206</x:f>
        <x:v>6.403271638</x:v>
      </x:c>
      <x:c r="K206" s="55" t="n">
        <x:f>IF(OR(J206="",J205=""),"",J206-J205)</x:f>
        <x:v>0.9868526339999999</x:v>
      </x:c>
      <x:c r="L206" s="90" t="n">
        <x:f>IF('Datos_fuente'!K206="","",LN('Datos_fuente'!K206))</x:f>
        <x:v>4.806622185062162</x:v>
      </x:c>
      <x:c r="M206" s="90" t="n">
        <x:f>IF(OR(L206="",L205=""),"",L206-L205)</x:f>
        <x:v>-0.003537357532096941</x:v>
      </x:c>
      <x:c r="N206" s="90" t="n">
        <x:f>IF('Datos_fuente'!L206="","",LN('Datos_fuente'!L206))</x:f>
        <x:v>3.0987204122496306</x:v>
      </x:c>
      <x:c r="O206" s="90" t="n">
        <x:f>IF(OR(N206="",N205=""),"",N206-N205)</x:f>
        <x:v>-0.11996491847571322</x:v>
      </x:c>
      <x:c r="P206" s="88" t="n">
        <x:f>'Datos_fuente'!N206</x:f>
        <x:v>0</x:v>
      </x:c>
      <x:c r="Q206" s="90" t="n">
        <x:f>IF('Datos_fuente'!O206="","",LN('Datos_fuente'!O206))</x:f>
        <x:v>10.950501588040785</x:v>
      </x:c>
      <x:c r="R206" s="90" t="n">
        <x:f>IF(OR(Q206="",Q205=""),"",Q206-Q205)</x:f>
        <x:v>-0.006416246756751676</x:v>
      </x:c>
      <x:c r="S206" s="55" t="n">
        <x:f>'Datos_fuente'!R206</x:f>
        <x:v>9.195355731</x:v>
      </x:c>
      <x:c r="T206" s="55" t="n">
        <x:f>IF(OR(S206="",S205=""),"",S206-S205)</x:f>
        <x:v>-0.5423284800000001</x:v>
      </x:c>
      <x:c r="U206" s="90" t="n">
        <x:f>IF('Datos_fuente'!S206="","",ASINH('Datos_fuente'!S206/1000))</x:f>
        <x:v>0.06913491354692225</x:v>
      </x:c>
      <x:c r="V206" s="90" t="n">
        <x:f>IF(OR(U206="",U205=""),"",U206-U205)</x:f>
        <x:v>-0.07161985581474842</x:v>
      </x:c>
      <x:c r="W206" s="90" t="n">
        <x:f>IF('Datos_fuente'!T206="","",ASINH('Datos_fuente'!T206/1000))</x:f>
        <x:v>-1.2844300349260558</x:v>
      </x:c>
      <x:c r="X206" s="90" t="n">
        <x:f>IF(OR(W206="",W205=""),"",W206-W205)</x:f>
        <x:v>-0.223667827983836</x:v>
      </x:c>
      <x:c r="Y206" s="55" t="n">
        <x:f>'Datos_fuente'!W206</x:f>
        <x:v>2.574745921</x:v>
      </x:c>
      <x:c r="Z206" s="55" t="n">
        <x:f>IF(OR(Y206="",Y205=""),"",Y206-Y205)</x:f>
        <x:v>0.9016497269999999</x:v>
      </x:c>
      <x:c r="AA206" s="90" t="n">
        <x:f>'Datos_fuente'!AA206</x:f>
        <x:v>-1.387121965</x:v>
      </x:c>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t="str">
        <x:f>'Datos_fuente'!A207</x:f>
        <x:v>2022-09</x:v>
      </x:c>
      <x:c r="B207" s="90" t="n">
        <x:f>IF('Datos_fuente'!B207="","",LN('Datos_fuente'!B207))</x:f>
        <x:v>8.396978677110038</x:v>
      </x:c>
      <x:c r="C207" s="90" t="n">
        <x:f>IF(OR(B207="",B206=""),"",B207-B206)</x:f>
        <x:v>0.02539654922491863</x:v>
      </x:c>
      <x:c r="D207" s="90" t="n">
        <x:f>IF('Datos_fuente'!C207="","",LN('Datos_fuente'!C207))</x:f>
        <x:v>4.497192491837795</x:v>
      </x:c>
      <x:c r="E207" s="90" t="n">
        <x:f>IF(OR(D207="",D206=""),"",D207-D206)</x:f>
        <x:v>-0.1124313976728013</x:v>
      </x:c>
      <x:c r="F207" s="90" t="n">
        <x:f>IF('Datos_fuente'!E207="","",LN('Datos_fuente'!E207))</x:f>
        <x:v>9.125331352566254</x:v>
      </x:c>
      <x:c r="G207" s="90" t="n">
        <x:f>IF(OR(F207="",F206=""),"",F207-F206)</x:f>
        <x:v>0.0074429489750702515</x:v>
      </x:c>
      <x:c r="H207" s="55" t="n">
        <x:f>'Datos_fuente'!H207</x:f>
        <x:v>6.473333333</x:v>
      </x:c>
      <x:c r="I207" s="55" t="n">
        <x:f>IF(OR(H207="",H206=""),"",H207-H206)</x:f>
        <x:v>-0.19666666699999968</x:v>
      </x:c>
      <x:c r="J207" s="55" t="n">
        <x:f>'Datos_fuente'!J207</x:f>
        <x:v>6.268715719</x:v>
      </x:c>
      <x:c r="K207" s="55" t="n">
        <x:f>IF(OR(J207="",J206=""),"",J207-J206)</x:f>
        <x:v>-0.1345559189999994</x:v>
      </x:c>
      <x:c r="L207" s="90" t="n">
        <x:f>IF('Datos_fuente'!K207="","",LN('Datos_fuente'!K207))</x:f>
        <x:v>4.833059259479272</x:v>
      </x:c>
      <x:c r="M207" s="90" t="n">
        <x:f>IF(OR(L207="",L206=""),"",L207-L206)</x:f>
        <x:v>0.026437074417110296</x:v>
      </x:c>
      <x:c r="N207" s="90" t="n">
        <x:f>IF('Datos_fuente'!L207="","",LN('Datos_fuente'!L207))</x:f>
        <x:v>3.308417331644957</x:v>
      </x:c>
      <x:c r="O207" s="90" t="n">
        <x:f>IF(OR(N207="",N206=""),"",N207-N206)</x:f>
        <x:v>0.20969691939532664</x:v>
      </x:c>
      <x:c r="P207" s="88" t="n">
        <x:f>'Datos_fuente'!N207</x:f>
        <x:v>0</x:v>
      </x:c>
      <x:c r="Q207" s="90" t="n">
        <x:f>IF('Datos_fuente'!O207="","",LN('Datos_fuente'!O207))</x:f>
        <x:v>10.938917555519009</x:v>
      </x:c>
      <x:c r="R207" s="90" t="n">
        <x:f>IF(OR(Q207="",Q206=""),"",Q207-Q206)</x:f>
        <x:v>-0.011584032521776422</x:v>
      </x:c>
      <x:c r="S207" s="55" t="n">
        <x:f>'Datos_fuente'!R207</x:f>
        <x:v>9.088679654</x:v>
      </x:c>
      <x:c r="T207" s="55" t="n">
        <x:f>IF(OR(S207="",S206=""),"",S207-S206)</x:f>
        <x:v>-0.10667607699999948</x:v>
      </x:c>
      <x:c r="U207" s="90" t="n">
        <x:f>IF('Datos_fuente'!S207="","",ASINH('Datos_fuente'!S207/1000))</x:f>
        <x:v>0.03318390946685766</x:v>
      </x:c>
      <x:c r="V207" s="90" t="n">
        <x:f>IF(OR(U207="",U206=""),"",U207-U206)</x:f>
        <x:v>-0.03595100408006459</x:v>
      </x:c>
      <x:c r="W207" s="90" t="n">
        <x:f>IF('Datos_fuente'!T207="","",ASINH('Datos_fuente'!T207/1000))</x:f>
        <x:v>-1.354590305835675</x:v>
      </x:c>
      <x:c r="X207" s="90" t="n">
        <x:f>IF(OR(W207="",W206=""),"",W207-W206)</x:f>
        <x:v>-0.07016027090961918</x:v>
      </x:c>
      <x:c r="Y207" s="55" t="n">
        <x:f>'Datos_fuente'!W207</x:f>
        <x:v>3.239624431</x:v>
      </x:c>
      <x:c r="Z207" s="55" t="n">
        <x:f>IF(OR(Y207="",Y206=""),"",Y207-Y206)</x:f>
        <x:v>0.6648785100000003</x:v>
      </x:c>
      <x:c r="AA207" s="90" t="n">
        <x:f>'Datos_fuente'!AA207</x:f>
        <x:v>0.3305730855</x:v>
      </x:c>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t="str">
        <x:f>'Datos_fuente'!A208</x:f>
        <x:v>2022-10</x:v>
      </x:c>
      <x:c r="B208" s="90" t="n">
        <x:f>IF('Datos_fuente'!B208="","",LN('Datos_fuente'!B208))</x:f>
        <x:v>8.45783171513298</x:v>
      </x:c>
      <x:c r="C208" s="90" t="n">
        <x:f>IF(OR(B208="",B207=""),"",B208-B207)</x:f>
        <x:v>0.060853038022941064</x:v>
      </x:c>
      <x:c r="D208" s="90" t="n">
        <x:f>IF('Datos_fuente'!C208="","",LN('Datos_fuente'!C208))</x:f>
        <x:v>4.536162008241143</x:v>
      </x:c>
      <x:c r="E208" s="90" t="n">
        <x:f>IF(OR(D208="",D207=""),"",D208-D207)</x:f>
        <x:v>0.03896951640334834</x:v>
      </x:c>
      <x:c r="F208" s="90" t="n">
        <x:f>IF('Datos_fuente'!E208="","",LN('Datos_fuente'!E208))</x:f>
        <x:v>9.150097677216323</x:v>
      </x:c>
      <x:c r="G208" s="90" t="n">
        <x:f>IF(OR(F208="",F207=""),"",F208-F207)</x:f>
        <x:v>0.024766324650068228</x:v>
      </x:c>
      <x:c r="H208" s="55" t="n">
        <x:f>'Datos_fuente'!H208</x:f>
        <x:v>6.952258065</x:v>
      </x:c>
      <x:c r="I208" s="55" t="n">
        <x:f>IF(OR(H208="",H207=""),"",H208-H207)</x:f>
        <x:v>0.4789247319999994</x:v>
      </x:c>
      <x:c r="J208" s="55" t="n">
        <x:f>'Datos_fuente'!J208</x:f>
        <x:v>5.804178868</x:v>
      </x:c>
      <x:c r="K208" s="55" t="n">
        <x:f>IF(OR(J208="",J207=""),"",J208-J207)</x:f>
        <x:v>-0.4645368510000001</x:v>
      </x:c>
      <x:c r="L208" s="90" t="n">
        <x:f>IF('Datos_fuente'!K208="","",LN('Datos_fuente'!K208))</x:f>
        <x:v>4.847964235380359</x:v>
      </x:c>
      <x:c r="M208" s="90" t="n">
        <x:f>IF(OR(L208="",L207=""),"",L208-L207)</x:f>
        <x:v>0.014904975901086637</x:v>
      </x:c>
      <x:c r="N208" s="90" t="n">
        <x:f>IF('Datos_fuente'!L208="","",LN('Datos_fuente'!L208))</x:f>
        <x:v>3.401387839857175</x:v>
      </x:c>
      <x:c r="O208" s="90" t="n">
        <x:f>IF(OR(N208="",N207=""),"",N208-N207)</x:f>
        <x:v>0.09297050821221786</x:v>
      </x:c>
      <x:c r="P208" s="88" t="n">
        <x:f>'Datos_fuente'!N208</x:f>
        <x:v>0</x:v>
      </x:c>
      <x:c r="Q208" s="90" t="n">
        <x:f>IF('Datos_fuente'!O208="","",LN('Datos_fuente'!O208))</x:f>
        <x:v>10.939871183609984</x:v>
      </x:c>
      <x:c r="R208" s="90" t="n">
        <x:f>IF(OR(Q208="",Q207=""),"",Q208-Q207)</x:f>
        <x:v>0.0009536280909756556</x:v>
      </x:c>
      <x:c r="S208" s="55" t="n">
        <x:f>'Datos_fuente'!R208</x:f>
        <x:v>9.946</x:v>
      </x:c>
      <x:c r="T208" s="55" t="n">
        <x:f>IF(OR(S208="",S207=""),"",S208-S207)</x:f>
        <x:v>0.8573203459999998</x:v>
      </x:c>
      <x:c r="U208" s="90" t="n">
        <x:f>IF('Datos_fuente'!S208="","",ASINH('Datos_fuente'!S208/1000))</x:f>
        <x:v>0.16835359971206293</x:v>
      </x:c>
      <x:c r="V208" s="90" t="n">
        <x:f>IF(OR(U208="",U207=""),"",U208-U207)</x:f>
        <x:v>0.13516969024520525</x:v>
      </x:c>
      <x:c r="W208" s="90" t="n">
        <x:f>IF('Datos_fuente'!T208="","",ASINH('Datos_fuente'!T208/1000))</x:f>
        <x:v>-1.074175853094228</x:v>
      </x:c>
      <x:c r="X208" s="90" t="n">
        <x:f>IF(OR(W208="",W207=""),"",W208-W207)</x:f>
        <x:v>0.28041445274144694</x:v>
      </x:c>
      <x:c r="Y208" s="55" t="n">
        <x:f>'Datos_fuente'!W208</x:f>
        <x:v>4.475179611</x:v>
      </x:c>
      <x:c r="Z208" s="55" t="n">
        <x:f>IF(OR(Y208="",Y207=""),"",Y208-Y207)</x:f>
        <x:v>1.2355551799999995</x:v>
      </x:c>
      <x:c r="AA208" s="90" t="n">
        <x:f>'Datos_fuente'!AA208</x:f>
        <x:v>0.2624688373</x:v>
      </x:c>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t="str">
        <x:f>'Datos_fuente'!A209</x:f>
        <x:v>2022-11</x:v>
      </x:c>
      <x:c r="B209" s="90" t="n">
        <x:f>IF('Datos_fuente'!B209="","",LN('Datos_fuente'!B209))</x:f>
        <x:v>8.502416688039025</x:v>
      </x:c>
      <x:c r="C209" s="90" t="n">
        <x:f>IF(OR(B209="",B208=""),"",B209-B208)</x:f>
        <x:v>0.044584972906045905</x:v>
      </x:c>
      <x:c r="D209" s="90" t="n">
        <x:f>IF('Datos_fuente'!C209="","",LN('Datos_fuente'!C209))</x:f>
        <x:v>4.515414551146819</x:v>
      </x:c>
      <x:c r="E209" s="90" t="n">
        <x:f>IF(OR(D209="",D208=""),"",D209-D208)</x:f>
        <x:v>-0.02074745709432424</x:v>
      </x:c>
      <x:c r="F209" s="90" t="n">
        <x:f>IF('Datos_fuente'!E209="","",LN('Datos_fuente'!E209))</x:f>
        <x:v>9.14960899446156</x:v>
      </x:c>
      <x:c r="G209" s="90" t="n">
        <x:f>IF(OR(F209="",F208=""),"",F209-F208)</x:f>
        <x:v>-0.0004886827547618822</x:v>
      </x:c>
      <x:c r="H209" s="55" t="n">
        <x:f>'Datos_fuente'!H209</x:f>
        <x:v>7.22</x:v>
      </x:c>
      <x:c r="I209" s="55" t="n">
        <x:f>IF(OR(H209="",H208=""),"",H209-H208)</x:f>
        <x:v>0.2677419350000001</x:v>
      </x:c>
      <x:c r="J209" s="55" t="n">
        <x:f>'Datos_fuente'!J209</x:f>
        <x:v>5.270243754</x:v>
      </x:c>
      <x:c r="K209" s="55" t="n">
        <x:f>IF(OR(J209="",J208=""),"",J209-J208)</x:f>
        <x:v>-0.5339351140000002</x:v>
      </x:c>
      <x:c r="L209" s="90" t="n">
        <x:f>IF('Datos_fuente'!K209="","",LN('Datos_fuente'!K209))</x:f>
        <x:v>4.82713480263184</x:v>
      </x:c>
      <x:c r="M209" s="90" t="n">
        <x:f>IF(OR(L209="",L208=""),"",L209-L208)</x:f>
        <x:v>-0.020829432748518784</x:v>
      </x:c>
      <x:c r="N209" s="90" t="n">
        <x:f>IF('Datos_fuente'!L209="","",LN('Datos_fuente'!L209))</x:f>
        <x:v>3.1484143430722846</x:v>
      </x:c>
      <x:c r="O209" s="90" t="n">
        <x:f>IF(OR(N209="",N208=""),"",N209-N208)</x:f>
        <x:v>-0.25297349678489045</x:v>
      </x:c>
      <x:c r="P209" s="88" t="n">
        <x:f>'Datos_fuente'!N209</x:f>
        <x:v>0</x:v>
      </x:c>
      <x:c r="Q209" s="90" t="n">
        <x:f>IF('Datos_fuente'!O209="","",LN('Datos_fuente'!O209))</x:f>
        <x:v>10.95048351219048</x:v>
      </x:c>
      <x:c r="R209" s="90" t="n">
        <x:f>IF(OR(Q209="",Q208=""),"",Q209-Q208)</x:f>
        <x:v>0.01061232858049621</x:v>
      </x:c>
      <x:c r="S209" s="55" t="n">
        <x:f>'Datos_fuente'!R209</x:f>
        <x:v>9.8045</x:v>
      </x:c>
      <x:c r="T209" s="55" t="n">
        <x:f>IF(OR(S209="",S208=""),"",S209-S208)</x:f>
        <x:v>-0.14149999999999885</x:v>
      </x:c>
      <x:c r="U209" s="90" t="n">
        <x:f>IF('Datos_fuente'!S209="","",ASINH('Datos_fuente'!S209/1000))</x:f>
        <x:v>0.06533351108264558</x:v>
      </x:c>
      <x:c r="V209" s="90" t="n">
        <x:f>IF(OR(U209="",U208=""),"",U209-U208)</x:f>
        <x:v>-0.10302008862941735</x:v>
      </x:c>
      <x:c r="W209" s="90" t="n">
        <x:f>IF('Datos_fuente'!T209="","",ASINH('Datos_fuente'!T209/1000))</x:f>
        <x:v>-0.7137069167932788</x:v>
      </x:c>
      <x:c r="X209" s="90" t="n">
        <x:f>IF(OR(W209="",W208=""),"",W209-W208)</x:f>
        <x:v>0.3604689363009492</x:v>
      </x:c>
      <x:c r="Y209" s="55" t="n">
        <x:f>'Datos_fuente'!W209</x:f>
        <x:v>5.421322775</x:v>
      </x:c>
      <x:c r="Z209" s="55" t="n">
        <x:f>IF(OR(Y209="",Y208=""),"",Y209-Y208)</x:f>
        <x:v>0.9461431640000004</x:v>
      </x:c>
      <x:c r="AA209" s="90" t="n">
        <x:f>'Datos_fuente'!AA209</x:f>
        <x:v>-0.8918695705</x:v>
      </x:c>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t="str">
        <x:f>'Datos_fuente'!A210</x:f>
        <x:v>2022-12</x:v>
      </x:c>
      <x:c r="B210" s="90" t="n">
        <x:f>IF('Datos_fuente'!B210="","",LN('Datos_fuente'!B210))</x:f>
        <x:v>8.47397053532084</x:v>
      </x:c>
      <x:c r="C210" s="90" t="n">
        <x:f>IF(OR(B210="",B209=""),"",B210-B209)</x:f>
        <x:v>-0.028446152718185402</x:v>
      </x:c>
      <x:c r="D210" s="90" t="n">
        <x:f>IF('Datos_fuente'!C210="","",LN('Datos_fuente'!C210))</x:f>
        <x:v>4.393510442615168</x:v>
      </x:c>
      <x:c r="E210" s="90" t="n">
        <x:f>IF(OR(D210="",D209=""),"",D210-D209)</x:f>
        <x:v>-0.12190410853165101</x:v>
      </x:c>
      <x:c r="F210" s="90" t="n">
        <x:f>IF('Datos_fuente'!E210="","",LN('Datos_fuente'!E210))</x:f>
        <x:v>9.151527295819635</x:v>
      </x:c>
      <x:c r="G210" s="90" t="n">
        <x:f>IF(OR(F210="",F209=""),"",F210-F209)</x:f>
        <x:v>0.001918301358074359</x:v>
      </x:c>
      <x:c r="H210" s="55" t="n">
        <x:f>'Datos_fuente'!H210</x:f>
        <x:v>7.319354839</x:v>
      </x:c>
      <x:c r="I210" s="55" t="n">
        <x:f>IF(OR(H210="",H209=""),"",H210-H209)</x:f>
        <x:v>0.09935483900000008</x:v>
      </x:c>
      <x:c r="J210" s="55" t="n">
        <x:f>'Datos_fuente'!J210</x:f>
        <x:v>5.273643973</x:v>
      </x:c>
      <x:c r="K210" s="55" t="n">
        <x:f>IF(OR(J210="",J209=""),"",J210-J209)</x:f>
        <x:v>0.003400219000000426</x:v>
      </x:c>
      <x:c r="L210" s="90" t="n">
        <x:f>IF('Datos_fuente'!K210="","",LN('Datos_fuente'!K210))</x:f>
        <x:v>4.805939928726717</x:v>
      </x:c>
      <x:c r="M210" s="90" t="n">
        <x:f>IF(OR(L210="",L209=""),"",L210-L209)</x:f>
        <x:v>-0.02119487390512287</x:v>
      </x:c>
      <x:c r="N210" s="90" t="n">
        <x:f>IF('Datos_fuente'!L210="","",LN('Datos_fuente'!L210))</x:f>
        <x:v>3.081188870874873</x:v>
      </x:c>
      <x:c r="O210" s="90" t="n">
        <x:f>IF(OR(N210="",N209=""),"",N210-N209)</x:f>
        <x:v>-0.06722547219741148</x:v>
      </x:c>
      <x:c r="P210" s="88" t="n">
        <x:f>'Datos_fuente'!N210</x:f>
        <x:v>0</x:v>
      </x:c>
      <x:c r="Q210" s="90" t="n">
        <x:f>IF('Datos_fuente'!O210="","",LN('Datos_fuente'!O210))</x:f>
        <x:v>10.955517537915224</x:v>
      </x:c>
      <x:c r="R210" s="90" t="n">
        <x:f>IF(OR(Q210="",Q209=""),"",Q210-Q209)</x:f>
        <x:v>0.0050340257247434295</x:v>
      </x:c>
      <x:c r="S210" s="55" t="n">
        <x:f>'Datos_fuente'!R210</x:f>
        <x:v>9.352309524</x:v>
      </x:c>
      <x:c r="T210" s="55" t="n">
        <x:f>IF(OR(S210="",S209=""),"",S210-S209)</x:f>
        <x:v>-0.4521904760000002</x:v>
      </x:c>
      <x:c r="U210" s="90" t="n">
        <x:f>IF('Datos_fuente'!S210="","",ASINH('Datos_fuente'!S210/1000))</x:f>
        <x:v>-0.06419589781879337</x:v>
      </x:c>
      <x:c r="V210" s="90" t="n">
        <x:f>IF(OR(U210="",U209=""),"",U210-U209)</x:f>
        <x:v>-0.12952940890143894</x:v>
      </x:c>
      <x:c r="W210" s="90" t="n">
        <x:f>IF('Datos_fuente'!T210="","",ASINH('Datos_fuente'!T210/1000))</x:f>
        <x:v>-0.6934191583650139</x:v>
      </x:c>
      <x:c r="X210" s="90" t="n">
        <x:f>IF(OR(W210="",W209=""),"",W210-W209)</x:f>
        <x:v>0.020287758428264913</x:v>
      </x:c>
      <x:c r="Y210" s="55" t="n">
        <x:f>'Datos_fuente'!W210</x:f>
        <x:v>6.668298606</x:v>
      </x:c>
      <x:c r="Z210" s="55" t="n">
        <x:f>IF(OR(Y210="",Y209=""),"",Y210-Y209)</x:f>
        <x:v>1.2469758309999994</x:v>
      </x:c>
      <x:c r="AA210" s="90" t="n">
        <x:f>'Datos_fuente'!AA210</x:f>
        <x:v>-0.6806531827</x:v>
      </x:c>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t="str">
        <x:f>'Datos_fuente'!A211</x:f>
        <x:v>2023-01</x:v>
      </x:c>
      <x:c r="B211" s="90" t="n">
        <x:f>IF('Datos_fuente'!B211="","",LN('Datos_fuente'!B211))</x:f>
        <x:v>8.458547432945089</x:v>
      </x:c>
      <x:c r="C211" s="90" t="n">
        <x:f>IF(OR(B211="",B210=""),"",B211-B210)</x:f>
        <x:v>-0.01542310237575073</x:v>
      </x:c>
      <x:c r="D211" s="90" t="n">
        <x:f>IF('Datos_fuente'!C211="","",LN('Datos_fuente'!C211))</x:f>
        <x:v>4.412815609190715</x:v>
      </x:c>
      <x:c r="E211" s="90" t="n">
        <x:f>IF(OR(D211="",D210=""),"",D211-D210)</x:f>
        <x:v>0.01930516657554726</x:v>
      </x:c>
      <x:c r="F211" s="90" t="n">
        <x:f>IF('Datos_fuente'!E211="","",LN('Datos_fuente'!E211))</x:f>
        <x:v>9.164233604275932</x:v>
      </x:c>
      <x:c r="G211" s="90" t="n">
        <x:f>IF(OR(F211="",F210=""),"",F211-F210)</x:f>
        <x:v>0.012706308456296611</x:v>
      </x:c>
      <x:c r="H211" s="55" t="n">
        <x:f>'Datos_fuente'!H211</x:f>
        <x:v>7.718387097</x:v>
      </x:c>
      <x:c r="I211" s="55" t="n">
        <x:f>IF(OR(H211="",H210=""),"",H211-H210)</x:f>
        <x:v>0.3990322580000001</x:v>
      </x:c>
      <x:c r="J211" s="55" t="n">
        <x:f>'Datos_fuente'!J211</x:f>
        <x:v>4.838201575</x:v>
      </x:c>
      <x:c r="K211" s="55" t="n">
        <x:f>IF(OR(J211="",J210=""),"",J211-J210)</x:f>
        <x:v>-0.4354423980000002</x:v>
      </x:c>
      <x:c r="L211" s="90" t="n">
        <x:f>IF('Datos_fuente'!K211="","",LN('Datos_fuente'!K211))</x:f>
        <x:v>4.7859076971773264</x:v>
      </x:c>
      <x:c r="M211" s="90" t="n">
        <x:f>IF(OR(L211="",L210=""),"",L211-L210)</x:f>
        <x:v>-0.020032231549390822</x:v>
      </x:c>
      <x:c r="N211" s="90" t="n">
        <x:f>IF('Datos_fuente'!L211="","",LN('Datos_fuente'!L211))</x:f>
        <x:v>3.004149133201357</x:v>
      </x:c>
      <x:c r="O211" s="90" t="n">
        <x:f>IF(OR(N211="",N210=""),"",N211-N210)</x:f>
        <x:v>-0.07703973767351613</x:v>
      </x:c>
      <x:c r="P211" s="88" t="n">
        <x:f>'Datos_fuente'!N211</x:f>
        <x:v>0</x:v>
      </x:c>
      <x:c r="Q211" s="90" t="n">
        <x:f>IF('Datos_fuente'!O211="","",LN('Datos_fuente'!O211))</x:f>
        <x:v>10.964263835567507</x:v>
      </x:c>
      <x:c r="R211" s="90" t="n">
        <x:f>IF(OR(Q211="",Q210=""),"",Q211-Q210)</x:f>
        <x:v>0.00874629765228363</x:v>
      </x:c>
      <x:c r="S211" s="55" t="n">
        <x:f>'Datos_fuente'!R211</x:f>
        <x:v>9.125642857</x:v>
      </x:c>
      <x:c r="T211" s="55" t="n">
        <x:f>IF(OR(S211="",S210=""),"",S211-S210)</x:f>
        <x:v>-0.22666666699999993</x:v>
      </x:c>
      <x:c r="U211" s="90" t="n">
        <x:f>IF('Datos_fuente'!S211="","",ASINH('Datos_fuente'!S211/1000))</x:f>
        <x:v>0.024047682173214846</x:v>
      </x:c>
      <x:c r="V211" s="90" t="n">
        <x:f>IF(OR(U211="",U210=""),"",U211-U210)</x:f>
        <x:v>0.08824357999200821</x:v>
      </x:c>
      <x:c r="W211" s="90" t="n">
        <x:f>IF('Datos_fuente'!T211="","",ASINH('Datos_fuente'!T211/1000))</x:f>
        <x:v>-0.7813380171312738</x:v>
      </x:c>
      <x:c r="X211" s="90" t="n">
        <x:f>IF(OR(W211="",W210=""),"",W211-W210)</x:f>
        <x:v>-0.08791885876625993</x:v>
      </x:c>
      <x:c r="Y211" s="55" t="n">
        <x:f>'Datos_fuente'!W211</x:f>
        <x:v>6.84254595</x:v>
      </x:c>
      <x:c r="Z211" s="55" t="n">
        <x:f>IF(OR(Y211="",Y210=""),"",Y211-Y210)</x:f>
        <x:v>0.1742473440000003</x:v>
      </x:c>
      <x:c r="AA211" s="90" t="n">
        <x:f>'Datos_fuente'!AA211</x:f>
        <x:v>-1.246400617</x:v>
      </x:c>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t="str">
        <x:f>'Datos_fuente'!A212</x:f>
        <x:v>2023-02</x:v>
      </x:c>
      <x:c r="B212" s="90" t="n">
        <x:f>IF('Datos_fuente'!B212="","",LN('Datos_fuente'!B212))</x:f>
        <x:v>8.477019424251225</x:v>
      </x:c>
      <x:c r="C212" s="90" t="n">
        <x:f>IF(OR(B212="",B211=""),"",B212-B211)</x:f>
        <x:v>0.01847199130613575</x:v>
      </x:c>
      <x:c r="D212" s="90" t="n">
        <x:f>IF('Datos_fuente'!C212="","",LN('Datos_fuente'!C212))</x:f>
        <x:v>4.413828065973053</x:v>
      </x:c>
      <x:c r="E212" s="90" t="n">
        <x:f>IF(OR(D212="",D211=""),"",D212-D211)</x:f>
        <x:v>0.0010124567823384112</x:v>
      </x:c>
      <x:c r="F212" s="90" t="n">
        <x:f>IF('Datos_fuente'!E212="","",LN('Datos_fuente'!E212))</x:f>
        <x:v>9.183466482129376</x:v>
      </x:c>
      <x:c r="G212" s="90" t="n">
        <x:f>IF(OR(F212="",F211=""),"",F212-F211)</x:f>
        <x:v>0.019232877853443853</x:v>
      </x:c>
      <x:c r="H212" s="55" t="n">
        <x:f>'Datos_fuente'!H212</x:f>
        <x:v>8.18</x:v>
      </x:c>
      <x:c r="I212" s="55" t="n">
        <x:f>IF(OR(H212="",H211=""),"",H212-H211)</x:f>
        <x:v>0.4616129029999998</x:v>
      </x:c>
      <x:c r="J212" s="55" t="n">
        <x:f>'Datos_fuente'!J212</x:f>
        <x:v>4.866973857</x:v>
      </x:c>
      <x:c r="K212" s="55" t="n">
        <x:f>IF(OR(J212="",J211=""),"",J212-J211)</x:f>
        <x:v>0.028772281999999372</x:v>
      </x:c>
      <x:c r="L212" s="90" t="n">
        <x:f>IF('Datos_fuente'!K212="","",LN('Datos_fuente'!K212))</x:f>
        <x:v>4.790058227374484</x:v>
      </x:c>
      <x:c r="M212" s="90" t="n">
        <x:f>IF(OR(L212="",L211=""),"",L212-L211)</x:f>
        <x:v>0.004150530197157387</x:v>
      </x:c>
      <x:c r="N212" s="90" t="n">
        <x:f>IF('Datos_fuente'!L212="","",LN('Datos_fuente'!L212))</x:f>
        <x:v>3.0017391958173922</x:v>
      </x:c>
      <x:c r="O212" s="90" t="n">
        <x:f>IF(OR(N212="",N211=""),"",N212-N211)</x:f>
        <x:v>-0.0024099373839647775</x:v>
      </x:c>
      <x:c r="P212" s="88" t="n">
        <x:f>'Datos_fuente'!N212</x:f>
        <x:v>0</x:v>
      </x:c>
      <x:c r="Q212" s="90" t="n">
        <x:f>IF('Datos_fuente'!O212="","",LN('Datos_fuente'!O212))</x:f>
        <x:v>10.957354361260254</x:v>
      </x:c>
      <x:c r="R212" s="90" t="n">
        <x:f>IF(OR(Q212="",Q211=""),"",Q212-Q211)</x:f>
        <x:v>-0.006909474307253305</x:v>
      </x:c>
      <x:c r="S212" s="55" t="n">
        <x:f>'Datos_fuente'!R212</x:f>
        <x:v>8.833157895</x:v>
      </x:c>
      <x:c r="T212" s="55" t="n">
        <x:f>IF(OR(S212="",S211=""),"",S212-S211)</x:f>
        <x:v>-0.2924849620000014</x:v>
      </x:c>
      <x:c r="U212" s="90" t="n">
        <x:f>IF('Datos_fuente'!S212="","",ASINH('Datos_fuente'!S212/1000))</x:f>
        <x:v>0.2318570589627226</x:v>
      </x:c>
      <x:c r="V212" s="90" t="n">
        <x:f>IF(OR(U212="",U211=""),"",U212-U211)</x:f>
        <x:v>0.20780937678950775</x:v>
      </x:c>
      <x:c r="W212" s="90" t="n">
        <x:f>IF('Datos_fuente'!T212="","",ASINH('Datos_fuente'!T212/1000))</x:f>
        <x:v>-1.5473682948693759</x:v>
      </x:c>
      <x:c r="X212" s="90" t="n">
        <x:f>IF(OR(W212="",W211=""),"",W212-W211)</x:f>
        <x:v>-0.7660302777381021</x:v>
      </x:c>
      <x:c r="Y212" s="55" t="n">
        <x:f>'Datos_fuente'!W212</x:f>
        <x:v>7.247333669</x:v>
      </x:c>
      <x:c r="Z212" s="55" t="n">
        <x:f>IF(OR(Y212="",Y211=""),"",Y212-Y211)</x:f>
        <x:v>0.40478771899999977</x:v>
      </x:c>
      <x:c r="AA212" s="90" t="n">
        <x:f>'Datos_fuente'!AA212</x:f>
        <x:v>-0.7604530505</x:v>
      </x:c>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t="str">
        <x:f>'Datos_fuente'!A213</x:f>
        <x:v>2023-03</x:v>
      </x:c>
      <x:c r="B213" s="90" t="n">
        <x:f>IF('Datos_fuente'!B213="","",LN('Datos_fuente'!B213))</x:f>
        <x:v>8.469326819679154</x:v>
      </x:c>
      <x:c r="C213" s="90" t="n">
        <x:f>IF(OR(B213="",B212=""),"",B213-B212)</x:f>
        <x:v>-0.0076926045720711045</x:v>
      </x:c>
      <x:c r="D213" s="90" t="n">
        <x:f>IF('Datos_fuente'!C213="","",LN('Datos_fuente'!C213))</x:f>
        <x:v>4.3622619414906945</x:v>
      </x:c>
      <x:c r="E213" s="90" t="n">
        <x:f>IF(OR(D213="",D212=""),"",D213-D212)</x:f>
        <x:v>-0.051566124482358866</x:v>
      </x:c>
      <x:c r="F213" s="90" t="n">
        <x:f>IF('Datos_fuente'!E213="","",LN('Datos_fuente'!E213))</x:f>
        <x:v>9.1961552369841</x:v>
      </x:c>
      <x:c r="G213" s="90" t="n">
        <x:f>IF(OR(F213="",F212=""),"",F213-F212)</x:f>
        <x:v>0.012688754854725204</x:v>
      </x:c>
      <x:c r="H213" s="55" t="n">
        <x:f>'Datos_fuente'!H213</x:f>
        <x:v>8.108064516</x:v>
      </x:c>
      <x:c r="I213" s="55" t="n">
        <x:f>IF(OR(H213="",H212=""),"",H213-H212)</x:f>
        <x:v>-0.07193548399999905</x:v>
      </x:c>
      <x:c r="J213" s="55" t="n">
        <x:f>'Datos_fuente'!J213</x:f>
        <x:v>4.69656028</x:v>
      </x:c>
      <x:c r="K213" s="55" t="n">
        <x:f>IF(OR(J213="",J212=""),"",J213-J212)</x:f>
        <x:v>-0.1704135769999997</x:v>
      </x:c>
      <x:c r="L213" s="90" t="n">
        <x:f>IF('Datos_fuente'!K213="","",LN('Datos_fuente'!K213))</x:f>
        <x:v>4.793680991472765</x:v>
      </x:c>
      <x:c r="M213" s="90" t="n">
        <x:f>IF(OR(L213="",L212=""),"",L213-L212)</x:f>
        <x:v>0.00362276409828155</x:v>
      </x:c>
      <x:c r="N213" s="90" t="n">
        <x:f>IF('Datos_fuente'!L213="","",LN('Datos_fuente'!L213))</x:f>
        <x:v>3.0747443501558873</x:v>
      </x:c>
      <x:c r="O213" s="90" t="n">
        <x:f>IF(OR(N213="",N212=""),"",N213-N212)</x:f>
        <x:v>0.07300515433849508</x:v>
      </x:c>
      <x:c r="P213" s="88" t="n">
        <x:f>'Datos_fuente'!N213</x:f>
        <x:v>0</x:v>
      </x:c>
      <x:c r="Q213" s="90" t="n">
        <x:f>IF('Datos_fuente'!O213="","",LN('Datos_fuente'!O213))</x:f>
        <x:v>10.967606390252806</x:v>
      </x:c>
      <x:c r="R213" s="90" t="n">
        <x:f>IF(OR(Q213="",Q212=""),"",Q213-Q212)</x:f>
        <x:v>0.010252028992551843</x:v>
      </x:c>
      <x:c r="S213" s="55" t="n">
        <x:f>'Datos_fuente'!R213</x:f>
        <x:v>8.862411067</x:v>
      </x:c>
      <x:c r="T213" s="55" t="n">
        <x:f>IF(OR(S213="",S212=""),"",S213-S212)</x:f>
        <x:v>0.02925317200000066</x:v>
      </x:c>
      <x:c r="U213" s="90" t="n">
        <x:f>IF('Datos_fuente'!S213="","",ASINH('Datos_fuente'!S213/1000))</x:f>
        <x:v>0.1894153207524612</x:v>
      </x:c>
      <x:c r="V213" s="90" t="n">
        <x:f>IF(OR(U213="",U212=""),"",U213-U212)</x:f>
        <x:v>-0.0424417382102614</x:v>
      </x:c>
      <x:c r="W213" s="90" t="n">
        <x:f>IF('Datos_fuente'!T213="","",ASINH('Datos_fuente'!T213/1000))</x:f>
        <x:v>-1.0090214304464988</x:v>
      </x:c>
      <x:c r="X213" s="90" t="n">
        <x:f>IF(OR(W213="",W212=""),"",W213-W212)</x:f>
        <x:v>0.538346864422877</x:v>
      </x:c>
      <x:c r="Y213" s="55" t="n">
        <x:f>'Datos_fuente'!W213</x:f>
        <x:v>8.355813767</x:v>
      </x:c>
      <x:c r="Z213" s="55" t="n">
        <x:f>IF(OR(Y213="",Y212=""),"",Y213-Y212)</x:f>
        <x:v>1.1084800980000011</x:v>
      </x:c>
      <x:c r="AA213" s="90" t="n">
        <x:f>'Datos_fuente'!AA213</x:f>
        <x:v>-0.08988140565</x:v>
      </x:c>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t="str">
        <x:f>'Datos_fuente'!A214</x:f>
        <x:v>2023-04</x:v>
      </x:c>
      <x:c r="B214" s="90" t="n">
        <x:f>IF('Datos_fuente'!B214="","",LN('Datos_fuente'!B214))</x:f>
        <x:v>8.421271177739735</x:v>
      </x:c>
      <x:c r="C214" s="90" t="n">
        <x:f>IF(OR(B214="",B213=""),"",B214-B213)</x:f>
        <x:v>-0.04805564193941869</x:v>
      </x:c>
      <x:c r="D214" s="90" t="n">
        <x:f>IF('Datos_fuente'!C214="","",LN('Datos_fuente'!C214))</x:f>
        <x:v>4.438387276635395</x:v>
      </x:c>
      <x:c r="E214" s="90" t="n">
        <x:f>IF(OR(D214="",D213=""),"",D214-D213)</x:f>
        <x:v>0.07612533514470066</x:v>
      </x:c>
      <x:c r="F214" s="90" t="n">
        <x:f>IF('Datos_fuente'!E214="","",LN('Datos_fuente'!E214))</x:f>
        <x:v>9.194317691670552</x:v>
      </x:c>
      <x:c r="G214" s="90" t="n">
        <x:f>IF(OR(F214="",F213=""),"",F214-F213)</x:f>
        <x:v>-0.0018375453135490716</x:v>
      </x:c>
      <x:c r="H214" s="55" t="n">
        <x:f>'Datos_fuente'!H214</x:f>
        <x:v>8.17</x:v>
      </x:c>
      <x:c r="I214" s="55" t="n">
        <x:f>IF(OR(H214="",H213=""),"",H214-H213)</x:f>
        <x:v>0.06193548399999926</x:v>
      </x:c>
      <x:c r="J214" s="55" t="n">
        <x:f>'Datos_fuente'!J214</x:f>
        <x:v>4.316572151</x:v>
      </x:c>
      <x:c r="K214" s="55" t="n">
        <x:f>IF(OR(J214="",J213=""),"",J214-J213)</x:f>
        <x:v>-0.379988129</x:v>
      </x:c>
      <x:c r="L214" s="90" t="n">
        <x:f>IF('Datos_fuente'!K214="","",LN('Datos_fuente'!K214))</x:f>
        <x:v>4.781181416151402</x:v>
      </x:c>
      <x:c r="M214" s="90" t="n">
        <x:f>IF(OR(L214="",L213=""),"",L214-L213)</x:f>
        <x:v>-0.012499575321363032</x:v>
      </x:c>
      <x:c r="N214" s="90" t="n">
        <x:f>IF('Datos_fuente'!L214="","",LN('Datos_fuente'!L214))</x:f>
        <x:v>2.8802032747717425</x:v>
      </x:c>
      <x:c r="O214" s="90" t="n">
        <x:f>IF(OR(N214="",N213=""),"",N214-N213)</x:f>
        <x:v>-0.19454107538414478</x:v>
      </x:c>
      <x:c r="P214" s="88" t="n">
        <x:f>'Datos_fuente'!N214</x:f>
        <x:v>0</x:v>
      </x:c>
      <x:c r="Q214" s="90" t="n">
        <x:f>IF('Datos_fuente'!O214="","",LN('Datos_fuente'!O214))</x:f>
        <x:v>10.968588385844887</x:v>
      </x:c>
      <x:c r="R214" s="90" t="n">
        <x:f>IF(OR(Q214="",Q213=""),"",Q214-Q213)</x:f>
        <x:v>0.0009819955920811196</x:v>
      </x:c>
      <x:c r="S214" s="55" t="n">
        <x:f>'Datos_fuente'!R214</x:f>
        <x:v>8.161666667</x:v>
      </x:c>
      <x:c r="T214" s="55" t="n">
        <x:f>IF(OR(S214="",S213=""),"",S214-S213)</x:f>
        <x:v>-0.7007443999999996</x:v>
      </x:c>
      <x:c r="U214" s="90" t="n">
        <x:f>IF('Datos_fuente'!S214="","",ASINH('Datos_fuente'!S214/1000))</x:f>
        <x:v>0.17781154140272182</x:v>
      </x:c>
      <x:c r="V214" s="90" t="n">
        <x:f>IF(OR(U214="",U213=""),"",U214-U213)</x:f>
        <x:v>-0.011603779349739385</x:v>
      </x:c>
      <x:c r="W214" s="90" t="n">
        <x:f>IF('Datos_fuente'!T214="","",ASINH('Datos_fuente'!T214/1000))</x:f>
        <x:v>-1.0463680247783211</x:v>
      </x:c>
      <x:c r="X214" s="90" t="n">
        <x:f>IF(OR(W214="",W213=""),"",W214-W213)</x:f>
        <x:v>-0.0373465943318223</x:v>
      </x:c>
      <x:c r="Y214" s="55" t="n">
        <x:f>'Datos_fuente'!W214</x:f>
        <x:v>7.889321094</x:v>
      </x:c>
      <x:c r="Z214" s="55" t="n">
        <x:f>IF(OR(Y214="",Y213=""),"",Y214-Y213)</x:f>
        <x:v>-0.4664926730000012</x:v>
      </x:c>
      <x:c r="AA214" s="90" t="n">
        <x:f>'Datos_fuente'!AA214</x:f>
        <x:v>-0.6531090346</x:v>
      </x:c>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t="str">
        <x:f>'Datos_fuente'!A215</x:f>
        <x:v>2023-05</x:v>
      </x:c>
      <x:c r="B215" s="90" t="n">
        <x:f>IF('Datos_fuente'!B215="","",LN('Datos_fuente'!B215))</x:f>
        <x:v>8.420701901415796</x:v>
      </x:c>
      <x:c r="C215" s="90" t="n">
        <x:f>IF(OR(B215="",B214=""),"",B215-B214)</x:f>
        <x:v>-0.0005692763239384391</x:v>
      </x:c>
      <x:c r="D215" s="90" t="n">
        <x:f>IF('Datos_fuente'!C215="","",LN('Datos_fuente'!C215))</x:f>
        <x:v>4.323682223699637</x:v>
      </x:c>
      <x:c r="E215" s="90" t="n">
        <x:f>IF(OR(D215="",D214=""),"",D215-D214)</x:f>
        <x:v>-0.11470505293575783</x:v>
      </x:c>
      <x:c r="F215" s="90" t="n">
        <x:f>IF('Datos_fuente'!E215="","",LN('Datos_fuente'!E215))</x:f>
        <x:v>9.197978275152108</x:v>
      </x:c>
      <x:c r="G215" s="90" t="n">
        <x:f>IF(OR(F215="",F214=""),"",F215-F214)</x:f>
        <x:v>0.003660583481556401</x:v>
      </x:c>
      <x:c r="H215" s="55" t="n">
        <x:f>'Datos_fuente'!H215</x:f>
        <x:v>8.181935484</x:v>
      </x:c>
      <x:c r="I215" s="55" t="n">
        <x:f>IF(OR(H215="",H214=""),"",H215-H214)</x:f>
        <x:v>0.01193548400000033</x:v>
      </x:c>
      <x:c r="J215" s="55" t="n">
        <x:f>'Datos_fuente'!J215</x:f>
        <x:v>4.115965629</x:v>
      </x:c>
      <x:c r="K215" s="55" t="n">
        <x:f>IF(OR(J215="",J214=""),"",J215-J214)</x:f>
        <x:v>-0.20060652200000018</x:v>
      </x:c>
      <x:c r="L215" s="90" t="n">
        <x:f>IF('Datos_fuente'!K215="","",LN('Datos_fuente'!K215))</x:f>
        <x:v>4.784397414448943</x:v>
      </x:c>
      <x:c r="M215" s="90" t="n">
        <x:f>IF(OR(L215="",L214=""),"",L215-L214)</x:f>
        <x:v>0.003215998297540601</x:v>
      </x:c>
      <x:c r="N215" s="90" t="n">
        <x:f>IF('Datos_fuente'!L215="","",LN('Datos_fuente'!L215))</x:f>
        <x:v>2.8699471983068507</x:v>
      </x:c>
      <x:c r="O215" s="90" t="n">
        <x:f>IF(OR(N215="",N214=""),"",N215-N214)</x:f>
        <x:v>-0.010256076464891795</x:v>
      </x:c>
      <x:c r="P215" s="88" t="n">
        <x:f>'Datos_fuente'!N215</x:f>
        <x:v>0</x:v>
      </x:c>
      <x:c r="Q215" s="90" t="n">
        <x:f>IF('Datos_fuente'!O215="","",LN('Datos_fuente'!O215))</x:f>
        <x:v>10.963112100910672</x:v>
      </x:c>
      <x:c r="R215" s="90" t="n">
        <x:f>IF(OR(Q215="",Q214=""),"",Q215-Q214)</x:f>
        <x:v>-0.0054762849342147035</x:v>
      </x:c>
      <x:c r="S215" s="55" t="n">
        <x:f>'Datos_fuente'!R215</x:f>
        <x:v>7.796839827</x:v>
      </x:c>
      <x:c r="T215" s="55" t="n">
        <x:f>IF(OR(S215="",S214=""),"",S215-S214)</x:f>
        <x:v>-0.3648268400000001</x:v>
      </x:c>
      <x:c r="U215" s="90" t="n">
        <x:f>IF('Datos_fuente'!S215="","",ASINH('Datos_fuente'!S215/1000))</x:f>
        <x:v>0.1582585543297701</x:v>
      </x:c>
      <x:c r="V215" s="90" t="n">
        <x:f>IF(OR(U215="",U214=""),"",U215-U214)</x:f>
        <x:v>-0.019552987072951722</x:v>
      </x:c>
      <x:c r="W215" s="90" t="n">
        <x:f>IF('Datos_fuente'!T215="","",ASINH('Datos_fuente'!T215/1000))</x:f>
        <x:v>-1.437154499696323</x:v>
      </x:c>
      <x:c r="X215" s="90" t="n">
        <x:f>IF(OR(W215="",W214=""),"",W215-W214)</x:f>
        <x:v>-0.3907864749180019</x:v>
      </x:c>
      <x:c r="Y215" s="55" t="n">
        <x:f>'Datos_fuente'!W215</x:f>
        <x:v>8.31970328</x:v>
      </x:c>
      <x:c r="Z215" s="55" t="n">
        <x:f>IF(OR(Y215="",Y214=""),"",Y215-Y214)</x:f>
        <x:v>0.430382186000001</x:v>
      </x:c>
      <x:c r="AA215" s="90" t="n">
        <x:f>'Datos_fuente'!AA215</x:f>
        <x:v>-0.5011104434</x:v>
      </x:c>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t="str">
        <x:f>'Datos_fuente'!A216</x:f>
        <x:v>2023-06</x:v>
      </x:c>
      <x:c r="B216" s="90" t="n">
        <x:f>IF('Datos_fuente'!B216="","",LN('Datos_fuente'!B216))</x:f>
        <x:v>8.345044039825018</x:v>
      </x:c>
      <x:c r="C216" s="90" t="n">
        <x:f>IF(OR(B216="",B215=""),"",B216-B215)</x:f>
        <x:v>-0.07565786159077881</x:v>
      </x:c>
      <x:c r="D216" s="90" t="n">
        <x:f>IF('Datos_fuente'!C216="","",LN('Datos_fuente'!C216))</x:f>
        <x:v>4.315340354218269</x:v>
      </x:c>
      <x:c r="E216" s="90" t="n">
        <x:f>IF(OR(D216="",D215=""),"",D216-D215)</x:f>
        <x:v>-0.008341869481368391</x:v>
      </x:c>
      <x:c r="F216" s="90" t="n">
        <x:f>IF('Datos_fuente'!E216="","",LN('Datos_fuente'!E216))</x:f>
        <x:v>9.194112407951472</x:v>
      </x:c>
      <x:c r="G216" s="90" t="n">
        <x:f>IF(OR(F216="",F215=""),"",F216-F215)</x:f>
        <x:v>-0.003865867200635975</x:v>
      </x:c>
      <x:c r="H216" s="55" t="n">
        <x:f>'Datos_fuente'!H216</x:f>
        <x:v>8.17</x:v>
      </x:c>
      <x:c r="I216" s="55" t="n">
        <x:f>IF(OR(H216="",H215=""),"",H216-H215)</x:f>
        <x:v>-0.01193548400000033</x:v>
      </x:c>
      <x:c r="J216" s="55" t="n">
        <x:f>'Datos_fuente'!J216</x:f>
        <x:v>3.64486113</x:v>
      </x:c>
      <x:c r="K216" s="55" t="n">
        <x:f>IF(OR(J216="",J215=""),"",J216-J215)</x:f>
        <x:v>-0.47110449899999995</x:v>
      </x:c>
      <x:c r="L216" s="90" t="n">
        <x:f>IF('Datos_fuente'!K216="","",LN('Datos_fuente'!K216))</x:f>
        <x:v>4.781615783094422</x:v>
      </x:c>
      <x:c r="M216" s="90" t="n">
        <x:f>IF(OR(L216="",L215=""),"",L216-L215)</x:f>
        <x:v>-0.0027816313545212523</x:v>
      </x:c>
      <x:c r="N216" s="90" t="n">
        <x:f>IF('Datos_fuente'!L216="","",LN('Datos_fuente'!L216))</x:f>
        <x:v>2.639284576649838</x:v>
      </x:c>
      <x:c r="O216" s="90" t="n">
        <x:f>IF(OR(N216="",N215=""),"",N216-N215)</x:f>
        <x:v>-0.23066262165701268</x:v>
      </x:c>
      <x:c r="P216" s="88" t="n">
        <x:f>'Datos_fuente'!N216</x:f>
        <x:v>0</x:v>
      </x:c>
      <x:c r="Q216" s="90" t="n">
        <x:f>IF('Datos_fuente'!O216="","",LN('Datos_fuente'!O216))</x:f>
        <x:v>10.965414591046365</x:v>
      </x:c>
      <x:c r="R216" s="90" t="n">
        <x:f>IF(OR(Q216="",Q215=""),"",Q216-Q215)</x:f>
        <x:v>0.002302490135692281</x:v>
      </x:c>
      <x:c r="S216" s="55" t="n">
        <x:f>'Datos_fuente'!R216</x:f>
        <x:v>6.854404762</x:v>
      </x:c>
      <x:c r="T216" s="55" t="n">
        <x:f>IF(OR(S216="",S215=""),"",S216-S215)</x:f>
        <x:v>-0.9424350650000006</x:v>
      </x:c>
      <x:c r="U216" s="90" t="n">
        <x:f>IF('Datos_fuente'!S216="","",ASINH('Datos_fuente'!S216/1000))</x:f>
        <x:v>0.1478309618556291</x:v>
      </x:c>
      <x:c r="V216" s="90" t="n">
        <x:f>IF(OR(U216="",U215=""),"",U216-U215)</x:f>
        <x:v>-0.01042759247414099</x:v>
      </x:c>
      <x:c r="W216" s="90" t="n">
        <x:f>IF('Datos_fuente'!T216="","",ASINH('Datos_fuente'!T216/1000))</x:f>
        <x:v>-1.1888466785358505</x:v>
      </x:c>
      <x:c r="X216" s="90" t="n">
        <x:f>IF(OR(W216="",W215=""),"",W216-W215)</x:f>
        <x:v>0.24830782116047256</x:v>
      </x:c>
      <x:c r="Y216" s="55" t="n">
        <x:f>'Datos_fuente'!W216</x:f>
        <x:v>9.15889208</x:v>
      </x:c>
      <x:c r="Z216" s="55" t="n">
        <x:f>IF(OR(Y216="",Y215=""),"",Y216-Y215)</x:f>
        <x:v>0.8391887999999987</x:v>
      </x:c>
      <x:c r="AA216" s="90" t="n">
        <x:f>'Datos_fuente'!AA216</x:f>
        <x:v>-0.6834579742</x:v>
      </x:c>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t="str">
        <x:f>'Datos_fuente'!A217</x:f>
        <x:v>2023-07</x:v>
      </x:c>
      <x:c r="B217" s="90" t="n">
        <x:f>IF('Datos_fuente'!B217="","",LN('Datos_fuente'!B217))</x:f>
        <x:v>8.311209943257968</x:v>
      </x:c>
      <x:c r="C217" s="90" t="n">
        <x:f>IF(OR(B217="",B216=""),"",B217-B216)</x:f>
        <x:v>-0.033834096567050054</x:v>
      </x:c>
      <x:c r="D217" s="90" t="n">
        <x:f>IF('Datos_fuente'!C217="","",LN('Datos_fuente'!C217))</x:f>
        <x:v>4.383376913137462</x:v>
      </x:c>
      <x:c r="E217" s="90" t="n">
        <x:f>IF(OR(D217="",D216=""),"",D217-D216)</x:f>
        <x:v>0.06803655891919291</x:v>
      </x:c>
      <x:c r="F217" s="90" t="n">
        <x:f>IF('Datos_fuente'!E217="","",LN('Datos_fuente'!E217))</x:f>
        <x:v>9.181034107844205</x:v>
      </x:c>
      <x:c r="G217" s="90" t="n">
        <x:f>IF(OR(F217="",F216=""),"",F217-F216)</x:f>
        <x:v>-0.013078300107267182</x:v>
      </x:c>
      <x:c r="H217" s="55" t="n">
        <x:f>'Datos_fuente'!H217</x:f>
        <x:v>8.13</x:v>
      </x:c>
      <x:c r="I217" s="55" t="n">
        <x:f>IF(OR(H217="",H216=""),"",H217-H216)</x:f>
        <x:v>-0.03999999999999915</x:v>
      </x:c>
      <x:c r="J217" s="55" t="n">
        <x:f>'Datos_fuente'!J217</x:f>
        <x:v>3.279629586</x:v>
      </x:c>
      <x:c r="K217" s="55" t="n">
        <x:f>IF(OR(J217="",J216=""),"",J217-J216)</x:f>
        <x:v>-0.3652315439999998</x:v>
      </x:c>
      <x:c r="L217" s="90" t="n">
        <x:f>IF('Datos_fuente'!K217="","",LN('Datos_fuente'!K217))</x:f>
        <x:v>4.77110119023247</x:v>
      </x:c>
      <x:c r="M217" s="90" t="n">
        <x:f>IF(OR(L217="",L216=""),"",L217-L216)</x:f>
        <x:v>-0.01051459286195211</x:v>
      </x:c>
      <x:c r="N217" s="90" t="n">
        <x:f>IF('Datos_fuente'!L217="","",LN('Datos_fuente'!L217))</x:f>
        <x:v>2.6342156956556235</x:v>
      </x:c>
      <x:c r="O217" s="90" t="n">
        <x:f>IF(OR(N217="",N216=""),"",N217-N216)</x:f>
        <x:v>-0.005068880994214542</x:v>
      </x:c>
      <x:c r="P217" s="88" t="n">
        <x:f>'Datos_fuente'!N217</x:f>
        <x:v>0</x:v>
      </x:c>
      <x:c r="Q217" s="90" t="n">
        <x:f>IF('Datos_fuente'!O217="","",LN('Datos_fuente'!O217))</x:f>
        <x:v>10.970126257389754</x:v>
      </x:c>
      <x:c r="R217" s="90" t="n">
        <x:f>IF(OR(Q217="",Q216=""),"",Q217-Q216)</x:f>
        <x:v>0.004711666343389709</x:v>
      </x:c>
      <x:c r="S217" s="55" t="n">
        <x:f>'Datos_fuente'!R217</x:f>
        <x:v>6.229973684</x:v>
      </x:c>
      <x:c r="T217" s="55" t="n">
        <x:f>IF(OR(S217="",S216=""),"",S217-S216)</x:f>
        <x:v>-0.6244310779999998</x:v>
      </x:c>
      <x:c r="U217" s="90" t="n">
        <x:f>IF('Datos_fuente'!S217="","",ASINH('Datos_fuente'!S217/1000))</x:f>
        <x:v>0.08360257744357871</x:v>
      </x:c>
      <x:c r="V217" s="90" t="n">
        <x:f>IF(OR(U217="",U216=""),"",U217-U216)</x:f>
        <x:v>-0.0642283844120504</x:v>
      </x:c>
      <x:c r="W217" s="90" t="n">
        <x:f>IF('Datos_fuente'!T217="","",ASINH('Datos_fuente'!T217/1000))</x:f>
        <x:v>-1.1423336145125407</x:v>
      </x:c>
      <x:c r="X217" s="90" t="n">
        <x:f>IF(OR(W217="",W216=""),"",W217-W216)</x:f>
        <x:v>0.04651306402330979</x:v>
      </x:c>
      <x:c r="Y217" s="55" t="n">
        <x:f>'Datos_fuente'!W217</x:f>
        <x:v>8.612358676</x:v>
      </x:c>
      <x:c r="Z217" s="55" t="n">
        <x:f>IF(OR(Y217="",Y216=""),"",Y217-Y216)</x:f>
        <x:v>-0.5465334039999998</x:v>
      </x:c>
      <x:c r="AA217" s="90" t="n">
        <x:f>'Datos_fuente'!AA217</x:f>
        <x:v>-0.202625797</x:v>
      </x:c>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t="str">
        <x:f>'Datos_fuente'!A218</x:f>
        <x:v>2023-08</x:v>
      </x:c>
      <x:c r="B218" s="90" t="n">
        <x:f>IF('Datos_fuente'!B218="","",LN('Datos_fuente'!B218))</x:f>
        <x:v>8.311576434801726</x:v>
      </x:c>
      <x:c r="C218" s="90" t="n">
        <x:f>IF(OR(B218="",B217=""),"",B218-B217)</x:f>
        <x:v>0.00036649154375822945</x:v>
      </x:c>
      <x:c r="D218" s="90" t="n">
        <x:f>IF('Datos_fuente'!C218="","",LN('Datos_fuente'!C218))</x:f>
        <x:v>4.45606358154644</x:v>
      </x:c>
      <x:c r="E218" s="90" t="n">
        <x:f>IF(OR(D218="",D217=""),"",D218-D217)</x:f>
        <x:v>0.07268666840897797</x:v>
      </x:c>
      <x:c r="F218" s="90" t="n">
        <x:f>IF('Datos_fuente'!E218="","",LN('Datos_fuente'!E218))</x:f>
        <x:v>9.19314436449289</x:v>
      </x:c>
      <x:c r="G218" s="90" t="n">
        <x:f>IF(OR(F218="",F217=""),"",F218-F217)</x:f>
        <x:v>0.01211025664868437</x:v>
      </x:c>
      <x:c r="H218" s="55" t="n">
        <x:f>'Datos_fuente'!H218</x:f>
        <x:v>7.92</x:v>
      </x:c>
      <x:c r="I218" s="55" t="n">
        <x:f>IF(OR(H218="",H217=""),"",H218-H217)</x:f>
        <x:v>-0.21000000000000085</x:v>
      </x:c>
      <x:c r="J218" s="55" t="n">
        <x:f>'Datos_fuente'!J218</x:f>
        <x:v>2.984836461</x:v>
      </x:c>
      <x:c r="K218" s="55" t="n">
        <x:f>IF(OR(J218="",J217=""),"",J218-J217)</x:f>
        <x:v>-0.294793125</x:v>
      </x:c>
      <x:c r="L218" s="90" t="n">
        <x:f>IF('Datos_fuente'!K218="","",LN('Datos_fuente'!K218))</x:f>
        <x:v>4.786293924016829</x:v>
      </x:c>
      <x:c r="M218" s="90" t="n">
        <x:f>IF(OR(L218="",L217=""),"",L218-L217)</x:f>
        <x:v>0.015192733784359369</x:v>
      </x:c>
      <x:c r="N218" s="90" t="n">
        <x:f>IF('Datos_fuente'!L218="","",LN('Datos_fuente'!L218))</x:f>
        <x:v>2.76341634934883</x:v>
      </x:c>
      <x:c r="O218" s="90" t="n">
        <x:f>IF(OR(N218="",N217=""),"",N218-N217)</x:f>
        <x:v>0.12920065369320666</x:v>
      </x:c>
      <x:c r="P218" s="88" t="n">
        <x:f>'Datos_fuente'!N218</x:f>
        <x:v>0</x:v>
      </x:c>
      <x:c r="Q218" s="90" t="n">
        <x:f>IF('Datos_fuente'!O218="","",LN('Datos_fuente'!O218))</x:f>
        <x:v>10.96724231548957</x:v>
      </x:c>
      <x:c r="R218" s="90" t="n">
        <x:f>IF(OR(Q218="",Q217=""),"",Q218-Q217)</x:f>
        <x:v>-0.0028839419001851496</x:v>
      </x:c>
      <x:c r="S218" s="55" t="n">
        <x:f>'Datos_fuente'!R218</x:f>
        <x:v>6.463602484</x:v>
      </x:c>
      <x:c r="T218" s="55" t="n">
        <x:f>IF(OR(S218="",S217=""),"",S218-S217)</x:f>
        <x:v>0.23362879999999997</x:v>
      </x:c>
      <x:c r="U218" s="90" t="n">
        <x:f>IF('Datos_fuente'!S218="","",ASINH('Datos_fuente'!S218/1000))</x:f>
        <x:v>0.08605375243404717</x:v>
      </x:c>
      <x:c r="V218" s="90" t="n">
        <x:f>IF(OR(U218="",U217=""),"",U218-U217)</x:f>
        <x:v>0.0024511749904684577</x:v>
      </x:c>
      <x:c r="W218" s="90" t="n">
        <x:f>IF('Datos_fuente'!T218="","",ASINH('Datos_fuente'!T218/1000))</x:f>
        <x:v>-1.4886043951996675</x:v>
      </x:c>
      <x:c r="X218" s="90" t="n">
        <x:f>IF(OR(W218="",W217=""),"",W218-W217)</x:f>
        <x:v>-0.3462707806871268</x:v>
      </x:c>
      <x:c r="Y218" s="55" t="n">
        <x:f>'Datos_fuente'!W218</x:f>
        <x:v>7.766986381</x:v>
      </x:c>
      <x:c r="Z218" s="55" t="n">
        <x:f>IF(OR(Y218="",Y217=""),"",Y218-Y217)</x:f>
        <x:v>-0.8453722949999998</x:v>
      </x:c>
      <x:c r="AA218" s="90" t="n">
        <x:f>'Datos_fuente'!AA218</x:f>
        <x:v>0.7637915181</x:v>
      </x:c>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t="str">
        <x:f>'Datos_fuente'!A219</x:f>
        <x:v>2023-09</x:v>
      </x:c>
      <x:c r="B219" s="90" t="n">
        <x:f>IF('Datos_fuente'!B219="","",LN('Datos_fuente'!B219))</x:f>
        <x:v>8.295179168694357</x:v>
      </x:c>
      <x:c r="C219" s="90" t="n">
        <x:f>IF(OR(B219="",B218=""),"",B219-B218)</x:f>
        <x:v>-0.01639726610736858</x:v>
      </x:c>
      <x:c r="D219" s="90" t="n">
        <x:f>IF('Datos_fuente'!C219="","",LN('Datos_fuente'!C219))</x:f>
        <x:v>4.540337018246473</x:v>
      </x:c>
      <x:c r="E219" s="90" t="n">
        <x:f>IF(OR(D219="",D218=""),"",D219-D218)</x:f>
        <x:v>0.08427343670003307</x:v>
      </x:c>
      <x:c r="F219" s="90" t="n">
        <x:f>IF('Datos_fuente'!E219="","",LN('Datos_fuente'!E219))</x:f>
        <x:v>9.206335362622301</x:v>
      </x:c>
      <x:c r="G219" s="90" t="n">
        <x:f>IF(OR(F219="",F218=""),"",F219-F218)</x:f>
        <x:v>0.013190998129411824</x:v>
      </x:c>
      <x:c r="H219" s="55" t="n">
        <x:f>'Datos_fuente'!H219</x:f>
        <x:v>7.92</x:v>
      </x:c>
      <x:c r="I219" s="55" t="n">
        <x:f>IF(OR(H219="",H218=""),"",H219-H218)</x:f>
        <x:v>0</x:v>
      </x:c>
      <x:c r="J219" s="55" t="n">
        <x:f>'Datos_fuente'!J219</x:f>
        <x:v>3.31314259</x:v>
      </x:c>
      <x:c r="K219" s="55" t="n">
        <x:f>IF(OR(J219="",J218=""),"",J219-J218)</x:f>
        <x:v>0.328306129</x:v>
      </x:c>
      <x:c r="L219" s="90" t="n">
        <x:f>IF('Datos_fuente'!K219="","",LN('Datos_fuente'!K219))</x:f>
        <x:v>4.801111323794871</x:v>
      </x:c>
      <x:c r="M219" s="90" t="n">
        <x:f>IF(OR(L219="",L218=""),"",L219-L218)</x:f>
        <x:v>0.01481739977804164</x:v>
      </x:c>
      <x:c r="N219" s="90" t="n">
        <x:f>IF('Datos_fuente'!L219="","",LN('Datos_fuente'!L219))</x:f>
        <x:v>2.7195395009302823</x:v>
      </x:c>
      <x:c r="O219" s="90" t="n">
        <x:f>IF(OR(N219="",N218=""),"",N219-N218)</x:f>
        <x:v>-0.04387684841854789</x:v>
      </x:c>
      <x:c r="P219" s="88" t="n">
        <x:f>'Datos_fuente'!N219</x:f>
        <x:v>0</x:v>
      </x:c>
      <x:c r="Q219" s="90" t="n">
        <x:f>IF('Datos_fuente'!O219="","",LN('Datos_fuente'!O219))</x:f>
        <x:v>10.960690695177602</x:v>
      </x:c>
      <x:c r="R219" s="90" t="n">
        <x:f>IF(OR(Q219="",Q218=""),"",Q219-Q218)</x:f>
        <x:v>-0.006551620311967099</x:v>
      </x:c>
      <x:c r="S219" s="55" t="n">
        <x:f>'Datos_fuente'!R219</x:f>
        <x:v>6.815285714</x:v>
      </x:c>
      <x:c r="T219" s="55" t="n">
        <x:f>IF(OR(S219="",S218=""),"",S219-S218)</x:f>
        <x:v>0.3516832299999999</x:v>
      </x:c>
      <x:c r="U219" s="90" t="n">
        <x:f>IF('Datos_fuente'!S219="","",ASINH('Datos_fuente'!S219/1000))</x:f>
        <x:v>0.05003911511998218</x:v>
      </x:c>
      <x:c r="V219" s="90" t="n">
        <x:f>IF(OR(U219="",U218=""),"",U219-U218)</x:f>
        <x:v>-0.03601463731406499</x:v>
      </x:c>
      <x:c r="W219" s="90" t="n">
        <x:f>IF('Datos_fuente'!T219="","",ASINH('Datos_fuente'!T219/1000))</x:f>
        <x:v>-1.4495498494762886</x:v>
      </x:c>
      <x:c r="X219" s="90" t="n">
        <x:f>IF(OR(W219="",W218=""),"",W219-W218)</x:f>
        <x:v>0.03905454572337885</x:v>
      </x:c>
      <x:c r="Y219" s="55" t="n">
        <x:f>'Datos_fuente'!W219</x:f>
        <x:v>7.29271809</x:v>
      </x:c>
      <x:c r="Z219" s="55" t="n">
        <x:f>IF(OR(Y219="",Y218=""),"",Y219-Y218)</x:f>
        <x:v>-0.47426829099999956</x:v>
      </x:c>
      <x:c r="AA219" s="90" t="n">
        <x:f>'Datos_fuente'!AA219</x:f>
        <x:v>0.6182965181</x:v>
      </x:c>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t="str">
        <x:f>'Datos_fuente'!A220</x:f>
        <x:v>2023-10</x:v>
      </x:c>
      <x:c r="B220" s="90" t="n">
        <x:f>IF('Datos_fuente'!B220="","",LN('Datos_fuente'!B220))</x:f>
        <x:v>8.348166834702564</x:v>
      </x:c>
      <x:c r="C220" s="90" t="n">
        <x:f>IF(OR(B220="",B219=""),"",B220-B219)</x:f>
        <x:v>0.0529876660082067</x:v>
      </x:c>
      <x:c r="D220" s="90" t="n">
        <x:f>IF('Datos_fuente'!C220="","",LN('Datos_fuente'!C220))</x:f>
        <x:v>4.506409058497473</x:v>
      </x:c>
      <x:c r="E220" s="90" t="n">
        <x:f>IF(OR(D220="",D219=""),"",D220-D219)</x:f>
        <x:v>-0.03392795974899965</x:v>
      </x:c>
      <x:c r="F220" s="90" t="n">
        <x:f>IF('Datos_fuente'!E220="","",LN('Datos_fuente'!E220))</x:f>
        <x:v>9.205472543299276</x:v>
      </x:c>
      <x:c r="G220" s="90" t="n">
        <x:f>IF(OR(F220="",F219=""),"",F220-F219)</x:f>
        <x:v>-0.0008628193230251213</x:v>
      </x:c>
      <x:c r="H220" s="55" t="n">
        <x:f>'Datos_fuente'!H220</x:f>
        <x:v>7.92</x:v>
      </x:c>
      <x:c r="I220" s="55" t="n">
        <x:f>IF(OR(H220="",H219=""),"",H220-H219)</x:f>
        <x:v>0</x:v>
      </x:c>
      <x:c r="J220" s="55" t="n">
        <x:f>'Datos_fuente'!J220</x:f>
        <x:v>3.673593161</x:v>
      </x:c>
      <x:c r="K220" s="55" t="n">
        <x:f>IF(OR(J220="",J219=""),"",J220-J219)</x:f>
        <x:v>0.3604505709999999</x:v>
      </x:c>
      <x:c r="L220" s="90" t="n">
        <x:f>IF('Datos_fuente'!K220="","",LN('Datos_fuente'!K220))</x:f>
        <x:v>4.816218059445032</x:v>
      </x:c>
      <x:c r="M220" s="90" t="n">
        <x:f>IF(OR(L220="",L219=""),"",L220-L219)</x:f>
        <x:v>0.015106735650161518</x:v>
      </x:c>
      <x:c r="N220" s="90" t="n">
        <x:f>IF('Datos_fuente'!L220="","",LN('Datos_fuente'!L220))</x:f>
        <x:v>2.9385123603524073</x:v>
      </x:c>
      <x:c r="O220" s="90" t="n">
        <x:f>IF(OR(N220="",N219=""),"",N220-N219)</x:f>
        <x:v>0.21897285942212497</x:v>
      </x:c>
      <x:c r="P220" s="88" t="n">
        <x:f>'Datos_fuente'!N220</x:f>
        <x:v>0</x:v>
      </x:c>
      <x:c r="Q220" s="90" t="n">
        <x:f>IF('Datos_fuente'!O220="","",LN('Datos_fuente'!O220))</x:f>
        <x:v>10.9586208477643</x:v>
      </x:c>
      <x:c r="R220" s="90" t="n">
        <x:f>IF(OR(Q220="",Q219=""),"",Q220-Q219)</x:f>
        <x:v>-0.002069847413302739</x:v>
      </x:c>
      <x:c r="S220" s="55" t="n">
        <x:f>'Datos_fuente'!R220</x:f>
        <x:v>7.121428571</x:v>
      </x:c>
      <x:c r="T220" s="55" t="n">
        <x:f>IF(OR(S220="",S219=""),"",S220-S219)</x:f>
        <x:v>0.3061428570000002</x:v>
      </x:c>
      <x:c r="U220" s="90" t="n">
        <x:f>IF('Datos_fuente'!S220="","",ASINH('Datos_fuente'!S220/1000))</x:f>
        <x:v>0.23937732764696273</x:v>
      </x:c>
      <x:c r="V220" s="90" t="n">
        <x:f>IF(OR(U220="",U219=""),"",U220-U219)</x:f>
        <x:v>0.18933821252698055</x:v>
      </x:c>
      <x:c r="W220" s="90" t="n">
        <x:f>IF('Datos_fuente'!T220="","",ASINH('Datos_fuente'!T220/1000))</x:f>
        <x:v>-1.60323945009904</x:v>
      </x:c>
      <x:c r="X220" s="90" t="n">
        <x:f>IF(OR(W220="",W219=""),"",W220-W219)</x:f>
        <x:v>-0.15368960062275128</x:v>
      </x:c>
      <x:c r="Y220" s="55" t="n">
        <x:f>'Datos_fuente'!W220</x:f>
        <x:v>7.235739811</x:v>
      </x:c>
      <x:c r="Z220" s="55" t="n">
        <x:f>IF(OR(Y220="",Y219=""),"",Y220-Y219)</x:f>
        <x:v>-0.056978278999999965</x:v>
      </x:c>
      <x:c r="AA220" s="90" t="n">
        <x:f>'Datos_fuente'!AA220</x:f>
        <x:v>1.15661039</x:v>
      </x:c>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t="str">
        <x:f>'Datos_fuente'!A221</x:f>
        <x:v>2023-11</x:v>
      </x:c>
      <x:c r="B221" s="90" t="n">
        <x:f>IF('Datos_fuente'!B221="","",LN('Datos_fuente'!B221))</x:f>
        <x:v>8.303704052670748</x:v>
      </x:c>
      <x:c r="C221" s="90" t="n">
        <x:f>IF(OR(B221="",B220=""),"",B221-B220)</x:f>
        <x:v>-0.04446278203181642</x:v>
      </x:c>
      <x:c r="D221" s="90" t="n">
        <x:f>IF('Datos_fuente'!C221="","",LN('Datos_fuente'!C221))</x:f>
        <x:v>4.418117454818235</x:v>
      </x:c>
      <x:c r="E221" s="90" t="n">
        <x:f>IF(OR(D221="",D220=""),"",D221-D220)</x:f>
        <x:v>-0.08829160367923805</x:v>
      </x:c>
      <x:c r="F221" s="90" t="n">
        <x:f>IF('Datos_fuente'!E221="","",LN('Datos_fuente'!E221))</x:f>
        <x:v>9.212912062344001</x:v>
      </x:c>
      <x:c r="G221" s="90" t="n">
        <x:f>IF(OR(F221="",F220=""),"",F221-F220)</x:f>
        <x:v>0.0074395190447251736</x:v>
      </x:c>
      <x:c r="H221" s="55" t="n">
        <x:f>'Datos_fuente'!H221</x:f>
        <x:v>7.92</x:v>
      </x:c>
      <x:c r="I221" s="55" t="n">
        <x:f>IF(OR(H221="",H220=""),"",H221-H220)</x:f>
        <x:v>0</x:v>
      </x:c>
      <x:c r="J221" s="55" t="n">
        <x:f>'Datos_fuente'!J221</x:f>
        <x:v>4.149544635</x:v>
      </x:c>
      <x:c r="K221" s="55" t="n">
        <x:f>IF(OR(J221="",J220=""),"",J221-J220)</x:f>
        <x:v>0.47595147399999993</x:v>
      </x:c>
      <x:c r="L221" s="90" t="n">
        <x:f>IF('Datos_fuente'!K221="","",LN('Datos_fuente'!K221))</x:f>
        <x:v>4.797624565233434</x:v>
      </x:c>
      <x:c r="M221" s="90" t="n">
        <x:f>IF(OR(L221="",L220=""),"",L221-L220)</x:f>
        <x:v>-0.01859349421159795</x:v>
      </x:c>
      <x:c r="N221" s="90" t="n">
        <x:f>IF('Datos_fuente'!L221="","",LN('Datos_fuente'!L221))</x:f>
        <x:v>2.640420037136041</x:v>
      </x:c>
      <x:c r="O221" s="90" t="n">
        <x:f>IF(OR(N221="",N220=""),"",N221-N220)</x:f>
        <x:v>-0.29809232321636614</x:v>
      </x:c>
      <x:c r="P221" s="88" t="n">
        <x:f>'Datos_fuente'!N221</x:f>
        <x:v>0</x:v>
      </x:c>
      <x:c r="Q221" s="90" t="n">
        <x:f>IF('Datos_fuente'!O221="","",LN('Datos_fuente'!O221))</x:f>
        <x:v>10.97835805560125</x:v>
      </x:c>
      <x:c r="R221" s="90" t="n">
        <x:f>IF(OR(Q221="",Q220=""),"",Q221-Q220)</x:f>
        <x:v>0.019737207836950432</x:v>
      </x:c>
      <x:c r="S221" s="55" t="n">
        <x:f>'Datos_fuente'!R221</x:f>
        <x:v>6.342142857</x:v>
      </x:c>
      <x:c r="T221" s="55" t="n">
        <x:f>IF(OR(S221="",S220=""),"",S221-S220)</x:f>
        <x:v>-0.7792857140000002</x:v>
      </x:c>
      <x:c r="U221" s="90" t="n">
        <x:f>IF('Datos_fuente'!S221="","",ASINH('Datos_fuente'!S221/1000))</x:f>
        <x:v>0.1576067007521118</x:v>
      </x:c>
      <x:c r="V221" s="90" t="n">
        <x:f>IF(OR(U221="",U220=""),"",U221-U220)</x:f>
        <x:v>-0.08177062689485093</x:v>
      </x:c>
      <x:c r="W221" s="90" t="n">
        <x:f>IF('Datos_fuente'!T221="","",ASINH('Datos_fuente'!T221/1000))</x:f>
        <x:v>-0.39663793051781604</x:v>
      </x:c>
      <x:c r="X221" s="90" t="n">
        <x:f>IF(OR(W221="",W220=""),"",W221-W220)</x:f>
        <x:v>1.2066015195812239</x:v>
      </x:c>
      <x:c r="Y221" s="55" t="n">
        <x:f>'Datos_fuente'!W221</x:f>
        <x:v>7.010567954</x:v>
      </x:c>
      <x:c r="Z221" s="55" t="n">
        <x:f>IF(OR(Y221="",Y220=""),"",Y221-Y220)</x:f>
        <x:v>-0.2251718570000003</x:v>
      </x:c>
      <x:c r="AA221" s="90" t="n">
        <x:f>'Datos_fuente'!AA221</x:f>
        <x:v>-1.393411098</x:v>
      </x:c>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t="str">
        <x:f>'Datos_fuente'!A222</x:f>
        <x:v>2023-12</x:v>
      </x:c>
      <x:c r="B222" s="90" t="n">
        <x:f>IF('Datos_fuente'!B222="","",LN('Datos_fuente'!B222))</x:f>
        <x:v>8.28101677354865</x:v>
      </x:c>
      <x:c r="C222" s="90" t="n">
        <x:f>IF(OR(B222="",B221=""),"",B222-B221)</x:f>
        <x:v>-0.022687279122097337</x:v>
      </x:c>
      <x:c r="D222" s="90" t="n">
        <x:f>IF('Datos_fuente'!C222="","",LN('Datos_fuente'!C222))</x:f>
        <x:v>4.351967509903142</x:v>
      </x:c>
      <x:c r="E222" s="90" t="n">
        <x:f>IF(OR(D222="",D221=""),"",D222-D221)</x:f>
        <x:v>-0.06614994491509307</x:v>
      </x:c>
      <x:c r="F222" s="90" t="n">
        <x:f>IF('Datos_fuente'!E222="","",LN('Datos_fuente'!E222))</x:f>
        <x:v>9.21940714428961</x:v>
      </x:c>
      <x:c r="G222" s="90" t="n">
        <x:f>IF(OR(F222="",F221=""),"",F222-F221)</x:f>
        <x:v>0.006495081945608661</x:v>
      </x:c>
      <x:c r="H222" s="55" t="n">
        <x:f>'Datos_fuente'!H222</x:f>
        <x:v>7.823225806</x:v>
      </x:c>
      <x:c r="I222" s="55" t="n">
        <x:f>IF(OR(H222="",H221=""),"",H222-H221)</x:f>
        <x:v>-0.09677419399999998</x:v>
      </x:c>
      <x:c r="J222" s="55" t="n">
        <x:f>'Datos_fuente'!J222</x:f>
        <x:v>4.216018904</x:v>
      </x:c>
      <x:c r="K222" s="55" t="n">
        <x:f>IF(OR(J222="",J221=""),"",J222-J221)</x:f>
        <x:v>0.06647426900000042</x:v>
      </x:c>
      <x:c r="L222" s="90" t="n">
        <x:f>IF('Datos_fuente'!K222="","",LN('Datos_fuente'!K222))</x:f>
        <x:v>4.7861002751398125</x:v>
      </x:c>
      <x:c r="M222" s="90" t="n">
        <x:f>IF(OR(L222="",L221=""),"",L222-L221)</x:f>
        <x:v>-0.011524290093621659</x:v>
      </x:c>
      <x:c r="N222" s="90" t="n">
        <x:f>IF('Datos_fuente'!L222="","",LN('Datos_fuente'!L222))</x:f>
        <x:v>2.54305762643003</x:v>
      </x:c>
      <x:c r="O222" s="90" t="n">
        <x:f>IF(OR(N222="",N221=""),"",N222-N221)</x:f>
        <x:v>-0.09736241070601093</x:v>
      </x:c>
      <x:c r="P222" s="88" t="n">
        <x:f>'Datos_fuente'!N222</x:f>
        <x:v>0</x:v>
      </x:c>
      <x:c r="Q222" s="90" t="n">
        <x:f>IF('Datos_fuente'!O222="","",LN('Datos_fuente'!O222))</x:f>
        <x:v>10.99555044062608</x:v>
      </x:c>
      <x:c r="R222" s="90" t="n">
        <x:f>IF(OR(Q222="",Q221=""),"",Q222-Q221)</x:f>
        <x:v>0.01719238502482945</x:v>
      </x:c>
      <x:c r="S222" s="55" t="n">
        <x:f>'Datos_fuente'!R222</x:f>
        <x:v>6.376111111</x:v>
      </x:c>
      <x:c r="T222" s="55" t="n">
        <x:f>IF(OR(S222="",S221=""),"",S222-S221)</x:f>
        <x:v>0.033968254000000364</x:v>
      </x:c>
      <x:c r="U222" s="90" t="n">
        <x:f>IF('Datos_fuente'!S222="","",ASINH('Datos_fuente'!S222/1000))</x:f>
        <x:v>0.08116086837170462</x:v>
      </x:c>
      <x:c r="V222" s="90" t="n">
        <x:f>IF(OR(U222="",U221=""),"",U222-U221)</x:f>
        <x:v>-0.07644583238040718</x:v>
      </x:c>
      <x:c r="W222" s="90" t="n">
        <x:f>IF('Datos_fuente'!T222="","",ASINH('Datos_fuente'!T222/1000))</x:f>
        <x:v>-0.6780796401784459</x:v>
      </x:c>
      <x:c r="X222" s="90" t="n">
        <x:f>IF(OR(W222="",W221=""),"",W222-W221)</x:f>
        <x:v>-0.28144170966062987</x:v>
      </x:c>
      <x:c r="Y222" s="55" t="n">
        <x:f>'Datos_fuente'!W222</x:f>
        <x:v>5.923446477</x:v>
      </x:c>
      <x:c r="Z222" s="55" t="n">
        <x:f>IF(OR(Y222="",Y221=""),"",Y222-Y221)</x:f>
        <x:v>-1.0871214770000002</x:v>
      </x:c>
      <x:c r="AA222" s="90" t="n">
        <x:f>'Datos_fuente'!AA222</x:f>
        <x:v>-0.3922472592</x:v>
      </x:c>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t="str">
        <x:f>'Datos_fuente'!A223</x:f>
        <x:v>2024-01</x:v>
      </x:c>
      <x:c r="B223" s="90" t="n">
        <x:f>IF('Datos_fuente'!B223="","",LN('Datos_fuente'!B223))</x:f>
        <x:v>8.27262136320327</x:v>
      </x:c>
      <x:c r="C223" s="90" t="n">
        <x:f>IF(OR(B223="",B222=""),"",B223-B222)</x:f>
        <x:v>-0.008395410345380938</x:v>
      </x:c>
      <x:c r="D223" s="90" t="n">
        <x:f>IF('Datos_fuente'!C223="","",LN('Datos_fuente'!C223))</x:f>
        <x:v>4.383576569279433</x:v>
      </x:c>
      <x:c r="E223" s="90" t="n">
        <x:f>IF(OR(D223="",D222=""),"",D223-D222)</x:f>
        <x:v>0.03160905937629099</x:v>
      </x:c>
      <x:c r="F223" s="90" t="n">
        <x:f>IF('Datos_fuente'!E223="","",LN('Datos_fuente'!E223))</x:f>
        <x:v>9.231989332964504</x:v>
      </x:c>
      <x:c r="G223" s="90" t="n">
        <x:f>IF(OR(F223="",F222=""),"",F223-F222)</x:f>
        <x:v>0.012582188674894468</x:v>
      </x:c>
      <x:c r="H223" s="55" t="n">
        <x:f>'Datos_fuente'!H223</x:f>
        <x:v>7.67</x:v>
      </x:c>
      <x:c r="I223" s="55" t="n">
        <x:f>IF(OR(H223="",H222=""),"",H223-H222)</x:f>
        <x:v>-0.15322580600000002</x:v>
      </x:c>
      <x:c r="J223" s="55" t="n">
        <x:f>'Datos_fuente'!J223</x:f>
        <x:v>4.175494571</x:v>
      </x:c>
      <x:c r="K223" s="55" t="n">
        <x:f>IF(OR(J223="",J222=""),"",J223-J222)</x:f>
        <x:v>-0.04052433300000047</x:v>
      </x:c>
      <x:c r="L223" s="90" t="n">
        <x:f>IF('Datos_fuente'!K223="","",LN('Datos_fuente'!K223))</x:f>
        <x:v>4.789384592710776</x:v>
      </x:c>
      <x:c r="M223" s="90" t="n">
        <x:f>IF(OR(L223="",L222=""),"",L223-L222)</x:f>
        <x:v>0.0032843175709631467</x:v>
      </x:c>
      <x:c r="N223" s="90" t="n">
        <x:f>IF('Datos_fuente'!L223="","",LN('Datos_fuente'!L223))</x:f>
        <x:v>2.5944063143377796</x:v>
      </x:c>
      <x:c r="O223" s="90" t="n">
        <x:f>IF(OR(N223="",N222=""),"",N223-N222)</x:f>
        <x:v>0.05134868790774938</x:v>
      </x:c>
      <x:c r="P223" s="88" t="n">
        <x:f>'Datos_fuente'!N223</x:f>
        <x:v>0</x:v>
      </x:c>
      <x:c r="Q223" s="90" t="n">
        <x:f>IF('Datos_fuente'!O223="","",LN('Datos_fuente'!O223))</x:f>
        <x:v>10.996311957004416</x:v>
      </x:c>
      <x:c r="R223" s="90" t="n">
        <x:f>IF(OR(Q223="",Q222=""),"",Q223-Q222)</x:f>
        <x:v>0.0007615163783363244</x:v>
      </x:c>
      <x:c r="S223" s="55" t="n">
        <x:f>'Datos_fuente'!R223</x:f>
        <x:v>5.757619048</x:v>
      </x:c>
      <x:c r="T223" s="55" t="n">
        <x:f>IF(OR(S223="",S222=""),"",S223-S222)</x:f>
        <x:v>-0.6184920630000006</x:v>
      </x:c>
      <x:c r="U223" s="90" t="n">
        <x:f>IF('Datos_fuente'!S223="","",ASINH('Datos_fuente'!S223/1000))</x:f>
        <x:v>0.21072694882907483</x:v>
      </x:c>
      <x:c r="V223" s="90" t="n">
        <x:f>IF(OR(U223="",U222=""),"",U223-U222)</x:f>
        <x:v>0.12956608045737023</x:v>
      </x:c>
      <x:c r="W223" s="90" t="n">
        <x:f>IF('Datos_fuente'!T223="","",ASINH('Datos_fuente'!T223/1000))</x:f>
        <x:v>-1.5081404963165324</x:v>
      </x:c>
      <x:c r="X223" s="90" t="n">
        <x:f>IF(OR(W223="",W222=""),"",W223-W222)</x:f>
        <x:v>-0.8300608561380864</x:v>
      </x:c>
      <x:c r="Y223" s="55" t="n">
        <x:f>'Datos_fuente'!W223</x:f>
        <x:v>5.258690334</x:v>
      </x:c>
      <x:c r="Z223" s="55" t="n">
        <x:f>IF(OR(Y223="",Y222=""),"",Y223-Y222)</x:f>
        <x:v>-0.664756143</x:v>
      </x:c>
      <x:c r="AA223" s="90" t="n">
        <x:f>'Datos_fuente'!AA223</x:f>
        <x:v>0.3397757829</x:v>
      </x:c>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t="str">
        <x:f>'Datos_fuente'!A224</x:f>
        <x:v>2024-02</x:v>
      </x:c>
      <x:c r="B224" s="90" t="n">
        <x:f>IF('Datos_fuente'!B224="","",LN('Datos_fuente'!B224))</x:f>
        <x:v>8.276760699202363</x:v>
      </x:c>
      <x:c r="C224" s="90" t="n">
        <x:f>IF(OR(B224="",B223=""),"",B224-B223)</x:f>
        <x:v>0.004139335999093774</x:v>
      </x:c>
      <x:c r="D224" s="90" t="n">
        <x:f>IF('Datos_fuente'!C224="","",LN('Datos_fuente'!C224))</x:f>
        <x:v>4.424584264986542</x:v>
      </x:c>
      <x:c r="E224" s="90" t="n">
        <x:f>IF(OR(D224="",D223=""),"",D224-D223)</x:f>
        <x:v>0.04100769570710927</x:v>
      </x:c>
      <x:c r="F224" s="90" t="n">
        <x:f>IF('Datos_fuente'!E224="","",LN('Datos_fuente'!E224))</x:f>
        <x:v>9.239906941177855</x:v>
      </x:c>
      <x:c r="G224" s="90" t="n">
        <x:f>IF(OR(F224="",F223=""),"",F224-F223)</x:f>
        <x:v>0.007917608213350746</x:v>
      </x:c>
      <x:c r="H224" s="55" t="n">
        <x:f>'Datos_fuente'!H224</x:f>
        <x:v>7.42</x:v>
      </x:c>
      <x:c r="I224" s="55" t="n">
        <x:f>IF(OR(H224="",H223=""),"",H224-H223)</x:f>
        <x:v>-0.25</x:v>
      </x:c>
      <x:c r="J224" s="55" t="n">
        <x:f>'Datos_fuente'!J224</x:f>
        <x:v>4.330062739</x:v>
      </x:c>
      <x:c r="K224" s="55" t="n">
        <x:f>IF(OR(J224="",J223=""),"",J224-J223)</x:f>
        <x:v>0.15456816799999995</x:v>
      </x:c>
      <x:c r="L224" s="90" t="n">
        <x:f>IF('Datos_fuente'!K224="","",LN('Datos_fuente'!K224))</x:f>
        <x:v>4.796335355838372</x:v>
      </x:c>
      <x:c r="M224" s="90" t="n">
        <x:f>IF(OR(L224="",L223=""),"",L224-L223)</x:f>
        <x:v>0.00695076312759646</x:v>
      </x:c>
      <x:c r="N224" s="90" t="n">
        <x:f>IF('Datos_fuente'!L224="","",LN('Datos_fuente'!L224))</x:f>
        <x:v>2.637661798457319</x:v>
      </x:c>
      <x:c r="O224" s="90" t="n">
        <x:f>IF(OR(N224="",N223=""),"",N224-N223)</x:f>
        <x:v>0.04325548411953939</x:v>
      </x:c>
      <x:c r="P224" s="88" t="n">
        <x:f>'Datos_fuente'!N224</x:f>
        <x:v>0</x:v>
      </x:c>
      <x:c r="Q224" s="90" t="n">
        <x:f>IF('Datos_fuente'!O224="","",LN('Datos_fuente'!O224))</x:f>
        <x:v>10.9931189669428</x:v>
      </x:c>
      <x:c r="R224" s="90" t="n">
        <x:f>IF(OR(Q224="",Q223=""),"",Q224-Q223)</x:f>
        <x:v>-0.0031929900616152196</x:v>
      </x:c>
      <x:c r="S224" s="55" t="n">
        <x:f>'Datos_fuente'!R224</x:f>
        <x:v>5.706309524</x:v>
      </x:c>
      <x:c r="T224" s="55" t="n">
        <x:f>IF(OR(S224="",S223=""),"",S224-S223)</x:f>
        <x:v>-0.05130952399999966</x:v>
      </x:c>
      <x:c r="U224" s="90" t="n">
        <x:f>IF('Datos_fuente'!S224="","",ASINH('Datos_fuente'!S224/1000))</x:f>
        <x:v>0.23643109867549708</x:v>
      </x:c>
      <x:c r="V224" s="90" t="n">
        <x:f>IF(OR(U224="",U223=""),"",U224-U223)</x:f>
        <x:v>0.025704149846422247</x:v>
      </x:c>
      <x:c r="W224" s="90" t="n">
        <x:f>IF('Datos_fuente'!T224="","",ASINH('Datos_fuente'!T224/1000))</x:f>
        <x:v>-1.7062146052035745</x:v>
      </x:c>
      <x:c r="X224" s="90" t="n">
        <x:f>IF(OR(W224="",W223=""),"",W224-W223)</x:f>
        <x:v>-0.19807410888704213</x:v>
      </x:c>
      <x:c r="Y224" s="55" t="n">
        <x:f>'Datos_fuente'!W224</x:f>
        <x:v>4.58455894</x:v>
      </x:c>
      <x:c r="Z224" s="55" t="n">
        <x:f>IF(OR(Y224="",Y223=""),"",Y224-Y223)</x:f>
        <x:v>-0.6741313939999998</x:v>
      </x:c>
      <x:c r="AA224" s="90" t="n">
        <x:f>'Datos_fuente'!AA224</x:f>
        <x:v>0.7585337697</x:v>
      </x:c>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t="str">
        <x:f>'Datos_fuente'!A225</x:f>
        <x:v>2024-03</x:v>
      </x:c>
      <x:c r="B225" s="90" t="n">
        <x:f>IF('Datos_fuente'!B225="","",LN('Datos_fuente'!B225))</x:f>
        <x:v>8.268562917852526</x:v>
      </x:c>
      <x:c r="C225" s="90" t="n">
        <x:f>IF(OR(B225="",B224=""),"",B225-B224)</x:f>
        <x:v>-0.008197781349837285</x:v>
      </x:c>
      <x:c r="D225" s="90" t="n">
        <x:f>IF('Datos_fuente'!C225="","",LN('Datos_fuente'!C225))</x:f>
        <x:v>4.4474456274575065</x:v>
      </x:c>
      <x:c r="E225" s="90" t="n">
        <x:f>IF(OR(D225="",D224=""),"",D225-D224)</x:f>
        <x:v>0.022861362470964153</x:v>
      </x:c>
      <x:c r="F225" s="90" t="n">
        <x:f>IF('Datos_fuente'!E225="","",LN('Datos_fuente'!E225))</x:f>
        <x:v>9.243375648543907</x:v>
      </x:c>
      <x:c r="G225" s="90" t="n">
        <x:f>IF(OR(F225="",F224=""),"",F225-F224)</x:f>
        <x:v>0.0034687073660517598</x:v>
      </x:c>
      <x:c r="H225" s="55" t="n">
        <x:f>'Datos_fuente'!H225</x:f>
        <x:v>7.323225806</x:v>
      </x:c>
      <x:c r="I225" s="55" t="n">
        <x:f>IF(OR(H225="",H224=""),"",H225-H224)</x:f>
        <x:v>-0.09677419399999998</x:v>
      </x:c>
      <x:c r="J225" s="55" t="n">
        <x:f>'Datos_fuente'!J225</x:f>
        <x:v>4.053981088</x:v>
      </x:c>
      <x:c r="K225" s="55" t="n">
        <x:f>IF(OR(J225="",J224=""),"",J225-J224)</x:f>
        <x:v>-0.27608165100000015</x:v>
      </x:c>
      <x:c r="L225" s="90" t="n">
        <x:f>IF('Datos_fuente'!K225="","",LN('Datos_fuente'!K225))</x:f>
        <x:v>4.792967003647121</x:v>
      </x:c>
      <x:c r="M225" s="90" t="n">
        <x:f>IF(OR(L225="",L224=""),"",L225-L224)</x:f>
        <x:v>-0.0033683521912513115</x:v>
      </x:c>
      <x:c r="N225" s="90" t="n">
        <x:f>IF('Datos_fuente'!L225="","",LN('Datos_fuente'!L225))</x:f>
        <x:v>2.6237623845796207</x:v>
      </x:c>
      <x:c r="O225" s="90" t="n">
        <x:f>IF(OR(N225="",N224=""),"",N225-N224)</x:f>
        <x:v>-0.013899413877698219</x:v>
      </x:c>
      <x:c r="P225" s="88" t="n">
        <x:f>'Datos_fuente'!N225</x:f>
        <x:v>0</x:v>
      </x:c>
      <x:c r="Q225" s="90" t="n">
        <x:f>IF('Datos_fuente'!O225="","",LN('Datos_fuente'!O225))</x:f>
        <x:v>11.002010337198874</x:v>
      </x:c>
      <x:c r="R225" s="90" t="n">
        <x:f>IF(OR(Q225="",Q224=""),"",Q225-Q224)</x:f>
        <x:v>0.008891370256073117</x:v>
      </x:c>
      <x:c r="S225" s="55" t="n">
        <x:f>'Datos_fuente'!R225</x:f>
        <x:v>5.998722222</x:v>
      </x:c>
      <x:c r="T225" s="55" t="n">
        <x:f>IF(OR(S225="",S224=""),"",S225-S224)</x:f>
        <x:v>0.2924126979999997</x:v>
      </x:c>
      <x:c r="U225" s="90" t="n">
        <x:f>IF('Datos_fuente'!S225="","",ASINH('Datos_fuente'!S225/1000))</x:f>
        <x:v>0.10678692772002202</x:v>
      </x:c>
      <x:c r="V225" s="90" t="n">
        <x:f>IF(OR(U225="",U224=""),"",U225-U224)</x:f>
        <x:v>-0.12964417095547506</x:v>
      </x:c>
      <x:c r="W225" s="90" t="n">
        <x:f>IF('Datos_fuente'!T225="","",ASINH('Datos_fuente'!T225/1000))</x:f>
        <x:v>-1.1108619597853424</x:v>
      </x:c>
      <x:c r="X225" s="90" t="n">
        <x:f>IF(OR(W225="",W224=""),"",W225-W224)</x:f>
        <x:v>0.5953526454182321</x:v>
      </x:c>
      <x:c r="Y225" s="55" t="n">
        <x:f>'Datos_fuente'!W225</x:f>
        <x:v>3.891515287</x:v>
      </x:c>
      <x:c r="Z225" s="55" t="n">
        <x:f>IF(OR(Y225="",Y224=""),"",Y225-Y224)</x:f>
        <x:v>-0.6930436530000001</x:v>
      </x:c>
      <x:c r="AA225" s="90" t="n">
        <x:f>'Datos_fuente'!AA225</x:f>
        <x:v>-0.2600426789</x:v>
      </x:c>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t="str">
        <x:f>'Datos_fuente'!A226</x:f>
        <x:v>2024-04</x:v>
      </x:c>
      <x:c r="B226" s="90" t="n">
        <x:f>IF('Datos_fuente'!B226="","",LN('Datos_fuente'!B226))</x:f>
        <x:v>8.260486479355333</x:v>
      </x:c>
      <x:c r="C226" s="90" t="n">
        <x:f>IF(OR(B226="",B225=""),"",B226-B225)</x:f>
        <x:v>-0.008076438497193195</x:v>
      </x:c>
      <x:c r="D226" s="90" t="n">
        <x:f>IF('Datos_fuente'!C226="","",LN('Datos_fuente'!C226))</x:f>
        <x:v>4.499121602999556</x:v>
      </x:c>
      <x:c r="E226" s="90" t="n">
        <x:f>IF(OR(D226="",D225=""),"",D226-D225)</x:f>
        <x:v>0.05167597554204928</x:v>
      </x:c>
      <x:c r="F226" s="90" t="n">
        <x:f>IF('Datos_fuente'!E226="","",LN('Datos_fuente'!E226))</x:f>
        <x:v>9.261843044442614</x:v>
      </x:c>
      <x:c r="G226" s="90" t="n">
        <x:f>IF(OR(F226="",F225=""),"",F226-F225)</x:f>
        <x:v>0.01846739589870694</x:v>
      </x:c>
      <x:c r="H226" s="55" t="n">
        <x:f>'Datos_fuente'!H226</x:f>
        <x:v>6.92</x:v>
      </x:c>
      <x:c r="I226" s="55" t="n">
        <x:f>IF(OR(H226="",H225=""),"",H226-H225)</x:f>
        <x:v>-0.403225806</x:v>
      </x:c>
      <x:c r="J226" s="55" t="n">
        <x:f>'Datos_fuente'!J226</x:f>
        <x:v>5.505846826</x:v>
      </x:c>
      <x:c r="K226" s="55" t="n">
        <x:f>IF(OR(J226="",J225=""),"",J226-J225)</x:f>
        <x:v>1.4518657380000004</x:v>
      </x:c>
      <x:c r="L226" s="90" t="n">
        <x:f>IF('Datos_fuente'!K226="","",LN('Datos_fuente'!K226))</x:f>
        <x:v>4.805190963390155</x:v>
      </x:c>
      <x:c r="M226" s="90" t="n">
        <x:f>IF(OR(L226="",L225=""),"",L226-L225)</x:f>
        <x:v>0.01222395974303403</x:v>
      </x:c>
      <x:c r="N226" s="90" t="n">
        <x:f>IF('Datos_fuente'!L226="","",LN('Datos_fuente'!L226))</x:f>
        <x:v>2.7811598394198347</x:v>
      </x:c>
      <x:c r="O226" s="90" t="n">
        <x:f>IF(OR(N226="",N225=""),"",N226-N225)</x:f>
        <x:v>0.15739745484021395</x:v>
      </x:c>
      <x:c r="P226" s="88" t="n">
        <x:f>'Datos_fuente'!N226</x:f>
        <x:v>0</x:v>
      </x:c>
      <x:c r="Q226" s="90" t="n">
        <x:f>IF('Datos_fuente'!O226="","",LN('Datos_fuente'!O226))</x:f>
        <x:v>10.99886193818271</x:v>
      </x:c>
      <x:c r="R226" s="90" t="n">
        <x:f>IF(OR(Q226="",Q225=""),"",Q226-Q225)</x:f>
        <x:v>-0.0031483990161635944</x:v>
      </x:c>
      <x:c r="S226" s="55" t="n">
        <x:f>'Datos_fuente'!R226</x:f>
        <x:v>6.343636364</x:v>
      </x:c>
      <x:c r="T226" s="55" t="n">
        <x:f>IF(OR(S226="",S225=""),"",S226-S225)</x:f>
        <x:v>0.34491414200000037</x:v>
      </x:c>
      <x:c r="U226" s="90" t="n">
        <x:f>IF('Datos_fuente'!S226="","",ASINH('Datos_fuente'!S226/1000))</x:f>
        <x:v>0.3171847266179393</x:v>
      </x:c>
      <x:c r="V226" s="90" t="n">
        <x:f>IF(OR(U226="",U225=""),"",U226-U225)</x:f>
        <x:v>0.21039779889791727</x:v>
      </x:c>
      <x:c r="W226" s="90" t="n">
        <x:f>IF('Datos_fuente'!T226="","",ASINH('Datos_fuente'!T226/1000))</x:f>
        <x:v>-1.75127635608423</x:v>
      </x:c>
      <x:c r="X226" s="90" t="n">
        <x:f>IF(OR(W226="",W225=""),"",W226-W225)</x:f>
        <x:v>-0.6404143962988875</x:v>
      </x:c>
      <x:c r="Y226" s="55" t="n">
        <x:f>'Datos_fuente'!W226</x:f>
        <x:v>3.811310749</x:v>
      </x:c>
      <x:c r="Z226" s="55" t="n">
        <x:f>IF(OR(Y226="",Y225=""),"",Y226-Y225)</x:f>
        <x:v>-0.08020453799999983</x:v>
      </x:c>
      <x:c r="AA226" s="90" t="n">
        <x:f>'Datos_fuente'!AA226</x:f>
        <x:v>0.04061121811</x:v>
      </x:c>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t="str">
        <x:f>'Datos_fuente'!A227</x:f>
        <x:v>2024-05</x:v>
      </x:c>
      <x:c r="B227" s="90" t="n">
        <x:f>IF('Datos_fuente'!B227="","",LN('Datos_fuente'!B227))</x:f>
        <x:v>8.260777367543877</x:v>
      </x:c>
      <x:c r="C227" s="90" t="n">
        <x:f>IF(OR(B227="",B226=""),"",B227-B226)</x:f>
        <x:v>0.0002908881885446135</x:v>
      </x:c>
      <x:c r="D227" s="90" t="n">
        <x:f>IF('Datos_fuente'!C227="","",LN('Datos_fuente'!C227))</x:f>
        <x:v>4.403619209058538</x:v>
      </x:c>
      <x:c r="E227" s="90" t="n">
        <x:f>IF(OR(D227="",D226=""),"",D227-D226)</x:f>
        <x:v>-0.09550239394101734</x:v>
      </x:c>
      <x:c r="F227" s="90" t="n">
        <x:f>IF('Datos_fuente'!E227="","",LN('Datos_fuente'!E227))</x:f>
        <x:v>9.26968700103706</x:v>
      </x:c>
      <x:c r="G227" s="90" t="n">
        <x:f>IF(OR(F227="",F226=""),"",F227-F226)</x:f>
        <x:v>0.0078439565944457</x:v>
      </x:c>
      <x:c r="H227" s="55" t="n">
        <x:f>'Datos_fuente'!H227</x:f>
        <x:v>6.436129032</x:v>
      </x:c>
      <x:c r="I227" s="55" t="n">
        <x:f>IF(OR(H227="",H226=""),"",H227-H226)</x:f>
        <x:v>-0.48387096799999973</x:v>
      </x:c>
      <x:c r="J227" s="55" t="n">
        <x:f>'Datos_fuente'!J227</x:f>
        <x:v>5.787888007</x:v>
      </x:c>
      <x:c r="K227" s="55" t="n">
        <x:f>IF(OR(J227="",J226=""),"",J227-J226)</x:f>
        <x:v>0.2820411810000003</x:v>
      </x:c>
      <x:c r="L227" s="90" t="n">
        <x:f>IF('Datos_fuente'!K227="","",LN('Datos_fuente'!K227))</x:f>
        <x:v>4.802859229923793</x:v>
      </x:c>
      <x:c r="M227" s="90" t="n">
        <x:f>IF(OR(L227="",L226=""),"",L227-L226)</x:f>
        <x:v>-0.0023317334663621736</x:v>
      </x:c>
      <x:c r="N227" s="90" t="n">
        <x:f>IF('Datos_fuente'!L227="","",LN('Datos_fuente'!L227))</x:f>
        <x:v>2.569454245200548</x:v>
      </x:c>
      <x:c r="O227" s="90" t="n">
        <x:f>IF(OR(N227="",N226=""),"",N227-N226)</x:f>
        <x:v>-0.21170559421928647</x:v>
      </x:c>
      <x:c r="P227" s="88" t="n">
        <x:f>'Datos_fuente'!N227</x:f>
        <x:v>0</x:v>
      </x:c>
      <x:c r="Q227" s="90" t="n">
        <x:f>IF('Datos_fuente'!O227="","",LN('Datos_fuente'!O227))</x:f>
        <x:v>11.01176085628224</x:v>
      </x:c>
      <x:c r="R227" s="90" t="n">
        <x:f>IF(OR(Q227="",Q226=""),"",Q227-Q226)</x:f>
        <x:v>0.012898918099530476</x:v>
      </x:c>
      <x:c r="S227" s="55" t="n">
        <x:f>'Datos_fuente'!R227</x:f>
        <x:v>6.487727273</x:v>
      </x:c>
      <x:c r="T227" s="55" t="n">
        <x:f>IF(OR(S227="",S226=""),"",S227-S226)</x:f>
        <x:v>0.144090909</x:v>
      </x:c>
      <x:c r="U227" s="90" t="n">
        <x:f>IF('Datos_fuente'!S227="","",ASINH('Datos_fuente'!S227/1000))</x:f>
        <x:v>0.2238849543303592</x:v>
      </x:c>
      <x:c r="V227" s="90" t="n">
        <x:f>IF(OR(U227="",U226=""),"",U227-U226)</x:f>
        <x:v>-0.09329977228758007</x:v>
      </x:c>
      <x:c r="W227" s="90" t="n">
        <x:f>IF('Datos_fuente'!T227="","",ASINH('Datos_fuente'!T227/1000))</x:f>
        <x:v>-0.808985857985478</x:v>
      </x:c>
      <x:c r="X227" s="90" t="n">
        <x:f>IF(OR(W227="",W226=""),"",W227-W226)</x:f>
        <x:v>0.942290498098752</x:v>
      </x:c>
      <x:c r="Y227" s="55" t="n">
        <x:f>'Datos_fuente'!W227</x:f>
        <x:v>3.883467569</x:v>
      </x:c>
      <x:c r="Z227" s="55" t="n">
        <x:f>IF(OR(Y227="",Y226=""),"",Y227-Y226)</x:f>
        <x:v>0.07215682000000001</x:v>
      </x:c>
      <x:c r="AA227" s="90" t="n">
        <x:f>'Datos_fuente'!AA227</x:f>
        <x:v>-0.6410412244</x:v>
      </x:c>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t="str">
        <x:f>'Datos_fuente'!A228</x:f>
        <x:v>2024-06</x:v>
      </x:c>
      <x:c r="B228" s="90" t="n">
        <x:f>IF('Datos_fuente'!B228="","",LN('Datos_fuente'!B228))</x:f>
        <x:v>8.304692058140274</x:v>
      </x:c>
      <x:c r="C228" s="90" t="n">
        <x:f>IF(OR(B228="",B227=""),"",B228-B227)</x:f>
        <x:v>0.043914690596396966</x:v>
      </x:c>
      <x:c r="D228" s="90" t="n">
        <x:f>IF('Datos_fuente'!C228="","",LN('Datos_fuente'!C228))</x:f>
        <x:v>4.4097147562440515</x:v>
      </x:c>
      <x:c r="E228" s="90" t="n">
        <x:f>IF(OR(D228="",D227=""),"",D228-D227)</x:f>
        <x:v>0.006095547185513084</x:v>
      </x:c>
      <x:c r="F228" s="90" t="n">
        <x:f>IF('Datos_fuente'!E228="","",LN('Datos_fuente'!E228))</x:f>
        <x:v>9.291480630966012</x:v>
      </x:c>
      <x:c r="G228" s="90" t="n">
        <x:f>IF(OR(F228="",F227=""),"",F228-F227)</x:f>
        <x:v>0.021793629928952285</x:v>
      </x:c>
      <x:c r="H228" s="55" t="n">
        <x:f>'Datos_fuente'!H228</x:f>
        <x:v>6.42</x:v>
      </x:c>
      <x:c r="I228" s="55" t="n">
        <x:f>IF(OR(H228="",H227=""),"",H228-H227)</x:f>
        <x:v>-0.016129032000000265</x:v>
      </x:c>
      <x:c r="J228" s="55" t="n">
        <x:f>'Datos_fuente'!J228</x:f>
        <x:v>6.332222692</x:v>
      </x:c>
      <x:c r="K228" s="55" t="n">
        <x:f>IF(OR(J228="",J227=""),"",J228-J227)</x:f>
        <x:v>0.5443346849999999</x:v>
      </x:c>
      <x:c r="L228" s="90" t="n">
        <x:f>IF('Datos_fuente'!K228="","",LN('Datos_fuente'!K228))</x:f>
        <x:v>4.8179359045952355</x:v>
      </x:c>
      <x:c r="M228" s="90" t="n">
        <x:f>IF(OR(L228="",L227=""),"",L228-L227)</x:f>
        <x:v>0.015076674671442802</x:v>
      </x:c>
      <x:c r="N228" s="90" t="n">
        <x:f>IF('Datos_fuente'!L228="","",LN('Datos_fuente'!L228))</x:f>
        <x:v>2.5390001865014953</x:v>
      </x:c>
      <x:c r="O228" s="90" t="n">
        <x:f>IF(OR(N228="",N227=""),"",N228-N227)</x:f>
        <x:v>-0.030454058699052933</x:v>
      </x:c>
      <x:c r="P228" s="88" t="n">
        <x:f>'Datos_fuente'!N228</x:f>
        <x:v>0</x:v>
      </x:c>
      <x:c r="Q228" s="90" t="n">
        <x:f>IF('Datos_fuente'!O228="","",LN('Datos_fuente'!O228))</x:f>
        <x:v>11.017011770339126</x:v>
      </x:c>
      <x:c r="R228" s="90" t="n">
        <x:f>IF(OR(Q228="",Q227=""),"",Q228-Q227)</x:f>
        <x:v>0.005250914056885492</x:v>
      </x:c>
      <x:c r="S228" s="55" t="n">
        <x:f>'Datos_fuente'!R228</x:f>
        <x:v>6.883070175</x:v>
      </x:c>
      <x:c r="T228" s="55" t="n">
        <x:f>IF(OR(S228="",S227=""),"",S228-S227)</x:f>
        <x:v>0.39534290200000033</x:v>
      </x:c>
      <x:c r="U228" s="90" t="n">
        <x:f>IF('Datos_fuente'!S228="","",ASINH('Datos_fuente'!S228/1000))</x:f>
        <x:v>0.39684168346469056</x:v>
      </x:c>
      <x:c r="V228" s="90" t="n">
        <x:f>IF(OR(U228="",U227=""),"",U228-U227)</x:f>
        <x:v>0.17295672913433136</x:v>
      </x:c>
      <x:c r="W228" s="90" t="n">
        <x:f>IF('Datos_fuente'!T228="","",ASINH('Datos_fuente'!T228/1000))</x:f>
        <x:v>-1.445065643474365</x:v>
      </x:c>
      <x:c r="X228" s="90" t="n">
        <x:f>IF(OR(W228="",W227=""),"",W228-W227)</x:f>
        <x:v>-0.636079785488887</x:v>
      </x:c>
      <x:c r="Y228" s="55" t="n">
        <x:f>'Datos_fuente'!W228</x:f>
        <x:v>4.204563425</x:v>
      </x:c>
      <x:c r="Z228" s="55" t="n">
        <x:f>IF(OR(Y228="",Y227=""),"",Y228-Y227)</x:f>
        <x:v>0.3210958559999999</x:v>
      </x:c>
      <x:c r="AA228" s="90" t="n">
        <x:f>'Datos_fuente'!AA228</x:f>
        <x:v>1.416648456</x:v>
      </x:c>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t="str">
        <x:f>'Datos_fuente'!A229</x:f>
        <x:v>2024-07</x:v>
      </x:c>
      <x:c r="B229" s="90" t="n">
        <x:f>IF('Datos_fuente'!B229="","",LN('Datos_fuente'!B229))</x:f>
        <x:v>8.303237783286729</x:v>
      </x:c>
      <x:c r="C229" s="90" t="n">
        <x:f>IF(OR(B229="",B228=""),"",B229-B228)</x:f>
        <x:v>-0.0014542748535451011</x:v>
      </x:c>
      <x:c r="D229" s="90" t="n">
        <x:f>IF('Datos_fuente'!C229="","",LN('Datos_fuente'!C229))</x:f>
        <x:v>4.444450149041878</x:v>
      </x:c>
      <x:c r="E229" s="90" t="n">
        <x:f>IF(OR(D229="",D228=""),"",D229-D228)</x:f>
        <x:v>0.03473539279782667</x:v>
      </x:c>
      <x:c r="F229" s="90" t="n">
        <x:f>IF('Datos_fuente'!E229="","",LN('Datos_fuente'!E229))</x:f>
        <x:v>9.313804490609309</x:v>
      </x:c>
      <x:c r="G229" s="90" t="n">
        <x:f>IF(OR(F229="",F228=""),"",F229-F228)</x:f>
        <x:v>0.022323859643297084</x:v>
      </x:c>
      <x:c r="H229" s="55" t="n">
        <x:f>'Datos_fuente'!H229</x:f>
        <x:v>5.936129032</x:v>
      </x:c>
      <x:c r="I229" s="55" t="n">
        <x:f>IF(OR(H229="",H228=""),"",H229-H228)</x:f>
        <x:v>-0.48387096799999973</x:v>
      </x:c>
      <x:c r="J229" s="55" t="n">
        <x:f>'Datos_fuente'!J229</x:f>
        <x:v>6.443703501</x:v>
      </x:c>
      <x:c r="K229" s="55" t="n">
        <x:f>IF(OR(J229="",J228=""),"",J229-J228)</x:f>
        <x:v>0.11148080899999968</x:v>
      </x:c>
      <x:c r="L229" s="90" t="n">
        <x:f>IF('Datos_fuente'!K229="","",LN('Datos_fuente'!K229))</x:f>
        <x:v>4.815288770709231</x:v>
      </x:c>
      <x:c r="M229" s="90" t="n">
        <x:f>IF(OR(L229="",L228=""),"",L229-L228)</x:f>
        <x:v>-0.002647133886004127</x:v>
      </x:c>
      <x:c r="N229" s="90" t="n">
        <x:f>IF('Datos_fuente'!L229="","",LN('Datos_fuente'!L229))</x:f>
        <x:v>2.66541496921579</x:v>
      </x:c>
      <x:c r="O229" s="90" t="n">
        <x:f>IF(OR(N229="",N228=""),"",N229-N228)</x:f>
        <x:v>0.12641478271429474</x:v>
      </x:c>
      <x:c r="P229" s="88" t="n">
        <x:f>'Datos_fuente'!N229</x:f>
        <x:v>0</x:v>
      </x:c>
      <x:c r="Q229" s="90" t="n">
        <x:f>IF('Datos_fuente'!O229="","",LN('Datos_fuente'!O229))</x:f>
        <x:v>11.032765797314976</x:v>
      </x:c>
      <x:c r="R229" s="90" t="n">
        <x:f>IF(OR(Q229="",Q228=""),"",Q229-Q228)</x:f>
        <x:v>0.015754026975850266</x:v>
      </x:c>
      <x:c r="S229" s="55" t="n">
        <x:f>'Datos_fuente'!R229</x:f>
        <x:v>6.881818182</x:v>
      </x:c>
      <x:c r="T229" s="55" t="n">
        <x:f>IF(OR(S229="",S228=""),"",S229-S228)</x:f>
        <x:v>-0.0012519930000003399</x:v>
      </x:c>
      <x:c r="U229" s="90" t="n">
        <x:f>IF('Datos_fuente'!S229="","",ASINH('Datos_fuente'!S229/1000))</x:f>
        <x:v>0.1942265294280848</x:v>
      </x:c>
      <x:c r="V229" s="90" t="n">
        <x:f>IF(OR(U229="",U228=""),"",U229-U228)</x:f>
        <x:v>-0.20261515403660577</x:v>
      </x:c>
      <x:c r="W229" s="90" t="n">
        <x:f>IF('Datos_fuente'!T229="","",ASINH('Datos_fuente'!T229/1000))</x:f>
        <x:v>-0.9959166270258559</x:v>
      </x:c>
      <x:c r="X229" s="90" t="n">
        <x:f>IF(OR(W229="",W228=""),"",W229-W228)</x:f>
        <x:v>0.449149016448509</x:v>
      </x:c>
      <x:c r="Y229" s="55" t="n">
        <x:f>'Datos_fuente'!W229</x:f>
        <x:v>3.962814671</x:v>
      </x:c>
      <x:c r="Z229" s="55" t="n">
        <x:f>IF(OR(Y229="",Y228=""),"",Y229-Y228)</x:f>
        <x:v>-0.24174875400000007</x:v>
      </x:c>
      <x:c r="AA229" s="90" t="n">
        <x:f>'Datos_fuente'!AA229</x:f>
        <x:v>0.2122136521</x:v>
      </x:c>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t="str">
        <x:f>'Datos_fuente'!A230</x:f>
        <x:v>2024-08</x:v>
      </x:c>
      <x:c r="B230" s="90" t="n">
        <x:f>IF('Datos_fuente'!B230="","",LN('Datos_fuente'!B230))</x:f>
        <x:v>8.31030344148349</x:v>
      </x:c>
      <x:c r="C230" s="90" t="n">
        <x:f>IF(OR(B230="",B229=""),"",B230-B229)</x:f>
        <x:v>0.007065658196761859</x:v>
      </x:c>
      <x:c r="D230" s="90" t="n">
        <x:f>IF('Datos_fuente'!C230="","",LN('Datos_fuente'!C230))</x:f>
        <x:v>4.386457281097882</x:v>
      </x:c>
      <x:c r="E230" s="90" t="n">
        <x:f>IF(OR(D230="",D229=""),"",D230-D229)</x:f>
        <x:v>-0.057992867943996274</x:v>
      </x:c>
      <x:c r="F230" s="90" t="n">
        <x:f>IF('Datos_fuente'!E230="","",LN('Datos_fuente'!E230))</x:f>
        <x:v>9.324672125470615</x:v>
      </x:c>
      <x:c r="G230" s="90" t="n">
        <x:f>IF(OR(F230="",F229=""),"",F230-F229)</x:f>
        <x:v>0.01086763486130593</x:v>
      </x:c>
      <x:c r="H230" s="55" t="n">
        <x:f>'Datos_fuente'!H230</x:f>
        <x:v>5.42</x:v>
      </x:c>
      <x:c r="I230" s="55" t="n">
        <x:f>IF(OR(H230="",H229=""),"",H230-H229)</x:f>
        <x:v>-0.5161290320000003</x:v>
      </x:c>
      <x:c r="J230" s="55" t="n">
        <x:f>'Datos_fuente'!J230</x:f>
        <x:v>6.790500101</x:v>
      </x:c>
      <x:c r="K230" s="55" t="n">
        <x:f>IF(OR(J230="",J229=""),"",J230-J229)</x:f>
        <x:v>0.34679660000000023</x:v>
      </x:c>
      <x:c r="L230" s="90" t="n">
        <x:f>IF('Datos_fuente'!K230="","",LN('Datos_fuente'!K230))</x:f>
        <x:v>4.809039096340802</x:v>
      </x:c>
      <x:c r="M230" s="90" t="n">
        <x:f>IF(OR(L230="",L229=""),"",L230-L229)</x:f>
        <x:v>-0.006249674368429048</x:v>
      </x:c>
      <x:c r="N230" s="90" t="n">
        <x:f>IF('Datos_fuente'!L230="","",LN('Datos_fuente'!L230))</x:f>
        <x:v>2.9607407865628304</x:v>
      </x:c>
      <x:c r="O230" s="90" t="n">
        <x:f>IF(OR(N230="",N229=""),"",N230-N229)</x:f>
        <x:v>0.29532581734704033</x:v>
      </x:c>
      <x:c r="P230" s="88" t="n">
        <x:f>'Datos_fuente'!N230</x:f>
        <x:v>0</x:v>
      </x:c>
      <x:c r="Q230" s="90" t="n">
        <x:f>IF('Datos_fuente'!O230="","",LN('Datos_fuente'!O230))</x:f>
        <x:v>11.047367777860746</x:v>
      </x:c>
      <x:c r="R230" s="90" t="n">
        <x:f>IF(OR(Q230="",Q229=""),"",Q230-Q229)</x:f>
        <x:v>0.014601980545769777</x:v>
      </x:c>
      <x:c r="S230" s="55" t="n">
        <x:f>'Datos_fuente'!R230</x:f>
        <x:v>6.829090909</x:v>
      </x:c>
      <x:c r="T230" s="55" t="n">
        <x:f>IF(OR(S230="",S229=""),"",S230-S229)</x:f>
        <x:v>-0.05272727300000035</x:v>
      </x:c>
      <x:c r="U230" s="90" t="n">
        <x:f>IF('Datos_fuente'!S230="","",ASINH('Datos_fuente'!S230/1000))</x:f>
        <x:v>0.18461943933785077</x:v>
      </x:c>
      <x:c r="V230" s="90" t="n">
        <x:f>IF(OR(U230="",U229=""),"",U230-U229)</x:f>
        <x:v>-0.009607090090234027</x:v>
      </x:c>
      <x:c r="W230" s="90" t="n">
        <x:f>IF('Datos_fuente'!T230="","",ASINH('Datos_fuente'!T230/1000))</x:f>
        <x:v>-1.1673116532791405</x:v>
      </x:c>
      <x:c r="X230" s="90" t="n">
        <x:f>IF(OR(W230="",W229=""),"",W230-W229)</x:f>
        <x:v>-0.17139502625328462</x:v>
      </x:c>
      <x:c r="Y230" s="55" t="n">
        <x:f>'Datos_fuente'!W230</x:f>
        <x:v>3.584935558</x:v>
      </x:c>
      <x:c r="Z230" s="55" t="n">
        <x:f>IF(OR(Y230="",Y229=""),"",Y230-Y229)</x:f>
        <x:v>-0.37787911299999966</x:v>
      </x:c>
      <x:c r="AA230" s="90" t="n">
        <x:f>'Datos_fuente'!AA230</x:f>
        <x:v>0.4554266835</x:v>
      </x:c>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t="str">
        <x:f>'Datos_fuente'!A231</x:f>
        <x:v>2024-09</x:v>
      </x:c>
      <x:c r="B231" s="90" t="n">
        <x:f>IF('Datos_fuente'!B231="","",LN('Datos_fuente'!B231))</x:f>
        <x:v>8.338667381571515</x:v>
      </x:c>
      <x:c r="C231" s="90" t="n">
        <x:f>IF(OR(B231="",B230=""),"",B231-B230)</x:f>
        <x:v>0.02836394008802401</x:v>
      </x:c>
      <x:c r="D231" s="90" t="n">
        <x:f>IF('Datos_fuente'!C231="","",LN('Datos_fuente'!C231))</x:f>
        <x:v>4.304290293115036</x:v>
      </x:c>
      <x:c r="E231" s="90" t="n">
        <x:f>IF(OR(D231="",D230=""),"",D231-D230)</x:f>
        <x:v>-0.08216698798284572</x:v>
      </x:c>
      <x:c r="F231" s="90" t="n">
        <x:f>IF('Datos_fuente'!E231="","",LN('Datos_fuente'!E231))</x:f>
        <x:v>9.33847761731174</x:v>
      </x:c>
      <x:c r="G231" s="90" t="n">
        <x:f>IF(OR(F231="",F230=""),"",F231-F230)</x:f>
        <x:v>0.013805491841125672</x:v>
      </x:c>
      <x:c r="H231" s="55" t="n">
        <x:f>'Datos_fuente'!H231</x:f>
        <x:v>5.62</x:v>
      </x:c>
      <x:c r="I231" s="55" t="n">
        <x:f>IF(OR(H231="",H230=""),"",H231-H230)</x:f>
        <x:v>0.20000000000000018</x:v>
      </x:c>
      <x:c r="J231" s="55" t="n">
        <x:f>'Datos_fuente'!J231</x:f>
        <x:v>6.646096117</x:v>
      </x:c>
      <x:c r="K231" s="55" t="n">
        <x:f>IF(OR(J231="",J230=""),"",J231-J230)</x:f>
        <x:v>-0.1444039840000002</x:v>
      </x:c>
      <x:c r="L231" s="90" t="n">
        <x:f>IF('Datos_fuente'!K231="","",LN('Datos_fuente'!K231))</x:f>
        <x:v>4.803076787587355</x:v>
      </x:c>
      <x:c r="M231" s="90" t="n">
        <x:f>IF(OR(L231="",L230=""),"",L231-L230)</x:f>
        <x:v>-0.005962308753447054</x:v>
      </x:c>
      <x:c r="N231" s="90" t="n">
        <x:f>IF('Datos_fuente'!L231="","",LN('Datos_fuente'!L231))</x:f>
        <x:v>2.871490927647846</x:v>
      </x:c>
      <x:c r="O231" s="90" t="n">
        <x:f>IF(OR(N231="",N230=""),"",N231-N230)</x:f>
        <x:v>-0.08924985891498416</x:v>
      </x:c>
      <x:c r="P231" s="88" t="n">
        <x:f>'Datos_fuente'!N231</x:f>
        <x:v>0</x:v>
      </x:c>
      <x:c r="Q231" s="90" t="n">
        <x:f>IF('Datos_fuente'!O231="","",LN('Datos_fuente'!O231))</x:f>
        <x:v>11.060084117629486</x:v>
      </x:c>
      <x:c r="R231" s="90" t="n">
        <x:f>IF(OR(Q231="",Q230=""),"",Q231-Q230)</x:f>
        <x:v>0.012716339768740426</x:v>
      </x:c>
      <x:c r="S231" s="55" t="n">
        <x:f>'Datos_fuente'!R231</x:f>
        <x:v>6.679357143</x:v>
      </x:c>
      <x:c r="T231" s="55" t="n">
        <x:f>IF(OR(S231="",S230=""),"",S231-S230)</x:f>
        <x:v>-0.14973376599999977</x:v>
      </x:c>
      <x:c r="U231" s="90" t="n">
        <x:f>IF('Datos_fuente'!S231="","",ASINH('Datos_fuente'!S231/1000))</x:f>
        <x:v>0.3127848106861026</x:v>
      </x:c>
      <x:c r="V231" s="90" t="n">
        <x:f>IF(OR(U231="",U230=""),"",U231-U230)</x:f>
        <x:v>0.12816537134825182</x:v>
      </x:c>
      <x:c r="W231" s="90" t="n">
        <x:f>IF('Datos_fuente'!T231="","",ASINH('Datos_fuente'!T231/1000))</x:f>
        <x:v>-1.285725139442426</x:v>
      </x:c>
      <x:c r="X231" s="90" t="n">
        <x:f>IF(OR(W231="",W230=""),"",W231-W230)</x:f>
        <x:v>-0.11841348616328551</x:v>
      </x:c>
      <x:c r="Y231" s="55" t="n">
        <x:f>'Datos_fuente'!W231</x:f>
        <x:v>3.370842981</x:v>
      </x:c>
      <x:c r="Z231" s="55" t="n">
        <x:f>IF(OR(Y231="",Y230=""),"",Y231-Y230)</x:f>
        <x:v>-0.21409257700000017</x:v>
      </x:c>
      <x:c r="AA231" s="90" t="n">
        <x:f>'Datos_fuente'!AA231</x:f>
        <x:v>0.1366409956</x:v>
      </x:c>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t="str">
        <x:f>'Datos_fuente'!A232</x:f>
        <x:v>2024-10</x:v>
      </x:c>
      <x:c r="B232" s="90" t="n">
        <x:f>IF('Datos_fuente'!B232="","",LN('Datos_fuente'!B232))</x:f>
        <x:v>8.354549548259685</x:v>
      </x:c>
      <x:c r="C232" s="90" t="n">
        <x:f>IF(OR(B232="",B231=""),"",B232-B231)</x:f>
        <x:v>0.01588216668817033</x:v>
      </x:c>
      <x:c r="D232" s="90" t="n">
        <x:f>IF('Datos_fuente'!C232="","",LN('Datos_fuente'!C232))</x:f>
        <x:v>4.325887522199158</x:v>
      </x:c>
      <x:c r="E232" s="90" t="n">
        <x:f>IF(OR(D232="",D231=""),"",D232-D231)</x:f>
        <x:v>0.021597229084122205</x:v>
      </x:c>
      <x:c r="F232" s="90" t="n">
        <x:f>IF('Datos_fuente'!E232="","",LN('Datos_fuente'!E232))</x:f>
        <x:v>9.351643734448404</x:v>
      </x:c>
      <x:c r="G232" s="90" t="n">
        <x:f>IF(OR(F232="",F231=""),"",F232-F231)</x:f>
        <x:v>0.013166117136663047</x:v>
      </x:c>
      <x:c r="H232" s="55" t="n">
        <x:f>'Datos_fuente'!H232</x:f>
        <x:v>5.42</x:v>
      </x:c>
      <x:c r="I232" s="55" t="n">
        <x:f>IF(OR(H232="",H231=""),"",H232-H231)</x:f>
        <x:v>-0.20000000000000018</x:v>
      </x:c>
      <x:c r="J232" s="55" t="n">
        <x:f>'Datos_fuente'!J232</x:f>
        <x:v>6.652100585</x:v>
      </x:c>
      <x:c r="K232" s="55" t="n">
        <x:f>IF(OR(J232="",J231=""),"",J232-J231)</x:f>
        <x:v>0.006004468000000429</x:v>
      </x:c>
      <x:c r="L232" s="90" t="n">
        <x:f>IF('Datos_fuente'!K232="","",LN('Datos_fuente'!K232))</x:f>
        <x:v>4.817012444783222</x:v>
      </x:c>
      <x:c r="M232" s="90" t="n">
        <x:f>IF(OR(L232="",L231=""),"",L232-L231)</x:f>
        <x:v>0.013935657195866646</x:v>
      </x:c>
      <x:c r="N232" s="90" t="n">
        <x:f>IF('Datos_fuente'!L232="","",LN('Datos_fuente'!L232))</x:f>
        <x:v>2.993773835565626</x:v>
      </x:c>
      <x:c r="O232" s="90" t="n">
        <x:f>IF(OR(N232="",N231=""),"",N232-N231)</x:f>
        <x:v>0.12228290791777985</x:v>
      </x:c>
      <x:c r="P232" s="88" t="n">
        <x:f>'Datos_fuente'!N232</x:f>
        <x:v>0</x:v>
      </x:c>
      <x:c r="Q232" s="90" t="n">
        <x:f>IF('Datos_fuente'!O232="","",LN('Datos_fuente'!O232))</x:f>
        <x:v>11.047257542947166</x:v>
      </x:c>
      <x:c r="R232" s="90" t="n">
        <x:f>IF(OR(Q232="",Q231=""),"",Q232-Q231)</x:f>
        <x:v>-0.012826574682319958</x:v>
      </x:c>
      <x:c r="S232" s="55" t="n">
        <x:f>'Datos_fuente'!R232</x:f>
        <x:v>6.824545455</x:v>
      </x:c>
      <x:c r="T232" s="55" t="n">
        <x:f>IF(OR(S232="",S231=""),"",S232-S231)</x:f>
        <x:v>0.14518831200000015</x:v>
      </x:c>
      <x:c r="U232" s="90" t="n">
        <x:f>IF('Datos_fuente'!S232="","",ASINH('Datos_fuente'!S232/1000))</x:f>
        <x:v>0.3743454171512559</x:v>
      </x:c>
      <x:c r="V232" s="90" t="n">
        <x:f>IF(OR(U232="",U231=""),"",U232-U231)</x:f>
        <x:v>0.06156060646515332</x:v>
      </x:c>
      <x:c r="W232" s="90" t="n">
        <x:f>IF('Datos_fuente'!T232="","",ASINH('Datos_fuente'!T232/1000))</x:f>
        <x:v>-1.9545759938705045</x:v>
      </x:c>
      <x:c r="X232" s="90" t="n">
        <x:f>IF(OR(W232="",W231=""),"",W232-W231)</x:f>
        <x:v>-0.6688508544280785</x:v>
      </x:c>
      <x:c r="Y232" s="55" t="n">
        <x:f>'Datos_fuente'!W232</x:f>
        <x:v>2.810669665</x:v>
      </x:c>
      <x:c r="Z232" s="55" t="n">
        <x:f>IF(OR(Y232="",Y231=""),"",Y232-Y231)</x:f>
        <x:v>-0.5601733160000002</x:v>
      </x:c>
      <x:c r="AA232" s="90" t="n">
        <x:f>'Datos_fuente'!AA232</x:f>
        <x:v>0.2716453405</x:v>
      </x:c>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t="str">
        <x:f>'Datos_fuente'!A233</x:f>
        <x:v>2024-11</x:v>
      </x:c>
      <x:c r="B233" s="90" t="n">
        <x:f>IF('Datos_fuente'!B233="","",LN('Datos_fuente'!B233))</x:f>
        <x:v>8.39132432831367</x:v>
      </x:c>
      <x:c r="C233" s="90" t="n">
        <x:f>IF(OR(B233="",B232=""),"",B233-B232)</x:f>
        <x:v>0.03677478005398527</x:v>
      </x:c>
      <x:c r="D233" s="90" t="n">
        <x:f>IF('Datos_fuente'!C233="","",LN('Datos_fuente'!C233))</x:f>
        <x:v>4.308719623780416</x:v>
      </x:c>
      <x:c r="E233" s="90" t="n">
        <x:f>IF(OR(D233="",D232=""),"",D233-D232)</x:f>
        <x:v>-0.017167898418742666</x:v>
      </x:c>
      <x:c r="F233" s="90" t="n">
        <x:f>IF('Datos_fuente'!E233="","",LN('Datos_fuente'!E233))</x:f>
        <x:v>9.364265026261593</x:v>
      </x:c>
      <x:c r="G233" s="90" t="n">
        <x:f>IF(OR(F233="",F232=""),"",F233-F232)</x:f>
        <x:v>0.012621291813189828</x:v>
      </x:c>
      <x:c r="H233" s="55" t="n">
        <x:f>'Datos_fuente'!H233</x:f>
        <x:v>5.11</x:v>
      </x:c>
      <x:c r="I233" s="55" t="n">
        <x:f>IF(OR(H233="",H232=""),"",H233-H232)</x:f>
        <x:v>-0.3099999999999996</x:v>
      </x:c>
      <x:c r="J233" s="55" t="n">
        <x:f>'Datos_fuente'!J233</x:f>
        <x:v>6.953539496</x:v>
      </x:c>
      <x:c r="K233" s="55" t="n">
        <x:f>IF(OR(J233="",J232=""),"",J233-J232)</x:f>
        <x:v>0.301438911</x:v>
      </x:c>
      <x:c r="L233" s="90" t="n">
        <x:f>IF('Datos_fuente'!K233="","",LN('Datos_fuente'!K233))</x:f>
        <x:v>4.838749786214955</x:v>
      </x:c>
      <x:c r="M233" s="90" t="n">
        <x:f>IF(OR(L233="",L232=""),"",L233-L232)</x:f>
        <x:v>0.021737341431733448</x:v>
      </x:c>
      <x:c r="N233" s="90" t="n">
        <x:f>IF('Datos_fuente'!L233="","",LN('Datos_fuente'!L233))</x:f>
        <x:v>2.773540650262499</x:v>
      </x:c>
      <x:c r="O233" s="90" t="n">
        <x:f>IF(OR(N233="",N232=""),"",N233-N232)</x:f>
        <x:v>-0.22023318530312697</x:v>
      </x:c>
      <x:c r="P233" s="88" t="n">
        <x:f>'Datos_fuente'!N233</x:f>
        <x:v>0</x:v>
      </x:c>
      <x:c r="Q233" s="90" t="n">
        <x:f>IF('Datos_fuente'!O233="","",LN('Datos_fuente'!O233))</x:f>
        <x:v>11.050218827803436</x:v>
      </x:c>
      <x:c r="R233" s="90" t="n">
        <x:f>IF(OR(Q233="",Q232=""),"",Q233-Q232)</x:f>
        <x:v>0.0029612848562692307</x:v>
      </x:c>
      <x:c r="S233" s="55" t="n">
        <x:f>'Datos_fuente'!R233</x:f>
        <x:v>6.798947368</x:v>
      </x:c>
      <x:c r="T233" s="55" t="n">
        <x:f>IF(OR(S233="",S232=""),"",S233-S232)</x:f>
        <x:v>-0.02559808699999966</x:v>
      </x:c>
      <x:c r="U233" s="90" t="n">
        <x:f>IF('Datos_fuente'!S233="","",ASINH('Datos_fuente'!S233/1000))</x:f>
        <x:v>0.20886800996027888</x:v>
      </x:c>
      <x:c r="V233" s="90" t="n">
        <x:f>IF(OR(U233="",U232=""),"",U233-U232)</x:f>
        <x:v>-0.16547740719097703</x:v>
      </x:c>
      <x:c r="W233" s="90" t="n">
        <x:f>IF('Datos_fuente'!T233="","",ASINH('Datos_fuente'!T233/1000))</x:f>
        <x:v>-1.363449625579361</x:v>
      </x:c>
      <x:c r="X233" s="90" t="n">
        <x:f>IF(OR(W233="",W232=""),"",W233-W232)</x:f>
        <x:v>0.5911263682911436</x:v>
      </x:c>
      <x:c r="Y233" s="55" t="n">
        <x:f>'Datos_fuente'!W233</x:f>
        <x:v>2.451582475</x:v>
      </x:c>
      <x:c r="Z233" s="55" t="n">
        <x:f>IF(OR(Y233="",Y232=""),"",Y233-Y232)</x:f>
        <x:v>-0.3590871899999999</x:v>
      </x:c>
      <x:c r="AA233" s="90" t="n">
        <x:f>'Datos_fuente'!AA233</x:f>
        <x:v>0.9856346216</x:v>
      </x:c>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t="str">
        <x:f>'Datos_fuente'!A234</x:f>
        <x:v>2024-12</x:v>
      </x:c>
      <x:c r="B234" s="90" t="n">
        <x:f>IF('Datos_fuente'!B234="","",LN('Datos_fuente'!B234))</x:f>
        <x:v>8.385978817572175</x:v>
      </x:c>
      <x:c r="C234" s="90" t="n">
        <x:f>IF(OR(B234="",B233=""),"",B234-B233)</x:f>
        <x:v>-0.005345510741495474</x:v>
      </x:c>
      <x:c r="D234" s="90" t="n">
        <x:f>IF('Datos_fuente'!C234="","",LN('Datos_fuente'!C234))</x:f>
        <x:v>4.302164639837463</x:v>
      </x:c>
      <x:c r="E234" s="90" t="n">
        <x:f>IF(OR(D234="",D233=""),"",D234-D233)</x:f>
        <x:v>-0.006554983942952397</x:v>
      </x:c>
      <x:c r="F234" s="90" t="n">
        <x:f>IF('Datos_fuente'!E234="","",LN('Datos_fuente'!E234))</x:f>
        <x:v>9.379932924310015</x:v>
      </x:c>
      <x:c r="G234" s="90" t="n">
        <x:f>IF(OR(F234="",F233=""),"",F234-F233)</x:f>
        <x:v>0.015667898048421947</x:v>
      </x:c>
      <x:c r="H234" s="55" t="n">
        <x:f>'Datos_fuente'!H234</x:f>
        <x:v>5.197419355</x:v>
      </x:c>
      <x:c r="I234" s="55" t="n">
        <x:f>IF(OR(H234="",H233=""),"",H234-H233)</x:f>
        <x:v>0.08741935499999975</x:v>
      </x:c>
      <x:c r="J234" s="55" t="n">
        <x:f>'Datos_fuente'!J234</x:f>
        <x:v>6.683581401</x:v>
      </x:c>
      <x:c r="K234" s="55" t="n">
        <x:f>IF(OR(J234="",J233=""),"",J234-J233)</x:f>
        <x:v>-0.2699580950000007</x:v>
      </x:c>
      <x:c r="L234" s="90" t="n">
        <x:f>IF('Datos_fuente'!K234="","",LN('Datos_fuente'!K234))</x:f>
        <x:v>4.848710548820382</x:v>
      </x:c>
      <x:c r="M234" s="90" t="n">
        <x:f>IF(OR(L234="",L233=""),"",L234-L233)</x:f>
        <x:v>0.009960762605426332</x:v>
      </x:c>
      <x:c r="N234" s="90" t="n">
        <x:f>IF('Datos_fuente'!L234="","",LN('Datos_fuente'!L234))</x:f>
        <x:v>2.7641904603541967</x:v>
      </x:c>
      <x:c r="O234" s="90" t="n">
        <x:f>IF(OR(N234="",N233=""),"",N234-N233)</x:f>
        <x:v>-0.009350189908302386</x:v>
      </x:c>
      <x:c r="P234" s="88" t="n">
        <x:f>'Datos_fuente'!N234</x:f>
        <x:v>0</x:v>
      </x:c>
      <x:c r="Q234" s="90" t="n">
        <x:f>IF('Datos_fuente'!O234="","",LN('Datos_fuente'!O234))</x:f>
        <x:v>11.042620670378762</x:v>
      </x:c>
      <x:c r="R234" s="90" t="n">
        <x:f>IF(OR(Q234="",Q233=""),"",Q234-Q233)</x:f>
        <x:v>-0.007598157424673957</x:v>
      </x:c>
      <x:c r="S234" s="55" t="n">
        <x:f>'Datos_fuente'!R234</x:f>
        <x:v>7.332071429</x:v>
      </x:c>
      <x:c r="T234" s="55" t="n">
        <x:f>IF(OR(S234="",S233=""),"",S234-S233)</x:f>
        <x:v>0.5331240609999996</x:v>
      </x:c>
      <x:c r="U234" s="90" t="n">
        <x:f>IF('Datos_fuente'!S234="","",ASINH('Datos_fuente'!S234/1000))</x:f>
        <x:v>0.05454295236631438</x:v>
      </x:c>
      <x:c r="V234" s="90" t="n">
        <x:f>IF(OR(U234="",U233=""),"",U234-U233)</x:f>
        <x:v>-0.1543250575939645</x:v>
      </x:c>
      <x:c r="W234" s="90" t="n">
        <x:f>IF('Datos_fuente'!T234="","",ASINH('Datos_fuente'!T234/1000))</x:f>
        <x:v>-1.8033080237287886</x:v>
      </x:c>
      <x:c r="X234" s="90" t="n">
        <x:f>IF(OR(W234="",W233=""),"",W234-W233)</x:f>
        <x:v>-0.43985839814942773</x:v>
      </x:c>
      <x:c r="Y234" s="55" t="n">
        <x:f>'Datos_fuente'!W234</x:f>
        <x:v>2.31089718</x:v>
      </x:c>
      <x:c r="Z234" s="55" t="n">
        <x:f>IF(OR(Y234="",Y233=""),"",Y234-Y233)</x:f>
        <x:v>-0.14068529499999993</x:v>
      </x:c>
      <x:c r="AA234" s="90" t="n">
        <x:f>'Datos_fuente'!AA234</x:f>
        <x:v>0.4806324555</x:v>
      </x:c>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t="str">
        <x:f>'Datos_fuente'!A235</x:f>
        <x:v>2025-01</x:v>
      </x:c>
      <x:c r="B235" s="90" t="n">
        <x:f>IF('Datos_fuente'!B235="","",LN('Datos_fuente'!B235))</x:f>
        <x:v>8.368128619817616</x:v>
      </x:c>
      <x:c r="C235" s="90" t="n">
        <x:f>IF(OR(B235="",B234=""),"",B235-B234)</x:f>
        <x:v>-0.01785019775455865</x:v>
      </x:c>
      <x:c r="D235" s="90" t="n">
        <x:f>IF('Datos_fuente'!C235="","",LN('Datos_fuente'!C235))</x:f>
        <x:v>4.372865481032195</x:v>
      </x:c>
      <x:c r="E235" s="90" t="n">
        <x:f>IF(OR(D235="",D234=""),"",D235-D234)</x:f>
        <x:v>0.07070084119473208</x:v>
      </x:c>
      <x:c r="F235" s="90" t="n">
        <x:f>IF('Datos_fuente'!E235="","",LN('Datos_fuente'!E235))</x:f>
        <x:v>9.388075594264803</x:v>
      </x:c>
      <x:c r="G235" s="90" t="n">
        <x:f>IF(OR(F235="",F234=""),"",F235-F234)</x:f>
        <x:v>0.008142669954787962</x:v>
      </x:c>
      <x:c r="H235" s="55" t="n">
        <x:f>'Datos_fuente'!H235</x:f>
        <x:v>5.17</x:v>
      </x:c>
      <x:c r="I235" s="55" t="n">
        <x:f>IF(OR(H235="",H234=""),"",H235-H234)</x:f>
        <x:v>-0.027419355000000145</x:v>
      </x:c>
      <x:c r="J235" s="55" t="n">
        <x:f>'Datos_fuente'!J235</x:f>
        <x:v>6.775576693</x:v>
      </x:c>
      <x:c r="K235" s="55" t="n">
        <x:f>IF(OR(J235="",J234=""),"",J235-J234)</x:f>
        <x:v>0.091995292</x:v>
      </x:c>
      <x:c r="L235" s="90" t="n">
        <x:f>IF('Datos_fuente'!K235="","",LN('Datos_fuente'!K235))</x:f>
        <x:v>4.858547670038559</x:v>
      </x:c>
      <x:c r="M235" s="90" t="n">
        <x:f>IF(OR(L235="",L234=""),"",L235-L234)</x:f>
        <x:v>0.009837121218176925</x:v>
      </x:c>
      <x:c r="N235" s="90" t="n">
        <x:f>IF('Datos_fuente'!L235="","",LN('Datos_fuente'!L235))</x:f>
        <x:v>2.819212038107203</x:v>
      </x:c>
      <x:c r="O235" s="90" t="n">
        <x:f>IF(OR(N235="",N234=""),"",N235-N234)</x:f>
        <x:v>0.05502157775300631</x:v>
      </x:c>
      <x:c r="P235" s="88" t="n">
        <x:f>'Datos_fuente'!N235</x:f>
        <x:v>0</x:v>
      </x:c>
      <x:c r="Q235" s="90" t="n">
        <x:f>IF('Datos_fuente'!O235="","",LN('Datos_fuente'!O235))</x:f>
        <x:v>11.047690447799594</x:v>
      </x:c>
      <x:c r="R235" s="90" t="n">
        <x:f>IF(OR(Q235="",Q234=""),"",Q235-Q234)</x:f>
        <x:v>0.0050697774208323665</x:v>
      </x:c>
      <x:c r="S235" s="55" t="n">
        <x:f>'Datos_fuente'!R235</x:f>
        <x:v>7.434761905</x:v>
      </x:c>
      <x:c r="T235" s="55" t="n">
        <x:f>IF(OR(S235="",S234=""),"",S235-S234)</x:f>
        <x:v>0.10269047600000025</x:v>
      </x:c>
      <x:c r="U235" s="90" t="n">
        <x:f>IF('Datos_fuente'!S235="","",ASINH('Datos_fuente'!S235/1000))</x:f>
        <x:v>-0.01733913116506784</x:v>
      </x:c>
      <x:c r="V235" s="90" t="n">
        <x:f>IF(OR(U235="",U234=""),"",U235-U234)</x:f>
        <x:v>-0.07188208353138222</x:v>
      </x:c>
      <x:c r="W235" s="90" t="n">
        <x:f>IF('Datos_fuente'!T235="","",ASINH('Datos_fuente'!T235/1000))</x:f>
        <x:v>-1.1439773887848388</x:v>
      </x:c>
      <x:c r="X235" s="90" t="n">
        <x:f>IF(OR(W235="",W234=""),"",W235-W234)</x:f>
        <x:v>0.6593306349439498</x:v>
      </x:c>
      <x:c r="Y235" s="55" t="n">
        <x:f>'Datos_fuente'!W235</x:f>
        <x:v>2.223290093</x:v>
      </x:c>
      <x:c r="Z235" s="55" t="n">
        <x:f>IF(OR(Y235="",Y234=""),"",Y235-Y234)</x:f>
        <x:v>-0.08760708699999986</x:v>
      </x:c>
      <x:c r="AA235" s="90" t="n">
        <x:f>'Datos_fuente'!AA235</x:f>
        <x:v>0.1570510632</x:v>
      </x:c>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t="str">
        <x:f>'Datos_fuente'!A236</x:f>
        <x:v>2025-02</x:v>
      </x:c>
      <x:c r="B236" s="90" t="n">
        <x:f>IF('Datos_fuente'!B236="","",LN('Datos_fuente'!B236))</x:f>
        <x:v>8.325537146488653</x:v>
      </x:c>
      <x:c r="C236" s="90" t="n">
        <x:f>IF(OR(B236="",B235=""),"",B236-B235)</x:f>
        <x:v>-0.0425914733289634</x:v>
      </x:c>
      <x:c r="D236" s="90" t="n">
        <x:f>IF('Datos_fuente'!C236="","",LN('Datos_fuente'!C236))</x:f>
        <x:v>4.3233111268391</x:v>
      </x:c>
      <x:c r="E236" s="90" t="n">
        <x:f>IF(OR(D236="",D235=""),"",D236-D235)</x:f>
        <x:v>-0.04955435419309584</x:v>
      </x:c>
      <x:c r="F236" s="90" t="n">
        <x:f>IF('Datos_fuente'!E236="","",LN('Datos_fuente'!E236))</x:f>
        <x:v>9.397880786809027</x:v>
      </x:c>
      <x:c r="G236" s="90" t="n">
        <x:f>IF(OR(F236="",F235=""),"",F236-F235)</x:f>
        <x:v>0.009805192544224184</x:v>
      </x:c>
      <x:c r="H236" s="55" t="n">
        <x:f>'Datos_fuente'!H236</x:f>
        <x:v>5.17</x:v>
      </x:c>
      <x:c r="I236" s="55" t="n">
        <x:f>IF(OR(H236="",H235=""),"",H236-H235)</x:f>
        <x:v>0</x:v>
      </x:c>
      <x:c r="J236" s="55" t="n">
        <x:f>'Datos_fuente'!J236</x:f>
        <x:v>7.021169873</x:v>
      </x:c>
      <x:c r="K236" s="55" t="n">
        <x:f>IF(OR(J236="",J235=""),"",J236-J235)</x:f>
        <x:v>0.2455931800000002</x:v>
      </x:c>
      <x:c r="L236" s="90" t="n">
        <x:f>IF('Datos_fuente'!K236="","",LN('Datos_fuente'!K236))</x:f>
        <x:v>4.851059727476451</x:v>
      </x:c>
      <x:c r="M236" s="90" t="n">
        <x:f>IF(OR(L236="",L235=""),"",L236-L235)</x:f>
        <x:v>-0.007487942562107719</x:v>
      </x:c>
      <x:c r="N236" s="90" t="n">
        <x:f>IF('Datos_fuente'!L236="","",LN('Datos_fuente'!L236))</x:f>
        <x:v>2.831329217262381</x:v>
      </x:c>
      <x:c r="O236" s="90" t="n">
        <x:f>IF(OR(N236="",N235=""),"",N236-N235)</x:f>
        <x:v>0.012117179155178182</x:v>
      </x:c>
      <x:c r="P236" s="88" t="n">
        <x:f>'Datos_fuente'!N236</x:f>
        <x:v>0</x:v>
      </x:c>
      <x:c r="Q236" s="90" t="n">
        <x:f>IF('Datos_fuente'!O236="","",LN('Datos_fuente'!O236))</x:f>
        <x:v>11.05801708696551</x:v>
      </x:c>
      <x:c r="R236" s="90" t="n">
        <x:f>IF(OR(Q236="",Q235=""),"",Q236-Q235)</x:f>
        <x:v>0.010326639165915807</x:v>
      </x:c>
      <x:c r="S236" s="55" t="n">
        <x:f>'Datos_fuente'!R236</x:f>
        <x:v>7.643947368</x:v>
      </x:c>
      <x:c r="T236" s="55" t="n">
        <x:f>IF(OR(S236="",S235=""),"",S236-S235)</x:f>
        <x:v>0.20918546299999985</x:v>
      </x:c>
      <x:c r="U236" s="90" t="n">
        <x:f>IF('Datos_fuente'!S236="","",ASINH('Datos_fuente'!S236/1000))</x:f>
        <x:v>0.22110407180974423</x:v>
      </x:c>
      <x:c r="V236" s="90" t="n">
        <x:f>IF(OR(U236="",U235=""),"",U236-U235)</x:f>
        <x:v>0.23844320297481206</x:v>
      </x:c>
      <x:c r="W236" s="90" t="n">
        <x:f>IF('Datos_fuente'!T236="","",ASINH('Datos_fuente'!T236/1000))</x:f>
        <x:v>-1.321812270136787</x:v>
      </x:c>
      <x:c r="X236" s="90" t="n">
        <x:f>IF(OR(W236="",W235=""),"",W236-W235)</x:f>
        <x:v>-0.17783488135194814</x:v>
      </x:c>
      <x:c r="Y236" s="55" t="n">
        <x:f>'Datos_fuente'!W236</x:f>
        <x:v>2.452847802</x:v>
      </x:c>
      <x:c r="Z236" s="55" t="n">
        <x:f>IF(OR(Y236="",Y235=""),"",Y236-Y235)</x:f>
        <x:v>0.22955770899999983</x:v>
      </x:c>
      <x:c r="AA236" s="90" t="n">
        <x:f>'Datos_fuente'!AA236</x:f>
        <x:v>-1.137999396</x:v>
      </x:c>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t="str">
        <x:f>'Datos_fuente'!A237</x:f>
        <x:v>2025-03</x:v>
      </x:c>
      <x:c r="B237" s="90" t="n">
        <x:f>IF('Datos_fuente'!B237="","",LN('Datos_fuente'!B237))</x:f>
        <x:v>8.32789161470303</x:v>
      </x:c>
      <x:c r="C237" s="90" t="n">
        <x:f>IF(OR(B237="",B236=""),"",B237-B236)</x:f>
        <x:v>0.0023544682143779028</x:v>
      </x:c>
      <x:c r="D237" s="90" t="n">
        <x:f>IF('Datos_fuente'!C237="","",LN('Datos_fuente'!C237))</x:f>
        <x:v>4.2867932375966875</x:v>
      </x:c>
      <x:c r="E237" s="90" t="n">
        <x:f>IF(OR(D237="",D236=""),"",D237-D236)</x:f>
        <x:v>-0.03651788924241206</x:v>
      </x:c>
      <x:c r="F237" s="90" t="n">
        <x:f>IF('Datos_fuente'!E237="","",LN('Datos_fuente'!E237))</x:f>
        <x:v>9.413939774585744</x:v>
      </x:c>
      <x:c r="G237" s="90" t="n">
        <x:f>IF(OR(F237="",F236=""),"",F237-F236)</x:f>
        <x:v>0.01605898777671655</x:v>
      </x:c>
      <x:c r="H237" s="55" t="n">
        <x:f>'Datos_fuente'!H237</x:f>
        <x:v>5.17</x:v>
      </x:c>
      <x:c r="I237" s="55" t="n">
        <x:f>IF(OR(H237="",H236=""),"",H237-H236)</x:f>
        <x:v>0</x:v>
      </x:c>
      <x:c r="J237" s="55" t="n">
        <x:f>'Datos_fuente'!J237</x:f>
        <x:v>7.317183331</x:v>
      </x:c>
      <x:c r="K237" s="55" t="n">
        <x:f>IF(OR(J237="",J236=""),"",J237-J236)</x:f>
        <x:v>0.296013458</x:v>
      </x:c>
      <x:c r="L237" s="90" t="n">
        <x:f>IF('Datos_fuente'!K237="","",LN('Datos_fuente'!K237))</x:f>
        <x:v>4.838208960894518</x:v>
      </x:c>
      <x:c r="M237" s="90" t="n">
        <x:f>IF(OR(L237="",L236=""),"",L237-L236)</x:f>
        <x:v>-0.012850766581933293</x:v>
      </x:c>
      <x:c r="N237" s="90" t="n">
        <x:f>IF('Datos_fuente'!L237="","",LN('Datos_fuente'!L237))</x:f>
        <x:v>3.0838085594518025</x:v>
      </x:c>
      <x:c r="O237" s="90" t="n">
        <x:f>IF(OR(N237="",N236=""),"",N237-N236)</x:f>
        <x:v>0.25247934218942136</x:v>
      </x:c>
      <x:c r="P237" s="88" t="n">
        <x:f>'Datos_fuente'!N237</x:f>
        <x:v>0</x:v>
      </x:c>
      <x:c r="Q237" s="90" t="n">
        <x:f>IF('Datos_fuente'!O237="","",LN('Datos_fuente'!O237))</x:f>
        <x:v>11.064354506326959</x:v>
      </x:c>
      <x:c r="R237" s="90" t="n">
        <x:f>IF(OR(Q237="",Q236=""),"",Q237-Q236)</x:f>
        <x:v>0.006337419361448937</x:v>
      </x:c>
      <x:c r="S237" s="55" t="n">
        <x:f>'Datos_fuente'!R237</x:f>
        <x:v>8.06802381</x:v>
      </x:c>
      <x:c r="T237" s="55" t="n">
        <x:f>IF(OR(S237="",S236=""),"",S237-S236)</x:f>
        <x:v>0.4240764419999996</x:v>
      </x:c>
      <x:c r="U237" s="90" t="n">
        <x:f>IF('Datos_fuente'!S237="","",ASINH('Datos_fuente'!S237/1000))</x:f>
        <x:v>0.20518717529283512</x:v>
      </x:c>
      <x:c r="V237" s="90" t="n">
        <x:f>IF(OR(U237="",U236=""),"",U237-U236)</x:f>
        <x:v>-0.015916896516909113</x:v>
      </x:c>
      <x:c r="W237" s="90" t="n">
        <x:f>IF('Datos_fuente'!T237="","",ASINH('Datos_fuente'!T237/1000))</x:f>
        <x:v>-1.5671160519798288</x:v>
      </x:c>
      <x:c r="X237" s="90" t="n">
        <x:f>IF(OR(W237="",W236=""),"",W237-W236)</x:f>
        <x:v>-0.2453037818430419</x:v>
      </x:c>
      <x:c r="Y237" s="55" t="n">
        <x:f>'Datos_fuente'!W237</x:f>
        <x:v>2.69833327</x:v>
      </x:c>
      <x:c r="Z237" s="55" t="n">
        <x:f>IF(OR(Y237="",Y236=""),"",Y237-Y236)</x:f>
        <x:v>0.24548546800000004</x:v>
      </x:c>
      <x:c r="AA237" s="90" t="n">
        <x:f>'Datos_fuente'!AA237</x:f>
        <x:v>-0.5533742554</x:v>
      </x:c>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t="str">
        <x:f>'Datos_fuente'!A238</x:f>
        <x:v>2025-04</x:v>
      </x:c>
      <x:c r="B238" s="90" t="n">
        <x:f>IF('Datos_fuente'!B238="","",LN('Datos_fuente'!B238))</x:f>
        <x:v>8.361768567132886</x:v>
      </x:c>
      <x:c r="C238" s="90" t="n">
        <x:f>IF(OR(B238="",B237=""),"",B238-B237)</x:f>
        <x:v>0.03387695242985522</x:v>
      </x:c>
      <x:c r="D238" s="90" t="n">
        <x:f>IF('Datos_fuente'!C238="","",LN('Datos_fuente'!C238))</x:f>
        <x:v>4.221483692802509</x:v>
      </x:c>
      <x:c r="E238" s="90" t="n">
        <x:f>IF(OR(D238="",D237=""),"",D238-D237)</x:f>
        <x:v>-0.06530954479417872</x:v>
      </x:c>
      <x:c r="F238" s="90" t="n">
        <x:f>IF('Datos_fuente'!E238="","",LN('Datos_fuente'!E238))</x:f>
        <x:v>9.427553573475247</x:v>
      </x:c>
      <x:c r="G238" s="90" t="n">
        <x:f>IF(OR(F238="",F237=""),"",F238-F237)</x:f>
        <x:v>0.013613798889503315</x:v>
      </x:c>
      <x:c r="H238" s="55" t="n">
        <x:f>'Datos_fuente'!H238</x:f>
        <x:v>5.17</x:v>
      </x:c>
      <x:c r="I238" s="55" t="n">
        <x:f>IF(OR(H238="",H237=""),"",H238-H237)</x:f>
        <x:v>0</x:v>
      </x:c>
      <x:c r="J238" s="55" t="n">
        <x:f>'Datos_fuente'!J238</x:f>
        <x:v>7.046019782</x:v>
      </x:c>
      <x:c r="K238" s="55" t="n">
        <x:f>IF(OR(J238="",J237=""),"",J238-J237)</x:f>
        <x:v>-0.2711635489999997</x:v>
      </x:c>
      <x:c r="L238" s="90" t="n">
        <x:f>IF('Datos_fuente'!K238="","",LN('Datos_fuente'!K238))</x:f>
        <x:v>4.8214115720684685</x:v>
      </x:c>
      <x:c r="M238" s="90" t="n">
        <x:f>IF(OR(L238="",L237=""),"",L238-L237)</x:f>
        <x:v>-0.016797388826049087</x:v>
      </x:c>
      <x:c r="N238" s="90" t="n">
        <x:f>IF('Datos_fuente'!L238="","",LN('Datos_fuente'!L238))</x:f>
        <x:v>3.464678796759966</x:v>
      </x:c>
      <x:c r="O238" s="90" t="n">
        <x:f>IF(OR(N238="",N237=""),"",N238-N237)</x:f>
        <x:v>0.3808702373081636</x:v>
      </x:c>
      <x:c r="P238" s="88" t="n">
        <x:f>'Datos_fuente'!N238</x:f>
        <x:v>0</x:v>
      </x:c>
      <x:c r="Q238" s="90" t="n">
        <x:f>IF('Datos_fuente'!O238="","",LN('Datos_fuente'!O238))</x:f>
        <x:v>11.07644295237728</x:v>
      </x:c>
      <x:c r="R238" s="90" t="n">
        <x:f>IF(OR(Q238="",Q237=""),"",Q238-Q237)</x:f>
        <x:v>0.012088446050320556</x:v>
      </x:c>
      <x:c r="S238" s="55" t="n">
        <x:f>'Datos_fuente'!R238</x:f>
        <x:v>8.442452381</x:v>
      </x:c>
      <x:c r="T238" s="55" t="n">
        <x:f>IF(OR(S238="",S237=""),"",S238-S237)</x:f>
        <x:v>0.37442857100000104</x:v>
      </x:c>
      <x:c r="U238" s="90" t="n">
        <x:f>IF('Datos_fuente'!S238="","",ASINH('Datos_fuente'!S238/1000))</x:f>
        <x:v>0.13467254488379926</x:v>
      </x:c>
      <x:c r="V238" s="90" t="n">
        <x:f>IF(OR(U238="",U237=""),"",U238-U237)</x:f>
        <x:v>-0.07051463040903586</x:v>
      </x:c>
      <x:c r="W238" s="90" t="n">
        <x:f>IF('Datos_fuente'!T238="","",ASINH('Datos_fuente'!T238/1000))</x:f>
        <x:v>-1.2085457106483593</x:v>
      </x:c>
      <x:c r="X238" s="90" t="n">
        <x:f>IF(OR(W238="",W237=""),"",W238-W237)</x:f>
        <x:v>0.3585703413314696</x:v>
      </x:c>
      <x:c r="Y238" s="55" t="n">
        <x:f>'Datos_fuente'!W238</x:f>
        <x:v>2.846102931</x:v>
      </x:c>
      <x:c r="Z238" s="55" t="n">
        <x:f>IF(OR(Y238="",Y237=""),"",Y238-Y237)</x:f>
        <x:v>0.14776966099999989</x:v>
      </x:c>
      <x:c r="AA238" s="90" t="n">
        <x:f>'Datos_fuente'!AA238</x:f>
        <x:v>0.22912326</x:v>
      </x:c>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t="str">
        <x:f>'Datos_fuente'!A239</x:f>
        <x:v>2025-05</x:v>
      </x:c>
      <x:c r="B239" s="90" t="n">
        <x:f>IF('Datos_fuente'!B239="","",LN('Datos_fuente'!B239))</x:f>
        <x:v>8.34364355189407</x:v>
      </x:c>
      <x:c r="C239" s="90" t="n">
        <x:f>IF(OR(B239="",B238=""),"",B239-B238)</x:f>
        <x:v>-0.018125015238815934</x:v>
      </x:c>
      <x:c r="D239" s="90" t="n">
        <x:f>IF('Datos_fuente'!C239="","",LN('Datos_fuente'!C239))</x:f>
        <x:v>4.16593627601329</x:v>
      </x:c>
      <x:c r="E239" s="90" t="n">
        <x:f>IF(OR(D239="",D238=""),"",D239-D238)</x:f>
        <x:v>-0.05554741678921893</x:v>
      </x:c>
      <x:c r="F239" s="90" t="n">
        <x:f>IF('Datos_fuente'!E239="","",LN('Datos_fuente'!E239))</x:f>
        <x:v>9.438424498524403</x:v>
      </x:c>
      <x:c r="G239" s="90" t="n">
        <x:f>IF(OR(F239="",F238=""),"",F239-F238)</x:f>
        <x:v>0.0108709250491561</x:v>
      </x:c>
      <x:c r="H239" s="55" t="n">
        <x:f>'Datos_fuente'!H239</x:f>
        <x:v>4.928064516</x:v>
      </x:c>
      <x:c r="I239" s="55" t="n">
        <x:f>IF(OR(H239="",H238=""),"",H239-H238)</x:f>
        <x:v>-0.24193548399999987</x:v>
      </x:c>
      <x:c r="J239" s="55" t="n">
        <x:f>'Datos_fuente'!J239</x:f>
        <x:v>7.127072678</x:v>
      </x:c>
      <x:c r="K239" s="55" t="n">
        <x:f>IF(OR(J239="",J238=""),"",J239-J238)</x:f>
        <x:v>0.0810528960000001</x:v>
      </x:c>
      <x:c r="L239" s="90" t="n">
        <x:f>IF('Datos_fuente'!K239="","",LN('Datos_fuente'!K239))</x:f>
        <x:v>4.806821724902358</x:v>
      </x:c>
      <x:c r="M239" s="90" t="n">
        <x:f>IF(OR(L239="",L238=""),"",L239-L238)</x:f>
        <x:v>-0.014589847166110559</x:v>
      </x:c>
      <x:c r="N239" s="90" t="n">
        <x:f>IF('Datos_fuente'!L239="","",LN('Datos_fuente'!L239))</x:f>
        <x:v>3.0185828359770523</x:v>
      </x:c>
      <x:c r="O239" s="90" t="n">
        <x:f>IF(OR(N239="",N238=""),"",N239-N238)</x:f>
        <x:v>-0.4460959607829138</x:v>
      </x:c>
      <x:c r="P239" s="88" t="n">
        <x:f>'Datos_fuente'!N239</x:f>
        <x:v>0</x:v>
      </x:c>
      <x:c r="Q239" s="90" t="n">
        <x:f>IF('Datos_fuente'!O239="","",LN('Datos_fuente'!O239))</x:f>
        <x:v>11.075847391270864</x:v>
      </x:c>
      <x:c r="R239" s="90" t="n">
        <x:f>IF(OR(Q239="",Q238=""),"",Q239-Q238)</x:f>
        <x:v>-0.0005955611064152322</x:v>
      </x:c>
      <x:c r="S239" s="55" t="n">
        <x:f>'Datos_fuente'!R239</x:f>
        <x:v>8.293333333</x:v>
      </x:c>
      <x:c r="T239" s="55" t="n">
        <x:f>IF(OR(S239="",S238=""),"",S239-S238)</x:f>
        <x:v>-0.1491190480000011</x:v>
      </x:c>
      <x:c r="U239" s="90" t="n">
        <x:f>IF('Datos_fuente'!S239="","",ASINH('Datos_fuente'!S239/1000))</x:f>
        <x:v>0.022748038032435018</x:v>
      </x:c>
      <x:c r="V239" s="90" t="n">
        <x:f>IF(OR(U239="",U238=""),"",U239-U238)</x:f>
        <x:v>-0.11192450685136424</x:v>
      </x:c>
      <x:c r="W239" s="90" t="n">
        <x:f>IF('Datos_fuente'!T239="","",ASINH('Datos_fuente'!T239/1000))</x:f>
        <x:v>-1.5014828211541618</x:v>
      </x:c>
      <x:c r="X239" s="90" t="n">
        <x:f>IF(OR(W239="",W238=""),"",W239-W238)</x:f>
        <x:v>-0.2929371105058025</x:v>
      </x:c>
      <x:c r="Y239" s="55" t="n">
        <x:f>'Datos_fuente'!W239</x:f>
        <x:v>2.696880683</x:v>
      </x:c>
      <x:c r="Z239" s="55" t="n">
        <x:f>IF(OR(Y239="",Y238=""),"",Y239-Y238)</x:f>
        <x:v>-0.14922224800000006</x:v>
      </x:c>
      <x:c r="AA239" s="90" t="n">
        <x:f>'Datos_fuente'!AA239</x:f>
        <x:v>-0.934745192</x:v>
      </x:c>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t="str">
        <x:f>'Datos_fuente'!A240</x:f>
        <x:v>2025-06</x:v>
      </x:c>
      <x:c r="B240" s="90" t="n">
        <x:f>IF('Datos_fuente'!B240="","",LN('Datos_fuente'!B240))</x:f>
        <x:v>8.322025880072617</x:v>
      </x:c>
      <x:c r="C240" s="90" t="n">
        <x:f>IF(OR(B240="",B239=""),"",B240-B239)</x:f>
        <x:v>-0.02161767182145269</x:v>
      </x:c>
      <x:c r="D240" s="90" t="n">
        <x:f>IF('Datos_fuente'!C240="","",LN('Datos_fuente'!C240))</x:f>
        <x:v>4.268924590281886</x:v>
      </x:c>
      <x:c r="E240" s="90" t="n">
        <x:f>IF(OR(D240="",D239=""),"",D240-D239)</x:f>
        <x:v>0.10298831426859589</x:v>
      </x:c>
      <x:c r="F240" s="90" t="n">
        <x:f>IF('Datos_fuente'!E240="","",LN('Datos_fuente'!E240))</x:f>
        <x:v>9.44373361527114</x:v>
      </x:c>
      <x:c r="G240" s="90" t="n">
        <x:f>IF(OR(F240="",F239=""),"",F240-F239)</x:f>
        <x:v>0.005309116746737175</x:v>
      </x:c>
      <x:c r="H240" s="55" t="n">
        <x:f>'Datos_fuente'!H240</x:f>
        <x:v>4.92</x:v>
      </x:c>
      <x:c r="I240" s="55" t="n">
        <x:f>IF(OR(H240="",H239=""),"",H240-H239)</x:f>
        <x:v>-0.008064516000000133</x:v>
      </x:c>
      <x:c r="J240" s="55" t="n">
        <x:f>'Datos_fuente'!J240</x:f>
        <x:v>6.902094389</x:v>
      </x:c>
      <x:c r="K240" s="55" t="n">
        <x:f>IF(OR(J240="",J239=""),"",J240-J239)</x:f>
        <x:v>-0.22497828900000005</x:v>
      </x:c>
      <x:c r="L240" s="90" t="n">
        <x:f>IF('Datos_fuente'!K240="","",LN('Datos_fuente'!K240))</x:f>
        <x:v>4.792428453813842</x:v>
      </x:c>
      <x:c r="M240" s="90" t="n">
        <x:f>IF(OR(L240="",L239=""),"",L240-L239)</x:f>
        <x:v>-0.01439327108851618</x:v>
      </x:c>
      <x:c r="N240" s="90" t="n">
        <x:f>IF('Datos_fuente'!L240="","",LN('Datos_fuente'!L240))</x:f>
        <x:v>2.912531807446717</x:v>
      </x:c>
      <x:c r="O240" s="90" t="n">
        <x:f>IF(OR(N240="",N239=""),"",N240-N239)</x:f>
        <x:v>-0.10605102853033532</x:v>
      </x:c>
      <x:c r="P240" s="88" t="n">
        <x:f>'Datos_fuente'!N240</x:f>
        <x:v>0</x:v>
      </x:c>
      <x:c r="Q240" s="90" t="n">
        <x:f>IF('Datos_fuente'!O240="","",LN('Datos_fuente'!O240))</x:f>
        <x:v>11.08464986447175</x:v>
      </x:c>
      <x:c r="R240" s="90" t="n">
        <x:f>IF(OR(Q240="",Q239=""),"",Q240-Q239)</x:f>
        <x:v>0.008802473200885785</x:v>
      </x:c>
      <x:c r="S240" s="55" t="n">
        <x:f>'Datos_fuente'!R240</x:f>
        <x:v>8.609277778</x:v>
      </x:c>
      <x:c r="T240" s="55" t="n">
        <x:f>IF(OR(S240="",S239=""),"",S240-S239)</x:f>
        <x:v>0.3159444449999995</x:v>
      </x:c>
      <x:c r="U240" s="90" t="n">
        <x:f>IF('Datos_fuente'!S240="","",ASINH('Datos_fuente'!S240/1000))</x:f>
        <x:v>0.08286513339541302</x:v>
      </x:c>
      <x:c r="V240" s="90" t="n">
        <x:f>IF(OR(U240="",U239=""),"",U240-U239)</x:f>
        <x:v>0.060117095362978</x:v>
      </x:c>
      <x:c r="W240" s="90" t="n">
        <x:f>IF('Datos_fuente'!T240="","",ASINH('Datos_fuente'!T240/1000))</x:f>
        <x:v>-1.2289285767921616</x:v>
      </x:c>
      <x:c r="X240" s="90" t="n">
        <x:f>IF(OR(W240="",W239=""),"",W240-W239)</x:f>
        <x:v>0.27255424436200015</x:v>
      </x:c>
      <x:c r="Y240" s="55" t="n">
        <x:f>'Datos_fuente'!W240</x:f>
        <x:v>2.157122593</x:v>
      </x:c>
      <x:c r="Z240" s="55" t="n">
        <x:f>IF(OR(Y240="",Y239=""),"",Y240-Y239)</x:f>
        <x:v>-0.5397580899999999</x:v>
      </x:c>
      <x:c r="AA240" s="90" t="n">
        <x:f>'Datos_fuente'!AA240</x:f>
        <x:v>-0.5998585254</x:v>
      </x:c>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t="str">
        <x:f>'Datos_fuente'!A241</x:f>
        <x:v>2025-07</x:v>
      </x:c>
      <x:c r="B241" s="90" t="n">
        <x:f>IF('Datos_fuente'!B241="","",LN('Datos_fuente'!B241))</x:f>
        <x:v>8.304209945691136</x:v>
      </x:c>
      <x:c r="C241" s="90" t="n">
        <x:f>IF(OR(B241="",B240=""),"",B241-B240)</x:f>
        <x:v>-0.017815934381481213</x:v>
      </x:c>
      <x:c r="D241" s="90" t="n">
        <x:f>IF('Datos_fuente'!C241="","",LN('Datos_fuente'!C241))</x:f>
        <x:v>4.263261459298016</x:v>
      </x:c>
      <x:c r="E241" s="90" t="n">
        <x:f>IF(OR(D241="",D240=""),"",D241-D240)</x:f>
        <x:v>-0.005663130983870168</x:v>
      </x:c>
      <x:c r="F241" s="90" t="n">
        <x:f>IF('Datos_fuente'!E241="","",LN('Datos_fuente'!E241))</x:f>
        <x:v>9.455691499514478</x:v>
      </x:c>
      <x:c r="G241" s="90" t="n">
        <x:f>IF(OR(F241="",F240=""),"",F241-F240)</x:f>
        <x:v>0.011957884243336991</x:v>
      </x:c>
      <x:c r="H241" s="55" t="n">
        <x:f>'Datos_fuente'!H241</x:f>
        <x:v>4.92</x:v>
      </x:c>
      <x:c r="I241" s="55" t="n">
        <x:f>IF(OR(H241="",H240=""),"",H241-H240)</x:f>
        <x:v>0</x:v>
      </x:c>
      <x:c r="J241" s="55" t="n">
        <x:f>'Datos_fuente'!J241</x:f>
        <x:v>6.856711008</x:v>
      </x:c>
      <x:c r="K241" s="55" t="n">
        <x:f>IF(OR(J241="",J240=""),"",J241-J240)</x:f>
        <x:v>-0.04538338099999972</x:v>
      </x:c>
      <x:c r="L241" s="90" t="n">
        <x:f>IF('Datos_fuente'!K241="","",LN('Datos_fuente'!K241))</x:f>
        <x:v>4.788430392945447</x:v>
      </x:c>
      <x:c r="M241" s="90" t="n">
        <x:f>IF(OR(L241="",L240=""),"",L241-L240)</x:f>
        <x:v>-0.003998060868394937</x:v>
      </x:c>
      <x:c r="N241" s="90" t="n">
        <x:f>IF('Datos_fuente'!L241="","",LN('Datos_fuente'!L241))</x:f>
        <x:v>2.7961407059017023</x:v>
      </x:c>
      <x:c r="O241" s="90" t="n">
        <x:f>IF(OR(N241="",N240=""),"",N241-N240)</x:f>
        <x:v>-0.11639110154501475</x:v>
      </x:c>
      <x:c r="P241" s="88" t="n">
        <x:f>'Datos_fuente'!N241</x:f>
        <x:v>0</x:v>
      </x:c>
      <x:c r="Q241" s="90" t="n">
        <x:f>IF('Datos_fuente'!O241="","",LN('Datos_fuente'!O241))</x:f>
        <x:v>11.080315342090193</x:v>
      </x:c>
      <x:c r="R241" s="90" t="n">
        <x:f>IF(OR(Q241="",Q240=""),"",Q241-Q240)</x:f>
        <x:v>-0.004334522381556738</x:v>
      </x:c>
      <x:c r="S241" s="55" t="n">
        <x:f>'Datos_fuente'!R241</x:f>
        <x:v>8.064703557</x:v>
      </x:c>
      <x:c r="T241" s="55" t="n">
        <x:f>IF(OR(S241="",S240=""),"",S241-S240)</x:f>
        <x:v>-0.5445742209999995</x:v>
      </x:c>
      <x:c r="U241" s="90" t="n">
        <x:f>IF('Datos_fuente'!S241="","",ASINH('Datos_fuente'!S241/1000))</x:f>
        <x:v>0.042137529194528164</x:v>
      </x:c>
      <x:c r="V241" s="90" t="n">
        <x:f>IF(OR(U241="",U240=""),"",U241-U240)</x:f>
        <x:v>-0.04072760420088485</x:v>
      </x:c>
      <x:c r="W241" s="90" t="n">
        <x:f>IF('Datos_fuente'!T241="","",ASINH('Datos_fuente'!T241/1000))</x:f>
        <x:v>-1.712299572707842</x:v>
      </x:c>
      <x:c r="X241" s="90" t="n">
        <x:f>IF(OR(W241="",W240=""),"",W241-W240)</x:f>
        <x:v>-0.48337099591568045</x:v>
      </x:c>
      <x:c r="Y241" s="55" t="n">
        <x:f>'Datos_fuente'!W241</x:f>
        <x:v>2.19521593</x:v>
      </x:c>
      <x:c r="Z241" s="55" t="n">
        <x:f>IF(OR(Y241="",Y240=""),"",Y241-Y240)</x:f>
        <x:v>0.03809333699999984</x:v>
      </x:c>
      <x:c r="AA241" s="90" t="n">
        <x:f>'Datos_fuente'!AA241</x:f>
        <x:v>-0.1194245278</x:v>
      </x:c>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t="str">
        <x:f>'Datos_fuente'!A242</x:f>
        <x:v>2025-08</x:v>
      </x:c>
      <x:c r="B242" s="90" t="n">
        <x:f>IF('Datos_fuente'!B242="","",LN('Datos_fuente'!B242))</x:f>
        <x:v>8.305832847882838</x:v>
      </x:c>
      <x:c r="C242" s="90" t="n">
        <x:f>IF(OR(B242="",B241=""),"",B242-B241)</x:f>
        <x:v>0.0016229021917020248</x:v>
      </x:c>
      <x:c r="D242" s="90" t="n">
        <x:f>IF('Datos_fuente'!C242="","",LN('Datos_fuente'!C242))</x:f>
        <x:v>4.217594110715667</x:v>
      </x:c>
      <x:c r="E242" s="90" t="n">
        <x:f>IF(OR(D242="",D241=""),"",D242-D241)</x:f>
        <x:v>-0.045667348582348666</x:v>
      </x:c>
      <x:c r="F242" s="90" t="n">
        <x:f>IF('Datos_fuente'!E242="","",LN('Datos_fuente'!E242))</x:f>
        <x:v>9.462432053672934</x:v>
      </x:c>
      <x:c r="G242" s="90" t="n">
        <x:f>IF(OR(F242="",F241=""),"",F242-F241)</x:f>
        <x:v>0.006740554158456646</x:v>
      </x:c>
      <x:c r="H242" s="55" t="n">
        <x:f>'Datos_fuente'!H242</x:f>
        <x:v>4.92</x:v>
      </x:c>
      <x:c r="I242" s="55" t="n">
        <x:f>IF(OR(H242="",H241=""),"",H242-H241)</x:f>
        <x:v>0</x:v>
      </x:c>
      <x:c r="J242" s="55" t="n">
        <x:f>'Datos_fuente'!J242</x:f>
        <x:v>6.581444247</x:v>
      </x:c>
      <x:c r="K242" s="55" t="n">
        <x:f>IF(OR(J242="",J241=""),"",J242-J241)</x:f>
        <x:v>-0.27526676100000014</x:v>
      </x:c>
      <x:c r="L242" s="90" t="n">
        <x:f>IF('Datos_fuente'!K242="","",LN('Datos_fuente'!K242))</x:f>
        <x:v>4.792278956600309</x:v>
      </x:c>
      <x:c r="M242" s="90" t="n">
        <x:f>IF(OR(L242="",L241=""),"",L242-L241)</x:f>
        <x:v>0.0038485636548619695</x:v>
      </x:c>
      <x:c r="N242" s="90" t="n">
        <x:f>IF('Datos_fuente'!L242="","",LN('Datos_fuente'!L242))</x:f>
        <x:v>2.7568403652716422</x:v>
      </x:c>
      <x:c r="O242" s="90" t="n">
        <x:f>IF(OR(N242="",N241=""),"",N242-N241)</x:f>
        <x:v>-0.03930034063006005</x:v>
      </x:c>
      <x:c r="P242" s="88" t="n">
        <x:f>'Datos_fuente'!N242</x:f>
        <x:v>0</x:v>
      </x:c>
      <x:c r="Q242" s="90" t="n">
        <x:f>IF('Datos_fuente'!O242="","",LN('Datos_fuente'!O242))</x:f>
        <x:v>11.0893013251224</x:v>
      </x:c>
      <x:c r="R242" s="90" t="n">
        <x:f>IF(OR(Q242="",Q241=""),"",Q242-Q241)</x:f>
        <x:v>0.008985983032207656</x:v>
      </x:c>
      <x:c r="S242" s="55" t="n">
        <x:f>'Datos_fuente'!R242</x:f>
        <x:v>8.061027569</x:v>
      </x:c>
      <x:c r="T242" s="55" t="n">
        <x:f>IF(OR(S242="",S241=""),"",S242-S241)</x:f>
        <x:v>-0.003675987999999464</x:v>
      </x:c>
      <x:c r="U242" s="90" t="n">
        <x:f>IF('Datos_fuente'!S242="","",ASINH('Datos_fuente'!S242/1000))</x:f>
        <x:v>-0.10642896382456622</x:v>
      </x:c>
      <x:c r="V242" s="90" t="n">
        <x:f>IF(OR(U242="",U241=""),"",U242-U241)</x:f>
        <x:v>-0.1485664930190944</x:v>
      </x:c>
      <x:c r="W242" s="90" t="n">
        <x:f>IF('Datos_fuente'!T242="","",ASINH('Datos_fuente'!T242/1000))</x:f>
        <x:v>-1.1384876195034876</x:v>
      </x:c>
      <x:c r="X242" s="90" t="n">
        <x:f>IF(OR(W242="",W241=""),"",W242-W241)</x:f>
        <x:v>0.5738119532043544</x:v>
      </x:c>
      <x:c r="Y242" s="55" t="n">
        <x:f>'Datos_fuente'!W242</x:f>
        <x:v>2.178835112</x:v>
      </x:c>
      <x:c r="Z242" s="55" t="n">
        <x:f>IF(OR(Y242="",Y241=""),"",Y242-Y241)</x:f>
        <x:v>-0.01638081800000002</x:v>
      </x:c>
      <x:c r="AA242" s="90" t="n">
        <x:f>'Datos_fuente'!AA242</x:f>
        <x:v>-0.08508103132</x:v>
      </x:c>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t="str">
        <x:f>'Datos_fuente'!A243</x:f>
        <x:v>2025-09</x:v>
      </x:c>
      <x:c r="B243" s="90" t="n">
        <x:f>IF('Datos_fuente'!B243="","",LN('Datos_fuente'!B243))</x:f>
        <x:v>8.274411059349477</x:v>
      </x:c>
      <x:c r="C243" s="90" t="n">
        <x:f>IF(OR(B243="",B242=""),"",B243-B242)</x:f>
        <x:v>-0.031421788533361195</x:v>
      </x:c>
      <x:c r="D243" s="90" t="n">
        <x:f>IF('Datos_fuente'!C243="","",LN('Datos_fuente'!C243))</x:f>
        <x:v>4.219293778618982</x:v>
      </x:c>
      <x:c r="E243" s="90" t="n">
        <x:f>IF(OR(D243="",D242=""),"",D243-D242)</x:f>
        <x:v>0.0016996679033152162</x:v>
      </x:c>
      <x:c r="F243" s="90" t="n">
        <x:f>IF('Datos_fuente'!E243="","",LN('Datos_fuente'!E243))</x:f>
        <x:v>9.467311658908402</x:v>
      </x:c>
      <x:c r="G243" s="90" t="n">
        <x:f>IF(OR(F243="",F242=""),"",F243-F242)</x:f>
        <x:v>0.004879605235467821</x:v>
      </x:c>
      <x:c r="H243" s="55" t="n">
        <x:f>'Datos_fuente'!H243</x:f>
        <x:v>5.03</x:v>
      </x:c>
      <x:c r="I243" s="55" t="n">
        <x:f>IF(OR(H243="",H242=""),"",H243-H242)</x:f>
        <x:v>0.11000000000000032</x:v>
      </x:c>
      <x:c r="J243" s="55" t="n">
        <x:f>'Datos_fuente'!J243</x:f>
        <x:v>6.390943298</x:v>
      </x:c>
      <x:c r="K243" s="55" t="n">
        <x:f>IF(OR(J243="",J242=""),"",J243-J242)</x:f>
        <x:v>-0.19050094900000047</x:v>
      </x:c>
      <x:c r="L243" s="90" t="n">
        <x:f>IF('Datos_fuente'!K243="","",LN('Datos_fuente'!K243))</x:f>
        <x:v>4.787733895960598</x:v>
      </x:c>
      <x:c r="M243" s="90" t="n">
        <x:f>IF(OR(L243="",L242=""),"",L243-L242)</x:f>
        <x:v>-0.004545060639710385</x:v>
      </x:c>
      <x:c r="N243" s="90" t="n">
        <x:f>IF('Datos_fuente'!L243="","",LN('Datos_fuente'!L243))</x:f>
        <x:v>2.759319252829243</x:v>
      </x:c>
      <x:c r="O243" s="90" t="n">
        <x:f>IF(OR(N243="",N242=""),"",N243-N242)</x:f>
        <x:v>0.0024788875576007285</x:v>
      </x:c>
      <x:c r="P243" s="88" t="n">
        <x:f>'Datos_fuente'!N243</x:f>
        <x:v>0</x:v>
      </x:c>
      <x:c r="Q243" s="90" t="n">
        <x:f>IF('Datos_fuente'!O243="","",LN('Datos_fuente'!O243))</x:f>
        <x:v>11.094726727223922</x:v>
      </x:c>
      <x:c r="R243" s="90" t="n">
        <x:f>IF(OR(Q243="",Q242=""),"",Q243-Q242)</x:f>
        <x:v>0.00542540210152076</x:v>
      </x:c>
      <x:c r="S243" s="55" t="n">
        <x:f>'Datos_fuente'!R243</x:f>
        <x:v>7.922705628</x:v>
      </x:c>
      <x:c r="T243" s="55" t="n">
        <x:f>IF(OR(S243="",S242=""),"",S243-S242)</x:f>
        <x:v>-0.13832194100000006</x:v>
      </x:c>
      <x:c r="U243" s="90" t="n">
        <x:f>IF('Datos_fuente'!S243="","",ASINH('Datos_fuente'!S243/1000))</x:f>
        <x:v>-0.14129934494211777</x:v>
      </x:c>
      <x:c r="V243" s="90" t="n">
        <x:f>IF(OR(U243="",U242=""),"",U243-U242)</x:f>
        <x:v>-0.034870381117551544</x:v>
      </x:c>
      <x:c r="W243" s="90" t="n">
        <x:f>IF('Datos_fuente'!T243="","",ASINH('Datos_fuente'!T243/1000))</x:f>
        <x:v>-1.2595411479590768</x:v>
      </x:c>
      <x:c r="X243" s="90" t="n">
        <x:f>IF(OR(W243="",W242=""),"",W243-W242)</x:f>
        <x:v>-0.12105352845558914</x:v>
      </x:c>
      <x:c r="Y243" s="55" t="n">
        <x:f>'Datos_fuente'!W243</x:f>
        <x:v>2.167159358</x:v>
      </x:c>
      <x:c r="Z243" s="55" t="n">
        <x:f>IF(OR(Y243="",Y242=""),"",Y243-Y242)</x:f>
        <x:v>-0.01167575399999965</x:v>
      </x:c>
      <x:c r="AA243" s="90" t="n">
        <x:f>'Datos_fuente'!AA243</x:f>
        <x:v>-0.4456293328</x:v>
      </x:c>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t="str">
        <x:f>'Datos_fuente'!A244</x:f>
        <x:v>2025-10</x:v>
      </x:c>
      <x:c r="B244" s="90" t="n">
        <x:f>IF('Datos_fuente'!B244="","",LN('Datos_fuente'!B244))</x:f>
        <x:v>8.263034824429694</x:v>
      </x:c>
      <x:c r="C244" s="90" t="n">
        <x:f>IF(OR(B244="",B243=""),"",B244-B243)</x:f>
        <x:v>-0.011376234919783457</x:v>
      </x:c>
      <x:c r="D244" s="90" t="n">
        <x:f>IF('Datos_fuente'!C244="","",LN('Datos_fuente'!C244))</x:f>
        <x:v>4.167339078261192</x:v>
      </x:c>
      <x:c r="E244" s="90" t="n">
        <x:f>IF(OR(D244="",D243=""),"",D244-D243)</x:f>
        <x:v>-0.05195470035778982</x:v>
      </x:c>
      <x:c r="F244" s="90" t="n">
        <x:f>IF('Datos_fuente'!E244="","",LN('Datos_fuente'!E244))</x:f>
        <x:v>9.471610191603503</x:v>
      </x:c>
      <x:c r="G244" s="90" t="n">
        <x:f>IF(OR(F244="",F243=""),"",F244-F243)</x:f>
        <x:v>0.004298532695100832</x:v>
      </x:c>
      <x:c r="H244" s="55" t="n">
        <x:f>'Datos_fuente'!H244</x:f>
        <x:v>5.16</x:v>
      </x:c>
      <x:c r="I244" s="55" t="n">
        <x:f>IF(OR(H244="",H243=""),"",H244-H243)</x:f>
        <x:v>0.1299999999999999</x:v>
      </x:c>
      <x:c r="J244" s="55" t="n">
        <x:f>'Datos_fuente'!J244</x:f>
        <x:v>6.18121828</x:v>
      </x:c>
      <x:c r="K244" s="55" t="n">
        <x:f>IF(OR(J244="",J243=""),"",J244-J243)</x:f>
        <x:v>-0.20972501799999943</x:v>
      </x:c>
      <x:c r="L244" s="90" t="n">
        <x:f>IF('Datos_fuente'!K244="","",LN('Datos_fuente'!K244))</x:f>
        <x:v>4.7938200103254305</x:v>
      </x:c>
      <x:c r="M244" s="90" t="n">
        <x:f>IF(OR(L244="",L243=""),"",L244-L243)</x:f>
        <x:v>0.006086114364832085</x:v>
      </x:c>
      <x:c r="N244" s="90" t="n">
        <x:f>IF('Datos_fuente'!L244="","",LN('Datos_fuente'!L244))</x:f>
        <x:v>2.8951670056297245</x:v>
      </x:c>
      <x:c r="O244" s="90" t="n">
        <x:f>IF(OR(N244="",N243=""),"",N244-N243)</x:f>
        <x:v>0.13584775280048156</x:v>
      </x:c>
      <x:c r="P244" s="88" t="n">
        <x:f>'Datos_fuente'!N244</x:f>
        <x:v>0</x:v>
      </x:c>
      <x:c r="Q244" s="90" t="n">
        <x:f>IF('Datos_fuente'!O244="","",LN('Datos_fuente'!O244))</x:f>
        <x:v>11.096266943702132</x:v>
      </x:c>
      <x:c r="R244" s="90" t="n">
        <x:f>IF(OR(Q244="",Q243=""),"",Q244-Q243)</x:f>
        <x:v>0.0015402164782098993</x:v>
      </x:c>
      <x:c r="S244" s="55" t="n">
        <x:f>'Datos_fuente'!R244</x:f>
        <x:v>7.99</x:v>
      </x:c>
      <x:c r="T244" s="55" t="n">
        <x:f>IF(OR(S244="",S243=""),"",S244-S243)</x:f>
        <x:v>0.0672943720000001</x:v>
      </x:c>
      <x:c r="U244" s="90" t="n">
        <x:f>IF('Datos_fuente'!S244="","",ASINH('Datos_fuente'!S244/1000))</x:f>
        <x:v>-0.3411726905057413</x:v>
      </x:c>
      <x:c r="V244" s="90" t="n">
        <x:f>IF(OR(U244="",U243=""),"",U244-U243)</x:f>
        <x:v>-0.19987334556362352</x:v>
      </x:c>
      <x:c r="W244" s="90" t="n">
        <x:f>IF('Datos_fuente'!T244="","",ASINH('Datos_fuente'!T244/1000))</x:f>
        <x:v>-1.1882835379494932</x:v>
      </x:c>
      <x:c r="X244" s="90" t="n">
        <x:f>IF(OR(W244="",W243=""),"",W244-W243)</x:f>
        <x:v>0.07125761000958364</x:v>
      </x:c>
      <x:c r="Y244" s="55" t="n">
        <x:f>'Datos_fuente'!W244</x:f>
        <x:v>2.726629418</x:v>
      </x:c>
      <x:c r="Z244" s="55" t="n">
        <x:f>IF(OR(Y244="",Y243=""),"",Y244-Y243)</x:f>
        <x:v>0.5594700599999998</x:v>
      </x:c>
      <x:c r="AA244" s="90" t="n">
        <x:f>'Datos_fuente'!AA244</x:f>
        <x:v>-0.2050885162</x:v>
      </x:c>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t="str">
        <x:f>'Datos_fuente'!A245</x:f>
        <x:v>2025-11</x:v>
      </x:c>
      <x:c r="B245" s="90" t="n">
        <x:f>IF('Datos_fuente'!B245="","",LN('Datos_fuente'!B245))</x:f>
        <x:v>8.239113754527137</x:v>
      </x:c>
      <x:c r="C245" s="90" t="n">
        <x:f>IF(OR(B245="",B244=""),"",B245-B244)</x:f>
        <x:v>-0.02392106990255627</x:v>
      </x:c>
      <x:c r="D245" s="90" t="n">
        <x:f>IF('Datos_fuente'!C245="","",LN('Datos_fuente'!C245))</x:f>
        <x:v>4.155706167301604</x:v>
      </x:c>
      <x:c r="E245" s="90" t="n">
        <x:f>IF(OR(D245="",D244=""),"",D245-D244)</x:f>
        <x:v>-0.011632910959588294</x:v>
      </x:c>
      <x:c r="F245" s="90" t="n">
        <x:f>IF('Datos_fuente'!E245="","",LN('Datos_fuente'!E245))</x:f>
        <x:v>9.474493804158902</x:v>
      </x:c>
      <x:c r="G245" s="90" t="n">
        <x:f>IF(OR(F245="",F244=""),"",F245-F244)</x:f>
        <x:v>0.00288361255539904</x:v>
      </x:c>
      <x:c r="H245" s="55" t="n">
        <x:f>'Datos_fuente'!H245</x:f>
        <x:v>5.37</x:v>
      </x:c>
      <x:c r="I245" s="55" t="n">
        <x:f>IF(OR(H245="",H244=""),"",H245-H244)</x:f>
        <x:v>0.20999999999999996</x:v>
      </x:c>
      <x:c r="J245" s="55" t="n">
        <x:f>'Datos_fuente'!J245</x:f>
        <x:v>6.592556047</x:v>
      </x:c>
      <x:c r="K245" s="55" t="n">
        <x:f>IF(OR(J245="",J244=""),"",J245-J244)</x:f>
        <x:v>0.411337767</x:v>
      </x:c>
      <x:c r="L245" s="90" t="n">
        <x:f>IF('Datos_fuente'!K245="","",LN('Datos_fuente'!K245))</x:f>
        <x:v>4.799236804551003</x:v>
      </x:c>
      <x:c r="M245" s="90" t="n">
        <x:f>IF(OR(L245="",L244=""),"",L245-L244)</x:f>
        <x:v>0.00541679422557273</x:v>
      </x:c>
      <x:c r="N245" s="90" t="n">
        <x:f>IF('Datos_fuente'!L245="","",LN('Datos_fuente'!L245))</x:f>
        <x:v>2.9841403460179925</x:v>
      </x:c>
      <x:c r="O245" s="90" t="n">
        <x:f>IF(OR(N245="",N244=""),"",N245-N244)</x:f>
        <x:v>0.08897334038826799</x:v>
      </x:c>
      <x:c r="P245" s="88" t="n">
        <x:f>'Datos_fuente'!N245</x:f>
        <x:v>0</x:v>
      </x:c>
      <x:c r="Q245" s="90" t="n">
        <x:f>IF('Datos_fuente'!O245="","",LN('Datos_fuente'!O245))</x:f>
        <x:v>11.099281753073177</x:v>
      </x:c>
      <x:c r="R245" s="90" t="n">
        <x:f>IF(OR(Q245="",Q244=""),"",Q245-Q244)</x:f>
        <x:v>0.0030148093710451462</x:v>
      </x:c>
      <x:c r="S245" s="55" t="n">
        <x:f>'Datos_fuente'!R245</x:f>
        <x:v>8.427777778</x:v>
      </x:c>
      <x:c r="T245" s="55" t="n">
        <x:f>IF(OR(S245="",S244=""),"",S245-S244)</x:f>
        <x:v>0.4377777779999992</x:v>
      </x:c>
      <x:c r="U245" s="90" t="n">
        <x:f>IF('Datos_fuente'!S245="","",ASINH('Datos_fuente'!S245/1000))</x:f>
        <x:v>-0.09575360936168154</x:v>
      </x:c>
      <x:c r="V245" s="90" t="n">
        <x:f>IF(OR(U245="",U244=""),"",U245-U244)</x:f>
        <x:v>0.24541908114405975</x:v>
      </x:c>
      <x:c r="W245" s="90" t="n">
        <x:f>IF('Datos_fuente'!T245="","",ASINH('Datos_fuente'!T245/1000))</x:f>
        <x:v>-0.9312368784977245</x:v>
      </x:c>
      <x:c r="X245" s="90" t="n">
        <x:f>IF(OR(W245="",W244=""),"",W245-W244)</x:f>
        <x:v>0.25704665945176863</x:v>
      </x:c>
      <x:c r="Y245" s="55" t="n">
        <x:f>'Datos_fuente'!W245</x:f>
        <x:v>2.569311606</x:v>
      </x:c>
      <x:c r="Z245" s="55" t="n">
        <x:f>IF(OR(Y245="",Y244=""),"",Y245-Y244)</x:f>
        <x:v>-0.15731781200000006</x:v>
      </x:c>
      <x:c r="AA245" s="90" t="n">
        <x:f>'Datos_fuente'!AA245</x:f>
        <x:v>-0.4212607073</x:v>
      </x:c>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t="str">
        <x:f>'Datos_fuente'!A246</x:f>
        <x:v>2025-12</x:v>
      </x:c>
      <x:c r="B246" s="90" t="n">
        <x:f>IF('Datos_fuente'!B246="","",LN('Datos_fuente'!B246))</x:f>
        <x:v>8.240509596029987</x:v>
      </x:c>
      <x:c r="C246" s="90" t="n">
        <x:f>IF(OR(B246="",B245=""),"",B246-B245)</x:f>
        <x:v>0.0013958415028501037</x:v>
      </x:c>
      <x:c r="D246" s="90" t="n">
        <x:f>IF('Datos_fuente'!C246="","",LN('Datos_fuente'!C246))</x:f>
        <x:v>4.135874877184191</x:v>
      </x:c>
      <x:c r="E246" s="90" t="n">
        <x:f>IF(OR(D246="",D245=""),"",D246-D245)</x:f>
        <x:v>-0.019831290117412692</x:v>
      </x:c>
      <x:c r="F246" s="90" t="n">
        <x:f>IF('Datos_fuente'!E246="","",LN('Datos_fuente'!E246))</x:f>
        <x:v>9.48023543939971</x:v>
      </x:c>
      <x:c r="G246" s="90" t="n">
        <x:f>IF(OR(F246="",F245=""),"",F246-F245)</x:f>
        <x:v>0.005741635240807952</x:v>
      </x:c>
      <x:c r="H246" s="55" t="n">
        <x:f>'Datos_fuente'!H246</x:f>
        <x:v>5.53</x:v>
      </x:c>
      <x:c r="I246" s="55" t="n">
        <x:f>IF(OR(H246="",H245=""),"",H246-H245)</x:f>
        <x:v>0.16000000000000014</x:v>
      </x:c>
      <x:c r="J246" s="55" t="n">
        <x:f>'Datos_fuente'!J246</x:f>
        <x:v>6.354401832</x:v>
      </x:c>
      <x:c r="K246" s="55" t="n">
        <x:f>IF(OR(J246="",J245=""),"",J246-J245)</x:f>
        <x:v>-0.23815421500000067</x:v>
      </x:c>
      <x:c r="L246" s="90" t="n">
        <x:f>IF('Datos_fuente'!K246="","",LN('Datos_fuente'!K246))</x:f>
        <x:v>4.789059868463376</x:v>
      </x:c>
      <x:c r="M246" s="90" t="n">
        <x:f>IF(OR(L246="",L245=""),"",L246-L245)</x:f>
        <x:v>-0.010176936087627375</x:v>
      </x:c>
      <x:c r="N246" s="90" t="n">
        <x:f>IF('Datos_fuente'!L246="","",LN('Datos_fuente'!L246))</x:f>
        <x:v>2.743943707030168</x:v>
      </x:c>
      <x:c r="O246" s="90" t="n">
        <x:f>IF(OR(N246="",N245=""),"",N246-N245)</x:f>
        <x:v>-0.2401966389878245</x:v>
      </x:c>
      <x:c r="P246" s="88" t="n">
        <x:f>'Datos_fuente'!N246</x:f>
        <x:v>0</x:v>
      </x:c>
      <x:c r="Q246" s="90" t="n">
        <x:f>IF('Datos_fuente'!O246="","",LN('Datos_fuente'!O246))</x:f>
        <x:v>11.10273370381667</x:v>
      </x:c>
      <x:c r="R246" s="90" t="n">
        <x:f>IF(OR(Q246="",Q245=""),"",Q246-Q245)</x:f>
        <x:v>0.0034519507434929153</x:v>
      </x:c>
      <x:c r="S246" s="55" t="n">
        <x:f>'Datos_fuente'!R246</x:f>
        <x:v>8.663318182</x:v>
      </x:c>
      <x:c r="T246" s="55" t="n">
        <x:f>IF(OR(S246="",S245=""),"",S246-S245)</x:f>
        <x:v>0.23554040399999998</x:v>
      </x:c>
      <x:c r="U246" s="90" t="n">
        <x:f>IF('Datos_fuente'!S246="","",ASINH('Datos_fuente'!S246/1000))</x:f>
        <x:v>0.1714291073252241</x:v>
      </x:c>
      <x:c r="V246" s="90" t="n">
        <x:f>IF(OR(U246="",U245=""),"",U246-U245)</x:f>
        <x:v>0.26718271668690563</x:v>
      </x:c>
      <x:c r="W246" s="90" t="n">
        <x:f>IF('Datos_fuente'!T246="","",ASINH('Datos_fuente'!T246/1000))</x:f>
        <x:v>-1.6218092650198048</x:v>
      </x:c>
      <x:c r="X246" s="90" t="n">
        <x:f>IF(OR(W246="",W245=""),"",W246-W245)</x:f>
        <x:v>-0.6905723865220803</x:v>
      </x:c>
      <x:c r="Y246" s="55" t="n">
        <x:f>'Datos_fuente'!W246</x:f>
        <x:v>2.423692526</x:v>
      </x:c>
      <x:c r="Z246" s="55" t="n">
        <x:f>IF(OR(Y246="",Y245=""),"",Y246-Y245)</x:f>
        <x:v>-0.1456190799999999</x:v>
      </x:c>
      <x:c r="AA246" s="90" t="n">
        <x:f>'Datos_fuente'!AA246</x:f>
        <x:v>-0.4150303452</x:v>
      </x:c>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t="str">
        <x:f>'Datos_fuente'!A247</x:f>
        <x:v>2026-01</x:v>
      </x:c>
      <x:c r="B247" s="90" t="n">
        <x:f>IF('Datos_fuente'!B247="","",LN('Datos_fuente'!B247))</x:f>
        <x:v>8.21689831950391</x:v>
      </x:c>
      <x:c r="C247" s="90" t="n">
        <x:f>IF(OR(B247="",B246=""),"",B247-B246)</x:f>
        <x:v>-0.023611276526077418</x:v>
      </x:c>
      <x:c r="D247" s="90" t="n">
        <x:f>IF('Datos_fuente'!C247="","",LN('Datos_fuente'!C247))</x:f>
        <x:v>4.198740326907328</x:v>
      </x:c>
      <x:c r="E247" s="90" t="n">
        <x:f>IF(OR(D247="",D246=""),"",D247-D246)</x:f>
        <x:v>0.06286544972313646</x:v>
      </x:c>
      <x:c r="F247" s="90" t="n">
        <x:f>IF('Datos_fuente'!E247="","",LN('Datos_fuente'!E247))</x:f>
        <x:v>9.48103293659827</x:v>
      </x:c>
      <x:c r="G247" s="90" t="n">
        <x:f>IF(OR(F247="",F246=""),"",F247-F246)</x:f>
        <x:v>0.0007974971985600376</x:v>
      </x:c>
      <x:c r="H247" s="55" t="n">
        <x:f>'Datos_fuente'!H247</x:f>
        <x:v>5.61</x:v>
      </x:c>
      <x:c r="I247" s="55" t="n">
        <x:f>IF(OR(H247="",H246=""),"",H247-H246)</x:f>
        <x:v>0.08000000000000007</x:v>
      </x:c>
      <x:c r="J247" s="55" t="n">
        <x:f>'Datos_fuente'!J247</x:f>
        <x:v>5.496041161</x:v>
      </x:c>
      <x:c r="K247" s="55" t="n">
        <x:f>IF(OR(J247="",J246=""),"",J247-J246)</x:f>
        <x:v>-0.8583606709999998</x:v>
      </x:c>
      <x:c r="L247" s="90" t="n">
        <x:f>IF('Datos_fuente'!K247="","",LN('Datos_fuente'!K247))</x:f>
        <x:v>4.781052807258103</x:v>
      </x:c>
      <x:c r="M247" s="90" t="n">
        <x:f>IF(OR(L247="",L246=""),"",L247-L246)</x:f>
        <x:v>-0.008007061205272947</x:v>
      </x:c>
      <x:c r="N247" s="90" t="n">
        <x:f>IF('Datos_fuente'!L247="","",LN('Datos_fuente'!L247))</x:f>
        <x:v>2.7837170483404576</x:v>
      </x:c>
      <x:c r="O247" s="90" t="n">
        <x:f>IF(OR(N247="",N246=""),"",N247-N246)</x:f>
        <x:v>0.039773341310289645</x:v>
      </x:c>
      <x:c r="P247" s="88" t="n">
        <x:f>'Datos_fuente'!N247</x:f>
        <x:v>0</x:v>
      </x:c>
      <x:c r="Q247" s="90" t="n">
        <x:f>IF('Datos_fuente'!O247="","",LN('Datos_fuente'!O247))</x:f>
        <x:v>11.11139988671411</x:v>
      </x:c>
      <x:c r="R247" s="90" t="n">
        <x:f>IF(OR(Q247="",Q246=""),"",Q247-Q246)</x:f>
        <x:v>0.008666182897441033</x:v>
      </x:c>
      <x:c r="S247" s="55" t="n">
        <x:f>'Datos_fuente'!R247</x:f>
        <x:v>8.5175</x:v>
      </x:c>
      <x:c r="T247" s="55" t="n">
        <x:f>IF(OR(S247="",S246=""),"",S247-S246)</x:f>
        <x:v>-0.1458181819999993</x:v>
      </x:c>
      <x:c r="U247" s="90" t="n">
        <x:f>IF('Datos_fuente'!S247="","",ASINH('Datos_fuente'!S247/1000))</x:f>
        <x:v>0.07982519779863224</x:v>
      </x:c>
      <x:c r="V247" s="90" t="n">
        <x:f>IF(OR(U247="",U246=""),"",U247-U246)</x:f>
        <x:v>-0.09160390952659185</x:v>
      </x:c>
      <x:c r="W247" s="90" t="n">
        <x:f>IF('Datos_fuente'!T247="","",ASINH('Datos_fuente'!T247/1000))</x:f>
        <x:v>-1.2868597423116688</x:v>
      </x:c>
      <x:c r="X247" s="90" t="n">
        <x:f>IF(OR(W247="",W246=""),"",W247-W246)</x:f>
        <x:v>0.33494952270813605</x:v>
      </x:c>
      <x:c r="Y247" s="55" t="n">
        <x:f>'Datos_fuente'!W247</x:f>
        <x:v>2.967781009</x:v>
      </x:c>
      <x:c r="Z247" s="55" t="n">
        <x:f>IF(OR(Y247="",Y246=""),"",Y247-Y246)</x:f>
        <x:v>0.5440884829999999</x:v>
      </x:c>
      <x:c r="AA247" s="90" t="n">
        <x:f>'Datos_fuente'!AA247</x:f>
        <x:v>-1.003894719</x:v>
      </x:c>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t="str">
        <x:f>'Datos_fuente'!A248</x:f>
        <x:v>2026-02</x:v>
      </x:c>
      <x:c r="B248" s="90" t="n">
        <x:f>IF('Datos_fuente'!B248="","",LN('Datos_fuente'!B248))</x:f>
        <x:v>8.209482934920265</x:v>
      </x:c>
      <x:c r="C248" s="90" t="n">
        <x:f>IF(OR(B248="",B247=""),"",B248-B247)</x:f>
        <x:v>-0.0074153845836448795</x:v>
      </x:c>
      <x:c r="D248" s="90" t="n">
        <x:f>IF('Datos_fuente'!C248="","",LN('Datos_fuente'!C248))</x:f>
        <x:v>4.261087059885541</x:v>
      </x:c>
      <x:c r="E248" s="90" t="n">
        <x:f>IF(OR(D248="",D247=""),"",D248-D247)</x:f>
        <x:v>0.062346732978213026</x:v>
      </x:c>
      <x:c r="F248" s="90" t="n">
        <x:f>IF('Datos_fuente'!E248="","",LN('Datos_fuente'!E248))</x:f>
        <x:v>9.486323022306111</x:v>
      </x:c>
      <x:c r="G248" s="90" t="n">
        <x:f>IF(OR(F248="",F247=""),"",F248-F247)</x:f>
        <x:v>0.0052900857078412855</x:v>
      </x:c>
      <x:c r="H248" s="55" t="n">
        <x:f>'Datos_fuente'!H248</x:f>
        <x:v>6.574285714</x:v>
      </x:c>
      <x:c r="I248" s="55" t="n">
        <x:f>IF(OR(H248="",H247=""),"",H248-H247)</x:f>
        <x:v>0.9642857139999998</x:v>
      </x:c>
      <x:c r="J248" s="55" t="n">
        <x:f>'Datos_fuente'!J248</x:f>
        <x:v>6.021341708</x:v>
      </x:c>
      <x:c r="K248" s="55" t="n">
        <x:f>IF(OR(J248="",J247=""),"",J248-J247)</x:f>
        <x:v>0.5253005469999996</x:v>
      </x:c>
      <x:c r="L248" s="90" t="n">
        <x:f>IF('Datos_fuente'!K248="","",LN('Datos_fuente'!K248))</x:f>
        <x:v>4.769887875789786</x:v>
      </x:c>
      <x:c r="M248" s="90" t="n">
        <x:f>IF(OR(L248="",L247=""),"",L248-L247)</x:f>
        <x:v>-0.011164931468316652</x:v>
      </x:c>
      <x:c r="N248" s="90" t="n">
        <x:f>IF('Datos_fuente'!L248="","",LN('Datos_fuente'!L248))</x:f>
        <x:v>2.955274795922715</x:v>
      </x:c>
      <x:c r="O248" s="90" t="n">
        <x:f>IF(OR(N248="",N247=""),"",N248-N247)</x:f>
        <x:v>0.1715577475822574</x:v>
      </x:c>
      <x:c r="P248" s="88" t="n">
        <x:f>'Datos_fuente'!N248</x:f>
        <x:v>0</x:v>
      </x:c>
      <x:c r="Q248" s="90" t="n">
        <x:f>IF('Datos_fuente'!O248="","",LN('Datos_fuente'!O248))</x:f>
        <x:v>11.118757948069124</x:v>
      </x:c>
      <x:c r="R248" s="90" t="n">
        <x:f>IF(OR(Q248="",Q247=""),"",Q248-Q247)</x:f>
        <x:v>0.00735806135501349</x:v>
      </x:c>
      <x:c r="S248" s="55" t="n">
        <x:f>'Datos_fuente'!R248</x:f>
        <x:v>9.081210526</x:v>
      </x:c>
      <x:c r="T248" s="55" t="n">
        <x:f>IF(OR(S248="",S247=""),"",S248-S247)</x:f>
        <x:v>0.5637105259999995</x:v>
      </x:c>
      <x:c r="U248" s="90" t="n">
        <x:f>IF('Datos_fuente'!S248="","",ASINH('Datos_fuente'!S248/1000))</x:f>
        <x:v>0.43308412383802597</x:v>
      </x:c>
      <x:c r="V248" s="90" t="n">
        <x:f>IF(OR(U248="",U247=""),"",U248-U247)</x:f>
        <x:v>0.35325892603939374</x:v>
      </x:c>
      <x:c r="W248" s="90" t="n">
        <x:f>IF('Datos_fuente'!T248="","",ASINH('Datos_fuente'!T248/1000))</x:f>
        <x:v>-1.7002573894354827</x:v>
      </x:c>
      <x:c r="X248" s="90" t="n">
        <x:f>IF(OR(W248="",W247=""),"",W248-W247)</x:f>
        <x:v>-0.4133976471238139</x:v>
      </x:c>
      <x:c r="Y248" s="55" t="n">
        <x:f>'Datos_fuente'!W248</x:f>
        <x:v>2.88000466</x:v>
      </x:c>
      <x:c r="Z248" s="55" t="n">
        <x:f>IF(OR(Y248="",Y247=""),"",Y248-Y247)</x:f>
        <x:v>-0.08777634899999986</x:v>
      </x:c>
      <x:c r="AA248" s="90" t="n">
        <x:f>'Datos_fuente'!AA248</x:f>
        <x:v>-0.9351712405</x:v>
      </x:c>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t="str">
        <x:f>'Datos_fuente'!A249</x:f>
        <x:v>2026-03</x:v>
      </x:c>
      <x:c r="B249" s="90" t="n">
        <x:f>IF('Datos_fuente'!B249="","",LN('Datos_fuente'!B249))</x:f>
        <x:v>8.220822123810187</x:v>
      </x:c>
      <x:c r="C249" s="90" t="n">
        <x:f>IF(OR(B249="",B248=""),"",B249-B248)</x:f>
        <x:v>0.011339188889921914</x:v>
      </x:c>
      <x:c r="D249" s="90" t="n">
        <x:f>IF('Datos_fuente'!C249="","",LN('Datos_fuente'!C249))</x:f>
        <x:v>4.636034402795451</x:v>
      </x:c>
      <x:c r="E249" s="90" t="n">
        <x:f>IF(OR(D249="",D248=""),"",D249-D248)</x:f>
        <x:v>0.37494734290990994</x:v>
      </x:c>
      <x:c r="F249" s="90" t="n">
        <x:f>IF('Datos_fuente'!E249="","",LN('Datos_fuente'!E249))</x:f>
        <x:v>9.496617207544936</x:v>
      </x:c>
      <x:c r="G249" s="90" t="n">
        <x:f>IF(OR(F249="",F248=""),"",F249-F248)</x:f>
        <x:v>0.010294185238825193</x:v>
      </x:c>
      <x:c r="H249" s="55" t="n">
        <x:f>'Datos_fuente'!H249</x:f>
        <x:v>6.61</x:v>
      </x:c>
      <x:c r="I249" s="55" t="n">
        <x:f>IF(OR(H249="",H248=""),"",H249-H248)</x:f>
        <x:v>0.03571428600000015</x:v>
      </x:c>
      <x:c r="J249" s="55" t="n">
        <x:f>'Datos_fuente'!J249</x:f>
        <x:v>5.76200041</x:v>
      </x:c>
      <x:c r="K249" s="55" t="n">
        <x:f>IF(OR(J249="",J248=""),"",J249-J248)</x:f>
        <x:v>-0.25934129799999983</x:v>
      </x:c>
      <x:c r="L249" s="90" t="n">
        <x:f>IF('Datos_fuente'!K249="","",LN('Datos_fuente'!K249))</x:f>
        <x:v>4.786823640484734</x:v>
      </x:c>
      <x:c r="M249" s="90" t="n">
        <x:f>IF(OR(L249="",L248=""),"",L249-L248)</x:f>
        <x:v>0.016935764694947508</x:v>
      </x:c>
      <x:c r="N249" s="90" t="n">
        <x:f>IF('Datos_fuente'!L249="","",LN('Datos_fuente'!L249))</x:f>
        <x:v>3.242468053917144</x:v>
      </x:c>
      <x:c r="O249" s="90" t="n">
        <x:f>IF(OR(N249="",N248=""),"",N249-N248)</x:f>
        <x:v>0.2871932579944292</x:v>
      </x:c>
      <x:c r="P249" s="88" t="n">
        <x:f>'Datos_fuente'!N249</x:f>
        <x:v>0</x:v>
      </x:c>
      <x:c r="Q249" s="90" t="n">
        <x:f>IF('Datos_fuente'!O249="","",LN('Datos_fuente'!O249))</x:f>
        <x:v>11.106625458431344</x:v>
      </x:c>
      <x:c r="R249" s="90" t="n">
        <x:f>IF(OR(Q249="",Q248=""),"",Q249-Q248)</x:f>
        <x:v>-0.012132489637780353</x:v>
      </x:c>
      <x:c r="S249" s="55" t="n">
        <x:f>'Datos_fuente'!R249</x:f>
        <x:v>9.310757576</x:v>
      </x:c>
      <x:c r="T249" s="55" t="n">
        <x:f>IF(OR(S249="",S248=""),"",S249-S248)</x:f>
        <x:v>0.22954705000000075</x:v>
      </x:c>
      <x:c r="U249" s="90" t="n">
        <x:f>IF('Datos_fuente'!S249="","",ASINH('Datos_fuente'!S249/1000))</x:f>
        <x:v>0.22958772929581445</x:v>
      </x:c>
      <x:c r="V249" s="90" t="n">
        <x:f>IF(OR(U249="",U248=""),"",U249-U248)</x:f>
        <x:v>-0.20349639454221152</x:v>
      </x:c>
      <x:c r="W249" s="90" t="n">
        <x:f>IF('Datos_fuente'!T249="","",ASINH('Datos_fuente'!T249/1000))</x:f>
        <x:v>-2.0067610789731134</x:v>
      </x:c>
      <x:c r="X249" s="90" t="n">
        <x:f>IF(OR(W249="",W248=""),"",W249-W248)</x:f>
        <x:v>-0.30650368953763074</x:v>
      </x:c>
      <x:c r="Y249" s="55" t="n">
        <x:f>'Datos_fuente'!W249</x:f>
        <x:v>2.299135116</x:v>
      </x:c>
      <x:c r="Z249" s="55" t="n">
        <x:f>IF(OR(Y249="",Y248=""),"",Y249-Y248)</x:f>
        <x:v>-0.580869544</x:v>
      </x:c>
      <x:c r="AA249" s="90" t="n">
        <x:f>'Datos_fuente'!AA249</x:f>
        <x:v>0.9966247935</x:v>
      </x:c>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t="str">
        <x:f>'Datos_fuente'!A250</x:f>
        <x:v>2026-04</x:v>
      </x:c>
      <x:c r="B250" s="90" t="n">
        <x:f>IF('Datos_fuente'!B250="","",LN('Datos_fuente'!B250))</x:f>
        <x:v>8.19354361868583</x:v>
      </x:c>
      <x:c r="C250" s="90" t="n">
        <x:f>IF(OR(B250="",B249=""),"",B250-B249)</x:f>
        <x:v>-0.027278505124357366</x:v>
      </x:c>
      <x:c r="D250" s="90" t="n">
        <x:f>IF('Datos_fuente'!C250="","",LN('Datos_fuente'!C250))</x:f>
        <x:v>4.764628185616168</x:v>
      </x:c>
      <x:c r="E250" s="90" t="n">
        <x:f>IF(OR(D250="",D249=""),"",D250-D249)</x:f>
        <x:v>0.1285937828207171</x:v>
      </x:c>
      <x:c r="F250" s="90" t="n">
        <x:f>IF('Datos_fuente'!E250="","",LN('Datos_fuente'!E250))</x:f>
        <x:v>9.49702644858874</x:v>
      </x:c>
      <x:c r="G250" s="90" t="n">
        <x:f>IF(OR(F250="",F249=""),"",F250-F249)</x:f>
        <x:v>0.0004092410438030214</x:v>
      </x:c>
      <x:c r="H250" s="55" t="n">
        <x:f>'Datos_fuente'!H250</x:f>
        <x:v>7.61</x:v>
      </x:c>
      <x:c r="I250" s="55" t="n">
        <x:f>IF(OR(H250="",H249=""),"",H250-H249)</x:f>
        <x:v>1</x:v>
      </x:c>
      <x:c r="J250" s="55" t="n">
        <x:f>'Datos_fuente'!J250</x:f>
        <x:v>5.539075577</x:v>
      </x:c>
      <x:c r="K250" s="55" t="n">
        <x:f>IF(OR(J250="",J249=""),"",J250-J249)</x:f>
        <x:v>-0.22292483299999954</x:v>
      </x:c>
      <x:c r="L250" s="90" t="n">
        <x:f>IF('Datos_fuente'!K250="","",LN('Datos_fuente'!K250))</x:f>
        <x:v>4.779428641507005</x:v>
      </x:c>
      <x:c r="M250" s="90" t="n">
        <x:f>IF(OR(L250="",L249=""),"",L250-L249)</x:f>
        <x:v>-0.007394998977728662</x:v>
      </x:c>
      <x:c r="N250" s="90" t="n">
        <x:f>IF('Datos_fuente'!L250="","",LN('Datos_fuente'!L250))</x:f>
        <x:v>2.9862830075268736</x:v>
      </x:c>
      <x:c r="O250" s="90" t="n">
        <x:f>IF(OR(N250="",N249=""),"",N250-N249)</x:f>
        <x:v>-0.2561850463902706</x:v>
      </x:c>
      <x:c r="P250" s="88" t="n">
        <x:f>'Datos_fuente'!N250</x:f>
        <x:v>0</x:v>
      </x:c>
      <x:c r="Q250" s="90" t="n">
        <x:f>IF('Datos_fuente'!O250="","",LN('Datos_fuente'!O250))</x:f>
        <x:v>11.114737067270294</x:v>
      </x:c>
      <x:c r="R250" s="90" t="n">
        <x:f>IF(OR(Q250="",Q249=""),"",Q250-Q249)</x:f>
        <x:v>0.008111608838950346</x:v>
      </x:c>
      <x:c r="S250" s="55" t="n">
        <x:f>'Datos_fuente'!R250</x:f>
        <x:v>8.886409091</x:v>
      </x:c>
      <x:c r="T250" s="55" t="n">
        <x:f>IF(OR(S250="",S249=""),"",S250-S249)</x:f>
        <x:v>-0.42434848499999944</x:v>
      </x:c>
      <x:c r="U250" s="90" t="n">
        <x:f>IF('Datos_fuente'!S250="","",ASINH('Datos_fuente'!S250/1000))</x:f>
        <x:v>-0.029735617732893474</x:v>
      </x:c>
      <x:c r="V250" s="90" t="n">
        <x:f>IF(OR(U250="",U249=""),"",U250-U249)</x:f>
        <x:v>-0.2593233470287079</x:v>
      </x:c>
      <x:c r="W250" s="90" t="n">
        <x:f>IF('Datos_fuente'!T250="","",ASINH('Datos_fuente'!T250/1000))</x:f>
        <x:v>-1.2307976378301908</x:v>
      </x:c>
      <x:c r="X250" s="90" t="n">
        <x:f>IF(OR(W250="",W249=""),"",W250-W249)</x:f>
        <x:v>0.7759634411429226</x:v>
      </x:c>
      <x:c r="Y250" s="55" t="n">
        <x:f>'Datos_fuente'!W250</x:f>
        <x:v>1.875377171</x:v>
      </x:c>
      <x:c r="Z250" s="55" t="n">
        <x:f>IF(OR(Y250="",Y249=""),"",Y250-Y249)</x:f>
        <x:v>-0.42375794499999997</x:v>
      </x:c>
      <x:c r="AA250" s="90" t="n">
        <x:f>'Datos_fuente'!AA250</x:f>
        <x:v>-0.8289013011</x:v>
      </x:c>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AA1"/>
    <x:mergeCell ref="A2:AA3"/>
  </x:mergeCells>
  <x:pageMargins left="0.7" right="0.7" top="0.75" bottom="0.75" header="0.3" footer="0.3"/>
  <x:legacyDrawing xmlns:r="http://schemas.openxmlformats.org/officeDocument/2006/relationships" r:id="R10edcbc66c704c4b"/>
  <x:tableParts count="1">
    <x:tablePart xmlns:r="http://schemas.openxmlformats.org/officeDocument/2006/relationships" r:id="R0d3689d1dede4a7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8" hidden="0" customWidth="1"/>
    <x:col min="14" max="14" width="18" hidden="0" customWidth="1"/>
    <x:col min="15" max="15" width="3" hidden="0" customWidth="1"/>
    <x:col min="16" max="16" width="12" hidden="0" customWidth="1"/>
    <x:col min="17" max="17" width="16" hidden="0" customWidth="1"/>
    <x:col min="18" max="18" width="16" hidden="0" customWidth="1"/>
    <x:col min="19" max="19" width="11" hidden="0" customWidth="1"/>
    <x:col min="20" max="20" width="11" hidden="0" customWidth="1"/>
    <x:col min="21" max="21" width="11" hidden="0" customWidth="1"/>
    <x:col min="22" max="22" width="11" hidden="0" customWidth="1"/>
    <x:col min="23" max="23" width="11" hidden="0" customWidth="1"/>
  </x:cols>
  <x:sheetData>
    <x:row r="1" ht="30" customHeight="1">
      <x:c r="A1" s="4" t="str">
        <x:v>Modelo principal: variación mensual de la TRM</x:v>
      </x:c>
      <x:c r="B1" s="4" t="str">
        <x:v>Modelo principal: variación mensual de la TRM</x:v>
      </x:c>
      <x:c r="C1" s="4" t="str">
        <x:v>Modelo principal: variación mensual de la TRM</x:v>
      </x:c>
      <x:c r="D1" s="4" t="str">
        <x:v>Modelo principal: variación mensual de la TRM</x:v>
      </x:c>
      <x:c r="E1" s="4" t="str">
        <x:v>Modelo principal: variación mensual de la TRM</x:v>
      </x:c>
      <x:c r="F1" s="4" t="str">
        <x:v>Modelo principal: variación mensual de la TRM</x:v>
      </x:c>
      <x:c r="G1" s="4" t="str">
        <x:v>Modelo principal: variación mensual de la TRM</x:v>
      </x:c>
      <x:c r="H1" s="4" t="str">
        <x:v>Modelo principal: variación mensual de la TRM</x:v>
      </x:c>
      <x:c r="I1" s="4" t="str">
        <x:v>Modelo principal: variación mensual de la TRM</x:v>
      </x:c>
      <x:c r="J1" s="4" t="str">
        <x:v>Modelo principal: variación mensual de la TRM</x:v>
      </x:c>
      <x:c r="K1" s="4" t="str">
        <x:v>Modelo principal: variación mensual de la TRM</x:v>
      </x:c>
      <x:c r="L1" s="4" t="str">
        <x:v>Modelo principal: variación mensual de la TRM</x:v>
      </x:c>
      <x:c r="M1" s="4" t="str">
        <x:v>Modelo principal: variación mensual de la TRM</x:v>
      </x:c>
      <x:c r="N1" s="4" t="str">
        <x:v>Modelo principal: variación mensual de la TRM</x:v>
      </x:c>
      <x:c r="O1" s="4" t="str">
        <x:v>Modelo principal: variación mensual de la TRM</x:v>
      </x:c>
      <x:c r="P1" s="4" t="str">
        <x:v>Modelo principal: variación mensual de la TRM</x:v>
      </x:c>
      <x:c r="Q1" s="4" t="str">
        <x:v>Modelo principal: variación mensual de la TRM</x:v>
      </x:c>
      <x:c r="R1" s="4" t="str">
        <x:v>Modelo principal: variación mensual de la TRM</x:v>
      </x:c>
      <x:c r="S1" s="4" t="str">
        <x:v>Modelo principal: variación mensual de la TRM</x:v>
      </x:c>
      <x:c r="T1" s="4" t="str">
        <x:v>Modelo principal: variación mensual de la TRM</x:v>
      </x:c>
      <x:c r="U1" s="4" t="str">
        <x:v>Modelo principal: variación mensual de la TRM</x:v>
      </x:c>
      <x:c r="V1" s="4" t="str">
        <x:v>Modelo principal: variación mensual de la TRM</x:v>
      </x:c>
      <x:c r="W1" s="4" t="str">
        <x:v>Modelo principal: variación mensual de la TRM</x:v>
      </x:c>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OLS con errores estándar HAC (6 meses). BIC seleccionó cero rezagos adicionales de Δln(TRM). Brent, dólar amplio y VIX entran en t; remesas, diferencial de tasas y déficit fiscal entran con un mes de rezago.</x:v>
      </x:c>
      <x:c r="B2" s="7" t="str">
        <x:v>OLS con errores estándar HAC (6 meses). BIC seleccionó cero rezagos adicionales de Δln(TRM). Brent, dólar amplio y VIX entran en t; remesas, diferencial de tasas y déficit fiscal entran con un mes de rezago.</x:v>
      </x:c>
      <x:c r="C2" s="7" t="str">
        <x:v>OLS con errores estándar HAC (6 meses). BIC seleccionó cero rezagos adicionales de Δln(TRM). Brent, dólar amplio y VIX entran en t; remesas, diferencial de tasas y déficit fiscal entran con un mes de rezago.</x:v>
      </x:c>
      <x:c r="D2" s="7" t="str">
        <x:v>OLS con errores estándar HAC (6 meses). BIC seleccionó cero rezagos adicionales de Δln(TRM). Brent, dólar amplio y VIX entran en t; remesas, diferencial de tasas y déficit fiscal entran con un mes de rezago.</x:v>
      </x:c>
      <x:c r="E2" s="7" t="str">
        <x:v>OLS con errores estándar HAC (6 meses). BIC seleccionó cero rezagos adicionales de Δln(TRM). Brent, dólar amplio y VIX entran en t; remesas, diferencial de tasas y déficit fiscal entran con un mes de rezago.</x:v>
      </x:c>
      <x:c r="F2" s="7" t="str">
        <x:v>OLS con errores estándar HAC (6 meses). BIC seleccionó cero rezagos adicionales de Δln(TRM). Brent, dólar amplio y VIX entran en t; remesas, diferencial de tasas y déficit fiscal entran con un mes de rezago.</x:v>
      </x:c>
      <x:c r="G2" s="7" t="str">
        <x:v>OLS con errores estándar HAC (6 meses). BIC seleccionó cero rezagos adicionales de Δln(TRM). Brent, dólar amplio y VIX entran en t; remesas, diferencial de tasas y déficit fiscal entran con un mes de rezago.</x:v>
      </x:c>
      <x:c r="H2" s="7" t="str">
        <x:v>OLS con errores estándar HAC (6 meses). BIC seleccionó cero rezagos adicionales de Δln(TRM). Brent, dólar amplio y VIX entran en t; remesas, diferencial de tasas y déficit fiscal entran con un mes de rezago.</x:v>
      </x:c>
      <x:c r="I2" s="7" t="str">
        <x:v>OLS con errores estándar HAC (6 meses). BIC seleccionó cero rezagos adicionales de Δln(TRM). Brent, dólar amplio y VIX entran en t; remesas, diferencial de tasas y déficit fiscal entran con un mes de rezago.</x:v>
      </x:c>
      <x:c r="J2" s="7" t="str">
        <x:v>OLS con errores estándar HAC (6 meses). BIC seleccionó cero rezagos adicionales de Δln(TRM). Brent, dólar amplio y VIX entran en t; remesas, diferencial de tasas y déficit fiscal entran con un mes de rezago.</x:v>
      </x:c>
      <x:c r="K2" s="7" t="str">
        <x:v>OLS con errores estándar HAC (6 meses). BIC seleccionó cero rezagos adicionales de Δln(TRM). Brent, dólar amplio y VIX entran en t; remesas, diferencial de tasas y déficit fiscal entran con un mes de rezago.</x:v>
      </x:c>
      <x:c r="L2" s="7" t="str">
        <x:v>OLS con errores estándar HAC (6 meses). BIC seleccionó cero rezagos adicionales de Δln(TRM). Brent, dólar amplio y VIX entran en t; remesas, diferencial de tasas y déficit fiscal entran con un mes de rezago.</x:v>
      </x:c>
      <x:c r="M2" s="7" t="str">
        <x:v>OLS con errores estándar HAC (6 meses). BIC seleccionó cero rezagos adicionales de Δln(TRM). Brent, dólar amplio y VIX entran en t; remesas, diferencial de tasas y déficit fiscal entran con un mes de rezago.</x:v>
      </x:c>
      <x:c r="N2" s="7" t="str">
        <x:v>OLS con errores estándar HAC (6 meses). BIC seleccionó cero rezagos adicionales de Δln(TRM). Brent, dólar amplio y VIX entran en t; remesas, diferencial de tasas y déficit fiscal entran con un mes de rezago.</x:v>
      </x:c>
      <x:c r="O2" s="7" t="str">
        <x:v>OLS con errores estándar HAC (6 meses). BIC seleccionó cero rezagos adicionales de Δln(TRM). Brent, dólar amplio y VIX entran en t; remesas, diferencial de tasas y déficit fiscal entran con un mes de rezago.</x:v>
      </x:c>
      <x:c r="P2" s="7" t="str">
        <x:v>OLS con errores estándar HAC (6 meses). BIC seleccionó cero rezagos adicionales de Δln(TRM). Brent, dólar amplio y VIX entran en t; remesas, diferencial de tasas y déficit fiscal entran con un mes de rezago.</x:v>
      </x:c>
      <x:c r="Q2" s="7" t="str">
        <x:v>OLS con errores estándar HAC (6 meses). BIC seleccionó cero rezagos adicionales de Δln(TRM). Brent, dólar amplio y VIX entran en t; remesas, diferencial de tasas y déficit fiscal entran con un mes de rezago.</x:v>
      </x:c>
      <x:c r="R2" s="7" t="str">
        <x:v>OLS con errores estándar HAC (6 meses). BIC seleccionó cero rezagos adicionales de Δln(TRM). Brent, dólar amplio y VIX entran en t; remesas, diferencial de tasas y déficit fiscal entran con un mes de rezago.</x:v>
      </x:c>
      <x:c r="S2" s="7" t="str">
        <x:v>OLS con errores estándar HAC (6 meses). BIC seleccionó cero rezagos adicionales de Δln(TRM). Brent, dólar amplio y VIX entran en t; remesas, diferencial de tasas y déficit fiscal entran con un mes de rezago.</x:v>
      </x:c>
      <x:c r="T2" s="7" t="str">
        <x:v>OLS con errores estándar HAC (6 meses). BIC seleccionó cero rezagos adicionales de Δln(TRM). Brent, dólar amplio y VIX entran en t; remesas, diferencial de tasas y déficit fiscal entran con un mes de rezago.</x:v>
      </x:c>
      <x:c r="U2" s="7" t="str">
        <x:v>OLS con errores estándar HAC (6 meses). BIC seleccionó cero rezagos adicionales de Δln(TRM). Brent, dólar amplio y VIX entran en t; remesas, diferencial de tasas y déficit fiscal entran con un mes de rezago.</x:v>
      </x:c>
      <x:c r="V2" s="7" t="str">
        <x:v>OLS con errores estándar HAC (6 meses). BIC seleccionó cero rezagos adicionales de Δln(TRM). Brent, dólar amplio y VIX entran en t; remesas, diferencial de tasas y déficit fiscal entran con un mes de rezago.</x:v>
      </x:c>
      <x:c r="W2" s="7" t="str">
        <x:v>OLS con errores estándar HAC (6 meses). BIC seleccionó cero rezagos adicionales de Δln(TRM). Brent, dólar amplio y VIX entran en t; remesas, diferencial de tasas y déficit fiscal entran con un mes de rezago.</x:v>
      </x:c>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OLS con errores estándar HAC (6 meses). BIC seleccionó cero rezagos adicionales de Δln(TRM). Brent, dólar amplio y VIX entran en t; remesas, diferencial de tasas y déficit fiscal entran con un mes de rezago.</x:v>
      </x:c>
      <x:c r="B3" s="7" t="str">
        <x:v>OLS con errores estándar HAC (6 meses). BIC seleccionó cero rezagos adicionales de Δln(TRM). Brent, dólar amplio y VIX entran en t; remesas, diferencial de tasas y déficit fiscal entran con un mes de rezago.</x:v>
      </x:c>
      <x:c r="C3" s="7" t="str">
        <x:v>OLS con errores estándar HAC (6 meses). BIC seleccionó cero rezagos adicionales de Δln(TRM). Brent, dólar amplio y VIX entran en t; remesas, diferencial de tasas y déficit fiscal entran con un mes de rezago.</x:v>
      </x:c>
      <x:c r="D3" s="7" t="str">
        <x:v>OLS con errores estándar HAC (6 meses). BIC seleccionó cero rezagos adicionales de Δln(TRM). Brent, dólar amplio y VIX entran en t; remesas, diferencial de tasas y déficit fiscal entran con un mes de rezago.</x:v>
      </x:c>
      <x:c r="E3" s="7" t="str">
        <x:v>OLS con errores estándar HAC (6 meses). BIC seleccionó cero rezagos adicionales de Δln(TRM). Brent, dólar amplio y VIX entran en t; remesas, diferencial de tasas y déficit fiscal entran con un mes de rezago.</x:v>
      </x:c>
      <x:c r="F3" s="7" t="str">
        <x:v>OLS con errores estándar HAC (6 meses). BIC seleccionó cero rezagos adicionales de Δln(TRM). Brent, dólar amplio y VIX entran en t; remesas, diferencial de tasas y déficit fiscal entran con un mes de rezago.</x:v>
      </x:c>
      <x:c r="G3" s="7" t="str">
        <x:v>OLS con errores estándar HAC (6 meses). BIC seleccionó cero rezagos adicionales de Δln(TRM). Brent, dólar amplio y VIX entran en t; remesas, diferencial de tasas y déficit fiscal entran con un mes de rezago.</x:v>
      </x:c>
      <x:c r="H3" s="7" t="str">
        <x:v>OLS con errores estándar HAC (6 meses). BIC seleccionó cero rezagos adicionales de Δln(TRM). Brent, dólar amplio y VIX entran en t; remesas, diferencial de tasas y déficit fiscal entran con un mes de rezago.</x:v>
      </x:c>
      <x:c r="I3" s="7" t="str">
        <x:v>OLS con errores estándar HAC (6 meses). BIC seleccionó cero rezagos adicionales de Δln(TRM). Brent, dólar amplio y VIX entran en t; remesas, diferencial de tasas y déficit fiscal entran con un mes de rezago.</x:v>
      </x:c>
      <x:c r="J3" s="7" t="str">
        <x:v>OLS con errores estándar HAC (6 meses). BIC seleccionó cero rezagos adicionales de Δln(TRM). Brent, dólar amplio y VIX entran en t; remesas, diferencial de tasas y déficit fiscal entran con un mes de rezago.</x:v>
      </x:c>
      <x:c r="K3" s="7" t="str">
        <x:v>OLS con errores estándar HAC (6 meses). BIC seleccionó cero rezagos adicionales de Δln(TRM). Brent, dólar amplio y VIX entran en t; remesas, diferencial de tasas y déficit fiscal entran con un mes de rezago.</x:v>
      </x:c>
      <x:c r="L3" s="7" t="str">
        <x:v>OLS con errores estándar HAC (6 meses). BIC seleccionó cero rezagos adicionales de Δln(TRM). Brent, dólar amplio y VIX entran en t; remesas, diferencial de tasas y déficit fiscal entran con un mes de rezago.</x:v>
      </x:c>
      <x:c r="M3" s="7" t="str">
        <x:v>OLS con errores estándar HAC (6 meses). BIC seleccionó cero rezagos adicionales de Δln(TRM). Brent, dólar amplio y VIX entran en t; remesas, diferencial de tasas y déficit fiscal entran con un mes de rezago.</x:v>
      </x:c>
      <x:c r="N3" s="7" t="str">
        <x:v>OLS con errores estándar HAC (6 meses). BIC seleccionó cero rezagos adicionales de Δln(TRM). Brent, dólar amplio y VIX entran en t; remesas, diferencial de tasas y déficit fiscal entran con un mes de rezago.</x:v>
      </x:c>
      <x:c r="O3" s="7" t="str">
        <x:v>OLS con errores estándar HAC (6 meses). BIC seleccionó cero rezagos adicionales de Δln(TRM). Brent, dólar amplio y VIX entran en t; remesas, diferencial de tasas y déficit fiscal entran con un mes de rezago.</x:v>
      </x:c>
      <x:c r="P3" s="7" t="str">
        <x:v>OLS con errores estándar HAC (6 meses). BIC seleccionó cero rezagos adicionales de Δln(TRM). Brent, dólar amplio y VIX entran en t; remesas, diferencial de tasas y déficit fiscal entran con un mes de rezago.</x:v>
      </x:c>
      <x:c r="Q3" s="7" t="str">
        <x:v>OLS con errores estándar HAC (6 meses). BIC seleccionó cero rezagos adicionales de Δln(TRM). Brent, dólar amplio y VIX entran en t; remesas, diferencial de tasas y déficit fiscal entran con un mes de rezago.</x:v>
      </x:c>
      <x:c r="R3" s="7" t="str">
        <x:v>OLS con errores estándar HAC (6 meses). BIC seleccionó cero rezagos adicionales de Δln(TRM). Brent, dólar amplio y VIX entran en t; remesas, diferencial de tasas y déficit fiscal entran con un mes de rezago.</x:v>
      </x:c>
      <x:c r="S3" s="7" t="str">
        <x:v>OLS con errores estándar HAC (6 meses). BIC seleccionó cero rezagos adicionales de Δln(TRM). Brent, dólar amplio y VIX entran en t; remesas, diferencial de tasas y déficit fiscal entran con un mes de rezago.</x:v>
      </x:c>
      <x:c r="T3" s="7" t="str">
        <x:v>OLS con errores estándar HAC (6 meses). BIC seleccionó cero rezagos adicionales de Δln(TRM). Brent, dólar amplio y VIX entran en t; remesas, diferencial de tasas y déficit fiscal entran con un mes de rezago.</x:v>
      </x:c>
      <x:c r="U3" s="7" t="str">
        <x:v>OLS con errores estándar HAC (6 meses). BIC seleccionó cero rezagos adicionales de Δln(TRM). Brent, dólar amplio y VIX entran en t; remesas, diferencial de tasas y déficit fiscal entran con un mes de rezago.</x:v>
      </x:c>
      <x:c r="V3" s="7" t="str">
        <x:v>OLS con errores estándar HAC (6 meses). BIC seleccionó cero rezagos adicionales de Δln(TRM). Brent, dólar amplio y VIX entran en t; remesas, diferencial de tasas y déficit fiscal entran con un mes de rezago.</x:v>
      </x:c>
      <x:c r="W3" s="7" t="str">
        <x:v>OLS con errores estándar HAC (6 meses). BIC seleccionó cero rezagos adicionales de Δln(TRM). Brent, dólar amplio y VIX entran en t; remesas, diferencial de tasas y déficit fiscal entran con un mes de rezago.</x:v>
      </x:c>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54" t="str">
        <x:v>Variable</x:v>
      </x:c>
      <x:c r="B5" s="54" t="str">
        <x:v>Coeficiente</x:v>
      </x:c>
      <x:c r="C5" s="54" t="str">
        <x:v>EE HAC</x:v>
      </x:c>
      <x:c r="D5" s="54" t="str">
        <x:v>t</x:v>
      </x:c>
      <x:c r="E5" s="54" t="str">
        <x:v>p-valor</x:v>
      </x:c>
      <x:c r="F5" s="54" t="str">
        <x:v>IC 95% inferior</x:v>
      </x:c>
      <x:c r="G5" s="54" t="str">
        <x:v>IC 95% superior</x:v>
      </x:c>
      <x:c r="H5" s="56"/>
      <x:c r="I5" s="58" t="str">
        <x:v>Indicador</x:v>
      </x:c>
      <x:c r="J5" s="58" t="str">
        <x:v>Valor</x:v>
      </x:c>
      <x:c r="K5" s="58" t="str">
        <x:v>Lectura</x:v>
      </x:c>
      <x:c r="L5" s="58" t="str">
        <x:v>Indicador</x:v>
      </x:c>
      <x:c r="M5" s="58" t="str">
        <x:v>Valor</x:v>
      </x:c>
      <x:c r="N5" s="58" t="str">
        <x:v>Lectura</x:v>
      </x:c>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56" t="str">
        <x:v>Intercepto</x:v>
      </x:c>
      <x:c r="B6" s="102" t="n">
        <x:v>-0.00045209606279242174</x:v>
      </x:c>
      <x:c r="C6" s="102" t="n">
        <x:v>0.0016433712739334758</x:v>
      </x:c>
      <x:c r="D6" s="102" t="n">
        <x:v>-0.275102814539475</x:v>
      </x:c>
      <x:c r="E6" s="102" t="n">
        <x:v>0.7834820923312559</x:v>
      </x:c>
      <x:c r="F6" s="102" t="n">
        <x:v>-0.0036899350634451533</x:v>
      </x:c>
      <x:c r="G6" s="102" t="n">
        <x:v>0.0027857429378603097</x:v>
      </x:c>
      <x:c r="H6" s="56"/>
      <x:c r="I6" s="59" t="str">
        <x:v>R²</x:v>
      </x:c>
      <x:c r="J6" s="99" t="n">
        <x:v>0.5006171263026511</x:v>
      </x:c>
      <x:c r="K6" s="59" t="str">
        <x:v>Variación explicada dentro de muestra</x:v>
      </x:c>
      <x:c r="L6" s="59" t="str">
        <x:v>AIC</x:v>
      </x:c>
      <x:c r="M6" s="100" t="n">
        <x:v>-1106.246508405773</x:v>
      </x:c>
      <x:c r="N6" s="59" t="str">
        <x:v>Comparación relativa</x:v>
      </x:c>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56" t="str">
        <x:v>Δ ln Brent (t)</x:v>
      </x:c>
      <x:c r="B7" s="102" t="n">
        <x:v>-0.051692274799749256</x:v>
      </x:c>
      <x:c r="C7" s="102" t="n">
        <x:v>0.013659731158865401</x:v>
      </x:c>
      <x:c r="D7" s="102" t="n">
        <x:v>-3.7842820036908322</x:v>
      </x:c>
      <x:c r="E7" s="102" t="n">
        <x:v>0.00019627464502223457</x:v>
      </x:c>
      <x:c r="F7" s="102" t="n">
        <x:v>-0.07860524996618513</x:v>
      </x:c>
      <x:c r="G7" s="102" t="n">
        <x:v>-0.024779299633313375</x:v>
      </x:c>
      <x:c r="H7" s="56"/>
      <x:c r="I7" s="59" t="str">
        <x:v>R² ajustado</x:v>
      </x:c>
      <x:c r="J7" s="99" t="n">
        <x:v>0.48554953959626557</x:v>
      </x:c>
      <x:c r="K7" s="59" t="str">
        <x:v>Penaliza número de parámetros</x:v>
      </x:c>
      <x:c r="L7" s="59" t="str">
        <x:v>BIC</x:v>
      </x:c>
      <x:c r="M7" s="100" t="n">
        <x:v>-1078.4013970190372</x:v>
      </x:c>
      <x:c r="N7" s="59" t="str">
        <x:v>Seleccionó p=0</x:v>
      </x:c>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56" t="str">
        <x:v>Δ ln remesas 12m (t−1)</x:v>
      </x:c>
      <x:c r="B8" s="102" t="n">
        <x:v>0.2628979658793954</x:v>
      </x:c>
      <x:c r="C8" s="102" t="n">
        <x:v>0.11579562375807206</x:v>
      </x:c>
      <x:c r="D8" s="102" t="n">
        <x:v>2.2703618439731312</x:v>
      </x:c>
      <x:c r="E8" s="102" t="n">
        <x:v>0.024103628329838245</x:v>
      </x:c>
      <x:c r="F8" s="102" t="n">
        <x:v>0.034752571922623016</x:v>
      </x:c>
      <x:c r="G8" s="102" t="n">
        <x:v>0.49104335983616776</x:v>
      </x:c>
      <x:c r="H8" s="56"/>
      <x:c r="I8" s="59" t="str">
        <x:v>Observaciones</x:v>
      </x:c>
      <x:c r="J8" s="59" t="n">
        <x:v>240</x:v>
      </x:c>
      <x:c r="K8" s="59" t="str">
        <x:v>Mayo 2006–abril 2026</x:v>
      </x:c>
      <x:c r="L8" s="59" t="str">
        <x:v>HAC</x:v>
      </x:c>
      <x:c r="M8" s="59" t="n">
        <x:v>6</x:v>
      </x:c>
      <x:c r="N8" s="59" t="str">
        <x:v>Ventana mensual</x:v>
      </x:c>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56" t="str">
        <x:v>Δ diferencial tasas (t−1)</x:v>
      </x:c>
      <x:c r="B9" s="102" t="n">
        <x:v>-0.009908850217863589</x:v>
      </x:c>
      <x:c r="C9" s="102" t="n">
        <x:v>0.004776793981709683</x:v>
      </x:c>
      <x:c r="D9" s="102" t="n">
        <x:v>-2.0743725301540152</x:v>
      </x:c>
      <x:c r="E9" s="102" t="n">
        <x:v>0.039147897101459515</x:v>
      </x:c>
      <x:c r="F9" s="102" t="n">
        <x:v>-0.01932029004122328</x:v>
      </x:c>
      <x:c r="G9" s="102" t="n">
        <x:v>-0.0004974103945038968</x:v>
      </x:c>
      <x:c r="H9" s="56"/>
      <x:c r="I9" s="59" t="str">
        <x:v>Frecuencia</x:v>
      </x:c>
      <x:c r="J9" s="59" t="str">
        <x:v>Mensual</x:v>
      </x:c>
      <x:c r="K9" s="59" t="str">
        <x:v>Promedio mensual de series diarias</x:v>
      </x:c>
      <x:c r="L9" s="59" t="str">
        <x:v>Objetivo</x:v>
      </x:c>
      <x:c r="M9" s="59" t="str">
        <x:v>Δln(TRM)</x:v>
      </x:c>
      <x:c r="N9" s="59" t="str">
        <x:v>Aumento = depreciación</x:v>
      </x:c>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56" t="str">
        <x:v>Δ déficit fiscal 12m/PIB (t−1)</x:v>
      </x:c>
      <x:c r="B10" s="102" t="n">
        <x:v>0.004316655963720093</x:v>
      </x:c>
      <x:c r="C10" s="102" t="n">
        <x:v>0.0032798602489910672</x:v>
      </x:c>
      <x:c r="D10" s="102" t="n">
        <x:v>1.3161097229822396</x:v>
      </x:c>
      <x:c r="E10" s="102" t="n">
        <x:v>0.18943609908729123</x:v>
      </x:c>
      <x:c r="F10" s="102" t="n">
        <x:v>-0.0021454622437226296</x:v>
      </x:c>
      <x:c r="G10" s="102" t="n">
        <x:v>0.010778774171162816</x:v>
      </x:c>
      <x:c r="H10" s="56"/>
      <x:c r="I10" s="56"/>
      <x:c r="J10" s="56"/>
      <x:c r="K10" s="56"/>
      <x:c r="L10" s="56"/>
      <x:c r="M10" s="56"/>
      <x:c r="N10" s="56"/>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56" t="str">
        <x:v>Δ ln índice dólar amplio (t)</x:v>
      </x:c>
      <x:c r="B11" s="102" t="n">
        <x:v>1.2150203451631445</x:v>
      </x:c>
      <x:c r="C11" s="102" t="n">
        <x:v>0.15061088283019272</x:v>
      </x:c>
      <x:c r="D11" s="102" t="n">
        <x:v>8.06728121056848</x:v>
      </x:c>
      <x:c r="E11" s="102" t="n">
        <x:v>3.847432891826518e-14</x:v>
      </x:c>
      <x:c r="F11" s="102" t="n">
        <x:v>0.9182804677627578</x:v>
      </x:c>
      <x:c r="G11" s="102" t="n">
        <x:v>1.5117602225635312</x:v>
      </x:c>
      <x:c r="H11" s="56"/>
      <x:c r="I11" s="56"/>
      <x:c r="J11" s="56"/>
      <x:c r="K11" s="56"/>
      <x:c r="L11" s="56"/>
      <x:c r="M11" s="56"/>
      <x:c r="N11" s="56"/>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56" t="str">
        <x:v>Δ ln VIX (t)</x:v>
      </x:c>
      <x:c r="B12" s="102" t="n">
        <x:v>0.03861768014553808</x:v>
      </x:c>
      <x:c r="C12" s="102" t="n">
        <x:v>0.008854430528492444</x:v>
      </x:c>
      <x:c r="D12" s="102" t="n">
        <x:v>4.3613962548208205</x:v>
      </x:c>
      <x:c r="E12" s="102" t="n">
        <x:v>0.000019443514629041652</x:v>
      </x:c>
      <x:c r="F12" s="102" t="n">
        <x:v>0.02117230979711884</x:v>
      </x:c>
      <x:c r="G12" s="102" t="n">
        <x:v>0.05606305049395732</x:v>
      </x:c>
      <x:c r="H12" s="56"/>
      <x:c r="I12" s="56"/>
      <x:c r="J12" s="56"/>
      <x:c r="K12" s="56"/>
      <x:c r="L12" s="56"/>
      <x:c r="M12" s="56"/>
      <x:c r="N12" s="56"/>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56" t="str">
        <x:v>Dummy pandemia 2020</x:v>
      </x:c>
      <x:c r="B13" s="102" t="n">
        <x:v>0.008132674061635346</x:v>
      </x:c>
      <x:c r="C13" s="102" t="n">
        <x:v>0.004688796765543758</x:v>
      </x:c>
      <x:c r="D13" s="102" t="n">
        <x:v>1.7344906312424062</x:v>
      </x:c>
      <x:c r="E13" s="102" t="n">
        <x:v>0.08415926707538017</x:v>
      </x:c>
      <x:c r="F13" s="102" t="n">
        <x:v>-0.001105389956165246</x:v>
      </x:c>
      <x:c r="G13" s="102" t="n">
        <x:v>0.017370738079435937</x:v>
      </x:c>
      <x:c r="H13" s="56"/>
      <x:c r="I13" s="56"/>
      <x:c r="J13" s="56"/>
      <x:c r="K13" s="56"/>
      <x:c r="L13" s="56"/>
      <x:c r="M13" s="56"/>
      <x:c r="N13" s="56"/>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56"/>
      <x:c r="B14" s="56"/>
      <x:c r="C14" s="56"/>
      <x:c r="D14" s="56"/>
      <x:c r="E14" s="56"/>
      <x:c r="F14" s="56"/>
      <x:c r="G14" s="56"/>
      <x:c r="H14" s="56"/>
      <x:c r="I14" s="56"/>
      <x:c r="J14" s="56"/>
      <x:c r="K14" s="56"/>
      <x:c r="L14" s="56"/>
      <x:c r="M14" s="56"/>
      <x:c r="N14" s="56"/>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56"/>
      <x:c r="B15" s="56"/>
      <x:c r="C15" s="56"/>
      <x:c r="D15" s="56"/>
      <x:c r="E15" s="56"/>
      <x:c r="F15" s="56"/>
      <x:c r="G15" s="56"/>
      <x:c r="H15" s="56"/>
      <x:c r="I15" s="56"/>
      <x:c r="J15" s="56"/>
      <x:c r="K15" s="56"/>
      <x:c r="L15" s="56"/>
      <x:c r="M15" s="56"/>
      <x:c r="N15" s="56"/>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56"/>
      <x:c r="B16" s="56"/>
      <x:c r="C16" s="56"/>
      <x:c r="D16" s="56"/>
      <x:c r="E16" s="56"/>
      <x:c r="F16" s="56"/>
      <x:c r="G16" s="56"/>
      <x:c r="H16" s="56"/>
      <x:c r="I16" s="56"/>
      <x:c r="J16" s="56"/>
      <x:c r="K16" s="56"/>
      <x:c r="L16" s="56"/>
      <x:c r="M16" s="56"/>
      <x:c r="N16" s="56"/>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ht="42" customHeight="1">
      <x:c r="A17" s="54" t="str">
        <x:v>Mes</x:v>
      </x:c>
      <x:c r="B17" s="54" t="str">
        <x:v>Δln TRM observado</x:v>
      </x:c>
      <x:c r="C17" s="54" t="str">
        <x:v>Constante</x:v>
      </x:c>
      <x:c r="D17" s="54" t="str">
        <x:v>Brent</x:v>
      </x:c>
      <x:c r="E17" s="54" t="str">
        <x:v>Dólar amplio</x:v>
      </x:c>
      <x:c r="F17" s="54" t="str">
        <x:v>VIX</x:v>
      </x:c>
      <x:c r="G17" s="54" t="str">
        <x:v>Remesas t−1</x:v>
      </x:c>
      <x:c r="H17" s="54" t="str">
        <x:v>Tasas t−1</x:v>
      </x:c>
      <x:c r="I17" s="54" t="str">
        <x:v>Fiscal t−1</x:v>
      </x:c>
      <x:c r="J17" s="54" t="str">
        <x:v>Pandemia</x:v>
      </x:c>
      <x:c r="K17" s="54" t="str">
        <x:v>Δln TRM ajustado</x:v>
      </x:c>
      <x:c r="L17" s="54" t="str">
        <x:v>Residuo</x:v>
      </x:c>
      <x:c r="M17" s="54" t="str">
        <x:v>TRM observada</x:v>
      </x:c>
      <x:c r="N17" s="54" t="str">
        <x:v>TRM ajustada 1 paso</x:v>
      </x:c>
      <x:c r="O17" s="1"/>
      <x:c r="P17" s="54" t="str">
        <x:v>Mes</x:v>
      </x:c>
      <x:c r="Q17" s="54" t="str">
        <x:v>TRM observada</x:v>
      </x:c>
      <x:c r="R17" s="54" t="str">
        <x:v>TRM ajustada</x:v>
      </x:c>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 t="str">
        <x:f>'Transformaciones'!A11</x:f>
        <x:v>2006-05</x:v>
      </x:c>
      <x:c r="B18" s="90" t="n">
        <x:f>'Transformaciones'!C11</x:f>
        <x:v>0.03513841918142102</x:v>
      </x:c>
      <x:c r="C18" s="90" t="n">
        <x:f>$B$6</x:f>
        <x:v>-0.00045209606279242174</x:v>
      </x:c>
      <x:c r="D18" s="90" t="n">
        <x:f>$B$7*'Transformaciones'!E11</x:f>
        <x:v>0.0003566160813845698</x:v>
      </x:c>
      <x:c r="E18" s="90" t="n">
        <x:f>$B$11*'Transformaciones'!M11</x:f>
        <x:v>-0.027494162556591272</x:v>
      </x:c>
      <x:c r="F18" s="90" t="n">
        <x:f>$B$12*'Transformaciones'!O11</x:f>
        <x:v>0.007681178630194689</x:v>
      </x:c>
      <x:c r="G18" s="90" t="n">
        <x:f>$B$8*'Transformaciones'!G10</x:f>
        <x:v>0.0016440346461432582</x:v>
      </x:c>
      <x:c r="H18" s="90" t="n">
        <x:f>$B$9*'Transformaciones'!I10</x:f>
        <x:v>0.0019817700435727174</x:v>
      </x:c>
      <x:c r="I18" s="90" t="n">
        <x:f>$B$10*'Transformaciones'!K10</x:f>
        <x:v>0.003139337989008284</x:v>
      </x:c>
      <x:c r="J18" s="90" t="n">
        <x:f>$B$13*'Transformaciones'!P11</x:f>
        <x:v>0</x:v>
      </x:c>
      <x:c r="K18" s="101" t="n">
        <x:f>SUM(C18:J18)</x:f>
        <x:v>-0.013143321229080178</x:v>
      </x:c>
      <x:c r="L18" s="101" t="n">
        <x:f>B18-K18</x:f>
        <x:v>0.0482817404105012</x:v>
      </x:c>
      <x:c r="M18" s="86" t="n">
        <x:f>'Datos_fuente'!B11</x:f>
        <x:v>2418.649355</x:v>
      </x:c>
      <x:c r="N18" s="86" t="n">
        <x:f>EXP('Transformaciones'!B10+K18)</x:f>
        <x:v>2304.647015670126</x:v>
      </x:c>
      <x:c r="O18" s="1"/>
      <x:c r="P18" s="1" t="str">
        <x:f>A18</x:f>
        <x:v>2006-05</x:v>
      </x:c>
      <x:c r="Q18" s="74" t="n">
        <x:f>M18</x:f>
        <x:v>2418.649355</x:v>
      </x:c>
      <x:c r="R18" s="74" t="n">
        <x:f>N18</x:f>
        <x:v>2304.647015670126</x:v>
      </x:c>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t="str">
        <x:f>'Transformaciones'!A12</x:f>
        <x:v>2006-06</x:v>
      </x:c>
      <x:c r="B19" s="90" t="n">
        <x:f>'Transformaciones'!C12</x:f>
        <x:v>0.04982844845481793</x:v>
      </x:c>
      <x:c r="C19" s="90" t="n">
        <x:f>$B$6</x:f>
        <x:v>-0.00045209606279242174</x:v>
      </x:c>
      <x:c r="D19" s="90" t="n">
        <x:f>$B$7*'Transformaciones'!E12</x:f>
        <x:v>0.0009125865840518732</x:v>
      </x:c>
      <x:c r="E19" s="90" t="n">
        <x:f>$B$11*'Transformaciones'!M12</x:f>
        <x:v>0.014626516674323145</x:v>
      </x:c>
      <x:c r="F19" s="90" t="n">
        <x:f>$B$12*'Transformaciones'!O12</x:f>
        <x:v>0.006078686553506254</x:v>
      </x:c>
      <x:c r="G19" s="90" t="n">
        <x:f>$B$8*'Transformaciones'!G11</x:f>
        <x:v>0.007262803503802606</x:v>
      </x:c>
      <x:c r="H19" s="90" t="n">
        <x:f>$B$9*'Transformaciones'!I11</x:f>
        <x:v>-0.000910974940662794</x:v>
      </x:c>
      <x:c r="I19" s="90" t="n">
        <x:f>$B$10*'Transformaciones'!K11</x:f>
        <x:v>-0.002111498459054994</x:v>
      </x:c>
      <x:c r="J19" s="90" t="n">
        <x:f>$B$13*'Transformaciones'!P12</x:f>
        <x:v>0</x:v>
      </x:c>
      <x:c r="K19" s="101" t="n">
        <x:f>SUM(C19:J19)</x:f>
        <x:v>0.025406023853173667</x:v>
      </x:c>
      <x:c r="L19" s="101" t="n">
        <x:f>B19-K19</x:f>
        <x:v>0.024422424601644264</x:v>
      </x:c>
      <x:c r="M19" s="86" t="n">
        <x:f>'Datos_fuente'!B12</x:f>
        <x:v>2542.22</x:v>
      </x:c>
      <x:c r="N19" s="86" t="n">
        <x:f>EXP('Transformaciones'!B11+K19)</x:f>
        <x:v>2480.884848887863</x:v>
      </x:c>
      <x:c r="O19" s="1"/>
      <x:c r="P19" s="1" t="str">
        <x:f>A30</x:f>
        <x:v>2007-05</x:v>
      </x:c>
      <x:c r="Q19" s="74" t="n">
        <x:f>M30</x:f>
        <x:v>2009.415484</x:v>
      </x:c>
      <x:c r="R19" s="74" t="n">
        <x:f>N30</x:f>
        <x:v>2120.0840560403044</x:v>
      </x:c>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f>'Transformaciones'!A13</x:f>
        <x:v>2006-07</x:v>
      </x:c>
      <x:c r="B20" s="90" t="n">
        <x:f>'Transformaciones'!C13</x:f>
        <x:v>-0.011282585427688119</x:v>
      </x:c>
      <x:c r="C20" s="90" t="n">
        <x:f>$B$6</x:f>
        <x:v>-0.00045209606279242174</x:v>
      </x:c>
      <x:c r="D20" s="90" t="n">
        <x:f>$B$7*'Transformaciones'!E13</x:f>
        <x:v>-0.0037220624422969776</x:v>
      </x:c>
      <x:c r="E20" s="90" t="n">
        <x:f>$B$11*'Transformaciones'!M13</x:f>
        <x:v>-0.0031311656619713254</x:v>
      </x:c>
      <x:c r="F20" s="90" t="n">
        <x:f>$B$12*'Transformaciones'!O13</x:f>
        <x:v>-0.0038179379130858244</x:v>
      </x:c>
      <x:c r="G20" s="90" t="n">
        <x:f>$B$8*'Transformaciones'!G12</x:f>
        <x:v>0.005185809497921557</x:v>
      </x:c>
      <x:c r="H20" s="90" t="n">
        <x:f>$B$9*'Transformaciones'!I12</x:f>
        <x:v>-0.0004102050850827338</x:v>
      </x:c>
      <x:c r="I20" s="90" t="n">
        <x:f>$B$10*'Transformaciones'!K12</x:f>
        <x:v>0.0005817592164052333</x:v>
      </x:c>
      <x:c r="J20" s="90" t="n">
        <x:f>$B$13*'Transformaciones'!P13</x:f>
        <x:v>0</x:v>
      </x:c>
      <x:c r="K20" s="101" t="n">
        <x:f>SUM(C20:J20)</x:f>
        <x:v>-0.005765898450902493</x:v>
      </x:c>
      <x:c r="L20" s="101" t="n">
        <x:f>B20-K20</x:f>
        <x:v>-0.005516686976785626</x:v>
      </x:c>
      <x:c r="M20" s="86" t="n">
        <x:f>'Datos_fuente'!B13</x:f>
        <x:v>2513.698387</x:v>
      </x:c>
      <x:c r="N20" s="86" t="n">
        <x:f>EXP('Transformaciones'!B12+K20)</x:f>
        <x:v>2527.603995332595</x:v>
      </x:c>
      <x:c r="O20" s="1"/>
      <x:c r="P20" s="1" t="str">
        <x:f>A42</x:f>
        <x:v>2008-05</x:v>
      </x:c>
      <x:c r="Q20" s="74" t="n">
        <x:f>M42</x:f>
        <x:v>1775.156129</x:v>
      </x:c>
      <x:c r="R20" s="74" t="n">
        <x:f>N42</x:f>
        <x:v>1776.938175392384</x:v>
      </x:c>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f>'Transformaciones'!A14</x:f>
        <x:v>2006-08</x:v>
      </x:c>
      <x:c r="B21" s="90" t="n">
        <x:f>'Transformaciones'!C14</x:f>
        <x:v>-0.05088714786488868</x:v>
      </x:c>
      <x:c r="C21" s="90" t="n">
        <x:f>$B$6</x:f>
        <x:v>-0.00045209606279242174</x:v>
      </x:c>
      <x:c r="D21" s="90" t="n">
        <x:f>$B$7*'Transformaciones'!E14</x:f>
        <x:v>0.0003123621076548674</x:v>
      </x:c>
      <x:c r="E21" s="90" t="n">
        <x:f>$B$11*'Transformaciones'!M14</x:f>
        <x:v>-0.008981093504175561</x:v>
      </x:c>
      <x:c r="F21" s="90" t="n">
        <x:f>$B$12*'Transformaciones'!O14</x:f>
        <x:v>-0.00532553581735282</x:v>
      </x:c>
      <x:c r="G21" s="90" t="n">
        <x:f>$B$8*'Transformaciones'!G13</x:f>
        <x:v>0.0036650677281046713</x:v>
      </x:c>
      <x:c r="H21" s="90" t="n">
        <x:f>$B$9*'Transformaciones'!I13</x:f>
        <x:v>0.0008257375148523479</x:v>
      </x:c>
      <x:c r="I21" s="90" t="n">
        <x:f>$B$10*'Transformaciones'!K13</x:f>
        <x:v>-0.0005773545395097572</x:v>
      </x:c>
      <x:c r="J21" s="90" t="n">
        <x:f>$B$13*'Transformaciones'!P14</x:f>
        <x:v>0</x:v>
      </x:c>
      <x:c r="K21" s="101" t="n">
        <x:f>SUM(C21:J21)</x:f>
        <x:v>-0.010532912573218672</x:v>
      </x:c>
      <x:c r="L21" s="101" t="n">
        <x:f>B21-K21</x:f>
        <x:v>-0.04035423529167001</x:v>
      </x:c>
      <x:c r="M21" s="86" t="n">
        <x:f>'Datos_fuente'!B14</x:f>
        <x:v>2388.983548</x:v>
      </x:c>
      <x:c r="N21" s="86" t="n">
        <x:f>EXP('Transformaciones'!B13+K21)</x:f>
        <x:v>2487.3607710531082</x:v>
      </x:c>
      <x:c r="O21" s="1"/>
      <x:c r="P21" s="1" t="str">
        <x:f>A54</x:f>
        <x:v>2009-05</x:v>
      </x:c>
      <x:c r="Q21" s="74" t="n">
        <x:f>M54</x:f>
        <x:v>2227.317742</x:v>
      </x:c>
      <x:c r="R21" s="74" t="n">
        <x:f>N54</x:f>
        <x:v>2257.3664729427514</x:v>
      </x:c>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f>'Transformaciones'!A15</x:f>
        <x:v>2006-09</x:v>
      </x:c>
      <x:c r="B22" s="90" t="n">
        <x:f>'Transformaciones'!C15</x:f>
        <x:v>0.004062555376928678</x:v>
      </x:c>
      <x:c r="C22" s="90" t="n">
        <x:f>$B$6</x:f>
        <x:v>-0.00045209606279242174</x:v>
      </x:c>
      <x:c r="D22" s="90" t="n">
        <x:f>$B$7*'Transformaciones'!E15</x:f>
        <x:v>0.00864011309158523</x:v>
      </x:c>
      <x:c r="E22" s="90" t="n">
        <x:f>$B$11*'Transformaciones'!M15</x:f>
        <x:v>0.003322878989703869</x:v>
      </x:c>
      <x:c r="F22" s="90" t="n">
        <x:f>$B$12*'Transformaciones'!O15</x:f>
        <x:v>-0.003532822464262083</x:v>
      </x:c>
      <x:c r="G22" s="90" t="n">
        <x:f>$B$8*'Transformaciones'!G14</x:f>
        <x:v>0.002477366233085125</x:v>
      </x:c>
      <x:c r="H22" s="90" t="n">
        <x:f>$B$9*'Transformaciones'!I14</x:f>
        <x:v>-0.000700012318965859</x:v>
      </x:c>
      <x:c r="I22" s="90" t="n">
        <x:f>$B$10*'Transformaciones'!K14</x:f>
        <x:v>0.00008014955708958884</x:v>
      </x:c>
      <x:c r="J22" s="90" t="n">
        <x:f>$B$13*'Transformaciones'!P15</x:f>
        <x:v>0</x:v>
      </x:c>
      <x:c r="K22" s="101" t="n">
        <x:f>SUM(C22:J22)</x:f>
        <x:v>0.009835577025443451</x:v>
      </x:c>
      <x:c r="L22" s="101" t="n">
        <x:f>B22-K22</x:f>
        <x:v>-0.005773021648514773</x:v>
      </x:c>
      <x:c r="M22" s="86" t="n">
        <x:f>'Datos_fuente'!B15</x:f>
        <x:v>2398.708667</x:v>
      </x:c>
      <x:c r="N22" s="86" t="n">
        <x:f>EXP('Transformaciones'!B14+K22)</x:f>
        <x:v>2412.596512909714</x:v>
      </x:c>
      <x:c r="O22" s="1"/>
      <x:c r="P22" s="1" t="str">
        <x:f>A66</x:f>
        <x:v>2010-05</x:v>
      </x:c>
      <x:c r="Q22" s="74" t="n">
        <x:f>M66</x:f>
        <x:v>1983.593226</x:v>
      </x:c>
      <x:c r="R22" s="74" t="n">
        <x:f>N66</x:f>
        <x:v>2071.5626756355246</x:v>
      </x:c>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t="str">
        <x:f>'Transformaciones'!A16</x:f>
        <x:v>2006-10</x:v>
      </x:c>
      <x:c r="B23" s="90" t="n">
        <x:f>'Transformaciones'!C16</x:f>
        <x:v>-0.015507999193609123</x:v>
      </x:c>
      <x:c r="C23" s="90" t="n">
        <x:f>$B$6</x:f>
        <x:v>-0.00045209606279242174</x:v>
      </x:c>
      <x:c r="D23" s="90" t="n">
        <x:f>$B$7*'Transformaciones'!E16</x:f>
        <x:v>0.0035841169209624235</x:v>
      </x:c>
      <x:c r="E23" s="90" t="n">
        <x:f>$B$11*'Transformaciones'!M16</x:f>
        <x:v>0.004138348824589422</x:v>
      </x:c>
      <x:c r="F23" s="90" t="n">
        <x:f>$B$12*'Transformaciones'!O16</x:f>
        <x:v>-0.002888561192125897</x:v>
      </x:c>
      <x:c r="G23" s="90" t="n">
        <x:f>$B$8*'Transformaciones'!G15</x:f>
        <x:v>0.0024893044396194545</x:v>
      </x:c>
      <x:c r="H23" s="90" t="n">
        <x:f>$B$9*'Transformaciones'!I15</x:f>
        <x:v>-0.0016781117333214022</x:v>
      </x:c>
      <x:c r="I23" s="90" t="n">
        <x:f>$B$10*'Transformaciones'!K15</x:f>
        <x:v>-0.0009978215345981729</x:v>
      </x:c>
      <x:c r="J23" s="90" t="n">
        <x:f>$B$13*'Transformaciones'!P16</x:f>
        <x:v>0</x:v>
      </x:c>
      <x:c r="K23" s="101" t="n">
        <x:f>SUM(C23:J23)</x:f>
        <x:v>0.004195179662333405</x:v>
      </x:c>
      <x:c r="L23" s="101" t="n">
        <x:f>B23-K23</x:f>
        <x:v>-0.019703178855942527</x:v>
      </x:c>
      <x:c r="M23" s="86" t="n">
        <x:f>'Datos_fuente'!B16</x:f>
        <x:v>2361.796452</x:v>
      </x:c>
      <x:c r="N23" s="86" t="n">
        <x:f>EXP('Transformaciones'!B15+K23)</x:f>
        <x:v>2408.792818439484</x:v>
      </x:c>
      <x:c r="O23" s="1"/>
      <x:c r="P23" s="1" t="str">
        <x:f>A78</x:f>
        <x:v>2011-05</x:v>
      </x:c>
      <x:c r="Q23" s="74" t="n">
        <x:f>M78</x:f>
        <x:v>1800.50871</x:v>
      </x:c>
      <x:c r="R23" s="74" t="n">
        <x:f>N78</x:f>
        <x:v>1809.5286687191576</x:v>
      </x:c>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t="str">
        <x:f>'Transformaciones'!A17</x:f>
        <x:v>2006-11</x:v>
      </x:c>
      <x:c r="B24" s="90" t="n">
        <x:f>'Transformaciones'!C17</x:f>
        <x:v>-0.030679472287251208</x:v>
      </x:c>
      <x:c r="C24" s="90" t="n">
        <x:f>$B$6</x:f>
        <x:v>-0.00045209606279242174</x:v>
      </x:c>
      <x:c r="D24" s="90" t="n">
        <x:f>$B$7*'Transformaciones'!E17</x:f>
        <x:v>-0.0008453877824194933</x:v>
      </x:c>
      <x:c r="E24" s="90" t="n">
        <x:f>$B$11*'Transformaciones'!M17</x:f>
        <x:v>-0.0099566965435419</x:v>
      </x:c>
      <x:c r="F24" s="90" t="n">
        <x:f>$B$12*'Transformaciones'!O17</x:f>
        <x:v>-0.0017064968579345054</x:v>
      </x:c>
      <x:c r="G24" s="90" t="n">
        <x:f>$B$8*'Transformaciones'!G16</x:f>
        <x:v>0.0032117140205797277</x:v>
      </x:c>
      <x:c r="H24" s="90" t="n">
        <x:f>$B$9*'Transformaciones'!I16</x:f>
        <x:v>-0.0025571226355894606</x:v>
      </x:c>
      <x:c r="I24" s="90" t="n">
        <x:f>$B$10*'Transformaciones'!K16</x:f>
        <x:v>0.001043093318715568</x:v>
      </x:c>
      <x:c r="J24" s="90" t="n">
        <x:f>$B$13*'Transformaciones'!P17</x:f>
        <x:v>0</x:v>
      </x:c>
      <x:c r="K24" s="101" t="n">
        <x:f>SUM(C24:J24)</x:f>
        <x:v>-0.011262992542982483</x:v>
      </x:c>
      <x:c r="L24" s="101" t="n">
        <x:f>B24-K24</x:f>
        <x:v>-0.019416479744268723</x:v>
      </x:c>
      <x:c r="M24" s="86" t="n">
        <x:f>'Datos_fuente'!B17</x:f>
        <x:v>2290.438</x:v>
      </x:c>
      <x:c r="N24" s="86" t="n">
        <x:f>EXP('Transformaciones'!B16+K24)</x:f>
        <x:v>2335.344798189347</x:v>
      </x:c>
      <x:c r="O24" s="1"/>
      <x:c r="P24" s="1" t="str">
        <x:f>A90</x:f>
        <x:v>2012-05</x:v>
      </x:c>
      <x:c r="Q24" s="74" t="n">
        <x:f>M90</x:f>
        <x:v>1793.276774</x:v>
      </x:c>
      <x:c r="R24" s="74" t="n">
        <x:f>N90</x:f>
        <x:v>1828.32084747434</x:v>
      </x:c>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t="str">
        <x:f>'Transformaciones'!A18</x:f>
        <x:v>2006-12</x:v>
      </x:c>
      <x:c r="B25" s="90" t="n">
        <x:f>'Transformaciones'!C18</x:f>
        <x:v>-0.013066140018598738</x:v>
      </x:c>
      <x:c r="C25" s="90" t="n">
        <x:f>$B$6</x:f>
        <x:v>-0.00045209606279242174</x:v>
      </x:c>
      <x:c r="D25" s="90" t="n">
        <x:f>$B$7*'Transformaciones'!E18</x:f>
        <x:v>-0.003165406599151087</x:v>
      </x:c>
      <x:c r="E25" s="90" t="n">
        <x:f>$B$11*'Transformaciones'!M18</x:f>
        <x:v>-0.008982055536513033</x:v>
      </x:c>
      <x:c r="F25" s="90" t="n">
        <x:f>$B$12*'Transformaciones'!O18</x:f>
        <x:v>0.0005208205417206317</x:v>
      </x:c>
      <x:c r="G25" s="90" t="n">
        <x:f>$B$8*'Transformaciones'!G17</x:f>
        <x:v>0.0026618653341680923</x:v>
      </x:c>
      <x:c r="H25" s="90" t="n">
        <x:f>$B$9*'Transformaciones'!I17</x:f>
        <x:v>-0.0023973024733423337</x:v>
      </x:c>
      <x:c r="I25" s="90" t="n">
        <x:f>$B$10*'Transformaciones'!K17</x:f>
        <x:v>-0.0016883172845129203</x:v>
      </x:c>
      <x:c r="J25" s="90" t="n">
        <x:f>$B$13*'Transformaciones'!P18</x:f>
        <x:v>0</x:v>
      </x:c>
      <x:c r="K25" s="101" t="n">
        <x:f>SUM(C25:J25)</x:f>
        <x:v>-0.01350249208042307</x:v>
      </x:c>
      <x:c r="L25" s="101" t="n">
        <x:f>B25-K25</x:f>
        <x:v>0.0004363520618243331</x:v>
      </x:c>
      <x:c r="M25" s="86" t="n">
        <x:f>'Datos_fuente'!B18</x:f>
        <x:v>2260.705484</x:v>
      </x:c>
      <x:c r="N25" s="86" t="n">
        <x:f>EXP('Transformaciones'!B17+K25)</x:f>
        <x:v>2259.7192356922687</x:v>
      </x:c>
      <x:c r="O25" s="1"/>
      <x:c r="P25" s="1" t="str">
        <x:f>A102</x:f>
        <x:v>2013-05</x:v>
      </x:c>
      <x:c r="Q25" s="74" t="n">
        <x:f>M102</x:f>
        <x:v>1847.92129</x:v>
      </x:c>
      <x:c r="R25" s="74" t="n">
        <x:f>N102</x:f>
        <x:v>1859.1066349959656</x:v>
      </x:c>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t="str">
        <x:f>'Transformaciones'!A19</x:f>
        <x:v>2007-01</x:v>
      </x:c>
      <x:c r="B26" s="90" t="n">
        <x:f>'Transformaciones'!C19</x:f>
        <x:v>-0.010897919154713165</x:v>
      </x:c>
      <x:c r="C26" s="90" t="n">
        <x:f>$B$6</x:f>
        <x:v>-0.00045209606279242174</x:v>
      </x:c>
      <x:c r="D26" s="90" t="n">
        <x:f>$B$7*'Transformaciones'!E19</x:f>
        <x:v>0.007839290424545689</x:v>
      </x:c>
      <x:c r="E26" s="90" t="n">
        <x:f>$B$11*'Transformaciones'!M19</x:f>
        <x:v>0.012968896633479029</x:v>
      </x:c>
      <x:c r="F26" s="90" t="n">
        <x:f>$B$12*'Transformaciones'!O19</x:f>
        <x:v>0.0002737485040849176</x:v>
      </x:c>
      <x:c r="G26" s="90" t="n">
        <x:f>$B$8*'Transformaciones'!G18</x:f>
        <x:v>0.0018661922879799127</x:v>
      </x:c>
      <x:c r="H26" s="90" t="n">
        <x:f>$B$9*'Transformaciones'!I18</x:f>
        <x:v>-0.0012178296577262382</x:v>
      </x:c>
      <x:c r="I26" s="90" t="n">
        <x:f>$B$10*'Transformaciones'!K18</x:f>
        <x:v>-0.00034181473918634106</x:v>
      </x:c>
      <x:c r="J26" s="90" t="n">
        <x:f>$B$13*'Transformaciones'!P19</x:f>
        <x:v>0</x:v>
      </x:c>
      <x:c r="K26" s="101" t="n">
        <x:f>SUM(C26:J26)</x:f>
        <x:v>0.02093638739038455</x:v>
      </x:c>
      <x:c r="L26" s="101" t="n">
        <x:f>B26-K26</x:f>
        <x:v>-0.03183430654509771</x:v>
      </x:c>
      <x:c r="M26" s="86" t="n">
        <x:f>'Datos_fuente'!B19</x:f>
        <x:v>2236.202258</x:v>
      </x:c>
      <x:c r="N26" s="86" t="n">
        <x:f>EXP('Transformaciones'!B18+K26)</x:f>
        <x:v>2308.5354358843088</x:v>
      </x:c>
      <x:c r="O26" s="1"/>
      <x:c r="P26" s="1" t="str">
        <x:f>A114</x:f>
        <x:v>2014-05</x:v>
      </x:c>
      <x:c r="Q26" s="74" t="n">
        <x:f>M114</x:f>
        <x:v>1915.360968</x:v>
      </x:c>
      <x:c r="R26" s="74" t="n">
        <x:f>N114</x:f>
        <x:v>1911.3236328498701</x:v>
      </x:c>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t="str">
        <x:f>'Transformaciones'!A20</x:f>
        <x:v>2007-02</x:v>
      </x:c>
      <x:c r="B27" s="90" t="n">
        <x:f>'Transformaciones'!C20</x:f>
        <x:v>-0.0038678615098186597</x:v>
      </x:c>
      <x:c r="C27" s="90" t="n">
        <x:f>$B$6</x:f>
        <x:v>-0.00045209606279242174</x:v>
      </x:c>
      <x:c r="D27" s="90" t="n">
        <x:f>$B$7*'Transformaciones'!E20</x:f>
        <x:v>-0.0036023118126040795</x:v>
      </x:c>
      <x:c r="E27" s="90" t="n">
        <x:f>$B$11*'Transformaciones'!M20</x:f>
        <x:v>-0.004446165718984763</x:v>
      </x:c>
      <x:c r="F27" s="90" t="n">
        <x:f>$B$12*'Transformaciones'!O20</x:f>
        <x:v>0.0003923538667013149</x:v>
      </x:c>
      <x:c r="G27" s="90" t="n">
        <x:f>$B$8*'Transformaciones'!G19</x:f>
        <x:v>0.002601804132515566</x:v>
      </x:c>
      <x:c r="H27" s="90" t="n">
        <x:f>$B$9*'Transformaciones'!I19</x:f>
        <x:v>-0.0014991131401103518</x:v>
      </x:c>
      <x:c r="I27" s="90" t="n">
        <x:f>$B$10*'Transformaciones'!K19</x:f>
        <x:v>-0.003018020384709609</x:v>
      </x:c>
      <x:c r="J27" s="90" t="n">
        <x:f>$B$13*'Transformaciones'!P20</x:f>
        <x:v>0</x:v>
      </x:c>
      <x:c r="K27" s="101" t="n">
        <x:f>SUM(C27:J27)</x:f>
        <x:v>-0.010023549119984345</x:v>
      </x:c>
      <x:c r="L27" s="101" t="n">
        <x:f>B27-K27</x:f>
        <x:v>0.006155687610165685</x:v>
      </x:c>
      <x:c r="M27" s="86" t="n">
        <x:f>'Datos_fuente'!B20</x:f>
        <x:v>2227.569643</x:v>
      </x:c>
      <x:c r="N27" s="86" t="n">
        <x:f>EXP('Transformaciones'!B19+K27)</x:f>
        <x:v>2213.899537762689</x:v>
      </x:c>
      <x:c r="O27" s="1"/>
      <x:c r="P27" s="1" t="str">
        <x:f>A126</x:f>
        <x:v>2015-05</x:v>
      </x:c>
      <x:c r="Q27" s="74" t="n">
        <x:f>M126</x:f>
        <x:v>2437.535161</x:v>
      </x:c>
      <x:c r="R27" s="74" t="n">
        <x:f>N126</x:f>
        <x:v>2472.6599791808585</x:v>
      </x:c>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t="str">
        <x:f>'Transformaciones'!A21</x:f>
        <x:v>2007-03</x:v>
      </x:c>
      <x:c r="B28" s="90" t="n">
        <x:f>'Transformaciones'!C21</x:f>
        <x:v>-0.011161657942357017</x:v>
      </x:c>
      <x:c r="C28" s="90" t="n">
        <x:f>$B$6</x:f>
        <x:v>-0.00045209606279242174</x:v>
      </x:c>
      <x:c r="D28" s="90" t="n">
        <x:f>$B$7*'Transformaciones'!E21</x:f>
        <x:v>-0.0038869028070618434</x:v>
      </x:c>
      <x:c r="E28" s="90" t="n">
        <x:f>$B$11*'Transformaciones'!M21</x:f>
        <x:v>-0.005805855411060749</x:v>
      </x:c>
      <x:c r="F28" s="90" t="n">
        <x:f>$B$12*'Transformaciones'!O21</x:f>
        <x:v>0.011852879936227599</x:v>
      </x:c>
      <x:c r="G28" s="90" t="n">
        <x:f>$B$8*'Transformaciones'!G20</x:f>
        <x:v>0.0023639129280978895</x:v>
      </x:c>
      <x:c r="H28" s="90" t="n">
        <x:f>$B$9*'Transformaciones'!I20</x:f>
        <x:v>-0.002403809436921101</x:v>
      </x:c>
      <x:c r="I28" s="90" t="n">
        <x:f>$B$10*'Transformaciones'!K20</x:f>
        <x:v>0.0000032173461394084103</x:v>
      </x:c>
      <x:c r="J28" s="90" t="n">
        <x:f>$B$13*'Transformaciones'!P21</x:f>
        <x:v>0</x:v>
      </x:c>
      <x:c r="K28" s="101" t="n">
        <x:f>SUM(C28:J28)</x:f>
        <x:v>0.0016713464926287806</x:v>
      </x:c>
      <x:c r="L28" s="101" t="n">
        <x:f>B28-K28</x:f>
        <x:v>-0.012833004434985798</x:v>
      </x:c>
      <x:c r="M28" s="86" t="n">
        <x:f>'Datos_fuente'!B21</x:f>
        <x:v>2202.844516</x:v>
      </x:c>
      <x:c r="N28" s="86" t="n">
        <x:f>EXP('Transformaciones'!B20+K28)</x:f>
        <x:v>2231.2957966894764</x:v>
      </x:c>
      <x:c r="O28" s="1"/>
      <x:c r="P28" s="1" t="str">
        <x:f>A138</x:f>
        <x:v>2016-05</x:v>
      </x:c>
      <x:c r="Q28" s="74" t="n">
        <x:f>M138</x:f>
        <x:v>2993.508387</x:v>
      </x:c>
      <x:c r="R28" s="74" t="n">
        <x:f>N138</x:f>
        <x:v>3026.3463937234837</x:v>
      </x:c>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t="str">
        <x:f>'Transformaciones'!A22</x:f>
        <x:v>2007-04</x:v>
      </x:c>
      <x:c r="B29" s="90" t="n">
        <x:f>'Transformaciones'!C22</x:f>
        <x:v>-0.026656244810353336</x:v>
      </x:c>
      <x:c r="C29" s="90" t="n">
        <x:f>$B$6</x:f>
        <x:v>-0.00045209606279242174</x:v>
      </x:c>
      <x:c r="D29" s="90" t="n">
        <x:f>$B$7*'Transformaciones'!E22</x:f>
        <x:v>-0.0043405595905526145</x:v>
      </x:c>
      <x:c r="E29" s="90" t="n">
        <x:f>$B$11*'Transformaciones'!M22</x:f>
        <x:v>-0.017402212316306724</x:v>
      </x:c>
      <x:c r="F29" s="90" t="n">
        <x:f>$B$12*'Transformaciones'!O22</x:f>
        <x:v>-0.006142454006940684</x:v>
      </x:c>
      <x:c r="G29" s="90" t="n">
        <x:f>$B$8*'Transformaciones'!G21</x:f>
        <x:v>0.0009717347394092746</x:v>
      </x:c>
      <x:c r="H29" s="90" t="n">
        <x:f>$B$9*'Transformaciones'!I21</x:f>
        <x:v>-0.0026912574231116033</x:v>
      </x:c>
      <x:c r="I29" s="90" t="n">
        <x:f>$B$10*'Transformaciones'!K21</x:f>
        <x:v>0.0007034503064111977</x:v>
      </x:c>
      <x:c r="J29" s="90" t="n">
        <x:f>$B$13*'Transformaciones'!P22</x:f>
        <x:v>0</x:v>
      </x:c>
      <x:c r="K29" s="101" t="n">
        <x:f>SUM(C29:J29)</x:f>
        <x:v>-0.029353394353883577</x:v>
      </x:c>
      <x:c r="L29" s="101" t="n">
        <x:f>B29-K29</x:f>
        <x:v>0.002697149543530241</x:v>
      </x:c>
      <x:c r="M29" s="86" t="n">
        <x:f>'Datos_fuente'!B22</x:f>
        <x:v>2144.900667</x:v>
      </x:c>
      <x:c r="N29" s="86" t="n">
        <x:f>EXP('Transformaciones'!B21+K29)</x:f>
        <x:v>2139.123343799717</x:v>
      </x:c>
      <x:c r="O29" s="1"/>
      <x:c r="P29" s="1" t="str">
        <x:f>A150</x:f>
        <x:v>2017-05</x:v>
      </x:c>
      <x:c r="Q29" s="74" t="n">
        <x:f>M150</x:f>
        <x:v>2923.612903</x:v>
      </x:c>
      <x:c r="R29" s="74" t="n">
        <x:f>N150</x:f>
        <x:v>2852.2611558891167</x:v>
      </x:c>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t="str">
        <x:f>'Transformaciones'!A23</x:f>
        <x:v>2007-05</x:v>
      </x:c>
      <x:c r="B30" s="90" t="n">
        <x:f>'Transformaciones'!C23</x:f>
        <x:v>-0.06524936641756351</x:v>
      </x:c>
      <x:c r="C30" s="90" t="n">
        <x:f>$B$6</x:f>
        <x:v>-0.00045209606279242174</x:v>
      </x:c>
      <x:c r="D30" s="90" t="n">
        <x:f>$B$7*'Transformaciones'!E23</x:f>
        <x:v>0.00020993207605582572</x:v>
      </x:c>
      <x:c r="E30" s="90" t="n">
        <x:f>$B$11*'Transformaciones'!M23</x:f>
        <x:v>-0.011612574096329136</x:v>
      </x:c>
      <x:c r="F30" s="90" t="n">
        <x:f>$B$12*'Transformaciones'!O23</x:f>
        <x:v>0.0010739945352948135</x:v>
      </x:c>
      <x:c r="G30" s="90" t="n">
        <x:f>$B$8*'Transformaciones'!G22</x:f>
        <x:v>0.0022854093160940164</x:v>
      </x:c>
      <x:c r="H30" s="90" t="n">
        <x:f>$B$9*'Transformaciones'!I22</x:f>
        <x:v>-0.0020968405599942944</x:v>
      </x:c>
      <x:c r="I30" s="90" t="n">
        <x:f>$B$10*'Transformaciones'!K22</x:f>
        <x:v>-0.0010453304515687012</x:v>
      </x:c>
      <x:c r="J30" s="90" t="n">
        <x:f>$B$13*'Transformaciones'!P23</x:f>
        <x:v>0</x:v>
      </x:c>
      <x:c r="K30" s="101" t="n">
        <x:f>SUM(C30:J30)</x:f>
        <x:v>-0.011637505243239898</x:v>
      </x:c>
      <x:c r="L30" s="101" t="n">
        <x:f>B30-K30</x:f>
        <x:v>-0.053611861174323615</x:v>
      </x:c>
      <x:c r="M30" s="86" t="n">
        <x:f>'Datos_fuente'!B23</x:f>
        <x:v>2009.415484</x:v>
      </x:c>
      <x:c r="N30" s="86" t="n">
        <x:f>EXP('Transformaciones'!B22+K30)</x:f>
        <x:v>2120.0840560403044</x:v>
      </x:c>
      <x:c r="O30" s="1"/>
      <x:c r="P30" s="1" t="str">
        <x:f>A162</x:f>
        <x:v>2018-05</x:v>
      </x:c>
      <x:c r="Q30" s="74" t="n">
        <x:f>M162</x:f>
        <x:v>2861.825806</x:v>
      </x:c>
      <x:c r="R30" s="74" t="n">
        <x:f>N162</x:f>
        <x:v>2850.0031100428205</x:v>
      </x:c>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t="str">
        <x:f>'Transformaciones'!A24</x:f>
        <x:v>2007-06</x:v>
      </x:c>
      <x:c r="B31" s="90" t="n">
        <x:f>'Transformaciones'!C24</x:f>
        <x:v>-0.043679583515122467</x:v>
      </x:c>
      <x:c r="C31" s="90" t="n">
        <x:f>$B$6</x:f>
        <x:v>-0.00045209606279242174</x:v>
      </x:c>
      <x:c r="D31" s="90" t="n">
        <x:f>$B$7*'Transformaciones'!E24</x:f>
        <x:v>-0.0028672501603129543</x:v>
      </x:c>
      <x:c r="E31" s="90" t="n">
        <x:f>$B$11*'Transformaciones'!M24</x:f>
        <x:v>-0.003566537735310022</x:v>
      </x:c>
      <x:c r="F31" s="90" t="n">
        <x:f>$B$12*'Transformaciones'!O24</x:f>
        <x:v>0.004516680912014262</x:v>
      </x:c>
      <x:c r="G31" s="90" t="n">
        <x:f>$B$8*'Transformaciones'!G23</x:f>
        <x:v>-0.0017945730139661711</x:v>
      </x:c>
      <x:c r="H31" s="90" t="n">
        <x:f>$B$9*'Transformaciones'!I23</x:f>
        <x:v>-0.0031964032944868264</x:v>
      </x:c>
      <x:c r="I31" s="90" t="n">
        <x:f>$B$10*'Transformaciones'!K23</x:f>
        <x:v>-0.00249784348878056</x:v>
      </x:c>
      <x:c r="J31" s="90" t="n">
        <x:f>$B$13*'Transformaciones'!P24</x:f>
        <x:v>0</x:v>
      </x:c>
      <x:c r="K31" s="101" t="n">
        <x:f>SUM(C31:J31)</x:f>
        <x:v>-0.009858022843634694</x:v>
      </x:c>
      <x:c r="L31" s="101" t="n">
        <x:f>B31-K31</x:f>
        <x:v>-0.03382156067148777</x:v>
      </x:c>
      <x:c r="M31" s="86" t="n">
        <x:f>'Datos_fuente'!B24</x:f>
        <x:v>1923.534333</x:v>
      </x:c>
      <x:c r="N31" s="86" t="n">
        <x:f>EXP('Transformaciones'!B23+K31)</x:f>
        <x:v>1989.703938321584</x:v>
      </x:c>
      <x:c r="O31" s="1"/>
      <x:c r="P31" s="1" t="str">
        <x:f>A174</x:f>
        <x:v>2019-05</x:v>
      </x:c>
      <x:c r="Q31" s="74" t="n">
        <x:f>M174</x:f>
        <x:v>3304.494516</x:v>
      </x:c>
      <x:c r="R31" s="74" t="n">
        <x:f>N174</x:f>
        <x:v>3225.2593772962546</x:v>
      </x:c>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t="str">
        <x:f>'Transformaciones'!A25</x:f>
        <x:v>2007-07</x:v>
      </x:c>
      <x:c r="B32" s="90" t="n">
        <x:f>'Transformaciones'!C25</x:f>
        <x:v>0.01461004290450063</x:v>
      </x:c>
      <x:c r="C32" s="90" t="n">
        <x:f>$B$6</x:f>
        <x:v>-0.00045209606279242174</x:v>
      </x:c>
      <x:c r="D32" s="90" t="n">
        <x:f>$B$7*'Transformaciones'!E25</x:f>
        <x:v>-0.004113277559898915</x:v>
      </x:c>
      <x:c r="E32" s="90" t="n">
        <x:f>$B$11*'Transformaciones'!M25</x:f>
        <x:v>-0.016044982410911884</x:v>
      </x:c>
      <x:c r="F32" s="90" t="n">
        <x:f>$B$12*'Transformaciones'!O25</x:f>
        <x:v>0.0055845745543106826</x:v>
      </x:c>
      <x:c r="G32" s="90" t="n">
        <x:f>$B$8*'Transformaciones'!G24</x:f>
        <x:v>-0.0004934991599961996</x:v>
      </x:c>
      <x:c r="H32" s="90" t="n">
        <x:f>$B$9*'Transformaciones'!I24</x:f>
        <x:v>-0.002748906836231328</x:v>
      </x:c>
      <x:c r="I32" s="90" t="n">
        <x:f>$B$10*'Transformaciones'!K24</x:f>
        <x:v>0.0009558866075571966</x:v>
      </x:c>
      <x:c r="J32" s="90" t="n">
        <x:f>$B$13*'Transformaciones'!P25</x:f>
        <x:v>0</x:v>
      </x:c>
      <x:c r="K32" s="101" t="n">
        <x:f>SUM(C32:J32)</x:f>
        <x:v>-0.01731230086796287</x:v>
      </x:c>
      <x:c r="L32" s="101" t="n">
        <x:f>B32-K32</x:f>
        <x:v>0.0319223437724635</x:v>
      </x:c>
      <x:c r="M32" s="86" t="n">
        <x:f>'Datos_fuente'!B25</x:f>
        <x:v>1951.843548</x:v>
      </x:c>
      <x:c r="N32" s="86" t="n">
        <x:f>EXP('Transformaciones'!B24+K32)</x:f>
        <x:v>1890.520128387833</x:v>
      </x:c>
      <x:c r="O32" s="1"/>
      <x:c r="P32" s="1" t="str">
        <x:f>A186</x:f>
        <x:v>2020-05</x:v>
      </x:c>
      <x:c r="Q32" s="74" t="n">
        <x:f>M186</x:f>
        <x:v>3858.191613</x:v>
      </x:c>
      <x:c r="R32" s="74" t="n">
        <x:f>N186</x:f>
        <x:v>3818.2946632891867</x:v>
      </x:c>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t="str">
        <x:f>'Transformaciones'!A26</x:f>
        <x:v>2007-08</x:v>
      </x:c>
      <x:c r="B33" s="90" t="n">
        <x:f>'Transformaciones'!C26</x:f>
        <x:v>0.05203021676663333</x:v>
      </x:c>
      <x:c r="C33" s="90" t="n">
        <x:f>$B$6</x:f>
        <x:v>-0.00045209606279242174</x:v>
      </x:c>
      <x:c r="D33" s="90" t="n">
        <x:f>$B$7*'Transformaciones'!E26</x:f>
        <x:v>0.004320944805579383</x:v>
      </x:c>
      <x:c r="E33" s="90" t="n">
        <x:f>$B$11*'Transformaciones'!M26</x:f>
        <x:v>0.007205445281100262</x:v>
      </x:c>
      <x:c r="F33" s="90" t="n">
        <x:f>$B$12*'Transformaciones'!O26</x:f>
        <x:v>0.014317693095989282</x:v>
      </x:c>
      <x:c r="G33" s="90" t="n">
        <x:f>$B$8*'Transformaciones'!G25</x:f>
        <x:v>0.0036296196152675935</x:v>
      </x:c>
      <x:c r="H33" s="90" t="n">
        <x:f>$B$9*'Transformaciones'!I25</x:f>
        <x:v>-0.0015470591927480306</x:v>
      </x:c>
      <x:c r="I33" s="90" t="n">
        <x:f>$B$10*'Transformaciones'!K25</x:f>
        <x:v>0.0010054238823151743</x:v>
      </x:c>
      <x:c r="J33" s="90" t="n">
        <x:f>$B$13*'Transformaciones'!P26</x:f>
        <x:v>0</x:v>
      </x:c>
      <x:c r="K33" s="101" t="n">
        <x:f>SUM(C33:J33)</x:f>
        <x:v>0.028479971424711245</x:v>
      </x:c>
      <x:c r="L33" s="101" t="n">
        <x:f>B33-K33</x:f>
        <x:v>0.023550245341922085</x:v>
      </x:c>
      <x:c r="M33" s="86" t="n">
        <x:f>'Datos_fuente'!B26</x:f>
        <x:v>2056.086774</x:v>
      </x:c>
      <x:c r="N33" s="86" t="n">
        <x:f>EXP('Transformaciones'!B25+K33)</x:f>
        <x:v>2008.2311437085193</x:v>
      </x:c>
      <x:c r="O33" s="1"/>
      <x:c r="P33" s="1" t="str">
        <x:f>A198</x:f>
        <x:v>2021-05</x:v>
      </x:c>
      <x:c r="Q33" s="74" t="n">
        <x:f>M198</x:f>
        <x:v>3735.666129</x:v>
      </x:c>
      <x:c r="R33" s="74" t="n">
        <x:f>N198</x:f>
        <x:v>3644.0558323059327</x:v>
      </x:c>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t="str">
        <x:f>'Transformaciones'!A27</x:f>
        <x:v>2007-09</x:v>
      </x:c>
      <x:c r="B34" s="90" t="n">
        <x:f>'Transformaciones'!C27</x:f>
        <x:v>0.027479120264764845</x:v>
      </x:c>
      <x:c r="C34" s="90" t="n">
        <x:f>$B$6</x:f>
        <x:v>-0.00045209606279242174</x:v>
      </x:c>
      <x:c r="D34" s="90" t="n">
        <x:f>$B$7*'Transformaciones'!E27</x:f>
        <x:v>-0.004484074426973424</x:v>
      </x:c>
      <x:c r="E34" s="90" t="n">
        <x:f>$B$11*'Transformaciones'!M27</x:f>
        <x:v>-0.017275802090092232</x:v>
      </x:c>
      <x:c r="F34" s="90" t="n">
        <x:f>$B$12*'Transformaciones'!O27</x:f>
        <x:v>-0.004629251435033628</x:v>
      </x:c>
      <x:c r="G34" s="90" t="n">
        <x:f>$B$8*'Transformaciones'!G26</x:f>
        <x:v>0.005072800395971402</x:v>
      </x:c>
      <x:c r="H34" s="90" t="n">
        <x:f>$B$9*'Transformaciones'!I26</x:f>
        <x:v>-0.004695516444506034</x:v>
      </x:c>
      <x:c r="I34" s="90" t="n">
        <x:f>$B$10*'Transformaciones'!K26</x:f>
        <x:v>-0.0005140119557980632</x:v>
      </x:c>
      <x:c r="J34" s="90" t="n">
        <x:f>$B$13*'Transformaciones'!P27</x:f>
        <x:v>0</x:v>
      </x:c>
      <x:c r="K34" s="101" t="n">
        <x:f>SUM(C34:J34)</x:f>
        <x:v>-0.026977952019224403</x:v>
      </x:c>
      <x:c r="L34" s="101" t="n">
        <x:f>B34-K34</x:f>
        <x:v>0.054457072283989244</x:v>
      </x:c>
      <x:c r="M34" s="86" t="n">
        <x:f>'Datos_fuente'!B27</x:f>
        <x:v>2113.369667</x:v>
      </x:c>
      <x:c r="N34" s="86" t="n">
        <x:f>EXP('Transformaciones'!B26+K34)</x:f>
        <x:v>2001.359300467349</x:v>
      </x:c>
      <x:c r="O34" s="1"/>
      <x:c r="P34" s="1" t="str">
        <x:f>A210</x:f>
        <x:v>2022-05</x:v>
      </x:c>
      <x:c r="Q34" s="74" t="n">
        <x:f>M210</x:f>
        <x:v>4019.079355</x:v>
      </x:c>
      <x:c r="R34" s="74" t="n">
        <x:f>N210</x:f>
        <x:v>3867.602623542247</x:v>
      </x:c>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t="str">
        <x:f>'Transformaciones'!A28</x:f>
        <x:v>2007-10</x:v>
      </x:c>
      <x:c r="B35" s="90" t="n">
        <x:f>'Transformaciones'!C28</x:f>
        <x:v>-0.05459357456620051</x:v>
      </x:c>
      <x:c r="C35" s="90" t="n">
        <x:f>$B$6</x:f>
        <x:v>-0.00045209606279242174</x:v>
      </x:c>
      <x:c r="D35" s="90" t="n">
        <x:f>$B$7*'Transformaciones'!E28</x:f>
        <x:v>-0.0033499341771342003</x:v>
      </x:c>
      <x:c r="E35" s="90" t="n">
        <x:f>$B$11*'Transformaciones'!M28</x:f>
        <x:v>-0.027066656754593077</x:v>
      </x:c>
      <x:c r="F35" s="90" t="n">
        <x:f>$B$12*'Transformaciones'!O28</x:f>
        <x:v>-0.005774786988310144</x:v>
      </x:c>
      <x:c r="G35" s="90" t="n">
        <x:f>$B$8*'Transformaciones'!G27</x:f>
        <x:v>0.004875001244683557</x:v>
      </x:c>
      <x:c r="H35" s="90" t="n">
        <x:f>$B$9*'Transformaciones'!I27</x:f>
        <x:v>-0.000792708017429079</x:v>
      </x:c>
      <x:c r="I35" s="90" t="n">
        <x:f>$B$10*'Transformaciones'!K27</x:f>
        <x:v>0.001037313458829795</x:v>
      </x:c>
      <x:c r="J35" s="90" t="n">
        <x:f>$B$13*'Transformaciones'!P28</x:f>
        <x:v>0</x:v>
      </x:c>
      <x:c r="K35" s="101" t="n">
        <x:f>SUM(C35:J35)</x:f>
        <x:v>-0.03152386729674558</x:v>
      </x:c>
      <x:c r="L35" s="101" t="n">
        <x:f>B35-K35</x:f>
        <x:v>-0.023069707269454932</x:v>
      </x:c>
      <x:c r="M35" s="86" t="n">
        <x:f>'Datos_fuente'!B28</x:f>
        <x:v>2001.086129</x:v>
      </x:c>
      <x:c r="N35" s="86" t="n">
        <x:f>EXP('Transformaciones'!B27+K35)</x:f>
        <x:v>2047.787219238155</x:v>
      </x:c>
      <x:c r="O35" s="1"/>
      <x:c r="P35" s="1" t="str">
        <x:f>A222</x:f>
        <x:v>2023-05</x:v>
      </x:c>
      <x:c r="Q35" s="74" t="n">
        <x:f>M222</x:f>
        <x:v>4540.089032</x:v>
      </x:c>
      <x:c r="R35" s="74" t="n">
        <x:f>N222</x:f>
        <x:v>4571.162417651084</x:v>
      </x:c>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t="str">
        <x:f>'Transformaciones'!A29</x:f>
        <x:v>2007-11</x:v>
      </x:c>
      <x:c r="B36" s="90" t="n">
        <x:f>'Transformaciones'!C29</x:f>
        <x:v>0.022371041458117524</x:v>
      </x:c>
      <x:c r="C36" s="90" t="n">
        <x:f>$B$6</x:f>
        <x:v>-0.00045209606279242174</x:v>
      </x:c>
      <x:c r="D36" s="90" t="n">
        <x:f>$B$7*'Transformaciones'!E29</x:f>
        <x:v>-0.005966557950434345</x:v>
      </x:c>
      <x:c r="E36" s="90" t="n">
        <x:f>$B$11*'Transformaciones'!M29</x:f>
        <x:v>-0.018243035100607305</x:v>
      </x:c>
      <x:c r="F36" s="90" t="n">
        <x:f>$B$12*'Transformaciones'!O29</x:f>
        <x:v>0.01125305241459138</x:v>
      </x:c>
      <x:c r="G36" s="90" t="n">
        <x:f>$B$8*'Transformaciones'!G28</x:f>
        <x:v>0.006011336776308919</x:v>
      </x:c>
      <x:c r="H36" s="90" t="n">
        <x:f>$B$9*'Transformaciones'!I28</x:f>
        <x:v>-0.0017835930392154518</x:v>
      </x:c>
      <x:c r="I36" s="90" t="n">
        <x:f>$B$10*'Transformaciones'!K28</x:f>
        <x:v>0.00029969892267720405</x:v>
      </x:c>
      <x:c r="J36" s="90" t="n">
        <x:f>$B$13*'Transformaciones'!P29</x:f>
        <x:v>0</x:v>
      </x:c>
      <x:c r="K36" s="101" t="n">
        <x:f>SUM(C36:J36)</x:f>
        <x:v>-0.00888119403947202</x:v>
      </x:c>
      <x:c r="L36" s="101" t="n">
        <x:f>B36-K36</x:f>
        <x:v>0.03125223549758954</x:v>
      </x:c>
      <x:c r="M36" s="86" t="n">
        <x:f>'Datos_fuente'!B29</x:f>
        <x:v>2046.357</x:v>
      </x:c>
      <x:c r="N36" s="86" t="n">
        <x:f>EXP('Transformaciones'!B28+K36)</x:f>
        <x:v>1983.3927801285727</x:v>
      </x:c>
      <x:c r="O36" s="1"/>
      <x:c r="P36" s="1" t="str">
        <x:f>A234</x:f>
        <x:v>2024-05</x:v>
      </x:c>
      <x:c r="Q36" s="74" t="n">
        <x:f>M234</x:f>
        <x:v>3869.100645</x:v>
      </x:c>
      <x:c r="R36" s="74" t="n">
        <x:f>N234</x:f>
        <x:v>3901.358819101147</x:v>
      </x:c>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t="str">
        <x:f>'Transformaciones'!A30</x:f>
        <x:v>2007-12</x:v>
      </x:c>
      <x:c r="B37" s="90" t="n">
        <x:f>'Transformaciones'!C30</x:f>
        <x:v>-0.016020515023585702</x:v>
      </x:c>
      <x:c r="C37" s="90" t="n">
        <x:f>$B$6</x:f>
        <x:v>-0.00045209606279242174</x:v>
      </x:c>
      <x:c r="D37" s="90" t="n">
        <x:f>$B$7*'Transformaciones'!E30</x:f>
        <x:v>0.0008387755793409237</x:v>
      </x:c>
      <x:c r="E37" s="90" t="n">
        <x:f>$B$11*'Transformaciones'!M30</x:f>
        <x:v>0.0129194342087098</x:v>
      </x:c>
      <x:c r="F37" s="90" t="n">
        <x:f>$B$12*'Transformaciones'!O30</x:f>
        <x:v>-0.0064434459584917754</x:v>
      </x:c>
      <x:c r="G37" s="90" t="n">
        <x:f>$B$8*'Transformaciones'!G29</x:f>
        <x:v>0.007507007732776671</x:v>
      </x:c>
      <x:c r="H37" s="90" t="n">
        <x:f>$B$9*'Transformaciones'!I29</x:f>
        <x:v>-0.0030882583212037676</x:v>
      </x:c>
      <x:c r="I37" s="90" t="n">
        <x:f>$B$10*'Transformaciones'!K29</x:f>
        <x:v>0.0003305271716233369</x:v>
      </x:c>
      <x:c r="J37" s="90" t="n">
        <x:f>$B$13*'Transformaciones'!P30</x:f>
        <x:v>0</x:v>
      </x:c>
      <x:c r="K37" s="101" t="n">
        <x:f>SUM(C37:J37)</x:f>
        <x:v>0.01161194434996277</x:v>
      </x:c>
      <x:c r="L37" s="101" t="n">
        <x:f>B37-K37</x:f>
        <x:v>-0.02763245937354847</x:v>
      </x:c>
      <x:c r="M37" s="86" t="n">
        <x:f>'Datos_fuente'!B30</x:f>
        <x:v>2013.834516</x:v>
      </x:c>
      <x:c r="N37" s="86" t="n">
        <x:f>EXP('Transformaciones'!B29+K37)</x:f>
        <x:v>2070.257681739383</x:v>
      </x:c>
      <x:c r="O37" s="1"/>
      <x:c r="P37" s="1" t="str">
        <x:f>A246</x:f>
        <x:v>2025-05</x:v>
      </x:c>
      <x:c r="Q37" s="74" t="n">
        <x:f>M246</x:f>
        <x:v>4203.377097</x:v>
      </x:c>
      <x:c r="R37" s="74" t="n">
        <x:f>N246</x:f>
        <x:v>4153.232440736634</x:v>
      </x:c>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t="str">
        <x:f>'Transformaciones'!A31</x:f>
        <x:v>2008-01</x:v>
      </x:c>
      <x:c r="B38" s="90" t="n">
        <x:f>'Transformaciones'!C31</x:f>
        <x:v>-0.01533689232879265</x:v>
      </x:c>
      <x:c r="C38" s="90" t="n">
        <x:f>$B$6</x:f>
        <x:v>-0.00045209606279242174</x:v>
      </x:c>
      <x:c r="D38" s="90" t="n">
        <x:f>$B$7*'Transformaciones'!E31</x:f>
        <x:v>-0.0007064924452223175</x:v>
      </x:c>
      <x:c r="E38" s="90" t="n">
        <x:f>$B$11*'Transformaciones'!M31</x:f>
        <x:v>-0.008233355058123538</x:v>
      </x:c>
      <x:c r="F38" s="90" t="n">
        <x:f>$B$12*'Transformaciones'!O31</x:f>
        <x:v>0.006794788171872588</x:v>
      </x:c>
      <x:c r="G38" s="90" t="n">
        <x:f>$B$8*'Transformaciones'!G30</x:f>
        <x:v>0.003098975635884243</x:v>
      </x:c>
      <x:c r="H38" s="90" t="n">
        <x:f>$B$9*'Transformaciones'!I30</x:f>
        <x:v>-0.004541556346551192</x:v>
      </x:c>
      <x:c r="I38" s="90" t="n">
        <x:f>$B$10*'Transformaciones'!K30</x:f>
        <x:v>-0.00034786864197597323</x:v>
      </x:c>
      <x:c r="J38" s="90" t="n">
        <x:f>$B$13*'Transformaciones'!P31</x:f>
        <x:v>0</x:v>
      </x:c>
      <x:c r="K38" s="101" t="n">
        <x:f>SUM(C38:J38)</x:f>
        <x:v>-0.004387604746908613</x:v>
      </x:c>
      <x:c r="L38" s="101" t="n">
        <x:f>B38-K38</x:f>
        <x:v>-0.010949287581884038</x:v>
      </x:c>
      <x:c r="M38" s="86" t="n">
        <x:f>'Datos_fuente'!B31</x:f>
        <x:v>1983.184194</x:v>
      </x:c>
      <x:c r="N38" s="86" t="n">
        <x:f>EXP('Transformaciones'!B30+K38)</x:f>
        <x:v>2005.0179620391214</x:v>
      </x:c>
      <x:c r="O38" s="1"/>
      <x:c r="P38" s="1" t="str">
        <x:f>A257</x:f>
        <x:v>2026-04</x:v>
      </x:c>
      <x:c r="Q38" s="74" t="n">
        <x:f>M257</x:f>
        <x:v>3617.518667</x:v>
      </x:c>
      <x:c r="R38" s="74" t="n">
        <x:f>N257</x:f>
        <x:v>3626.6960070441955</x:v>
      </x:c>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t="str">
        <x:f>'Transformaciones'!A32</x:f>
        <x:v>2008-02</x:v>
      </x:c>
      <x:c r="B39" s="90" t="n">
        <x:f>'Transformaciones'!C32</x:f>
        <x:v>-0.0400673319501923</x:v>
      </x:c>
      <x:c r="C39" s="90" t="n">
        <x:f>$B$6</x:f>
        <x:v>-0.00045209606279242174</x:v>
      </x:c>
      <x:c r="D39" s="90" t="n">
        <x:f>$B$7*'Transformaciones'!E32</x:f>
        <x:v>-0.0015514016110895338</x:v>
      </x:c>
      <x:c r="E39" s="90" t="n">
        <x:f>$B$11*'Transformaciones'!M32</x:f>
        <x:v>-0.010286882542876312</x:v>
      </x:c>
      <x:c r="F39" s="90" t="n">
        <x:f>$B$12*'Transformaciones'!O32</x:f>
        <x:v>-0.0005425923662208101</x:v>
      </x:c>
      <x:c r="G39" s="90" t="n">
        <x:f>$B$8*'Transformaciones'!G31</x:f>
        <x:v>0.004445391275339136</x:v>
      </x:c>
      <x:c r="H39" s="90" t="n">
        <x:f>$B$9*'Transformaciones'!I31</x:f>
        <x:v>-0.0029726550653590748</x:v>
      </x:c>
      <x:c r="I39" s="90" t="n">
        <x:f>$B$10*'Transformaciones'!K31</x:f>
        <x:v>-0.0010554994009052657</x:v>
      </x:c>
      <x:c r="J39" s="90" t="n">
        <x:f>$B$13*'Transformaciones'!P32</x:f>
        <x:v>0</x:v>
      </x:c>
      <x:c r="K39" s="101" t="n">
        <x:f>SUM(C39:J39)</x:f>
        <x:v>-0.012415735773904283</x:v>
      </x:c>
      <x:c r="L39" s="101" t="n">
        <x:f>B39-K39</x:f>
        <x:v>-0.027651596176288012</x:v>
      </x:c>
      <x:c r="M39" s="86" t="n">
        <x:f>'Datos_fuente'!B32</x:f>
        <x:v>1905.294138</x:v>
      </x:c>
      <x:c r="N39" s="86" t="n">
        <x:f>EXP('Transformaciones'!B31+K39)</x:f>
        <x:v>1958.7137268273966</x:v>
      </x:c>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t="str">
        <x:f>'Transformaciones'!A33</x:f>
        <x:v>2008-03</x:v>
      </x:c>
      <x:c r="B40" s="90" t="n">
        <x:f>'Transformaciones'!C33</x:f>
        <x:v>-0.032974135656160364</x:v>
      </x:c>
      <x:c r="C40" s="90" t="n">
        <x:f>$B$6</x:f>
        <x:v>-0.00045209606279242174</x:v>
      </x:c>
      <x:c r="D40" s="90" t="n">
        <x:f>$B$7*'Transformaciones'!E33</x:f>
        <x:v>-0.004504731505598555</x:v>
      </x:c>
      <x:c r="E40" s="90" t="n">
        <x:f>$B$11*'Transformaciones'!M33</x:f>
        <x:v>-0.02497620099989432</x:v>
      </x:c>
      <x:c r="F40" s="90" t="n">
        <x:f>$B$12*'Transformaciones'!O33</x:f>
        <x:v>0.0024217687574231797</x:v>
      </x:c>
      <x:c r="G40" s="90" t="n">
        <x:f>$B$8*'Transformaciones'!G32</x:f>
        <x:v>0.0033536804926129348</x:v>
      </x:c>
      <x:c r="H40" s="90" t="n">
        <x:f>$B$9*'Transformaciones'!I32</x:f>
        <x:v>-0.009939601819254518</x:v>
      </x:c>
      <x:c r="I40" s="90" t="n">
        <x:f>$B$10*'Transformaciones'!K32</x:f>
        <x:v>0.0005776123776871238</x:v>
      </x:c>
      <x:c r="J40" s="90" t="n">
        <x:f>$B$13*'Transformaciones'!P33</x:f>
        <x:v>0</x:v>
      </x:c>
      <x:c r="K40" s="101" t="n">
        <x:f>SUM(C40:J40)</x:f>
        <x:v>-0.03351956875981658</x:v>
      </x:c>
      <x:c r="L40" s="101" t="n">
        <x:f>B40-K40</x:f>
        <x:v>0.0005454331036562135</x:v>
      </x:c>
      <x:c r="M40" s="86" t="n">
        <x:f>'Datos_fuente'!B33</x:f>
        <x:v>1843.493226</x:v>
      </x:c>
      <x:c r="N40" s="86" t="n">
        <x:f>EXP('Transformaciones'!B32+K40)</x:f>
        <x:v>1842.4879979354268</x:v>
      </x:c>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t="str">
        <x:f>'Transformaciones'!A34</x:f>
        <x:v>2008-04</x:v>
      </x:c>
      <x:c r="B41" s="90" t="n">
        <x:f>'Transformaciones'!C34</x:f>
        <x:v>-0.02659986224359212</x:v>
      </x:c>
      <x:c r="C41" s="90" t="n">
        <x:f>$B$6</x:f>
        <x:v>-0.00045209606279242174</x:v>
      </x:c>
      <x:c r="D41" s="90" t="n">
        <x:f>$B$7*'Transformaciones'!E34</x:f>
        <x:v>-0.0026426354600370206</x:v>
      </x:c>
      <x:c r="E41" s="90" t="n">
        <x:f>$B$11*'Transformaciones'!M34</x:f>
        <x:v>-0.004097040551975499</x:v>
      </x:c>
      <x:c r="F41" s="90" t="n">
        <x:f>$B$12*'Transformaciones'!O34</x:f>
        <x:v>-0.0088317335411021</x:v>
      </x:c>
      <x:c r="G41" s="90" t="n">
        <x:f>$B$8*'Transformaciones'!G33</x:f>
        <x:v>0.002901490951546025</x:v>
      </x:c>
      <x:c r="H41" s="90" t="n">
        <x:f>$B$9*'Transformaciones'!I33</x:f>
        <x:v>-0.005716381524969953</x:v>
      </x:c>
      <x:c r="I41" s="90" t="n">
        <x:f>$B$10*'Transformaciones'!K33</x:f>
        <x:v>-0.0009662172458761957</x:v>
      </x:c>
      <x:c r="J41" s="90" t="n">
        <x:f>$B$13*'Transformaciones'!P34</x:f>
        <x:v>0</x:v>
      </x:c>
      <x:c r="K41" s="101" t="n">
        <x:f>SUM(C41:J41)</x:f>
        <x:v>-0.019804613435207164</x:v>
      </x:c>
      <x:c r="L41" s="101" t="n">
        <x:f>B41-K41</x:f>
        <x:v>-0.0067952488083849565</x:v>
      </x:c>
      <x:c r="M41" s="86" t="n">
        <x:f>'Datos_fuente'!B34</x:f>
        <x:v>1795.103</x:v>
      </x:c>
      <x:c r="N41" s="86" t="n">
        <x:f>EXP('Transformaciones'!B33+K41)</x:f>
        <x:v>1807.342710362542</x:v>
      </x:c>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t="str">
        <x:f>'Transformaciones'!A35</x:f>
        <x:v>2008-05</x:v>
      </x:c>
      <x:c r="B42" s="90" t="n">
        <x:f>'Transformaciones'!C35</x:f>
        <x:v>-0.011174022850453547</x:v>
      </x:c>
      <x:c r="C42" s="90" t="n">
        <x:f>$B$6</x:f>
        <x:v>-0.00045209606279242174</x:v>
      </x:c>
      <x:c r="D42" s="90" t="n">
        <x:f>$B$7*'Transformaciones'!E35</x:f>
        <x:v>-0.006127156110645074</x:v>
      </x:c>
      <x:c r="E42" s="90" t="n">
        <x:f>$B$11*'Transformaciones'!M35</x:f>
        <x:v>0.0038815098803304813</x:v>
      </x:c>
      <x:c r="F42" s="90" t="n">
        <x:f>$B$12*'Transformaciones'!O35</x:f>
        <x:v>-0.006328782910883129</x:v>
      </x:c>
      <x:c r="G42" s="90" t="n">
        <x:f>$B$8*'Transformaciones'!G34</x:f>
        <x:v>0.004980562002824015</x:v>
      </x:c>
      <x:c r="H42" s="90" t="n">
        <x:f>$B$9*'Transformaciones'!I34</x:f>
        <x:v>-0.003269920571894985</x:v>
      </x:c>
      <x:c r="I42" s="90" t="n">
        <x:f>$B$10*'Transformaciones'!K34</x:f>
        <x:v>-0.0028547611323366216</x:v>
      </x:c>
      <x:c r="J42" s="90" t="n">
        <x:f>$B$13*'Transformaciones'!P35</x:f>
        <x:v>0</x:v>
      </x:c>
      <x:c r="K42" s="101" t="n">
        <x:f>SUM(C42:J42)</x:f>
        <x:v>-0.010170644905397734</x:v>
      </x:c>
      <x:c r="L42" s="101" t="n">
        <x:f>B42-K42</x:f>
        <x:v>-0.0010033779450558129</x:v>
      </x:c>
      <x:c r="M42" s="86" t="n">
        <x:f>'Datos_fuente'!B35</x:f>
        <x:v>1775.156129</x:v>
      </x:c>
      <x:c r="N42" s="86" t="n">
        <x:f>EXP('Transformaciones'!B34+K42)</x:f>
        <x:v>1776.938175392384</x:v>
      </x:c>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t="str">
        <x:f>'Transformaciones'!A36</x:f>
        <x:v>2008-06</x:v>
      </x:c>
      <x:c r="B43" s="90" t="n">
        <x:f>'Transformaciones'!C36</x:f>
        <x:v>-0.024446263298544046</x:v>
      </x:c>
      <x:c r="C43" s="90" t="n">
        <x:f>$B$6</x:f>
        <x:v>-0.00045209606279242174</x:v>
      </x:c>
      <x:c r="D43" s="90" t="n">
        <x:f>$B$7*'Transformaciones'!E36</x:f>
        <x:v>-0.0038617993900550924</x:v>
      </x:c>
      <x:c r="E43" s="90" t="n">
        <x:f>$B$11*'Transformaciones'!M36</x:f>
        <x:v>0.0034703215437945365</x:v>
      </x:c>
      <x:c r="F43" s="90" t="n">
        <x:f>$B$12*'Transformaciones'!O36</x:f>
        <x:v>0.0072975188928425</x:v>
      </x:c>
      <x:c r="G43" s="90" t="n">
        <x:f>$B$8*'Transformaciones'!G35</x:f>
        <x:v>0.003646340928046441</x:v>
      </x:c>
      <x:c r="H43" s="90" t="n">
        <x:f>$B$9*'Transformaciones'!I35</x:f>
        <x:v>-0.0029726550653590748</x:v>
      </x:c>
      <x:c r="I43" s="90" t="n">
        <x:f>$B$10*'Transformaciones'!K35</x:f>
        <x:v>0.002063007200686798</x:v>
      </x:c>
      <x:c r="J43" s="90" t="n">
        <x:f>$B$13*'Transformaciones'!P36</x:f>
        <x:v>0</x:v>
      </x:c>
      <x:c r="K43" s="101" t="n">
        <x:f>SUM(C43:J43)</x:f>
        <x:v>0.009190638047163685</x:v>
      </x:c>
      <x:c r="L43" s="101" t="n">
        <x:f>B43-K43</x:f>
        <x:v>-0.03363690134570773</x:v>
      </x:c>
      <x:c r="M43" s="86" t="n">
        <x:f>'Datos_fuente'!B36</x:f>
        <x:v>1732.286333</x:v>
      </x:c>
      <x:c r="N43" s="86" t="n">
        <x:f>EXP('Transformaciones'!B35+K43)</x:f>
        <x:v>1791.5461484581074</x:v>
      </x:c>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t="str">
        <x:f>'Transformaciones'!A37</x:f>
        <x:v>2008-07</x:v>
      </x:c>
      <x:c r="B44" s="90" t="n">
        <x:f>'Transformaciones'!C37</x:f>
        <x:v>0.027758245328208808</x:v>
      </x:c>
      <x:c r="C44" s="90" t="n">
        <x:f>$B$6</x:f>
        <x:v>-0.00045209606279242174</x:v>
      </x:c>
      <x:c r="D44" s="90" t="n">
        <x:f>$B$7*'Transformaciones'!E37</x:f>
        <x:v>-0.00015439039755088145</x:v>
      </x:c>
      <x:c r="E44" s="90" t="n">
        <x:f>$B$11*'Transformaciones'!M37</x:f>
        <x:v>-0.008669098166239977</x:v>
      </x:c>
      <x:c r="F44" s="90" t="n">
        <x:f>$B$12*'Transformaciones'!O37</x:f>
        <x:v>0.003681125437314466</x:v>
      </x:c>
      <x:c r="G44" s="90" t="n">
        <x:f>$B$8*'Transformaciones'!G36</x:f>
        <x:v>0.0015284936378363687</x:v>
      </x:c>
      <x:c r="H44" s="90" t="n">
        <x:f>$B$9*'Transformaciones'!I36</x:f>
        <x:v>0.00019817700435726754</x:v>
      </x:c>
      <x:c r="I44" s="90" t="n">
        <x:f>$B$10*'Transformaciones'!K36</x:f>
        <x:v>-0.002954098583467391</x:v>
      </x:c>
      <x:c r="J44" s="90" t="n">
        <x:f>$B$13*'Transformaciones'!P37</x:f>
        <x:v>0</x:v>
      </x:c>
      <x:c r="K44" s="101" t="n">
        <x:f>SUM(C44:J44)</x:f>
        <x:v>-0.0068218871305425685</x:v>
      </x:c>
      <x:c r="L44" s="101" t="n">
        <x:f>B44-K44</x:f>
        <x:v>0.03458013245875138</x:v>
      </x:c>
      <x:c r="M44" s="86" t="n">
        <x:f>'Datos_fuente'!B37</x:f>
        <x:v>1781.045161</x:v>
      </x:c>
      <x:c r="N44" s="86" t="n">
        <x:f>EXP('Transformaciones'!B36+K44)</x:f>
        <x:v>1720.5090883495732</x:v>
      </x:c>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t="str">
        <x:f>'Transformaciones'!A38</x:f>
        <x:v>2008-08</x:v>
      </x:c>
      <x:c r="B45" s="90" t="n">
        <x:f>'Transformaciones'!C38</x:f>
        <x:v>0.03662079021394682</x:v>
      </x:c>
      <x:c r="C45" s="90" t="n">
        <x:f>$B$6</x:f>
        <x:v>-0.00045209606279242174</x:v>
      </x:c>
      <x:c r="D45" s="90" t="n">
        <x:f>$B$7*'Transformaciones'!E38</x:f>
        <x:v>0.008202998018993976</x:v>
      </x:c>
      <x:c r="E45" s="90" t="n">
        <x:f>$B$11*'Transformaciones'!M38</x:f>
        <x:v>0.03451688528374934</x:v>
      </x:c>
      <x:c r="F45" s="90" t="n">
        <x:f>$B$12*'Transformaciones'!O38</x:f>
        <x:v>-0.00623471537571066</x:v>
      </x:c>
      <x:c r="G45" s="90" t="n">
        <x:f>$B$8*'Transformaciones'!G37</x:f>
        <x:v>0.005274900986306525</x:v>
      </x:c>
      <x:c r="H45" s="90" t="n">
        <x:f>$B$9*'Transformaciones'!I37</x:f>
        <x:v>-0.0002205518322244713</x:v>
      </x:c>
      <x:c r="I45" s="90" t="n">
        <x:f>$B$10*'Transformaciones'!K37</x:f>
        <x:v>-0.0005489254188817631</x:v>
      </x:c>
      <x:c r="J45" s="90" t="n">
        <x:f>$B$13*'Transformaciones'!P38</x:f>
        <x:v>0</x:v>
      </x:c>
      <x:c r="K45" s="101" t="n">
        <x:f>SUM(C45:J45)</x:f>
        <x:v>0.040538495599440526</x:v>
      </x:c>
      <x:c r="L45" s="101" t="n">
        <x:f>B45-K45</x:f>
        <x:v>-0.003917705385493707</x:v>
      </x:c>
      <x:c r="M45" s="86" t="n">
        <x:f>'Datos_fuente'!B38</x:f>
        <x:v>1847.477419</x:v>
      </x:c>
      <x:c r="N45" s="86" t="n">
        <x:f>EXP('Transformaciones'!B37+K45)</x:f>
        <x:v>1854.7294876926353</x:v>
      </x:c>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t="str">
        <x:f>'Transformaciones'!A39</x:f>
        <x:v>2008-09</x:v>
      </x:c>
      <x:c r="B46" s="90" t="n">
        <x:f>'Transformaciones'!C39</x:f>
        <x:v>0.11188372836738125</x:v>
      </x:c>
      <x:c r="C46" s="90" t="n">
        <x:f>$B$6</x:f>
        <x:v>-0.00045209606279242174</x:v>
      </x:c>
      <x:c r="D46" s="90" t="n">
        <x:f>$B$7*'Transformaciones'!E39</x:f>
        <x:v>0.007878451407201071</x:v>
      </x:c>
      <x:c r="E46" s="90" t="n">
        <x:f>$B$11*'Transformaciones'!M39</x:f>
        <x:v>0.03128727224480154</x:v>
      </x:c>
      <x:c r="F46" s="90" t="n">
        <x:f>$B$12*'Transformaciones'!O39</x:f>
        <x:v>0.014643502603463185</x:v>
      </x:c>
      <x:c r="G46" s="90" t="n">
        <x:f>$B$8*'Transformaciones'!G38</x:f>
        <x:v>-0.002330500651783234</x:v>
      </x:c>
      <x:c r="H46" s="90" t="n">
        <x:f>$B$9*'Transformaciones'!I38</x:f>
        <x:v>-0.0022566607222414257</x:v>
      </x:c>
      <x:c r="I46" s="90" t="n">
        <x:f>$B$10*'Transformaciones'!K38</x:f>
        <x:v>0.0020473639416401946</x:v>
      </x:c>
      <x:c r="J46" s="90" t="n">
        <x:f>$B$13*'Transformaciones'!P39</x:f>
        <x:v>0</x:v>
      </x:c>
      <x:c r="K46" s="101" t="n">
        <x:f>SUM(C46:J46)</x:f>
        <x:v>0.05081733276028891</x:v>
      </x:c>
      <x:c r="L46" s="101" t="n">
        <x:f>B46-K46</x:f>
        <x:v>0.061066395607092344</x:v>
      </x:c>
      <x:c r="M46" s="86" t="n">
        <x:f>'Datos_fuente'!B39</x:f>
        <x:v>2066.187</x:v>
      </x:c>
      <x:c r="N46" s="86" t="n">
        <x:f>EXP('Transformaciones'!B38+K46)</x:f>
        <x:v>1943.787684075163</x:v>
      </x:c>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t="str">
        <x:f>'Transformaciones'!A40</x:f>
        <x:v>2008-10</x:v>
      </x:c>
      <x:c r="B47" s="90" t="n">
        <x:f>'Transformaciones'!C40</x:f>
        <x:v>0.10234815195094793</x:v>
      </x:c>
      <x:c r="C47" s="90" t="n">
        <x:f>$B$6</x:f>
        <x:v>-0.00045209606279242174</x:v>
      </x:c>
      <x:c r="D47" s="90" t="n">
        <x:f>$B$7*'Transformaciones'!E40</x:f>
        <x:v>0.01583242390793685</x:v>
      </x:c>
      <x:c r="E47" s="90" t="n">
        <x:f>$B$11*'Transformaciones'!M40</x:f>
        <x:v>0.08700396287127037</x:v>
      </x:c>
      <x:c r="F47" s="90" t="n">
        <x:f>$B$12*'Transformaciones'!O40</x:f>
        <x:v>0.027212310893561704</x:v>
      </x:c>
      <x:c r="G47" s="90" t="n">
        <x:f>$B$8*'Transformaciones'!G39</x:f>
        <x:v>0.0040892047233916295</x:v>
      </x:c>
      <x:c r="H47" s="90" t="n">
        <x:f>$B$9*'Transformaciones'!I39</x:f>
        <x:v>-0.001882681541394077</x:v>
      </x:c>
      <x:c r="I47" s="90" t="n">
        <x:f>$B$10*'Transformaciones'!K39</x:f>
        <x:v>-0.00039684816161687737</x:v>
      </x:c>
      <x:c r="J47" s="90" t="n">
        <x:f>$B$13*'Transformaciones'!P40</x:f>
        <x:v>0</x:v>
      </x:c>
      <x:c r="K47" s="101" t="n">
        <x:f>SUM(C47:J47)</x:f>
        <x:v>0.1314062766303572</x:v>
      </x:c>
      <x:c r="L47" s="101" t="n">
        <x:f>B47-K47</x:f>
        <x:v>-0.02905812467940927</x:v>
      </x:c>
      <x:c r="M47" s="86" t="n">
        <x:f>'Datos_fuente'!B40</x:f>
        <x:v>2288.858065</x:v>
      </x:c>
      <x:c r="N47" s="86" t="n">
        <x:f>EXP('Transformaciones'!B39+K47)</x:f>
        <x:v>2356.3437431180537</x:v>
      </x:c>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t="str">
        <x:f>'Transformaciones'!A41</x:f>
        <x:v>2008-11</x:v>
      </x:c>
      <x:c r="B48" s="90" t="n">
        <x:f>'Transformaciones'!C41</x:f>
        <x:v>0.019384961661350175</x:v>
      </x:c>
      <x:c r="C48" s="90" t="n">
        <x:f>$B$6</x:f>
        <x:v>-0.00045209606279242174</x:v>
      </x:c>
      <x:c r="D48" s="90" t="n">
        <x:f>$B$7*'Transformaciones'!E41</x:f>
        <x:v>0.016072966853501357</x:v>
      </x:c>
      <x:c r="E48" s="90" t="n">
        <x:f>$B$11*'Transformaciones'!M41</x:f>
        <x:v>0.03333042389027915</x:v>
      </x:c>
      <x:c r="F48" s="90" t="n">
        <x:f>$B$12*'Transformaciones'!O41</x:f>
        <x:v>0.0009302369539699292</x:v>
      </x:c>
      <x:c r="G48" s="90" t="n">
        <x:f>$B$8*'Transformaciones'!G40</x:f>
        <x:v>-0.0003530456119820047</x:v>
      </x:c>
      <x:c r="H48" s="90" t="n">
        <x:f>$B$9*'Transformaciones'!I40</x:f>
        <x:v>-0.008323434183005412</x:v>
      </x:c>
      <x:c r="I48" s="90" t="n">
        <x:f>$B$10*'Transformaciones'!K40</x:f>
        <x:v>-0.0002759971489779771</x:v>
      </x:c>
      <x:c r="J48" s="90" t="n">
        <x:f>$B$13*'Transformaciones'!P41</x:f>
        <x:v>0</x:v>
      </x:c>
      <x:c r="K48" s="101" t="n">
        <x:f>SUM(C48:J48)</x:f>
        <x:v>0.040929054690992624</x:v>
      </x:c>
      <x:c r="L48" s="101" t="n">
        <x:f>B48-K48</x:f>
        <x:v>-0.02154409302964245</x:v>
      </x:c>
      <x:c r="M48" s="86" t="n">
        <x:f>'Datos_fuente'!B41</x:f>
        <x:v>2333.660333</x:v>
      </x:c>
      <x:c r="N48" s="86" t="n">
        <x:f>EXP('Transformaciones'!B40+K48)</x:f>
        <x:v>2384.4824204718852</x:v>
      </x:c>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t="str">
        <x:f>'Transformaciones'!A42</x:f>
        <x:v>2008-12</x:v>
      </x:c>
      <x:c r="B49" s="90" t="n">
        <x:f>'Transformaciones'!C42</x:f>
        <x:v>-0.03583674759006694</x:v>
      </x:c>
      <x:c r="C49" s="90" t="n">
        <x:f>$B$6</x:f>
        <x:v>-0.00045209606279242174</x:v>
      </x:c>
      <x:c r="D49" s="90" t="n">
        <x:f>$B$7*'Transformaciones'!E42</x:f>
        <x:v>0.014078984609464234</x:v>
      </x:c>
      <x:c r="E49" s="90" t="n">
        <x:f>$B$11*'Transformaciones'!M42</x:f>
        <x:v>-0.013390252452874677</x:v>
      </x:c>
      <x:c r="F49" s="90" t="n">
        <x:f>$B$12*'Transformaciones'!O42</x:f>
        <x:v>-0.006907315100302966</x:v>
      </x:c>
      <x:c r="G49" s="90" t="n">
        <x:f>$B$8*'Transformaciones'!G41</x:f>
        <x:v>-0.007522330921137955</x:v>
      </x:c>
      <x:c r="H49" s="90" t="n">
        <x:f>$B$9*'Transformaciones'!I41</x:f>
        <x:v>-0.0057471331263608825</x:v>
      </x:c>
      <x:c r="I49" s="90" t="n">
        <x:f>$B$10*'Transformaciones'!K41</x:f>
        <x:v>0.0027322622578668525</x:v>
      </x:c>
      <x:c r="J49" s="90" t="n">
        <x:f>$B$13*'Transformaciones'!P42</x:f>
        <x:v>0</x:v>
      </x:c>
      <x:c r="K49" s="101" t="n">
        <x:f>SUM(C49:J49)</x:f>
        <x:v>-0.017207880796137817</x:v>
      </x:c>
      <x:c r="L49" s="101" t="n">
        <x:f>B49-K49</x:f>
        <x:v>-0.018628866793929125</x:v>
      </x:c>
      <x:c r="M49" s="86" t="n">
        <x:f>'Datos_fuente'!B42</x:f>
        <x:v>2251.510323</x:v>
      </x:c>
      <x:c r="N49" s="86" t="n">
        <x:f>EXP('Transformaciones'!B41+K49)</x:f>
        <x:v>2293.846522263618</x:v>
      </x:c>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t="str">
        <x:f>'Transformaciones'!A43</x:f>
        <x:v>2009-01</x:v>
      </x:c>
      <x:c r="B50" s="90" t="n">
        <x:f>'Transformaciones'!C43</x:f>
        <x:v>0.0008860372217656121</x:v>
      </x:c>
      <x:c r="C50" s="90" t="n">
        <x:f>$B$6</x:f>
        <x:v>-0.00045209606279242174</x:v>
      </x:c>
      <x:c r="D50" s="90" t="n">
        <x:f>$B$7*'Transformaciones'!E43</x:f>
        <x:v>-0.004332853785401008</x:v>
      </x:c>
      <x:c r="E50" s="90" t="n">
        <x:f>$B$11*'Transformaciones'!M43</x:f>
        <x:v>0.008381084887943648</x:v>
      </x:c>
      <x:c r="F50" s="90" t="n">
        <x:f>$B$12*'Transformaciones'!O43</x:f>
        <x:v>-0.0061560015471951455</x:v>
      </x:c>
      <x:c r="G50" s="90" t="n">
        <x:f>$B$8*'Transformaciones'!G42</x:f>
        <x:v>0.0002633088926522301</x:v>
      </x:c>
      <x:c r="H50" s="90" t="n">
        <x:f>$B$9*'Transformaciones'!I42</x:f>
        <x:v>-0.0006808338979107975</x:v>
      </x:c>
      <x:c r="I50" s="90" t="n">
        <x:f>$B$10*'Transformaciones'!K42</x:f>
        <x:v>-0.00004190722274300166</x:v>
      </x:c>
      <x:c r="J50" s="90" t="n">
        <x:f>$B$13*'Transformaciones'!P43</x:f>
        <x:v>0</x:v>
      </x:c>
      <x:c r="K50" s="101" t="n">
        <x:f>SUM(C50:J50)</x:f>
        <x:v>-0.0030192987354464964</x:v>
      </x:c>
      <x:c r="L50" s="101" t="n">
        <x:f>B50-K50</x:f>
        <x:v>0.0039053359572121084</x:v>
      </x:c>
      <x:c r="M50" s="86" t="n">
        <x:f>'Datos_fuente'!B43</x:f>
        <x:v>2253.506129</x:v>
      </x:c>
      <x:c r="N50" s="86" t="n">
        <x:f>EXP('Transformaciones'!B42+K50)</x:f>
        <x:v>2244.7225929777624</x:v>
      </x:c>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t="str">
        <x:f>'Transformaciones'!A44</x:f>
        <x:v>2009-02</x:v>
      </x:c>
      <x:c r="B51" s="90" t="n">
        <x:f>'Transformaciones'!C44</x:f>
        <x:v>0.1087290128291114</x:v>
      </x:c>
      <x:c r="C51" s="90" t="n">
        <x:f>$B$6</x:f>
        <x:v>-0.00045209606279242174</x:v>
      </x:c>
      <x:c r="D51" s="90" t="n">
        <x:f>$B$7*'Transformaciones'!E44</x:f>
        <x:v>0.00013674694734389166</x:v>
      </x:c>
      <x:c r="E51" s="90" t="n">
        <x:f>$B$11*'Transformaciones'!M44</x:f>
        <x:v>0.03133419235324691</x:v>
      </x:c>
      <x:c r="F51" s="90" t="n">
        <x:f>$B$12*'Transformaciones'!O44</x:f>
        <x:v>0.0007595340326205452</x:v>
      </x:c>
      <x:c r="G51" s="90" t="n">
        <x:f>$B$8*'Transformaciones'!G43</x:f>
        <x:v>-0.0034053513672988177</x:v>
      </x:c>
      <x:c r="H51" s="90" t="n">
        <x:f>$B$9*'Transformaciones'!I43</x:f>
        <x:v>0.0032571349545553285</x:v>
      </x:c>
      <x:c r="I51" s="90" t="n">
        <x:f>$B$10*'Transformaciones'!K43</x:f>
        <x:v>-0.002447755197205469</x:v>
      </x:c>
      <x:c r="J51" s="90" t="n">
        <x:f>$B$13*'Transformaciones'!P44</x:f>
        <x:v>0</x:v>
      </x:c>
      <x:c r="K51" s="101" t="n">
        <x:f>SUM(C51:J51)</x:f>
        <x:v>0.029182405660469965</x:v>
      </x:c>
      <x:c r="L51" s="101" t="n">
        <x:f>B51-K51</x:f>
        <x:v>0.07954660716864144</x:v>
      </x:c>
      <x:c r="M51" s="86" t="n">
        <x:f>'Datos_fuente'!B44</x:f>
        <x:v>2512.344286</x:v>
      </x:c>
      <x:c r="N51" s="86" t="n">
        <x:f>EXP('Transformaciones'!B43+K51)</x:f>
        <x:v>2320.2378189079254</x:v>
      </x:c>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t="str">
        <x:f>'Transformaciones'!A45</x:f>
        <x:v>2009-03</x:v>
      </x:c>
      <x:c r="B52" s="90" t="n">
        <x:f>'Transformaciones'!C45</x:f>
        <x:v>-0.01714599449406151</x:v>
      </x:c>
      <x:c r="C52" s="90" t="n">
        <x:f>$B$6</x:f>
        <x:v>-0.00045209606279242174</x:v>
      </x:c>
      <x:c r="D52" s="90" t="n">
        <x:f>$B$7*'Transformaciones'!E45</x:f>
        <x:v>-0.0037010719273749106</x:v>
      </x:c>
      <x:c r="E52" s="90" t="n">
        <x:f>$B$11*'Transformaciones'!M45</x:f>
        <x:v>0.005486306357351011</x:v>
      </x:c>
      <x:c r="F52" s="90" t="n">
        <x:f>$B$12*'Transformaciones'!O45</x:f>
        <x:v>-0.0006624662825998599</x:v>
      </x:c>
      <x:c r="G52" s="90" t="n">
        <x:f>$B$8*'Transformaciones'!G44</x:f>
        <x:v>0.0009389639748046196</x:v>
      </x:c>
      <x:c r="H52" s="90" t="n">
        <x:f>$B$9*'Transformaciones'!I44</x:f>
        <x:v>0.005471100868876272</x:v>
      </x:c>
      <x:c r="I52" s="90" t="n">
        <x:f>$B$10*'Transformaciones'!K44</x:f>
        <x:v>-0.0005901084276204196</x:v>
      </x:c>
      <x:c r="J52" s="90" t="n">
        <x:f>$B$13*'Transformaciones'!P45</x:f>
        <x:v>0</x:v>
      </x:c>
      <x:c r="K52" s="101" t="n">
        <x:f>SUM(C52:J52)</x:f>
        <x:v>0.006490628500644291</x:v>
      </x:c>
      <x:c r="L52" s="101" t="n">
        <x:f>B52-K52</x:f>
        <x:v>-0.023636622994705803</x:v>
      </x:c>
      <x:c r="M52" s="86" t="n">
        <x:f>'Datos_fuente'!B45</x:f>
        <x:v>2469.634839</x:v>
      </x:c>
      <x:c r="N52" s="86" t="n">
        <x:f>EXP('Transformaciones'!B44+K52)</x:f>
        <x:v>2528.7040144521525</x:v>
      </x:c>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t="str">
        <x:f>'Transformaciones'!A46</x:f>
        <x:v>2009-04</x:v>
      </x:c>
      <x:c r="B53" s="90" t="n">
        <x:f>'Transformaciones'!C46</x:f>
        <x:v>-0.03923807025050596</x:v>
      </x:c>
      <x:c r="C53" s="90" t="n">
        <x:f>$B$6</x:f>
        <x:v>-0.00045209606279242174</x:v>
      </x:c>
      <x:c r="D53" s="90" t="n">
        <x:f>$B$7*'Transformaciones'!E46</x:f>
        <x:v>-0.003894112120376237</x:v>
      </x:c>
      <x:c r="E53" s="90" t="n">
        <x:f>$B$11*'Transformaciones'!M46</x:f>
        <x:v>-0.03242008224554667</x:v>
      </x:c>
      <x:c r="F53" s="90" t="n">
        <x:f>$B$12*'Transformaciones'!O46</x:f>
        <x:v>-0.006288608229124017</x:v>
      </x:c>
      <x:c r="G53" s="90" t="n">
        <x:f>$B$8*'Transformaciones'!G45</x:f>
        <x:v>-0.00019751497375801395</x:v>
      </x:c>
      <x:c r="H53" s="90" t="n">
        <x:f>$B$9*'Transformaciones'!I45</x:f>
        <x:v>0.011926922275550221</x:v>
      </x:c>
      <x:c r="I53" s="90" t="n">
        <x:f>$B$10*'Transformaciones'!K45</x:f>
        <x:v>0.0005884500719989012</x:v>
      </x:c>
      <x:c r="J53" s="90" t="n">
        <x:f>$B$13*'Transformaciones'!P46</x:f>
        <x:v>0</x:v>
      </x:c>
      <x:c r="K53" s="101" t="n">
        <x:f>SUM(C53:J53)</x:f>
        <x:v>-0.03073704128404824</x:v>
      </x:c>
      <x:c r="L53" s="101" t="n">
        <x:f>B53-K53</x:f>
        <x:v>-0.008501028966457724</x:v>
      </x:c>
      <x:c r="M53" s="86" t="n">
        <x:f>'Datos_fuente'!B46</x:f>
        <x:v>2374.607667</x:v>
      </x:c>
      <x:c r="N53" s="86" t="n">
        <x:f>EXP('Transformaciones'!B45+K53)</x:f>
        <x:v>2394.880322690076</x:v>
      </x:c>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t="str">
        <x:f>'Transformaciones'!A47</x:f>
        <x:v>2009-05</x:v>
      </x:c>
      <x:c r="B54" s="90" t="n">
        <x:f>'Transformaciones'!C47</x:f>
        <x:v>-0.06403417575670378</x:v>
      </x:c>
      <x:c r="C54" s="90" t="n">
        <x:f>$B$6</x:f>
        <x:v>-0.00045209606279242174</x:v>
      </x:c>
      <x:c r="D54" s="90" t="n">
        <x:f>$B$7*'Transformaciones'!E47</x:f>
        <x:v>-0.006859035227876396</x:v>
      </x:c>
      <x:c r="E54" s="90" t="n">
        <x:f>$B$11*'Transformaciones'!M47</x:f>
        <x:v>-0.03878610616175708</x:v>
      </x:c>
      <x:c r="F54" s="90" t="n">
        <x:f>$B$12*'Transformaciones'!O47</x:f>
        <x:v>-0.006727809383480386</x:v>
      </x:c>
      <x:c r="G54" s="90" t="n">
        <x:f>$B$8*'Transformaciones'!G46</x:f>
        <x:v>-0.0036833022612232846</x:v>
      </x:c>
      <x:c r="H54" s="90" t="n">
        <x:f>$B$9*'Transformaciones'!I46</x:f>
        <x:v>0.007374102400232479</x:v>
      </x:c>
      <x:c r="I54" s="90" t="n">
        <x:f>$B$10*'Transformaciones'!K46</x:f>
        <x:v>-0.0014991279401990521</x:v>
      </x:c>
      <x:c r="J54" s="90" t="n">
        <x:f>$B$13*'Transformaciones'!P47</x:f>
        <x:v>0</x:v>
      </x:c>
      <x:c r="K54" s="101" t="n">
        <x:f>SUM(C54:J54)</x:f>
        <x:v>-0.05063337463709615</x:v>
      </x:c>
      <x:c r="L54" s="101" t="n">
        <x:f>B54-K54</x:f>
        <x:v>-0.013400801119607633</x:v>
      </x:c>
      <x:c r="M54" s="86" t="n">
        <x:f>'Datos_fuente'!B47</x:f>
        <x:v>2227.317742</x:v>
      </x:c>
      <x:c r="N54" s="86" t="n">
        <x:f>EXP('Transformaciones'!B46+K54)</x:f>
        <x:v>2257.3664729427514</x:v>
      </x:c>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t="str">
        <x:f>'Transformaciones'!A48</x:f>
        <x:v>2009-06</x:v>
      </x:c>
      <x:c r="B55" s="90" t="n">
        <x:f>'Transformaciones'!C48</x:f>
        <x:v>-0.06389223648377662</x:v>
      </x:c>
      <x:c r="C55" s="90" t="n">
        <x:f>$B$6</x:f>
        <x:v>-0.00045209606279242174</x:v>
      </x:c>
      <x:c r="D55" s="90" t="n">
        <x:f>$B$7*'Transformaciones'!E48</x:f>
        <x:v>-0.00930912833887803</x:v>
      </x:c>
      <x:c r="E55" s="90" t="n">
        <x:f>$B$11*'Transformaciones'!M48</x:f>
        <x:v>-0.018944969893585233</x:v>
      </x:c>
      <x:c r="F55" s="90" t="n">
        <x:f>$B$12*'Transformaciones'!O48</x:f>
        <x:v>-0.003588384454428042</x:v>
      </x:c>
      <x:c r="G55" s="90" t="n">
        <x:f>$B$8*'Transformaciones'!G47</x:f>
        <x:v>-0.003623195359410437</x:v>
      </x:c>
      <x:c r="H55" s="90" t="n">
        <x:f>$B$9*'Transformaciones'!I47</x:f>
        <x:v>0.009247194731099017</x:v>
      </x:c>
      <x:c r="I55" s="90" t="n">
        <x:f>$B$10*'Transformaciones'!K47</x:f>
        <x:v>0.0035557936797425416</x:v>
      </x:c>
      <x:c r="J55" s="90" t="n">
        <x:f>$B$13*'Transformaciones'!P48</x:f>
        <x:v>0</x:v>
      </x:c>
      <x:c r="K55" s="101" t="n">
        <x:f>SUM(C55:J55)</x:f>
        <x:v>-0.023114785698252607</x:v>
      </x:c>
      <x:c r="L55" s="101" t="n">
        <x:f>B55-K55</x:f>
        <x:v>-0.040777450785524014</x:v>
      </x:c>
      <x:c r="M55" s="86" t="n">
        <x:f>'Datos_fuente'!B48</x:f>
        <x:v>2089.460333</x:v>
      </x:c>
      <x:c r="N55" s="86" t="n">
        <x:f>EXP('Transformaciones'!B47+K55)</x:f>
        <x:v>2176.4242319854784</x:v>
      </x:c>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t="str">
        <x:f>'Transformaciones'!A49</x:f>
        <x:v>2009-07</x:v>
      </x:c>
      <x:c r="B56" s="90" t="n">
        <x:f>'Transformaciones'!C49</x:f>
        <x:v>-0.01943698367259028</x:v>
      </x:c>
      <x:c r="C56" s="90" t="n">
        <x:f>$B$6</x:f>
        <x:v>-0.00045209606279242174</x:v>
      </x:c>
      <x:c r="D56" s="90" t="n">
        <x:f>$B$7*'Transformaciones'!E49</x:f>
        <x:v>0.003244602790256495</x:v>
      </x:c>
      <x:c r="E56" s="90" t="n">
        <x:f>$B$11*'Transformaciones'!M49</x:f>
        <x:v>-0.0048430097885760245</x:v>
      </x:c>
      <x:c r="F56" s="90" t="n">
        <x:f>$B$12*'Transformaciones'!O49</x:f>
        <x:v>-0.00416266249210973</x:v>
      </x:c>
      <x:c r="G56" s="90" t="n">
        <x:f>$B$8*'Transformaciones'!G48</x:f>
        <x:v>-0.002849896789835863</x:v>
      </x:c>
      <x:c r="H56" s="90" t="n">
        <x:f>$B$9*'Transformaciones'!I48</x:f>
        <x:v>0.012486216743445504</x:v>
      </x:c>
      <x:c r="I56" s="90" t="n">
        <x:f>$B$10*'Transformaciones'!K48</x:f>
        <x:v>0.0032535980334725124</x:v>
      </x:c>
      <x:c r="J56" s="90" t="n">
        <x:f>$B$13*'Transformaciones'!P49</x:f>
        <x:v>0</x:v>
      </x:c>
      <x:c r="K56" s="101" t="n">
        <x:f>SUM(C56:J56)</x:f>
        <x:v>0.006676752433860473</x:v>
      </x:c>
      <x:c r="L56" s="101" t="n">
        <x:f>B56-K56</x:f>
        <x:v>-0.026113736106450753</x:v>
      </x:c>
      <x:c r="M56" s="86" t="n">
        <x:f>'Datos_fuente'!B49</x:f>
        <x:v>2049.239677</x:v>
      </x:c>
      <x:c r="N56" s="86" t="n">
        <x:f>EXP('Transformaciones'!B48+K56)</x:f>
        <x:v>2103.457819239488</x:v>
      </x:c>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t="str">
        <x:f>'Transformaciones'!A50</x:f>
        <x:v>2009-08</x:v>
      </x:c>
      <x:c r="B57" s="90" t="n">
        <x:f>'Transformaciones'!C50</x:f>
        <x:v>-0.015551195189779321</x:v>
      </x:c>
      <x:c r="C57" s="90" t="n">
        <x:f>$B$6</x:f>
        <x:v>-0.00045209606279242174</x:v>
      </x:c>
      <x:c r="D57" s="90" t="n">
        <x:f>$B$7*'Transformaciones'!E50</x:f>
        <x:v>-0.006101795578300428</x:v>
      </x:c>
      <x:c r="E57" s="90" t="n">
        <x:f>$B$11*'Transformaciones'!M50</x:f>
        <x:v>-0.01646427089976064</x:v>
      </x:c>
      <x:c r="F57" s="90" t="n">
        <x:f>$B$12*'Transformaciones'!O50</x:f>
        <x:v>-0.0012382511301921055</x:v>
      </x:c>
      <x:c r="G57" s="90" t="n">
        <x:f>$B$8*'Transformaciones'!G49</x:f>
        <x:v>-0.008879470098397695</x:v>
      </x:c>
      <x:c r="H57" s="90" t="n">
        <x:f>$B$9*'Transformaciones'!I49</x:f>
        <x:v>0.0031378025722930843</x:v>
      </x:c>
      <x:c r="I57" s="90" t="n">
        <x:f>$B$10*'Transformaciones'!K49</x:f>
        <x:v>0.0014799493356015062</x:v>
      </x:c>
      <x:c r="J57" s="90" t="n">
        <x:f>$B$13*'Transformaciones'!P50</x:f>
        <x:v>0</x:v>
      </x:c>
      <x:c r="K57" s="101" t="n">
        <x:f>SUM(C57:J57)</x:f>
        <x:v>-0.028518131861548703</x:v>
      </x:c>
      <x:c r="L57" s="101" t="n">
        <x:f>B57-K57</x:f>
        <x:v>0.012966936671769382</x:v>
      </x:c>
      <x:c r="M57" s="86" t="n">
        <x:f>'Datos_fuente'!B50</x:f>
        <x:v>2017.618065</x:v>
      </x:c>
      <x:c r="N57" s="86" t="n">
        <x:f>EXP('Transformaciones'!B49+K57)</x:f>
        <x:v>1991.6246311421298</x:v>
      </x:c>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t="str">
        <x:f>'Transformaciones'!A51</x:f>
        <x:v>2009-09</x:v>
      </x:c>
      <x:c r="B58" s="90" t="n">
        <x:f>'Transformaciones'!C51</x:f>
        <x:v>-0.019814723315751515</x:v>
      </x:c>
      <x:c r="C58" s="90" t="n">
        <x:f>$B$6</x:f>
        <x:v>-0.00045209606279242174</x:v>
      </x:c>
      <x:c r="D58" s="90" t="n">
        <x:f>$B$7*'Transformaciones'!E51</x:f>
        <x:v>0.003588154156921119</x:v>
      </x:c>
      <x:c r="E58" s="90" t="n">
        <x:f>$B$11*'Transformaciones'!M51</x:f>
        <x:v>-0.009165741969306505</x:v>
      </x:c>
      <x:c r="F58" s="90" t="n">
        <x:f>$B$12*'Transformaciones'!O51</x:f>
        <x:v>-0.000630751658523779</x:v>
      </x:c>
      <x:c r="G58" s="90" t="n">
        <x:f>$B$8*'Transformaciones'!G50</x:f>
        <x:v>-0.003937759817149255</x:v>
      </x:c>
      <x:c r="H58" s="90" t="n">
        <x:f>$B$9*'Transformaciones'!I50</x:f>
        <x:v>0</x:v>
      </x:c>
      <x:c r="I58" s="90" t="n">
        <x:f>$B$10*'Transformaciones'!K50</x:f>
        <x:v>-0.0015966012046019873</x:v>
      </x:c>
      <x:c r="J58" s="90" t="n">
        <x:f>$B$13*'Transformaciones'!P51</x:f>
        <x:v>0</x:v>
      </x:c>
      <x:c r="K58" s="101" t="n">
        <x:f>SUM(C58:J58)</x:f>
        <x:v>-0.01219479655545283</x:v>
      </x:c>
      <x:c r="L58" s="101" t="n">
        <x:f>B58-K58</x:f>
        <x:v>-0.007619926760298684</x:v>
      </x:c>
      <x:c r="M58" s="86" t="n">
        <x:f>'Datos_fuente'!B51</x:f>
        <x:v>1978.033</x:v>
      </x:c>
      <x:c r="N58" s="86" t="n">
        <x:f>EXP('Transformaciones'!B50+K58)</x:f>
        <x:v>1993.1630382729754</x:v>
      </x:c>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t="str">
        <x:f>'Transformaciones'!A52</x:f>
        <x:v>2009-10</x:v>
      </x:c>
      <x:c r="B59" s="90" t="n">
        <x:f>'Transformaciones'!C52</x:f>
        <x:v>-0.039512289762449804</x:v>
      </x:c>
      <x:c r="C59" s="90" t="n">
        <x:f>$B$6</x:f>
        <x:v>-0.00045209606279242174</x:v>
      </x:c>
      <x:c r="D59" s="90" t="n">
        <x:f>$B$7*'Transformaciones'!E52</x:f>
        <x:v>-0.0037738718074266688</x:v>
      </x:c>
      <x:c r="E59" s="90" t="n">
        <x:f>$B$11*'Transformaciones'!M52</x:f>
        <x:v>-0.018351275860928558</x:v>
      </x:c>
      <x:c r="F59" s="90" t="n">
        <x:f>$B$12*'Transformaciones'!O52</x:f>
        <x:v>-0.001059199830168086</x:v>
      </x:c>
      <x:c r="G59" s="90" t="n">
        <x:f>$B$8*'Transformaciones'!G51</x:f>
        <x:v>-0.010053164158056549</x:v>
      </x:c>
      <x:c r="H59" s="90" t="n">
        <x:f>$B$9*'Transformaciones'!I51</x:f>
        <x:v>0.0003963540087145439</x:v>
      </x:c>
      <x:c r="I59" s="90" t="n">
        <x:f>$B$10*'Transformaciones'!K51</x:f>
        <x:v>0.0005209597991878765</x:v>
      </x:c>
      <x:c r="J59" s="90" t="n">
        <x:f>$B$13*'Transformaciones'!P52</x:f>
        <x:v>0</x:v>
      </x:c>
      <x:c r="K59" s="101" t="n">
        <x:f>SUM(C59:J59)</x:f>
        <x:v>-0.03277229391146986</x:v>
      </x:c>
      <x:c r="L59" s="101" t="n">
        <x:f>B59-K59</x:f>
        <x:v>-0.006739995850979945</x:v>
      </x:c>
      <x:c r="M59" s="86" t="n">
        <x:f>'Datos_fuente'!B52</x:f>
        <x:v>1901.400323</x:v>
      </x:c>
      <x:c r="N59" s="86" t="n">
        <x:f>EXP('Transformaciones'!B51+K59)</x:f>
        <x:v>1914.2590384541918</x:v>
      </x:c>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t="str">
        <x:f>'Transformaciones'!A53</x:f>
        <x:v>2009-11</x:v>
      </x:c>
      <x:c r="B60" s="90" t="n">
        <x:f>'Transformaciones'!C53</x:f>
        <x:v>0.0389288801009533</x:v>
      </x:c>
      <x:c r="C60" s="90" t="n">
        <x:f>$B$6</x:f>
        <x:v>-0.00045209606279242174</x:v>
      </x:c>
      <x:c r="D60" s="90" t="n">
        <x:f>$B$7*'Transformaciones'!E53</x:f>
        <x:v>-0.0026936127369694683</x:v>
      </x:c>
      <x:c r="E60" s="90" t="n">
        <x:f>$B$11*'Transformaciones'!M53</x:f>
        <x:v>-0.006075153183674303</x:v>
      </x:c>
      <x:c r="F60" s="90" t="n">
        <x:f>$B$12*'Transformaciones'!O53</x:f>
        <x:v>-0.0007448209291083109</x:v>
      </x:c>
      <x:c r="G60" s="90" t="n">
        <x:f>$B$8*'Transformaciones'!G52</x:f>
        <x:v>-0.005484704900936492</x:v>
      </x:c>
      <x:c r="H60" s="90" t="n">
        <x:f>$B$9*'Transformaciones'!I52</x:f>
        <x:v>0.004161717091502706</x:v>
      </x:c>
      <x:c r="I60" s="90" t="n">
        <x:f>$B$10*'Transformaciones'!K52</x:f>
        <x:v>0.002256410473185764</x:v>
      </x:c>
      <x:c r="J60" s="90" t="n">
        <x:f>$B$13*'Transformaciones'!P53</x:f>
        <x:v>0</x:v>
      </x:c>
      <x:c r="K60" s="101" t="n">
        <x:f>SUM(C60:J60)</x:f>
        <x:v>-0.009032260248792527</x:v>
      </x:c>
      <x:c r="L60" s="101" t="n">
        <x:f>B60-K60</x:f>
        <x:v>0.04796114034974583</x:v>
      </x:c>
      <x:c r="M60" s="86" t="n">
        <x:f>'Datos_fuente'!B53</x:f>
        <x:v>1976.879333</x:v>
      </x:c>
      <x:c r="N60" s="86" t="n">
        <x:f>EXP('Transformaciones'!B52+K60)</x:f>
        <x:v>1884.3037072178772</x:v>
      </x:c>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t="str">
        <x:f>'Transformaciones'!A54</x:f>
        <x:v>2009-12</x:v>
      </x:c>
      <x:c r="B61" s="90" t="n">
        <x:f>'Transformaciones'!C54</x:f>
        <x:v>0.020593649383908286</x:v>
      </x:c>
      <x:c r="C61" s="90" t="n">
        <x:f>$B$6</x:f>
        <x:v>-0.00045209606279242174</x:v>
      </x:c>
      <x:c r="D61" s="90" t="n">
        <x:f>$B$7*'Transformaciones'!E54</x:f>
        <x:v>0.0015090483398475475</x:v>
      </x:c>
      <x:c r="E61" s="90" t="n">
        <x:f>$B$11*'Transformaciones'!M54</x:f>
        <x:v>0.006060102260353863</x:v>
      </x:c>
      <x:c r="F61" s="90" t="n">
        <x:f>$B$12*'Transformaciones'!O54</x:f>
        <x:v>-0.004377642042895037</x:v>
      </x:c>
      <x:c r="G61" s="90" t="n">
        <x:f>$B$8*'Transformaciones'!G53</x:f>
        <x:v>0.0015025656035979294</x:v>
      </x:c>
      <x:c r="H61" s="90" t="n">
        <x:f>$B$9*'Transformaciones'!I53</x:f>
        <x:v>0.0011560325287203693</x:v>
      </x:c>
      <x:c r="I61" s="90" t="n">
        <x:f>$B$10*'Transformaciones'!K53</x:f>
        <x:v>-0.0010913450156277429</x:v>
      </x:c>
      <x:c r="J61" s="90" t="n">
        <x:f>$B$13*'Transformaciones'!P54</x:f>
        <x:v>0</x:v>
      </x:c>
      <x:c r="K61" s="101" t="n">
        <x:f>SUM(C61:J61)</x:f>
        <x:v>0.0043066656112045075</x:v>
      </x:c>
      <x:c r="L61" s="101" t="n">
        <x:f>B61-K61</x:f>
        <x:v>0.016286983772703777</x:v>
      </x:c>
      <x:c r="M61" s="86" t="n">
        <x:f>'Datos_fuente'!B54</x:f>
        <x:v>2018.012581</x:v>
      </x:c>
      <x:c r="N61" s="86" t="n">
        <x:f>EXP('Transformaciones'!B53+K61)</x:f>
        <x:v>1985.411450542179</x:v>
      </x:c>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t="str">
        <x:f>'Transformaciones'!A55</x:f>
        <x:v>2010-01</x:v>
      </x:c>
      <x:c r="B62" s="90" t="n">
        <x:f>'Transformaciones'!C55</x:f>
        <x:v>-0.017287113581644142</x:v>
      </x:c>
      <x:c r="C62" s="90" t="n">
        <x:f>$B$6</x:f>
        <x:v>-0.00045209606279242174</x:v>
      </x:c>
      <x:c r="D62" s="90" t="n">
        <x:f>$B$7*'Transformaciones'!E55</x:f>
        <x:v>-0.001174443530585899</x:v>
      </x:c>
      <x:c r="E62" s="90" t="n">
        <x:f>$B$11*'Transformaciones'!M55</x:f>
        <x:v>0.002390334744902875</x:v>
      </x:c>
      <x:c r="F62" s="90" t="n">
        <x:f>$B$12*'Transformaciones'!O55</x:f>
        <x:v>-0.0010998650518041322</x:v>
      </x:c>
      <x:c r="G62" s="90" t="n">
        <x:f>$B$8*'Transformaciones'!G54</x:f>
        <x:v>-0.0015642612416706316</x:v>
      </x:c>
      <x:c r="H62" s="90" t="n">
        <x:f>$B$9*'Transformaciones'!I54</x:f>
        <x:v>0.003798392580211425</x:v>
      </x:c>
      <x:c r="I62" s="90" t="n">
        <x:f>$B$10*'Transformaciones'!K54</x:f>
        <x:v>0.0033723285838356664</x:v>
      </x:c>
      <x:c r="J62" s="90" t="n">
        <x:f>$B$13*'Transformaciones'!P55</x:f>
        <x:v>0</x:v>
      </x:c>
      <x:c r="K62" s="101" t="n">
        <x:f>SUM(C62:J62)</x:f>
        <x:v>0.005270390022096882</x:v>
      </x:c>
      <x:c r="L62" s="101" t="n">
        <x:f>B62-K62</x:f>
        <x:v>-0.022557503603741026</x:v>
      </x:c>
      <x:c r="M62" s="86" t="n">
        <x:f>'Datos_fuente'!B55</x:f>
        <x:v>1983.426774</x:v>
      </x:c>
      <x:c r="N62" s="86" t="n">
        <x:f>EXP('Transformaciones'!B54+K62)</x:f>
        <x:v>2028.6763708531823</x:v>
      </x:c>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t="str">
        <x:f>'Transformaciones'!A56</x:f>
        <x:v>2010-02</x:v>
      </x:c>
      <x:c r="B63" s="90" t="n">
        <x:f>'Transformaciones'!C56</x:f>
        <x:v>-0.016112994547637705</x:v>
      </x:c>
      <x:c r="C63" s="90" t="n">
        <x:f>$B$6</x:f>
        <x:v>-0.00045209606279242174</x:v>
      </x:c>
      <x:c r="D63" s="90" t="n">
        <x:f>$B$7*'Transformaciones'!E56</x:f>
        <x:v>0.001665710891828162</x:v>
      </x:c>
      <x:c r="E63" s="90" t="n">
        <x:f>$B$11*'Transformaciones'!M56</x:f>
        <x:v>0.018863789095470224</x:v>
      </x:c>
      <x:c r="F63" s="90" t="n">
        <x:f>$B$12*'Transformaciones'!O56</x:f>
        <x:v>0.0033947868514055506</x:v>
      </x:c>
      <x:c r="G63" s="90" t="n">
        <x:f>$B$8*'Transformaciones'!G55</x:f>
        <x:v>-0.0034893419378341467</x:v>
      </x:c>
      <x:c r="H63" s="90" t="n">
        <x:f>$B$9*'Transformaciones'!I55</x:f>
        <x:v>-0.00009908850217863818</x:v>
      </x:c>
      <x:c r="I63" s="90" t="n">
        <x:f>$B$10*'Transformaciones'!K55</x:f>
        <x:v>-0.002214477613822995</x:v>
      </x:c>
      <x:c r="J63" s="90" t="n">
        <x:f>$B$13*'Transformaciones'!P56</x:f>
        <x:v>0</x:v>
      </x:c>
      <x:c r="K63" s="101" t="n">
        <x:f>SUM(C63:J63)</x:f>
        <x:v>0.017669282722075734</x:v>
      </x:c>
      <x:c r="L63" s="101" t="n">
        <x:f>B63-K63</x:f>
        <x:v>-0.03378227726971344</x:v>
      </x:c>
      <x:c r="M63" s="86" t="n">
        <x:f>'Datos_fuente'!B56</x:f>
        <x:v>1951.723929</x:v>
      </x:c>
      <x:c r="N63" s="86" t="n">
        <x:f>EXP('Transformaciones'!B55+K63)</x:f>
        <x:v>2018.7839505208858</x:v>
      </x:c>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t="str">
        <x:f>'Transformaciones'!A57</x:f>
        <x:v>2010-03</x:v>
      </x:c>
      <x:c r="B64" s="90" t="n">
        <x:f>'Transformaciones'!C57</x:f>
        <x:v>-0.02213772816348758</x:v>
      </x:c>
      <x:c r="C64" s="90" t="n">
        <x:f>$B$6</x:f>
        <x:v>-0.00045209606279242174</x:v>
      </x:c>
      <x:c r="D64" s="90" t="n">
        <x:f>$B$7*'Transformaciones'!E57</x:f>
        <x:v>-0.0034401726361414967</x:v>
      </x:c>
      <x:c r="E64" s="90" t="n">
        <x:f>$B$11*'Transformaciones'!M57</x:f>
        <x:v>-0.0095728208824899</x:v>
      </x:c>
      <x:c r="F64" s="90" t="n">
        <x:f>$B$12*'Transformaciones'!O57</x:f>
        <x:v>-0.009188176458125643</x:v>
      </x:c>
      <x:c r="G64" s="90" t="n">
        <x:f>$B$8*'Transformaciones'!G56</x:f>
        <x:v>-0.0066961683907876155</x:v>
      </x:c>
      <x:c r="H64" s="90" t="n">
        <x:f>$B$9*'Transformaciones'!I56</x:f>
        <x:v>0.00019817700435727196</x:v>
      </x:c>
      <x:c r="I64" s="90" t="n">
        <x:f>$B$10*'Transformaciones'!K56</x:f>
        <x:v>-0.00219025873927256</x:v>
      </x:c>
      <x:c r="J64" s="90" t="n">
        <x:f>$B$13*'Transformaciones'!P57</x:f>
        <x:v>0</x:v>
      </x:c>
      <x:c r="K64" s="101" t="n">
        <x:f>SUM(C64:J64)</x:f>
        <x:v>-0.03134151616525236</x:v>
      </x:c>
      <x:c r="L64" s="101" t="n">
        <x:f>B64-K64</x:f>
        <x:v>0.00920378800176478</x:v>
      </x:c>
      <x:c r="M64" s="86" t="n">
        <x:f>'Datos_fuente'!B57</x:f>
        <x:v>1908.991935</x:v>
      </x:c>
      <x:c r="N64" s="86" t="n">
        <x:f>EXP('Transformaciones'!B56+K64)</x:f>
        <x:v>1891.5025855252504</x:v>
      </x:c>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t="str">
        <x:f>'Transformaciones'!A58</x:f>
        <x:v>2010-04</x:v>
      </x:c>
      <x:c r="B65" s="90" t="n">
        <x:f>'Transformaciones'!C58</x:f>
        <x:v>0.014796839308575116</x:v>
      </x:c>
      <x:c r="C65" s="90" t="n">
        <x:f>$B$6</x:f>
        <x:v>-0.00045209606279242174</x:v>
      </x:c>
      <x:c r="D65" s="90" t="n">
        <x:f>$B$7*'Transformaciones'!E58</x:f>
        <x:v>-0.0037860844241502235</x:v>
      </x:c>
      <x:c r="E65" s="90" t="n">
        <x:f>$B$11*'Transformaciones'!M58</x:f>
        <x:v>-0.006680957780509007</x:v>
      </x:c>
      <x:c r="F65" s="90" t="n">
        <x:f>$B$12*'Transformaciones'!O58</x:f>
        <x:v>-0.0007530395198858277</x:v>
      </x:c>
      <x:c r="G65" s="90" t="n">
        <x:f>$B$8*'Transformaciones'!G57</x:f>
        <x:v>-0.0016655647868913802</x:v>
      </x:c>
      <x:c r="H65" s="90" t="n">
        <x:f>$B$9*'Transformaciones'!I57</x:f>
        <x:v>0.0002972655065359101</x:v>
      </x:c>
      <x:c r="I65" s="90" t="n">
        <x:f>$B$10*'Transformaciones'!K57</x:f>
        <x:v>-0.00014406815537307936</x:v>
      </x:c>
      <x:c r="J65" s="90" t="n">
        <x:f>$B$13*'Transformaciones'!P58</x:f>
        <x:v>0</x:v>
      </x:c>
      <x:c r="K65" s="101" t="n">
        <x:f>SUM(C65:J65)</x:f>
        <x:v>-0.01318454522306603</x:v>
      </x:c>
      <x:c r="L65" s="101" t="n">
        <x:f>B65-K65</x:f>
        <x:v>0.027981384531641146</x:v>
      </x:c>
      <x:c r="M65" s="86" t="n">
        <x:f>'Datos_fuente'!B58</x:f>
        <x:v>1937.449</x:v>
      </x:c>
      <x:c r="N65" s="86" t="n">
        <x:f>EXP('Transformaciones'!B57+K65)</x:f>
        <x:v>1883.9879398621606</x:v>
      </x:c>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t="str">
        <x:f>'Transformaciones'!A59</x:f>
        <x:v>2010-05</x:v>
      </x:c>
      <x:c r="B66" s="90" t="n">
        <x:f>'Transformaciones'!C59</x:f>
        <x:v>0.023537801305710815</x:v>
      </x:c>
      <x:c r="C66" s="90" t="n">
        <x:f>$B$6</x:f>
        <x:v>-0.00045209606279242174</x:v>
      </x:c>
      <x:c r="D66" s="90" t="n">
        <x:f>$B$7*'Transformaciones'!E59</x:f>
        <x:v>0.005711340661898814</x:v>
      </x:c>
      <x:c r="E66" s="90" t="n">
        <x:f>$B$11*'Transformaciones'!M59</x:f>
        <x:v>0.03734472221421656</x:v>
      </x:c>
      <x:c r="F66" s="90" t="n">
        <x:f>$B$12*'Transformaciones'!O59</x:f>
        <x:v>0.02338939206664275</x:v>
      </x:c>
      <x:c r="G66" s="90" t="n">
        <x:f>$B$8*'Transformaciones'!G58</x:f>
        <x:v>-0.0015199185005109726</x:v>
      </x:c>
      <x:c r="H66" s="90" t="n">
        <x:f>$B$9*'Transformaciones'!I58</x:f>
        <x:v>0.0003963540087145439</x:v>
      </x:c>
      <x:c r="I66" s="90" t="n">
        <x:f>$B$10*'Transformaciones'!K58</x:f>
        <x:v>0.0020612845312080763</x:v>
      </x:c>
      <x:c r="J66" s="90" t="n">
        <x:f>$B$13*'Transformaciones'!P59</x:f>
        <x:v>0</x:v>
      </x:c>
      <x:c r="K66" s="101" t="n">
        <x:f>SUM(C66:J66)</x:f>
        <x:v>0.06693107891937734</x:v>
      </x:c>
      <x:c r="L66" s="101" t="n">
        <x:f>B66-K66</x:f>
        <x:v>-0.04339327761366653</x:v>
      </x:c>
      <x:c r="M66" s="86" t="n">
        <x:f>'Datos_fuente'!B59</x:f>
        <x:v>1983.593226</x:v>
      </x:c>
      <x:c r="N66" s="86" t="n">
        <x:f>EXP('Transformaciones'!B58+K66)</x:f>
        <x:v>2071.5626756355246</x:v>
      </x:c>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t="str">
        <x:f>'Transformaciones'!A60</x:f>
        <x:v>2010-06</x:v>
      </x:c>
      <x:c r="B67" s="90" t="n">
        <x:f>'Transformaciones'!C60</x:f>
        <x:v>-0.029025491354669697</x:v>
      </x:c>
      <x:c r="C67" s="90" t="n">
        <x:f>$B$6</x:f>
        <x:v>-0.00045209606279242174</x:v>
      </x:c>
      <x:c r="D67" s="90" t="n">
        <x:f>$B$7*'Transformaciones'!E60</x:f>
        <x:v>0.0008126457308837579</x:v>
      </x:c>
      <x:c r="E67" s="90" t="n">
        <x:f>$B$11*'Transformaciones'!M60</x:f>
        <x:v>0.006722090911736179</x:v>
      </x:c>
      <x:c r="F67" s="90" t="n">
        <x:f>$B$12*'Transformaciones'!O60</x:f>
        <x:v>-0.0025149662910474995</x:v>
      </x:c>
      <x:c r="G67" s="90" t="n">
        <x:f>$B$8*'Transformaciones'!G59</x:f>
        <x:v>-0.0007958247510233883</x:v>
      </x:c>
      <x:c r="H67" s="90" t="n">
        <x:f>$B$9*'Transformaciones'!I59</x:f>
        <x:v>0.0046347847745286845</x:v>
      </x:c>
      <x:c r="I67" s="90" t="n">
        <x:f>$B$10*'Transformaciones'!K59</x:f>
        <x:v>-0.00006622277743705384</x:v>
      </x:c>
      <x:c r="J67" s="90" t="n">
        <x:f>$B$13*'Transformaciones'!P60</x:f>
        <x:v>0</x:v>
      </x:c>
      <x:c r="K67" s="101" t="n">
        <x:f>SUM(C67:J67)</x:f>
        <x:v>0.008340411534848258</x:v>
      </x:c>
      <x:c r="L67" s="101" t="n">
        <x:f>B67-K67</x:f>
        <x:v>-0.03736590288951795</x:v>
      </x:c>
      <x:c r="M67" s="86" t="n">
        <x:f>'Datos_fuente'!B60</x:f>
        <x:v>1926.846</x:v>
      </x:c>
      <x:c r="N67" s="86" t="n">
        <x:f>EXP('Transformaciones'!B59+K67)</x:f>
        <x:v>2000.20639384665</x:v>
      </x:c>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t="str">
        <x:f>'Transformaciones'!A61</x:f>
        <x:v>2010-07</x:v>
      </x:c>
      <x:c r="B68" s="90" t="n">
        <x:f>'Transformaciones'!C61</x:f>
        <x:v>-0.02758983781523039</x:v>
      </x:c>
      <x:c r="C68" s="90" t="n">
        <x:f>$B$6</x:f>
        <x:v>-0.00045209606279242174</x:v>
      </x:c>
      <x:c r="D68" s="90" t="n">
        <x:f>$B$7*'Transformaciones'!E61</x:f>
        <x:v>-0.0005632677307084977</x:v>
      </x:c>
      <x:c r="E68" s="90" t="n">
        <x:f>$B$11*'Transformaciones'!M61</x:f>
        <x:v>-0.020484359089134985</x:v>
      </x:c>
      <x:c r="F68" s="90" t="n">
        <x:f>$B$12*'Transformaciones'!O61</x:f>
        <x:v>-0.006069620635190903</x:v>
      </x:c>
      <x:c r="G68" s="90" t="n">
        <x:f>$B$8*'Transformaciones'!G60</x:f>
        <x:v>0.00040600230969343884</x:v>
      </x:c>
      <x:c r="H68" s="90" t="n">
        <x:f>$B$9*'Transformaciones'!I60</x:f>
        <x:v>0.00012146333004583753</x:v>
      </x:c>
      <x:c r="I68" s="90" t="n">
        <x:f>$B$10*'Transformaciones'!K60</x:f>
        <x:v>0.0012635970408202356</x:v>
      </x:c>
      <x:c r="J68" s="90" t="n">
        <x:f>$B$13*'Transformaciones'!P61</x:f>
        <x:v>0</x:v>
      </x:c>
      <x:c r="K68" s="101" t="n">
        <x:f>SUM(C68:J68)</x:f>
        <x:v>-0.025778280837267294</x:v>
      </x:c>
      <x:c r="L68" s="101" t="n">
        <x:f>B68-K68</x:f>
        <x:v>-0.0018115569779630948</x:v>
      </x:c>
      <x:c r="M68" s="86" t="n">
        <x:f>'Datos_fuente'!B61</x:f>
        <x:v>1874.41129</x:v>
      </x:c>
      <x:c r="N68" s="86" t="n">
        <x:f>EXP('Transformaciones'!B60+K68)</x:f>
        <x:v>1877.8099703740809</x:v>
      </x:c>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t="str">
        <x:f>'Transformaciones'!A62</x:f>
        <x:v>2010-08</x:v>
      </x:c>
      <x:c r="B69" s="90" t="n">
        <x:f>'Transformaciones'!C62</x:f>
        <x:v>-0.02879865281356775</x:v>
      </x:c>
      <x:c r="C69" s="90" t="n">
        <x:f>$B$6</x:f>
        <x:v>-0.00045209606279242174</x:v>
      </x:c>
      <x:c r="D69" s="90" t="n">
        <x:f>$B$7*'Transformaciones'!E62</x:f>
        <x:v>-0.0009887268951842085</x:v>
      </x:c>
      <x:c r="E69" s="90" t="n">
        <x:f>$B$11*'Transformaciones'!M62</x:f>
        <x:v>-0.009977395720891501</x:v>
      </x:c>
      <x:c r="F69" s="90" t="n">
        <x:f>$B$12*'Transformaciones'!O62</x:f>
        <x:v>-0.0012579074410802302</x:v>
      </x:c>
      <x:c r="G69" s="90" t="n">
        <x:f>$B$8*'Transformaciones'!G61</x:f>
        <x:v>0.0018303887133422616</x:v>
      </x:c>
      <x:c r="H69" s="90" t="n">
        <x:f>$B$9*'Transformaciones'!I61</x:f>
        <x:v>0</x:v>
      </x:c>
      <x:c r="I69" s="90" t="n">
        <x:f>$B$10*'Transformaciones'!K61</x:f>
        <x:v>-0.0004662389285490479</x:v>
      </x:c>
      <x:c r="J69" s="90" t="n">
        <x:f>$B$13*'Transformaciones'!P62</x:f>
        <x:v>0</x:v>
      </x:c>
      <x:c r="K69" s="101" t="n">
        <x:f>SUM(C69:J69)</x:f>
        <x:v>-0.011311976335155148</x:v>
      </x:c>
      <x:c r="L69" s="101" t="n">
        <x:f>B69-K69</x:f>
        <x:v>-0.0174866764784126</x:v>
      </x:c>
      <x:c r="M69" s="86" t="n">
        <x:f>'Datos_fuente'!B62</x:f>
        <x:v>1821.200645</x:v>
      </x:c>
      <x:c r="N69" s="86" t="n">
        <x:f>EXP('Transformaciones'!B61+K69)</x:f>
        <x:v>1853.3274685147776</x:v>
      </x:c>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t="str">
        <x:f>'Transformaciones'!A63</x:f>
        <x:v>2010-09</x:v>
      </x:c>
      <x:c r="B70" s="90" t="n">
        <x:f>'Transformaciones'!C63</x:f>
        <x:v>-0.008507593053932005</x:v>
      </x:c>
      <x:c r="C70" s="90" t="n">
        <x:f>$B$6</x:f>
        <x:v>-0.00045209606279242174</x:v>
      </x:c>
      <x:c r="D70" s="90" t="n">
        <x:f>$B$7*'Transformaciones'!E63</x:f>
        <x:v>-0.0005346370763180514</x:v>
      </x:c>
      <x:c r="E70" s="90" t="n">
        <x:f>$B$11*'Transformaciones'!M63</x:f>
        <x:v>-0.011986239943707675</x:v>
      </x:c>
      <x:c r="F70" s="90" t="n">
        <x:f>$B$12*'Transformaciones'!O63</x:f>
        <x:v>-0.003644045951725123</x:v>
      </x:c>
      <x:c r="G70" s="90" t="n">
        <x:f>$B$8*'Transformaciones'!G62</x:f>
        <x:v>0.002206856022563376</x:v>
      </x:c>
      <x:c r="H70" s="90" t="n">
        <x:f>$B$9*'Transformaciones'!I62</x:f>
        <x:v>0.00009908850217863377</x:v>
      </x:c>
      <x:c r="I70" s="90" t="n">
        <x:f>$B$10*'Transformaciones'!K62</x:f>
        <x:v>0.0004856292953382082</x:v>
      </x:c>
      <x:c r="J70" s="90" t="n">
        <x:f>$B$13*'Transformaciones'!P63</x:f>
        <x:v>0</x:v>
      </x:c>
      <x:c r="K70" s="101" t="n">
        <x:f>SUM(C70:J70)</x:f>
        <x:v>-0.013825445214463052</x:v>
      </x:c>
      <x:c r="L70" s="101" t="n">
        <x:f>B70-K70</x:f>
        <x:v>0.0053178521605310464</x:v>
      </x:c>
      <x:c r="M70" s="86" t="n">
        <x:f>'Datos_fuente'!B63</x:f>
        <x:v>1805.772333</x:v>
      </x:c>
      <x:c r="N70" s="86" t="n">
        <x:f>EXP('Transformaciones'!B62+K70)</x:f>
        <x:v>1796.19499071295</x:v>
      </x:c>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t="str">
        <x:f>'Transformaciones'!A64</x:f>
        <x:v>2010-10</x:v>
      </x:c>
      <x:c r="B71" s="90" t="n">
        <x:f>'Transformaciones'!C64</x:f>
        <x:v>0.0015686037595941116</x:v>
      </x:c>
      <x:c r="C71" s="90" t="n">
        <x:f>$B$6</x:f>
        <x:v>-0.00045209606279242174</x:v>
      </x:c>
      <x:c r="D71" s="90" t="n">
        <x:f>$B$7*'Transformaciones'!E64</x:f>
        <x:v>-0.0031083526463979477</x:v>
      </x:c>
      <x:c r="E71" s="90" t="n">
        <x:f>$B$11*'Transformaciones'!M64</x:f>
        <x:v>-0.033645464815447654</x:v>
      </x:c>
      <x:c r="F71" s="90" t="n">
        <x:f>$B$12*'Transformaciones'!O64</x:f>
        <x:v>-0.0038645181971383546</x:v>
      </x:c>
      <x:c r="G71" s="90" t="n">
        <x:f>$B$8*'Transformaciones'!G63</x:f>
        <x:v>0.001106814333956794</x:v>
      </x:c>
      <x:c r="H71" s="90" t="n">
        <x:f>$B$9*'Transformaciones'!I63</x:f>
        <x:v>0</x:v>
      </x:c>
      <x:c r="I71" s="90" t="n">
        <x:f>$B$10*'Transformaciones'!K63</x:f>
        <x:v>-0.0013663528690752989</x:v>
      </x:c>
      <x:c r="J71" s="90" t="n">
        <x:f>$B$13*'Transformaciones'!P64</x:f>
        <x:v>0</x:v>
      </x:c>
      <x:c r="K71" s="101" t="n">
        <x:f>SUM(C71:J71)</x:f>
        <x:v>-0.041329970256894874</x:v>
      </x:c>
      <x:c r="L71" s="101" t="n">
        <x:f>B71-K71</x:f>
        <x:v>0.042898574016488986</x:v>
      </x:c>
      <x:c r="M71" s="86" t="n">
        <x:f>'Datos_fuente'!B64</x:f>
        <x:v>1808.607097</x:v>
      </x:c>
      <x:c r="N71" s="86" t="n">
        <x:f>EXP('Transformaciones'!B63+K71)</x:f>
        <x:v>1732.6610663132694</x:v>
      </x:c>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t="str">
        <x:f>'Transformaciones'!A65</x:f>
        <x:v>2010-11</x:v>
      </x:c>
      <x:c r="B72" s="90" t="n">
        <x:f>'Transformaciones'!C65</x:f>
        <x:v>0.02962788165616903</x:v>
      </x:c>
      <x:c r="C72" s="90" t="n">
        <x:f>$B$6</x:f>
        <x:v>-0.00045209606279242174</x:v>
      </x:c>
      <x:c r="D72" s="90" t="n">
        <x:f>$B$7*'Transformaciones'!E65</x:f>
        <x:v>-0.0016068605889287314</x:v>
      </x:c>
      <x:c r="E72" s="90" t="n">
        <x:f>$B$11*'Transformaciones'!M65</x:f>
        <x:v>0.0037701973987538107</x:v>
      </x:c>
      <x:c r="F72" s="90" t="n">
        <x:f>$B$12*'Transformaciones'!O65</x:f>
        <x:v>-0.0005298455042228814</x:v>
      </x:c>
      <x:c r="G72" s="90" t="n">
        <x:f>$B$8*'Transformaciones'!G64</x:f>
        <x:v>0.000585131981494791</x:v>
      </x:c>
      <x:c r="H72" s="90" t="n">
        <x:f>$B$9*'Transformaciones'!I64</x:f>
        <x:v>0</x:v>
      </x:c>
      <x:c r="I72" s="90" t="n">
        <x:f>$B$10*'Transformaciones'!K64</x:f>
        <x:v>-0.0009622402977868519</x:v>
      </x:c>
      <x:c r="J72" s="90" t="n">
        <x:f>$B$13*'Transformaciones'!P65</x:f>
        <x:v>0</x:v>
      </x:c>
      <x:c r="K72" s="101" t="n">
        <x:f>SUM(C72:J72)</x:f>
        <x:v>0.0008042869265177152</x:v>
      </x:c>
      <x:c r="L72" s="101" t="n">
        <x:f>B72-K72</x:f>
        <x:v>0.028823594729651316</x:v>
      </x:c>
      <x:c r="M72" s="86" t="n">
        <x:f>'Datos_fuente'!B65</x:f>
        <x:v>1862.994</x:v>
      </x:c>
      <x:c r="N72" s="86" t="n">
        <x:f>EXP('Transformaciones'!B64+K72)</x:f>
        <x:v>1810.0623211737673</x:v>
      </x:c>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t="str">
        <x:f>'Transformaciones'!A66</x:f>
        <x:v>2010-12</x:v>
      </x:c>
      <x:c r="B73" s="90" t="n">
        <x:f>'Transformaciones'!C66</x:f>
        <x:v>0.03135379201791366</x:v>
      </x:c>
      <x:c r="C73" s="90" t="n">
        <x:f>$B$6</x:f>
        <x:v>-0.00045209606279242174</x:v>
      </x:c>
      <x:c r="D73" s="90" t="n">
        <x:f>$B$7*'Transformaciones'!E66</x:f>
        <x:v>-0.0036122068006162033</x:v>
      </x:c>
      <x:c r="E73" s="90" t="n">
        <x:f>$B$11*'Transformaciones'!M66</x:f>
        <x:v>0.009013558036159662</x:v>
      </x:c>
      <x:c r="F73" s="90" t="n">
        <x:f>$B$12*'Transformaciones'!O66</x:f>
        <x:v>-0.005187881458668123</x:v>
      </x:c>
      <x:c r="G73" s="90" t="n">
        <x:f>$B$8*'Transformaciones'!G65</x:f>
        <x:v>0.001323343538990849</x:v>
      </x:c>
      <x:c r="H73" s="90" t="n">
        <x:f>$B$9*'Transformaciones'!I65</x:f>
        <x:v>0</x:v>
      </x:c>
      <x:c r="I73" s="90" t="n">
        <x:f>$B$10*'Transformaciones'!K65</x:f>
        <x:v>-0.000663960734757079</x:v>
      </x:c>
      <x:c r="J73" s="90" t="n">
        <x:f>$B$13*'Transformaciones'!P66</x:f>
        <x:v>0</x:v>
      </x:c>
      <x:c r="K73" s="101" t="n">
        <x:f>SUM(C73:J73)</x:f>
        <x:v>0.0004207565183166844</x:v>
      </x:c>
      <x:c r="L73" s="101" t="n">
        <x:f>B73-K73</x:f>
        <x:v>0.030933035499596976</x:v>
      </x:c>
      <x:c r="M73" s="86" t="n">
        <x:f>'Datos_fuente'!B66</x:f>
        <x:v>1922.33129</x:v>
      </x:c>
      <x:c r="N73" s="86" t="n">
        <x:f>EXP('Transformaciones'!B65+K73)</x:f>
        <x:v>1863.778031800763</x:v>
      </x:c>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t="str">
        <x:f>'Transformaciones'!A67</x:f>
        <x:v>2011-01</x:v>
      </x:c>
      <x:c r="B74" s="90" t="n">
        <x:f>'Transformaciones'!C67</x:f>
        <x:v>-0.02916467772071485</x:v>
      </x:c>
      <x:c r="C74" s="90" t="n">
        <x:f>$B$6</x:f>
        <x:v>-0.00045209606279242174</x:v>
      </x:c>
      <x:c r="D74" s="90" t="n">
        <x:f>$B$7*'Transformaciones'!E67</x:f>
        <x:v>-0.002792877820303988</x:v>
      </x:c>
      <x:c r="E74" s="90" t="n">
        <x:f>$B$11*'Transformaciones'!M67</x:f>
        <x:v>-0.01437242848614018</x:v>
      </x:c>
      <x:c r="F74" s="90" t="n">
        <x:f>$B$12*'Transformaciones'!O67</x:f>
        <x:v>-0.0005624656203279754</x:v>
      </x:c>
      <x:c r="G74" s="90" t="n">
        <x:f>$B$8*'Transformaciones'!G66</x:f>
        <x:v>0.0005999825914137653</x:v>
      </x:c>
      <x:c r="H74" s="90" t="n">
        <x:f>$B$9*'Transformaciones'!I66</x:f>
        <x:v>-0.00009908850217863377</x:v>
      </x:c>
      <x:c r="I74" s="90" t="n">
        <x:f>$B$10*'Transformaciones'!K66</x:f>
        <x:v>0.0031123275287294554</x:v>
      </x:c>
      <x:c r="J74" s="90" t="n">
        <x:f>$B$13*'Transformaciones'!P67</x:f>
        <x:v>0</x:v>
      </x:c>
      <x:c r="K74" s="101" t="n">
        <x:f>SUM(C74:J74)</x:f>
        <x:v>-0.014566646371599977</x:v>
      </x:c>
      <x:c r="L74" s="101" t="n">
        <x:f>B74-K74</x:f>
        <x:v>-0.014598031349114872</x:v>
      </x:c>
      <x:c r="M74" s="86" t="n">
        <x:f>'Datos_fuente'!B67</x:f>
        <x:v>1867.076774</x:v>
      </x:c>
      <x:c r="N74" s="86" t="n">
        <x:f>EXP('Transformaciones'!B66+K74)</x:f>
        <x:v>1894.5323302444867</x:v>
      </x:c>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t="str">
        <x:f>'Transformaciones'!A68</x:f>
        <x:v>2011-02</x:v>
      </x:c>
      <x:c r="B75" s="90" t="n">
        <x:f>'Transformaciones'!C68</x:f>
        <x:v>0.00815839505198035</x:v>
      </x:c>
      <x:c r="C75" s="90" t="n">
        <x:f>$B$6</x:f>
        <x:v>-0.00045209606279242174</x:v>
      </x:c>
      <x:c r="D75" s="90" t="n">
        <x:f>$B$7*'Transformaciones'!E68</x:f>
        <x:v>-0.0037152756303896186</x:v>
      </x:c>
      <x:c r="E75" s="90" t="n">
        <x:f>$B$11*'Transformaciones'!M68</x:f>
        <x:v>-0.009672818529152017</x:v>
      </x:c>
      <x:c r="F75" s="90" t="n">
        <x:f>$B$12*'Transformaciones'!O68</x:f>
        <x:v>0.00025452161475998994</x:v>
      </x:c>
      <x:c r="G75" s="90" t="n">
        <x:f>$B$8*'Transformaciones'!G67</x:f>
        <x:v>0.001708783452499845</x:v>
      </x:c>
      <x:c r="H75" s="90" t="n">
        <x:f>$B$9*'Transformaciones'!I67</x:f>
        <x:v>-0.00009908850217863818</x:v>
      </x:c>
      <x:c r="I75" s="90" t="n">
        <x:f>$B$10*'Transformaciones'!K67</x:f>
        <x:v>-0.003348274834325812</x:v>
      </x:c>
      <x:c r="J75" s="90" t="n">
        <x:f>$B$13*'Transformaciones'!P68</x:f>
        <x:v>0</x:v>
      </x:c>
      <x:c r="K75" s="101" t="n">
        <x:f>SUM(C75:J75)</x:f>
        <x:v>-0.01532424849157867</x:v>
      </x:c>
      <x:c r="L75" s="101" t="n">
        <x:f>B75-K75</x:f>
        <x:v>0.02348264354355902</x:v>
      </x:c>
      <x:c r="M75" s="86" t="n">
        <x:f>'Datos_fuente'!B68</x:f>
        <x:v>1882.371429</x:v>
      </x:c>
      <x:c r="N75" s="86" t="n">
        <x:f>EXP('Transformaciones'!B67+K75)</x:f>
        <x:v>1838.6833352576707</x:v>
      </x:c>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t="str">
        <x:f>'Transformaciones'!A69</x:f>
        <x:v>2011-03</x:v>
      </x:c>
      <x:c r="B76" s="90" t="n">
        <x:f>'Transformaciones'!C69</x:f>
        <x:v>-0.00029572925696452756</x:v>
      </x:c>
      <x:c r="C76" s="90" t="n">
        <x:f>$B$6</x:f>
        <x:v>-0.00045209606279242174</x:v>
      </x:c>
      <x:c r="D76" s="90" t="n">
        <x:f>$B$7*'Transformaciones'!E69</x:f>
        <x:v>-0.005177895484611567</x:v>
      </x:c>
      <x:c r="E76" s="90" t="n">
        <x:f>$B$11*'Transformaciones'!M69</x:f>
        <x:v>-0.012424126540520539</x:v>
      </x:c>
      <x:c r="F76" s="90" t="n">
        <x:f>$B$12*'Transformaciones'!O69</x:f>
        <x:v>0.006683732340449517</x:v>
      </x:c>
      <x:c r="G76" s="90" t="n">
        <x:f>$B$8*'Transformaciones'!G68</x:f>
        <x:v>0.0030469342267675638</x:v>
      </x:c>
      <x:c r="H76" s="90" t="n">
        <x:f>$B$9*'Transformaciones'!I68</x:f>
        <x:v>-0.00018756037487719645</x:v>
      </x:c>
      <x:c r="I76" s="90" t="n">
        <x:f>$B$10*'Transformaciones'!K68</x:f>
        <x:v>0.00023519773555488082</x:v>
      </x:c>
      <x:c r="J76" s="90" t="n">
        <x:f>$B$13*'Transformaciones'!P69</x:f>
        <x:v>0</x:v>
      </x:c>
      <x:c r="K76" s="101" t="n">
        <x:f>SUM(C76:J76)</x:f>
        <x:v>-0.008275814160029761</x:v>
      </x:c>
      <x:c r="L76" s="101" t="n">
        <x:f>B76-K76</x:f>
        <x:v>0.007980084903065234</x:v>
      </x:c>
      <x:c r="M76" s="86" t="n">
        <x:f>'Datos_fuente'!B69</x:f>
        <x:v>1881.814839</x:v>
      </x:c>
      <x:c r="N76" s="86" t="n">
        <x:f>EXP('Transformaciones'!B68+K76)</x:f>
        <x:v>1866.8575563809588</x:v>
      </x:c>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t="str">
        <x:f>'Transformaciones'!A70</x:f>
        <x:v>2011-04</x:v>
      </x:c>
      <x:c r="B77" s="90" t="n">
        <x:f>'Transformaciones'!C70</x:f>
        <x:v>-0.03900152272987878</x:v>
      </x:c>
      <x:c r="C77" s="90" t="n">
        <x:f>$B$6</x:f>
        <x:v>-0.00045209606279242174</x:v>
      </x:c>
      <x:c r="D77" s="90" t="n">
        <x:f>$B$7*'Transformaciones'!E70</x:f>
        <x:v>-0.0037456122598977736</x:v>
      </x:c>
      <x:c r="E77" s="90" t="n">
        <x:f>$B$11*'Transformaciones'!M70</x:f>
        <x:v>-0.02169336819298137</x:v>
      </x:c>
      <x:c r="F77" s="90" t="n">
        <x:f>$B$12*'Transformaciones'!O70</x:f>
        <x:v>-0.009405091285764404</x:v>
      </x:c>
      <x:c r="G77" s="90" t="n">
        <x:f>$B$8*'Transformaciones'!G69</x:f>
        <x:v>-0.0001305352389673335</x:v>
      </x:c>
      <x:c r="H77" s="90" t="n">
        <x:f>$B$9*'Transformaciones'!I69</x:f>
        <x:v>-0.0033860185072691015</x:v>
      </x:c>
      <x:c r="I77" s="90" t="n">
        <x:f>$B$10*'Transformaciones'!K69</x:f>
        <x:v>-0.0010169393779463746</x:v>
      </x:c>
      <x:c r="J77" s="90" t="n">
        <x:f>$B$13*'Transformaciones'!P70</x:f>
        <x:v>0</x:v>
      </x:c>
      <x:c r="K77" s="101" t="n">
        <x:f>SUM(C77:J77)</x:f>
        <x:v>-0.03982966092561878</x:v>
      </x:c>
      <x:c r="L77" s="101" t="n">
        <x:f>B77-K77</x:f>
        <x:v>0.0008281381957399997</x:v>
      </x:c>
      <x:c r="M77" s="86" t="n">
        <x:f>'Datos_fuente'!B70</x:f>
        <x:v>1809.834</x:v>
      </x:c>
      <x:c r="N77" s="86" t="n">
        <x:f>EXP('Transformaciones'!B69+K77)</x:f>
        <x:v>1808.3358277690986</x:v>
      </x:c>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t="str">
        <x:f>'Transformaciones'!A71</x:f>
        <x:v>2011-05</x:v>
      </x:c>
      <x:c r="B78" s="90" t="n">
        <x:f>'Transformaciones'!C71</x:f>
        <x:v>-0.005165886724466162</x:v>
      </x:c>
      <x:c r="C78" s="90" t="n">
        <x:f>$B$6</x:f>
        <x:v>-0.00045209606279242174</x:v>
      </x:c>
      <x:c r="D78" s="90" t="n">
        <x:f>$B$7*'Transformaciones'!E71</x:f>
        <x:v>0.0035900308444801053</x:v>
      </x:c>
      <x:c r="E78" s="90" t="n">
        <x:f>$B$11*'Transformaciones'!M71</x:f>
        <x:v>0.00034994166790140973</x:v>
      </x:c>
      <x:c r="F78" s="90" t="n">
        <x:f>$B$12*'Transformaciones'!O71</x:f>
        <x:v>0.001554980678807316</x:v>
      </x:c>
      <x:c r="G78" s="90" t="n">
        <x:f>$B$8*'Transformaciones'!G70</x:f>
        <x:v>-0.0006167177058909779</x:v>
      </x:c>
      <x:c r="H78" s="90" t="n">
        <x:f>$B$9*'Transformaciones'!I70</x:f>
        <x:v>-0.0020744657420359463</x:v>
      </x:c>
      <x:c r="I78" s="90" t="n">
        <x:f>$B$10*'Transformaciones'!K70</x:f>
        <x:v>-0.002520394700999216</x:v>
      </x:c>
      <x:c r="J78" s="90" t="n">
        <x:f>$B$13*'Transformaciones'!P71</x:f>
        <x:v>0</x:v>
      </x:c>
      <x:c r="K78" s="101" t="n">
        <x:f>SUM(C78:J78)</x:f>
        <x:v>-0.00016872102052973084</x:v>
      </x:c>
      <x:c r="L78" s="101" t="n">
        <x:f>B78-K78</x:f>
        <x:v>-0.004997165703936431</x:v>
      </x:c>
      <x:c r="M78" s="86" t="n">
        <x:f>'Datos_fuente'!B71</x:f>
        <x:v>1800.50871</x:v>
      </x:c>
      <x:c r="N78" s="86" t="n">
        <x:f>EXP('Transformaciones'!B70+K78)</x:f>
        <x:v>1809.5286687191576</x:v>
      </x:c>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t="str">
        <x:f>'Transformaciones'!A72</x:f>
        <x:v>2011-06</x:v>
      </x:c>
      <x:c r="B79" s="90" t="n">
        <x:f>'Transformaciones'!C72</x:f>
        <x:v>-0.009682544441075969</x:v>
      </x:c>
      <x:c r="C79" s="90" t="n">
        <x:f>$B$6</x:f>
        <x:v>-0.00045209606279242174</x:v>
      </x:c>
      <x:c r="D79" s="90" t="n">
        <x:f>$B$7*'Transformaciones'!E72</x:f>
        <x:v>0.0005222380790928574</x:v>
      </x:c>
      <x:c r="E79" s="90" t="n">
        <x:f>$B$11*'Transformaciones'!M72</x:f>
        <x:v>-0.00007197301934424268</x:v>
      </x:c>
      <x:c r="F79" s="90" t="n">
        <x:f>$B$12*'Transformaciones'!O72</x:f>
        <x:v>0.004807098478067171</x:v>
      </x:c>
      <x:c r="G79" s="90" t="n">
        <x:f>$B$8*'Transformaciones'!G71</x:f>
        <x:v>0.0012797076443919451</x:v>
      </x:c>
      <x:c r="H79" s="90" t="n">
        <x:f>$B$9*'Transformaciones'!I71</x:f>
        <x:v>-0.0025763010566445354</x:v>
      </x:c>
      <x:c r="I79" s="90" t="n">
        <x:f>$B$10*'Transformaciones'!K71</x:f>
        <x:v>-0.0013244946274275178</x:v>
      </x:c>
      <x:c r="J79" s="90" t="n">
        <x:f>$B$13*'Transformaciones'!P72</x:f>
        <x:v>0</x:v>
      </x:c>
      <x:c r="K79" s="101" t="n">
        <x:f>SUM(C79:J79)</x:f>
        <x:v>0.0021841794353432554</x:v>
      </x:c>
      <x:c r="L79" s="101" t="n">
        <x:f>B79-K79</x:f>
        <x:v>-0.011866723876419225</x:v>
      </x:c>
      <x:c r="M79" s="86" t="n">
        <x:f>'Datos_fuente'!B72</x:f>
        <x:v>1783.159333</x:v>
      </x:c>
      <x:c r="N79" s="86" t="n">
        <x:f>EXP('Transformaciones'!B71+K79)</x:f>
        <x:v>1804.4456420153726</x:v>
      </x:c>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t="str">
        <x:f>'Transformaciones'!A73</x:f>
        <x:v>2011-07</x:v>
      </x:c>
      <x:c r="B80" s="90" t="n">
        <x:f>'Transformaciones'!C73</x:f>
        <x:v>-0.012167689442350138</x:v>
      </x:c>
      <x:c r="C80" s="90" t="n">
        <x:f>$B$6</x:f>
        <x:v>-0.00045209606279242174</x:v>
      </x:c>
      <x:c r="D80" s="90" t="n">
        <x:f>$B$7*'Transformaciones'!E73</x:f>
        <x:v>-0.0014067201866993328</x:v>
      </x:c>
      <x:c r="E80" s="90" t="n">
        <x:f>$B$11*'Transformaciones'!M73</x:f>
        <x:v>-0.008744214113512686</x:v>
      </x:c>
      <x:c r="F80" s="90" t="n">
        <x:f>$B$12*'Transformaciones'!O73</x:f>
        <x:v>0.000149554367202322</x:v>
      </x:c>
      <x:c r="G80" s="90" t="n">
        <x:f>$B$8*'Transformaciones'!G72</x:f>
        <x:v>0.0004869770540754518</x:v>
      </x:c>
      <x:c r="H80" s="90" t="n">
        <x:f>$B$9*'Transformaciones'!I72</x:f>
        <x:v>-0.0033855238277396777</x:v>
      </x:c>
      <x:c r="I80" s="90" t="n">
        <x:f>$B$10*'Transformaciones'!K72</x:f>
        <x:v>-0.0026546992841972846</x:v>
      </x:c>
      <x:c r="J80" s="90" t="n">
        <x:f>$B$13*'Transformaciones'!P73</x:f>
        <x:v>0</x:v>
      </x:c>
      <x:c r="K80" s="101" t="n">
        <x:f>SUM(C80:J80)</x:f>
        <x:v>-0.016006722053663627</x:v>
      </x:c>
      <x:c r="L80" s="101" t="n">
        <x:f>B80-K80</x:f>
        <x:v>0.0038390326113134886</x:v>
      </x:c>
      <x:c r="M80" s="86" t="n">
        <x:f>'Datos_fuente'!B73</x:f>
        <x:v>1761.593871</x:v>
      </x:c>
      <x:c r="N80" s="86" t="n">
        <x:f>EXP('Transformaciones'!B72+K80)</x:f>
        <x:v>1754.844019421543</x:v>
      </x:c>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t="str">
        <x:f>'Transformaciones'!A74</x:f>
        <x:v>2011-08</x:v>
      </x:c>
      <x:c r="B81" s="90" t="n">
        <x:f>'Transformaciones'!C74</x:f>
        <x:v>0.013513083763454503</x:v>
      </x:c>
      <x:c r="C81" s="90" t="n">
        <x:f>$B$6</x:f>
        <x:v>-0.00045209606279242174</x:v>
      </x:c>
      <x:c r="D81" s="90" t="n">
        <x:f>$B$7*'Transformaciones'!E74</x:f>
        <x:v>0.0030743033714684086</x:v>
      </x:c>
      <x:c r="E81" s="90" t="n">
        <x:f>$B$11*'Transformaciones'!M74</x:f>
        <x:v>0.008142977607703055</x:v>
      </x:c>
      <x:c r="F81" s="90" t="n">
        <x:f>$B$12*'Transformaciones'!O74</x:f>
        <x:v>0.023164370071978083</x:v>
      </x:c>
      <x:c r="G81" s="90" t="n">
        <x:f>$B$8*'Transformaciones'!G73</x:f>
        <x:v>-0.0014306433056543975</x:v>
      </x:c>
      <x:c r="H81" s="90" t="n">
        <x:f>$B$9*'Transformaciones'!I73</x:f>
        <x:v>-0.0017670782855493843</x:v>
      </x:c>
      <x:c r="I81" s="90" t="n">
        <x:f>$B$10*'Transformaciones'!K73</x:f>
        <x:v>-0.0014135198853102205</x:v>
      </x:c>
      <x:c r="J81" s="90" t="n">
        <x:f>$B$13*'Transformaciones'!P74</x:f>
        <x:v>0</x:v>
      </x:c>
      <x:c r="K81" s="101" t="n">
        <x:f>SUM(C81:J81)</x:f>
        <x:v>0.029318313511843122</x:v>
      </x:c>
      <x:c r="L81" s="101" t="n">
        <x:f>B81-K81</x:f>
        <x:v>-0.01580522974838862</x:v>
      </x:c>
      <x:c r="M81" s="86" t="n">
        <x:f>'Datos_fuente'!B74</x:f>
        <x:v>1785.56</x:v>
      </x:c>
      <x:c r="N81" s="86" t="n">
        <x:f>EXP('Transformaciones'!B73+K81)</x:f>
        <x:v>1814.0053868183013</x:v>
      </x:c>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t="str">
        <x:f>'Transformaciones'!A75</x:f>
        <x:v>2011-09</x:v>
      </x:c>
      <x:c r="B82" s="90" t="n">
        <x:f>'Transformaciones'!C75</x:f>
        <x:v>0.02639625765864828</x:v>
      </x:c>
      <x:c r="C82" s="90" t="n">
        <x:f>$B$6</x:f>
        <x:v>-0.00045209606279242174</x:v>
      </x:c>
      <x:c r="D82" s="90" t="n">
        <x:f>$B$7*'Transformaciones'!E75</x:f>
        <x:v>-0.0012117588760938143</x:v>
      </x:c>
      <x:c r="E82" s="90" t="n">
        <x:f>$B$11*'Transformaciones'!M75</x:f>
        <x:v>0.03889837838898958</x:v>
      </x:c>
      <x:c r="F82" s="90" t="n">
        <x:f>$B$12*'Transformaciones'!O75</x:f>
        <x:v>0.001620159490723636</x:v>
      </x:c>
      <x:c r="G82" s="90" t="n">
        <x:f>$B$8*'Transformaciones'!G74</x:f>
        <x:v>0.002104223543389743</x:v>
      </x:c>
      <x:c r="H82" s="90" t="n">
        <x:f>$B$9*'Transformaciones'!I74</x:f>
        <x:v>-0.0021799470479299957</x:v>
      </x:c>
      <x:c r="I82" s="90" t="n">
        <x:f>$B$10*'Transformaciones'!K74</x:f>
        <x:v>0.002392154656831075</x:v>
      </x:c>
      <x:c r="J82" s="90" t="n">
        <x:f>$B$13*'Transformaciones'!P75</x:f>
        <x:v>0</x:v>
      </x:c>
      <x:c r="K82" s="101" t="n">
        <x:f>SUM(C82:J82)</x:f>
        <x:v>0.04117111409311781</x:v>
      </x:c>
      <x:c r="L82" s="101" t="n">
        <x:f>B82-K82</x:f>
        <x:v>-0.014774856434469526</x:v>
      </x:c>
      <x:c r="M82" s="86" t="n">
        <x:f>'Datos_fuente'!B75</x:f>
        <x:v>1833.319667</x:v>
      </x:c>
      <x:c r="N82" s="86" t="n">
        <x:f>EXP('Transformaciones'!B74+K82)</x:f>
        <x:v>1860.6077945554239</x:v>
      </x:c>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t="str">
        <x:f>'Transformaciones'!A76</x:f>
        <x:v>2011-10</x:v>
      </x:c>
      <x:c r="B83" s="90" t="n">
        <x:f>'Transformaciones'!C76</x:f>
        <x:v>0.039722292997057984</x:v>
      </x:c>
      <x:c r="C83" s="90" t="n">
        <x:f>$B$6</x:f>
        <x:v>-0.00045209606279242174</x:v>
      </x:c>
      <x:c r="D83" s="90" t="n">
        <x:f>$B$7*'Transformaciones'!E76</x:f>
        <x:v>0.0015267291507887206</x:v>
      </x:c>
      <x:c r="E83" s="90" t="n">
        <x:f>$B$11*'Transformaciones'!M76</x:f>
        <x:v>0.011919911525580765</x:v>
      </x:c>
      <x:c r="F83" s="90" t="n">
        <x:f>$B$12*'Transformaciones'!O76</x:f>
        <x:v>-0.0041251451947154245</x:v>
      </x:c>
      <x:c r="G83" s="90" t="n">
        <x:f>$B$8*'Transformaciones'!G75</x:f>
        <x:v>0.0005783630624282927</x:v>
      </x:c>
      <x:c r="H83" s="90" t="n">
        <x:f>$B$9*'Transformaciones'!I75</x:f>
        <x:v>-0.00019817700435726754</x:v>
      </x:c>
      <x:c r="I83" s="90" t="n">
        <x:f>$B$10*'Transformaciones'!K75</x:f>
        <x:v>-0.0005920505602049927</x:v>
      </x:c>
      <x:c r="J83" s="90" t="n">
        <x:f>$B$13*'Transformaciones'!P76</x:f>
        <x:v>0</x:v>
      </x:c>
      <x:c r="K83" s="101" t="n">
        <x:f>SUM(C83:J83)</x:f>
        <x:v>0.008657534916727674</x:v>
      </x:c>
      <x:c r="L83" s="101" t="n">
        <x:f>B83-K83</x:f>
        <x:v>0.03106475808033031</x:v>
      </x:c>
      <x:c r="M83" s="86" t="n">
        <x:f>'Datos_fuente'!B76</x:f>
        <x:v>1907.609032</x:v>
      </x:c>
      <x:c r="N83" s="86" t="n">
        <x:f>EXP('Transformaciones'!B75+K83)</x:f>
        <x:v>1849.2606010590264</x:v>
      </x:c>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t="str">
        <x:f>'Transformaciones'!A77</x:f>
        <x:v>2011-11</x:v>
      </x:c>
      <x:c r="B84" s="90" t="n">
        <x:f>'Transformaciones'!C77</x:f>
        <x:v>0.006201068972887747</x:v>
      </x:c>
      <x:c r="C84" s="90" t="n">
        <x:f>$B$6</x:f>
        <x:v>-0.00045209606279242174</x:v>
      </x:c>
      <x:c r="D84" s="90" t="n">
        <x:f>$B$7*'Transformaciones'!E77</x:f>
        <x:v>-0.0005715985638014381</x:v>
      </x:c>
      <x:c r="E84" s="90" t="n">
        <x:f>$B$11*'Transformaciones'!M77</x:f>
        <x:v>0.008752005459034823</x:v>
      </x:c>
      <x:c r="F84" s="90" t="n">
        <x:f>$B$12*'Transformaciones'!O77</x:f>
        <x:v>-0.0010579292264998104</x:v>
      </x:c>
      <x:c r="G84" s="90" t="n">
        <x:f>$B$8*'Transformaciones'!G76</x:f>
        <x:v>0.00047481894917543357</x:v>
      </x:c>
      <x:c r="H84" s="90" t="n">
        <x:f>$B$9*'Transformaciones'!I76</x:f>
        <x:v>-0.00009908850217863377</x:v>
      </x:c>
      <x:c r="I84" s="90" t="n">
        <x:f>$B$10*'Transformaciones'!K76</x:f>
        <x:v>0.000491920760972147</x:v>
      </x:c>
      <x:c r="J84" s="90" t="n">
        <x:f>$B$13*'Transformaciones'!P77</x:f>
        <x:v>0</x:v>
      </x:c>
      <x:c r="K84" s="101" t="n">
        <x:f>SUM(C84:J84)</x:f>
        <x:v>0.0075380328139101</x:v>
      </x:c>
      <x:c r="L84" s="101" t="n">
        <x:f>B84-K84</x:f>
        <x:v>-0.0013369638410223534</x:v>
      </x:c>
      <x:c r="M84" s="86" t="n">
        <x:f>'Datos_fuente'!B77</x:f>
        <x:v>1919.475</x:v>
      </x:c>
      <x:c r="N84" s="86" t="n">
        <x:f>EXP('Transformaciones'!B76+K84)</x:f>
        <x:v>1922.042984937733</x:v>
      </x:c>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t="str">
        <x:f>'Transformaciones'!A78</x:f>
        <x:v>2011-12</x:v>
      </x:c>
      <x:c r="B85" s="90" t="n">
        <x:f>'Transformaciones'!C78</x:f>
        <x:v>0.007203205623325104</x:v>
      </x:c>
      <x:c r="C85" s="90" t="n">
        <x:f>$B$6</x:f>
        <x:v>-0.00045209606279242174</x:v>
      </x:c>
      <x:c r="D85" s="90" t="n">
        <x:f>$B$7*'Transformaciones'!E78</x:f>
        <x:v>0.0013702252102634296</x:v>
      </x:c>
      <x:c r="E85" s="90" t="n">
        <x:f>$B$11*'Transformaciones'!M78</x:f>
        <x:v>0.012459687767283175</x:v>
      </x:c>
      <x:c r="F85" s="90" t="n">
        <x:f>$B$12*'Transformaciones'!O78</x:f>
        <x:v>-0.00938950280720274</x:v>
      </x:c>
      <x:c r="G85" s="90" t="n">
        <x:f>$B$8*'Transformaciones'!G77</x:f>
        <x:v>-0.000440234443020949</x:v>
      </x:c>
      <x:c r="H85" s="90" t="n">
        <x:f>$B$9*'Transformaciones'!I77</x:f>
        <x:v>-0.00014863275326795945</x:v>
      </x:c>
      <x:c r="I85" s="90" t="n">
        <x:f>$B$10*'Transformaciones'!K77</x:f>
        <x:v>0.004525773910021926</x:v>
      </x:c>
      <x:c r="J85" s="90" t="n">
        <x:f>$B$13*'Transformaciones'!P78</x:f>
        <x:v>0</x:v>
      </x:c>
      <x:c r="K85" s="101" t="n">
        <x:f>SUM(C85:J85)</x:f>
        <x:v>0.00792522082128446</x:v>
      </x:c>
      <x:c r="L85" s="101" t="n">
        <x:f>B85-K85</x:f>
        <x:v>-0.0007220151979593567</x:v>
      </x:c>
      <x:c r="M85" s="86" t="n">
        <x:f>'Datos_fuente'!B78</x:f>
        <x:v>1933.35129</x:v>
      </x:c>
      <x:c r="N85" s="86" t="n">
        <x:f>EXP('Transformaciones'!B77+K85)</x:f>
        <x:v>1934.7477030694404</x:v>
      </x:c>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t="str">
        <x:f>'Transformaciones'!A79</x:f>
        <x:v>2012-01</x:v>
      </x:c>
      <x:c r="B86" s="90" t="n">
        <x:f>'Transformaciones'!C79</x:f>
        <x:v>-0.04229665619062484</x:v>
      </x:c>
      <x:c r="C86" s="90" t="n">
        <x:f>$B$6</x:f>
        <x:v>-0.00045209606279242174</x:v>
      </x:c>
      <x:c r="D86" s="90" t="n">
        <x:f>$B$7*'Transformaciones'!E79</x:f>
        <x:v>-0.0013318995443622789</x:v>
      </x:c>
      <x:c r="E86" s="90" t="n">
        <x:f>$B$11*'Transformaciones'!M79</x:f>
        <x:v>-0.007392842814963322</x:v>
      </x:c>
      <x:c r="F86" s="90" t="n">
        <x:f>$B$12*'Transformaciones'!O79</x:f>
        <x:v>-0.008253022728455775</x:v>
      </x:c>
      <x:c r="G86" s="90" t="n">
        <x:f>$B$8*'Transformaciones'!G78</x:f>
        <x:v>-0.002641475409556105</x:v>
      </x:c>
      <x:c r="H86" s="90" t="n">
        <x:f>$B$9*'Transformaciones'!I78</x:f>
        <x:v>-0.0023285798011979377</x:v>
      </x:c>
      <x:c r="I86" s="90" t="n">
        <x:f>$B$10*'Transformaciones'!K78</x:f>
        <x:v>0.00075652600449582</x:v>
      </x:c>
      <x:c r="J86" s="90" t="n">
        <x:f>$B$13*'Transformaciones'!P79</x:f>
        <x:v>0</x:v>
      </x:c>
      <x:c r="K86" s="101" t="n">
        <x:f>SUM(C86:J86)</x:f>
        <x:v>-0.02164339035683202</x:v>
      </x:c>
      <x:c r="L86" s="101" t="n">
        <x:f>B86-K86</x:f>
        <x:v>-0.020653265833792817</x:v>
      </x:c>
      <x:c r="M86" s="86" t="n">
        <x:f>'Datos_fuente'!B79</x:f>
        <x:v>1853.282258</x:v>
      </x:c>
      <x:c r="N86" s="86" t="n">
        <x:f>EXP('Transformaciones'!B78+K86)</x:f>
        <x:v>1891.9565900444504</x:v>
      </x:c>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t="str">
        <x:f>'Transformaciones'!A80</x:f>
        <x:v>2012-02</x:v>
      </x:c>
      <x:c r="B87" s="90" t="n">
        <x:f>'Transformaciones'!C80</x:f>
        <x:v>-0.03879843648336134</x:v>
      </x:c>
      <x:c r="C87" s="90" t="n">
        <x:f>$B$6</x:f>
        <x:v>-0.00045209606279242174</x:v>
      </x:c>
      <x:c r="D87" s="90" t="n">
        <x:f>$B$7*'Transformaciones'!E80</x:f>
        <x:v>-0.0038857217321907503</x:v>
      </x:c>
      <x:c r="E87" s="90" t="n">
        <x:f>$B$11*'Transformaciones'!M80</x:f>
        <x:v>-0.02255750333880729</x:v>
      </x:c>
      <x:c r="F87" s="90" t="n">
        <x:f>$B$12*'Transformaciones'!O80</x:f>
        <x:v>-0.003614754207756576</x:v>
      </x:c>
      <x:c r="G87" s="90" t="n">
        <x:f>$B$8*'Transformaciones'!G79</x:f>
        <x:v>0.00020498061066156315</x:v>
      </x:c>
      <x:c r="H87" s="90" t="n">
        <x:f>$B$9*'Transformaciones'!I79</x:f>
        <x:v>0.000019178421055068065</x:v>
      </x:c>
      <x:c r="I87" s="90" t="n">
        <x:f>$B$10*'Transformaciones'!K79</x:f>
        <x:v>-0.0008075866918932347</x:v>
      </x:c>
      <x:c r="J87" s="90" t="n">
        <x:f>$B$13*'Transformaciones'!P80</x:f>
        <x:v>0</x:v>
      </x:c>
      <x:c r="K87" s="101" t="n">
        <x:f>SUM(C87:J87)</x:f>
        <x:v>-0.031093503001723647</x:v>
      </x:c>
      <x:c r="L87" s="101" t="n">
        <x:f>B87-K87</x:f>
        <x:v>-0.007704933481637696</x:v>
      </x:c>
      <x:c r="M87" s="86" t="n">
        <x:f>'Datos_fuente'!B80</x:f>
        <x:v>1782.754828</x:v>
      </x:c>
      <x:c r="N87" s="86" t="n">
        <x:f>EXP('Transformaciones'!B79+K87)</x:f>
        <x:v>1796.543889046159</x:v>
      </x:c>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t="str">
        <x:f>'Transformaciones'!A81</x:f>
        <x:v>2012-03</x:v>
      </x:c>
      <x:c r="B88" s="90" t="n">
        <x:f>'Transformaciones'!C81</x:f>
        <x:v>-0.00925496321348973</x:v>
      </x:c>
      <x:c r="C88" s="90" t="n">
        <x:f>$B$6</x:f>
        <x:v>-0.00045209606279242174</x:v>
      </x:c>
      <x:c r="D88" s="90" t="n">
        <x:f>$B$7*'Transformaciones'!E81</x:f>
        <x:v>-0.0025847902638489353</x:v>
      </x:c>
      <x:c r="E88" s="90" t="n">
        <x:f>$B$11*'Transformaciones'!M81</x:f>
        <x:v>0.007415348814535835</x:v>
      </x:c>
      <x:c r="F88" s="90" t="n">
        <x:f>$B$12*'Transformaciones'!O81</x:f>
        <x:v>-0.005038648684786222</x:v>
      </x:c>
      <x:c r="G88" s="90" t="n">
        <x:f>$B$8*'Transformaciones'!G80</x:f>
        <x:v>-0.001138140087941206</x:v>
      </x:c>
      <x:c r="H88" s="90" t="n">
        <x:f>$B$9*'Transformaciones'!I80</x:f>
        <x:v>-0.0024553888370301125</x:v>
      </x:c>
      <x:c r="I88" s="90" t="n">
        <x:f>$B$10*'Transformaciones'!K80</x:f>
        <x:v>-0.0002693669424005979</x:v>
      </x:c>
      <x:c r="J88" s="90" t="n">
        <x:f>$B$13*'Transformaciones'!P81</x:f>
        <x:v>0</x:v>
      </x:c>
      <x:c r="K88" s="101" t="n">
        <x:f>SUM(C88:J88)</x:f>
        <x:v>-0.004523082064263661</x:v>
      </x:c>
      <x:c r="L88" s="101" t="n">
        <x:f>B88-K88</x:f>
        <x:v>-0.00473188114922607</x:v>
      </x:c>
      <x:c r="M88" s="86" t="n">
        <x:f>'Datos_fuente'!B81</x:f>
        <x:v>1766.331613</x:v>
      </x:c>
      <x:c r="N88" s="86" t="n">
        <x:f>EXP('Transformaciones'!B80+K88)</x:f>
        <x:v>1774.7094901902046</x:v>
      </x:c>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t="str">
        <x:f>'Transformaciones'!A82</x:f>
        <x:v>2012-04</x:v>
      </x:c>
      <x:c r="B89" s="90" t="n">
        <x:f>'Transformaciones'!C82</x:f>
        <x:v>0.004472373919675476</x:v>
      </x:c>
      <x:c r="C89" s="90" t="n">
        <x:f>$B$6</x:f>
        <x:v>-0.00045209606279242174</x:v>
      </x:c>
      <x:c r="D89" s="90" t="n">
        <x:f>$B$7*'Transformaciones'!E82</x:f>
        <x:v>0.0025437970520762066</x:v>
      </x:c>
      <x:c r="E89" s="90" t="n">
        <x:f>$B$11*'Transformaciones'!M82</x:f>
        <x:v>0.004079347204774338</x:v>
      </x:c>
      <x:c r="F89" s="90" t="n">
        <x:f>$B$12*'Transformaciones'!O82</x:f>
        <x:v>0.0037652532028412964</x:v>
      </x:c>
      <x:c r="G89" s="90" t="n">
        <x:f>$B$8*'Transformaciones'!G81</x:f>
        <x:v>-0.00133876386663614</x:v>
      </x:c>
      <x:c r="H89" s="90" t="n">
        <x:f>$B$9*'Transformaciones'!I81</x:f>
        <x:v>-0.0019236836798849383</x:v>
      </x:c>
      <x:c r="I89" s="90" t="n">
        <x:f>$B$10*'Transformaciones'!K81</x:f>
        <x:v>0.0006913019717490934</x:v>
      </x:c>
      <x:c r="J89" s="90" t="n">
        <x:f>$B$13*'Transformaciones'!P82</x:f>
        <x:v>0</x:v>
      </x:c>
      <x:c r="K89" s="101" t="n">
        <x:f>SUM(C89:J89)</x:f>
        <x:v>0.007365155822127434</x:v>
      </x:c>
      <x:c r="L89" s="101" t="n">
        <x:f>B89-K89</x:f>
        <x:v>-0.0028927819024519574</x:v>
      </x:c>
      <x:c r="M89" s="86" t="n">
        <x:f>'Datos_fuente'!B82</x:f>
        <x:v>1774.249</x:v>
      </x:c>
      <x:c r="N89" s="86" t="n">
        <x:f>EXP('Transformaciones'!B81+K89)</x:f>
        <x:v>1779.3889461849597</x:v>
      </x:c>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t="str">
        <x:f>'Transformaciones'!A83</x:f>
        <x:v>2012-05</x:v>
      </x:c>
      <x:c r="B90" s="90" t="n">
        <x:f>'Transformaciones'!C83</x:f>
        <x:v>0.010667311542153612</x:v>
      </x:c>
      <x:c r="C90" s="90" t="n">
        <x:f>$B$6</x:f>
        <x:v>-0.00045209606279242174</x:v>
      </x:c>
      <x:c r="D90" s="90" t="n">
        <x:f>$B$7*'Transformaciones'!E83</x:f>
        <x:v>0.004088779101119652</x:v>
      </x:c>
      <x:c r="E90" s="90" t="n">
        <x:f>$B$11*'Transformaciones'!M83</x:f>
        <x:v>0.022234233622344765</x:v>
      </x:c>
      <x:c r="F90" s="90" t="n">
        <x:f>$B$12*'Transformaciones'!O83</x:f>
        <x:v>0.006337904931378169</x:v>
      </x:c>
      <x:c r="G90" s="90" t="n">
        <x:f>$B$8*'Transformaciones'!G82</x:f>
        <x:v>0.001469865303688238</x:v>
      </x:c>
      <x:c r="H90" s="90" t="n">
        <x:f>$B$9*'Transformaciones'!I82</x:f>
        <x:v>0.00009908850217863377</x:v>
      </x:c>
      <x:c r="I90" s="90" t="n">
        <x:f>$B$10*'Transformaciones'!K82</x:f>
        <x:v>-0.003757034259859268</x:v>
      </x:c>
      <x:c r="J90" s="90" t="n">
        <x:f>$B$13*'Transformaciones'!P83</x:f>
        <x:v>0</x:v>
      </x:c>
      <x:c r="K90" s="101" t="n">
        <x:f>SUM(C90:J90)</x:f>
        <x:v>0.030020741138057767</x:v>
      </x:c>
      <x:c r="L90" s="101" t="n">
        <x:f>B90-K90</x:f>
        <x:v>-0.019353429595904154</x:v>
      </x:c>
      <x:c r="M90" s="86" t="n">
        <x:f>'Datos_fuente'!B83</x:f>
        <x:v>1793.276774</x:v>
      </x:c>
      <x:c r="N90" s="86" t="n">
        <x:f>EXP('Transformaciones'!B82+K90)</x:f>
        <x:v>1828.32084747434</x:v>
      </x:c>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t="str">
        <x:f>'Transformaciones'!A84</x:f>
        <x:v>2012-06</x:v>
      </x:c>
      <x:c r="B91" s="90" t="n">
        <x:f>'Transformaciones'!C84</x:f>
        <x:v>-0.0004072186052113125</x:v>
      </x:c>
      <x:c r="C91" s="90" t="n">
        <x:f>$B$6</x:f>
        <x:v>-0.00045209606279242174</x:v>
      </x:c>
      <x:c r="D91" s="90" t="n">
        <x:f>$B$7*'Transformaciones'!E84</x:f>
        <x:v>0.007652914356220762</x:v>
      </x:c>
      <x:c r="E91" s="90" t="n">
        <x:f>$B$11*'Transformaciones'!M84</x:f>
        <x:v>0.018098877983698927</x:v>
      </x:c>
      <x:c r="F91" s="90" t="n">
        <x:f>$B$12*'Transformaciones'!O84</x:f>
        <x:v>0.00023672209448833206</x:v>
      </x:c>
      <x:c r="G91" s="90" t="n">
        <x:f>$B$8*'Transformaciones'!G83</x:f>
        <x:v>0.0003021927839788167</x:v>
      </x:c>
      <x:c r="H91" s="90" t="n">
        <x:f>$B$9*'Transformaciones'!I83</x:f>
        <x:v>0.00019817700435727635</x:v>
      </x:c>
      <x:c r="I91" s="90" t="n">
        <x:f>$B$10*'Transformaciones'!K83</x:f>
        <x:v>-0.00043451319502818786</x:v>
      </x:c>
      <x:c r="J91" s="90" t="n">
        <x:f>$B$13*'Transformaciones'!P84</x:f>
        <x:v>0</x:v>
      </x:c>
      <x:c r="K91" s="101" t="n">
        <x:f>SUM(C91:J91)</x:f>
        <x:v>0.025602274964923503</x:v>
      </x:c>
      <x:c r="L91" s="101" t="n">
        <x:f>B91-K91</x:f>
        <x:v>-0.026009493570134816</x:v>
      </x:c>
      <x:c r="M91" s="86" t="n">
        <x:f>'Datos_fuente'!B84</x:f>
        <x:v>1792.546667</x:v>
      </x:c>
      <x:c r="N91" s="86" t="n">
        <x:f>EXP('Transformaciones'!B83+K91)</x:f>
        <x:v>1839.7815124036017</x:v>
      </x:c>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t="str">
        <x:f>'Transformaciones'!A85</x:f>
        <x:v>2012-07</x:v>
      </x:c>
      <x:c r="B92" s="90" t="n">
        <x:f>'Transformaciones'!C85</x:f>
        <x:v>-0.004880014462842475</x:v>
      </x:c>
      <x:c r="C92" s="90" t="n">
        <x:f>$B$6</x:f>
        <x:v>-0.00045209606279242174</x:v>
      </x:c>
      <x:c r="D92" s="90" t="n">
        <x:f>$B$7*'Transformaciones'!E85</x:f>
        <x:v>-0.0039029878155293404</x:v>
      </x:c>
      <x:c r="E92" s="90" t="n">
        <x:f>$B$11*'Transformaciones'!M85</x:f>
        <x:v>-0.0061592239748237574</x:v>
      </x:c>
      <x:c r="F92" s="90" t="n">
        <x:f>$B$12*'Transformaciones'!O85</x:f>
        <x:v>-0.007137206186890626</x:v>
      </x:c>
      <x:c r="G92" s="90" t="n">
        <x:f>$B$8*'Transformaciones'!G84</x:f>
        <x:v>-0.00045147185773108554</x:v>
      </x:c>
      <x:c r="H92" s="90" t="n">
        <x:f>$B$9*'Transformaciones'!I84</x:f>
        <x:v>0</x:v>
      </x:c>
      <x:c r="I92" s="90" t="n">
        <x:f>$B$10*'Transformaciones'!K84</x:f>
        <x:v>-0.0015527691158982659</x:v>
      </x:c>
      <x:c r="J92" s="90" t="n">
        <x:f>$B$13*'Transformaciones'!P85</x:f>
        <x:v>0</x:v>
      </x:c>
      <x:c r="K92" s="101" t="n">
        <x:f>SUM(C92:J92)</x:f>
        <x:v>-0.0196557550136655</x:v>
      </x:c>
      <x:c r="L92" s="101" t="n">
        <x:f>B92-K92</x:f>
        <x:v>0.014775740550823025</x:v>
      </x:c>
      <x:c r="M92" s="86" t="n">
        <x:f>'Datos_fuente'!B85</x:f>
        <x:v>1783.820323</x:v>
      </x:c>
      <x:c r="N92" s="86" t="n">
        <x:f>EXP('Transformaciones'!B84+K92)</x:f>
        <x:v>1757.6568252503669</x:v>
      </x:c>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t="str">
        <x:f>'Transformaciones'!A86</x:f>
        <x:v>2012-08</x:v>
      </x:c>
      <x:c r="B93" s="90" t="n">
        <x:f>'Transformaciones'!C86</x:f>
        <x:v>0.012093112400754613</x:v>
      </x:c>
      <x:c r="C93" s="90" t="n">
        <x:f>$B$6</x:f>
        <x:v>-0.00045209606279242174</x:v>
      </x:c>
      <x:c r="D93" s="90" t="n">
        <x:f>$B$7*'Transformaciones'!E86</x:f>
        <x:v>-0.005144164598604702</x:v>
      </x:c>
      <x:c r="E93" s="90" t="n">
        <x:f>$B$11*'Transformaciones'!M86</x:f>
        <x:v>-0.011473679603439525</x:v>
      </x:c>
      <x:c r="F93" s="90" t="n">
        <x:f>$B$12*'Transformaciones'!O86</x:f>
        <x:v>-0.004360939579447655</x:v>
      </x:c>
      <x:c r="G93" s="90" t="n">
        <x:f>$B$8*'Transformaciones'!G85</x:f>
        <x:v>0.0007112355146895562</x:v>
      </x:c>
      <x:c r="H93" s="90" t="n">
        <x:f>$B$9*'Transformaciones'!I85</x:f>
        <x:v>0.00015982016224713142</x:v>
      </x:c>
      <x:c r="I93" s="90" t="n">
        <x:f>$B$10*'Transformaciones'!K85</x:f>
        <x:v>0.0003993484896174305</x:v>
      </x:c>
      <x:c r="J93" s="90" t="n">
        <x:f>$B$13*'Transformaciones'!P86</x:f>
        <x:v>0</x:v>
      </x:c>
      <x:c r="K93" s="101" t="n">
        <x:f>SUM(C93:J93)</x:f>
        <x:v>-0.020160475677730185</x:v>
      </x:c>
      <x:c r="L93" s="101" t="n">
        <x:f>B93-K93</x:f>
        <x:v>0.0322535880784848</x:v>
      </x:c>
      <x:c r="M93" s="86" t="n">
        <x:f>'Datos_fuente'!B86</x:f>
        <x:v>1805.523226</x:v>
      </x:c>
      <x:c r="N93" s="86" t="n">
        <x:f>EXP('Transformaciones'!B85+K93)</x:f>
        <x:v>1748.2177450831234</x:v>
      </x:c>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t="str">
        <x:f>'Transformaciones'!A87</x:f>
        <x:v>2012-09</x:v>
      </x:c>
      <x:c r="B94" s="90" t="n">
        <x:f>'Transformaciones'!C87</x:f>
        <x:v>-0.0015391829811042257</x:v>
      </x:c>
      <x:c r="C94" s="90" t="n">
        <x:f>$B$6</x:f>
        <x:v>-0.00045209606279242174</x:v>
      </x:c>
      <x:c r="D94" s="90" t="n">
        <x:f>$B$7*'Transformaciones'!E87</x:f>
        <x:v>0.00022503303679336832</x:v>
      </x:c>
      <x:c r="E94" s="90" t="n">
        <x:f>$B$11*'Transformaciones'!M87</x:f>
        <x:v>-0.020500148114541268</x:v>
      </x:c>
      <x:c r="F94" s="90" t="n">
        <x:f>$B$12*'Transformaciones'!O87</x:f>
        <x:v>-0.0010095093104766101</x:v>
      </x:c>
      <x:c r="G94" s="90" t="n">
        <x:f>$B$8*'Transformaciones'!G86</x:f>
        <x:v>-0.0014849491942874485</x:v>
      </x:c>
      <x:c r="H94" s="90" t="n">
        <x:f>$B$9*'Transformaciones'!I86</x:f>
        <x:v>0.0024196773012095264</x:v>
      </x:c>
      <x:c r="I94" s="90" t="n">
        <x:f>$B$10*'Transformaciones'!K86</x:f>
        <x:v>0.00006469408984403</x:v>
      </x:c>
      <x:c r="J94" s="90" t="n">
        <x:f>$B$13*'Transformaciones'!P87</x:f>
        <x:v>0</x:v>
      </x:c>
      <x:c r="K94" s="101" t="n">
        <x:f>SUM(C94:J94)</x:f>
        <x:v>-0.020737298254250826</x:v>
      </x:c>
      <x:c r="L94" s="101" t="n">
        <x:f>B94-K94</x:f>
        <x:v>0.0191981152731466</x:v>
      </x:c>
      <x:c r="M94" s="86" t="n">
        <x:f>'Datos_fuente'!B87</x:f>
        <x:v>1802.746333</x:v>
      </x:c>
      <x:c r="N94" s="86" t="n">
        <x:f>EXP('Transformaciones'!B86+K94)</x:f>
        <x:v>1768.4671022473249</x:v>
      </x:c>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t="str">
        <x:f>'Transformaciones'!A88</x:f>
        <x:v>2012-10</x:v>
      </x:c>
      <x:c r="B95" s="90" t="n">
        <x:f>'Transformaciones'!C88</x:f>
        <x:v>0.0009174203202597653</x:v>
      </x:c>
      <x:c r="C95" s="90" t="n">
        <x:f>$B$6</x:f>
        <x:v>-0.00045209606279242174</x:v>
      </x:c>
      <x:c r="D95" s="90" t="n">
        <x:f>$B$7*'Transformaciones'!E88</x:f>
        <x:v>0.0005307113520211045</x:v>
      </x:c>
      <x:c r="E95" s="90" t="n">
        <x:f>$B$11*'Transformaciones'!M88</x:f>
        <x:v>-0.0029894021547376935</x:v>
      </x:c>
      <x:c r="F95" s="90" t="n">
        <x:f>$B$12*'Transformaciones'!O88</x:f>
        <x:v>0.0024270669345499343</x:v>
      </x:c>
      <x:c r="G95" s="90" t="n">
        <x:f>$B$8*'Transformaciones'!G87</x:f>
        <x:v>-0.0017148157852707165</x:v>
      </x:c>
      <x:c r="H95" s="90" t="n">
        <x:f>$B$9*'Transformaciones'!I87</x:f>
        <x:v>0.00217675064111786</x:v>
      </x:c>
      <x:c r="I95" s="90" t="n">
        <x:f>$B$10*'Transformaciones'!K87</x:f>
        <x:v>0.00044224028978588446</x:v>
      </x:c>
      <x:c r="J95" s="90" t="n">
        <x:f>$B$13*'Transformaciones'!P88</x:f>
        <x:v>0</x:v>
      </x:c>
      <x:c r="K95" s="101" t="n">
        <x:f>SUM(C95:J95)</x:f>
        <x:v>0.00042045521467395144</x:v>
      </x:c>
      <x:c r="L95" s="101" t="n">
        <x:f>B95-K95</x:f>
        <x:v>0.0004969651055858138</x:v>
      </x:c>
      <x:c r="M95" s="86" t="n">
        <x:f>'Datos_fuente'!B88</x:f>
        <x:v>1804.400968</x:v>
      </x:c>
      <x:c r="N95" s="86" t="n">
        <x:f>EXP('Transformaciones'!B87+K95)</x:f>
        <x:v>1803.5044664658603</x:v>
      </x:c>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t="str">
        <x:f>'Transformaciones'!A89</x:f>
        <x:v>2012-11</x:v>
      </x:c>
      <x:c r="B96" s="90" t="n">
        <x:f>'Transformaciones'!C89</x:f>
        <x:v>0.009164642915845178</x:v>
      </x:c>
      <x:c r="C96" s="90" t="n">
        <x:f>$B$6</x:f>
        <x:v>-0.00045209606279242174</x:v>
      </x:c>
      <x:c r="D96" s="90" t="n">
        <x:f>$B$7*'Transformaciones'!E89</x:f>
        <x:v>0.001242109628498478</x:v>
      </x:c>
      <x:c r="E96" s="90" t="n">
        <x:f>$B$11*'Transformaciones'!M89</x:f>
        <x:v>0.009580504839578705</x:v>
      </x:c>
      <x:c r="F96" s="90" t="n">
        <x:f>$B$12*'Transformaciones'!O89</x:f>
        <x:v>0.0009970867677736946</x:v>
      </x:c>
      <x:c r="G96" s="90" t="n">
        <x:f>$B$8*'Transformaciones'!G88</x:f>
        <x:v>0.00016052357359095862</x:v>
      </x:c>
      <x:c r="H96" s="90" t="n">
        <x:f>$B$9*'Transformaciones'!I88</x:f>
        <x:v>0.00019817700435727635</x:v>
      </x:c>
      <x:c r="I96" s="90" t="n">
        <x:f>$B$10*'Transformaciones'!K88</x:f>
        <x:v>0.0015688861883700724</x:v>
      </x:c>
      <x:c r="J96" s="90" t="n">
        <x:f>$B$13*'Transformaciones'!P89</x:f>
        <x:v>0</x:v>
      </x:c>
      <x:c r="K96" s="101" t="n">
        <x:f>SUM(C96:J96)</x:f>
        <x:v>0.013295191939376762</x:v>
      </x:c>
      <x:c r="L96" s="101" t="n">
        <x:f>B96-K96</x:f>
        <x:v>-0.004130549023531584</x:v>
      </x:c>
      <x:c r="M96" s="86" t="n">
        <x:f>'Datos_fuente'!B89</x:f>
        <x:v>1821.013667</x:v>
      </x:c>
      <x:c r="N96" s="86" t="n">
        <x:f>EXP('Transformaciones'!B88+K96)</x:f>
        <x:v>1828.5510091882861</x:v>
      </x:c>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t="str">
        <x:f>'Transformaciones'!A90</x:f>
        <x:v>2012-12</x:v>
      </x:c>
      <x:c r="B97" s="90" t="n">
        <x:f>'Transformaciones'!C90</x:f>
        <x:v>-0.015784891665695078</x:v>
      </x:c>
      <x:c r="C97" s="90" t="n">
        <x:f>$B$6</x:f>
        <x:v>-0.00045209606279242174</x:v>
      </x:c>
      <x:c r="D97" s="90" t="n">
        <x:f>$B$7*'Transformaciones'!E90</x:f>
        <x:v>-0.00020597629654083008</x:v>
      </x:c>
      <x:c r="E97" s="90" t="n">
        <x:f>$B$11*'Transformaciones'!M90</x:f>
        <x:v>-0.007924774733598521</x:v>
      </x:c>
      <x:c r="F97" s="90" t="n">
        <x:f>$B$12*'Transformaciones'!O90</x:f>
        <x:v>0.001374336564468087</x:v>
      </x:c>
      <x:c r="G97" s="90" t="n">
        <x:f>$B$8*'Transformaciones'!G89</x:f>
        <x:v>-0.001759303860955702</x:v>
      </x:c>
      <x:c r="H97" s="90" t="n">
        <x:f>$B$9*'Transformaciones'!I89</x:f>
        <x:v>0.000412868762380594</x:v>
      </x:c>
      <x:c r="I97" s="90" t="n">
        <x:f>$B$10*'Transformaciones'!K89</x:f>
        <x:v>-0.004073262754652173</x:v>
      </x:c>
      <x:c r="J97" s="90" t="n">
        <x:f>$B$13*'Transformaciones'!P90</x:f>
        <x:v>0</x:v>
      </x:c>
      <x:c r="K97" s="101" t="n">
        <x:f>SUM(C97:J97)</x:f>
        <x:v>-0.012628208381690965</x:v>
      </x:c>
      <x:c r="L97" s="101" t="n">
        <x:f>B97-K97</x:f>
        <x:v>-0.0031566832840041123</x:v>
      </x:c>
      <x:c r="M97" s="86" t="n">
        <x:f>'Datos_fuente'!B90</x:f>
        <x:v>1792.494839</x:v>
      </x:c>
      <x:c r="N97" s="86" t="n">
        <x:f>EXP('Transformaciones'!B89+K97)</x:f>
        <x:v>1798.162117690854</x:v>
      </x:c>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t="str">
        <x:f>'Transformaciones'!A91</x:f>
        <x:v>2013-01</x:v>
      </x:c>
      <x:c r="B98" s="90" t="n">
        <x:f>'Transformaciones'!C91</x:f>
        <x:v>-0.012813867280033975</x:v>
      </x:c>
      <x:c r="C98" s="90" t="n">
        <x:f>$B$6</x:f>
        <x:v>-0.00045209606279242174</x:v>
      </x:c>
      <x:c r="D98" s="90" t="n">
        <x:f>$B$7*'Transformaciones'!E91</x:f>
        <x:v>-0.0016109391120781977</x:v>
      </x:c>
      <x:c r="E98" s="90" t="n">
        <x:f>$B$11*'Transformaciones'!M91</x:f>
        <x:v>-0.0007338793573367583</x:v>
      </x:c>
      <x:c r="F98" s="90" t="n">
        <x:f>$B$12*'Transformaciones'!O91</x:f>
        <x:v>-0.00957847552405022</x:v>
      </x:c>
      <x:c r="G98" s="90" t="n">
        <x:f>$B$8*'Transformaciones'!G90</x:f>
        <x:v>-0.0011419130215462577</x:v>
      </x:c>
      <x:c r="H98" s="90" t="n">
        <x:f>$B$9*'Transformaciones'!I90</x:f>
        <x:v>0.002703624450982671</x:v>
      </x:c>
      <x:c r="I98" s="90" t="n">
        <x:f>$B$10*'Transformaciones'!K90</x:f>
        <x:v>0.005519583967599702</x:v>
      </x:c>
      <x:c r="J98" s="90" t="n">
        <x:f>$B$13*'Transformaciones'!P91</x:f>
        <x:v>0</x:v>
      </x:c>
      <x:c r="K98" s="101" t="n">
        <x:f>SUM(C98:J98)</x:f>
        <x:v>-0.0052940946592214795</x:v>
      </x:c>
      <x:c r="L98" s="101" t="n">
        <x:f>B98-K98</x:f>
        <x:v>-0.007519772620812495</x:v>
      </x:c>
      <x:c r="M98" s="86" t="n">
        <x:f>'Datos_fuente'!B91</x:f>
        <x:v>1769.672581</x:v>
      </x:c>
      <x:c r="N98" s="86" t="n">
        <x:f>EXP('Transformaciones'!B90+K98)</x:f>
        <x:v>1783.0302768956226</x:v>
      </x:c>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t="str">
        <x:f>'Transformaciones'!A92</x:f>
        <x:v>2013-02</x:v>
      </x:c>
      <x:c r="B99" s="90" t="n">
        <x:f>'Transformaciones'!C92</x:f>
        <x:v>0.011727091398851641</x:v>
      </x:c>
      <x:c r="C99" s="90" t="n">
        <x:f>$B$6</x:f>
        <x:v>-0.00045209606279242174</x:v>
      </x:c>
      <x:c r="D99" s="90" t="n">
        <x:f>$B$7*'Transformaciones'!E92</x:f>
        <x:v>-0.0013952724061183713</x:v>
      </x:c>
      <x:c r="E99" s="90" t="n">
        <x:f>$B$11*'Transformaciones'!M92</x:f>
        <x:v>0.009664968951175875</x:v>
      </x:c>
      <x:c r="F99" s="90" t="n">
        <x:f>$B$12*'Transformaciones'!O92</x:f>
        <x:v>0.0015892824689628274</x:v>
      </x:c>
      <x:c r="G99" s="90" t="n">
        <x:f>$B$8*'Transformaciones'!G91</x:f>
        <x:v>0.0022985832992749723</x:v>
      </x:c>
      <x:c r="H99" s="90" t="n">
        <x:f>$B$9*'Transformaciones'!I91</x:f>
        <x:v>0.00187948513458195</x:v>
      </x:c>
      <x:c r="I99" s="90" t="n">
        <x:f>$B$10*'Transformaciones'!K91</x:f>
        <x:v>-0.0036542707911231495</x:v>
      </x:c>
      <x:c r="J99" s="90" t="n">
        <x:f>$B$13*'Transformaciones'!P92</x:f>
        <x:v>0</x:v>
      </x:c>
      <x:c r="K99" s="101" t="n">
        <x:f>SUM(C99:J99)</x:f>
        <x:v>0.009930680593961684</x:v>
      </x:c>
      <x:c r="L99" s="101" t="n">
        <x:f>B99-K99</x:f>
        <x:v>0.0017964108048899568</x:v>
      </x:c>
      <x:c r="M99" s="86" t="n">
        <x:f>'Datos_fuente'!B92</x:f>
        <x:v>1790.547857</x:v>
      </x:c>
      <x:c r="N99" s="86" t="n">
        <x:f>EXP('Transformaciones'!B91+K99)</x:f>
        <x:v>1787.3341848849018</x:v>
      </x:c>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t="str">
        <x:f>'Transformaciones'!A93</x:f>
        <x:v>2013-03</x:v>
      </x:c>
      <x:c r="B100" s="90" t="n">
        <x:f>'Transformaciones'!C93</x:f>
        <x:v>0.0128741755950319</x:v>
      </x:c>
      <x:c r="C100" s="90" t="n">
        <x:f>$B$6</x:f>
        <x:v>-0.00045209606279242174</x:v>
      </x:c>
      <x:c r="D100" s="90" t="n">
        <x:f>$B$7*'Transformaciones'!E93</x:f>
        <x:v>0.003490011940052617</x:v>
      </x:c>
      <x:c r="E100" s="90" t="n">
        <x:f>$B$11*'Transformaciones'!M93</x:f>
        <x:v>0.011390566526292285</x:v>
      </x:c>
      <x:c r="F100" s="90" t="n">
        <x:f>$B$12*'Transformaciones'!O93</x:f>
        <x:v>-0.0029682469989989633</x:v>
      </x:c>
      <x:c r="G100" s="90" t="n">
        <x:f>$B$8*'Transformaciones'!G92</x:f>
        <x:v>0.0009698310557565812</x:v>
      </x:c>
      <x:c r="H100" s="90" t="n">
        <x:f>$B$9*'Transformaciones'!I92</x:f>
        <x:v>0.002690458323885782</x:v>
      </x:c>
      <x:c r="I100" s="90" t="n">
        <x:f>$B$10*'Transformaciones'!K92</x:f>
        <x:v>0.0009107581580010771</x:v>
      </x:c>
      <x:c r="J100" s="90" t="n">
        <x:f>$B$13*'Transformaciones'!P93</x:f>
        <x:v>0</x:v>
      </x:c>
      <x:c r="K100" s="101" t="n">
        <x:f>SUM(C100:J100)</x:f>
        <x:v>0.01603128294219696</x:v>
      </x:c>
      <x:c r="L100" s="101" t="n">
        <x:f>B100-K100</x:f>
        <x:v>-0.00315710734716506</x:v>
      </x:c>
      <x:c r="M100" s="86" t="n">
        <x:f>'Datos_fuente'!B93</x:f>
        <x:v>1813.74871</x:v>
      </x:c>
      <x:c r="N100" s="86" t="n">
        <x:f>EXP('Transformaciones'!B92+K100)</x:f>
        <x:v>1819.4839580113116</x:v>
      </x:c>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t="str">
        <x:f>'Transformaciones'!A94</x:f>
        <x:v>2013-04</x:v>
      </x:c>
      <x:c r="B101" s="90" t="n">
        <x:f>'Transformaciones'!C94</x:f>
        <x:v>0.009046556357106716</x:v>
      </x:c>
      <x:c r="C101" s="90" t="n">
        <x:f>$B$6</x:f>
        <x:v>-0.00045209606279242174</x:v>
      </x:c>
      <x:c r="D101" s="90" t="n">
        <x:f>$B$7*'Transformaciones'!E94</x:f>
        <x:v>0.003055401136355593</x:v>
      </x:c>
      <x:c r="E101" s="90" t="n">
        <x:f>$B$11*'Transformaciones'!M94</x:f>
        <x:v>-0.004813126788213811</x:v>
      </x:c>
      <x:c r="F101" s="90" t="n">
        <x:f>$B$12*'Transformaciones'!O94</x:f>
        <x:v>0.002678036770529688</x:v>
      </x:c>
      <x:c r="G101" s="90" t="n">
        <x:f>$B$8*'Transformaciones'!G93</x:f>
        <x:v>-0.0002814066985340377</x:v>
      </x:c>
      <x:c r="H101" s="90" t="n">
        <x:f>$B$9*'Transformaciones'!I93</x:f>
        <x:v>0.0029831575349757926</x:v>
      </x:c>
      <x:c r="I101" s="90" t="n">
        <x:f>$B$10*'Transformaciones'!K93</x:f>
        <x:v>0.002001299377755126</x:v>
      </x:c>
      <x:c r="J101" s="90" t="n">
        <x:f>$B$13*'Transformaciones'!P94</x:f>
        <x:v>0</x:v>
      </x:c>
      <x:c r="K101" s="101" t="n">
        <x:f>SUM(C101:J101)</x:f>
        <x:v>0.00517126527007593</x:v>
      </x:c>
      <x:c r="L101" s="101" t="n">
        <x:f>B101-K101</x:f>
        <x:v>0.0038752910870307865</x:v>
      </x:c>
      <x:c r="M101" s="86" t="n">
        <x:f>'Datos_fuente'!B94</x:f>
        <x:v>1830.231333</x:v>
      </x:c>
      <x:c r="N101" s="86" t="n">
        <x:f>EXP('Transformaciones'!B93+K101)</x:f>
        <x:v>1823.1523791905604</x:v>
      </x:c>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t="str">
        <x:f>'Transformaciones'!A95</x:f>
        <x:v>2013-05</x:v>
      </x:c>
      <x:c r="B102" s="90" t="n">
        <x:f>'Transformaciones'!C95</x:f>
        <x:v>0.00961900998160381</x:v>
      </x:c>
      <x:c r="C102" s="90" t="n">
        <x:f>$B$6</x:f>
        <x:v>-0.00045209606279242174</x:v>
      </x:c>
      <x:c r="D102" s="90" t="n">
        <x:f>$B$7*'Transformaciones'!E95</x:f>
        <x:v>-0.00015671467316126034</x:v>
      </x:c>
      <x:c r="E102" s="90" t="n">
        <x:f>$B$11*'Transformaciones'!M95</x:f>
        <x:v>0.006334521604868751</x:v>
      </x:c>
      <x:c r="F102" s="90" t="n">
        <x:f>$B$12*'Transformaciones'!O95</x:f>
        <x:v>-0.0013322612026995249</x:v>
      </x:c>
      <x:c r="G102" s="90" t="n">
        <x:f>$B$8*'Transformaciones'!G94</x:f>
        <x:v>0.003675681370169756</x:v>
      </x:c>
      <x:c r="H102" s="90" t="n">
        <x:f>$B$9*'Transformaciones'!I94</x:f>
        <x:v>0.004094592617809955</x:v>
      </x:c>
      <x:c r="I102" s="90" t="n">
        <x:f>$B$10*'Transformaciones'!K94</x:f>
        <x:v>0.003489974583021247</x:v>
      </x:c>
      <x:c r="J102" s="90" t="n">
        <x:f>$B$13*'Transformaciones'!P95</x:f>
        <x:v>0</x:v>
      </x:c>
      <x:c r="K102" s="101" t="n">
        <x:f>SUM(C102:J102)</x:f>
        <x:v>0.0156536982372165</x:v>
      </x:c>
      <x:c r="L102" s="101" t="n">
        <x:f>B102-K102</x:f>
        <x:v>-0.006034688255612691</x:v>
      </x:c>
      <x:c r="M102" s="86" t="n">
        <x:f>'Datos_fuente'!B95</x:f>
        <x:v>1847.92129</x:v>
      </x:c>
      <x:c r="N102" s="86" t="n">
        <x:f>EXP('Transformaciones'!B94+K102)</x:f>
        <x:v>1859.1066349959656</x:v>
      </x:c>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t="str">
        <x:f>'Transformaciones'!A96</x:f>
        <x:v>2013-06</x:v>
      </x:c>
      <x:c r="B103" s="90" t="n">
        <x:f>'Transformaciones'!C96</x:f>
        <x:v>0.03296297537993276</x:v>
      </x:c>
      <x:c r="C103" s="90" t="n">
        <x:f>$B$6</x:f>
        <x:v>-0.00045209606279242174</x:v>
      </x:c>
      <x:c r="D103" s="90" t="n">
        <x:f>$B$7*'Transformaciones'!E96</x:f>
        <x:v>-0.0001815655902008962</x:v>
      </x:c>
      <x:c r="E103" s="90" t="n">
        <x:f>$B$11*'Transformaciones'!M96</x:f>
        <x:v>0.0098692592867409</x:v>
      </x:c>
      <x:c r="F103" s="90" t="n">
        <x:f>$B$12*'Transformaciones'!O96</x:f>
        <x:v>0.00953237081378203</x:v>
      </x:c>
      <x:c r="G103" s="90" t="n">
        <x:f>$B$8*'Transformaciones'!G95</x:f>
        <x:v>0.0026635069601498302</x:v>
      </x:c>
      <x:c r="H103" s="90" t="n">
        <x:f>$B$9*'Transformaciones'!I95</x:f>
        <x:v>-0.0003963540087145439</x:v>
      </x:c>
      <x:c r="I103" s="90" t="n">
        <x:f>$B$10*'Transformaciones'!K95</x:f>
        <x:v>0.00015158382463832892</x:v>
      </x:c>
      <x:c r="J103" s="90" t="n">
        <x:f>$B$13*'Transformaciones'!P96</x:f>
        <x:v>0</x:v>
      </x:c>
      <x:c r="K103" s="101" t="n">
        <x:f>SUM(C103:J103)</x:f>
        <x:v>0.02118670522360323</x:v>
      </x:c>
      <x:c r="L103" s="101" t="n">
        <x:f>B103-K103</x:f>
        <x:v>0.011776270156329528</x:v>
      </x:c>
      <x:c r="M103" s="86" t="n">
        <x:f>'Datos_fuente'!B96</x:f>
        <x:v>1909.849333</x:v>
      </x:c>
      <x:c r="N103" s="86" t="n">
        <x:f>EXP('Transformaciones'!B95+K103)</x:f>
        <x:v>1887.4903424490894</x:v>
      </x:c>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t="str">
        <x:f>'Transformaciones'!A97</x:f>
        <x:v>2013-07</x:v>
      </x:c>
      <x:c r="B104" s="90" t="n">
        <x:f>'Transformaciones'!C97</x:f>
        <x:v>-0.004358914191916696</x:v>
      </x:c>
      <x:c r="C104" s="90" t="n">
        <x:f>$B$6</x:f>
        <x:v>-0.00045209606279242174</x:v>
      </x:c>
      <x:c r="D104" s="90" t="n">
        <x:f>$B$7*'Transformaciones'!E97</x:f>
        <x:v>-0.0024587543901649456</x:v>
      </x:c>
      <x:c r="E104" s="90" t="n">
        <x:f>$B$11*'Transformaciones'!M97</x:f>
        <x:v>0.0076446551088027465</x:v>
      </x:c>
      <x:c r="F104" s="90" t="n">
        <x:f>$B$12*'Transformaciones'!O97</x:f>
        <x:v>-0.008180006725917243</x:v>
      </x:c>
      <x:c r="G104" s="90" t="n">
        <x:f>$B$8*'Transformaciones'!G96</x:f>
        <x:v>0.00337865897951012</x:v>
      </x:c>
      <x:c r="H104" s="90" t="n">
        <x:f>$B$9*'Transformaciones'!I96</x:f>
        <x:v>-0.00019817700435727196</x:v>
      </x:c>
      <x:c r="I104" s="90" t="n">
        <x:f>$B$10*'Transformaciones'!K96</x:f>
        <x:v>0.0003296186234593737</x:v>
      </x:c>
      <x:c r="J104" s="90" t="n">
        <x:f>$B$13*'Transformaciones'!P97</x:f>
        <x:v>0</x:v>
      </x:c>
      <x:c r="K104" s="101" t="n">
        <x:f>SUM(C104:J104)</x:f>
        <x:v>0.0000638985285403577</x:v>
      </x:c>
      <x:c r="L104" s="101" t="n">
        <x:f>B104-K104</x:f>
        <x:v>-0.004422812720457054</x:v>
      </x:c>
      <x:c r="M104" s="86" t="n">
        <x:f>'Datos_fuente'!B97</x:f>
        <x:v>1901.542581</x:v>
      </x:c>
      <x:c r="N104" s="86" t="n">
        <x:f>EXP('Transformaciones'!B96+K104)</x:f>
        <x:v>1909.9713734611746</x:v>
      </x:c>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t="str">
        <x:f>'Transformaciones'!A98</x:f>
        <x:v>2013-08</x:v>
      </x:c>
      <x:c r="B105" s="90" t="n">
        <x:f>'Transformaciones'!C98</x:f>
        <x:v>0.0002953023965170942</x:v>
      </x:c>
      <x:c r="C105" s="90" t="n">
        <x:f>$B$6</x:f>
        <x:v>-0.00045209606279242174</x:v>
      </x:c>
      <x:c r="D105" s="90" t="n">
        <x:f>$B$7*'Transformaciones'!E98</x:f>
        <x:v>-0.0015787484079092782</x:v>
      </x:c>
      <x:c r="E105" s="90" t="n">
        <x:f>$B$11*'Transformaciones'!M98</x:f>
        <x:v>-0.002040284999677764</x:v>
      </x:c>
      <x:c r="F105" s="90" t="n">
        <x:f>$B$12*'Transformaciones'!O98</x:f>
        <x:v>0.0006452415599092294</x:v>
      </x:c>
      <x:c r="G105" s="90" t="n">
        <x:f>$B$8*'Transformaciones'!G97</x:f>
        <x:v>0.003997896586552866</x:v>
      </x:c>
      <x:c r="H105" s="90" t="n">
        <x:f>$B$9*'Transformaciones'!I97</x:f>
        <x:v>0</x:v>
      </x:c>
      <x:c r="I105" s="90" t="n">
        <x:f>$B$10*'Transformaciones'!K97</x:f>
        <x:v>0.0014398416188133802</x:v>
      </x:c>
      <x:c r="J105" s="90" t="n">
        <x:f>$B$13*'Transformaciones'!P98</x:f>
        <x:v>0</x:v>
      </x:c>
      <x:c r="K105" s="101" t="n">
        <x:f>SUM(C105:J105)</x:f>
        <x:v>0.0020118502948960116</x:v>
      </x:c>
      <x:c r="L105" s="101" t="n">
        <x:f>B105-K105</x:f>
        <x:v>-0.0017165478983789174</x:v>
      </x:c>
      <x:c r="M105" s="86" t="n">
        <x:f>'Datos_fuente'!B98</x:f>
        <x:v>1902.104194</x:v>
      </x:c>
      <x:c r="N105" s="86" t="n">
        <x:f>EXP('Transformaciones'!B97+K105)</x:f>
        <x:v>1905.3720508707258</x:v>
      </x:c>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t="str">
        <x:f>'Transformaciones'!A99</x:f>
        <x:v>2013-09</x:v>
      </x:c>
      <x:c r="B106" s="90" t="n">
        <x:f>'Transformaciones'!C99</x:f>
        <x:v>0.009110416643161479</x:v>
      </x:c>
      <x:c r="C106" s="90" t="n">
        <x:f>$B$6</x:f>
        <x:v>-0.00045209606279242174</x:v>
      </x:c>
      <x:c r="D106" s="90" t="n">
        <x:f>$B$7*'Transformaciones'!E99</x:f>
        <x:v>-0.00014660216281323012</x:v>
      </x:c>
      <x:c r="E106" s="90" t="n">
        <x:f>$B$11*'Transformaciones'!M99</x:f>
        <x:v>-0.0031717806013225346</x:v>
      </x:c>
      <x:c r="F106" s="90" t="n">
        <x:f>$B$12*'Transformaciones'!O99</x:f>
        <x:v>0.0012881771336492383</x:v>
      </x:c>
      <x:c r="G106" s="90" t="n">
        <x:f>$B$8*'Transformaciones'!G98</x:f>
        <x:v>0.0015769767483899636</x:v>
      </x:c>
      <x:c r="H106" s="90" t="n">
        <x:f>$B$9*'Transformaciones'!I98</x:f>
        <x:v>-0.00009908850217863377</x:v>
      </x:c>
      <x:c r="I106" s="90" t="n">
        <x:f>$B$10*'Transformaciones'!K98</x:f>
        <x:v>-0.00006266985014637122</x:v>
      </x:c>
      <x:c r="J106" s="90" t="n">
        <x:f>$B$13*'Transformaciones'!P99</x:f>
        <x:v>0</x:v>
      </x:c>
      <x:c r="K106" s="101" t="n">
        <x:f>SUM(C106:J106)</x:f>
        <x:v>-0.0010670832972139897</x:v>
      </x:c>
      <x:c r="L106" s="101" t="n">
        <x:f>B106-K106</x:f>
        <x:v>0.010177499940375468</x:v>
      </x:c>
      <x:c r="M106" s="86" t="n">
        <x:f>'Datos_fuente'!B99</x:f>
        <x:v>1919.512333</x:v>
      </x:c>
      <x:c r="N106" s="86" t="n">
        <x:f>EXP('Transformaciones'!B98+K106)</x:f>
        <x:v>1900.0755729313441</x:v>
      </x:c>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t="str">
        <x:f>'Transformaciones'!A100</x:f>
        <x:v>2013-10</x:v>
      </x:c>
      <x:c r="B107" s="90" t="n">
        <x:f>'Transformaciones'!C100</x:f>
        <x:v>-0.018073692206871605</x:v>
      </x:c>
      <x:c r="C107" s="90" t="n">
        <x:f>$B$6</x:f>
        <x:v>-0.00045209606279242174</x:v>
      </x:c>
      <x:c r="D107" s="90" t="n">
        <x:f>$B$7*'Transformaciones'!E100</x:f>
        <x:v>0.0011806524654196645</x:v>
      </x:c>
      <x:c r="E107" s="90" t="n">
        <x:f>$B$11*'Transformaciones'!M100</x:f>
        <x:v>-0.012691909309319219</x:v>
      </x:c>
      <x:c r="F107" s="90" t="n">
        <x:f>$B$12*'Transformaciones'!O100</x:f>
        <x:v>0.0018371372732415231</x:v>
      </x:c>
      <x:c r="G107" s="90" t="n">
        <x:f>$B$8*'Transformaciones'!G99</x:f>
        <x:v>0.002523231909737192</x:v>
      </x:c>
      <x:c r="H107" s="90" t="n">
        <x:f>$B$9*'Transformaciones'!I99</x:f>
        <x:v>0</x:v>
      </x:c>
      <x:c r="I107" s="90" t="n">
        <x:f>$B$10*'Transformaciones'!K99</x:f>
        <x:v>-0.0007507833196512057</x:v>
      </x:c>
      <x:c r="J107" s="90" t="n">
        <x:f>$B$13*'Transformaciones'!P100</x:f>
        <x:v>0</x:v>
      </x:c>
      <x:c r="K107" s="101" t="n">
        <x:f>SUM(C107:J107)</x:f>
        <x:v>-0.008353767043364466</x:v>
      </x:c>
      <x:c r="L107" s="101" t="n">
        <x:f>B107-K107</x:f>
        <x:v>-0.00971992516350714</x:v>
      </x:c>
      <x:c r="M107" s="86" t="n">
        <x:f>'Datos_fuente'!B100</x:f>
        <x:v>1885.13129</x:v>
      </x:c>
      <x:c r="N107" s="86" t="n">
        <x:f>EXP('Transformaciones'!B99+K107)</x:f>
        <x:v>1903.5439650095502</x:v>
      </x:c>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t="str">
        <x:f>'Transformaciones'!A101</x:f>
        <x:v>2013-11</x:v>
      </x:c>
      <x:c r="B108" s="90" t="n">
        <x:f>'Transformaciones'!C101</x:f>
        <x:v>0.019240321981119912</x:v>
      </x:c>
      <x:c r="C108" s="90" t="n">
        <x:f>$B$6</x:f>
        <x:v>-0.00045209606279242174</x:v>
      </x:c>
      <x:c r="D108" s="90" t="n">
        <x:f>$B$7*'Transformaciones'!E101</x:f>
        <x:v>0.0006123583513933801</x:v>
      </x:c>
      <x:c r="E108" s="90" t="n">
        <x:f>$B$11*'Transformaciones'!M101</x:f>
        <x:v>0.011431701012001241</x:v>
      </x:c>
      <x:c r="F108" s="90" t="n">
        <x:f>$B$12*'Transformaciones'!O101</x:f>
        <x:v>-0.006788583457689844</x:v>
      </x:c>
      <x:c r="G108" s="90" t="n">
        <x:f>$B$8*'Transformaciones'!G100</x:f>
        <x:v>0.0008967110871222383</x:v>
      </x:c>
      <x:c r="H108" s="90" t="n">
        <x:f>$B$9*'Transformaciones'!I100</x:f>
        <x:v>0.00009908850217863377</x:v>
      </x:c>
      <x:c r="I108" s="90" t="n">
        <x:f>$B$10*'Transformaciones'!K100</x:f>
        <x:v>0.00038511707060356827</x:v>
      </x:c>
      <x:c r="J108" s="90" t="n">
        <x:f>$B$13*'Transformaciones'!P101</x:f>
        <x:v>0</x:v>
      </x:c>
      <x:c r="K108" s="101" t="n">
        <x:f>SUM(C108:J108)</x:f>
        <x:v>0.006184296502816795</x:v>
      </x:c>
      <x:c r="L108" s="101" t="n">
        <x:f>B108-K108</x:f>
        <x:v>0.013056025478303118</x:v>
      </x:c>
      <x:c r="M108" s="86" t="n">
        <x:f>'Datos_fuente'!B101</x:f>
        <x:v>1921.753</x:v>
      </x:c>
      <x:c r="N108" s="86" t="n">
        <x:f>EXP('Transformaciones'!B100+K108)</x:f>
        <x:v>1896.825624187805</x:v>
      </x:c>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t="str">
        <x:f>'Transformaciones'!A102</x:f>
        <x:v>2013-12</x:v>
      </x:c>
      <x:c r="B109" s="90" t="n">
        <x:f>'Transformaciones'!C102</x:f>
        <x:v>0.005812713835989136</x:v>
      </x:c>
      <x:c r="C109" s="90" t="n">
        <x:f>$B$6</x:f>
        <x:v>-0.00045209606279242174</x:v>
      </x:c>
      <x:c r="D109" s="90" t="n">
        <x:f>$B$7*'Transformaciones'!E102</x:f>
        <x:v>-0.0014025230102559288</x:v>
      </x:c>
      <x:c r="E109" s="90" t="n">
        <x:f>$B$11*'Transformaciones'!M102</x:f>
        <x:v>0.0020847775875460924</x:v>
      </x:c>
      <x:c r="F109" s="90" t="n">
        <x:f>$B$12*'Transformaciones'!O102</x:f>
        <x:v>0.003615357086950441</x:v>
      </x:c>
      <x:c r="G109" s="90" t="n">
        <x:f>$B$8*'Transformaciones'!G101</x:f>
        <x:v>0.002027061202571807</x:v>
      </x:c>
      <x:c r="H109" s="90" t="n">
        <x:f>$B$9*'Transformaciones'!I101</x:f>
        <x:v>-0.00009908850217863377</x:v>
      </x:c>
      <x:c r="I109" s="90" t="n">
        <x:f>$B$10*'Transformaciones'!K101</x:f>
        <x:v>-0.00013714397589126</x:v>
      </x:c>
      <x:c r="J109" s="90" t="n">
        <x:f>$B$13*'Transformaciones'!P102</x:f>
        <x:v>0</x:v>
      </x:c>
      <x:c r="K109" s="101" t="n">
        <x:f>SUM(C109:J109)</x:f>
        <x:v>0.0056363443259500965</x:v>
      </x:c>
      <x:c r="L109" s="101" t="n">
        <x:f>B109-K109</x:f>
        <x:v>0.00017636951003903965</x:v>
      </x:c>
      <x:c r="M109" s="86" t="n">
        <x:f>'Datos_fuente'!B102</x:f>
        <x:v>1932.956129</x:v>
      </x:c>
      <x:c r="N109" s="86" t="n">
        <x:f>EXP('Transformaciones'!B101+K109)</x:f>
        <x:v>1932.6152445362982</x:v>
      </x:c>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t="str">
        <x:f>'Transformaciones'!A103</x:f>
        <x:v>2014-01</x:v>
      </x:c>
      <x:c r="B110" s="90" t="n">
        <x:f>'Transformaciones'!C103</x:f>
        <x:v>0.012508876101176014</x:v>
      </x:c>
      <x:c r="C110" s="90" t="n">
        <x:f>$B$6</x:f>
        <x:v>-0.00045209606279242174</x:v>
      </x:c>
      <x:c r="D110" s="90" t="n">
        <x:f>$B$7*'Transformaciones'!E103</x:f>
        <x:v>0.0012465541422866273</x:v>
      </x:c>
      <x:c r="E110" s="90" t="n">
        <x:f>$B$11*'Transformaciones'!M103</x:f>
        <x:v>0.01203052815136918</x:v>
      </x:c>
      <x:c r="F110" s="90" t="n">
        <x:f>$B$12*'Transformaciones'!O103</x:f>
        <x:v>0.0001319379441530318</x:v>
      </x:c>
      <x:c r="G110" s="90" t="n">
        <x:f>$B$8*'Transformaciones'!G102</x:f>
        <x:v>0.003393271890512224</x:v>
      </x:c>
      <x:c r="H110" s="90" t="n">
        <x:f>$B$9*'Transformaciones'!I102</x:f>
        <x:v>0.00009908850217863377</x:v>
      </x:c>
      <x:c r="I110" s="90" t="n">
        <x:f>$B$10*'Transformaciones'!K102</x:f>
        <x:v>-0.004040798091646785</x:v>
      </x:c>
      <x:c r="J110" s="90" t="n">
        <x:f>$B$13*'Transformaciones'!P103</x:f>
        <x:v>0</x:v>
      </x:c>
      <x:c r="K110" s="101" t="n">
        <x:f>SUM(C110:J110)</x:f>
        <x:v>0.01240848647606049</x:v>
      </x:c>
      <x:c r="L110" s="101" t="n">
        <x:f>B110-K110</x:f>
        <x:v>0.00010038962511552466</x:v>
      </x:c>
      <x:c r="M110" s="86" t="n">
        <x:f>'Datos_fuente'!B103</x:f>
        <x:v>1957.287097</x:v>
      </x:c>
      <x:c r="N110" s="86" t="n">
        <x:f>EXP('Transformaciones'!B102+K110)</x:f>
        <x:v>1957.090615544603</x:v>
      </x:c>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t="str">
        <x:f>'Transformaciones'!A104</x:f>
        <x:v>2014-02</x:v>
      </x:c>
      <x:c r="B111" s="90" t="n">
        <x:f>'Transformaciones'!C104</x:f>
        <x:v>0.04065118383434463</x:v>
      </x:c>
      <x:c r="C111" s="90" t="n">
        <x:f>$B$6</x:f>
        <x:v>-0.00045209606279242174</x:v>
      </x:c>
      <x:c r="D111" s="90" t="n">
        <x:f>$B$7*'Transformaciones'!E104</x:f>
        <x:v>-0.00037291643302107163</x:v>
      </x:c>
      <x:c r="E111" s="90" t="n">
        <x:f>$B$11*'Transformaciones'!M104</x:f>
        <x:v>0.002323701122688719</x:v>
      </x:c>
      <x:c r="F111" s="90" t="n">
        <x:f>$B$12*'Transformaciones'!O104</x:f>
        <x:v>0.003196805554485702</x:v>
      </x:c>
      <x:c r="G111" s="90" t="n">
        <x:f>$B$8*'Transformaciones'!G103</x:f>
        <x:v>0.0013804390504597802</x:v>
      </x:c>
      <x:c r="H111" s="90" t="n">
        <x:f>$B$9*'Transformaciones'!I103</x:f>
        <x:v>-0.00019817700435727196</x:v>
      </x:c>
      <x:c r="I111" s="90" t="n">
        <x:f>$B$10*'Transformaciones'!K103</x:f>
        <x:v>0.00022396613775310176</x:v>
      </x:c>
      <x:c r="J111" s="90" t="n">
        <x:f>$B$13*'Transformaciones'!P104</x:f>
        <x:v>0</x:v>
      </x:c>
      <x:c r="K111" s="101" t="n">
        <x:f>SUM(C111:J111)</x:f>
        <x:v>0.006101722365216537</x:v>
      </x:c>
      <x:c r="L111" s="101" t="n">
        <x:f>B111-K111</x:f>
        <x:v>0.034549461469128094</x:v>
      </x:c>
      <x:c r="M111" s="86" t="n">
        <x:f>'Datos_fuente'!B104</x:f>
        <x:v>2038.4925</x:v>
      </x:c>
      <x:c r="N111" s="86" t="n">
        <x:f>EXP('Transformaciones'!B103+K111)</x:f>
        <x:v>1969.2664295687725</x:v>
      </x:c>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t="str">
        <x:f>'Transformaciones'!A105</x:f>
        <x:v>2014-03</x:v>
      </x:c>
      <x:c r="B112" s="90" t="n">
        <x:f>'Transformaciones'!C105</x:f>
        <x:v>-0.009255030086472438</x:v>
      </x:c>
      <x:c r="C112" s="90" t="n">
        <x:f>$B$6</x:f>
        <x:v>-0.00045209606279242174</x:v>
      </x:c>
      <x:c r="D112" s="90" t="n">
        <x:f>$B$7*'Transformaciones'!E105</x:f>
        <x:v>0.0006782656019073115</x:v>
      </x:c>
      <x:c r="E112" s="90" t="n">
        <x:f>$B$11*'Transformaciones'!M105</x:f>
        <x:v>-0.0026314873854247234</x:v>
      </x:c>
      <x:c r="F112" s="90" t="n">
        <x:f>$B$12*'Transformaciones'!O105</x:f>
        <x:v>-0.0016142603510264746</x:v>
      </x:c>
      <x:c r="G112" s="90" t="n">
        <x:f>$B$8*'Transformaciones'!G104</x:f>
        <x:v>0.0007654358844007284</x:v>
      </x:c>
      <x:c r="H112" s="90" t="n">
        <x:f>$B$9*'Transformaciones'!I104</x:f>
        <x:v>0</x:v>
      </x:c>
      <x:c r="I112" s="90" t="n">
        <x:f>$B$10*'Transformaciones'!K104</x:f>
        <x:v>0.0004964279800300411</x:v>
      </x:c>
      <x:c r="J112" s="90" t="n">
        <x:f>$B$13*'Transformaciones'!P105</x:f>
        <x:v>0</x:v>
      </x:c>
      <x:c r="K112" s="101" t="n">
        <x:f>SUM(C112:J112)</x:f>
        <x:v>-0.0027577143329055387</x:v>
      </x:c>
      <x:c r="L112" s="101" t="n">
        <x:f>B112-K112</x:f>
        <x:v>-0.006497315753566899</x:v>
      </x:c>
      <x:c r="M112" s="86" t="n">
        <x:f>'Datos_fuente'!B105</x:f>
        <x:v>2019.713226</x:v>
      </x:c>
      <x:c r="N112" s="86" t="n">
        <x:f>EXP('Transformaciones'!B104+K112)</x:f>
        <x:v>2032.878664250647</x:v>
      </x:c>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t="str">
        <x:f>'Transformaciones'!A106</x:f>
        <x:v>2014-04</x:v>
      </x:c>
      <x:c r="B113" s="90" t="n">
        <x:f>'Transformaciones'!C106</x:f>
        <x:v>-0.04111310748183783</x:v>
      </x:c>
      <x:c r="C113" s="90" t="n">
        <x:f>$B$6</x:f>
        <x:v>-0.00045209606279242174</x:v>
      </x:c>
      <x:c r="D113" s="90" t="n">
        <x:f>$B$7*'Transformaciones'!E106</x:f>
        <x:v>-0.00013174791302708616</x:v>
      </x:c>
      <x:c r="E113" s="90" t="n">
        <x:f>$B$11*'Transformaciones'!M106</x:f>
        <x:v>-0.005742144032990291</x:v>
      </x:c>
      <x:c r="F113" s="90" t="n">
        <x:f>$B$12*'Transformaciones'!O106</x:f>
        <x:v>-0.0016989376086799866</x:v>
      </x:c>
      <x:c r="G113" s="90" t="n">
        <x:f>$B$8*'Transformaciones'!G105</x:f>
        <x:v>0.0002682647644703654</x:v>
      </x:c>
      <x:c r="H113" s="90" t="n">
        <x:f>$B$9*'Transformaciones'!I105</x:f>
        <x:v>0.00009908850217863818</x:v>
      </x:c>
      <x:c r="I113" s="90" t="n">
        <x:f>$B$10*'Transformaciones'!K105</x:f>
        <x:v>0.0001103741173825389</x:v>
      </x:c>
      <x:c r="J113" s="90" t="n">
        <x:f>$B$13*'Transformaciones'!P106</x:f>
        <x:v>0</x:v>
      </x:c>
      <x:c r="K113" s="101" t="n">
        <x:f>SUM(C113:J113)</x:f>
        <x:v>-0.007547198233458244</x:v>
      </x:c>
      <x:c r="L113" s="101" t="n">
        <x:f>B113-K113</x:f>
        <x:v>-0.033565909248379586</x:v>
      </x:c>
      <x:c r="M113" s="86" t="n">
        <x:f>'Datos_fuente'!B106</x:f>
        <x:v>1938.360333</x:v>
      </x:c>
      <x:c r="N113" s="86" t="n">
        <x:f>EXP('Transformaciones'!B105+K113)</x:f>
        <x:v>2004.527427108039</x:v>
      </x:c>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t="str">
        <x:f>'Transformaciones'!A107</x:f>
        <x:v>2014-05</x:v>
      </x:c>
      <x:c r="B114" s="90" t="n">
        <x:f>'Transformaciones'!C107</x:f>
        <x:v>-0.011936326617412618</x:v>
      </x:c>
      <x:c r="C114" s="90" t="n">
        <x:f>$B$6</x:f>
        <x:v>-0.00045209606279242174</x:v>
      </x:c>
      <x:c r="D114" s="90" t="n">
        <x:f>$B$7*'Transformaciones'!E107</x:f>
        <x:v>-0.0008487426353615768</x:v>
      </x:c>
      <x:c r="E114" s="90" t="n">
        <x:f>$B$11*'Transformaciones'!M107</x:f>
        <x:v>-0.00421511030337453</x:v>
      </x:c>
      <x:c r="F114" s="90" t="n">
        <x:f>$B$12*'Transformaciones'!O107</x:f>
        <x:v>-0.004995663812799866</x:v>
      </x:c>
      <x:c r="G114" s="90" t="n">
        <x:f>$B$8*'Transformaciones'!G106</x:f>
        <x:v>-0.004182267029467957</x:v>
      </x:c>
      <x:c r="H114" s="90" t="n">
        <x:f>$B$9*'Transformaciones'!I106</x:f>
        <x:v>-0.00014863275326795506</x:v>
      </x:c>
      <x:c r="I114" s="90" t="n">
        <x:f>$B$10*'Transformaciones'!K106</x:f>
        <x:v>0.000796089606799719</x:v>
      </x:c>
      <x:c r="J114" s="90" t="n">
        <x:f>$B$13*'Transformaciones'!P107</x:f>
        <x:v>0</x:v>
      </x:c>
      <x:c r="K114" s="101" t="n">
        <x:f>SUM(C114:J114)</x:f>
        <x:v>-0.014046422990264583</x:v>
      </x:c>
      <x:c r="L114" s="101" t="n">
        <x:f>B114-K114</x:f>
        <x:v>0.002110096372851965</x:v>
      </x:c>
      <x:c r="M114" s="86" t="n">
        <x:f>'Datos_fuente'!B107</x:f>
        <x:v>1915.360968</x:v>
      </x:c>
      <x:c r="N114" s="86" t="n">
        <x:f>EXP('Transformaciones'!B106+K114)</x:f>
        <x:v>1911.3236328498701</x:v>
      </x:c>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t="str">
        <x:f>'Transformaciones'!A108</x:f>
        <x:v>2014-06</x:v>
      </x:c>
      <x:c r="B115" s="90" t="n">
        <x:f>'Transformaciones'!C108</x:f>
        <x:v>-0.014896989542501515</x:v>
      </x:c>
      <x:c r="C115" s="90" t="n">
        <x:f>$B$6</x:f>
        <x:v>-0.00045209606279242174</x:v>
      </x:c>
      <x:c r="D115" s="90" t="n">
        <x:f>$B$7*'Transformaciones'!E108</x:f>
        <x:v>-0.0010538755660536654</x:v>
      </x:c>
      <x:c r="E115" s="90" t="n">
        <x:f>$B$11*'Transformaciones'!M108</x:f>
        <x:v>0.0020396579750729424</x:v>
      </x:c>
      <x:c r="F115" s="90" t="n">
        <x:f>$B$12*'Transformaciones'!O108</x:f>
        <x:v>-0.0030045590614980254</x:v>
      </x:c>
      <x:c r="G115" s="90" t="n">
        <x:f>$B$8*'Transformaciones'!G107</x:f>
        <x:v>-0.0037955473757852755</x:v>
      </x:c>
      <x:c r="H115" s="90" t="n">
        <x:f>$B$9*'Transformaciones'!I107</x:f>
        <x:v>-0.002229491299019308</x:v>
      </x:c>
      <x:c r="I115" s="90" t="n">
        <x:f>$B$10*'Transformaciones'!K107</x:f>
        <x:v>0.0007537292992134554</x:v>
      </x:c>
      <x:c r="J115" s="90" t="n">
        <x:f>$B$13*'Transformaciones'!P108</x:f>
        <x:v>0</x:v>
      </x:c>
      <x:c r="K115" s="101" t="n">
        <x:f>SUM(C115:J115)</x:f>
        <x:v>-0.007742182090862298</x:v>
      </x:c>
      <x:c r="L115" s="101" t="n">
        <x:f>B115-K115</x:f>
        <x:v>-0.007154807451639217</x:v>
      </x:c>
      <x:c r="M115" s="86" t="n">
        <x:f>'Datos_fuente'!B108</x:f>
        <x:v>1887.039333</x:v>
      </x:c>
      <x:c r="N115" s="86" t="n">
        <x:f>EXP('Transformaciones'!B107+K115)</x:f>
        <x:v>1900.58915144964</x:v>
      </x:c>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t="str">
        <x:f>'Transformaciones'!A109</x:f>
        <x:v>2014-07</x:v>
      </x:c>
      <x:c r="B116" s="90" t="n">
        <x:f>'Transformaciones'!C109</x:f>
        <x:v>-0.01569998777481718</x:v>
      </x:c>
      <x:c r="C116" s="90" t="n">
        <x:f>$B$6</x:f>
        <x:v>-0.00045209606279242174</x:v>
      </x:c>
      <x:c r="D116" s="90" t="n">
        <x:f>$B$7*'Transformaciones'!E109</x:f>
        <x:v>0.0023783102782583463</x:v>
      </x:c>
      <x:c r="E116" s="90" t="n">
        <x:f>$B$11*'Transformaciones'!M109</x:f>
        <x:v>-0.0028982642525318975</x:v>
      </x:c>
      <x:c r="F116" s="90" t="n">
        <x:f>$B$12*'Transformaciones'!O109</x:f>
        <x:v>0.002446836810051345</x:v>
      </x:c>
      <x:c r="G116" s="90" t="n">
        <x:f>$B$8*'Transformaciones'!G108</x:f>
        <x:v>-0.004583985678338001</x:v>
      </x:c>
      <x:c r="H116" s="90" t="n">
        <x:f>$B$9*'Transformaciones'!I108</x:f>
        <x:v>-0.0027909928146678574</x:v>
      </x:c>
      <x:c r="I116" s="90" t="n">
        <x:f>$B$10*'Transformaciones'!K108</x:f>
        <x:v>0.0018256748917078243</x:v>
      </x:c>
      <x:c r="J116" s="90" t="n">
        <x:f>$B$13*'Transformaciones'!P109</x:f>
        <x:v>0</x:v>
      </x:c>
      <x:c r="K116" s="101" t="n">
        <x:f>SUM(C116:J116)</x:f>
        <x:v>-0.004074516828312663</x:v>
      </x:c>
      <x:c r="L116" s="101" t="n">
        <x:f>B116-K116</x:f>
        <x:v>-0.01162547094650452</x:v>
      </x:c>
      <x:c r="M116" s="86" t="n">
        <x:f>'Datos_fuente'!B109</x:f>
        <x:v>1857.644194</x:v>
      </x:c>
      <x:c r="N116" s="86" t="n">
        <x:f>EXP('Transformaciones'!B108+K116)</x:f>
        <x:v>1879.366202247765</x:v>
      </x:c>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t="str">
        <x:f>'Transformaciones'!A110</x:f>
        <x:v>2014-08</x:v>
      </x:c>
      <x:c r="B117" s="90" t="n">
        <x:f>'Transformaciones'!C110</x:f>
        <x:v>0.02155751904692238</x:v>
      </x:c>
      <x:c r="C117" s="90" t="n">
        <x:f>$B$6</x:f>
        <x:v>-0.00045209606279242174</x:v>
      </x:c>
      <x:c r="D117" s="90" t="n">
        <x:f>$B$7*'Transformaciones'!E110</x:f>
        <x:v>0.0025606672823918443</x:v>
      </x:c>
      <x:c r="E117" s="90" t="n">
        <x:f>$B$11*'Transformaciones'!M110</x:f>
        <x:v>0.012615536870156914</x:v>
      </x:c>
      <x:c r="F117" s="90" t="n">
        <x:f>$B$12*'Transformaciones'!O110</x:f>
        <x:v>0.0035831908262595816</x:v>
      </x:c>
      <x:c r="G117" s="90" t="n">
        <x:f>$B$8*'Transformaciones'!G109</x:f>
        <x:v>-0.002998415151290118</x:v>
      </x:c>
      <x:c r="H117" s="90" t="n">
        <x:f>$B$9*'Transformaciones'!I109</x:f>
        <x:v>-0.002163432294263937</x:v>
      </x:c>
      <x:c r="I117" s="90" t="n">
        <x:f>$B$10*'Transformaciones'!K109</x:f>
        <x:v>-0.00023486965243501486</x:v>
      </x:c>
      <x:c r="J117" s="90" t="n">
        <x:f>$B$13*'Transformaciones'!P110</x:f>
        <x:v>0</x:v>
      </x:c>
      <x:c r="K117" s="101" t="n">
        <x:f>SUM(C117:J117)</x:f>
        <x:v>0.012910581818026845</x:v>
      </x:c>
      <x:c r="L117" s="101" t="n">
        <x:f>B117-K117</x:f>
        <x:v>0.008646937228895535</x:v>
      </x:c>
      <x:c r="M117" s="86" t="n">
        <x:f>'Datos_fuente'!B110</x:f>
        <x:v>1898.125161</x:v>
      </x:c>
      <x:c r="N117" s="86" t="n">
        <x:f>EXP('Transformaciones'!B109+K117)</x:f>
        <x:v>1881.7829487468375</x:v>
      </x:c>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t="str">
        <x:f>'Transformaciones'!A111</x:f>
        <x:v>2014-09</x:v>
      </x:c>
      <x:c r="B118" s="90" t="n">
        <x:f>'Transformaciones'!C111</x:f>
        <x:v>0.03905175664962712</x:v>
      </x:c>
      <x:c r="C118" s="90" t="n">
        <x:f>$B$6</x:f>
        <x:v>-0.00045209606279242174</x:v>
      </x:c>
      <x:c r="D118" s="90" t="n">
        <x:f>$B$7*'Transformaciones'!E111</x:f>
        <x:v>0.0023504535240667416</x:v>
      </x:c>
      <x:c r="E118" s="90" t="n">
        <x:f>$B$11*'Transformaciones'!M111</x:f>
        <x:v>0.019624803382266822</x:v>
      </x:c>
      <x:c r="F118" s="90" t="n">
        <x:f>$B$12*'Transformaciones'!O111</x:f>
        <x:v>-0.00007230626254584346</x:v>
      </x:c>
      <x:c r="G118" s="90" t="n">
        <x:f>$B$8*'Transformaciones'!G110</x:f>
        <x:v>-0.003602190876971405</x:v>
      </x:c>
      <x:c r="H118" s="90" t="n">
        <x:f>$B$9*'Transformaciones'!I110</x:f>
        <x:v>-0.002477212554465897</x:v>
      </x:c>
      <x:c r="I118" s="90" t="n">
        <x:f>$B$10*'Transformaciones'!K110</x:f>
        <x:v>0.0013332555353885891</x:v>
      </x:c>
      <x:c r="J118" s="90" t="n">
        <x:f>$B$13*'Transformaciones'!P111</x:f>
        <x:v>0</x:v>
      </x:c>
      <x:c r="K118" s="101" t="n">
        <x:f>SUM(C118:J118)</x:f>
        <x:v>0.01670470668494659</x:v>
      </x:c>
      <x:c r="L118" s="101" t="n">
        <x:f>B118-K118</x:f>
        <x:v>0.022347049964680534</x:v>
      </x:c>
      <x:c r="M118" s="86" t="n">
        <x:f>'Datos_fuente'!B111</x:f>
        <x:v>1973.716667</x:v>
      </x:c>
      <x:c r="N118" s="86" t="n">
        <x:f>EXP('Transformaciones'!B110+K118)</x:f>
        <x:v>1930.0990991788062</x:v>
      </x:c>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t="str">
        <x:f>'Transformaciones'!A112</x:f>
        <x:v>2014-10</x:v>
      </x:c>
      <x:c r="B119" s="90" t="n">
        <x:f>'Transformaciones'!C112</x:f>
        <x:v>0.037222330573758455</x:v>
      </x:c>
      <x:c r="C119" s="90" t="n">
        <x:f>$B$6</x:f>
        <x:v>-0.00045209606279242174</x:v>
      </x:c>
      <x:c r="D119" s="90" t="n">
        <x:f>$B$7*'Transformaciones'!E112</x:f>
        <x:v>0.005420934101019494</x:v>
      </x:c>
      <x:c r="E119" s="90" t="n">
        <x:f>$B$11*'Transformaciones'!M112</x:f>
        <x:v>0.016556253829301558</x:v>
      </x:c>
      <x:c r="F119" s="90" t="n">
        <x:f>$B$12*'Transformaciones'!O112</x:f>
        <x:v>0.011330806800017081</x:v>
      </x:c>
      <x:c r="G119" s="90" t="n">
        <x:f>$B$8*'Transformaciones'!G111</x:f>
        <x:v>-0.0006923102341352828</x:v>
      </x:c>
      <x:c r="H119" s="90" t="n">
        <x:f>$B$9*'Transformaciones'!I111</x:f>
        <x:v>-0.002477212554465897</x:v>
      </x:c>
      <x:c r="I119" s="90" t="n">
        <x:f>$B$10*'Transformaciones'!K111</x:f>
        <x:v>-0.0008181224577036292</x:v>
      </x:c>
      <x:c r="J119" s="90" t="n">
        <x:f>$B$13*'Transformaciones'!P112</x:f>
        <x:v>0</x:v>
      </x:c>
      <x:c r="K119" s="101" t="n">
        <x:f>SUM(C119:J119)</x:f>
        <x:v>0.0288682534212409</x:v>
      </x:c>
      <x:c r="L119" s="101" t="n">
        <x:f>B119-K119</x:f>
        <x:v>0.008354077152517556</x:v>
      </x:c>
      <x:c r="M119" s="86" t="n">
        <x:f>'Datos_fuente'!B112</x:f>
        <x:v>2048.567419</x:v>
      </x:c>
      <x:c r="N119" s="86" t="n">
        <x:f>EXP('Transformaciones'!B111+K119)</x:f>
        <x:v>2031.5248154596536</x:v>
      </x:c>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t="str">
        <x:f>'Transformaciones'!A113</x:f>
        <x:v>2014-11</x:v>
      </x:c>
      <x:c r="B120" s="90" t="n">
        <x:f>'Transformaciones'!C113</x:f>
        <x:v>0.0383630631072327</x:v>
      </x:c>
      <x:c r="C120" s="90" t="n">
        <x:f>$B$6</x:f>
        <x:v>-0.00045209606279242174</x:v>
      </x:c>
      <x:c r="D120" s="90" t="n">
        <x:f>$B$7*'Transformaciones'!E113</x:f>
        <x:v>0.004952546459861213</x:v>
      </x:c>
      <x:c r="E120" s="90" t="n">
        <x:f>$B$11*'Transformaciones'!M113</x:f>
        <x:v>0.020709909636595424</x:v>
      </x:c>
      <x:c r="F120" s="90" t="n">
        <x:f>$B$12*'Transformaciones'!O113</x:f>
        <x:v>-0.011484556886885239</x:v>
      </x:c>
      <x:c r="G120" s="90" t="n">
        <x:f>$B$8*'Transformaciones'!G112</x:f>
        <x:v>-0.0012181916964988304</x:v>
      </x:c>
      <x:c r="H120" s="90" t="n">
        <x:f>$B$9*'Transformaciones'!I112</x:f>
        <x:v>0</x:v>
      </x:c>
      <x:c r="I120" s="90" t="n">
        <x:f>$B$10*'Transformaciones'!K112</x:f>
        <x:v>-0.0015395806095985505</x:v>
      </x:c>
      <x:c r="J120" s="90" t="n">
        <x:f>$B$13*'Transformaciones'!P113</x:f>
        <x:v>0</x:v>
      </x:c>
      <x:c r="K120" s="101" t="n">
        <x:f>SUM(C120:J120)</x:f>
        <x:v>0.010968030840681594</x:v>
      </x:c>
      <x:c r="L120" s="101" t="n">
        <x:f>B120-K120</x:f>
        <x:v>0.027395032266551104</x:v>
      </x:c>
      <x:c r="M120" s="86" t="n">
        <x:f>'Datos_fuente'!B113</x:f>
        <x:v>2128.683667</x:v>
      </x:c>
      <x:c r="N120" s="86" t="n">
        <x:f>EXP('Transformaciones'!B112+K120)</x:f>
        <x:v>2071.1598403335424</x:v>
      </x:c>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t="str">
        <x:f>'Transformaciones'!A114</x:f>
        <x:v>2014-12</x:v>
      </x:c>
      <x:c r="B121" s="90" t="n">
        <x:f>'Transformaciones'!C114</x:f>
        <x:v>0.09560972866176964</x:v>
      </x:c>
      <x:c r="C121" s="90" t="n">
        <x:f>$B$6</x:f>
        <x:v>-0.00045209606279242174</x:v>
      </x:c>
      <x:c r="D121" s="90" t="n">
        <x:f>$B$7*'Transformaciones'!E114</x:f>
        <x:v>0.012532918791715617</x:v>
      </x:c>
      <x:c r="E121" s="90" t="n">
        <x:f>$B$11*'Transformaciones'!M114</x:f>
        <x:v>0.028225630798318774</x:v>
      </x:c>
      <x:c r="F121" s="90" t="n">
        <x:f>$B$12*'Transformaciones'!O114</x:f>
        <x:v>0.007509392207079502</x:v>
      </x:c>
      <x:c r="G121" s="90" t="n">
        <x:f>$B$8*'Transformaciones'!G113</x:f>
        <x:v>-0.002345371988432448</x:v>
      </x:c>
      <x:c r="H121" s="90" t="n">
        <x:f>$B$9*'Transformaciones'!I113</x:f>
        <x:v>0</x:v>
      </x:c>
      <x:c r="I121" s="90" t="n">
        <x:f>$B$10*'Transformaciones'!K113</x:f>
        <x:v>-0.0007116740885540487</x:v>
      </x:c>
      <x:c r="J121" s="90" t="n">
        <x:f>$B$13*'Transformaciones'!P114</x:f>
        <x:v>0</x:v>
      </x:c>
      <x:c r="K121" s="101" t="n">
        <x:f>SUM(C121:J121)</x:f>
        <x:v>0.04475879965733498</x:v>
      </x:c>
      <x:c r="L121" s="101" t="n">
        <x:f>B121-K121</x:f>
        <x:v>0.050850929004434664</x:v>
      </x:c>
      <x:c r="M121" s="86" t="n">
        <x:f>'Datos_fuente'!B114</x:f>
        <x:v>2342.253548</x:v>
      </x:c>
      <x:c r="N121" s="86" t="n">
        <x:f>EXP('Transformaciones'!B113+K121)</x:f>
        <x:v>2226.1254136415337</x:v>
      </x:c>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t="str">
        <x:f>'Transformaciones'!A115</x:f>
        <x:v>2015-01</x:v>
      </x:c>
      <x:c r="B122" s="90" t="n">
        <x:f>'Transformaciones'!C115</x:f>
        <x:v>0.0232120906867479</x:v>
      </x:c>
      <x:c r="C122" s="90" t="n">
        <x:f>$B$6</x:f>
        <x:v>-0.00045209606279242174</x:v>
      </x:c>
      <x:c r="D122" s="90" t="n">
        <x:f>$B$7*'Transformaciones'!E115</x:f>
        <x:v>0.013767982331811436</x:v>
      </x:c>
      <x:c r="E122" s="90" t="n">
        <x:f>$B$11*'Transformaciones'!M115</x:f>
        <x:v>0.027434473773255426</x:v>
      </x:c>
      <x:c r="F122" s="90" t="n">
        <x:f>$B$12*'Transformaciones'!O115</x:f>
        <x:v>0.0061795172564145864</x:v>
      </x:c>
      <x:c r="G122" s="90" t="n">
        <x:f>$B$8*'Transformaciones'!G114</x:f>
        <x:v>0.001941047780721181</x:v>
      </x:c>
      <x:c r="H122" s="90" t="n">
        <x:f>$B$9*'Transformaciones'!I114</x:f>
        <x:v>0.0002972655065359101</x:v>
      </x:c>
      <x:c r="I122" s="90" t="n">
        <x:f>$B$10*'Transformaciones'!K114</x:f>
        <x:v>-0.001910896506604817</x:v>
      </x:c>
      <x:c r="J122" s="90" t="n">
        <x:f>$B$13*'Transformaciones'!P115</x:f>
        <x:v>0</x:v>
      </x:c>
      <x:c r="K122" s="101" t="n">
        <x:f>SUM(C122:J122)</x:f>
        <x:v>0.0472572940793413</x:v>
      </x:c>
      <x:c r="L122" s="101" t="n">
        <x:f>B122-K122</x:f>
        <x:v>-0.024045203392593403</x:v>
      </x:c>
      <x:c r="M122" s="86" t="n">
        <x:f>'Datos_fuente'!B115</x:f>
        <x:v>2397.258065</x:v>
      </x:c>
      <x:c r="N122" s="86" t="n">
        <x:f>EXP('Transformaciones'!B114+K122)</x:f>
        <x:v>2455.5992243717146</x:v>
      </x:c>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t="str">
        <x:f>'Transformaciones'!A116</x:f>
        <x:v>2015-02</x:v>
      </x:c>
      <x:c r="B123" s="90" t="n">
        <x:f>'Transformaciones'!C116</x:f>
        <x:v>0.009719782808037536</x:v>
      </x:c>
      <x:c r="C123" s="90" t="n">
        <x:f>$B$6</x:f>
        <x:v>-0.00045209606279242174</x:v>
      </x:c>
      <x:c r="D123" s="90" t="n">
        <x:f>$B$7*'Transformaciones'!E116</x:f>
        <x:v>-0.010127044316935022</x:v>
      </x:c>
      <x:c r="E123" s="90" t="n">
        <x:f>$B$11*'Transformaciones'!M116</x:f>
        <x:v>0.016374250677908236</x:v>
      </x:c>
      <x:c r="F123" s="90" t="n">
        <x:f>$B$12*'Transformaciones'!O116</x:f>
        <x:v>-0.007110475308570545</x:v>
      </x:c>
      <x:c r="G123" s="90" t="n">
        <x:f>$B$8*'Transformaciones'!G115</x:f>
        <x:v>-0.00022939337706008622</x:v>
      </x:c>
      <x:c r="H123" s="90" t="n">
        <x:f>$B$9*'Transformaciones'!I115</x:f>
        <x:v>-0.00009908850217863377</x:v>
      </x:c>
      <x:c r="I123" s="90" t="n">
        <x:f>$B$10*'Transformaciones'!K115</x:f>
        <x:v>0.0011779922061567528</x:v>
      </x:c>
      <x:c r="J123" s="90" t="n">
        <x:f>$B$13*'Transformaciones'!P116</x:f>
        <x:v>0</x:v>
      </x:c>
      <x:c r="K123" s="101" t="n">
        <x:f>SUM(C123:J123)</x:f>
        <x:v>-0.0004658546834717186</x:v>
      </x:c>
      <x:c r="L123" s="101" t="n">
        <x:f>B123-K123</x:f>
        <x:v>0.010185637491509254</x:v>
      </x:c>
      <x:c r="M123" s="86" t="n">
        <x:f>'Datos_fuente'!B116</x:f>
        <x:v>2420.6725</x:v>
      </x:c>
      <x:c r="N123" s="86" t="n">
        <x:f>EXP('Transformaciones'!B115+K123)</x:f>
        <x:v>2396.141551189715</x:v>
      </x:c>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t="str">
        <x:f>'Transformaciones'!A117</x:f>
        <x:v>2015-03</x:v>
      </x:c>
      <x:c r="B124" s="90" t="n">
        <x:f>'Transformaciones'!C117</x:f>
        <x:v>0.06582024250761442</x:v>
      </x:c>
      <x:c r="C124" s="90" t="n">
        <x:f>$B$6</x:f>
        <x:v>-0.00045209606279242174</x:v>
      </x:c>
      <x:c r="D124" s="90" t="n">
        <x:f>$B$7*'Transformaciones'!E117</x:f>
        <x:v>0.0020048366346691365</x:v>
      </x:c>
      <x:c r="E124" s="90" t="n">
        <x:f>$B$11*'Transformaciones'!M117</x:f>
        <x:v>0.025111565886639306</x:v>
      </x:c>
      <x:c r="F124" s="90" t="n">
        <x:f>$B$12*'Transformaciones'!O117</x:f>
        <x:v>-0.0027456060509339717</x:v>
      </x:c>
      <x:c r="G124" s="90" t="n">
        <x:f>$B$8*'Transformaciones'!G116</x:f>
        <x:v>0.0020324936485384176</x:v>
      </x:c>
      <x:c r="H124" s="90" t="n">
        <x:f>$B$9*'Transformaciones'!I116</x:f>
        <x:v>0</x:v>
      </x:c>
      <x:c r="I124" s="90" t="n">
        <x:f>$B$10*'Transformaciones'!K116</x:f>
        <x:v>0.00009070227009129593</x:v>
      </x:c>
      <x:c r="J124" s="90" t="n">
        <x:f>$B$13*'Transformaciones'!P117</x:f>
        <x:v>0</x:v>
      </x:c>
      <x:c r="K124" s="101" t="n">
        <x:f>SUM(C124:J124)</x:f>
        <x:v>0.026041896326211764</x:v>
      </x:c>
      <x:c r="L124" s="101" t="n">
        <x:f>B124-K124</x:f>
        <x:v>0.03977834618140266</x:v>
      </x:c>
      <x:c r="M124" s="86" t="n">
        <x:f>'Datos_fuente'!B117</x:f>
        <x:v>2585.362258</x:v>
      </x:c>
      <x:c r="N124" s="86" t="n">
        <x:f>EXP('Transformaciones'!B116+K124)</x:f>
        <x:v>2484.5394004862596</x:v>
      </x:c>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t="str">
        <x:f>'Transformaciones'!A118</x:f>
        <x:v>2015-04</x:v>
      </x:c>
      <x:c r="B125" s="90" t="n">
        <x:f>'Transformaciones'!C118</x:f>
        <x:v>-0.03147790500074521</x:v>
      </x:c>
      <x:c r="C125" s="90" t="n">
        <x:f>$B$6</x:f>
        <x:v>-0.00045209606279242174</x:v>
      </x:c>
      <x:c r="D125" s="90" t="n">
        <x:f>$B$7*'Transformaciones'!E118</x:f>
        <x:v>-0.003260761668978</x:v>
      </x:c>
      <x:c r="E125" s="90" t="n">
        <x:f>$B$11*'Transformaciones'!M118</x:f>
        <x:v>-0.011512084591473395</x:v>
      </x:c>
      <x:c r="F125" s="90" t="n">
        <x:f>$B$12*'Transformaciones'!O118</x:f>
        <x:v>-0.003598594670650872</x:v>
      </x:c>
      <x:c r="G125" s="90" t="n">
        <x:f>$B$8*'Transformaciones'!G117</x:f>
        <x:v>0.006130780988906316</x:v>
      </x:c>
      <x:c r="H125" s="90" t="n">
        <x:f>$B$9*'Transformaciones'!I117</x:f>
        <x:v>0</x:v>
      </x:c>
      <x:c r="I125" s="90" t="n">
        <x:f>$B$10*'Transformaciones'!K117</x:f>
        <x:v>0.00017911615135654676</x:v>
      </x:c>
      <x:c r="J125" s="90" t="n">
        <x:f>$B$13*'Transformaciones'!P118</x:f>
        <x:v>0</x:v>
      </x:c>
      <x:c r="K125" s="101" t="n">
        <x:f>SUM(C125:J125)</x:f>
        <x:v>-0.012513639853631827</x:v>
      </x:c>
      <x:c r="L125" s="101" t="n">
        <x:f>B125-K125</x:f>
        <x:v>-0.018964265147113385</x:v>
      </x:c>
      <x:c r="M125" s="86" t="n">
        <x:f>'Datos_fuente'!B118</x:f>
        <x:v>2505.248</x:v>
      </x:c>
      <x:c r="N125" s="86" t="n">
        <x:f>EXP('Transformaciones'!B117+K125)</x:f>
        <x:v>2553.211546566241</x:v>
      </x:c>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t="str">
        <x:f>'Transformaciones'!A119</x:f>
        <x:v>2015-05</x:v>
      </x:c>
      <x:c r="B126" s="90" t="n">
        <x:f>'Transformaciones'!C119</x:f>
        <x:v>-0.02740038282099544</x:v>
      </x:c>
      <x:c r="C126" s="90" t="n">
        <x:f>$B$6</x:f>
        <x:v>-0.00045209606279242174</x:v>
      </x:c>
      <x:c r="D126" s="90" t="n">
        <x:f>$B$7*'Transformaciones'!E119</x:f>
        <x:v>-0.003808163670114815</x:v>
      </x:c>
      <x:c r="E126" s="90" t="n">
        <x:f>$B$11*'Transformaciones'!M119</x:f>
        <x:v>-0.010853230769239738</x:v>
      </x:c>
      <x:c r="F126" s="90" t="n">
        <x:f>$B$12*'Transformaciones'!O119</x:f>
        <x:v>-0.0004497805977971551</x:v>
      </x:c>
      <x:c r="G126" s="90" t="n">
        <x:f>$B$8*'Transformaciones'!G118</x:f>
        <x:v>0.0022234420970994703</x:v>
      </x:c>
      <x:c r="H126" s="90" t="n">
        <x:f>$B$9*'Transformaciones'!I118</x:f>
        <x:v>0.00009908850217863377</x:v>
      </x:c>
      <x:c r="I126" s="90" t="n">
        <x:f>$B$10*'Transformaciones'!K118</x:f>
        <x:v>0.0001474946996104563</x:v>
      </x:c>
      <x:c r="J126" s="90" t="n">
        <x:f>$B$13*'Transformaciones'!P119</x:f>
        <x:v>0</x:v>
      </x:c>
      <x:c r="K126" s="101" t="n">
        <x:f>SUM(C126:J126)</x:f>
        <x:v>-0.013093245801055569</x:v>
      </x:c>
      <x:c r="L126" s="101" t="n">
        <x:f>B126-K126</x:f>
        <x:v>-0.01430713701993987</x:v>
      </x:c>
      <x:c r="M126" s="86" t="n">
        <x:f>'Datos_fuente'!B119</x:f>
        <x:v>2437.535161</x:v>
      </x:c>
      <x:c r="N126" s="86" t="n">
        <x:f>EXP('Transformaciones'!B118+K126)</x:f>
        <x:v>2472.6599791808585</x:v>
      </x:c>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t="str">
        <x:f>'Transformaciones'!A120</x:f>
        <x:v>2015-06</x:v>
      </x:c>
      <x:c r="B127" s="90" t="n">
        <x:f>'Transformaciones'!C120</x:f>
        <x:v>0.049987280298008585</x:v>
      </x:c>
      <x:c r="C127" s="90" t="n">
        <x:f>$B$6</x:f>
        <x:v>-0.00045209606279242174</x:v>
      </x:c>
      <x:c r="D127" s="90" t="n">
        <x:f>$B$7*'Transformaciones'!E120</x:f>
        <x:v>0.0021389912447805997</x:v>
      </x:c>
      <x:c r="E127" s="90" t="n">
        <x:f>$B$11*'Transformaciones'!M120</x:f>
        <x:v>0.008871804834411315</x:v>
      </x:c>
      <x:c r="F127" s="90" t="n">
        <x:f>$B$12*'Transformaciones'!O120</x:f>
        <x:v>0.0027946281357239073</x:v>
      </x:c>
      <x:c r="G127" s="90" t="n">
        <x:f>$B$8*'Transformaciones'!G119</x:f>
        <x:v>0.0018209173141702296</x:v>
      </x:c>
      <x:c r="H127" s="90" t="n">
        <x:f>$B$9*'Transformaciones'!I119</x:f>
        <x:v>0</x:v>
      </x:c>
      <x:c r="I127" s="90" t="n">
        <x:f>$B$10*'Transformaciones'!K119</x:f>
        <x:v>-0.0008993739620943228</x:v>
      </x:c>
      <x:c r="J127" s="90" t="n">
        <x:f>$B$13*'Transformaciones'!P120</x:f>
        <x:v>0</x:v>
      </x:c>
      <x:c r="K127" s="101" t="n">
        <x:f>SUM(C127:J127)</x:f>
        <x:v>0.014274871504199309</x:v>
      </x:c>
      <x:c r="L127" s="101" t="n">
        <x:f>B127-K127</x:f>
        <x:v>0.035712408793809276</x:v>
      </x:c>
      <x:c r="M127" s="86" t="n">
        <x:f>'Datos_fuente'!B120</x:f>
        <x:v>2562.477667</x:v>
      </x:c>
      <x:c r="N127" s="86" t="n">
        <x:f>EXP('Transformaciones'!B119+K127)</x:f>
        <x:v>2472.580198818462</x:v>
      </x:c>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t="str">
        <x:f>'Transformaciones'!A121</x:f>
        <x:v>2015-07</x:v>
      </x:c>
      <x:c r="B128" s="90" t="n">
        <x:f>'Transformaciones'!C121</x:f>
        <x:v>0.06407241866252456</x:v>
      </x:c>
      <x:c r="C128" s="90" t="n">
        <x:f>$B$6</x:f>
        <x:v>-0.00045209606279242174</x:v>
      </x:c>
      <x:c r="D128" s="90" t="n">
        <x:f>$B$7*'Transformaciones'!E121</x:f>
        <x:v>0.004308544298381029</x:v>
      </x:c>
      <x:c r="E128" s="90" t="n">
        <x:f>$B$11*'Transformaciones'!M121</x:f>
        <x:v>0.022050799197465325</x:v>
      </x:c>
      <x:c r="F128" s="90" t="n">
        <x:f>$B$12*'Transformaciones'!O121</x:f>
        <x:v>0.00003548351497133386</x:v>
      </x:c>
      <x:c r="G128" s="90" t="n">
        <x:f>$B$8*'Transformaciones'!G120</x:f>
        <x:v>0.005981616522261583</x:v>
      </x:c>
      <x:c r="H128" s="90" t="n">
        <x:f>$B$9*'Transformaciones'!I120</x:f>
        <x:v>0.00009908850217863377</x:v>
      </x:c>
      <x:c r="I128" s="90" t="n">
        <x:f>$B$10*'Transformaciones'!K120</x:f>
        <x:v>0.0004211819369157513</x:v>
      </x:c>
      <x:c r="J128" s="90" t="n">
        <x:f>$B$13*'Transformaciones'!P121</x:f>
        <x:v>0</x:v>
      </x:c>
      <x:c r="K128" s="101" t="n">
        <x:f>SUM(C128:J128)</x:f>
        <x:v>0.03244461790938123</x:v>
      </x:c>
      <x:c r="L128" s="101" t="n">
        <x:f>B128-K128</x:f>
        <x:v>0.03162780075314332</x:v>
      </x:c>
      <x:c r="M128" s="86" t="n">
        <x:f>'Datos_fuente'!B121</x:f>
        <x:v>2732.035806</x:v>
      </x:c>
      <x:c r="N128" s="86" t="n">
        <x:f>EXP('Transformaciones'!B120+K128)</x:f>
        <x:v>2646.9796811074793</x:v>
      </x:c>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t="str">
        <x:f>'Transformaciones'!A122</x:f>
        <x:v>2015-08</x:v>
      </x:c>
      <x:c r="B129" s="90" t="n">
        <x:f>'Transformaciones'!C122</x:f>
        <x:v>0.09775226937892523</x:v>
      </x:c>
      <x:c r="C129" s="90" t="n">
        <x:f>$B$6</x:f>
        <x:v>-0.00045209606279242174</x:v>
      </x:c>
      <x:c r="D129" s="90" t="n">
        <x:f>$B$7*'Transformaciones'!E122</x:f>
        <x:v>0.010108436818328471</x:v>
      </x:c>
      <x:c r="E129" s="90" t="n">
        <x:f>$B$11*'Transformaciones'!M122</x:f>
        <x:v>0.020648341165373472</x:v>
      </x:c>
      <x:c r="F129" s="90" t="n">
        <x:f>$B$12*'Transformaciones'!O122</x:f>
        <x:v>0.011692670805179736</x:v>
      </x:c>
      <x:c r="G129" s="90" t="n">
        <x:f>$B$8*'Transformaciones'!G121</x:f>
        <x:v>0.006663333481757364</x:v>
      </x:c>
      <x:c r="H129" s="90" t="n">
        <x:f>$B$9*'Transformaciones'!I121</x:f>
        <x:v>0</x:v>
      </x:c>
      <x:c r="I129" s="90" t="n">
        <x:f>$B$10*'Transformaciones'!K121</x:f>
        <x:v>0.0002260527142795337</x:v>
      </x:c>
      <x:c r="J129" s="90" t="n">
        <x:f>$B$13*'Transformaciones'!P122</x:f>
        <x:v>0</x:v>
      </x:c>
      <x:c r="K129" s="101" t="n">
        <x:f>SUM(C129:J129)</x:f>
        <x:v>0.04888673892212616</x:v>
      </x:c>
      <x:c r="L129" s="101" t="n">
        <x:f>B129-K129</x:f>
        <x:v>0.04886553045679907</x:v>
      </x:c>
      <x:c r="M129" s="86" t="n">
        <x:f>'Datos_fuente'!B122</x:f>
        <x:v>3012.587419</x:v>
      </x:c>
      <x:c r="N129" s="86" t="n">
        <x:f>EXP('Transformaciones'!B121+K129)</x:f>
        <x:v>2868.9146476442993</x:v>
      </x:c>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t="str">
        <x:f>'Transformaciones'!A123</x:f>
        <x:v>2015-09</x:v>
      </x:c>
      <x:c r="B130" s="90" t="n">
        <x:f>'Transformaciones'!C123</x:f>
        <x:v>0.017707526852394295</x:v>
      </x:c>
      <x:c r="C130" s="90" t="n">
        <x:f>$B$6</x:f>
        <x:v>-0.00045209606279242174</x:v>
      </x:c>
      <x:c r="D130" s="90" t="n">
        <x:f>$B$7*'Transformaciones'!E123</x:f>
        <x:v>-0.0012170850207111452</x:v>
      </x:c>
      <x:c r="E130" s="90" t="n">
        <x:f>$B$11*'Transformaciones'!M123</x:f>
        <x:v>0.009623348185097729</x:v>
      </x:c>
      <x:c r="F130" s="90" t="n">
        <x:f>$B$12*'Transformaciones'!O123</x:f>
        <x:v>0.008763344043425958</x:v>
      </x:c>
      <x:c r="G130" s="90" t="n">
        <x:f>$B$8*'Transformaciones'!G122</x:f>
        <x:v>0.010709209056523694</x:v>
      </x:c>
      <x:c r="H130" s="90" t="n">
        <x:f>$B$9*'Transformaciones'!I122</x:f>
        <x:v>0.00009908850217863377</x:v>
      </x:c>
      <x:c r="I130" s="90" t="n">
        <x:f>$B$10*'Transformaciones'!K122</x:f>
        <x:v>-0.0007811799073176219</x:v>
      </x:c>
      <x:c r="J130" s="90" t="n">
        <x:f>$B$13*'Transformaciones'!P123</x:f>
        <x:v>0</x:v>
      </x:c>
      <x:c r="K130" s="101" t="n">
        <x:f>SUM(C130:J130)</x:f>
        <x:v>0.026744628796404823</x:v>
      </x:c>
      <x:c r="L130" s="101" t="n">
        <x:f>B130-K130</x:f>
        <x:v>-0.009037101944010528</x:v>
      </x:c>
      <x:c r="M130" s="86" t="n">
        <x:f>'Datos_fuente'!B123</x:f>
        <x:v>3066.408</x:v>
      </x:c>
      <x:c r="N130" s="86" t="n">
        <x:f>EXP('Transformaciones'!B122+K130)</x:f>
        <x:v>3094.245035308741</x:v>
      </x:c>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t="str">
        <x:f>'Transformaciones'!A124</x:f>
        <x:v>2015-10</x:v>
      </x:c>
      <x:c r="B131" s="90" t="n">
        <x:f>'Transformaciones'!C124</x:f>
        <x:v>-0.04568455392085813</x:v>
      </x:c>
      <x:c r="C131" s="90" t="n">
        <x:f>$B$6</x:f>
        <x:v>-0.00045209606279242174</x:v>
      </x:c>
      <x:c r="D131" s="90" t="n">
        <x:f>$B$7*'Transformaciones'!E124</x:f>
        <x:v>-0.0008684199146190766</x:v>
      </x:c>
      <x:c r="E131" s="90" t="n">
        <x:f>$B$11*'Transformaciones'!M124</x:f>
        <x:v>-0.010432066086441365</x:v>
      </x:c>
      <x:c r="F131" s="90" t="n">
        <x:f>$B$12*'Transformaciones'!O124</x:f>
        <x:v>-0.014400128489652182</x:v>
      </x:c>
      <x:c r="G131" s="90" t="n">
        <x:f>$B$8*'Transformaciones'!G123</x:f>
        <x:v>0.006033266998753549</x:v>
      </x:c>
      <x:c r="H131" s="90" t="n">
        <x:f>$B$9*'Transformaciones'!I123</x:f>
        <x:v>-0.0002477212554465844</x:v>
      </x:c>
      <x:c r="I131" s="90" t="n">
        <x:f>$B$10*'Transformaciones'!K123</x:f>
        <x:v>0.0009954208566005423</x:v>
      </x:c>
      <x:c r="J131" s="90" t="n">
        <x:f>$B$13*'Transformaciones'!P124</x:f>
        <x:v>0</x:v>
      </x:c>
      <x:c r="K131" s="101" t="n">
        <x:f>SUM(C131:J131)</x:f>
        <x:v>-0.019371743953597538</x:v>
      </x:c>
      <x:c r="L131" s="101" t="n">
        <x:f>B131-K131</x:f>
        <x:v>-0.02631280996726059</x:v>
      </x:c>
      <x:c r="M131" s="86" t="n">
        <x:f>'Datos_fuente'!B124</x:f>
        <x:v>2929.472258</x:v>
      </x:c>
      <x:c r="N131" s="86" t="n">
        <x:f>EXP('Transformaciones'!B123+K131)</x:f>
        <x:v>3007.5779890441186</x:v>
      </x:c>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t="str">
        <x:f>'Transformaciones'!A125</x:f>
        <x:v>2015-11</x:v>
      </x:c>
      <x:c r="B132" s="90" t="n">
        <x:f>'Transformaciones'!C125</x:f>
        <x:v>0.02424867104601791</x:v>
      </x:c>
      <x:c r="C132" s="90" t="n">
        <x:f>$B$6</x:f>
        <x:v>-0.00045209606279242174</x:v>
      </x:c>
      <x:c r="D132" s="90" t="n">
        <x:f>$B$7*'Transformaciones'!E125</x:f>
        <x:v>0.004645377635735261</x:v>
      </x:c>
      <x:c r="E132" s="90" t="n">
        <x:f>$B$11*'Transformaciones'!M125</x:f>
        <x:v>0.019608287659369485</x:v>
      </x:c>
      <x:c r="F132" s="90" t="n">
        <x:f>$B$12*'Transformaciones'!O125</x:f>
        <x:v>-0.0013565642745396146</x:v>
      </x:c>
      <x:c r="G132" s="90" t="n">
        <x:f>$B$8*'Transformaciones'!G124</x:f>
        <x:v>0.0021576594926841102</x:v>
      </x:c>
      <x:c r="H132" s="90" t="n">
        <x:f>$B$9*'Transformaciones'!I124</x:f>
        <x:v>-0.0024276683033765804</x:v>
      </x:c>
      <x:c r="I132" s="90" t="n">
        <x:f>$B$10*'Transformaciones'!K124</x:f>
        <x:v>0.00014941467048331254</x:v>
      </x:c>
      <x:c r="J132" s="90" t="n">
        <x:f>$B$13*'Transformaciones'!P125</x:f>
        <x:v>0</x:v>
      </x:c>
      <x:c r="K132" s="101" t="n">
        <x:f>SUM(C132:J132)</x:f>
        <x:v>0.02232441081756355</x:v>
      </x:c>
      <x:c r="L132" s="101" t="n">
        <x:f>B132-K132</x:f>
        <x:v>0.0019242602284543601</x:v>
      </x:c>
      <x:c r="M132" s="86" t="n">
        <x:f>'Datos_fuente'!B125</x:f>
        <x:v>3001.376333</x:v>
      </x:c>
      <x:c r="N132" s="86" t="n">
        <x:f>EXP('Transformaciones'!B124+K132)</x:f>
        <x:v>2995.6064570435765</x:v>
      </x:c>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t="str">
        <x:f>'Transformaciones'!A126</x:f>
        <x:v>2015-12</x:v>
      </x:c>
      <x:c r="B133" s="90" t="n">
        <x:f>'Transformaciones'!C126</x:f>
        <x:v>0.07779832270026787</x:v>
      </x:c>
      <x:c r="C133" s="90" t="n">
        <x:f>$B$6</x:f>
        <x:v>-0.00045209606279242174</x:v>
      </x:c>
      <x:c r="D133" s="90" t="n">
        <x:f>$B$7*'Transformaciones'!E126</x:f>
        <x:v>0.007884300767336165</x:v>
      </x:c>
      <x:c r="E133" s="90" t="n">
        <x:f>$B$11*'Transformaciones'!M126</x:f>
        <x:v>0.011844412949475863</x:v>
      </x:c>
      <x:c r="F133" s="90" t="n">
        <x:f>$B$12*'Transformaciones'!O126</x:f>
        <x:v>0.004099520267057961</x:v>
      </x:c>
      <x:c r="G133" s="90" t="n">
        <x:f>$B$8*'Transformaciones'!G125</x:f>
        <x:v>0.0040400353440347946</x:v>
      </x:c>
      <x:c r="H133" s="90" t="n">
        <x:f>$B$9*'Transformaciones'!I125</x:f>
        <x:v>-0.00470670385348521</x:v>
      </x:c>
      <x:c r="I133" s="90" t="n">
        <x:f>$B$10*'Transformaciones'!K125</x:f>
        <x:v>0.000775960193976323</x:v>
      </x:c>
      <x:c r="J133" s="90" t="n">
        <x:f>$B$13*'Transformaciones'!P126</x:f>
        <x:v>0</x:v>
      </x:c>
      <x:c r="K133" s="101" t="n">
        <x:f>SUM(C133:J133)</x:f>
        <x:v>0.023485429605603476</x:v>
      </x:c>
      <x:c r="L133" s="101" t="n">
        <x:f>B133-K133</x:f>
        <x:v>0.0543128930946644</x:v>
      </x:c>
      <x:c r="M133" s="86" t="n">
        <x:f>'Datos_fuente'!B126</x:f>
        <x:v>3244.201613</x:v>
      </x:c>
      <x:c r="N133" s="86" t="n">
        <x:f>EXP('Transformaciones'!B125+K133)</x:f>
        <x:v>3072.699191334647</x:v>
      </x:c>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t="str">
        <x:f>'Transformaciones'!A127</x:f>
        <x:v>2016-01</x:v>
      </x:c>
      <x:c r="B134" s="90" t="n">
        <x:f>'Transformaciones'!C127</x:f>
        <x:v>0.00798038156249703</x:v>
      </x:c>
      <x:c r="C134" s="90" t="n">
        <x:f>$B$6</x:f>
        <x:v>-0.00045209606279242174</x:v>
      </x:c>
      <x:c r="D134" s="90" t="n">
        <x:f>$B$7*'Transformaciones'!E127</x:f>
        <x:v>0.011035438566627795</x:v>
      </x:c>
      <x:c r="E134" s="90" t="n">
        <x:f>$B$11*'Transformaciones'!M127</x:f>
        <x:v>0.026096554117398862</x:v>
      </x:c>
      <x:c r="F134" s="90" t="n">
        <x:f>$B$12*'Transformaciones'!O127</x:f>
        <x:v>0.010598425942992283</x:v>
      </x:c>
      <x:c r="G134" s="90" t="n">
        <x:f>$B$8*'Transformaciones'!G126</x:f>
        <x:v>0.002795244997613726</x:v>
      </x:c>
      <x:c r="H134" s="90" t="n">
        <x:f>$B$9*'Transformaciones'!I126</x:f>
        <x:v>-0.002414882686036915</x:v>
      </x:c>
      <x:c r="I134" s="90" t="n">
        <x:f>$B$10*'Transformaciones'!K126</x:f>
        <x:v>0.00014931262041967486</x:v>
      </x:c>
      <x:c r="J134" s="90" t="n">
        <x:f>$B$13*'Transformaciones'!P127</x:f>
        <x:v>0</x:v>
      </x:c>
      <x:c r="K134" s="101" t="n">
        <x:f>SUM(C134:J134)</x:f>
        <x:v>0.047807997496223</x:v>
      </x:c>
      <x:c r="L134" s="101" t="n">
        <x:f>B134-K134</x:f>
        <x:v>-0.03982761593372597</x:v>
      </x:c>
      <x:c r="M134" s="86" t="n">
        <x:f>'Datos_fuente'!B127</x:f>
        <x:v>3270.195161</x:v>
      </x:c>
      <x:c r="N134" s="86" t="n">
        <x:f>EXP('Transformaciones'!B126+K134)</x:f>
        <x:v>3403.0676720713577</x:v>
      </x:c>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t="str">
        <x:f>'Transformaciones'!A128</x:f>
        <x:v>2016-02</x:v>
      </x:c>
      <x:c r="B135" s="90" t="n">
        <x:f>'Transformaciones'!C128</x:f>
        <x:v>0.025589257557919964</x:v>
      </x:c>
      <x:c r="C135" s="90" t="n">
        <x:f>$B$6</x:f>
        <x:v>-0.00045209606279242174</x:v>
      </x:c>
      <x:c r="D135" s="90" t="n">
        <x:f>$B$7*'Transformaciones'!E128</x:f>
        <x:v>-0.0024370522210126963</x:v>
      </x:c>
      <x:c r="E135" s="90" t="n">
        <x:f>$B$11*'Transformaciones'!M128</x:f>
        <x:v>-0.010086427080083421</x:v>
      </x:c>
      <x:c r="F135" s="90" t="n">
        <x:f>$B$12*'Transformaciones'!O128</x:f>
        <x:v>-0.002006545159375518</x:v>
      </x:c>
      <x:c r="G135" s="90" t="n">
        <x:f>$B$8*'Transformaciones'!G127</x:f>
        <x:v>0.003177978619126194</x:v>
      </x:c>
      <x:c r="H135" s="90" t="n">
        <x:f>$B$9*'Transformaciones'!I127</x:f>
        <x:v>-0.0006073166304114768</x:v>
      </x:c>
      <x:c r="I135" s="90" t="n">
        <x:f>$B$10*'Transformaciones'!K127</x:f>
        <x:v>0.0004208057403485144</x:v>
      </x:c>
      <x:c r="J135" s="90" t="n">
        <x:f>$B$13*'Transformaciones'!P128</x:f>
        <x:v>0</x:v>
      </x:c>
      <x:c r="K135" s="101" t="n">
        <x:f>SUM(C135:J135)</x:f>
        <x:v>-0.011990652794200824</x:v>
      </x:c>
      <x:c r="L135" s="101" t="n">
        <x:f>B135-K135</x:f>
        <x:v>0.037579910352120785</x:v>
      </x:c>
      <x:c r="M135" s="86" t="n">
        <x:f>'Datos_fuente'!B128</x:f>
        <x:v>3354.956897</x:v>
      </x:c>
      <x:c r="N135" s="86" t="n">
        <x:f>EXP('Transformaciones'!B127+K135)</x:f>
        <x:v>3231.2175368362136</x:v>
      </x:c>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t="str">
        <x:f>'Transformaciones'!A129</x:f>
        <x:v>2016-03</x:v>
      </x:c>
      <x:c r="B136" s="90" t="n">
        <x:f>'Transformaciones'!C129</x:f>
        <x:v>-0.06979288399345585</x:v>
      </x:c>
      <x:c r="C136" s="90" t="n">
        <x:f>$B$6</x:f>
        <x:v>-0.00045209606279242174</x:v>
      </x:c>
      <x:c r="D136" s="90" t="n">
        <x:f>$B$7*'Transformaciones'!E129</x:f>
        <x:v>-0.008876463246202526</x:v>
      </x:c>
      <x:c r="E136" s="90" t="n">
        <x:f>$B$11*'Transformaciones'!M129</x:f>
        <x:v>-0.02566147836056368</x:v>
      </x:c>
      <x:c r="F136" s="90" t="n">
        <x:f>$B$12*'Transformaciones'!O129</x:f>
        <x:v>-0.013560924186381681</x:v>
      </x:c>
      <x:c r="G136" s="90" t="n">
        <x:f>$B$8*'Transformaciones'!G128</x:f>
        <x:v>0.004645893484009702</x:v>
      </x:c>
      <x:c r="H136" s="90" t="n">
        <x:f>$B$9*'Transformaciones'!I128</x:f>
        <x:v>-0.0027642275239018748</x:v>
      </x:c>
      <x:c r="I136" s="90" t="n">
        <x:f>$B$10*'Transformaciones'!K128</x:f>
        <x:v>0.0012989361866151431</x:v>
      </x:c>
      <x:c r="J136" s="90" t="n">
        <x:f>$B$13*'Transformaciones'!P129</x:f>
        <x:v>0</x:v>
      </x:c>
      <x:c r="K136" s="101" t="n">
        <x:f>SUM(C136:J136)</x:f>
        <x:v>-0.04537035970921735</x:v>
      </x:c>
      <x:c r="L136" s="101" t="n">
        <x:f>B136-K136</x:f>
        <x:v>-0.024422524284238495</x:v>
      </x:c>
      <x:c r="M136" s="86" t="n">
        <x:f>'Datos_fuente'!B129</x:f>
        <x:v>3128.789032</x:v>
      </x:c>
      <x:c r="N136" s="86" t="n">
        <x:f>EXP('Transformaciones'!B128+K136)</x:f>
        <x:v>3206.1426991982685</x:v>
      </x:c>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t="str">
        <x:f>'Transformaciones'!A130</x:f>
        <x:v>2016-04</x:v>
      </x:c>
      <x:c r="B137" s="90" t="n">
        <x:f>'Transformaciones'!C130</x:f>
        <x:v>-0.042791704128717356</x:v>
      </x:c>
      <x:c r="C137" s="90" t="n">
        <x:f>$B$6</x:f>
        <x:v>-0.00045209606279242174</x:v>
      </x:c>
      <x:c r="D137" s="90" t="n">
        <x:f>$B$7*'Transformaciones'!E130</x:f>
        <x:v>-0.004372664433094569</x:v>
      </x:c>
      <x:c r="E137" s="90" t="n">
        <x:f>$B$11*'Transformaciones'!M130</x:f>
        <x:v>-0.020547163696166944</x:v>
      </x:c>
      <x:c r="F137" s="90" t="n">
        <x:f>$B$12*'Transformaciones'!O130</x:f>
        <x:v>-0.003970643076952721</x:v>
      </x:c>
      <x:c r="G137" s="90" t="n">
        <x:f>$B$8*'Transformaciones'!G129</x:f>
        <x:v>-0.0010863354614334489</x:v>
      </x:c>
      <x:c r="H137" s="90" t="n">
        <x:f>$B$9*'Transformaciones'!I129</x:f>
        <x:v>-0.0027911214018171426</x:v>
      </x:c>
      <x:c r="I137" s="90" t="n">
        <x:f>$B$10*'Transformaciones'!K129</x:f>
        <x:v>-0.0006946960763169026</x:v>
      </x:c>
      <x:c r="J137" s="90" t="n">
        <x:f>$B$13*'Transformaciones'!P130</x:f>
        <x:v>0</x:v>
      </x:c>
      <x:c r="K137" s="101" t="n">
        <x:f>SUM(C137:J137)</x:f>
        <x:v>-0.03391472020857415</x:v>
      </x:c>
      <x:c r="L137" s="101" t="n">
        <x:f>B137-K137</x:f>
        <x:v>-0.008876983920143203</x:v>
      </x:c>
      <x:c r="M137" s="86" t="n">
        <x:f>'Datos_fuente'!B130</x:f>
        <x:v>2997.727</x:v>
      </x:c>
      <x:c r="N137" s="86" t="n">
        <x:f>EXP('Transformaciones'!B129+K137)</x:f>
        <x:v>3024.456236352997</x:v>
      </x:c>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t="str">
        <x:f>'Transformaciones'!A131</x:f>
        <x:v>2016-05</x:v>
      </x:c>
      <x:c r="B138" s="90" t="n">
        <x:f>'Transformaciones'!C131</x:f>
        <x:v>-0.0014082617105479756</x:v>
      </x:c>
      <x:c r="C138" s="90" t="n">
        <x:f>$B$6</x:f>
        <x:v>-0.00045209606279242174</x:v>
      </x:c>
      <x:c r="D138" s="90" t="n">
        <x:f>$B$7*'Transformaciones'!E131</x:f>
        <x:v>-0.006045505733459553</x:v>
      </x:c>
      <x:c r="E138" s="90" t="n">
        <x:f>$B$11*'Transformaciones'!M131</x:f>
        <x:v>0.012344246346263677</x:v>
      </x:c>
      <x:c r="F138" s="90" t="n">
        <x:f>$B$12*'Transformaciones'!O131</x:f>
        <x:v>0.0014635872942730158</x:v>
      </x:c>
      <x:c r="G138" s="90" t="n">
        <x:f>$B$8*'Transformaciones'!G130</x:f>
        <x:v>0.002413133309366378</x:v>
      </x:c>
      <x:c r="H138" s="90" t="n">
        <x:f>$B$9*'Transformaciones'!I130</x:f>
        <x:v>-0.0015790232311427641</x:v>
      </x:c>
      <x:c r="I138" s="90" t="n">
        <x:f>$B$10*'Transformaciones'!K130</x:f>
        <x:v>0.0013574045448622484</x:v>
      </x:c>
      <x:c r="J138" s="90" t="n">
        <x:f>$B$13*'Transformaciones'!P131</x:f>
        <x:v>0</x:v>
      </x:c>
      <x:c r="K138" s="101" t="n">
        <x:f>SUM(C138:J138)</x:f>
        <x:v>0.009501746467370582</x:v>
      </x:c>
      <x:c r="L138" s="101" t="n">
        <x:f>B138-K138</x:f>
        <x:v>-0.010910008177918557</x:v>
      </x:c>
      <x:c r="M138" s="86" t="n">
        <x:f>'Datos_fuente'!B131</x:f>
        <x:v>2993.508387</x:v>
      </x:c>
      <x:c r="N138" s="86" t="n">
        <x:f>EXP('Transformaciones'!B130+K138)</x:f>
        <x:v>3026.3463937234837</x:v>
      </x:c>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t="str">
        <x:f>'Transformaciones'!A132</x:f>
        <x:v>2016-06</x:v>
      </x:c>
      <x:c r="B139" s="90" t="n">
        <x:f>'Transformaciones'!C132</x:f>
        <x:v>-0.00021706654359654465</x:v>
      </x:c>
      <x:c r="C139" s="90" t="n">
        <x:f>$B$6</x:f>
        <x:v>-0.00045209606279242174</x:v>
      </x:c>
      <x:c r="D139" s="90" t="n">
        <x:f>$B$7*'Transformaciones'!E132</x:f>
        <x:v>-0.0016380265787352298</x:v>
      </x:c>
      <x:c r="E139" s="90" t="n">
        <x:f>$B$11*'Transformaciones'!M132</x:f>
        <x:v>0.004573247412050127</x:v>
      </x:c>
      <x:c r="F139" s="90" t="n">
        <x:f>$B$12*'Transformaciones'!O132</x:f>
        <x:v>0.0069347759437118845</x:v>
      </x:c>
      <x:c r="G139" s="90" t="n">
        <x:f>$B$8*'Transformaciones'!G131</x:f>
        <x:v>0.003601910489310221</x:v>
      </x:c>
      <x:c r="H139" s="90" t="n">
        <x:f>$B$9*'Transformaciones'!I131</x:f>
        <x:v>-0.004874515027808228</x:v>
      </x:c>
      <x:c r="I139" s="90" t="n">
        <x:f>$B$10*'Transformaciones'!K131</x:f>
        <x:v>0.0002878698996900481</x:v>
      </x:c>
      <x:c r="J139" s="90" t="n">
        <x:f>$B$13*'Transformaciones'!P132</x:f>
        <x:v>0</x:v>
      </x:c>
      <x:c r="K139" s="101" t="n">
        <x:f>SUM(C139:J139)</x:f>
        <x:v>0.0084331660754264</x:v>
      </x:c>
      <x:c r="L139" s="101" t="n">
        <x:f>B139-K139</x:f>
        <x:v>-0.008650232619022945</x:v>
      </x:c>
      <x:c r="M139" s="86" t="n">
        <x:f>'Datos_fuente'!B132</x:f>
        <x:v>2992.858667</x:v>
      </x:c>
      <x:c r="N139" s="86" t="n">
        <x:f>EXP('Transformaciones'!B131+K139)</x:f>
        <x:v>3018.859886833834</x:v>
      </x:c>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t="str">
        <x:f>'Transformaciones'!A133</x:f>
        <x:v>2016-07</x:v>
      </x:c>
      <x:c r="B140" s="90" t="n">
        <x:f>'Transformaciones'!C133</x:f>
        <x:v>-0.0107020665381663</x:v>
      </x:c>
      <x:c r="C140" s="90" t="n">
        <x:f>$B$6</x:f>
        <x:v>-0.00045209606279242174</x:v>
      </x:c>
      <x:c r="D140" s="90" t="n">
        <x:f>$B$7*'Transformaciones'!E133</x:f>
        <x:v>0.003657030323873525</x:v>
      </x:c>
      <x:c r="E140" s="90" t="n">
        <x:f>$B$11*'Transformaciones'!M133</x:f>
        <x:v>0.009953583538934954</x:v>
      </x:c>
      <x:c r="F140" s="90" t="n">
        <x:f>$B$12*'Transformaciones'!O133</x:f>
        <x:v>-0.011612315770553496</x:v>
      </x:c>
      <x:c r="G140" s="90" t="n">
        <x:f>$B$8*'Transformaciones'!G132</x:f>
        <x:v>0.0003695493440397501</x:v>
      </x:c>
      <x:c r="H140" s="90" t="n">
        <x:f>$B$9*'Transformaciones'!I132</x:f>
        <x:v>-0.0031186241512380164</x:v>
      </x:c>
      <x:c r="I140" s="90" t="n">
        <x:f>$B$10*'Transformaciones'!K132</x:f>
        <x:v>-0.00019437254737902617</x:v>
      </x:c>
      <x:c r="J140" s="90" t="n">
        <x:f>$B$13*'Transformaciones'!P133</x:f>
        <x:v>0</x:v>
      </x:c>
      <x:c r="K140" s="101" t="n">
        <x:f>SUM(C140:J140)</x:f>
        <x:v>-0.00139724532511473</x:v>
      </x:c>
      <x:c r="L140" s="101" t="n">
        <x:f>B140-K140</x:f>
        <x:v>-0.009304821213051569</x:v>
      </x:c>
      <x:c r="M140" s="86" t="n">
        <x:f>'Datos_fuente'!B133</x:f>
        <x:v>2960.999677</x:v>
      </x:c>
      <x:c r="N140" s="86" t="n">
        <x:f>EXP('Transformaciones'!B132+K140)</x:f>
        <x:v>2988.679829329365</x:v>
      </x:c>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t="str">
        <x:f>'Transformaciones'!A134</x:f>
        <x:v>2016-08</x:v>
      </x:c>
      <x:c r="B141" s="90" t="n">
        <x:f>'Transformaciones'!C134</x:f>
        <x:v>-0.002784319734967511</x:v>
      </x:c>
      <x:c r="C141" s="90" t="n">
        <x:f>$B$6</x:f>
        <x:v>-0.00045209606279242174</x:v>
      </x:c>
      <x:c r="D141" s="90" t="n">
        <x:f>$B$7*'Transformaciones'!E134</x:f>
        <x:v>-0.0010147363425732645</x:v>
      </x:c>
      <x:c r="E141" s="90" t="n">
        <x:f>$B$11*'Transformaciones'!M134</x:f>
        <x:v>-0.011274945964396793</x:v>
      </x:c>
      <x:c r="F141" s="90" t="n">
        <x:f>$B$12*'Transformaciones'!O134</x:f>
        <x:v>-0.0022941423178995213</x:v>
      </x:c>
      <x:c r="G141" s="90" t="n">
        <x:f>$B$8*'Transformaciones'!G133</x:f>
        <x:v>-0.0029980863273153676</x:v>
      </x:c>
      <x:c r="H141" s="90" t="n">
        <x:f>$B$9*'Transformaciones'!I133</x:f>
        <x:v>-0.0017175340344600762</x:v>
      </x:c>
      <x:c r="I141" s="90" t="n">
        <x:f>$B$10*'Transformaciones'!K133</x:f>
        <x:v>0.0016875556753179624</x:v>
      </x:c>
      <x:c r="J141" s="90" t="n">
        <x:f>$B$13*'Transformaciones'!P134</x:f>
        <x:v>0</x:v>
      </x:c>
      <x:c r="K141" s="101" t="n">
        <x:f>SUM(C141:J141)</x:f>
        <x:v>-0.018063985374119483</x:v>
      </x:c>
      <x:c r="L141" s="101" t="n">
        <x:f>B141-K141</x:f>
        <x:v>0.015279665639151972</x:v>
      </x:c>
      <x:c r="M141" s="86" t="n">
        <x:f>'Datos_fuente'!B134</x:f>
        <x:v>2952.766774</x:v>
      </x:c>
      <x:c r="N141" s="86" t="n">
        <x:f>EXP('Transformaciones'!B133+K141)</x:f>
        <x:v>2907.9924246387136</x:v>
      </x:c>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t="str">
        <x:f>'Transformaciones'!A135</x:f>
        <x:v>2016-09</x:v>
      </x:c>
      <x:c r="B142" s="90" t="n">
        <x:f>'Transformaciones'!C135</x:f>
        <x:v>-0.009699339369037219</x:v>
      </x:c>
      <x:c r="C142" s="90" t="n">
        <x:f>$B$6</x:f>
        <x:v>-0.00045209606279242174</x:v>
      </x:c>
      <x:c r="D142" s="90" t="n">
        <x:f>$B$7*'Transformaciones'!E135</x:f>
        <x:v>-0.0008107566085689013</x:v>
      </x:c>
      <x:c r="E142" s="90" t="n">
        <x:f>$B$11*'Transformaciones'!M135</x:f>
        <x:v>0.009540706555753897</x:v>
      </x:c>
      <x:c r="F142" s="90" t="n">
        <x:f>$B$12*'Transformaciones'!O135</x:f>
        <x:v>0.005288866132827248</x:v>
      </x:c>
      <x:c r="G142" s="90" t="n">
        <x:f>$B$8*'Transformaciones'!G134</x:f>
        <x:v>-0.0025092488678609515</x:v>
      </x:c>
      <x:c r="H142" s="90" t="n">
        <x:f>$B$9*'Transformaciones'!I134</x:f>
        <x:v>-0.0023781240522872545</x:v>
      </x:c>
      <x:c r="I142" s="90" t="n">
        <x:f>$B$10*'Transformaciones'!K134</x:f>
        <x:v>0.001199154909868152</x:v>
      </x:c>
      <x:c r="J142" s="90" t="n">
        <x:f>$B$13*'Transformaciones'!P135</x:f>
        <x:v>0</x:v>
      </x:c>
      <x:c r="K142" s="101" t="n">
        <x:f>SUM(C142:J142)</x:f>
        <x:v>0.009878502006939769</x:v>
      </x:c>
      <x:c r="L142" s="101" t="n">
        <x:f>B142-K142</x:f>
        <x:v>-0.019577841375976988</x:v>
      </x:c>
      <x:c r="M142" s="86" t="n">
        <x:f>'Datos_fuente'!B135</x:f>
        <x:v>2924.265333</x:v>
      </x:c>
      <x:c r="N142" s="86" t="n">
        <x:f>EXP('Transformaciones'!B134+K142)</x:f>
        <x:v>2982.080234664355</x:v>
      </x:c>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t="str">
        <x:f>'Transformaciones'!A136</x:f>
        <x:v>2016-10</x:v>
      </x:c>
      <x:c r="B143" s="90" t="n">
        <x:f>'Transformaciones'!C136</x:f>
        <x:v>0.0017504889324255757</x:v>
      </x:c>
      <x:c r="C143" s="90" t="n">
        <x:f>$B$6</x:f>
        <x:v>-0.00045209606279242174</x:v>
      </x:c>
      <x:c r="D143" s="90" t="n">
        <x:f>$B$7*'Transformaciones'!E136</x:f>
        <x:v>-0.0031799513136802912</x:v>
      </x:c>
      <x:c r="E143" s="90" t="n">
        <x:f>$B$11*'Transformaciones'!M136</x:f>
        <x:v>0.012461078021948837</x:v>
      </x:c>
      <x:c r="F143" s="90" t="n">
        <x:f>$B$12*'Transformaciones'!O136</x:f>
        <x:v>0.0009806570492919514</x:v>
      </x:c>
      <x:c r="G143" s="90" t="n">
        <x:f>$B$8*'Transformaciones'!G135</x:f>
        <x:v>-0.0019919781139147706</x:v>
      </x:c>
      <x:c r="H143" s="90" t="n">
        <x:f>$B$9*'Transformaciones'!I135</x:f>
        <x:v>0</x:v>
      </x:c>
      <x:c r="I143" s="90" t="n">
        <x:f>$B$10*'Transformaciones'!K135</x:f>
        <x:v>0.0006525933608586183</x:v>
      </x:c>
      <x:c r="J143" s="90" t="n">
        <x:f>$B$13*'Transformaciones'!P136</x:f>
        <x:v>0</x:v>
      </x:c>
      <x:c r="K143" s="101" t="n">
        <x:f>SUM(C143:J143)</x:f>
        <x:v>0.008470302941711924</x:v>
      </x:c>
      <x:c r="L143" s="101" t="n">
        <x:f>B143-K143</x:f>
        <x:v>-0.006719814009286349</x:v>
      </x:c>
      <x:c r="M143" s="86" t="n">
        <x:f>'Datos_fuente'!B136</x:f>
        <x:v>2929.38871</x:v>
      </x:c>
      <x:c r="N143" s="86" t="n">
        <x:f>EXP('Transformaciones'!B135+K143)</x:f>
        <x:v>2949.1399452821997</x:v>
      </x:c>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t="str">
        <x:f>'Transformaciones'!A137</x:f>
        <x:v>2016-11</x:v>
      </x:c>
      <x:c r="B144" s="90" t="n">
        <x:f>'Transformaciones'!C137</x:f>
        <x:v>0.05991212553819736</x:v>
      </x:c>
      <x:c r="C144" s="90" t="n">
        <x:f>$B$6</x:f>
        <x:v>-0.00045209606279242174</x:v>
      </x:c>
      <x:c r="D144" s="90" t="n">
        <x:f>$B$7*'Transformaciones'!E137</x:f>
        <x:v>0.005256527289368064</x:v>
      </x:c>
      <x:c r="E144" s="90" t="n">
        <x:f>$B$11*'Transformaciones'!M137</x:f>
        <x:v>0.027868623696338524</x:v>
      </x:c>
      <x:c r="F144" s="90" t="n">
        <x:f>$B$12*'Transformaciones'!O137</x:f>
        <x:v>0.001686187801111041</x:v>
      </x:c>
      <x:c r="G144" s="90" t="n">
        <x:f>$B$8*'Transformaciones'!G136</x:f>
        <x:v>0.0017430312058915596</x:v>
      </x:c>
      <x:c r="H144" s="90" t="n">
        <x:f>$B$9*'Transformaciones'!I136</x:f>
        <x:v>0</x:v>
      </x:c>
      <x:c r="I144" s="90" t="n">
        <x:f>$B$10*'Transformaciones'!K136</x:f>
        <x:v>0.00046647766984043434</x:v>
      </x:c>
      <x:c r="J144" s="90" t="n">
        <x:f>$B$13*'Transformaciones'!P137</x:f>
        <x:v>0</x:v>
      </x:c>
      <x:c r="K144" s="101" t="n">
        <x:f>SUM(C144:J144)</x:f>
        <x:v>0.036568751599757206</x:v>
      </x:c>
      <x:c r="L144" s="101" t="n">
        <x:f>B144-K144</x:f>
        <x:v>0.023343373938440153</x:v>
      </x:c>
      <x:c r="M144" s="86" t="n">
        <x:f>'Datos_fuente'!B137</x:f>
        <x:v>3110.258667</x:v>
      </x:c>
      <x:c r="N144" s="86" t="n">
        <x:f>EXP('Transformaciones'!B136+K144)</x:f>
        <x:v>3038.495590743434</x:v>
      </x:c>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t="str">
        <x:f>'Transformaciones'!A138</x:f>
        <x:v>2016-12</x:v>
      </x:c>
      <x:c r="B145" s="90" t="n">
        <x:f>'Transformaciones'!C138</x:f>
        <x:v>-0.03281104324461559</x:v>
      </x:c>
      <x:c r="C145" s="90" t="n">
        <x:f>$B$6</x:f>
        <x:v>-0.00045209606279242174</x:v>
      </x:c>
      <x:c r="D145" s="90" t="n">
        <x:f>$B$7*'Transformaciones'!E138</x:f>
        <x:v>-0.009064753277286314</x:v>
      </x:c>
      <x:c r="E145" s="90" t="n">
        <x:f>$B$11*'Transformaciones'!M138</x:f>
        <x:v>0.01866410547409495</x:v>
      </x:c>
      <x:c r="F145" s="90" t="n">
        <x:f>$B$12*'Transformaciones'!O138</x:f>
        <x:v>-0.007729594169907701</x:v>
      </x:c>
      <x:c r="G145" s="90" t="n">
        <x:f>$B$8*'Transformaciones'!G137</x:f>
        <x:v>0.004058232124046434</x:v>
      </x:c>
      <x:c r="H145" s="90" t="n">
        <x:f>$B$9*'Transformaciones'!I137</x:f>
        <x:v>0.00009908850217863377</x:v>
      </x:c>
      <x:c r="I145" s="90" t="n">
        <x:f>$B$10*'Transformaciones'!K137</x:f>
        <x:v>0.0010369713120447952</x:v>
      </x:c>
      <x:c r="J145" s="90" t="n">
        <x:f>$B$13*'Transformaciones'!P138</x:f>
        <x:v>0</x:v>
      </x:c>
      <x:c r="K145" s="101" t="n">
        <x:f>SUM(C145:J145)</x:f>
        <x:v>0.006611953902378377</x:v>
      </x:c>
      <x:c r="L145" s="101" t="n">
        <x:f>B145-K145</x:f>
        <x:v>-0.03942299714699397</x:v>
      </x:c>
      <x:c r="M145" s="86" t="n">
        <x:f>'Datos_fuente'!B138</x:f>
        <x:v>3009.863871</x:v>
      </x:c>
      <x:c r="N145" s="86" t="n">
        <x:f>EXP('Transformaciones'!B137+K145)</x:f>
        <x:v>3130.8916910632856</x:v>
      </x:c>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t="str">
        <x:f>'Transformaciones'!A139</x:f>
        <x:v>2017-01</x:v>
      </x:c>
      <x:c r="B146" s="90" t="n">
        <x:f>'Transformaciones'!C139</x:f>
        <x:v>-0.023009412955964592</x:v>
      </x:c>
      <x:c r="C146" s="90" t="n">
        <x:f>$B$6</x:f>
        <x:v>-0.00045209606279242174</x:v>
      </x:c>
      <x:c r="D146" s="90" t="n">
        <x:f>$B$7*'Transformaciones'!E139</x:f>
        <x:v>-0.0012153188727750106</x:v>
      </x:c>
      <x:c r="E146" s="90" t="n">
        <x:f>$B$11*'Transformaciones'!M139</x:f>
        <x:v>-0.0012274381352869472</x:v>
      </x:c>
      <x:c r="F146" s="90" t="n">
        <x:f>$B$12*'Transformaciones'!O139</x:f>
        <x:v>-0.00277194183495414</x:v>
      </x:c>
      <x:c r="G146" s="90" t="n">
        <x:f>$B$8*'Transformaciones'!G138</x:f>
        <x:v>-0.0015328272220377355</x:v>
      </x:c>
      <x:c r="H146" s="90" t="n">
        <x:f>$B$9*'Transformaciones'!I138</x:f>
        <x:v>0.0023269816027463044</x:v>
      </x:c>
      <x:c r="I146" s="90" t="n">
        <x:f>$B$10*'Transformaciones'!K138</x:f>
        <x:v>-0.0030836907337830483</x:v>
      </x:c>
      <x:c r="J146" s="90" t="n">
        <x:f>$B$13*'Transformaciones'!P139</x:f>
        <x:v>0</x:v>
      </x:c>
      <x:c r="K146" s="101" t="n">
        <x:f>SUM(C146:J146)</x:f>
        <x:v>-0.007956331258882999</x:v>
      </x:c>
      <x:c r="L146" s="101" t="n">
        <x:f>B146-K146</x:f>
        <x:v>-0.015053081697081593</x:v>
      </x:c>
      <x:c r="M146" s="86" t="n">
        <x:f>'Datos_fuente'!B139</x:f>
        <x:v>2941.399355</x:v>
      </x:c>
      <x:c r="N146" s="86" t="n">
        <x:f>EXP('Transformaciones'!B138+K146)</x:f>
        <x:v>2986.0114118592764</x:v>
      </x:c>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t="str">
        <x:f>'Transformaciones'!A140</x:f>
        <x:v>2017-02</x:v>
      </x:c>
      <x:c r="B147" s="90" t="n">
        <x:f>'Transformaciones'!C140</x:f>
        <x:v>-0.02124557789509396</x:v>
      </x:c>
      <x:c r="C147" s="90" t="n">
        <x:f>$B$6</x:f>
        <x:v>-0.00045209606279242174</x:v>
      </x:c>
      <x:c r="D147" s="90" t="n">
        <x:f>$B$7*'Transformaciones'!E140</x:f>
        <x:v>-0.00027661557361074047</x:v>
      </x:c>
      <x:c r="E147" s="90" t="n">
        <x:f>$B$11*'Transformaciones'!M140</x:f>
        <x:v>-0.017301948132831417</x:v>
      </x:c>
      <x:c r="F147" s="90" t="n">
        <x:f>$B$12*'Transformaciones'!O140</x:f>
        <x:v>-0.0002602679983321903</x:v>
      </x:c>
      <x:c r="G147" s="90" t="n">
        <x:f>$B$8*'Transformaciones'!G139</x:f>
        <x:v>0.0013865507256467118</x:v>
      </x:c>
      <x:c r="H147" s="90" t="n">
        <x:f>$B$9*'Transformaciones'!I139</x:f>
        <x:v>0.0025283550040068564</x:v>
      </x:c>
      <x:c r="I147" s="90" t="n">
        <x:f>$B$10*'Transformaciones'!K139</x:f>
        <x:v>-0.00022206131834268006</x:v>
      </x:c>
      <x:c r="J147" s="90" t="n">
        <x:f>$B$13*'Transformaciones'!P140</x:f>
        <x:v>0</x:v>
      </x:c>
      <x:c r="K147" s="101" t="n">
        <x:f>SUM(C147:J147)</x:f>
        <x:v>-0.014598083356255879</x:v>
      </x:c>
      <x:c r="L147" s="101" t="n">
        <x:f>B147-K147</x:f>
        <x:v>-0.00664749453883808</x:v>
      </x:c>
      <x:c r="M147" s="86" t="n">
        <x:f>'Datos_fuente'!B140</x:f>
        <x:v>2879.566786</x:v>
      </x:c>
      <x:c r="N147" s="86" t="n">
        <x:f>EXP('Transformaciones'!B139+K147)</x:f>
        <x:v>2898.7724545490364</x:v>
      </x:c>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t="str">
        <x:f>'Transformaciones'!A141</x:f>
        <x:v>2017-03</x:v>
      </x:c>
      <x:c r="B148" s="90" t="n">
        <x:f>'Transformaciones'!C141</x:f>
        <x:v>0.021547012772646923</x:v>
      </x:c>
      <x:c r="C148" s="90" t="n">
        <x:f>$B$6</x:f>
        <x:v>-0.00045209606279242174</x:v>
      </x:c>
      <x:c r="D148" s="90" t="n">
        <x:f>$B$7*'Transformaciones'!E141</x:f>
        <x:v>0.0031866549967209962</x:v>
      </x:c>
      <x:c r="E148" s="90" t="n">
        <x:f>$B$11*'Transformaciones'!M141</x:f>
        <x:v>-0.004870459362350667</x:v>
      </x:c>
      <x:c r="F148" s="90" t="n">
        <x:f>$B$12*'Transformaciones'!O141</x:f>
        <x:v>0.0012109624320376764</x:v>
      </x:c>
      <x:c r="G148" s="90" t="n">
        <x:f>$B$8*'Transformaciones'!G140</x:f>
        <x:v>-0.0029910508629622697</x:v>
      </x:c>
      <x:c r="H148" s="90" t="n">
        <x:f>$B$9*'Transformaciones'!I140</x:f>
        <x:v>0.00027603225748460135</x:v>
      </x:c>
      <x:c r="I148" s="90" t="n">
        <x:f>$B$10*'Transformaciones'!K140</x:f>
        <x:v>0.0004203284390652955</x:v>
      </x:c>
      <x:c r="J148" s="90" t="n">
        <x:f>$B$13*'Transformaciones'!P141</x:f>
        <x:v>0</x:v>
      </x:c>
      <x:c r="K148" s="101" t="n">
        <x:f>SUM(C148:J148)</x:f>
        <x:v>-0.0032196281627967895</x:v>
      </x:c>
      <x:c r="L148" s="101" t="n">
        <x:f>B148-K148</x:f>
        <x:v>0.02476664093544371</x:v>
      </x:c>
      <x:c r="M148" s="86" t="n">
        <x:f>'Datos_fuente'!B141</x:f>
        <x:v>2942.286129</x:v>
      </x:c>
      <x:c r="N148" s="86" t="n">
        <x:f>EXP('Transformaciones'!B140+K148)</x:f>
        <x:v>2870.3105604771654</x:v>
      </x:c>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t="str">
        <x:f>'Transformaciones'!A142</x:f>
        <x:v>2017-04</x:v>
      </x:c>
      <x:c r="B149" s="90" t="n">
        <x:f>'Transformaciones'!C142</x:f>
        <x:v>-0.022153231744213464</x:v>
      </x:c>
      <x:c r="C149" s="90" t="n">
        <x:f>$B$6</x:f>
        <x:v>-0.00045209606279242174</x:v>
      </x:c>
      <x:c r="D149" s="90" t="n">
        <x:f>$B$7*'Transformaciones'!E142</x:f>
        <x:v>-0.0007152303911694849</x:v>
      </x:c>
      <x:c r="E149" s="90" t="n">
        <x:f>$B$11*'Transformaciones'!M142</x:f>
        <x:v>-0.009344250683243762</x:v>
      </x:c>
      <x:c r="F149" s="90" t="n">
        <x:f>$B$12*'Transformaciones'!O142</x:f>
        <x:v>0.0038241115495974178</x:v>
      </x:c>
      <x:c r="G149" s="90" t="n">
        <x:f>$B$8*'Transformaciones'!G141</x:f>
        <x:v>0.003274895195108846</x:v>
      </x:c>
      <x:c r="H149" s="90" t="n">
        <x:f>$B$9*'Transformaciones'!I141</x:f>
        <x:v>0.003987969743008865</x:v>
      </x:c>
      <x:c r="I149" s="90" t="n">
        <x:f>$B$10*'Transformaciones'!K141</x:f>
        <x:v>0.00046897680644394067</x:v>
      </x:c>
      <x:c r="J149" s="90" t="n">
        <x:f>$B$13*'Transformaciones'!P142</x:f>
        <x:v>0</x:v>
      </x:c>
      <x:c r="K149" s="101" t="n">
        <x:f>SUM(C149:J149)</x:f>
        <x:v>0.0010443761569534017</x:v>
      </x:c>
      <x:c r="L149" s="101" t="n">
        <x:f>B149-K149</x:f>
        <x:v>-0.023197607901166865</x:v>
      </x:c>
      <x:c r="M149" s="86" t="n">
        <x:f>'Datos_fuente'!B142</x:f>
        <x:v>2877.821667</x:v>
      </x:c>
      <x:c r="N149" s="86" t="n">
        <x:f>EXP('Transformaciones'!B141+K149)</x:f>
        <x:v>2945.360587646266</x:v>
      </x:c>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t="str">
        <x:f>'Transformaciones'!A143</x:f>
        <x:v>2017-05</x:v>
      </x:c>
      <x:c r="B150" s="90" t="n">
        <x:f>'Transformaciones'!C143</x:f>
        <x:v>0.015786504674748514</x:v>
      </x:c>
      <x:c r="C150" s="90" t="n">
        <x:f>$B$6</x:f>
        <x:v>-0.00045209606279242174</x:v>
      </x:c>
      <x:c r="D150" s="90" t="n">
        <x:f>$B$7*'Transformaciones'!E143</x:f>
        <x:v>0.0019961024335309508</x:v>
      </x:c>
      <x:c r="E150" s="90" t="n">
        <x:f>$B$11*'Transformaciones'!M143</x:f>
        <x:v>-0.0054182431399966025</x:v>
      </x:c>
      <x:c r="F150" s="90" t="n">
        <x:f>$B$12*'Transformaciones'!O143</x:f>
        <x:v>-0.0073406426777832805</x:v>
      </x:c>
      <x:c r="G150" s="90" t="n">
        <x:f>$B$8*'Transformaciones'!G142</x:f>
        <x:v>0.00009539223991201396</x:v>
      </x:c>
      <x:c r="H150" s="90" t="n">
        <x:f>$B$9*'Transformaciones'!I142</x:f>
        <x:v>0.0031676356629042244</x:v>
      </x:c>
      <x:c r="I150" s="90" t="n">
        <x:f>$B$10*'Transformaciones'!K142</x:f>
        <x:v>-0.0009697230439170661</x:v>
      </x:c>
      <x:c r="J150" s="90" t="n">
        <x:f>$B$13*'Transformaciones'!P143</x:f>
        <x:v>0</x:v>
      </x:c>
      <x:c r="K150" s="101" t="n">
        <x:f>SUM(C150:J150)</x:f>
        <x:v>-0.008921574588142182</x:v>
      </x:c>
      <x:c r="L150" s="101" t="n">
        <x:f>B150-K150</x:f>
        <x:v>0.024708079262890696</x:v>
      </x:c>
      <x:c r="M150" s="86" t="n">
        <x:f>'Datos_fuente'!B143</x:f>
        <x:v>2923.612903</x:v>
      </x:c>
      <x:c r="N150" s="86" t="n">
        <x:f>EXP('Transformaciones'!B142+K150)</x:f>
        <x:v>2852.2611558891167</x:v>
      </x:c>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t="str">
        <x:f>'Transformaciones'!A144</x:f>
        <x:v>2017-06</x:v>
      </x:c>
      <x:c r="B151" s="90" t="n">
        <x:f>'Transformaciones'!C144</x:f>
        <x:v>0.011388347620424177</x:v>
      </x:c>
      <x:c r="C151" s="90" t="n">
        <x:f>$B$6</x:f>
        <x:v>-0.00045209606279242174</x:v>
      </x:c>
      <x:c r="D151" s="90" t="n">
        <x:f>$B$7*'Transformaciones'!E144</x:f>
        <x:v>0.00423456508631908</x:v>
      </x:c>
      <x:c r="E151" s="90" t="n">
        <x:f>$B$11*'Transformaciones'!M144</x:f>
        <x:v>-0.016044185892376134</x:v>
      </x:c>
      <x:c r="F151" s="90" t="n">
        <x:f>$B$12*'Transformaciones'!O144</x:f>
        <x:v>-0.0012598034323401037</x:v>
      </x:c>
      <x:c r="G151" s="90" t="n">
        <x:f>$B$8*'Transformaciones'!G143</x:f>
        <x:v>0.003305585529794626</x:v>
      </x:c>
      <x:c r="H151" s="90" t="n">
        <x:f>$B$9*'Transformaciones'!I143</x:f>
        <x:v>0.005053513611110428</x:v>
      </x:c>
      <x:c r="I151" s="90" t="n">
        <x:f>$B$10*'Transformaciones'!K143</x:f>
        <x:v>0.00016323586041432002</x:v>
      </x:c>
      <x:c r="J151" s="90" t="n">
        <x:f>$B$13*'Transformaciones'!P144</x:f>
        <x:v>0</x:v>
      </x:c>
      <x:c r="K151" s="101" t="n">
        <x:f>SUM(C151:J151)</x:f>
        <x:v>-0.004999185299870205</x:v>
      </x:c>
      <x:c r="L151" s="101" t="n">
        <x:f>B151-K151</x:f>
        <x:v>0.016387532920294382</x:v>
      </x:c>
      <x:c r="M151" s="86" t="n">
        <x:f>'Datos_fuente'!B144</x:f>
        <x:v>2957.098333</x:v>
      </x:c>
      <x:c r="N151" s="86" t="n">
        <x:f>EXP('Transformaciones'!B143+K151)</x:f>
        <x:v>2909.0336928029064</x:v>
      </x:c>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t="str">
        <x:f>'Transformaciones'!A145</x:f>
        <x:v>2017-07</x:v>
      </x:c>
      <x:c r="B152" s="90" t="n">
        <x:f>'Transformaciones'!C145</x:f>
        <x:v>0.026524662289979517</x:v>
      </x:c>
      <x:c r="C152" s="90" t="n">
        <x:f>$B$6</x:f>
        <x:v>-0.00045209606279242174</x:v>
      </x:c>
      <x:c r="D152" s="90" t="n">
        <x:f>$B$7*'Transformaciones'!E145</x:f>
        <x:v>-0.0023007397590098875</x:v>
      </x:c>
      <x:c r="E152" s="90" t="n">
        <x:f>$B$11*'Transformaciones'!M145</x:f>
        <x:v>-0.01845432625049652</x:v>
      </x:c>
      <x:c r="F152" s="90" t="n">
        <x:f>$B$12*'Transformaciones'!O145</x:f>
        <x:v>-0.0009261205338310019</x:v>
      </x:c>
      <x:c r="G152" s="90" t="n">
        <x:f>$B$8*'Transformaciones'!G144</x:f>
        <x:v>0.004721122018760168</x:v>
      </x:c>
      <x:c r="H152" s="90" t="n">
        <x:f>$B$9*'Transformaciones'!I144</x:f>
        <x:v>0.0037653630827881625</x:v>
      </x:c>
      <x:c r="I152" s="90" t="n">
        <x:f>$B$10*'Transformaciones'!K144</x:f>
        <x:v>0.0008801323515863293</x:v>
      </x:c>
      <x:c r="J152" s="90" t="n">
        <x:f>$B$13*'Transformaciones'!P145</x:f>
        <x:v>0</x:v>
      </x:c>
      <x:c r="K152" s="101" t="n">
        <x:f>SUM(C152:J152)</x:f>
        <x:v>-0.01276666515299517</x:v>
      </x:c>
      <x:c r="L152" s="101" t="n">
        <x:f>B152-K152</x:f>
        <x:v>0.039291327442974686</x:v>
      </x:c>
      <x:c r="M152" s="86" t="n">
        <x:f>'Datos_fuente'!B145</x:f>
        <x:v>3036.583871</x:v>
      </x:c>
      <x:c r="N152" s="86" t="n">
        <x:f>EXP('Transformaciones'!B144+K152)</x:f>
        <x:v>2919.58601188217</x:v>
      </x:c>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t="str">
        <x:f>'Transformaciones'!A146</x:f>
        <x:v>2017-08</x:v>
      </x:c>
      <x:c r="B153" s="90" t="n">
        <x:f>'Transformaciones'!C146</x:f>
        <x:v>-0.021092715512181393</x:v>
      </x:c>
      <x:c r="C153" s="90" t="n">
        <x:f>$B$6</x:f>
        <x:v>-0.00045209606279242174</x:v>
      </x:c>
      <x:c r="D153" s="90" t="n">
        <x:f>$B$7*'Transformaciones'!E146</x:f>
        <x:v>-0.003330016401867722</x:v>
      </x:c>
      <x:c r="E153" s="90" t="n">
        <x:f>$B$11*'Transformaciones'!M146</x:f>
        <x:v>-0.01269866815745519</x:v>
      </x:c>
      <x:c r="F153" s="90" t="n">
        <x:f>$B$12*'Transformaciones'!O146</x:f>
        <x:v>0.0059542385402637085</x:v>
      </x:c>
      <x:c r="G153" s="90" t="n">
        <x:f>$B$8*'Transformaciones'!G145</x:f>
        <x:v>0.005353820108318329</x:v>
      </x:c>
      <x:c r="H153" s="90" t="n">
        <x:f>$B$9*'Transformaciones'!I145</x:f>
        <x:v>0.00588457847064966</x:v>
      </x:c>
      <x:c r="I153" s="90" t="n">
        <x:f>$B$10*'Transformaciones'!K145</x:f>
        <x:v>-0.00003799080280358204</x:v>
      </x:c>
      <x:c r="J153" s="90" t="n">
        <x:f>$B$13*'Transformaciones'!P146</x:f>
        <x:v>0</x:v>
      </x:c>
      <x:c r="K153" s="101" t="n">
        <x:f>SUM(C153:J153)</x:f>
        <x:v>0.0006738656943127845</x:v>
      </x:c>
      <x:c r="L153" s="101" t="n">
        <x:f>B153-K153</x:f>
        <x:v>-0.021766581206494176</x:v>
      </x:c>
      <x:c r="M153" s="86" t="n">
        <x:f>'Datos_fuente'!B146</x:f>
        <x:v>2973.204839</x:v>
      </x:c>
      <x:c r="N153" s="86" t="n">
        <x:f>EXP('Transformaciones'!B145+K153)</x:f>
        <x:v>3038.630810302203</x:v>
      </x:c>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t="str">
        <x:f>'Transformaciones'!A147</x:f>
        <x:v>2017-09</x:v>
      </x:c>
      <x:c r="B154" s="90" t="n">
        <x:f>'Transformaciones'!C147</x:f>
        <x:v>-0.01905561141908052</x:v>
      </x:c>
      <x:c r="C154" s="90" t="n">
        <x:f>$B$6</x:f>
        <x:v>-0.00045209606279242174</x:v>
      </x:c>
      <x:c r="D154" s="90" t="n">
        <x:f>$B$7*'Transformaciones'!E147</x:f>
        <x:v>-0.0042664575000320665</x:v>
      </x:c>
      <x:c r="E154" s="90" t="n">
        <x:f>$B$11*'Transformaciones'!M147</x:f>
        <x:v>-0.011681696267211305</x:v>
      </x:c>
      <x:c r="F154" s="90" t="n">
        <x:f>$B$12*'Transformaciones'!O147</x:f>
        <x:v>-0.0053069423804885975</x:v>
      </x:c>
      <x:c r="G154" s="90" t="n">
        <x:f>$B$8*'Transformaciones'!G146</x:f>
        <x:v>0.0024240749283684646</x:v>
      </x:c>
      <x:c r="H154" s="90" t="n">
        <x:f>$B$9*'Transformaciones'!I146</x:f>
        <x:v>0.0027361212188916624</x:v>
      </x:c>
      <x:c r="I154" s="90" t="n">
        <x:f>$B$10*'Transformaciones'!K146</x:f>
        <x:v>-0.002423770108425373</x:v>
      </x:c>
      <x:c r="J154" s="90" t="n">
        <x:f>$B$13*'Transformaciones'!P147</x:f>
        <x:v>0</x:v>
      </x:c>
      <x:c r="K154" s="101" t="n">
        <x:f>SUM(C154:J154)</x:f>
        <x:v>-0.018970766171689635</x:v>
      </x:c>
      <x:c r="L154" s="101" t="n">
        <x:f>B154-K154</x:f>
        <x:v>-0.00008484524739088561</x:v>
      </x:c>
      <x:c r="M154" s="86" t="n">
        <x:f>'Datos_fuente'!B147</x:f>
        <x:v>2917.085</x:v>
      </x:c>
      <x:c r="N154" s="86" t="n">
        <x:f>EXP('Transformaciones'!B146+K154)</x:f>
        <x:v>2917.332511298414</x:v>
      </x:c>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t="str">
        <x:f>'Transformaciones'!A148</x:f>
        <x:v>2017-10</x:v>
      </x:c>
      <x:c r="B155" s="90" t="n">
        <x:f>'Transformaciones'!C148</x:f>
        <x:v>0.012492685166002993</x:v>
      </x:c>
      <x:c r="C155" s="90" t="n">
        <x:f>$B$6</x:f>
        <x:v>-0.00045209606279242174</x:v>
      </x:c>
      <x:c r="D155" s="90" t="n">
        <x:f>$B$7*'Transformaciones'!E148</x:f>
        <x:v>-0.001232434919632566</x:v>
      </x:c>
      <x:c r="E155" s="90" t="n">
        <x:f>$B$11*'Transformaciones'!M148</x:f>
        <x:v>0.022504004683322913</x:v>
      </x:c>
      <x:c r="F155" s="90" t="n">
        <x:f>$B$12*'Transformaciones'!O148</x:f>
        <x:v>-0.0011739962990352406</x:v>
      </x:c>
      <x:c r="G155" s="90" t="n">
        <x:f>$B$8*'Transformaciones'!G147</x:f>
        <x:v>0.0021551864040614726</x:v>
      </x:c>
      <x:c r="H155" s="90" t="n">
        <x:f>$B$9*'Transformaciones'!I147</x:f>
        <x:v>0.002378124052287263</x:v>
      </x:c>
      <x:c r="I155" s="90" t="n">
        <x:f>$B$10*'Transformaciones'!K147</x:f>
        <x:v>-0.0009804614508250222</x:v>
      </x:c>
      <x:c r="J155" s="90" t="n">
        <x:f>$B$13*'Transformaciones'!P148</x:f>
        <x:v>0</x:v>
      </x:c>
      <x:c r="K155" s="101" t="n">
        <x:f>SUM(C155:J155)</x:f>
        <x:v>0.023198326407386397</x:v>
      </x:c>
      <x:c r="L155" s="101" t="n">
        <x:f>B155-K155</x:f>
        <x:v>-0.010705641241383405</x:v>
      </x:c>
      <x:c r="M155" s="86" t="n">
        <x:f>'Datos_fuente'!B148</x:f>
        <x:v>2953.755806</x:v>
      </x:c>
      <x:c r="N155" s="86" t="n">
        <x:f>EXP('Transformaciones'!B147+K155)</x:f>
        <x:v>2985.547527718416</x:v>
      </x:c>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t="str">
        <x:f>'Transformaciones'!A149</x:f>
        <x:v>2017-11</x:v>
      </x:c>
      <x:c r="B156" s="90" t="n">
        <x:f>'Transformaciones'!C149</x:f>
        <x:v>0.020013617501344783</x:v>
      </x:c>
      <x:c r="C156" s="90" t="n">
        <x:f>$B$6</x:f>
        <x:v>-0.00045209606279242174</x:v>
      </x:c>
      <x:c r="D156" s="90" t="n">
        <x:f>$B$7*'Transformaciones'!E149</x:f>
        <x:v>-0.004480005681183613</x:v>
      </x:c>
      <x:c r="E156" s="90" t="n">
        <x:f>$B$11*'Transformaciones'!M149</x:f>
        <x:v>0.0030023462131556922</x:v>
      </x:c>
      <x:c r="F156" s="90" t="n">
        <x:f>$B$12*'Transformaciones'!O149</x:f>
        <x:v>0.001551280537320947</x:v>
      </x:c>
      <x:c r="G156" s="90" t="n">
        <x:f>$B$8*'Transformaciones'!G148</x:f>
        <x:v>0.004937392240143507</x:v>
      </x:c>
      <x:c r="H156" s="90" t="n">
        <x:f>$B$9*'Transformaciones'!I148</x:f>
        <x:v>0.0001598201622471226</x:v>
      </x:c>
      <x:c r="I156" s="90" t="n">
        <x:f>$B$10*'Transformaciones'!K148</x:f>
        <x:v>-0.0008650454749602026</x:v>
      </x:c>
      <x:c r="J156" s="90" t="n">
        <x:f>$B$13*'Transformaciones'!P149</x:f>
        <x:v>0</x:v>
      </x:c>
      <x:c r="K156" s="101" t="n">
        <x:f>SUM(C156:J156)</x:f>
        <x:v>0.0038536919339310313</x:v>
      </x:c>
      <x:c r="L156" s="101" t="n">
        <x:f>B156-K156</x:f>
        <x:v>0.01615992556741375</x:v>
      </x:c>
      <x:c r="M156" s="86" t="n">
        <x:f>'Datos_fuente'!B149</x:f>
        <x:v>3013.466667</x:v>
      </x:c>
      <x:c r="N156" s="86" t="n">
        <x:f>EXP('Transformaciones'!B148+K156)</x:f>
        <x:v>2965.160632153297</x:v>
      </x:c>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t="str">
        <x:f>'Transformaciones'!A150</x:f>
        <x:v>2017-12</x:v>
      </x:c>
      <x:c r="B157" s="90" t="n">
        <x:f>'Transformaciones'!C150</x:f>
        <x:v>-0.007228642887845638</x:v>
      </x:c>
      <x:c r="C157" s="90" t="n">
        <x:f>$B$6</x:f>
        <x:v>-0.00045209606279242174</x:v>
      </x:c>
      <x:c r="D157" s="90" t="n">
        <x:f>$B$7*'Transformaciones'!E150</x:f>
        <x:v>-0.0013501381980422233</x:v>
      </x:c>
      <x:c r="E157" s="90" t="n">
        <x:f>$B$11*'Transformaciones'!M150</x:f>
        <x:v>-0.0031488094149030492</x:v>
      </x:c>
      <x:c r="F157" s="90" t="n">
        <x:f>$B$12*'Transformaciones'!O150</x:f>
        <x:v>-0.0010245803980608178</x:v>
      </x:c>
      <x:c r="G157" s="90" t="n">
        <x:f>$B$8*'Transformaciones'!G149</x:f>
        <x:v>0.002312466475830594</x:v>
      </x:c>
      <x:c r="H157" s="90" t="n">
        <x:f>$B$9*'Transformaciones'!I149</x:f>
        <x:v>0.0027467758983565765</x:v>
      </x:c>
      <x:c r="I157" s="90" t="n">
        <x:f>$B$10*'Transformaciones'!K149</x:f>
        <x:v>0.0007865972328522826</x:v>
      </x:c>
      <x:c r="J157" s="90" t="n">
        <x:f>$B$13*'Transformaciones'!P150</x:f>
        <x:v>0</x:v>
      </x:c>
      <x:c r="K157" s="101" t="n">
        <x:f>SUM(C157:J157)</x:f>
        <x:v>-0.0001297844667590589</x:v>
      </x:c>
      <x:c r="L157" s="101" t="n">
        <x:f>B157-K157</x:f>
        <x:v>-0.007098858421086578</x:v>
      </x:c>
      <x:c r="M157" s="86" t="n">
        <x:f>'Datos_fuente'!B150</x:f>
        <x:v>2991.761935</x:v>
      </x:c>
      <x:c r="N157" s="86" t="n">
        <x:f>EXP('Transformaciones'!B149+K157)</x:f>
        <x:v>3013.0755912138543</x:v>
      </x:c>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t="str">
        <x:f>'Transformaciones'!A151</x:f>
        <x:v>2018-01</x:v>
      </x:c>
      <x:c r="B158" s="90" t="n">
        <x:f>'Transformaciones'!C151</x:f>
        <x:v>-0.04204805485584995</x:v>
      </x:c>
      <x:c r="C158" s="90" t="n">
        <x:f>$B$6</x:f>
        <x:v>-0.00045209606279242174</x:v>
      </x:c>
      <x:c r="D158" s="90" t="n">
        <x:f>$B$7*'Transformaciones'!E151</x:f>
        <x:v>-0.003645383328001067</x:v>
      </x:c>
      <x:c r="E158" s="90" t="n">
        <x:f>$B$11*'Transformaciones'!M151</x:f>
        <x:v>-0.027922965984955785</x:v>
      </x:c>
      <x:c r="F158" s="90" t="n">
        <x:f>$B$12*'Transformaciones'!O151</x:f>
        <x:v>0.0028908773889650087</x:v>
      </x:c>
      <x:c r="G158" s="90" t="n">
        <x:f>$B$8*'Transformaciones'!G150</x:f>
        <x:v>0.003662697478147837</x:v>
      </x:c>
      <x:c r="H158" s="90" t="n">
        <x:f>$B$9*'Transformaciones'!I150</x:f>
        <x:v>0.0035341565810076284</x:v>
      </x:c>
      <x:c r="I158" s="90" t="n">
        <x:f>$B$10*'Transformaciones'!K150</x:f>
        <x:v>0.0011001241614602612</x:v>
      </x:c>
      <x:c r="J158" s="90" t="n">
        <x:f>$B$13*'Transformaciones'!P151</x:f>
        <x:v>0</x:v>
      </x:c>
      <x:c r="K158" s="101" t="n">
        <x:f>SUM(C158:J158)</x:f>
        <x:v>-0.020832589766168537</x:v>
      </x:c>
      <x:c r="L158" s="101" t="n">
        <x:f>B158-K158</x:f>
        <x:v>-0.02121546508968141</x:v>
      </x:c>
      <x:c r="M158" s="86" t="n">
        <x:f>'Datos_fuente'!B151</x:f>
        <x:v>2868.572258</x:v>
      </x:c>
      <x:c r="N158" s="86" t="n">
        <x:f>EXP('Transformaciones'!B150+K158)</x:f>
        <x:v>2930.0805086349155</x:v>
      </x:c>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t="str">
        <x:f>'Transformaciones'!A152</x:f>
        <x:v>2018-02</x:v>
      </x:c>
      <x:c r="B159" s="90" t="n">
        <x:f>'Transformaciones'!C152</x:f>
        <x:v>-0.002904402449447119</x:v>
      </x:c>
      <x:c r="C159" s="90" t="n">
        <x:f>$B$6</x:f>
        <x:v>-0.00045209606279242174</x:v>
      </x:c>
      <x:c r="D159" s="90" t="n">
        <x:f>$B$7*'Transformaciones'!E152</x:f>
        <x:v>0.002892998394773166</x:v>
      </x:c>
      <x:c r="E159" s="90" t="n">
        <x:f>$B$11*'Transformaciones'!M152</x:f>
        <x:v>-0.00795007547541956</x:v>
      </x:c>
      <x:c r="F159" s="90" t="n">
        <x:f>$B$12*'Transformaciones'!O152</x:f>
        <x:v>0.02735663252475955</x:v>
      </x:c>
      <x:c r="G159" s="90" t="n">
        <x:f>$B$8*'Transformaciones'!G151</x:f>
        <x:v>0.004269718474700603</x:v>
      </x:c>
      <x:c r="H159" s="90" t="n">
        <x:f>$B$9*'Transformaciones'!I151</x:f>
        <x:v>0.001249793686212125</x:v>
      </x:c>
      <x:c r="I159" s="90" t="n">
        <x:f>$B$10*'Transformaciones'!K151</x:f>
        <x:v>-0.003449238749623841</x:v>
      </x:c>
      <x:c r="J159" s="90" t="n">
        <x:f>$B$13*'Transformaciones'!P152</x:f>
        <x:v>0</x:v>
      </x:c>
      <x:c r="K159" s="101" t="n">
        <x:f>SUM(C159:J159)</x:f>
        <x:v>0.02391773279260962</x:v>
      </x:c>
      <x:c r="L159" s="101" t="n">
        <x:f>B159-K159</x:f>
        <x:v>-0.02682213524205674</x:v>
      </x:c>
      <x:c r="M159" s="86" t="n">
        <x:f>'Datos_fuente'!B152</x:f>
        <x:v>2860.252857</x:v>
      </x:c>
      <x:c r="N159" s="86" t="n">
        <x:f>EXP('Transformaciones'!B151+K159)</x:f>
        <x:v>2938.0090782945413</x:v>
      </x:c>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t="str">
        <x:f>'Transformaciones'!A153</x:f>
        <x:v>2018-03</x:v>
      </x:c>
      <x:c r="B160" s="90" t="n">
        <x:f>'Transformaciones'!C153</x:f>
        <x:v>-0.00431739138590892</x:v>
      </x:c>
      <x:c r="C160" s="90" t="n">
        <x:f>$B$6</x:f>
        <x:v>-0.00045209606279242174</x:v>
      </x:c>
      <x:c r="D160" s="90" t="n">
        <x:f>$B$7*'Transformaciones'!E153</x:f>
        <x:v>-0.0005503801178372962</x:v>
      </x:c>
      <x:c r="E160" s="90" t="n">
        <x:f>$B$11*'Transformaciones'!M153</x:f>
        <x:v>0.003348454621924713</x:v>
      </x:c>
      <x:c r="F160" s="90" t="n">
        <x:f>$B$12*'Transformaciones'!O153</x:f>
        <x:v>-0.006420401758074331</x:v>
      </x:c>
      <x:c r="G160" s="90" t="n">
        <x:f>$B$8*'Transformaciones'!G152</x:f>
        <x:v>0.003557213511406977</x:v>
      </x:c>
      <x:c r="H160" s="90" t="n">
        <x:f>$B$9*'Transformaciones'!I152</x:f>
        <x:v>0.0024164808943974037</x:v>
      </x:c>
      <x:c r="I160" s="90" t="n">
        <x:f>$B$10*'Transformaciones'!K152</x:f>
        <x:v>-0.0001696876552840616</x:v>
      </x:c>
      <x:c r="J160" s="90" t="n">
        <x:f>$B$13*'Transformaciones'!P153</x:f>
        <x:v>0</x:v>
      </x:c>
      <x:c r="K160" s="101" t="n">
        <x:f>SUM(C160:J160)</x:f>
        <x:v>0.0017295834337409833</x:v>
      </x:c>
      <x:c r="L160" s="101" t="n">
        <x:f>B160-K160</x:f>
        <x:v>-0.006046974819649903</x:v>
      </x:c>
      <x:c r="M160" s="86" t="n">
        <x:f>'Datos_fuente'!B153</x:f>
        <x:v>2847.930645</x:v>
      </x:c>
      <x:c r="N160" s="86" t="n">
        <x:f>EXP('Transformaciones'!B152+K160)</x:f>
        <x:v>2865.2041835896925</x:v>
      </x:c>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t="str">
        <x:f>'Transformaciones'!A154</x:f>
        <x:v>2018-04</x:v>
      </x:c>
      <x:c r="B161" s="90" t="n">
        <x:f>'Transformaciones'!C154</x:f>
        <x:v>-0.029087376265255926</x:v>
      </x:c>
      <x:c r="C161" s="90" t="n">
        <x:f>$B$6</x:f>
        <x:v>-0.00045209606279242174</x:v>
      </x:c>
      <x:c r="D161" s="90" t="n">
        <x:f>$B$7*'Transformaciones'!E154</x:f>
        <x:v>-0.004560810601291933</x:v>
      </x:c>
      <x:c r="E161" s="90" t="n">
        <x:f>$B$11*'Transformaciones'!M154</x:f>
        <x:v>-0.0000429738732046812</x:v>
      </x:c>
      <x:c r="F161" s="90" t="n">
        <x:f>$B$12*'Transformaciones'!O154</x:f>
        <x:v>-0.0015663827529052235</x:v>
      </x:c>
      <x:c r="G161" s="90" t="n">
        <x:f>$B$8*'Transformaciones'!G153</x:f>
        <x:v>0.0009068972136456573</x:v>
      </x:c>
      <x:c r="H161" s="90" t="n">
        <x:f>$B$9*'Transformaciones'!I153</x:f>
        <x:v>0.0008917965196077216</x:v>
      </x:c>
      <x:c r="I161" s="90" t="n">
        <x:f>$B$10*'Transformaciones'!K153</x:f>
        <x:v>0.00012186646710446153</x:v>
      </x:c>
      <x:c r="J161" s="90" t="n">
        <x:f>$B$13*'Transformaciones'!P154</x:f>
        <x:v>0</x:v>
      </x:c>
      <x:c r="K161" s="101" t="n">
        <x:f>SUM(C161:J161)</x:f>
        <x:v>-0.0047017030898364185</x:v>
      </x:c>
      <x:c r="L161" s="101" t="n">
        <x:f>B161-K161</x:f>
        <x:v>-0.02438567317541951</x:v>
      </x:c>
      <x:c r="M161" s="86" t="n">
        <x:f>'Datos_fuente'!B154</x:f>
        <x:v>2766.285</x:v>
      </x:c>
      <x:c r="N161" s="86" t="n">
        <x:f>EXP('Transformaciones'!B153+K161)</x:f>
        <x:v>2834.571949605416</x:v>
      </x:c>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t="str">
        <x:f>'Transformaciones'!A155</x:f>
        <x:v>2018-05</x:v>
      </x:c>
      <x:c r="B162" s="90" t="n">
        <x:f>'Transformaciones'!C155</x:f>
        <x:v>0.03395455004048831</x:v>
      </x:c>
      <x:c r="C162" s="90" t="n">
        <x:f>$B$6</x:f>
        <x:v>-0.00045209606279242174</x:v>
      </x:c>
      <x:c r="D162" s="90" t="n">
        <x:f>$B$7*'Transformaciones'!E155</x:f>
        <x:v>-0.003377910705135908</x:v>
      </x:c>
      <x:c r="E162" s="90" t="n">
        <x:f>$B$11*'Transformaciones'!M155</x:f>
        <x:v>0.03444252822998932</x:v>
      </x:c>
      <x:c r="F162" s="90" t="n">
        <x:f>$B$12*'Transformaciones'!O155</x:f>
        <x:v>-0.00993308312002074</x:v>
      </x:c>
      <x:c r="G162" s="90" t="n">
        <x:f>$B$8*'Transformaciones'!G154</x:f>
        <x:v>0.005826017720311091</x:v>
      </x:c>
      <x:c r="H162" s="90" t="n">
        <x:f>$B$9*'Transformaciones'!I154</x:f>
        <x:v>0.0018661667877280267</x:v>
      </x:c>
      <x:c r="I162" s="90" t="n">
        <x:f>$B$10*'Transformaciones'!K154</x:f>
        <x:v>0.0014431978619917334</x:v>
      </x:c>
      <x:c r="J162" s="90" t="n">
        <x:f>$B$13*'Transformaciones'!P155</x:f>
        <x:v>0</x:v>
      </x:c>
      <x:c r="K162" s="101" t="n">
        <x:f>SUM(C162:J162)</x:f>
        <x:v>0.029814820712071102</x:v>
      </x:c>
      <x:c r="L162" s="101" t="n">
        <x:f>B162-K162</x:f>
        <x:v>0.004139729328417205</x:v>
      </x:c>
      <x:c r="M162" s="86" t="n">
        <x:f>'Datos_fuente'!B155</x:f>
        <x:v>2861.825806</x:v>
      </x:c>
      <x:c r="N162" s="86" t="n">
        <x:f>EXP('Transformaciones'!B154+K162)</x:f>
        <x:v>2850.0031100428205</x:v>
      </x:c>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t="str">
        <x:f>'Transformaciones'!A156</x:f>
        <x:v>2018-06</x:v>
      </x:c>
      <x:c r="B163" s="90" t="n">
        <x:f>'Transformaciones'!C156</x:f>
        <x:v>0.009689069025481167</x:v>
      </x:c>
      <x:c r="C163" s="90" t="n">
        <x:f>$B$6</x:f>
        <x:v>-0.00045209606279242174</x:v>
      </x:c>
      <x:c r="D163" s="90" t="n">
        <x:f>$B$7*'Transformaciones'!E156</x:f>
        <x:v>0.0017556683156774852</x:v>
      </x:c>
      <x:c r="E163" s="90" t="n">
        <x:f>$B$11*'Transformaciones'!M156</x:f>
        <x:v>0.019508541116990005</x:v>
      </x:c>
      <x:c r="F163" s="90" t="n">
        <x:f>$B$12*'Transformaciones'!O156</x:f>
        <x:v>-0.001240339269097602</x:v>
      </x:c>
      <x:c r="G163" s="90" t="n">
        <x:f>$B$8*'Transformaciones'!G155</x:f>
        <x:v>0.0022707705022956123</x:v>
      </x:c>
      <x:c r="H163" s="90" t="n">
        <x:f>$B$9*'Transformaciones'!I155</x:f>
        <x:v>0.002493727308131956</x:v>
      </x:c>
      <x:c r="I163" s="90" t="n">
        <x:f>$B$10*'Transformaciones'!K155</x:f>
        <x:v>0.00032973054571519865</x:v>
      </x:c>
      <x:c r="J163" s="90" t="n">
        <x:f>$B$13*'Transformaciones'!P156</x:f>
        <x:v>0</x:v>
      </x:c>
      <x:c r="K163" s="101" t="n">
        <x:f>SUM(C163:J163)</x:f>
        <x:v>0.024666002456920234</x:v>
      </x:c>
      <x:c r="L163" s="101" t="n">
        <x:f>B163-K163</x:f>
        <x:v>-0.014976933431439066</x:v>
      </x:c>
      <x:c r="M163" s="86" t="n">
        <x:f>'Datos_fuente'!B156</x:f>
        <x:v>2889.689</x:v>
      </x:c>
      <x:c r="N163" s="86" t="n">
        <x:f>EXP('Transformaciones'!B155+K163)</x:f>
        <x:v>2933.293394782771</x:v>
      </x:c>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t="str">
        <x:f>'Transformaciones'!A157</x:f>
        <x:v>2018-07</x:v>
      </x:c>
      <x:c r="B164" s="90" t="n">
        <x:f>'Transformaciones'!C157</x:f>
        <x:v>-0.0015124008877460682</x:v>
      </x:c>
      <x:c r="C164" s="90" t="n">
        <x:f>$B$6</x:f>
        <x:v>-0.00045209606279242174</x:v>
      </x:c>
      <x:c r="D164" s="90" t="n">
        <x:f>$B$7*'Transformaciones'!E157</x:f>
        <x:v>0.0001047839229099524</x:v>
      </x:c>
      <x:c r="E164" s="90" t="n">
        <x:f>$B$11*'Transformaciones'!M157</x:f>
        <x:v>0.0023139774879870558</x:v>
      </x:c>
      <x:c r="F164" s="90" t="n">
        <x:f>$B$12*'Transformaciones'!O157</x:f>
        <x:v>-0.0015275217304755275</x:v>
      </x:c>
      <x:c r="G164" s="90" t="n">
        <x:f>$B$8*'Transformaciones'!G156</x:f>
        <x:v>0.000503050622104106</x:v>
      </x:c>
      <x:c r="H164" s="90" t="n">
        <x:f>$B$9*'Transformaciones'!I156</x:f>
        <x:v>0.0011890620261436273</x:v>
      </x:c>
      <x:c r="I164" s="90" t="n">
        <x:f>$B$10*'Transformaciones'!K156</x:f>
        <x:v>-0.000014393479228707793</x:v>
      </x:c>
      <x:c r="J164" s="90" t="n">
        <x:f>$B$13*'Transformaciones'!P157</x:f>
        <x:v>0</x:v>
      </x:c>
      <x:c r="K164" s="101" t="n">
        <x:f>SUM(C164:J164)</x:f>
        <x:v>0.002116862786648084</x:v>
      </x:c>
      <x:c r="L164" s="101" t="n">
        <x:f>B164-K164</x:f>
        <x:v>-0.0036292636743941523</x:v>
      </x:c>
      <x:c r="M164" s="86" t="n">
        <x:f>'Datos_fuente'!B157</x:f>
        <x:v>2885.321935</x:v>
      </x:c>
      <x:c r="N164" s="86" t="n">
        <x:f>EXP('Transformaciones'!B156+K164)</x:f>
        <x:v>2895.812554184382</x:v>
      </x:c>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t="str">
        <x:f>'Transformaciones'!A158</x:f>
        <x:v>2018-08</x:v>
      </x:c>
      <x:c r="B165" s="90" t="n">
        <x:f>'Transformaciones'!C158</x:f>
        <x:v>0.025102269690628454</x:v>
      </x:c>
      <x:c r="C165" s="90" t="n">
        <x:f>$B$6</x:f>
        <x:v>-0.00045209606279242174</x:v>
      </x:c>
      <x:c r="D165" s="90" t="n">
        <x:f>$B$7*'Transformaciones'!E158</x:f>
        <x:v>0.0012156255977059719</x:v>
      </x:c>
      <x:c r="E165" s="90" t="n">
        <x:f>$B$11*'Transformaciones'!M158</x:f>
        <x:v>0.008269315479618353</x:v>
      </x:c>
      <x:c r="F165" s="90" t="n">
        <x:f>$B$12*'Transformaciones'!O158</x:f>
        <x:v>-0.0018058613374210223</x:v>
      </x:c>
      <x:c r="G165" s="90" t="n">
        <x:f>$B$8*'Transformaciones'!G157</x:f>
        <x:v>0.001866187959711411</x:v>
      </x:c>
      <x:c r="H165" s="90" t="n">
        <x:f>$B$9*'Transformaciones'!I157</x:f>
        <x:v>0.0008917965196077259</x:v>
      </x:c>
      <x:c r="I165" s="90" t="n">
        <x:f>$B$10*'Transformaciones'!K157</x:f>
        <x:v>0.0006765321491868433</x:v>
      </x:c>
      <x:c r="J165" s="90" t="n">
        <x:f>$B$13*'Transformaciones'!P158</x:f>
        <x:v>0</x:v>
      </x:c>
      <x:c r="K165" s="101" t="n">
        <x:f>SUM(C165:J165)</x:f>
        <x:v>0.01066150030561686</x:v>
      </x:c>
      <x:c r="L165" s="101" t="n">
        <x:f>B165-K165</x:f>
        <x:v>0.014440769385011593</x:v>
      </x:c>
      <x:c r="M165" s="86" t="n">
        <x:f>'Datos_fuente'!B158</x:f>
        <x:v>2958.666774</x:v>
      </x:c>
      <x:c r="N165" s="86" t="n">
        <x:f>EXP('Transformaciones'!B157+K165)</x:f>
        <x:v>2916.2483638131007</x:v>
      </x:c>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t="str">
        <x:f>'Transformaciones'!A159</x:f>
        <x:v>2018-09</x:v>
      </x:c>
      <x:c r="B166" s="90" t="n">
        <x:f>'Transformaciones'!C159</x:f>
        <x:v>0.025066658612159287</x:v>
      </x:c>
      <x:c r="C166" s="90" t="n">
        <x:f>$B$6</x:f>
        <x:v>-0.00045209606279242174</x:v>
      </x:c>
      <x:c r="D166" s="90" t="n">
        <x:f>$B$7*'Transformaciones'!E159</x:f>
        <x:v>-0.004346847941206498</x:v>
      </x:c>
      <x:c r="E166" s="90" t="n">
        <x:f>$B$11*'Transformaciones'!M159</x:f>
        <x:v>0.0026339310149185147</x:v>
      </x:c>
      <x:c r="F166" s="90" t="n">
        <x:f>$B$12*'Transformaciones'!O159</x:f>
        <x:v>0.001103108033049682</x:v>
      </x:c>
      <x:c r="G166" s="90" t="n">
        <x:f>$B$8*'Transformaciones'!G158</x:f>
        <x:v>0.0043144096880269</x:v>
      </x:c>
      <x:c r="H166" s="90" t="n">
        <x:f>$B$9*'Transformaciones'!I158</x:f>
        <x:v>0</x:v>
      </x:c>
      <x:c r="I166" s="90" t="n">
        <x:f>$B$10*'Transformaciones'!K158</x:f>
        <x:v>0.002073965528266139</x:v>
      </x:c>
      <x:c r="J166" s="90" t="n">
        <x:f>$B$13*'Transformaciones'!P159</x:f>
        <x:v>0</x:v>
      </x:c>
      <x:c r="K166" s="101" t="n">
        <x:f>SUM(C166:J166)</x:f>
        <x:v>0.005326470260262316</x:v>
      </x:c>
      <x:c r="L166" s="101" t="n">
        <x:f>B166-K166</x:f>
        <x:v>0.019740188351896972</x:v>
      </x:c>
      <x:c r="M166" s="86" t="n">
        <x:f>'Datos_fuente'!B159</x:f>
        <x:v>3033.768</x:v>
      </x:c>
      <x:c r="N166" s="86" t="n">
        <x:f>EXP('Transformaciones'!B158+K166)</x:f>
        <x:v>2974.468069789212</x:v>
      </x:c>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t="str">
        <x:f>'Transformaciones'!A160</x:f>
        <x:v>2018-10</x:v>
      </x:c>
      <x:c r="B167" s="90" t="n">
        <x:f>'Transformaciones'!C160</x:f>
        <x:v>0.016691452992116496</x:v>
      </x:c>
      <x:c r="C167" s="90" t="n">
        <x:f>$B$6</x:f>
        <x:v>-0.00045209606279242174</x:v>
      </x:c>
      <x:c r="D167" s="90" t="n">
        <x:f>$B$7*'Transformaciones'!E160</x:f>
        <x:v>-0.0013842742330234161</x:v>
      </x:c>
      <x:c r="E167" s="90" t="n">
        <x:f>$B$11*'Transformaciones'!M160</x:f>
        <x:v>0.00798936643497682</x:v>
      </x:c>
      <x:c r="F167" s="90" t="n">
        <x:f>$B$12*'Transformaciones'!O160</x:f>
        <x:v>0.015630961245245947</x:v>
      </x:c>
      <x:c r="G167" s="90" t="n">
        <x:f>$B$8*'Transformaciones'!G159</x:f>
        <x:v>0.0037727463170619292</x:v>
      </x:c>
      <x:c r="H167" s="90" t="n">
        <x:f>$B$9*'Transformaciones'!I159</x:f>
        <x:v>0.0003963540087145439</x:v>
      </x:c>
      <x:c r="I167" s="90" t="n">
        <x:f>$B$10*'Transformaciones'!K159</x:f>
        <x:v>0.000386980476016675</x:v>
      </x:c>
      <x:c r="J167" s="90" t="n">
        <x:f>$B$13*'Transformaciones'!P160</x:f>
        <x:v>0</x:v>
      </x:c>
      <x:c r="K167" s="101" t="n">
        <x:f>SUM(C167:J167)</x:f>
        <x:v>0.02634003818620008</x:v>
      </x:c>
      <x:c r="L167" s="101" t="n">
        <x:f>B167-K167</x:f>
        <x:v>-0.009648585194083584</x:v>
      </x:c>
      <x:c r="M167" s="86" t="n">
        <x:f>'Datos_fuente'!B160</x:f>
        <x:v>3084.830968</x:v>
      </x:c>
      <x:c r="N167" s="86" t="n">
        <x:f>EXP('Transformaciones'!B159+K167)</x:f>
        <x:v>3114.739276810586</x:v>
      </x:c>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t="str">
        <x:f>'Transformaciones'!A161</x:f>
        <x:v>2018-11</x:v>
      </x:c>
      <x:c r="B168" s="90" t="n">
        <x:f>'Transformaciones'!C161</x:f>
        <x:v>0.034787934668214504</x:v>
      </x:c>
      <x:c r="C168" s="90" t="n">
        <x:f>$B$6</x:f>
        <x:v>-0.00045209606279242174</x:v>
      </x:c>
      <x:c r="D168" s="90" t="n">
        <x:f>$B$7*'Transformaciones'!E161</x:f>
        <x:v>0.011596679272197147</x:v>
      </x:c>
      <x:c r="E168" s="90" t="n">
        <x:f>$B$11*'Transformaciones'!M161</x:f>
        <x:v>0.014073187171184135</x:v>
      </x:c>
      <x:c r="F168" s="90" t="n">
        <x:f>$B$12*'Transformaciones'!O161</x:f>
        <x:v>0.000073512269996811</x:v>
      </x:c>
      <x:c r="G168" s="90" t="n">
        <x:f>$B$8*'Transformaciones'!G160</x:f>
        <x:v>0.0036320960493176767</x:v>
      </x:c>
      <x:c r="H168" s="90" t="n">
        <x:f>$B$9*'Transformaciones'!I160</x:f>
        <x:v>0.002378124052287259</x:v>
      </x:c>
      <x:c r="I168" s="90" t="n">
        <x:f>$B$10*'Transformaciones'!K160</x:f>
        <x:v>0.00019719174675561943</x:v>
      </x:c>
      <x:c r="J168" s="90" t="n">
        <x:f>$B$13*'Transformaciones'!P161</x:f>
        <x:v>0</x:v>
      </x:c>
      <x:c r="K168" s="101" t="n">
        <x:f>SUM(C168:J168)</x:f>
        <x:v>0.031498694498946225</x:v>
      </x:c>
      <x:c r="L168" s="101" t="n">
        <x:f>B168-K168</x:f>
        <x:v>0.0032892401692682788</x:v>
      </x:c>
      <x:c r="M168" s="86" t="n">
        <x:f>'Datos_fuente'!B161</x:f>
        <x:v>3194.034333</x:v>
      </x:c>
      <x:c r="N168" s="86" t="n">
        <x:f>EXP('Transformaciones'!B160+K168)</x:f>
        <x:v>3183.5456463311416</x:v>
      </x:c>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t="str">
        <x:f>'Transformaciones'!A162</x:f>
        <x:v>2018-12</x:v>
      </x:c>
      <x:c r="B169" s="90" t="n">
        <x:f>'Transformaciones'!C162</x:f>
        <x:v>0.007646449381239151</x:v>
      </x:c>
      <x:c r="C169" s="90" t="n">
        <x:f>$B$6</x:f>
        <x:v>-0.00045209606279242174</x:v>
      </x:c>
      <x:c r="D169" s="90" t="n">
        <x:f>$B$7*'Transformaciones'!E162</x:f>
        <x:v>0.006260834139053264</x:v>
      </x:c>
      <x:c r="E169" s="90" t="n">
        <x:f>$B$11*'Transformaciones'!M162</x:f>
        <x:v>0.0004471507440015882</x:v>
      </x:c>
      <x:c r="F169" s="90" t="n">
        <x:f>$B$12*'Transformaciones'!O162</x:f>
        <x:v>0.00974293299304476</x:v>
      </x:c>
      <x:c r="G169" s="90" t="n">
        <x:f>$B$8*'Transformaciones'!G161</x:f>
        <x:v>0.0024191766695657807</x:v>
      </x:c>
      <x:c r="H169" s="90" t="n">
        <x:f>$B$9*'Transformaciones'!I161</x:f>
        <x:v>0.00009908850217863818</x:v>
      </x:c>
      <x:c r="I169" s="90" t="n">
        <x:f>$B$10*'Transformaciones'!K161</x:f>
        <x:v>-0.0012276665433748886</x:v>
      </x:c>
      <x:c r="J169" s="90" t="n">
        <x:f>$B$13*'Transformaciones'!P162</x:f>
        <x:v>0</x:v>
      </x:c>
      <x:c r="K169" s="101" t="n">
        <x:f>SUM(C169:J169)</x:f>
        <x:v>0.017289420441676723</x:v>
      </x:c>
      <x:c r="L169" s="101" t="n">
        <x:f>B169-K169</x:f>
        <x:v>-0.009642971060437572</x:v>
      </x:c>
      <x:c r="M169" s="86" t="n">
        <x:f>'Datos_fuente'!B162</x:f>
        <x:v>3218.550968</x:v>
      </x:c>
      <x:c r="N169" s="86" t="n">
        <x:f>EXP('Transformaciones'!B161+K169)</x:f>
        <x:v>3249.737485522872</x:v>
      </x:c>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t="str">
        <x:f>'Transformaciones'!A163</x:f>
        <x:v>2019-01</x:v>
      </x:c>
      <x:c r="B170" s="90" t="n">
        <x:f>'Transformaciones'!C163</x:f>
        <x:v>-0.016718774281571314</x:v>
      </x:c>
      <x:c r="C170" s="90" t="n">
        <x:f>$B$6</x:f>
        <x:v>-0.00045209606279242174</x:v>
      </x:c>
      <x:c r="D170" s="90" t="n">
        <x:f>$B$7*'Transformaciones'!E163</x:f>
        <x:v>-0.0018126772470614197</x:v>
      </x:c>
      <x:c r="E170" s="90" t="n">
        <x:f>$B$11*'Transformaciones'!M163</x:f>
        <x:v>-0.018640851673476264</x:v>
      </x:c>
      <x:c r="F170" s="90" t="n">
        <x:f>$B$12*'Transformaciones'!O163</x:f>
        <x:v>-0.00937949867287239</x:v>
      </x:c>
      <x:c r="G170" s="90" t="n">
        <x:f>$B$8*'Transformaciones'!G162</x:f>
        <x:v>0.002808255472067725</x:v>
      </x:c>
      <x:c r="H170" s="90" t="n">
        <x:f>$B$9*'Transformaciones'!I162</x:f>
        <x:v>0.0006936195152504496</x:v>
      </x:c>
      <x:c r="I170" s="90" t="n">
        <x:f>$B$10*'Transformaciones'!K162</x:f>
        <x:v>-0.0028943209100833374</x:v>
      </x:c>
      <x:c r="J170" s="90" t="n">
        <x:f>$B$13*'Transformaciones'!P163</x:f>
        <x:v>0</x:v>
      </x:c>
      <x:c r="K170" s="101" t="n">
        <x:f>SUM(C170:J170)</x:f>
        <x:v>-0.02967756957896766</x:v>
      </x:c>
      <x:c r="L170" s="101" t="n">
        <x:f>B170-K170</x:f>
        <x:v>0.012958795297396346</x:v>
      </x:c>
      <x:c r="M170" s="86" t="n">
        <x:f>'Datos_fuente'!B163</x:f>
        <x:v>3165.188065</x:v>
      </x:c>
      <x:c r="N170" s="86" t="n">
        <x:f>EXP('Transformaciones'!B162+K170)</x:f>
        <x:v>3124.435662106984</x:v>
      </x:c>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t="str">
        <x:f>'Transformaciones'!A164</x:f>
        <x:v>2019-02</x:v>
      </x:c>
      <x:c r="B171" s="90" t="n">
        <x:f>'Transformaciones'!C164</x:f>
        <x:v>-0.01571415386816888</x:v>
      </x:c>
      <x:c r="C171" s="90" t="n">
        <x:f>$B$6</x:f>
        <x:v>-0.00045209606279242174</x:v>
      </x:c>
      <x:c r="D171" s="90" t="n">
        <x:f>$B$7*'Transformaciones'!E164</x:f>
        <x:v>-0.003815447849299215</x:v>
      </x:c>
      <x:c r="E171" s="90" t="n">
        <x:f>$B$11*'Transformaciones'!M164</x:f>
        <x:v>-0.0003130721940422969</x:v>
      </x:c>
      <x:c r="F171" s="90" t="n">
        <x:f>$B$12*'Transformaciones'!O164</x:f>
        <x:v>-0.009675323723425245</x:v>
      </x:c>
      <x:c r="G171" s="90" t="n">
        <x:f>$B$8*'Transformaciones'!G163</x:f>
        <x:v>0.0016298811826459983</x:v>
      </x:c>
      <x:c r="H171" s="90" t="n">
        <x:f>$B$9*'Transformaciones'!I163</x:f>
        <x:v>0.0012881505283222656</x:v>
      </x:c>
      <x:c r="I171" s="90" t="n">
        <x:f>$B$10*'Transformaciones'!K163</x:f>
        <x:v>-0.0004413757412961587</x:v>
      </x:c>
      <x:c r="J171" s="90" t="n">
        <x:f>$B$13*'Transformaciones'!P164</x:f>
        <x:v>0</x:v>
      </x:c>
      <x:c r="K171" s="101" t="n">
        <x:f>SUM(C171:J171)</x:f>
        <x:v>-0.011779283859887073</x:v>
      </x:c>
      <x:c r="L171" s="101" t="n">
        <x:f>B171-K171</x:f>
        <x:v>-0.003934870008281806</x:v>
      </x:c>
      <x:c r="M171" s="86" t="n">
        <x:f>'Datos_fuente'!B164</x:f>
        <x:v>3115.838571</x:v>
      </x:c>
      <x:c r="N171" s="86" t="n">
        <x:f>EXP('Transformaciones'!B163+K171)</x:f>
        <x:v>3128.123143992216</x:v>
      </x:c>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t="str">
        <x:f>'Transformaciones'!A165</x:f>
        <x:v>2019-03</x:v>
      </x:c>
      <x:c r="B172" s="90" t="n">
        <x:f>'Transformaciones'!C165</x:f>
        <x:v>0.004114210678045183</x:v>
      </x:c>
      <x:c r="C172" s="90" t="n">
        <x:f>$B$6</x:f>
        <x:v>-0.00045209606279242174</x:v>
      </x:c>
      <x:c r="D172" s="90" t="n">
        <x:f>$B$7*'Transformaciones'!E165</x:f>
        <x:v>-0.0017309883364077412</x:v>
      </x:c>
      <x:c r="E172" s="90" t="n">
        <x:f>$B$11*'Transformaciones'!M165</x:f>
        <x:v>0.003928346750431632</x:v>
      </x:c>
      <x:c r="F172" s="90" t="n">
        <x:f>$B$12*'Transformaciones'!O165</x:f>
        <x:v>-0.0019481874360255684</x:v>
      </x:c>
      <x:c r="G172" s="90" t="n">
        <x:f>$B$8*'Transformaciones'!G164</x:f>
        <x:v>0.0015423516140010184</x:v>
      </x:c>
      <x:c r="H172" s="90" t="n">
        <x:f>$B$9*'Transformaciones'!I164</x:f>
        <x:v>0</x:v>
      </x:c>
      <x:c r="I172" s="90" t="n">
        <x:f>$B$10*'Transformaciones'!K164</x:f>
        <x:v>0.0006243131346447809</x:v>
      </x:c>
      <x:c r="J172" s="90" t="n">
        <x:f>$B$13*'Transformaciones'!P165</x:f>
        <x:v>0</x:v>
      </x:c>
      <x:c r="K172" s="101" t="n">
        <x:f>SUM(C172:J172)</x:f>
        <x:v>0.0019637396638516997</x:v>
      </x:c>
      <x:c r="L172" s="101" t="n">
        <x:f>B172-K172</x:f>
        <x:v>0.002150471014193483</x:v>
      </x:c>
      <x:c r="M172" s="86" t="n">
        <x:f>'Datos_fuente'!B165</x:f>
        <x:v>3128.684194</x:v>
      </x:c>
      <x:c r="N172" s="86" t="n">
        <x:f>EXP('Transformaciones'!B164+K172)</x:f>
        <x:v>3121.9632784853275</x:v>
      </x:c>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t="str">
        <x:f>'Transformaciones'!A166</x:f>
        <x:v>2019-04</x:v>
      </x:c>
      <x:c r="B173" s="90" t="n">
        <x:f>'Transformaciones'!C166</x:f>
        <x:v>0.008618408005897749</x:v>
      </x:c>
      <x:c r="C173" s="90" t="n">
        <x:f>$B$6</x:f>
        <x:v>-0.00045209606279242174</x:v>
      </x:c>
      <x:c r="D173" s="90" t="n">
        <x:f>$B$7*'Transformaciones'!E166</x:f>
        <x:v>-0.003836019897399384</x:v>
      </x:c>
      <x:c r="E173" s="90" t="n">
        <x:f>$B$11*'Transformaciones'!M166</x:f>
        <x:v>0.0012720651852301595</x:v>
      </x:c>
      <x:c r="F173" s="90" t="n">
        <x:f>$B$12*'Transformaciones'!O166</x:f>
        <x:v>-0.0043293441738636584</x:v>
      </x:c>
      <x:c r="G173" s="90" t="n">
        <x:f>$B$8*'Transformaciones'!G165</x:f>
        <x:v>0.0023523653468986096</x:v>
      </x:c>
      <x:c r="H173" s="90" t="n">
        <x:f>$B$9*'Transformaciones'!I165</x:f>
        <x:v>0.00009908850217863598</x:v>
      </x:c>
      <x:c r="I173" s="90" t="n">
        <x:f>$B$10*'Transformaciones'!K165</x:f>
        <x:v>-0.0006351437194241855</x:v>
      </x:c>
      <x:c r="J173" s="90" t="n">
        <x:f>$B$13*'Transformaciones'!P166</x:f>
        <x:v>0</x:v>
      </x:c>
      <x:c r="K173" s="101" t="n">
        <x:f>SUM(C173:J173)</x:f>
        <x:v>-0.005529084819172245</x:v>
      </x:c>
      <x:c r="L173" s="101" t="n">
        <x:f>B173-K173</x:f>
        <x:v>0.014147492825069993</x:v>
      </x:c>
      <x:c r="M173" s="86" t="n">
        <x:f>'Datos_fuente'!B166</x:f>
        <x:v>3155.765</x:v>
      </x:c>
      <x:c r="N173" s="86" t="n">
        <x:f>EXP('Transformaciones'!B165+K173)</x:f>
        <x:v>3111.4331688576726</x:v>
      </x:c>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t="str">
        <x:f>'Transformaciones'!A167</x:f>
        <x:v>2019-05</x:v>
      </x:c>
      <x:c r="B174" s="90" t="n">
        <x:f>'Transformaciones'!C167</x:f>
        <x:v>0.04605257750406899</x:v>
      </x:c>
      <x:c r="C174" s="90" t="n">
        <x:f>$B$6</x:f>
        <x:v>-0.00045209606279242174</x:v>
      </x:c>
      <x:c r="D174" s="90" t="n">
        <x:f>$B$7*'Transformaciones'!E167</x:f>
        <x:v>-0.0000612063527164689</x:v>
      </x:c>
      <x:c r="E174" s="90" t="n">
        <x:f>$B$11*'Transformaciones'!M167</x:f>
        <x:v>0.011090541393921053</x:v>
      </x:c>
      <x:c r="F174" s="90" t="n">
        <x:f>$B$12*'Transformaciones'!O167</x:f>
        <x:v>0.009874235810137345</x:v>
      </x:c>
      <x:c r="G174" s="90" t="n">
        <x:f>$B$8*'Transformaciones'!G166</x:f>
        <x:v>0.002352265223878187</x:v>
      </x:c>
      <x:c r="H174" s="90" t="n">
        <x:f>$B$9*'Transformaciones'!I166</x:f>
        <x:v>0.00009908850217863598</x:v>
      </x:c>
      <x:c r="I174" s="90" t="n">
        <x:f>$B$10*'Transformaciones'!K166</x:f>
        <x:v>-0.0011203933001205466</x:v>
      </x:c>
      <x:c r="J174" s="90" t="n">
        <x:f>$B$13*'Transformaciones'!P167</x:f>
        <x:v>0</x:v>
      </x:c>
      <x:c r="K174" s="101" t="n">
        <x:f>SUM(C174:J174)</x:f>
        <x:v>0.021782435214485783</x:v>
      </x:c>
      <x:c r="L174" s="101" t="n">
        <x:f>B174-K174</x:f>
        <x:v>0.02427014228958321</x:v>
      </x:c>
      <x:c r="M174" s="86" t="n">
        <x:f>'Datos_fuente'!B167</x:f>
        <x:v>3304.494516</x:v>
      </x:c>
      <x:c r="N174" s="86" t="n">
        <x:f>EXP('Transformaciones'!B166+K174)</x:f>
        <x:v>3225.2593772962546</x:v>
      </x:c>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t="str">
        <x:f>'Transformaciones'!A168</x:f>
        <x:v>2019-06</x:v>
      </x:c>
      <x:c r="B175" s="90" t="n">
        <x:f>'Transformaciones'!C168</x:f>
        <x:v>-0.01339774461006904</x:v>
      </x:c>
      <x:c r="C175" s="90" t="n">
        <x:f>$B$6</x:f>
        <x:v>-0.00045209606279242174</x:v>
      </x:c>
      <x:c r="D175" s="90" t="n">
        <x:f>$B$7*'Transformaciones'!E168</x:f>
        <x:v>0.00541851096617144</x:v>
      </x:c>
      <x:c r="E175" s="90" t="n">
        <x:f>$B$11*'Transformaciones'!M168</x:f>
        <x:v>-0.005569438650485275</x:v>
      </x:c>
      <x:c r="F175" s="90" t="n">
        <x:f>$B$12*'Transformaciones'!O168</x:f>
        <x:v>-0.00210190299556198</x:v>
      </x:c>
      <x:c r="G175" s="90" t="n">
        <x:f>$B$8*'Transformaciones'!G167</x:f>
        <x:v>0.003821350733566931</x:v>
      </x:c>
      <x:c r="H175" s="90" t="n">
        <x:f>$B$9*'Transformaciones'!I167</x:f>
        <x:v>-0.0002972655065359079</x:v>
      </x:c>
      <x:c r="I175" s="90" t="n">
        <x:f>$B$10*'Transformaciones'!K167</x:f>
        <x:v>-0.00029318719967271693</x:v>
      </x:c>
      <x:c r="J175" s="90" t="n">
        <x:f>$B$13*'Transformaciones'!P168</x:f>
        <x:v>0</x:v>
      </x:c>
      <x:c r="K175" s="101" t="n">
        <x:f>SUM(C175:J175)</x:f>
        <x:v>0.0005259712846900694</x:v>
      </x:c>
      <x:c r="L175" s="101" t="n">
        <x:f>B175-K175</x:f>
        <x:v>-0.01392371589475911</x:v>
      </x:c>
      <x:c r="M175" s="86" t="n">
        <x:f>'Datos_fuente'!B168</x:f>
        <x:v>3260.517</x:v>
      </x:c>
      <x:c r="N175" s="86" t="n">
        <x:f>EXP('Transformaciones'!B167+K175)</x:f>
        <x:v>3306.23304239323</x:v>
      </x:c>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t="str">
        <x:f>'Transformaciones'!A169</x:f>
        <x:v>2019-07</x:v>
      </x:c>
      <x:c r="B176" s="90" t="n">
        <x:f>'Transformaciones'!C169</x:f>
        <x:v>-0.016674485259432714</x:v>
      </x:c>
      <x:c r="C176" s="90" t="n">
        <x:f>$B$6</x:f>
        <x:v>-0.00045209606279242174</x:v>
      </x:c>
      <x:c r="D176" s="90" t="n">
        <x:f>$B$7*'Transformaciones'!E169</x:f>
        <x:v>0.0002431489352658138</x:v>
      </x:c>
      <x:c r="E176" s="90" t="n">
        <x:f>$B$11*'Transformaciones'!M169</x:f>
        <x:v>-0.003684303305743701</x:v>
      </x:c>
      <x:c r="F176" s="90" t="n">
        <x:f>$B$12*'Transformaciones'!O169</x:f>
        <x:v>-0.006722473085167545</x:v>
      </x:c>
      <x:c r="G176" s="90" t="n">
        <x:f>$B$8*'Transformaciones'!G168</x:f>
        <x:v>0.0005507462541857539</x:v>
      </x:c>
      <x:c r="H176" s="90" t="n">
        <x:f>$B$9*'Transformaciones'!I168</x:f>
        <x:v>-0.00009908850217863598</x:v>
      </x:c>
      <x:c r="I176" s="90" t="n">
        <x:f>$B$10*'Transformaciones'!K168</x:f>
        <x:v>-0.0015225606092488467</x:v>
      </x:c>
      <x:c r="J176" s="90" t="n">
        <x:f>$B$13*'Transformaciones'!P169</x:f>
        <x:v>0</x:v>
      </x:c>
      <x:c r="K176" s="101" t="n">
        <x:f>SUM(C176:J176)</x:f>
        <x:v>-0.011686626375679583</x:v>
      </x:c>
      <x:c r="L176" s="101" t="n">
        <x:f>B176-K176</x:f>
        <x:v>-0.004987858883753131</x:v>
      </x:c>
      <x:c r="M176" s="86" t="n">
        <x:f>'Datos_fuente'!B169</x:f>
        <x:v>3206.600323</x:v>
      </x:c>
      <x:c r="N176" s="86" t="n">
        <x:f>EXP('Transformaciones'!B168+K176)</x:f>
        <x:v>3222.6343473910456</x:v>
      </x:c>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t="str">
        <x:f>'Transformaciones'!A170</x:f>
        <x:v>2019-08</x:v>
      </x:c>
      <x:c r="B177" s="90" t="n">
        <x:f>'Transformaciones'!C170</x:f>
        <x:v>0.061714774318119225</x:v>
      </x:c>
      <x:c r="C177" s="90" t="n">
        <x:f>$B$6</x:f>
        <x:v>-0.00045209606279242174</x:v>
      </x:c>
      <x:c r="D177" s="90" t="n">
        <x:f>$B$7*'Transformaciones'!E170</x:f>
        <x:v>0.004102956545826993</x:v>
      </x:c>
      <x:c r="E177" s="90" t="n">
        <x:f>$B$11*'Transformaciones'!M170</x:f>
        <x:v>0.021171688216641858</x:v>
      </x:c>
      <x:c r="F177" s="90" t="n">
        <x:f>$B$12*'Transformaciones'!O170</x:f>
        <x:v>0.013714283841513906</x:v>
      </x:c>
      <x:c r="G177" s="90" t="n">
        <x:f>$B$8*'Transformaciones'!G169</x:f>
        <x:v>0.0020088384455266505</x:v>
      </x:c>
      <x:c r="H177" s="90" t="n">
        <x:f>$B$9*'Transformaciones'!I169</x:f>
        <x:v>0.00019817700435727196</x:v>
      </x:c>
      <x:c r="I177" s="90" t="n">
        <x:f>$B$10*'Transformaciones'!K169</x:f>
        <x:v>-0.001071734516651056</x:v>
      </x:c>
      <x:c r="J177" s="90" t="n">
        <x:f>$B$13*'Transformaciones'!P170</x:f>
        <x:v>0</x:v>
      </x:c>
      <x:c r="K177" s="101" t="n">
        <x:f>SUM(C177:J177)</x:f>
        <x:v>0.039672113474423204</x:v>
      </x:c>
      <x:c r="L177" s="101" t="n">
        <x:f>B177-K177</x:f>
        <x:v>0.02204266084369602</x:v>
      </x:c>
      <x:c r="M177" s="86" t="n">
        <x:f>'Datos_fuente'!B170</x:f>
        <x:v>3410.729032</x:v>
      </x:c>
      <x:c r="N177" s="86" t="n">
        <x:f>EXP('Transformaciones'!B169+K177)</x:f>
        <x:v>3336.370034563058</x:v>
      </x:c>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t="str">
        <x:f>'Transformaciones'!A171</x:f>
        <x:v>2019-09</x:v>
      </x:c>
      <x:c r="B178" s="90" t="n">
        <x:f>'Transformaciones'!C171</x:f>
        <x:v>-0.00331034783503803</x:v>
      </x:c>
      <x:c r="C178" s="90" t="n">
        <x:f>$B$6</x:f>
        <x:v>-0.00045209606279242174</x:v>
      </x:c>
      <x:c r="D178" s="90" t="n">
        <x:f>$B$7*'Transformaciones'!E171</x:f>
        <x:v>-0.003211829001845714</x:v>
      </x:c>
      <x:c r="E178" s="90" t="n">
        <x:f>$B$11*'Transformaciones'!M171</x:f>
        <x:v>0.0023171484076426664</x:v>
      </x:c>
      <x:c r="F178" s="90" t="n">
        <x:f>$B$12*'Transformaciones'!O171</x:f>
        <x:v>-0.007673280735014289</x:v>
      </x:c>
      <x:c r="G178" s="90" t="n">
        <x:f>$B$8*'Transformaciones'!G170</x:f>
        <x:v>0.002748513354964483</x:v>
      </x:c>
      <x:c r="H178" s="90" t="n">
        <x:f>$B$9*'Transformaciones'!I170</x:f>
        <x:v>-0.002675389558823169</x:v>
      </x:c>
      <x:c r="I178" s="90" t="n">
        <x:f>$B$10*'Transformaciones'!K170</x:f>
        <x:v>-0.00011489572817141637</x:v>
      </x:c>
      <x:c r="J178" s="90" t="n">
        <x:f>$B$13*'Transformaciones'!P171</x:f>
        <x:v>0</x:v>
      </x:c>
      <x:c r="K178" s="101" t="n">
        <x:f>SUM(C178:J178)</x:f>
        <x:v>-0.009061829324039861</x:v>
      </x:c>
      <x:c r="L178" s="101" t="n">
        <x:f>B178-K178</x:f>
        <x:v>0.005751481489001831</x:v>
      </x:c>
      <x:c r="M178" s="86" t="n">
        <x:f>'Datos_fuente'!B171</x:f>
        <x:v>3399.457</x:v>
      </x:c>
      <x:c r="N178" s="86" t="n">
        <x:f>EXP('Transformaciones'!B170+K178)</x:f>
        <x:v>3379.961204587688</x:v>
      </x:c>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t="str">
        <x:f>'Transformaciones'!A172</x:f>
        <x:v>2019-10</x:v>
      </x:c>
      <x:c r="B179" s="90" t="n">
        <x:f>'Transformaciones'!C172</x:f>
        <x:v>0.009909567251369822</x:v>
      </x:c>
      <x:c r="C179" s="90" t="n">
        <x:f>$B$6</x:f>
        <x:v>-0.00045209606279242174</x:v>
      </x:c>
      <x:c r="D179" s="90" t="n">
        <x:f>$B$7*'Transformaciones'!E172</x:f>
        <x:v>0.002627473436515711</x:v>
      </x:c>
      <x:c r="E179" s="90" t="n">
        <x:f>$B$11*'Transformaciones'!M172</x:f>
        <x:v>-0.005997100303202444</x:v>
      </x:c>
      <x:c r="F179" s="90" t="n">
        <x:f>$B$12*'Transformaciones'!O172</x:f>
        <x:v>-0.00023021733343736448</x:v>
      </x:c>
      <x:c r="G179" s="90" t="n">
        <x:f>$B$8*'Transformaciones'!G171</x:f>
        <x:v>0.0011915336604401878</x:v>
      </x:c>
      <x:c r="H179" s="90" t="n">
        <x:f>$B$9*'Transformaciones'!I171</x:f>
        <x:v>-0.0008917965196077216</x:v>
      </x:c>
      <x:c r="I179" s="90" t="n">
        <x:f>$B$10*'Transformaciones'!K171</x:f>
        <x:v>-0.0010638748660220267</x:v>
      </x:c>
      <x:c r="J179" s="90" t="n">
        <x:f>$B$13*'Transformaciones'!P172</x:f>
        <x:v>0</x:v>
      </x:c>
      <x:c r="K179" s="101" t="n">
        <x:f>SUM(C179:J179)</x:f>
        <x:v>-0.00481607798810608</x:v>
      </x:c>
      <x:c r="L179" s="101" t="n">
        <x:f>B179-K179</x:f>
        <x:v>0.014725645239475902</x:v>
      </x:c>
      <x:c r="M179" s="86" t="n">
        <x:f>'Datos_fuente'!B172</x:f>
        <x:v>3433.311613</x:v>
      </x:c>
      <x:c r="N179" s="86" t="n">
        <x:f>EXP('Transformaciones'!B171+K179)</x:f>
        <x:v>3383.124311291253</x:v>
      </x:c>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t="str">
        <x:f>'Transformaciones'!A173</x:f>
        <x:v>2019-11</x:v>
      </x:c>
      <x:c r="B180" s="90" t="n">
        <x:f>'Transformaciones'!C173</x:f>
        <x:v>-0.009316707139870317</x:v>
      </x:c>
      <x:c r="C180" s="90" t="n">
        <x:f>$B$6</x:f>
        <x:v>-0.00045209606279242174</x:v>
      </x:c>
      <x:c r="D180" s="90" t="n">
        <x:f>$B$7*'Transformaciones'!E173</x:f>
        <x:v>-0.002943470277789902</x:v>
      </x:c>
      <x:c r="E180" s="90" t="n">
        <x:f>$B$11*'Transformaciones'!M173</x:f>
        <x:v>-0.0019455548881041045</x:v>
      </x:c>
      <x:c r="F180" s="90" t="n">
        <x:f>$B$12*'Transformaciones'!O173</x:f>
        <x:v>-0.008151069312944934</x:v>
      </x:c>
      <x:c r="G180" s="90" t="n">
        <x:f>$B$8*'Transformaciones'!G172</x:f>
        <x:v>-0.0007233164359290859</x:v>
      </x:c>
      <x:c r="H180" s="90" t="n">
        <x:f>$B$9*'Transformaciones'!I172</x:f>
        <x:v>-0.002080858545751353</x:v>
      </x:c>
      <x:c r="I180" s="90" t="n">
        <x:f>$B$10*'Transformaciones'!K172</x:f>
        <x:v>0.0012160879425501562</x:v>
      </x:c>
      <x:c r="J180" s="90" t="n">
        <x:f>$B$13*'Transformaciones'!P173</x:f>
        <x:v>0</x:v>
      </x:c>
      <x:c r="K180" s="101" t="n">
        <x:f>SUM(C180:J180)</x:f>
        <x:v>-0.015080277580761643</x:v>
      </x:c>
      <x:c r="L180" s="101" t="n">
        <x:f>B180-K180</x:f>
        <x:v>0.005763570440891326</x:v>
      </x:c>
      <x:c r="M180" s="86" t="n">
        <x:f>'Datos_fuente'!B173</x:f>
        <x:v>3401.473</x:v>
      </x:c>
      <x:c r="N180" s="86" t="n">
        <x:f>EXP('Transformaciones'!B172+K180)</x:f>
        <x:v>3381.924758708524</x:v>
      </x:c>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t="str">
        <x:f>'Transformaciones'!A174</x:f>
        <x:v>2019-12</x:v>
      </x:c>
      <x:c r="B181" s="90" t="n">
        <x:f>'Transformaciones'!C174</x:f>
        <x:v>-0.0069097622245291035</x:v>
      </x:c>
      <x:c r="C181" s="90" t="n">
        <x:f>$B$6</x:f>
        <x:v>-0.00045209606279242174</x:v>
      </x:c>
      <x:c r="D181" s="90" t="n">
        <x:f>$B$7*'Transformaciones'!E174</x:f>
        <x:v>-0.00317574939190766</x:v>
      </x:c>
      <x:c r="E181" s="90" t="n">
        <x:f>$B$11*'Transformaciones'!M174</x:f>
        <x:v>-0.006793103321100338</x:v>
      </x:c>
      <x:c r="F181" s="90" t="n">
        <x:f>$B$12*'Transformaciones'!O174</x:f>
        <x:v>0.003626844154820715</x:v>
      </x:c>
      <x:c r="G181" s="90" t="n">
        <x:f>$B$8*'Transformaciones'!G173</x:f>
        <x:v>-0.0016905436288654665</x:v>
      </x:c>
      <x:c r="H181" s="90" t="n">
        <x:f>$B$9*'Transformaciones'!I173</x:f>
        <x:v>-0.0027744780610018073</x:v>
      </x:c>
      <x:c r="I181" s="90" t="n">
        <x:f>$B$10*'Transformaciones'!K173</x:f>
        <x:v>0.00032151462851951444</x:v>
      </x:c>
      <x:c r="J181" s="90" t="n">
        <x:f>$B$13*'Transformaciones'!P174</x:f>
        <x:v>0</x:v>
      </x:c>
      <x:c r="K181" s="101" t="n">
        <x:f>SUM(C181:J181)</x:f>
        <x:v>-0.010937611682327463</x:v>
      </x:c>
      <x:c r="L181" s="101" t="n">
        <x:f>B181-K181</x:f>
        <x:v>0.00402784945779836</x:v>
      </x:c>
      <x:c r="M181" s="86" t="n">
        <x:f>'Datos_fuente'!B174</x:f>
        <x:v>3378.050645</x:v>
      </x:c>
      <x:c r="N181" s="86" t="n">
        <x:f>EXP('Transformaciones'!B173+K181)</x:f>
        <x:v>3364.4717308103964</x:v>
      </x:c>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t="str">
        <x:f>'Transformaciones'!A175</x:f>
        <x:v>2020-01</x:v>
      </x:c>
      <x:c r="B182" s="90" t="n">
        <x:f>'Transformaciones'!C175</x:f>
        <x:v>-0.019991364271753298</x:v>
      </x:c>
      <x:c r="C182" s="90" t="n">
        <x:f>$B$6</x:f>
        <x:v>-0.00045209606279242174</x:v>
      </x:c>
      <x:c r="D182" s="90" t="n">
        <x:f>$B$7*'Transformaciones'!E175</x:f>
        <x:v>0.002822419285376971</x:v>
      </x:c>
      <x:c r="E182" s="90" t="n">
        <x:f>$B$11*'Transformaciones'!M175</x:f>
        <x:v>-0.006624339891011419</x:v>
      </x:c>
      <x:c r="F182" s="90" t="n">
        <x:f>$B$12*'Transformaciones'!O175</x:f>
        <x:v>0.000513891942120307</x:v>
      </x:c>
      <x:c r="G182" s="90" t="n">
        <x:f>$B$8*'Transformaciones'!G174</x:f>
        <x:v>0.0014773151016934368</x:v>
      </x:c>
      <x:c r="H182" s="90" t="n">
        <x:f>$B$9*'Transformaciones'!I174</x:f>
        <x:v>0</x:v>
      </x:c>
      <x:c r="I182" s="90" t="n">
        <x:f>$B$10*'Transformaciones'!K174</x:f>
        <x:v>0.0014603096819304415</x:v>
      </x:c>
      <x:c r="J182" s="90" t="n">
        <x:f>$B$13*'Transformaciones'!P175</x:f>
        <x:v>0</x:v>
      </x:c>
      <x:c r="K182" s="101" t="n">
        <x:f>SUM(C182:J182)</x:f>
        <x:v>-0.0008024999426826855</x:v>
      </x:c>
      <x:c r="L182" s="101" t="n">
        <x:f>B182-K182</x:f>
        <x:v>-0.01918886432907061</x:v>
      </x:c>
      <x:c r="M182" s="86" t="n">
        <x:f>'Datos_fuente'!B175</x:f>
        <x:v>3311.189355</x:v>
      </x:c>
      <x:c r="N182" s="86" t="n">
        <x:f>EXP('Transformaciones'!B174+K182)</x:f>
        <x:v>3375.3408470028007</x:v>
      </x:c>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t="str">
        <x:f>'Transformaciones'!A176</x:f>
        <x:v>2020-02</x:v>
      </x:c>
      <x:c r="B183" s="90" t="n">
        <x:f>'Transformaciones'!C176</x:f>
        <x:v>0.02971352402789229</x:v>
      </x:c>
      <x:c r="C183" s="90" t="n">
        <x:f>$B$6</x:f>
        <x:v>-0.00045209606279242174</x:v>
      </x:c>
      <x:c r="D183" s="90" t="n">
        <x:f>$B$7*'Transformaciones'!E176</x:f>
        <x:v>0.006932970650386393</x:v>
      </x:c>
      <x:c r="E183" s="90" t="n">
        <x:f>$B$11*'Transformaciones'!M176</x:f>
        <x:v>0.0149912215506891</x:v>
      </x:c>
      <x:c r="F183" s="90" t="n">
        <x:f>$B$12*'Transformaciones'!O176</x:f>
        <x:v>0.013213991588226743</x:v>
      </x:c>
      <x:c r="G183" s="90" t="n">
        <x:f>$B$8*'Transformaciones'!G175</x:f>
        <x:v>-0.0012856253803858006</x:v>
      </x:c>
      <x:c r="H183" s="90" t="n">
        <x:f>$B$9*'Transformaciones'!I175</x:f>
        <x:v>0</x:v>
      </x:c>
      <x:c r="I183" s="90" t="n">
        <x:f>$B$10*'Transformaciones'!K175</x:f>
        <x:v>0.001177195472332218</x:v>
      </x:c>
      <x:c r="J183" s="90" t="n">
        <x:f>$B$13*'Transformaciones'!P176</x:f>
        <x:v>0</x:v>
      </x:c>
      <x:c r="K183" s="101" t="n">
        <x:f>SUM(C183:J183)</x:f>
        <x:v>0.03457765781845624</x:v>
      </x:c>
      <x:c r="L183" s="101" t="n">
        <x:f>B183-K183</x:f>
        <x:v>-0.004864133790563947</x:v>
      </x:c>
      <x:c r="M183" s="86" t="n">
        <x:f>'Datos_fuente'!B176</x:f>
        <x:v>3411.052759</x:v>
      </x:c>
      <x:c r="N183" s="86" t="n">
        <x:f>EXP('Transformaciones'!B175+K183)</x:f>
        <x:v>3427.6849939014164</x:v>
      </x:c>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t="str">
        <x:f>'Transformaciones'!A177</x:f>
        <x:v>2020-03</x:v>
      </x:c>
      <x:c r="B184" s="90" t="n">
        <x:f>'Transformaciones'!C177</x:f>
        <x:v>0.1280531685085613</x:v>
      </x:c>
      <x:c r="C184" s="90" t="n">
        <x:f>$B$6</x:f>
        <x:v>-0.00045209606279242174</x:v>
      </x:c>
      <x:c r="D184" s="90" t="n">
        <x:f>$B$7*'Transformaciones'!E177</x:f>
        <x:v>0.028591870918498203</x:v>
      </x:c>
      <x:c r="E184" s="90" t="n">
        <x:f>$B$11*'Transformaciones'!M177</x:f>
        <x:v>0.04408288094080681</x:v>
      </x:c>
      <x:c r="F184" s="90" t="n">
        <x:f>$B$12*'Transformaciones'!O177</x:f>
        <x:v>0.04166421670620372</x:v>
      </x:c>
      <x:c r="G184" s="90" t="n">
        <x:f>$B$8*'Transformaciones'!G176</x:f>
        <x:v>0.0008980339233077245</x:v>
      </x:c>
      <x:c r="H184" s="90" t="n">
        <x:f>$B$9*'Transformaciones'!I176</x:f>
        <x:v>0.0002972655065359101</x:v>
      </x:c>
      <x:c r="I184" s="90" t="n">
        <x:f>$B$10*'Transformaciones'!K176</x:f>
        <x:v>-0.0015266005416653564</x:v>
      </x:c>
      <x:c r="J184" s="90" t="n">
        <x:f>$B$13*'Transformaciones'!P177</x:f>
        <x:v>0.008132674061635346</x:v>
      </x:c>
      <x:c r="K184" s="101" t="n">
        <x:f>SUM(C184:J184)</x:f>
        <x:v>0.12168824545252994</x:v>
      </x:c>
      <x:c r="L184" s="101" t="n">
        <x:f>B184-K184</x:f>
        <x:v>0.006364923056031355</x:v>
      </x:c>
      <x:c r="M184" s="86" t="n">
        <x:f>'Datos_fuente'!B177</x:f>
        <x:v>3877.048387</x:v>
      </x:c>
      <x:c r="N184" s="86" t="n">
        <x:f>EXP('Transformaciones'!B176+K184)</x:f>
        <x:v>3852.449639944195</x:v>
      </x:c>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t="str">
        <x:f>'Transformaciones'!A178</x:f>
        <x:v>2020-04</x:v>
      </x:c>
      <x:c r="B185" s="90" t="n">
        <x:f>'Transformaciones'!C178</x:f>
        <x:v>0.025552524134122123</x:v>
      </x:c>
      <x:c r="C185" s="90" t="n">
        <x:f>$B$6</x:f>
        <x:v>-0.00045209606279242174</x:v>
      </x:c>
      <x:c r="D185" s="90" t="n">
        <x:f>$B$7*'Transformaciones'!E178</x:f>
        <x:v>0.028684531797021684</x:v>
      </x:c>
      <x:c r="E185" s="90" t="n">
        <x:f>$B$11*'Transformaciones'!M178</x:f>
        <x:v>0.02245664306772365</x:v>
      </x:c>
      <x:c r="F185" s="90" t="n">
        <x:f>$B$12*'Transformaciones'!O178</x:f>
        <x:v>-0.012794627625164446</x:v>
      </x:c>
      <x:c r="G185" s="90" t="n">
        <x:f>$B$8*'Transformaciones'!G177</x:f>
        <x:v>0.0058299443676963995</x:v>
      </x:c>
      <x:c r="H185" s="90" t="n">
        <x:f>$B$9*'Transformaciones'!I177</x:f>
        <x:v>-0.00889559036821003</x:v>
      </x:c>
      <x:c r="I185" s="90" t="n">
        <x:f>$B$10*'Transformaciones'!K177</x:f>
        <x:v>-0.0006493519709454905</x:v>
      </x:c>
      <x:c r="J185" s="90" t="n">
        <x:f>$B$13*'Transformaciones'!P178</x:f>
        <x:v>0.008132674061635346</x:v>
      </x:c>
      <x:c r="K185" s="101" t="n">
        <x:f>SUM(C185:J185)</x:f>
        <x:v>0.04231212726696469</x:v>
      </x:c>
      <x:c r="L185" s="101" t="n">
        <x:f>B185-K185</x:f>
        <x:v>-0.016759603132842568</x:v>
      </x:c>
      <x:c r="M185" s="86" t="n">
        <x:f>'Datos_fuente'!B178</x:f>
        <x:v>3977.393333</x:v>
      </x:c>
      <x:c r="N185" s="86" t="n">
        <x:f>EXP('Transformaciones'!B177+K185)</x:f>
        <x:v>4044.6145941514296</x:v>
      </x:c>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t="str">
        <x:f>'Transformaciones'!A179</x:f>
        <x:v>2020-05</x:v>
      </x:c>
      <x:c r="B186" s="90" t="n">
        <x:f>'Transformaciones'!C179</x:f>
        <x:v>-0.030428083613546875</x:v>
      </x:c>
      <x:c r="C186" s="90" t="n">
        <x:f>$B$6</x:f>
        <x:v>-0.00045209606279242174</x:v>
      </x:c>
      <x:c r="D186" s="90" t="n">
        <x:f>$B$7*'Transformaciones'!E179</x:f>
        <x:v>-0.02424868270093008</x:v>
      </x:c>
      <x:c r="E186" s="90" t="n">
        <x:f>$B$11*'Transformaciones'!M179</x:f>
        <x:v>-0.006575139575346704</x:v>
      </x:c>
      <x:c r="F186" s="90" t="n">
        <x:f>$B$12*'Transformaciones'!O179</x:f>
        <x:v>-0.011350535269480277</x:v>
      </x:c>
      <x:c r="G186" s="90" t="n">
        <x:f>$B$8*'Transformaciones'!G178</x:f>
        <x:v>-0.009132699768229852</x:v>
      </x:c>
      <x:c r="H186" s="90" t="n">
        <x:f>$B$9*'Transformaciones'!I178</x:f>
        <x:v>-0.0013105253561894693</x:v>
      </x:c>
      <x:c r="I186" s="90" t="n">
        <x:f>$B$10*'Transformaciones'!K178</x:f>
        <x:v>0.004114241119364899</x:v>
      </x:c>
      <x:c r="J186" s="90" t="n">
        <x:f>$B$13*'Transformaciones'!P179</x:f>
        <x:v>0.008132674061635346</x:v>
      </x:c>
      <x:c r="K186" s="101" t="n">
        <x:f>SUM(C186:J186)</x:f>
        <x:v>-0.04082276355196855</x:v>
      </x:c>
      <x:c r="L186" s="101" t="n">
        <x:f>B186-K186</x:f>
        <x:v>0.010394679938421678</x:v>
      </x:c>
      <x:c r="M186" s="86" t="n">
        <x:f>'Datos_fuente'!B179</x:f>
        <x:v>3858.191613</x:v>
      </x:c>
      <x:c r="N186" s="86" t="n">
        <x:f>EXP('Transformaciones'!B178+K186)</x:f>
        <x:v>3818.2946632891867</x:v>
      </x:c>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t="str">
        <x:f>'Transformaciones'!A180</x:f>
        <x:v>2020-06</x:v>
      </x:c>
      <x:c r="B187" s="90" t="n">
        <x:f>'Transformaciones'!C180</x:f>
        <x:v>-0.041432250472812626</x:v>
      </x:c>
      <x:c r="C187" s="90" t="n">
        <x:f>$B$6</x:f>
        <x:v>-0.00045209606279242174</x:v>
      </x:c>
      <x:c r="D187" s="90" t="n">
        <x:f>$B$7*'Transformaciones'!E180</x:f>
        <x:v>-0.016295959524230866</x:v>
      </x:c>
      <x:c r="E187" s="90" t="n">
        <x:f>$B$11*'Transformaciones'!M180</x:f>
        <x:v>-0.029471903276286782</x:v>
      </x:c>
      <x:c r="F187" s="90" t="n">
        <x:f>$B$12*'Transformaciones'!O180</x:f>
        <x:v>0.0002771591301527176</x:v>
      </x:c>
      <x:c r="G187" s="90" t="n">
        <x:f>$B$8*'Transformaciones'!G179</x:f>
        <x:v>-0.007776114629491268</x:v>
      </x:c>
      <x:c r="H187" s="90" t="n">
        <x:f>$B$9*'Transformaciones'!I179</x:f>
        <x:v>0.004474964612281558</x:v>
      </x:c>
      <x:c r="I187" s="90" t="n">
        <x:f>$B$10*'Transformaciones'!K179</x:f>
        <x:v>0.0031547215666654213</x:v>
      </x:c>
      <x:c r="J187" s="90" t="n">
        <x:f>$B$13*'Transformaciones'!P180</x:f>
        <x:v>0</x:v>
      </x:c>
      <x:c r="K187" s="101" t="n">
        <x:f>SUM(C187:J187)</x:f>
        <x:v>-0.04608922818370163</x:v>
      </x:c>
      <x:c r="L187" s="101" t="n">
        <x:f>B187-K187</x:f>
        <x:v>0.004656977710889007</x:v>
      </x:c>
      <x:c r="M187" s="86" t="n">
        <x:f>'Datos_fuente'!B180</x:f>
        <x:v>3701.604333</x:v>
      </x:c>
      <x:c r="N187" s="86" t="n">
        <x:f>EXP('Transformaciones'!B179+K187)</x:f>
        <x:v>3684.406121053628</x:v>
      </x:c>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t="str">
        <x:f>'Transformaciones'!A181</x:f>
        <x:v>2020-07</x:v>
      </x:c>
      <x:c r="B188" s="90" t="n">
        <x:f>'Transformaciones'!C181</x:f>
        <x:v>-0.011886200327753116</x:v>
      </x:c>
      <x:c r="C188" s="90" t="n">
        <x:f>$B$6</x:f>
        <x:v>-0.00045209606279242174</x:v>
      </x:c>
      <x:c r="D188" s="90" t="n">
        <x:f>$B$7*'Transformaciones'!E181</x:f>
        <x:v>-0.00368506511317757</x:v>
      </x:c>
      <x:c r="E188" s="90" t="n">
        <x:f>$B$11*'Transformaciones'!M181</x:f>
        <x:v>-0.010057536244603501</x:v>
      </x:c>
      <x:c r="F188" s="90" t="n">
        <x:f>$B$12*'Transformaciones'!O181</x:f>
        <x:v>-0.005712552980482921</x:v>
      </x:c>
      <x:c r="G188" s="90" t="n">
        <x:f>$B$8*'Transformaciones'!G180</x:f>
        <x:v>0.000025962647870836396</x:v>
      </x:c>
      <x:c r="H188" s="90" t="n">
        <x:f>$B$9*'Transformaciones'!I180</x:f>
        <x:v>0.005731151112117941</x:v>
      </x:c>
      <x:c r="I188" s="90" t="n">
        <x:f>$B$10*'Transformaciones'!K180</x:f>
        <x:v>0.005466115781888234</x:v>
      </x:c>
      <x:c r="J188" s="90" t="n">
        <x:f>$B$13*'Transformaciones'!P181</x:f>
        <x:v>0</x:v>
      </x:c>
      <x:c r="K188" s="101" t="n">
        <x:f>SUM(C188:J188)</x:f>
        <x:v>-0.008684020859179398</x:v>
      </x:c>
      <x:c r="L188" s="101" t="n">
        <x:f>B188-K188</x:f>
        <x:v>-0.0032021794685737175</x:v>
      </x:c>
      <x:c r="M188" s="86" t="n">
        <x:f>'Datos_fuente'!B181</x:f>
        <x:v>3657.866774</x:v>
      </x:c>
      <x:c r="N188" s="86" t="n">
        <x:f>EXP('Transformaciones'!B180+K188)</x:f>
        <x:v>3669.598693713817</x:v>
      </x:c>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t="str">
        <x:f>'Transformaciones'!A182</x:f>
        <x:v>2020-08</x:v>
      </x:c>
      <x:c r="B189" s="90" t="n">
        <x:f>'Transformaciones'!C182</x:f>
        <x:v>0.03364403834070728</x:v>
      </x:c>
      <x:c r="C189" s="90" t="n">
        <x:f>$B$6</x:f>
        <x:v>-0.00045209606279242174</x:v>
      </x:c>
      <x:c r="D189" s="90" t="n">
        <x:f>$B$7*'Transformaciones'!E182</x:f>
        <x:v>-0.0017555874932534536</x:v>
      </x:c>
      <x:c r="E189" s="90" t="n">
        <x:f>$B$11*'Transformaciones'!M182</x:f>
        <x:v>-0.017992947357184066</x:v>
      </x:c>
      <x:c r="F189" s="90" t="n">
        <x:f>$B$12*'Transformaciones'!O182</x:f>
        <x:v>-0.006149128628303055</x:v>
      </x:c>
      <x:c r="G189" s="90" t="n">
        <x:f>$B$8*'Transformaciones'!G181</x:f>
        <x:v>-0.000863177850264297</x:v>
      </x:c>
      <x:c r="H189" s="90" t="n">
        <x:f>$B$9*'Transformaciones'!I181</x:f>
        <x:v>0.002576301056644531</x:v>
      </x:c>
      <x:c r="I189" s="90" t="n">
        <x:f>$B$10*'Transformaciones'!K181</x:f>
        <x:v>0.0026546078272073814</x:v>
      </x:c>
      <x:c r="J189" s="90" t="n">
        <x:f>$B$13*'Transformaciones'!P182</x:f>
        <x:v>0</x:v>
      </x:c>
      <x:c r="K189" s="101" t="n">
        <x:f>SUM(C189:J189)</x:f>
        <x:v>-0.021982028507945377</x:v>
      </x:c>
      <x:c r="L189" s="101" t="n">
        <x:f>B189-K189</x:f>
        <x:v>0.055626066848652664</x:v>
      </x:c>
      <x:c r="M189" s="86" t="n">
        <x:f>'Datos_fuente'!B182</x:f>
        <x:v>3783.025806</x:v>
      </x:c>
      <x:c r="N189" s="86" t="n">
        <x:f>EXP('Transformaciones'!B181+K189)</x:f>
        <x:v>3578.3367602565722</x:v>
      </x:c>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t="str">
        <x:f>'Transformaciones'!A183</x:f>
        <x:v>2020-09</x:v>
      </x:c>
      <x:c r="B190" s="90" t="n">
        <x:f>'Transformaciones'!C183</x:f>
        <x:v>-0.008710906730742707</x:v>
      </x:c>
      <x:c r="C190" s="90" t="n">
        <x:f>$B$6</x:f>
        <x:v>-0.00045209606279242174</x:v>
      </x:c>
      <x:c r="D190" s="90" t="n">
        <x:f>$B$7*'Transformaciones'!E183</x:f>
        <x:v>0.004622071249304325</x:v>
      </x:c>
      <x:c r="E190" s="90" t="n">
        <x:f>$B$11*'Transformaciones'!M183</x:f>
        <x:v>-0.006272956548171521</x:v>
      </x:c>
      <x:c r="F190" s="90" t="n">
        <x:f>$B$12*'Transformaciones'!O183</x:f>
        <x:v>0.0072933460247525716</x:v>
      </x:c>
      <x:c r="G190" s="90" t="n">
        <x:f>$B$8*'Transformaciones'!G182</x:f>
        <x:v>-0.0017325567977940744</x:v>
      </x:c>
      <x:c r="H190" s="90" t="n">
        <x:f>$B$9*'Transformaciones'!I182</x:f>
        <x:v>0.0024164808943974037</x:v>
      </x:c>
      <x:c r="I190" s="90" t="n">
        <x:f>$B$10*'Transformaciones'!K182</x:f>
        <x:v>0.0023031060113063604</x:v>
      </x:c>
      <x:c r="J190" s="90" t="n">
        <x:f>$B$13*'Transformaciones'!P183</x:f>
        <x:v>0</x:v>
      </x:c>
      <x:c r="K190" s="101" t="n">
        <x:f>SUM(C190:J190)</x:f>
        <x:v>0.008177394771002645</x:v>
      </x:c>
      <x:c r="L190" s="101" t="n">
        <x:f>B190-K190</x:f>
        <x:v>-0.01688830150174535</x:v>
      </x:c>
      <x:c r="M190" s="86" t="n">
        <x:f>'Datos_fuente'!B183</x:f>
        <x:v>3750.215333</x:v>
      </x:c>
      <x:c r="N190" s="86" t="n">
        <x:f>EXP('Transformaciones'!B182+K190)</x:f>
        <x:v>3814.0879319849096</x:v>
      </x:c>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t="str">
        <x:f>'Transformaciones'!A184</x:f>
        <x:v>2020-10</x:v>
      </x:c>
      <x:c r="B191" s="90" t="n">
        <x:f>'Transformaciones'!C184</x:f>
        <x:v>0.02204018884077108</x:v>
      </x:c>
      <x:c r="C191" s="90" t="n">
        <x:f>$B$6</x:f>
        <x:v>-0.00045209606279242174</x:v>
      </x:c>
      <x:c r="D191" s="90" t="n">
        <x:f>$B$7*'Transformaciones'!E184</x:f>
        <x:v>0.0009178750423406712</x:v>
      </x:c>
      <x:c r="E191" s="90" t="n">
        <x:f>$B$11*'Transformaciones'!M184</x:f>
        <x:v>-0.005897266052824402</x:v>
      </x:c>
      <x:c r="F191" s="90" t="n">
        <x:f>$B$12*'Transformaciones'!O184</x:f>
        <x:v>0.0024239684320222325</x:v>
      </x:c>
      <x:c r="G191" s="90" t="n">
        <x:f>$B$8*'Transformaciones'!G183</x:f>
        <x:v>0.0027510694613086415</x:v>
      </x:c>
      <x:c r="H191" s="90" t="n">
        <x:f>$B$9*'Transformaciones'!I183</x:f>
        <x:v>0.0027856654699809813</x:v>
      </x:c>
      <x:c r="I191" s="90" t="n">
        <x:f>$B$10*'Transformaciones'!K183</x:f>
        <x:v>0.004486319268747863</x:v>
      </x:c>
      <x:c r="J191" s="90" t="n">
        <x:f>$B$13*'Transformaciones'!P184</x:f>
        <x:v>0</x:v>
      </x:c>
      <x:c r="K191" s="101" t="n">
        <x:f>SUM(C191:J191)</x:f>
        <x:v>0.007015535558783566</x:v>
      </x:c>
      <x:c r="L191" s="101" t="n">
        <x:f>B191-K191</x:f>
        <x:v>0.015024653281987514</x:v>
      </x:c>
      <x:c r="M191" s="86" t="n">
        <x:f>'Datos_fuente'!B184</x:f>
        <x:v>3833.788387</x:v>
      </x:c>
      <x:c r="N191" s="86" t="n">
        <x:f>EXP('Transformaciones'!B183+K191)</x:f>
        <x:v>3776.6176067787587</x:v>
      </x:c>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t="str">
        <x:f>'Transformaciones'!A185</x:f>
        <x:v>2020-11</x:v>
      </x:c>
      <x:c r="B192" s="90" t="n">
        <x:f>'Transformaciones'!C185</x:f>
        <x:v>-0.039412879237527676</x:v>
      </x:c>
      <x:c r="C192" s="90" t="n">
        <x:f>$B$6</x:f>
        <x:v>-0.00045209606279242174</x:v>
      </x:c>
      <x:c r="D192" s="90" t="n">
        <x:f>$B$7*'Transformaciones'!E185</x:f>
        <x:v>-0.003122915061584927</x:v>
      </x:c>
      <x:c r="E192" s="90" t="n">
        <x:f>$B$11*'Transformaciones'!M185</x:f>
        <x:v>-0.01777453355637406</x:v>
      </x:c>
      <x:c r="F192" s="90" t="n">
        <x:f>$B$12*'Transformaciones'!O185</x:f>
        <x:v>-0.006318322249253286</x:v>
      </x:c>
      <x:c r="G192" s="90" t="n">
        <x:f>$B$8*'Transformaciones'!G184</x:f>
        <x:v>0.0019007265403988</x:v>
      </x:c>
      <x:c r="H192" s="90" t="n">
        <x:f>$B$9*'Transformaciones'!I184</x:f>
        <x:v>0.002229491299019308</x:v>
      </x:c>
      <x:c r="I192" s="90" t="n">
        <x:f>$B$10*'Transformaciones'!K184</x:f>
        <x:v>-0.0038138232619535943</x:v>
      </x:c>
      <x:c r="J192" s="90" t="n">
        <x:f>$B$13*'Transformaciones'!P185</x:f>
        <x:v>0</x:v>
      </x:c>
      <x:c r="K192" s="101" t="n">
        <x:f>SUM(C192:J192)</x:f>
        <x:v>-0.02735147235254018</x:v>
      </x:c>
      <x:c r="L192" s="101" t="n">
        <x:f>B192-K192</x:f>
        <x:v>-0.012061406884987497</x:v>
      </x:c>
      <x:c r="M192" s="86" t="n">
        <x:f>'Datos_fuente'!B185</x:f>
        <x:v>3685.626667</x:v>
      </x:c>
      <x:c r="N192" s="86" t="n">
        <x:f>EXP('Transformaciones'!B184+K192)</x:f>
        <x:v>3730.3496788971725</x:v>
      </x:c>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t="str">
        <x:f>'Transformaciones'!A186</x:f>
        <x:v>2020-12</x:v>
      </x:c>
      <x:c r="B193" s="90" t="n">
        <x:f>'Transformaciones'!C186</x:f>
        <x:v>-0.06140270980120022</x:v>
      </x:c>
      <x:c r="C193" s="90" t="n">
        <x:f>$B$6</x:f>
        <x:v>-0.00045209606279242174</x:v>
      </x:c>
      <x:c r="D193" s="90" t="n">
        <x:f>$B$7*'Transformaciones'!E186</x:f>
        <x:v>-0.008160930925914701</x:v>
      </x:c>
      <x:c r="E193" s="90" t="n">
        <x:f>$B$11*'Transformaciones'!M186</x:f>
        <x:v>-0.023647503737254445</x:v>
      </x:c>
      <x:c r="F193" s="90" t="n">
        <x:f>$B$12*'Transformaciones'!O186</x:f>
        <x:v>-0.0042785367787641</x:v>
      </x:c>
      <x:c r="G193" s="90" t="n">
        <x:f>$B$8*'Transformaciones'!G185</x:f>
        <x:v>0.002283385751045358</x:v>
      </x:c>
      <x:c r="H193" s="90" t="n">
        <x:f>$B$9*'Transformaciones'!I185</x:f>
        <x:v>0</x:v>
      </x:c>
      <x:c r="I193" s="90" t="n">
        <x:f>$B$10*'Transformaciones'!K185</x:f>
        <x:v>0.0017903266852520507</x:v>
      </x:c>
      <x:c r="J193" s="90" t="n">
        <x:f>$B$13*'Transformaciones'!P186</x:f>
        <x:v>0</x:v>
      </x:c>
      <x:c r="K193" s="101" t="n">
        <x:f>SUM(C193:J193)</x:f>
        <x:v>-0.03246535506842826</x:v>
      </x:c>
      <x:c r="L193" s="101" t="n">
        <x:f>B193-K193</x:f>
        <x:v>-0.02893735473277196</x:v>
      </x:c>
      <x:c r="M193" s="86" t="n">
        <x:f>'Datos_fuente'!B186</x:f>
        <x:v>3466.127097</x:v>
      </x:c>
      <x:c r="N193" s="86" t="n">
        <x:f>EXP('Transformaciones'!B185+K193)</x:f>
        <x:v>3567.8929626192844</x:v>
      </x:c>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t="str">
        <x:f>'Transformaciones'!A187</x:f>
        <x:v>2021-01</x:v>
      </x:c>
      <x:c r="B194" s="90" t="n">
        <x:f>'Transformaciones'!C187</x:f>
        <x:v>0.0072424899352565575</x:v>
      </x:c>
      <x:c r="C194" s="90" t="n">
        <x:f>$B$6</x:f>
        <x:v>-0.00045209606279242174</x:v>
      </x:c>
      <x:c r="D194" s="90" t="n">
        <x:f>$B$7*'Transformaciones'!E187</x:f>
        <x:v>-0.004720533586869309</x:v>
      </x:c>
      <x:c r="E194" s="90" t="n">
        <x:f>$B$11*'Transformaciones'!M187</x:f>
        <x:v>-0.004481189598621407</x:v>
      </x:c>
      <x:c r="F194" s="90" t="n">
        <x:f>$B$12*'Transformaciones'!O187</x:f>
        <x:v>0.0041462140935721</x:v>
      </x:c>
      <x:c r="G194" s="90" t="n">
        <x:f>$B$8*'Transformaciones'!G186</x:f>
        <x:v>0.0004250081755863355</x:v>
      </x:c>
      <x:c r="H194" s="90" t="n">
        <x:f>$B$9*'Transformaciones'!I186</x:f>
        <x:v>0</x:v>
      </x:c>
      <x:c r="I194" s="90" t="n">
        <x:f>$B$10*'Transformaciones'!K186</x:f>
        <x:v>0.003855230654785898</x:v>
      </x:c>
      <x:c r="J194" s="90" t="n">
        <x:f>$B$13*'Transformaciones'!P187</x:f>
        <x:v>0</x:v>
      </x:c>
      <x:c r="K194" s="101" t="n">
        <x:f>SUM(C194:J194)</x:f>
        <x:v>-0.0012273663243388042</x:v>
      </x:c>
      <x:c r="L194" s="101" t="n">
        <x:f>B194-K194</x:f>
        <x:v>0.008469856259595362</x:v>
      </x:c>
      <x:c r="M194" s="86" t="n">
        <x:f>'Datos_fuente'!B187</x:f>
        <x:v>3491.321613</x:v>
      </x:c>
      <x:c r="N194" s="86" t="n">
        <x:f>EXP('Transformaciones'!B186+K194)</x:f>
        <x:v>3461.875498993102</x:v>
      </x:c>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t="str">
        <x:f>'Transformaciones'!A188</x:f>
        <x:v>2021-02</x:v>
      </x:c>
      <x:c r="B195" s="90" t="n">
        <x:f>'Transformaciones'!C188</x:f>
        <x:v>0.017935261977779504</x:v>
      </x:c>
      <x:c r="C195" s="90" t="n">
        <x:f>$B$6</x:f>
        <x:v>-0.00045209606279242174</x:v>
      </x:c>
      <x:c r="D195" s="90" t="n">
        <x:f>$B$7*'Transformaciones'!E188</x:f>
        <x:v>-0.0066356607473439955</x:v>
      </x:c>
      <x:c r="E195" s="90" t="n">
        <x:f>$B$11*'Transformaciones'!M188</x:f>
        <x:v>0.005760024291064383</x:v>
      </x:c>
      <x:c r="F195" s="90" t="n">
        <x:f>$B$12*'Transformaciones'!O188</x:f>
        <x:v>-0.002845499843064118</x:v>
      </x:c>
      <x:c r="G195" s="90" t="n">
        <x:f>$B$8*'Transformaciones'!G187</x:f>
        <x:v>0.00036922943061530426</x:v>
      </x:c>
      <x:c r="H195" s="90" t="n">
        <x:f>$B$9*'Transformaciones'!I187</x:f>
        <x:v>0</x:v>
      </x:c>
      <x:c r="I195" s="90" t="n">
        <x:f>$B$10*'Transformaciones'!K187</x:f>
        <x:v>-0.003009227356511511</x:v>
      </x:c>
      <x:c r="J195" s="90" t="n">
        <x:f>$B$13*'Transformaciones'!P188</x:f>
        <x:v>0</x:v>
      </x:c>
      <x:c r="K195" s="101" t="n">
        <x:f>SUM(C195:J195)</x:f>
        <x:v>-0.006813230288032358</x:v>
      </x:c>
      <x:c r="L195" s="101" t="n">
        <x:f>B195-K195</x:f>
        <x:v>0.024748492265811863</x:v>
      </x:c>
      <x:c r="M195" s="86" t="n">
        <x:f>'Datos_fuente'!B188</x:f>
        <x:v>3554.504286</x:v>
      </x:c>
      <x:c r="N195" s="86" t="n">
        <x:f>EXP('Transformaciones'!B187+K195)</x:f>
        <x:v>3467.615284881546</x:v>
      </x:c>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t="str">
        <x:f>'Transformaciones'!A189</x:f>
        <x:v>2021-03</x:v>
      </x:c>
      <x:c r="B196" s="90" t="n">
        <x:f>'Transformaciones'!C189</x:f>
        <x:v>0.016258732475984417</x:v>
      </x:c>
      <x:c r="C196" s="90" t="n">
        <x:f>$B$6</x:f>
        <x:v>-0.00045209606279242174</x:v>
      </x:c>
      <x:c r="D196" s="90" t="n">
        <x:f>$B$7*'Transformaciones'!E189</x:f>
        <x:v>-0.0025376256897849</x:v>
      </x:c>
      <x:c r="E196" s="90" t="n">
        <x:f>$B$11*'Transformaciones'!M189</x:f>
        <x:v>0.014229614549989862</x:v>
      </x:c>
      <x:c r="F196" s="90" t="n">
        <x:f>$B$12*'Transformaciones'!O189</x:f>
        <x:v>-0.0022283549118700236</x:v>
      </x:c>
      <x:c r="G196" s="90" t="n">
        <x:f>$B$8*'Transformaciones'!G188</x:f>
        <x:v>0.0026330207340369686</x:v>
      </x:c>
      <x:c r="H196" s="90" t="n">
        <x:f>$B$9*'Transformaciones'!I188</x:f>
        <x:v>-0.00009908850217863598</x:v>
      </x:c>
      <x:c r="I196" s="90" t="n">
        <x:f>$B$10*'Transformaciones'!K188</x:f>
        <x:v>0.002576622909050673</x:v>
      </x:c>
      <x:c r="J196" s="90" t="n">
        <x:f>$B$13*'Transformaciones'!P189</x:f>
        <x:v>0</x:v>
      </x:c>
      <x:c r="K196" s="101" t="n">
        <x:f>SUM(C196:J196)</x:f>
        <x:v>0.01412209302645152</x:v>
      </x:c>
      <x:c r="L196" s="101" t="n">
        <x:f>B196-K196</x:f>
        <x:v>0.0021366394495328962</x:v>
      </x:c>
      <x:c r="M196" s="86" t="n">
        <x:f>'Datos_fuente'!B189</x:f>
        <x:v>3612.768387</x:v>
      </x:c>
      <x:c r="N196" s="86" t="n">
        <x:f>EXP('Transformaciones'!B188+K196)</x:f>
        <x:v>3605.0574442280877</x:v>
      </x:c>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t="str">
        <x:f>'Transformaciones'!A190</x:f>
        <x:v>2021-04</x:v>
      </x:c>
      <x:c r="B197" s="90" t="n">
        <x:f>'Transformaciones'!C190</x:f>
        <x:v>0.01046540307923749</x:v>
      </x:c>
      <x:c r="C197" s="90" t="n">
        <x:f>$B$6</x:f>
        <x:v>-0.00045209606279242174</x:v>
      </x:c>
      <x:c r="D197" s="90" t="n">
        <x:f>$B$7*'Transformaciones'!E190</x:f>
        <x:v>0.0004791483599067066</x:v>
      </x:c>
      <x:c r="E197" s="90" t="n">
        <x:f>$B$11*'Transformaciones'!M190</x:f>
        <x:v>-0.007574589823810806</x:v>
      </x:c>
      <x:c r="F197" s="90" t="n">
        <x:f>$B$12*'Transformaciones'!O190</x:f>
        <x:v>-0.008746218459903964</x:v>
      </x:c>
      <x:c r="G197" s="90" t="n">
        <x:f>$B$8*'Transformaciones'!G189</x:f>
        <x:v>0.002870875041953328</x:v>
      </x:c>
      <x:c r="H197" s="90" t="n">
        <x:f>$B$9*'Transformaciones'!I189</x:f>
        <x:v>-0.00009908850217863598</x:v>
      </x:c>
      <x:c r="I197" s="90" t="n">
        <x:f>$B$10*'Transformaciones'!K189</x:f>
        <x:v>-0.0005526695912982642</x:v>
      </x:c>
      <x:c r="J197" s="90" t="n">
        <x:f>$B$13*'Transformaciones'!P190</x:f>
        <x:v>0</x:v>
      </x:c>
      <x:c r="K197" s="101" t="n">
        <x:f>SUM(C197:J197)</x:f>
        <x:v>-0.014074639038124058</x:v>
      </x:c>
      <x:c r="L197" s="101" t="n">
        <x:f>B197-K197</x:f>
        <x:v>0.02454004211736155</x:v>
      </x:c>
      <x:c r="M197" s="86" t="n">
        <x:f>'Datos_fuente'!B190</x:f>
        <x:v>3650.776</x:v>
      </x:c>
      <x:c r="N197" s="86" t="n">
        <x:f>EXP('Transformaciones'!B189+K197)</x:f>
        <x:v>3562.2761396236647</x:v>
      </x:c>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t="str">
        <x:f>'Transformaciones'!A191</x:f>
        <x:v>2021-05</x:v>
      </x:c>
      <x:c r="B198" s="90" t="n">
        <x:f>'Transformaciones'!C191</x:f>
        <x:v>0.02298640273650321</x:v>
      </x:c>
      <x:c r="C198" s="90" t="n">
        <x:f>$B$6</x:f>
        <x:v>-0.00045209606279242174</x:v>
      </x:c>
      <x:c r="D198" s="90" t="n">
        <x:f>$B$7*'Transformaciones'!E191</x:f>
        <x:v>-0.002891000956464812</x:v>
      </x:c>
      <x:c r="E198" s="90" t="n">
        <x:f>$B$11*'Transformaciones'!M191</x:f>
        <x:v>-0.0154158045149944</x:v>
      </x:c>
      <x:c r="F198" s="90" t="n">
        <x:f>$B$12*'Transformaciones'!O191</x:f>
        <x:v>0.0048768234919672835</x:v>
      </x:c>
      <x:c r="G198" s="90" t="n">
        <x:f>$B$8*'Transformaciones'!G190</x:f>
        <x:v>0.01305333908927374</x:v>
      </x:c>
      <x:c r="H198" s="90" t="n">
        <x:f>$B$9*'Transformaciones'!I190</x:f>
        <x:v>0</x:v>
      </x:c>
      <x:c r="I198" s="90" t="n">
        <x:f>$B$10*'Transformaciones'!K190</x:f>
        <x:v>-0.0010137077954755968</x:v>
      </x:c>
      <x:c r="J198" s="90" t="n">
        <x:f>$B$13*'Transformaciones'!P191</x:f>
        <x:v>0</x:v>
      </x:c>
      <x:c r="K198" s="101" t="n">
        <x:f>SUM(C198:J198)</x:f>
        <x:v>-0.0018424467484862072</x:v>
      </x:c>
      <x:c r="L198" s="101" t="n">
        <x:f>B198-K198</x:f>
        <x:v>0.024828849484989417</x:v>
      </x:c>
      <x:c r="M198" s="86" t="n">
        <x:f>'Datos_fuente'!B191</x:f>
        <x:v>3735.666129</x:v>
      </x:c>
      <x:c r="N198" s="86" t="n">
        <x:f>EXP('Transformaciones'!B190+K198)</x:f>
        <x:v>3644.0558323059327</x:v>
      </x:c>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t="str">
        <x:f>'Transformaciones'!A192</x:f>
        <x:v>2021-06</x:v>
      </x:c>
      <x:c r="B199" s="90" t="n">
        <x:f>'Transformaciones'!C192</x:f>
        <x:v>-0.013644046337864424</x:v>
      </x:c>
      <x:c r="C199" s="90" t="n">
        <x:f>$B$6</x:f>
        <x:v>-0.00045209606279242174</x:v>
      </x:c>
      <x:c r="D199" s="90" t="n">
        <x:f>$B$7*'Transformaciones'!E192</x:f>
        <x:v>-0.0033792116153787567</x:v>
      </x:c>
      <x:c r="E199" s="90" t="n">
        <x:f>$B$11*'Transformaciones'!M192</x:f>
        <x:v>0.003985815198764976</x:v>
      </x:c>
      <x:c r="F199" s="90" t="n">
        <x:f>$B$12*'Transformaciones'!O192</x:f>
        <x:v>-0.005909083948681481</x:v>
      </x:c>
      <x:c r="G199" s="90" t="n">
        <x:f>$B$8*'Transformaciones'!G191</x:f>
        <x:v>0.010774280384631034</x:v>
      </x:c>
      <x:c r="H199" s="90" t="n">
        <x:f>$B$9*'Transformaciones'!I191</x:f>
        <x:v>-0.00009908850217863598</x:v>
      </x:c>
      <x:c r="I199" s="90" t="n">
        <x:f>$B$10*'Transformaciones'!K191</x:f>
        <x:v>-0.001172658015099298</x:v>
      </x:c>
      <x:c r="J199" s="90" t="n">
        <x:f>$B$13*'Transformaciones'!P192</x:f>
        <x:v>0</x:v>
      </x:c>
      <x:c r="K199" s="101" t="n">
        <x:f>SUM(C199:J199)</x:f>
        <x:v>0.0037479574392654163</x:v>
      </x:c>
      <x:c r="L199" s="101" t="n">
        <x:f>B199-K199</x:f>
        <x:v>-0.01739200377712984</x:v>
      </x:c>
      <x:c r="M199" s="86" t="n">
        <x:f>'Datos_fuente'!B192</x:f>
        <x:v>3685.042667</x:v>
      </x:c>
      <x:c r="N199" s="86" t="n">
        <x:f>EXP('Transformaciones'!B191+K199)</x:f>
        <x:v>3749.6935172654657</x:v>
      </x:c>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t="str">
        <x:f>'Transformaciones'!A193</x:f>
        <x:v>2021-07</x:v>
      </x:c>
      <x:c r="B200" s="90" t="n">
        <x:f>'Transformaciones'!C193</x:f>
        <x:v>0.03843074625904386</x:v>
      </x:c>
      <x:c r="C200" s="90" t="n">
        <x:f>$B$6</x:f>
        <x:v>-0.00045209606279242174</x:v>
      </x:c>
      <x:c r="D200" s="90" t="n">
        <x:f>$B$7*'Transformaciones'!E193</x:f>
        <x:v>-0.0013953322789676359</x:v>
      </x:c>
      <x:c r="E200" s="90" t="n">
        <x:f>$B$11*'Transformaciones'!M193</x:f>
        <x:v>0.016070877331915253</x:v>
      </x:c>
      <x:c r="F200" s="90" t="n">
        <x:f>$B$12*'Transformaciones'!O193</x:f>
        <x:v>0.0014450068755044656</x:v>
      </x:c>
      <x:c r="G200" s="90" t="n">
        <x:f>$B$8*'Transformaciones'!G192</x:f>
        <x:v>0.005801401550893496</x:v>
      </x:c>
      <x:c r="H200" s="90" t="n">
        <x:f>$B$9*'Transformaciones'!I192</x:f>
        <x:v>0.00019817700435727196</x:v>
      </x:c>
      <x:c r="I200" s="90" t="n">
        <x:f>$B$10*'Transformaciones'!K192</x:f>
        <x:v>-0.0006539754332318321</x:v>
      </x:c>
      <x:c r="J200" s="90" t="n">
        <x:f>$B$13*'Transformaciones'!P193</x:f>
        <x:v>0</x:v>
      </x:c>
      <x:c r="K200" s="101" t="n">
        <x:f>SUM(C200:J200)</x:f>
        <x:v>0.021014058987678594</x:v>
      </x:c>
      <x:c r="L200" s="101" t="n">
        <x:f>B200-K200</x:f>
        <x:v>0.017416687271365264</x:v>
      </x:c>
      <x:c r="M200" s="86" t="n">
        <x:f>'Datos_fuente'!B193</x:f>
        <x:v>3829.418065</x:v>
      </x:c>
      <x:c r="N200" s="86" t="n">
        <x:f>EXP('Transformaciones'!B192+K200)</x:f>
        <x:v>3763.2997405783335</x:v>
      </x:c>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t="str">
        <x:f>'Transformaciones'!A194</x:f>
        <x:v>2021-08</x:v>
      </x:c>
      <x:c r="B201" s="90" t="n">
        <x:f>'Transformaciones'!C194</x:f>
        <x:v>0.013427294869787332</x:v>
      </x:c>
      <x:c r="C201" s="90" t="n">
        <x:f>$B$6</x:f>
        <x:v>-0.00045209606279242174</x:v>
      </x:c>
      <x:c r="D201" s="90" t="n">
        <x:f>$B$7*'Transformaciones'!E194</x:f>
        <x:v>0.003131809525688375</x:v>
      </x:c>
      <x:c r="E201" s="90" t="n">
        <x:f>$B$11*'Transformaciones'!M194</x:f>
        <x:v>0.003639898385099149</x:v>
      </x:c>
      <x:c r="F201" s="90" t="n">
        <x:f>$B$12*'Transformaciones'!O194</x:f>
        <x:v>-0.0002875879601975932</x:v>
      </x:c>
      <x:c r="G201" s="90" t="n">
        <x:f>$B$8*'Transformaciones'!G193</x:f>
        <x:v>0.005167118036976953</x:v>
      </x:c>
      <x:c r="H201" s="90" t="n">
        <x:f>$B$9*'Transformaciones'!I193</x:f>
        <x:v>0.00019817700435727196</x:v>
      </x:c>
      <x:c r="I201" s="90" t="n">
        <x:f>$B$10*'Transformaciones'!K193</x:f>
        <x:v>-0.0011857900681723186</x:v>
      </x:c>
      <x:c r="J201" s="90" t="n">
        <x:f>$B$13*'Transformaciones'!P194</x:f>
        <x:v>0</x:v>
      </x:c>
      <x:c r="K201" s="101" t="n">
        <x:f>SUM(C201:J201)</x:f>
        <x:v>0.010211528860959414</x:v>
      </x:c>
      <x:c r="L201" s="101" t="n">
        <x:f>B201-K201</x:f>
        <x:v>0.0032157660088279177</x:v>
      </x:c>
      <x:c r="M201" s="86" t="n">
        <x:f>'Datos_fuente'!B194</x:f>
        <x:v>3881.183548</x:v>
      </x:c>
      <x:c r="N201" s="86" t="n">
        <x:f>EXP('Transformaciones'!B193+K201)</x:f>
        <x:v>3868.722616330929</x:v>
      </x:c>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t="str">
        <x:f>'Transformaciones'!A195</x:f>
        <x:v>2021-09</x:v>
      </x:c>
      <x:c r="B202" s="90" t="n">
        <x:f>'Transformaciones'!C195</x:f>
        <x:v>-0.015487273011800085</x:v>
      </x:c>
      <x:c r="C202" s="90" t="n">
        <x:f>$B$6</x:f>
        <x:v>-0.00045209606279242174</x:v>
      </x:c>
      <x:c r="D202" s="90" t="n">
        <x:f>$B$7*'Transformaciones'!E195</x:f>
        <x:v>-0.002663931894831331</x:v>
      </x:c>
      <x:c r="E202" s="90" t="n">
        <x:f>$B$11*'Transformaciones'!M195</x:f>
        <x:v>0.0004414658782725349</x:v>
      </x:c>
      <x:c r="F202" s="90" t="n">
        <x:f>$B$12*'Transformaciones'!O195</x:f>
        <x:v>0.004877047438878331</x:v>
      </x:c>
      <x:c r="G202" s="90" t="n">
        <x:f>$B$8*'Transformaciones'!G194</x:f>
        <x:v>0.0035149713059537554</x:v>
      </x:c>
      <x:c r="H202" s="90" t="n">
        <x:f>$B$9*'Transformaciones'!I194</x:f>
        <x:v>-0.00009908850217863598</x:v>
      </x:c>
      <x:c r="I202" s="90" t="n">
        <x:f>$B$10*'Transformaciones'!K194</x:f>
        <x:v>-0.005815132999683034</x:v>
      </x:c>
      <x:c r="J202" s="90" t="n">
        <x:f>$B$13*'Transformaciones'!P195</x:f>
        <x:v>0</x:v>
      </x:c>
      <x:c r="K202" s="101" t="n">
        <x:f>SUM(C202:J202)</x:f>
        <x:v>-0.00019676483638080174</x:v>
      </x:c>
      <x:c r="L202" s="101" t="n">
        <x:f>B202-K202</x:f>
        <x:v>-0.015290508175419283</x:v>
      </x:c>
      <x:c r="M202" s="86" t="n">
        <x:f>'Datos_fuente'!B195</x:f>
        <x:v>3821.537667</x:v>
      </x:c>
      <x:c r="N202" s="86" t="n">
        <x:f>EXP('Transformaciones'!B194+K202)</x:f>
        <x:v>3880.4199426820123</x:v>
      </x:c>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t="str">
        <x:f>'Transformaciones'!A196</x:f>
        <x:v>2021-10</x:v>
      </x:c>
      <x:c r="B203" s="90" t="n">
        <x:f>'Transformaciones'!C196</x:f>
        <x:v>-0.01268060926168424</x:v>
      </x:c>
      <x:c r="C203" s="90" t="n">
        <x:f>$B$6</x:f>
        <x:v>-0.00045209606279242174</x:v>
      </x:c>
      <x:c r="D203" s="90" t="n">
        <x:f>$B$7*'Transformaciones'!E196</x:f>
        <x:v>-0.005926838586421496</x:v>
      </x:c>
      <x:c r="E203" s="90" t="n">
        <x:f>$B$11*'Transformaciones'!M196</x:f>
        <x:v>0.0066195294413807304</x:v>
      </x:c>
      <x:c r="F203" s="90" t="n">
        <x:f>$B$12*'Transformaciones'!O196</x:f>
        <x:v>-0.00400575361106637</x:v>
      </x:c>
      <x:c r="G203" s="90" t="n">
        <x:f>$B$8*'Transformaciones'!G195</x:f>
        <x:v>0.0009580741976868778</x:v>
      </x:c>
      <x:c r="H203" s="90" t="n">
        <x:f>$B$9*'Transformaciones'!I195</x:f>
        <x:v>-0.00009908850217863598</x:v>
      </x:c>
      <x:c r="I203" s="90" t="n">
        <x:f>$B$10*'Transformaciones'!K195</x:f>
        <x:v>-0.0018959666094894622</x:v>
      </x:c>
      <x:c r="J203" s="90" t="n">
        <x:f>$B$13*'Transformaciones'!P196</x:f>
        <x:v>0</x:v>
      </x:c>
      <x:c r="K203" s="101" t="n">
        <x:f>SUM(C203:J203)</x:f>
        <x:v>-0.004802139732880777</x:v>
      </x:c>
      <x:c r="L203" s="101" t="n">
        <x:f>B203-K203</x:f>
        <x:v>-0.007878469528803462</x:v>
      </x:c>
      <x:c r="M203" s="86" t="n">
        <x:f>'Datos_fuente'!B196</x:f>
        <x:v>3773.384194</x:v>
      </x:c>
      <x:c r="N203" s="86" t="n">
        <x:f>EXP('Transformaciones'!B195+K203)</x:f>
        <x:v>3803.230102052974</x:v>
      </x:c>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t="str">
        <x:f>'Transformaciones'!A197</x:f>
        <x:v>2021-11</x:v>
      </x:c>
      <x:c r="B204" s="90" t="n">
        <x:f>'Transformaciones'!C197</x:f>
        <x:v>0.03374785978165917</x:v>
      </x:c>
      <x:c r="C204" s="90" t="n">
        <x:f>$B$6</x:f>
        <x:v>-0.00045209606279242174</x:v>
      </x:c>
      <x:c r="D204" s="90" t="n">
        <x:f>$B$7*'Transformaciones'!E197</x:f>
        <x:v>0.0015629939866363904</x:v>
      </x:c>
      <x:c r="E204" s="90" t="n">
        <x:f>$B$11*'Transformaciones'!M197</x:f>
        <x:v>0.009827334772122304</x:v>
      </x:c>
      <x:c r="F204" s="90" t="n">
        <x:f>$B$12*'Transformaciones'!O197</x:f>
        <x:v>0.0013359092647052537</x:v>
      </x:c>
      <x:c r="G204" s="90" t="n">
        <x:f>$B$8*'Transformaciones'!G196</x:f>
        <x:v>0.0005580146734483426</x:v>
      </x:c>
      <x:c r="H204" s="90" t="n">
        <x:f>$B$9*'Transformaciones'!I196</x:f>
        <x:v>-0.002477212554465897</x:v>
      </x:c>
      <x:c r="I204" s="90" t="n">
        <x:f>$B$10*'Transformaciones'!K196</x:f>
        <x:v>0.00609182624828506</x:v>
      </x:c>
      <x:c r="J204" s="90" t="n">
        <x:f>$B$13*'Transformaciones'!P197</x:f>
        <x:v>0</x:v>
      </x:c>
      <x:c r="K204" s="101" t="n">
        <x:f>SUM(C204:J204)</x:f>
        <x:v>0.016446770327939033</x:v>
      </x:c>
      <x:c r="L204" s="101" t="n">
        <x:f>B204-K204</x:f>
        <x:v>0.01730108945372014</x:v>
      </x:c>
      <x:c r="M204" s="86" t="n">
        <x:f>'Datos_fuente'!B197</x:f>
        <x:v>3902.901</x:v>
      </x:c>
      <x:c r="N204" s="86" t="n">
        <x:f>EXP('Transformaciones'!B196+K204)</x:f>
        <x:v>3835.9573297168326</x:v>
      </x:c>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t="str">
        <x:f>'Transformaciones'!A198</x:f>
        <x:v>2021-12</x:v>
      </x:c>
      <x:c r="B205" s="90" t="n">
        <x:f>'Transformaciones'!C198</x:f>
        <x:v>0.015314889580594127</x:v>
      </x:c>
      <x:c r="C205" s="90" t="n">
        <x:f>$B$6</x:f>
        <x:v>-0.00045209606279242174</x:v>
      </x:c>
      <x:c r="D205" s="90" t="n">
        <x:f>$B$7*'Transformaciones'!E198</x:f>
        <x:v>0.004585108507077798</x:v>
      </x:c>
      <x:c r="E205" s="90" t="n">
        <x:f>$B$11*'Transformaciones'!M198</x:f>
        <x:v>0.008578491001179162</x:v>
      </x:c>
      <x:c r="F205" s="90" t="n">
        <x:f>$B$12*'Transformaciones'!O198</x:f>
        <x:v>0.005540407008081559</x:v>
      </x:c>
      <x:c r="G205" s="90" t="n">
        <x:f>$B$8*'Transformaciones'!G197</x:f>
        <x:v>0.006774997301598201</x:v>
      </x:c>
      <x:c r="H205" s="90" t="n">
        <x:f>$B$9*'Transformaciones'!I197</x:f>
        <x:v>-0.004789277601997785</x:v>
      </x:c>
      <x:c r="I205" s="90" t="n">
        <x:f>$B$10*'Transformaciones'!K197</x:f>
        <x:v>0.001692614027742684</x:v>
      </x:c>
      <x:c r="J205" s="90" t="n">
        <x:f>$B$13*'Transformaciones'!P198</x:f>
        <x:v>0</x:v>
      </x:c>
      <x:c r="K205" s="101" t="n">
        <x:f>SUM(C205:J205)</x:f>
        <x:v>0.0219302441808892</x:v>
      </x:c>
      <x:c r="L205" s="101" t="n">
        <x:f>B205-K205</x:f>
        <x:v>-0.0066153546002950744</x:v>
      </x:c>
      <x:c r="M205" s="86" t="n">
        <x:f>'Datos_fuente'!B198</x:f>
        <x:v>3963.133548</x:v>
      </x:c>
      <x:c r="N205" s="86" t="n">
        <x:f>EXP('Transformaciones'!B197+K205)</x:f>
        <x:v>3989.437992432226</x:v>
      </x:c>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t="str">
        <x:f>'Transformaciones'!A199</x:f>
        <x:v>2022-01</x:v>
      </x:c>
      <x:c r="B206" s="90" t="n">
        <x:f>'Transformaciones'!C199</x:f>
        <x:v>0.009163376411086332</x:v>
      </x:c>
      <x:c r="C206" s="90" t="n">
        <x:f>$B$6</x:f>
        <x:v>-0.00045209606279242174</x:v>
      </x:c>
      <x:c r="D206" s="90" t="n">
        <x:f>$B$7*'Transformaciones'!E199</x:f>
        <x:v>-0.007952277121011691</x:v>
      </x:c>
      <x:c r="E206" s="90" t="n">
        <x:f>$B$11*'Transformaciones'!M199</x:f>
        <x:v>-0.008076852297042846</x:v>
      </x:c>
      <x:c r="F206" s="90" t="n">
        <x:f>$B$12*'Transformaciones'!O199</x:f>
        <x:v>0.003169289636614969</x:v>
      </x:c>
      <x:c r="G206" s="90" t="n">
        <x:f>$B$8*'Transformaciones'!G198</x:f>
        <x:v>0.005004550302736661</x:v>
      </x:c>
      <x:c r="H206" s="90" t="n">
        <x:f>$B$9*'Transformaciones'!I198</x:f>
        <x:v>-0.0020829894836261044</x:v>
      </x:c>
      <x:c r="I206" s="90" t="n">
        <x:f>$B$10*'Transformaciones'!K198</x:f>
        <x:v>0.0014140541319189145</x:v>
      </x:c>
      <x:c r="J206" s="90" t="n">
        <x:f>$B$13*'Transformaciones'!P199</x:f>
        <x:v>0</x:v>
      </x:c>
      <x:c r="K206" s="101" t="n">
        <x:f>SUM(C206:J206)</x:f>
        <x:v>-0.008976320893202518</x:v>
      </x:c>
      <x:c r="L206" s="101" t="n">
        <x:f>B206-K206</x:f>
        <x:v>0.01813969730428885</x:v>
      </x:c>
      <x:c r="M206" s="86" t="n">
        <x:f>'Datos_fuente'!B199</x:f>
        <x:v>3999.616129</x:v>
      </x:c>
      <x:c r="N206" s="86" t="n">
        <x:f>EXP('Transformaciones'!B198+K206)</x:f>
        <x:v>3927.7183762992186</x:v>
      </x:c>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t="str">
        <x:f>'Transformaciones'!A200</x:f>
        <x:v>2022-02</x:v>
      </x:c>
      <x:c r="B207" s="90" t="n">
        <x:f>'Transformaciones'!C200</x:f>
        <x:v>-0.016075149775062414</x:v>
      </x:c>
      <x:c r="C207" s="90" t="n">
        <x:f>$B$6</x:f>
        <x:v>-0.00045209606279242174</x:v>
      </x:c>
      <x:c r="D207" s="90" t="n">
        <x:f>$B$7*'Transformaciones'!E200</x:f>
        <x:v>-0.005987775876908253</x:v>
      </x:c>
      <x:c r="E207" s="90" t="n">
        <x:f>$B$11*'Transformaciones'!M200</x:f>
        <x:v>-0.00041766990903772765</x:v>
      </x:c>
      <x:c r="F207" s="90" t="n">
        <x:f>$B$12*'Transformaciones'!O200</x:f>
        <x:v>0.004056413834019392</x:v>
      </x:c>
      <x:c r="G207" s="90" t="n">
        <x:f>$B$8*'Transformaciones'!G199</x:f>
        <x:v>0.003548528178460652</x:v>
      </x:c>
      <x:c r="H207" s="90" t="n">
        <x:f>$B$9*'Transformaciones'!I199</x:f>
        <x:v>-0.003356223466642809</x:v>
      </x:c>
      <x:c r="I207" s="90" t="n">
        <x:f>$B$10*'Transformaciones'!K199</x:f>
        <x:v>-0.007581531558747088</x:v>
      </x:c>
      <x:c r="J207" s="90" t="n">
        <x:f>$B$13*'Transformaciones'!P200</x:f>
        <x:v>0</x:v>
      </x:c>
      <x:c r="K207" s="101" t="n">
        <x:f>SUM(C207:J207)</x:f>
        <x:v>-0.010190354861648255</x:v>
      </x:c>
      <x:c r="L207" s="101" t="n">
        <x:f>B207-K207</x:f>
        <x:v>-0.005884794913414159</x:v>
      </x:c>
      <x:c r="M207" s="86" t="n">
        <x:f>'Datos_fuente'!B200</x:f>
        <x:v>3935.835714</x:v>
      </x:c>
      <x:c r="N207" s="86" t="n">
        <x:f>EXP('Transformaciones'!B199+K207)</x:f>
        <x:v>3959.065584462482</x:v>
      </x:c>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t="str">
        <x:f>'Transformaciones'!A201</x:f>
        <x:v>2022-03</x:v>
      </x:c>
      <x:c r="B208" s="90" t="n">
        <x:f>'Transformaciones'!C201</x:f>
        <x:v>-0.03323685374552632</x:v>
      </x:c>
      <x:c r="C208" s="90" t="n">
        <x:f>$B$6</x:f>
        <x:v>-0.00045209606279242174</x:v>
      </x:c>
      <x:c r="D208" s="90" t="n">
        <x:f>$B$7*'Transformaciones'!E201</x:f>
        <x:v>-0.009729914108549426</x:v>
      </x:c>
      <x:c r="E208" s="90" t="n">
        <x:f>$B$11*'Transformaciones'!M201</x:f>
        <x:v>0.013586105508277989</x:v>
      </x:c>
      <x:c r="F208" s="90" t="n">
        <x:f>$B$12*'Transformaciones'!O201</x:f>
        <x:v>0.0017881324474610183</x:v>
      </x:c>
      <x:c r="G208" s="90" t="n">
        <x:f>$B$8*'Transformaciones'!G200</x:f>
        <x:v>0.001241249804318238</x:v>
      </x:c>
      <x:c r="H208" s="90" t="n">
        <x:f>$B$9*'Transformaciones'!I200</x:f>
        <x:v>-0.00958920988346048</x:v>
      </x:c>
      <x:c r="I208" s="90" t="n">
        <x:f>$B$10*'Transformaciones'!K200</x:f>
        <x:v>-0.00041131780392340774</x:v>
      </x:c>
      <x:c r="J208" s="90" t="n">
        <x:f>$B$13*'Transformaciones'!P201</x:f>
        <x:v>0</x:v>
      </x:c>
      <x:c r="K208" s="101" t="n">
        <x:f>SUM(C208:J208)</x:f>
        <x:v>-0.00356705009866849</x:v>
      </x:c>
      <x:c r="L208" s="101" t="n">
        <x:f>B208-K208</x:f>
        <x:v>-0.02966980364685783</x:v>
      </x:c>
      <x:c r="M208" s="86" t="n">
        <x:f>'Datos_fuente'!B201</x:f>
        <x:v>3807.170968</x:v>
      </x:c>
      <x:c r="N208" s="86" t="n">
        <x:f>EXP('Transformaciones'!B200+K208)</x:f>
        <x:v>3921.8214005667533</x:v>
      </x:c>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t="str">
        <x:f>'Transformaciones'!A202</x:f>
        <x:v>2022-04</x:v>
      </x:c>
      <x:c r="B209" s="90" t="n">
        <x:f>'Transformaciones'!C202</x:f>
        <x:v>-0.003733868132572482</x:v>
      </x:c>
      <x:c r="C209" s="90" t="n">
        <x:f>$B$6</x:f>
        <x:v>-0.00045209606279242174</x:v>
      </x:c>
      <x:c r="D209" s="90" t="n">
        <x:f>$B$7*'Transformaciones'!E202</x:f>
        <x:v>0.005911558659432852</x:v>
      </x:c>
      <x:c r="E209" s="90" t="n">
        <x:f>$B$11*'Transformaciones'!M202</x:f>
        <x:v>0.009138535281416853</x:v>
      </x:c>
      <x:c r="F209" s="90" t="n">
        <x:f>$B$12*'Transformaciones'!O202</x:f>
        <x:v>-0.003907348325622053</x:v>
      </x:c>
      <x:c r="G209" s="90" t="n">
        <x:f>$B$8*'Transformaciones'!G201</x:f>
        <x:v>-0.0018507736460466058</x:v>
      </x:c>
      <x:c r="H209" s="90" t="n">
        <x:f>$B$9*'Transformaciones'!I201</x:f>
        <x:v>0.0011890620261436316</x:v>
      </x:c>
      <x:c r="I209" s="90" t="n">
        <x:f>$B$10*'Transformaciones'!K201</x:f>
        <x:v>0.0028748493858454034</x:v>
      </x:c>
      <x:c r="J209" s="90" t="n">
        <x:f>$B$13*'Transformaciones'!P202</x:f>
        <x:v>0</x:v>
      </x:c>
      <x:c r="K209" s="101" t="n">
        <x:f>SUM(C209:J209)</x:f>
        <x:v>0.012903787318377661</x:v>
      </x:c>
      <x:c r="L209" s="101" t="n">
        <x:f>B209-K209</x:f>
        <x:v>-0.016637655450950143</x:v>
      </x:c>
      <x:c r="M209" s="86" t="n">
        <x:f>'Datos_fuente'!B202</x:f>
        <x:v>3792.982</x:v>
      </x:c>
      <x:c r="N209" s="86" t="n">
        <x:f>EXP('Transformaciones'!B201+K209)</x:f>
        <x:v>3856.61622189301</x:v>
      </x:c>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t="str">
        <x:f>'Transformaciones'!A203</x:f>
        <x:v>2022-05</x:v>
      </x:c>
      <x:c r="B210" s="90" t="n">
        <x:f>'Transformaciones'!C203</x:f>
        <x:v>0.05790034312203751</x:v>
      </x:c>
      <x:c r="C210" s="90" t="n">
        <x:f>$B$6</x:f>
        <x:v>-0.00045209606279242174</x:v>
      </x:c>
      <x:c r="D210" s="90" t="n">
        <x:f>$B$7*'Transformaciones'!E203</x:f>
        <x:v>-0.004159372821228385</x:v>
      </x:c>
      <x:c r="E210" s="90" t="n">
        <x:f>$B$11*'Transformaciones'!M203</x:f>
        <x:v>0.025929989187859773</x:v>
      </x:c>
      <x:c r="F210" s="90" t="n">
        <x:f>$B$12*'Transformaciones'!O203</x:f>
        <x:v>0.0071271375526798025</x:v>
      </x:c>
      <x:c r="G210" s="90" t="n">
        <x:f>$B$8*'Transformaciones'!G202</x:f>
        <x:v>0.001377719232476437</x:v>
      </x:c>
      <x:c r="H210" s="90" t="n">
        <x:f>$B$9*'Transformaciones'!I202</x:f>
        <x:v>-0.008620699689541322</x:v>
      </x:c>
      <x:c r="I210" s="90" t="n">
        <x:f>$B$10*'Transformaciones'!K202</x:f>
        <x:v>-0.001720356545389738</x:v>
      </x:c>
      <x:c r="J210" s="90" t="n">
        <x:f>$B$13*'Transformaciones'!P203</x:f>
        <x:v>0</x:v>
      </x:c>
      <x:c r="K210" s="101" t="n">
        <x:f>SUM(C210:J210)</x:f>
        <x:v>0.019482320854064147</x:v>
      </x:c>
      <x:c r="L210" s="101" t="n">
        <x:f>B210-K210</x:f>
        <x:v>0.03841802226797336</x:v>
      </x:c>
      <x:c r="M210" s="86" t="n">
        <x:f>'Datos_fuente'!B203</x:f>
        <x:v>4019.079355</x:v>
      </x:c>
      <x:c r="N210" s="86" t="n">
        <x:f>EXP('Transformaciones'!B202+K210)</x:f>
        <x:v>3867.602623542247</x:v>
      </x:c>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t="str">
        <x:f>'Transformaciones'!A204</x:f>
        <x:v>2022-06</x:v>
      </x:c>
      <x:c r="B211" s="90" t="n">
        <x:f>'Transformaciones'!C204</x:f>
        <x:v>-0.022218372716578116</x:v>
      </x:c>
      <x:c r="C211" s="90" t="n">
        <x:f>$B$6</x:f>
        <x:v>-0.00045209606279242174</x:v>
      </x:c>
      <x:c r="D211" s="90" t="n">
        <x:f>$B$7*'Transformaciones'!E204</x:f>
        <x:v>-0.0041074922655864364</x:v>
      </x:c>
      <x:c r="E211" s="90" t="n">
        <x:f>$B$11*'Transformaciones'!M204</x:f>
        <x:v>0.0033403084264320756</x:v>
      </x:c>
      <x:c r="F211" s="90" t="n">
        <x:f>$B$12*'Transformaciones'!O204</x:f>
        <x:v>-0.0014502818041917493</x:v>
      </x:c>
      <x:c r="G211" s="90" t="n">
        <x:f>$B$8*'Transformaciones'!G203</x:f>
        <x:v>0.002452785604747707</x:v>
      </x:c>
      <x:c r="H211" s="90" t="n">
        <x:f>$B$9*'Transformaciones'!I203</x:f>
        <x:v>-0.0052293157876005004</x:v>
      </x:c>
      <x:c r="I211" s="90" t="n">
        <x:f>$B$10*'Transformaciones'!K203</x:f>
        <x:v>-0.0003871162736966401</x:v>
      </x:c>
      <x:c r="J211" s="90" t="n">
        <x:f>$B$13*'Transformaciones'!P204</x:f>
        <x:v>0</x:v>
      </x:c>
      <x:c r="K211" s="101" t="n">
        <x:f>SUM(C211:J211)</x:f>
        <x:v>-0.005833208162687965</x:v>
      </x:c>
      <x:c r="L211" s="101" t="n">
        <x:f>B211-K211</x:f>
        <x:v>-0.01638516455389015</x:v>
      </x:c>
      <x:c r="M211" s="86" t="n">
        <x:f>'Datos_fuente'!B204</x:f>
        <x:v>3930.766667</x:v>
      </x:c>
      <x:c r="N211" s="86" t="n">
        <x:f>EXP('Transformaciones'!B203+K211)</x:f>
        <x:v>3995.703472975734</x:v>
      </x:c>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t="str">
        <x:f>'Transformaciones'!A205</x:f>
        <x:v>2022-07</x:v>
      </x:c>
      <x:c r="B212" s="90" t="n">
        <x:f>'Transformaciones'!C205</x:f>
        <x:v>0.10542629160397965</x:v>
      </x:c>
      <x:c r="C212" s="90" t="n">
        <x:f>$B$6</x:f>
        <x:v>-0.00045209606279242174</x:v>
      </x:c>
      <x:c r="D212" s="90" t="n">
        <x:f>$B$7*'Transformaciones'!E205</x:f>
        <x:v>0.004755494054748199</x:v>
      </x:c>
      <x:c r="E212" s="90" t="n">
        <x:f>$B$11*'Transformaciones'!M205</x:f>
        <x:v>0.02728155278706809</x:v>
      </x:c>
      <x:c r="F212" s="90" t="n">
        <x:f>$B$12*'Transformaciones'!O205</x:f>
        <x:v>-0.004704120633893472</x:v>
      </x:c>
      <x:c r="G212" s="90" t="n">
        <x:f>$B$8*'Transformaciones'!G204</x:f>
        <x:v>0.0036279795378831945</x:v>
      </x:c>
      <x:c r="H212" s="90" t="n">
        <x:f>$B$9*'Transformaciones'!I204</x:f>
        <x:v>0.004040253761456869</x:v>
      </x:c>
      <x:c r="I212" s="90" t="n">
        <x:f>$B$10*'Transformaciones'!K204</x:f>
        <x:v>0.0009455529864289289</x:v>
      </x:c>
      <x:c r="J212" s="90" t="n">
        <x:f>$B$13*'Transformaciones'!P205</x:f>
        <x:v>0</x:v>
      </x:c>
      <x:c r="K212" s="101" t="n">
        <x:f>SUM(C212:J212)</x:f>
        <x:v>0.035494616430899385</x:v>
      </x:c>
      <x:c r="L212" s="101" t="n">
        <x:f>B212-K212</x:f>
        <x:v>0.06993167517308027</x:v>
      </x:c>
      <x:c r="M212" s="86" t="n">
        <x:f>'Datos_fuente'!B205</x:f>
        <x:v>4367.805806</x:v>
      </x:c>
      <x:c r="N212" s="86" t="n">
        <x:f>EXP('Transformaciones'!B204+K212)</x:f>
        <x:v>4072.793403461831</x:v>
      </x:c>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t="str">
        <x:f>'Transformaciones'!A206</x:f>
        <x:v>2022-08</x:v>
      </x:c>
      <x:c r="B213" s="90" t="n">
        <x:f>'Transformaciones'!C206</x:f>
        <x:v>-0.010433930217986997</x:v>
      </x:c>
      <x:c r="C213" s="90" t="n">
        <x:f>$B$6</x:f>
        <x:v>-0.00045209606279242174</x:v>
      </x:c>
      <x:c r="D213" s="90" t="n">
        <x:f>$B$7*'Transformaciones'!E206</x:f>
        <x:v>0.00559369841606524</x:v>
      </x:c>
      <x:c r="E213" s="90" t="n">
        <x:f>$B$11*'Transformaciones'!M206</x:f>
        <x:v>-0.004297961369613874</x:v>
      </x:c>
      <x:c r="F213" s="90" t="n">
        <x:f>$B$12*'Transformaciones'!O206</x:f>
        <x:v>-0.004632766850380645</x:v>
      </x:c>
      <x:c r="G213" s="90" t="n">
        <x:f>$B$8*'Transformaciones'!G205</x:f>
        <x:v>0.004310307884753424</x:v>
      </x:c>
      <x:c r="H213" s="90" t="n">
        <x:f>$B$9*'Transformaciones'!I205</x:f>
        <x:v>-0.010206115724399499</x:v>
      </x:c>
      <x:c r="I213" s="90" t="n">
        <x:f>$B$10*'Transformaciones'!K205</x:f>
        <x:v>-0.00043445079344957944</x:v>
      </x:c>
      <x:c r="J213" s="90" t="n">
        <x:f>$B$13*'Transformaciones'!P206</x:f>
        <x:v>0</x:v>
      </x:c>
      <x:c r="K213" s="101" t="n">
        <x:f>SUM(C213:J213)</x:f>
        <x:v>-0.010119384499817355</x:v>
      </x:c>
      <x:c r="L213" s="101" t="n">
        <x:f>B213-K213</x:f>
        <x:v>-0.00031454571816964295</x:v>
      </x:c>
      <x:c r="M213" s="86" t="n">
        <x:f>'Datos_fuente'!B206</x:f>
        <x:v>4322.469355</x:v>
      </x:c>
      <x:c r="N213" s="86" t="n">
        <x:f>EXP('Transformaciones'!B205+K213)</x:f>
        <x:v>4323.829183080372</x:v>
      </x:c>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t="str">
        <x:f>'Transformaciones'!A207</x:f>
        <x:v>2022-09</x:v>
      </x:c>
      <x:c r="B214" s="90" t="n">
        <x:f>'Transformaciones'!C207</x:f>
        <x:v>0.02539654922491863</x:v>
      </x:c>
      <x:c r="C214" s="90" t="n">
        <x:f>$B$6</x:f>
        <x:v>-0.00045209606279242174</x:v>
      </x:c>
      <x:c r="D214" s="90" t="n">
        <x:f>$B$7*'Transformaciones'!E207</x:f>
        <x:v>0.005811834704622334</x:v>
      </x:c>
      <x:c r="E214" s="90" t="n">
        <x:f>$B$11*'Transformaciones'!M207</x:f>
        <x:v>0.03212158328338109</x:v>
      </x:c>
      <x:c r="F214" s="90" t="n">
        <x:f>$B$12*'Transformaciones'!O207</x:f>
        <x:v>0.008098008560713405</x:v>
      </x:c>
      <x:c r="G214" s="90" t="n">
        <x:f>$B$8*'Transformaciones'!G206</x:f>
        <x:v>0.0007221853396926194</x:v>
      </x:c>
      <x:c r="H214" s="90" t="n">
        <x:f>$B$9*'Transformaciones'!I206</x:f>
        <x:v>-0.008422522685184047</x:v>
      </x:c>
      <x:c r="I214" s="90" t="n">
        <x:f>$B$10*'Transformaciones'!K206</x:f>
        <x:v>0.004259903307868982</x:v>
      </x:c>
      <x:c r="J214" s="90" t="n">
        <x:f>$B$13*'Transformaciones'!P207</x:f>
        <x:v>0</x:v>
      </x:c>
      <x:c r="K214" s="101" t="n">
        <x:f>SUM(C214:J214)</x:f>
        <x:v>0.04213889644830197</x:v>
      </x:c>
      <x:c r="L214" s="101" t="n">
        <x:f>B214-K214</x:f>
        <x:v>-0.016742347223383337</x:v>
      </x:c>
      <x:c r="M214" s="86" t="n">
        <x:f>'Datos_fuente'!B207</x:f>
        <x:v>4433.651</x:v>
      </x:c>
      <x:c r="N214" s="86" t="n">
        <x:f>EXP('Transformaciones'!B206+K214)</x:f>
        <x:v>4508.505596825888</x:v>
      </x:c>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t="str">
        <x:f>'Transformaciones'!A208</x:f>
        <x:v>2022-10</x:v>
      </x:c>
      <x:c r="B215" s="90" t="n">
        <x:f>'Transformaciones'!C208</x:f>
        <x:v>0.060853038022941064</x:v>
      </x:c>
      <x:c r="C215" s="90" t="n">
        <x:f>$B$6</x:f>
        <x:v>-0.00045209606279242174</x:v>
      </x:c>
      <x:c r="D215" s="90" t="n">
        <x:f>$B$7*'Transformaciones'!E208</x:f>
        <x:v>-0.0020144229507352185</x:v>
      </x:c>
      <x:c r="E215" s="90" t="n">
        <x:f>$B$11*'Transformaciones'!M208</x:f>
        <x:v>0.018109848963986635</x:v>
      </x:c>
      <x:c r="F215" s="90" t="n">
        <x:f>$B$12*'Transformaciones'!O208</x:f>
        <x:v>0.003590305349107551</x:v>
      </x:c>
      <x:c r="G215" s="90" t="n">
        <x:f>$B$8*'Transformaciones'!G207</x:f>
        <x:v>0.0019567361456901</x:v>
      </x:c>
      <x:c r="H215" s="90" t="n">
        <x:f>$B$9*'Transformaciones'!I207</x:f>
        <x:v>0.0019487405461494527</x:v>
      </x:c>
      <x:c r="I215" s="90" t="n">
        <x:f>$B$10*'Transformaciones'!K207</x:f>
        <x:v>-0.0005808316102051853</x:v>
      </x:c>
      <x:c r="J215" s="90" t="n">
        <x:f>$B$13*'Transformaciones'!P208</x:f>
        <x:v>0</x:v>
      </x:c>
      <x:c r="K215" s="101" t="n">
        <x:f>SUM(C215:J215)</x:f>
        <x:v>0.02255828038120091</x:v>
      </x:c>
      <x:c r="L215" s="101" t="n">
        <x:f>B215-K215</x:f>
        <x:v>0.03829475764174015</x:v>
      </x:c>
      <x:c r="M215" s="86" t="n">
        <x:f>'Datos_fuente'!B208</x:f>
        <x:v>4711.830323</x:v>
      </x:c>
      <x:c r="N215" s="86" t="n">
        <x:f>EXP('Transformaciones'!B207+K215)</x:f>
        <x:v>4534.803162333886</x:v>
      </x:c>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t="str">
        <x:f>'Transformaciones'!A209</x:f>
        <x:v>2022-11</x:v>
      </x:c>
      <x:c r="B216" s="90" t="n">
        <x:f>'Transformaciones'!C209</x:f>
        <x:v>0.044584972906045905</x:v>
      </x:c>
      <x:c r="C216" s="90" t="n">
        <x:f>$B$6</x:f>
        <x:v>-0.00045209606279242174</x:v>
      </x:c>
      <x:c r="D216" s="90" t="n">
        <x:f>$B$7*'Transformaciones'!E209</x:f>
        <x:v>0.001072483253515816</x:v>
      </x:c>
      <x:c r="E216" s="90" t="n">
        <x:f>$B$11*'Transformaciones'!M209</x:f>
        <x:v>-0.025308184567657797</x:v>
      </x:c>
      <x:c r="F216" s="90" t="n">
        <x:f>$B$12*'Transformaciones'!O209</x:f>
        <x:v>-0.009769249584137206</x:v>
      </x:c>
      <x:c r="G216" s="90" t="n">
        <x:f>$B$8*'Transformaciones'!G208</x:f>
        <x:v>0.006511016372811666</x:v>
      </x:c>
      <x:c r="H216" s="90" t="n">
        <x:f>$B$9*'Transformaciones'!I208</x:f>
        <x:v>-0.004745593435018455</x:v>
      </x:c>
      <x:c r="I216" s="90" t="n">
        <x:f>$B$10*'Transformaciones'!K208</x:f>
        <x:v>-0.0020052457682369026</x:v>
      </x:c>
      <x:c r="J216" s="90" t="n">
        <x:f>$B$13*'Transformaciones'!P209</x:f>
        <x:v>0</x:v>
      </x:c>
      <x:c r="K216" s="101" t="n">
        <x:f>SUM(C216:J216)</x:f>
        <x:v>-0.034696869791515296</x:v>
      </x:c>
      <x:c r="L216" s="101" t="n">
        <x:f>B216-K216</x:f>
        <x:v>0.0792818426975612</x:v>
      </x:c>
      <x:c r="M216" s="86" t="n">
        <x:f>'Datos_fuente'!B209</x:f>
        <x:v>4926.660667</x:v>
      </x:c>
      <x:c r="N216" s="86" t="n">
        <x:f>EXP('Transformaciones'!B208+K216)</x:f>
        <x:v>4551.148261820237</x:v>
      </x:c>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t="str">
        <x:f>'Transformaciones'!A210</x:f>
        <x:v>2022-12</x:v>
      </x:c>
      <x:c r="B217" s="90" t="n">
        <x:f>'Transformaciones'!C210</x:f>
        <x:v>-0.028446152718185402</x:v>
      </x:c>
      <x:c r="C217" s="90" t="n">
        <x:f>$B$6</x:f>
        <x:v>-0.00045209606279242174</x:v>
      </x:c>
      <x:c r="D217" s="90" t="n">
        <x:f>$B$7*'Transformaciones'!E210</x:f>
        <x:v>0.0063015006774365615</x:v>
      </x:c>
      <x:c r="E217" s="90" t="n">
        <x:f>$B$11*'Transformaciones'!M210</x:f>
        <x:v>-0.025752203007891713</x:v>
      </x:c>
      <x:c r="F217" s="90" t="n">
        <x:f>$B$12*'Transformaciones'!O210</x:f>
        <x:v>-0.0025960917829524</x:v>
      </x:c>
      <x:c r="G217" s="90" t="n">
        <x:f>$B$8*'Transformaciones'!G209</x:f>
        <x:v>-0.00012847370218723825</x:v>
      </x:c>
      <x:c r="H217" s="90" t="n">
        <x:f>$B$9*'Transformaciones'!I209</x:f>
        <x:v>-0.0026530147309559698</x:v>
      </x:c>
      <x:c r="I217" s="90" t="n">
        <x:f>$B$10*'Transformaciones'!K209</x:f>
        <x:v>-0.0023048141940876683</x:v>
      </x:c>
      <x:c r="J217" s="90" t="n">
        <x:f>$B$13*'Transformaciones'!P210</x:f>
        <x:v>0</x:v>
      </x:c>
      <x:c r="K217" s="101" t="n">
        <x:f>SUM(C217:J217)</x:f>
        <x:v>-0.027585192803430848</x:v>
      </x:c>
      <x:c r="L217" s="101" t="n">
        <x:f>B217-K217</x:f>
        <x:v>-0.0008609599147545548</x:v>
      </x:c>
      <x:c r="M217" s="86" t="n">
        <x:f>'Datos_fuente'!B210</x:f>
        <x:v>4788.490645</x:v>
      </x:c>
      <x:c r="N217" s="86" t="n">
        <x:f>EXP('Transformaciones'!B209+K217)</x:f>
        <x:v>4792.615118746037</x:v>
      </x:c>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t="str">
        <x:f>'Transformaciones'!A211</x:f>
        <x:v>2023-01</x:v>
      </x:c>
      <x:c r="B218" s="90" t="n">
        <x:f>'Transformaciones'!C211</x:f>
        <x:v>-0.01542310237575073</x:v>
      </x:c>
      <x:c r="C218" s="90" t="n">
        <x:f>$B$6</x:f>
        <x:v>-0.00045209606279242174</x:v>
      </x:c>
      <x:c r="D218" s="90" t="n">
        <x:f>$B$7*'Transformaciones'!E211</x:f>
        <x:v>-0.0009979279756781234</x:v>
      </x:c>
      <x:c r="E218" s="90" t="n">
        <x:f>$B$11*'Transformaciones'!M211</x:f>
        <x:v>-0.02433956889152887</x:v>
      </x:c>
      <x:c r="F218" s="90" t="n">
        <x:f>$B$12*'Transformaciones'!O211</x:f>
        <x:v>-0.002975095947972006</x:v>
      </x:c>
      <x:c r="G218" s="90" t="n">
        <x:f>$B$8*'Transformaciones'!G210</x:f>
        <x:v>0.0005043175249814307</x:v>
      </x:c>
      <x:c r="H218" s="90" t="n">
        <x:f>$B$9*'Transformaciones'!I210</x:f>
        <x:v>-0.0009844922180709526</x:v>
      </x:c>
      <x:c r="I218" s="90" t="n">
        <x:f>$B$10*'Transformaciones'!K210</x:f>
        <x:v>0.000014677575624306211</x:v>
      </x:c>
      <x:c r="J218" s="90" t="n">
        <x:f>$B$13*'Transformaciones'!P211</x:f>
        <x:v>0</x:v>
      </x:c>
      <x:c r="K218" s="101" t="n">
        <x:f>SUM(C218:J218)</x:f>
        <x:v>-0.029230185995436638</x:v>
      </x:c>
      <x:c r="L218" s="101" t="n">
        <x:f>B218-K218</x:f>
        <x:v>0.013807083619685908</x:v>
      </x:c>
      <x:c r="M218" s="86" t="n">
        <x:f>'Datos_fuente'!B211</x:f>
        <x:v>4715.203871</x:v>
      </x:c>
      <x:c r="N218" s="86" t="n">
        <x:f>EXP('Transformaciones'!B210+K218)</x:f>
        <x:v>4650.548038252331</x:v>
      </x:c>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t="str">
        <x:f>'Transformaciones'!A212</x:f>
        <x:v>2023-02</x:v>
      </x:c>
      <x:c r="B219" s="90" t="n">
        <x:f>'Transformaciones'!C212</x:f>
        <x:v>0.01847199130613575</x:v>
      </x:c>
      <x:c r="C219" s="90" t="n">
        <x:f>$B$6</x:f>
        <x:v>-0.00045209606279242174</x:v>
      </x:c>
      <x:c r="D219" s="90" t="n">
        <x:f>$B$7*'Transformaciones'!E212</x:f>
        <x:v>-0.00005233619421550707</x:v>
      </x:c>
      <x:c r="E219" s="90" t="n">
        <x:f>$B$11*'Transformaciones'!M212</x:f>
        <x:v>0.005042978632760223</x:v>
      </x:c>
      <x:c r="F219" s="90" t="n">
        <x:f>$B$12*'Transformaciones'!O212</x:f>
        <x:v>-0.00009306619106472657</x:v>
      </x:c>
      <x:c r="G219" s="90" t="n">
        <x:f>$B$8*'Transformaciones'!G211</x:f>
        <x:v>0.00334046264699654</x:v>
      </x:c>
      <x:c r="H219" s="90" t="n">
        <x:f>$B$9*'Transformaciones'!I211</x:f>
        <x:v>-0.0039539508766179</x:v>
      </x:c>
      <x:c r="I219" s="90" t="n">
        <x:f>$B$10*'Transformaciones'!K211</x:f>
        <x:v>-0.0018796550241832791</x:v>
      </x:c>
      <x:c r="J219" s="90" t="n">
        <x:f>$B$13*'Transformaciones'!P212</x:f>
        <x:v>0</x:v>
      </x:c>
      <x:c r="K219" s="101" t="n">
        <x:f>SUM(C219:J219)</x:f>
        <x:v>0.0019523369308829283</x:v>
      </x:c>
      <x:c r="L219" s="101" t="n">
        <x:f>B219-K219</x:f>
        <x:v>0.01651965437525282</x:v>
      </x:c>
      <x:c r="M219" s="86" t="n">
        <x:f>'Datos_fuente'!B212</x:f>
        <x:v>4803.1125</x:v>
      </x:c>
      <x:c r="N219" s="86" t="n">
        <x:f>EXP('Transformaciones'!B211+K219)</x:f>
        <x:v>4724.418529786425</x:v>
      </x:c>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t="str">
        <x:f>'Transformaciones'!A213</x:f>
        <x:v>2023-03</x:v>
      </x:c>
      <x:c r="B220" s="90" t="n">
        <x:f>'Transformaciones'!C213</x:f>
        <x:v>-0.0076926045720711045</x:v>
      </x:c>
      <x:c r="C220" s="90" t="n">
        <x:f>$B$6</x:f>
        <x:v>-0.00045209606279242174</x:v>
      </x:c>
      <x:c r="D220" s="90" t="n">
        <x:f>$B$7*'Transformaciones'!E213</x:f>
        <x:v>0.0026655702771001726</x:v>
      </x:c>
      <x:c r="E220" s="90" t="n">
        <x:f>$B$11*'Transformaciones'!M213</x:f>
        <x:v>0.004401732085138697</x:v>
      </x:c>
      <x:c r="F220" s="90" t="n">
        <x:f>$B$12*'Transformaciones'!O213</x:f>
        <x:v>0.002819289699219645</x:v>
      </x:c>
      <x:c r="G220" s="90" t="n">
        <x:f>$B$8*'Transformaciones'!G212</x:f>
        <x:v>0.005056284465677262</x:v>
      </x:c>
      <x:c r="H220" s="90" t="n">
        <x:f>$B$9*'Transformaciones'!I212</x:f>
        <x:v>-0.004574053114460192</x:v>
      </x:c>
      <x:c r="I220" s="90" t="n">
        <x:f>$B$10*'Transformaciones'!K212</x:f>
        <x:v>0.00012420004268513357</x:v>
      </x:c>
      <x:c r="J220" s="90" t="n">
        <x:f>$B$13*'Transformaciones'!P213</x:f>
        <x:v>0</x:v>
      </x:c>
      <x:c r="K220" s="101" t="n">
        <x:f>SUM(C220:J220)</x:f>
        <x:v>0.010040927392568294</x:v>
      </x:c>
      <x:c r="L220" s="101" t="n">
        <x:f>B220-K220</x:f>
        <x:v>-0.0177335319646394</x:v>
      </x:c>
      <x:c r="M220" s="86" t="n">
        <x:f>'Datos_fuente'!B213</x:f>
        <x:v>4766.305806</x:v>
      </x:c>
      <x:c r="N220" s="86" t="n">
        <x:f>EXP('Transformaciones'!B212+K220)</x:f>
        <x:v>4851.5831417336</x:v>
      </x:c>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t="str">
        <x:f>'Transformaciones'!A214</x:f>
        <x:v>2023-04</x:v>
      </x:c>
      <x:c r="B221" s="90" t="n">
        <x:f>'Transformaciones'!C214</x:f>
        <x:v>-0.04805564193941869</x:v>
      </x:c>
      <x:c r="C221" s="90" t="n">
        <x:f>$B$6</x:f>
        <x:v>-0.00045209606279242174</x:v>
      </x:c>
      <x:c r="D221" s="90" t="n">
        <x:f>$B$7*'Transformaciones'!E214</x:f>
        <x:v>-0.003935091743522876</x:v>
      </x:c>
      <x:c r="E221" s="90" t="n">
        <x:f>$B$11*'Transformaciones'!M214</x:f>
        <x:v>-0.015187238321355235</x:v>
      </x:c>
      <x:c r="F221" s="90" t="n">
        <x:f>$B$12*'Transformaciones'!O214</x:f>
        <x:v>-0.007512725024353915</x:v>
      </x:c>
      <x:c r="G221" s="90" t="n">
        <x:f>$B$8*'Transformaciones'!G213</x:f>
        <x:v>0.0033358478408495595</x:v>
      </x:c>
      <x:c r="H221" s="90" t="n">
        <x:f>$B$9*'Transformaciones'!I213</x:f>
        <x:v>0.0007127979363055133</x:v>
      </x:c>
      <x:c r="I221" s="90" t="n">
        <x:f>$B$10*'Transformaciones'!K213</x:f>
        <x:v>-0.000735616783455922</x:v>
      </x:c>
      <x:c r="J221" s="90" t="n">
        <x:f>$B$13*'Transformaciones'!P214</x:f>
        <x:v>0</x:v>
      </x:c>
      <x:c r="K221" s="101" t="n">
        <x:f>SUM(C221:J221)</x:f>
        <x:v>-0.0237741221583253</x:v>
      </x:c>
      <x:c r="L221" s="101" t="n">
        <x:f>B221-K221</x:f>
        <x:v>-0.024281519781093393</x:v>
      </x:c>
      <x:c r="M221" s="86" t="n">
        <x:f>'Datos_fuente'!B214</x:f>
        <x:v>4542.674333</x:v>
      </x:c>
      <x:c r="N221" s="86" t="n">
        <x:f>EXP('Transformaciones'!B213+K221)</x:f>
        <x:v>4654.327437445158</x:v>
      </x:c>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t="str">
        <x:f>'Transformaciones'!A215</x:f>
        <x:v>2023-05</x:v>
      </x:c>
      <x:c r="B222" s="90" t="n">
        <x:f>'Transformaciones'!C215</x:f>
        <x:v>-0.0005692763239384391</x:v>
      </x:c>
      <x:c r="C222" s="90" t="n">
        <x:f>$B$6</x:f>
        <x:v>-0.00045209606279242174</x:v>
      </x:c>
      <x:c r="D222" s="90" t="n">
        <x:f>$B$7*'Transformaciones'!E215</x:f>
        <x:v>0.0059293651172749795</x:v>
      </x:c>
      <x:c r="E222" s="90" t="n">
        <x:f>$B$11*'Transformaciones'!M215</x:f>
        <x:v>0.003907503361521866</x:v>
      </x:c>
      <x:c r="F222" s="90" t="n">
        <x:f>$B$12*'Transformaciones'!O215</x:f>
        <x:v>-0.00039606588046937224</x:v>
      </x:c>
      <x:c r="G222" s="90" t="n">
        <x:f>$B$8*'Transformaciones'!G214</x:f>
        <x:v>-0.00048308692514326677</x:v>
      </x:c>
      <x:c r="H222" s="90" t="n">
        <x:f>$B$9*'Transformaciones'!I214</x:f>
        <x:v>-0.0006137094341268795</x:v>
      </x:c>
      <x:c r="I222" s="90" t="n">
        <x:f>$B$10*'Transformaciones'!K214</x:f>
        <x:v>-0.0016402780231906903</x:v>
      </x:c>
      <x:c r="J222" s="90" t="n">
        <x:f>$B$13*'Transformaciones'!P215</x:f>
        <x:v>0</x:v>
      </x:c>
      <x:c r="K222" s="101" t="n">
        <x:f>SUM(C222:J222)</x:f>
        <x:v>0.006251632153074217</x:v>
      </x:c>
      <x:c r="L222" s="101" t="n">
        <x:f>B222-K222</x:f>
        <x:v>-0.0068209084770126565</x:v>
      </x:c>
      <x:c r="M222" s="86" t="n">
        <x:f>'Datos_fuente'!B215</x:f>
        <x:v>4540.089032</x:v>
      </x:c>
      <x:c r="N222" s="86" t="n">
        <x:f>EXP('Transformaciones'!B214+K222)</x:f>
        <x:v>4571.162417651084</x:v>
      </x:c>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t="str">
        <x:f>'Transformaciones'!A216</x:f>
        <x:v>2023-06</x:v>
      </x:c>
      <x:c r="B223" s="90" t="n">
        <x:f>'Transformaciones'!C216</x:f>
        <x:v>-0.07565786159077881</x:v>
      </x:c>
      <x:c r="C223" s="90" t="n">
        <x:f>$B$6</x:f>
        <x:v>-0.00045209606279242174</x:v>
      </x:c>
      <x:c r="D223" s="90" t="n">
        <x:f>$B$7*'Transformaciones'!E216</x:f>
        <x:v>0.0004312102095745367</x:v>
      </x:c>
      <x:c r="E223" s="90" t="n">
        <x:f>$B$11*'Transformaciones'!M216</x:f>
        <x:v>-0.003379738688487037</x:v>
      </x:c>
      <x:c r="F223" s="90" t="n">
        <x:f>$B$12*'Transformaciones'!O216</x:f>
        <x:v>-0.008907655344681782</x:v>
      </x:c>
      <x:c r="G223" s="90" t="n">
        <x:f>$B$8*'Transformaciones'!G215</x:f>
        <x:v>0.0009623599512328931</x:v>
      </x:c>
      <x:c r="H223" s="90" t="n">
        <x:f>$B$9*'Transformaciones'!I215</x:f>
        <x:v>-0.00011826692323371064</x:v>
      </x:c>
      <x:c r="I223" s="90" t="n">
        <x:f>$B$10*'Transformaciones'!K215</x:f>
        <x:v>-0.0008659493395524469</x:v>
      </x:c>
      <x:c r="J223" s="90" t="n">
        <x:f>$B$13*'Transformaciones'!P216</x:f>
        <x:v>0</x:v>
      </x:c>
      <x:c r="K223" s="101" t="n">
        <x:f>SUM(C223:J223)</x:f>
        <x:v>-0.012330136197939968</x:v>
      </x:c>
      <x:c r="L223" s="101" t="n">
        <x:f>B223-K223</x:f>
        <x:v>-0.06332772539283885</x:v>
      </x:c>
      <x:c r="M223" s="86" t="n">
        <x:f>'Datos_fuente'!B216</x:f>
        <x:v>4209.268</x:v>
      </x:c>
      <x:c r="N223" s="86" t="n">
        <x:f>EXP('Transformaciones'!B215+K223)</x:f>
        <x:v>4484.452821782531</x:v>
      </x:c>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t="str">
        <x:f>'Transformaciones'!A217</x:f>
        <x:v>2023-07</x:v>
      </x:c>
      <x:c r="B224" s="90" t="n">
        <x:f>'Transformaciones'!C217</x:f>
        <x:v>-0.033834096567050054</x:v>
      </x:c>
      <x:c r="C224" s="90" t="n">
        <x:f>$B$6</x:f>
        <x:v>-0.00045209606279242174</x:v>
      </x:c>
      <x:c r="D224" s="90" t="n">
        <x:f>$B$7*'Transformaciones'!E217</x:f>
        <x:v>-0.003516964500080251</x:v>
      </x:c>
      <x:c r="E224" s="90" t="n">
        <x:f>$B$11*'Transformaciones'!M217</x:f>
        <x:v>-0.012775444248378988</x:v>
      </x:c>
      <x:c r="F224" s="90" t="n">
        <x:f>$B$12*'Transformaciones'!O217</x:f>
        <x:v>-0.00019574842493037426</x:v>
      </x:c>
      <x:c r="G224" s="90" t="n">
        <x:f>$B$8*'Transformaciones'!G216</x:f>
        <x:v>-0.0010163286234070705</x:v>
      </x:c>
      <x:c r="H224" s="90" t="n">
        <x:f>$B$9*'Transformaciones'!I216</x:f>
        <x:v>0.00011826692323371064</x:v>
      </x:c>
      <x:c r="I224" s="90" t="n">
        <x:f>$B$10*'Transformaciones'!K216</x:f>
        <x:v>-0.0020335960451437164</x:v>
      </x:c>
      <x:c r="J224" s="90" t="n">
        <x:f>$B$13*'Transformaciones'!P217</x:f>
        <x:v>0</x:v>
      </x:c>
      <x:c r="K224" s="101" t="n">
        <x:f>SUM(C224:J224)</x:f>
        <x:v>-0.01987191098149911</x:v>
      </x:c>
      <x:c r="L224" s="101" t="n">
        <x:f>B224-K224</x:f>
        <x:v>-0.013962185585550943</x:v>
      </x:c>
      <x:c r="M224" s="86" t="n">
        <x:f>'Datos_fuente'!B217</x:f>
        <x:v>4069.233548</x:v>
      </x:c>
      <x:c r="N224" s="86" t="n">
        <x:f>EXP('Transformaciones'!B216+K224)</x:f>
        <x:v>4126.447427944075</x:v>
      </x:c>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t="str">
        <x:f>'Transformaciones'!A218</x:f>
        <x:v>2023-08</x:v>
      </x:c>
      <x:c r="B225" s="90" t="n">
        <x:f>'Transformaciones'!C218</x:f>
        <x:v>0.00036649154375822945</x:v>
      </x:c>
      <x:c r="C225" s="90" t="n">
        <x:f>$B$6</x:f>
        <x:v>-0.00045209606279242174</x:v>
      </x:c>
      <x:c r="D225" s="90" t="n">
        <x:f>$B$7*'Transformaciones'!E218</x:f>
        <x:v>-0.0037573392376751423</x:v>
      </x:c>
      <x:c r="E225" s="90" t="n">
        <x:f>$B$11*'Transformaciones'!M218</x:f>
        <x:v>0.018459480646644086</x:v>
      </x:c>
      <x:c r="F225" s="90" t="n">
        <x:f>$B$12*'Transformaciones'!O218</x:f>
        <x:v>0.0049894295189186885</x:v>
      </x:c>
      <x:c r="G225" s="90" t="n">
        <x:f>$B$8*'Transformaciones'!G217</x:f>
        <x:v>-0.003438258495360821</x:v>
      </x:c>
      <x:c r="H225" s="90" t="n">
        <x:f>$B$9*'Transformaciones'!I217</x:f>
        <x:v>0.0003963540087145351</x:v>
      </x:c>
      <x:c r="I225" s="90" t="n">
        <x:f>$B$10*'Transformaciones'!K217</x:f>
        <x:v>-0.0015765789225462969</x:v>
      </x:c>
      <x:c r="J225" s="90" t="n">
        <x:f>$B$13*'Transformaciones'!P218</x:f>
        <x:v>0</x:v>
      </x:c>
      <x:c r="K225" s="101" t="n">
        <x:f>SUM(C225:J225)</x:f>
        <x:v>0.014620991455902626</x:v>
      </x:c>
      <x:c r="L225" s="101" t="n">
        <x:f>B225-K225</x:f>
        <x:v>-0.014254499912144397</x:v>
      </x:c>
      <x:c r="M225" s="86" t="n">
        <x:f>'Datos_fuente'!B218</x:f>
        <x:v>4070.725161</x:v>
      </x:c>
      <x:c r="N225" s="86" t="n">
        <x:f>EXP('Transformaciones'!B217+K225)</x:f>
        <x:v>4129.166851421018</x:v>
      </x:c>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t="str">
        <x:f>'Transformaciones'!A219</x:f>
        <x:v>2023-09</x:v>
      </x:c>
      <x:c r="B226" s="90" t="n">
        <x:f>'Transformaciones'!C219</x:f>
        <x:v>-0.01639726610736858</x:v>
      </x:c>
      <x:c r="C226" s="90" t="n">
        <x:f>$B$6</x:f>
        <x:v>-0.00045209606279242174</x:v>
      </x:c>
      <x:c r="D226" s="90" t="n">
        <x:f>$B$7*'Transformaciones'!E219</x:f>
        <x:v>-0.004356285648217383</x:v>
      </x:c>
      <x:c r="E226" s="90" t="n">
        <x:f>$B$11*'Transformaciones'!M219</x:f>
        <x:v>0.018003442192736453</x:v>
      </x:c>
      <x:c r="F226" s="90" t="n">
        <x:f>$B$12*'Transformaciones'!O219</x:f>
        <x:v>-0.0016944220980217408</x:v>
      </x:c>
      <x:c r="G226" s="90" t="n">
        <x:f>$B$8*'Transformaciones'!G218</x:f>
        <x:v>0.0031837618392165446</x:v>
      </x:c>
      <x:c r="H226" s="90" t="n">
        <x:f>$B$9*'Transformaciones'!I218</x:f>
        <x:v>0.002080858545751362</x:v>
      </x:c>
      <x:c r="I226" s="90" t="n">
        <x:f>$B$10*'Transformaciones'!K218</x:f>
        <x:v>-0.001272520501094933</x:v>
      </x:c>
      <x:c r="J226" s="90" t="n">
        <x:f>$B$13*'Transformaciones'!P219</x:f>
        <x:v>0</x:v>
      </x:c>
      <x:c r="K226" s="101" t="n">
        <x:f>SUM(C226:J226)</x:f>
        <x:v>0.015492738267577882</x:v>
      </x:c>
      <x:c r="L226" s="101" t="n">
        <x:f>B226-K226</x:f>
        <x:v>-0.03189000437494646</x:v>
      </x:c>
      <x:c r="M226" s="86" t="n">
        <x:f>'Datos_fuente'!B219</x:f>
        <x:v>4004.520667</x:v>
      </x:c>
      <x:c r="N226" s="86" t="n">
        <x:f>EXP('Transformaciones'!B218+K226)</x:f>
        <x:v>4134.28291098935</x:v>
      </x:c>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t="str">
        <x:f>'Transformaciones'!A220</x:f>
        <x:v>2023-10</x:v>
      </x:c>
      <x:c r="B227" s="90" t="n">
        <x:f>'Transformaciones'!C220</x:f>
        <x:v>0.0529876660082067</x:v>
      </x:c>
      <x:c r="C227" s="90" t="n">
        <x:f>$B$6</x:f>
        <x:v>-0.00045209606279242174</x:v>
      </x:c>
      <x:c r="D227" s="90" t="n">
        <x:f>$B$7*'Transformaciones'!E220</x:f>
        <x:v>0.0017538134187401217</x:v>
      </x:c>
      <x:c r="E227" s="90" t="n">
        <x:f>$B$11*'Transformaciones'!M220</x:f>
        <x:v>0.018354991163947627</x:v>
      </x:c>
      <x:c r="F227" s="90" t="n">
        <x:f>$B$12*'Transformaciones'!O220</x:f>
        <x:v>0.008456223845717497</x:v>
      </x:c>
      <x:c r="G227" s="90" t="n">
        <x:f>$B$8*'Transformaciones'!G219</x:f>
        <x:v>0.0034678865761412782</x:v>
      </x:c>
      <x:c r="H227" s="90" t="n">
        <x:f>$B$9*'Transformaciones'!I219</x:f>
        <x:v>0</x:v>
      </x:c>
      <x:c r="I227" s="90" t="n">
        <x:f>$B$10*'Transformaciones'!K219</x:f>
        <x:v>0.0014171846096737084</x:v>
      </x:c>
      <x:c r="J227" s="90" t="n">
        <x:f>$B$13*'Transformaciones'!P220</x:f>
        <x:v>0</x:v>
      </x:c>
      <x:c r="K227" s="101" t="n">
        <x:f>SUM(C227:J227)</x:f>
        <x:v>0.03299800355142781</x:v>
      </x:c>
      <x:c r="L227" s="101" t="n">
        <x:f>B227-K227</x:f>
        <x:v>0.01998966245677889</x:v>
      </x:c>
      <x:c r="M227" s="86" t="n">
        <x:f>'Datos_fuente'!B220</x:f>
        <x:v>4222.433226</x:v>
      </x:c>
      <x:c r="N227" s="86" t="n">
        <x:f>EXP('Transformaciones'!B219+K227)</x:f>
        <x:v>4138.866231738977</x:v>
      </x:c>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t="str">
        <x:f>'Transformaciones'!A221</x:f>
        <x:v>2023-11</x:v>
      </x:c>
      <x:c r="B228" s="90" t="n">
        <x:f>'Transformaciones'!C221</x:f>
        <x:v>-0.04446278203181642</x:v>
      </x:c>
      <x:c r="C228" s="90" t="n">
        <x:f>$B$6</x:f>
        <x:v>-0.00045209606279242174</x:v>
      </x:c>
      <x:c r="D228" s="90" t="n">
        <x:f>$B$7*'Transformaciones'!E221</x:f>
        <x:v>0.004563993839897726</x:v>
      </x:c>
      <x:c r="E228" s="90" t="n">
        <x:f>$B$11*'Transformaciones'!M221</x:f>
        <x:v>-0.02259147375476467</x:v>
      </x:c>
      <x:c r="F228" s="90" t="n">
        <x:f>$B$12*'Transformaciones'!O221</x:f>
        <x:v>-0.011511633991809983</x:v>
      </x:c>
      <x:c r="G228" s="90" t="n">
        <x:f>$B$8*'Transformaciones'!G220</x:f>
        <x:v>-0.00022683344494474139</x:v>
      </x:c>
      <x:c r="H228" s="90" t="n">
        <x:f>$B$9*'Transformaciones'!I220</x:f>
        <x:v>0</x:v>
      </x:c>
      <x:c r="I228" s="90" t="n">
        <x:f>$B$10*'Transformaciones'!K220</x:f>
        <x:v>0.0015559411069334624</x:v>
      </x:c>
      <x:c r="J228" s="90" t="n">
        <x:f>$B$13*'Transformaciones'!P221</x:f>
        <x:v>0</x:v>
      </x:c>
      <x:c r="K228" s="101" t="n">
        <x:f>SUM(C228:J228)</x:f>
        <x:v>-0.028662102307480626</x:v>
      </x:c>
      <x:c r="L228" s="101" t="n">
        <x:f>B228-K228</x:f>
        <x:v>-0.01580067972433579</x:v>
      </x:c>
      <x:c r="M228" s="86" t="n">
        <x:f>'Datos_fuente'!B221</x:f>
        <x:v>4038.804667</x:v>
      </x:c>
      <x:c r="N228" s="86" t="n">
        <x:f>EXP('Transformaciones'!B220+K228)</x:f>
        <x:v>4103.127358903335</x:v>
      </x:c>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t="str">
        <x:f>'Transformaciones'!A222</x:f>
        <x:v>2023-12</x:v>
      </x:c>
      <x:c r="B229" s="90" t="n">
        <x:f>'Transformaciones'!C222</x:f>
        <x:v>-0.022687279122097337</x:v>
      </x:c>
      <x:c r="C229" s="90" t="n">
        <x:f>$B$6</x:f>
        <x:v>-0.00045209606279242174</x:v>
      </x:c>
      <x:c r="D229" s="90" t="n">
        <x:f>$B$7*'Transformaciones'!E222</x:f>
        <x:v>0.003419441130539267</x:v>
      </x:c>
      <x:c r="E229" s="90" t="n">
        <x:f>$B$11*'Transformaciones'!M222</x:f>
        <x:v>-0.014002246927312395</x:v>
      </x:c>
      <x:c r="F229" s="90" t="n">
        <x:f>$B$12*'Transformaciones'!O222</x:f>
        <x:v>-0.0037599104348432426</x:v>
      </x:c>
      <x:c r="G229" s="90" t="n">
        <x:f>$B$8*'Transformaciones'!G221</x:f>
        <x:v>0.001955834423979271</x:v>
      </x:c>
      <x:c r="H229" s="90" t="n">
        <x:f>$B$9*'Transformaciones'!I221</x:f>
        <x:v>0</x:v>
      </x:c>
      <x:c r="I229" s="90" t="n">
        <x:f>$B$10*'Transformaciones'!K221</x:f>
        <x:v>0.0020545187686834684</x:v>
      </x:c>
      <x:c r="J229" s="90" t="n">
        <x:f>$B$13*'Transformaciones'!P222</x:f>
        <x:v>0</x:v>
      </x:c>
      <x:c r="K229" s="101" t="n">
        <x:f>SUM(C229:J229)</x:f>
        <x:v>-0.010784459101746052</x:v>
      </x:c>
      <x:c r="L229" s="101" t="n">
        <x:f>B229-K229</x:f>
        <x:v>-0.011902820020351285</x:v>
      </x:c>
      <x:c r="M229" s="86" t="n">
        <x:f>'Datos_fuente'!B222</x:f>
        <x:v>3948.206774</x:v>
      </x:c>
      <x:c r="N229" s="86" t="n">
        <x:f>EXP('Transformaciones'!B221+K229)</x:f>
        <x:v>3995.4823669164502</x:v>
      </x:c>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t="str">
        <x:f>'Transformaciones'!A223</x:f>
        <x:v>2024-01</x:v>
      </x:c>
      <x:c r="B230" s="90" t="n">
        <x:f>'Transformaciones'!C223</x:f>
        <x:v>-0.008395410345380938</x:v>
      </x:c>
      <x:c r="C230" s="90" t="n">
        <x:f>$B$6</x:f>
        <x:v>-0.00045209606279242174</x:v>
      </x:c>
      <x:c r="D230" s="90" t="n">
        <x:f>$B$7*'Transformaciones'!E223</x:f>
        <x:v>-0.0016339441834408248</x:v>
      </x:c>
      <x:c r="E230" s="90" t="n">
        <x:f>$B$11*'Transformaciones'!M223</x:f>
        <x:v>0.003990512668697023</x:v>
      </x:c>
      <x:c r="F230" s="90" t="n">
        <x:f>$B$12*'Transformaciones'!O223</x:f>
        <x:v>0.0019829672055145246</x:v>
      </x:c>
      <x:c r="G230" s="90" t="n">
        <x:f>$B$8*'Transformaciones'!G222</x:f>
        <x:v>0.0017075438317205028</x:v>
      </x:c>
      <x:c r="H230" s="90" t="n">
        <x:f>$B$9*'Transformaciones'!I222</x:f>
        <x:v>0.000958920993300473</x:v>
      </x:c>
      <x:c r="I230" s="90" t="n">
        <x:f>$B$10*'Transformaciones'!K222</x:f>
        <x:v>0.00028694654971278555</x:v>
      </x:c>
      <x:c r="J230" s="90" t="n">
        <x:f>$B$13*'Transformaciones'!P223</x:f>
        <x:v>0</x:v>
      </x:c>
      <x:c r="K230" s="101" t="n">
        <x:f>SUM(C230:J230)</x:f>
        <x:v>0.006840851002712062</x:v>
      </x:c>
      <x:c r="L230" s="101" t="n">
        <x:f>B230-K230</x:f>
        <x:v>-0.015236261348093</x:v>
      </x:c>
      <x:c r="M230" s="86" t="n">
        <x:f>'Datos_fuente'!B223</x:f>
        <x:v>3915.19871</x:v>
      </x:c>
      <x:c r="N230" s="86" t="n">
        <x:f>EXP('Transformaciones'!B222+K230)</x:f>
        <x:v>3975.3084618829225</x:v>
      </x:c>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t="str">
        <x:f>'Transformaciones'!A224</x:f>
        <x:v>2024-02</x:v>
      </x:c>
      <x:c r="B231" s="90" t="n">
        <x:f>'Transformaciones'!C224</x:f>
        <x:v>0.004139335999093774</x:v>
      </x:c>
      <x:c r="C231" s="90" t="n">
        <x:f>$B$6</x:f>
        <x:v>-0.00045209606279242174</x:v>
      </x:c>
      <x:c r="D231" s="90" t="n">
        <x:f>$B$7*'Transformaciones'!E224</x:f>
        <x:v>-0.0021197810753963904</x:v>
      </x:c>
      <x:c r="E231" s="90" t="n">
        <x:f>$B$11*'Transformaciones'!M224</x:f>
        <x:v>0.008445318614439508</x:v>
      </x:c>
      <x:c r="F231" s="90" t="n">
        <x:f>$B$12*'Transformaciones'!O224</x:f>
        <x:v>0.0016704264502687741</x:v>
      </x:c>
      <x:c r="G231" s="90" t="n">
        <x:f>$B$8*'Transformaciones'!G223</x:f>
        <x:v>0.003307831808940521</x:v>
      </x:c>
      <x:c r="H231" s="90" t="n">
        <x:f>$B$9*'Transformaciones'!I223</x:f>
        <x:v>0.0015182915611654242</x:v>
      </x:c>
      <x:c r="I231" s="90" t="n">
        <x:f>$B$10*'Transformaciones'!K223</x:f>
        <x:v>-0.000174929603720231</x:v>
      </x:c>
      <x:c r="J231" s="90" t="n">
        <x:f>$B$13*'Transformaciones'!P224</x:f>
        <x:v>0</x:v>
      </x:c>
      <x:c r="K231" s="101" t="n">
        <x:f>SUM(C231:J231)</x:f>
        <x:v>0.012195061692905185</x:v>
      </x:c>
      <x:c r="L231" s="101" t="n">
        <x:f>B231-K231</x:f>
        <x:v>-0.00805572569381141</x:v>
      </x:c>
      <x:c r="M231" s="86" t="n">
        <x:f>'Datos_fuente'!B224</x:f>
        <x:v>3931.438621</x:v>
      </x:c>
      <x:c r="N231" s="86" t="n">
        <x:f>EXP('Transformaciones'!B223+K231)</x:f>
        <x:v>3963.2371201434257</x:v>
      </x:c>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t="str">
        <x:f>'Transformaciones'!A225</x:f>
        <x:v>2024-03</x:v>
      </x:c>
      <x:c r="B232" s="90" t="n">
        <x:f>'Transformaciones'!C225</x:f>
        <x:v>-0.008197781349837285</x:v>
      </x:c>
      <x:c r="C232" s="90" t="n">
        <x:f>$B$6</x:f>
        <x:v>-0.00045209606279242174</x:v>
      </x:c>
      <x:c r="D232" s="90" t="n">
        <x:f>$B$7*'Transformaciones'!E225</x:f>
        <x:v>-0.0011817558311457536</x:v>
      </x:c>
      <x:c r="E232" s="90" t="n">
        <x:f>$B$11*'Transformaciones'!M225</x:f>
        <x:v>-0.004092616442045203</x:v>
      </x:c>
      <x:c r="F232" s="90" t="n">
        <x:f>$B$12*'Transformaciones'!O225</x:f>
        <x:v>-0.000536763119339403</x:v>
      </x:c>
      <x:c r="G232" s="90" t="n">
        <x:f>$B$8*'Transformaciones'!G224</x:f>
        <x:v>0.0020815230939199053</x:v>
      </x:c>
      <x:c r="H232" s="90" t="n">
        <x:f>$B$9*'Transformaciones'!I224</x:f>
        <x:v>0.002477212554465897</x:v>
      </x:c>
      <x:c r="I232" s="90" t="n">
        <x:f>$B$10*'Transformaciones'!K224</x:f>
        <x:v>0.0006672176041984891</x:v>
      </x:c>
      <x:c r="J232" s="90" t="n">
        <x:f>$B$13*'Transformaciones'!P225</x:f>
        <x:v>0</x:v>
      </x:c>
      <x:c r="K232" s="101" t="n">
        <x:f>SUM(C232:J232)</x:f>
        <x:v>-0.0010372782027384894</x:v>
      </x:c>
      <x:c r="L232" s="101" t="n">
        <x:f>B232-K232</x:f>
        <x:v>-0.007160503147098796</x:v>
      </x:c>
      <x:c r="M232" s="86" t="n">
        <x:f>'Datos_fuente'!B225</x:f>
        <x:v>3899.34129</x:v>
      </x:c>
      <x:c r="N232" s="86" t="n">
        <x:f>EXP('Transformaciones'!B224+K232)</x:f>
        <x:v>3927.3627396899046</x:v>
      </x:c>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t="str">
        <x:f>'Transformaciones'!A226</x:f>
        <x:v>2024-04</x:v>
      </x:c>
      <x:c r="B233" s="90" t="n">
        <x:f>'Transformaciones'!C226</x:f>
        <x:v>-0.008076438497193195</x:v>
      </x:c>
      <x:c r="C233" s="90" t="n">
        <x:f>$B$6</x:f>
        <x:v>-0.00045209606279242174</x:v>
      </x:c>
      <x:c r="D233" s="90" t="n">
        <x:f>$B$7*'Transformaciones'!E226</x:f>
        <x:v>-0.002671248728264733</x:v>
      </x:c>
      <x:c r="E233" s="90" t="n">
        <x:f>$B$11*'Transformaciones'!M226</x:f>
        <x:v>0.01485235978624159</x:v>
      </x:c>
      <x:c r="F233" s="90" t="n">
        <x:f>$B$12*'Transformaciones'!O226</x:f>
        <x:v>0.006078324566741157</x:v>
      </x:c>
      <x:c r="G233" s="90" t="n">
        <x:f>$B$8*'Transformaciones'!G225</x:f>
        <x:v>0.000911916110765883</x:v>
      </x:c>
      <x:c r="H233" s="90" t="n">
        <x:f>$B$9*'Transformaciones'!I225</x:f>
        <x:v>0.000958920993300473</x:v>
      </x:c>
      <x:c r="I233" s="90" t="n">
        <x:f>$B$10*'Transformaciones'!K225</x:f>
        <x:v>-0.00119174950526284</x:v>
      </x:c>
      <x:c r="J233" s="90" t="n">
        <x:f>$B$13*'Transformaciones'!P226</x:f>
        <x:v>0</x:v>
      </x:c>
      <x:c r="K233" s="101" t="n">
        <x:f>SUM(C233:J233)</x:f>
        <x:v>0.018486427160729107</x:v>
      </x:c>
      <x:c r="L233" s="101" t="n">
        <x:f>B233-K233</x:f>
        <x:v>-0.0265628656579223</x:v>
      </x:c>
      <x:c r="M233" s="86" t="n">
        <x:f>'Datos_fuente'!B226</x:f>
        <x:v>3867.975333</x:v>
      </x:c>
      <x:c r="N233" s="86" t="n">
        <x:f>EXP('Transformaciones'!B225+K233)</x:f>
        <x:v>3972.096599611657</x:v>
      </x:c>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t="str">
        <x:f>'Transformaciones'!A227</x:f>
        <x:v>2024-05</x:v>
      </x:c>
      <x:c r="B234" s="90" t="n">
        <x:f>'Transformaciones'!C227</x:f>
        <x:v>0.0002908881885446135</x:v>
      </x:c>
      <x:c r="C234" s="90" t="n">
        <x:f>$B$6</x:f>
        <x:v>-0.00045209606279242174</x:v>
      </x:c>
      <x:c r="D234" s="90" t="n">
        <x:f>$B$7*'Transformaciones'!E227</x:f>
        <x:v>0.0049367359916329765</x:v>
      </x:c>
      <x:c r="E234" s="90" t="n">
        <x:f>$B$11*'Transformaciones'!M227</x:f>
        <x:v>-0.0028331036011278237</x:v>
      </x:c>
      <x:c r="F234" s="90" t="n">
        <x:f>$B$12*'Transformaciones'!O227</x:f>
        <x:v>-0.008175578922581481</x:v>
      </x:c>
      <x:c r="G234" s="90" t="n">
        <x:f>$B$8*'Transformaciones'!G226</x:f>
        <x:v>0.004855040816859543</x:v>
      </x:c>
      <x:c r="H234" s="90" t="n">
        <x:f>$B$9*'Transformaciones'!I226</x:f>
        <x:v>0.003995504115631321</x:v>
      </x:c>
      <x:c r="I234" s="90" t="n">
        <x:f>$B$10*'Transformaciones'!K226</x:f>
        <x:v>0.006267204896458576</x:v>
      </x:c>
      <x:c r="J234" s="90" t="n">
        <x:f>$B$13*'Transformaciones'!P227</x:f>
        <x:v>0</x:v>
      </x:c>
      <x:c r="K234" s="101" t="n">
        <x:f>SUM(C234:J234)</x:f>
        <x:v>0.008593707234080691</x:v>
      </x:c>
      <x:c r="L234" s="101" t="n">
        <x:f>B234-K234</x:f>
        <x:v>-0.008302819045536078</x:v>
      </x:c>
      <x:c r="M234" s="86" t="n">
        <x:f>'Datos_fuente'!B227</x:f>
        <x:v>3869.100645</x:v>
      </x:c>
      <x:c r="N234" s="86" t="n">
        <x:f>EXP('Transformaciones'!B226+K234)</x:f>
        <x:v>3901.358819101147</x:v>
      </x:c>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t="str">
        <x:f>'Transformaciones'!A228</x:f>
        <x:v>2024-06</x:v>
      </x:c>
      <x:c r="B235" s="90" t="n">
        <x:f>'Transformaciones'!C228</x:f>
        <x:v>0.043914690596396966</x:v>
      </x:c>
      <x:c r="C235" s="90" t="n">
        <x:f>$B$6</x:f>
        <x:v>-0.00045209606279242174</x:v>
      </x:c>
      <x:c r="D235" s="90" t="n">
        <x:f>$B$7*'Transformaciones'!E228</x:f>
        <x:v>-0.00031509270016838047</x:v>
      </x:c>
      <x:c r="E235" s="90" t="n">
        <x:f>$B$11*'Transformaciones'!M228</x:f>
        <x:v>0.018318466463208873</x:v>
      </x:c>
      <x:c r="F235" s="90" t="n">
        <x:f>$B$12*'Transformaciones'!O228</x:f>
        <x:v>-0.0011760650979734679</x:v>
      </x:c>
      <x:c r="G235" s="90" t="n">
        <x:f>$B$8*'Transformaciones'!G227</x:f>
        <x:v>0.002062160233126044</x:v>
      </x:c>
      <x:c r="H235" s="90" t="n">
        <x:f>$B$9*'Transformaciones'!I227</x:f>
        <x:v>0.004794604946684663</x:v>
      </x:c>
      <x:c r="I235" s="90" t="n">
        <x:f>$B$10*'Transformaciones'!K227</x:f>
        <x:v>0.0012174747459783096</x:v>
      </x:c>
      <x:c r="J235" s="90" t="n">
        <x:f>$B$13*'Transformaciones'!P228</x:f>
        <x:v>0</x:v>
      </x:c>
      <x:c r="K235" s="101" t="n">
        <x:f>SUM(C235:J235)</x:f>
        <x:v>0.02444945252806362</x:v>
      </x:c>
      <x:c r="L235" s="101" t="n">
        <x:f>B235-K235</x:f>
        <x:v>0.019465238068333345</x:v>
      </x:c>
      <x:c r="M235" s="86" t="n">
        <x:f>'Datos_fuente'!B228</x:f>
        <x:v>4042.797</x:v>
      </x:c>
      <x:c r="N235" s="86" t="n">
        <x:f>EXP('Transformaciones'!B227+K235)</x:f>
        <x:v>3964.8639473361336</x:v>
      </x:c>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t="str">
        <x:f>'Transformaciones'!A229</x:f>
        <x:v>2024-07</x:v>
      </x:c>
      <x:c r="B236" s="90" t="n">
        <x:f>'Transformaciones'!C229</x:f>
        <x:v>-0.0014542748535451011</x:v>
      </x:c>
      <x:c r="C236" s="90" t="n">
        <x:f>$B$6</x:f>
        <x:v>-0.00045209606279242174</x:v>
      </x:c>
      <x:c r="D236" s="90" t="n">
        <x:f>$B$7*'Transformaciones'!E229</x:f>
        <x:v>-0.0017955514697824873</x:v>
      </x:c>
      <x:c r="E236" s="90" t="n">
        <x:f>$B$11*'Transformaciones'!M229</x:f>
        <x:v>-0.0032163215278657904</x:v>
      </x:c>
      <x:c r="F236" s="90" t="n">
        <x:f>$B$12*'Transformaciones'!O229</x:f>
        <x:v>0.004881845644528331</x:v>
      </x:c>
      <x:c r="G236" s="90" t="n">
        <x:f>$B$8*'Transformaciones'!G228</x:f>
        <x:v>0.005729500977449869</x:v>
      </x:c>
      <x:c r="H236" s="90" t="n">
        <x:f>$B$9*'Transformaciones'!I228</x:f>
        <x:v>0.00015982016224713142</x:v>
      </x:c>
      <x:c r="I236" s="90" t="n">
        <x:f>$B$10*'Transformaciones'!K228</x:f>
        <x:v>0.0023497055642649482</x:v>
      </x:c>
      <x:c r="J236" s="90" t="n">
        <x:f>$B$13*'Transformaciones'!P229</x:f>
        <x:v>0</x:v>
      </x:c>
      <x:c r="K236" s="101" t="n">
        <x:f>SUM(C236:J236)</x:f>
        <x:v>0.00765690328804958</x:v>
      </x:c>
      <x:c r="L236" s="101" t="n">
        <x:f>B236-K236</x:f>
        <x:v>-0.009111178141594681</x:v>
      </x:c>
      <x:c r="M236" s="86" t="n">
        <x:f>'Datos_fuente'!B229</x:f>
        <x:v>4036.921935</x:v>
      </x:c>
      <x:c r="N236" s="86" t="n">
        <x:f>EXP('Transformaciones'!B228+K236)</x:f>
        <x:v>4073.8711195883666</x:v>
      </x:c>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t="str">
        <x:f>'Transformaciones'!A230</x:f>
        <x:v>2024-08</x:v>
      </x:c>
      <x:c r="B237" s="90" t="n">
        <x:f>'Transformaciones'!C230</x:f>
        <x:v>0.007065658196761859</x:v>
      </x:c>
      <x:c r="C237" s="90" t="n">
        <x:f>$B$6</x:f>
        <x:v>-0.00045209606279242174</x:v>
      </x:c>
      <x:c r="D237" s="90" t="n">
        <x:f>$B$7*'Transformaciones'!E230</x:f>
        <x:v>0.0029977832661866252</x:v>
      </x:c>
      <x:c r="E237" s="90" t="n">
        <x:f>$B$11*'Transformaciones'!M230</x:f>
        <x:v>-0.007593481508285919</x:v>
      </x:c>
      <x:c r="F237" s="90" t="n">
        <x:f>$B$12*'Transformaciones'!O230</x:f>
        <x:v>0.011404797953027606</x:v>
      </x:c>
      <x:c r="G237" s="90" t="n">
        <x:f>$B$8*'Transformaciones'!G229</x:f>
        <x:v>0.005868897290799929</x:v>
      </x:c>
      <x:c r="H237" s="90" t="n">
        <x:f>$B$9*'Transformaciones'!I229</x:f>
        <x:v>0.004794604946684663</x:v>
      </x:c>
      <x:c r="I237" s="90" t="n">
        <x:f>$B$10*'Transformaciones'!K229</x:f>
        <x:v>0.00048122429901018926</x:v>
      </x:c>
      <x:c r="J237" s="90" t="n">
        <x:f>$B$13*'Transformaciones'!P230</x:f>
        <x:v>0</x:v>
      </x:c>
      <x:c r="K237" s="101" t="n">
        <x:f>SUM(C237:J237)</x:f>
        <x:v>0.017501730184630672</x:v>
      </x:c>
      <x:c r="L237" s="101" t="n">
        <x:f>B237-K237</x:f>
        <x:v>-0.010436071987868813</x:v>
      </x:c>
      <x:c r="M237" s="86" t="n">
        <x:f>'Datos_fuente'!B230</x:f>
        <x:v>4065.546452</x:v>
      </x:c>
      <x:c r="N237" s="86" t="n">
        <x:f>EXP('Transformaciones'!B229+K237)</x:f>
        <x:v>4108.196952194461</x:v>
      </x:c>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t="str">
        <x:f>'Transformaciones'!A231</x:f>
        <x:v>2024-09</x:v>
      </x:c>
      <x:c r="B238" s="90" t="n">
        <x:f>'Transformaciones'!C231</x:f>
        <x:v>0.02836394008802401</x:v>
      </x:c>
      <x:c r="C238" s="90" t="n">
        <x:f>$B$6</x:f>
        <x:v>-0.00045209606279242174</x:v>
      </x:c>
      <x:c r="D238" s="90" t="n">
        <x:f>$B$7*'Transformaciones'!E231</x:f>
        <x:v>0.0042473985222769555</x:v>
      </x:c>
      <x:c r="E238" s="90" t="n">
        <x:f>$B$11*'Transformaciones'!M231</x:f>
        <x:v>-0.007244326439582478</x:v>
      </x:c>
      <x:c r="F238" s="90" t="n">
        <x:f>$B$12*'Transformaciones'!O231</x:f>
        <x:v>-0.003446622504613259</x:v>
      </x:c>
      <x:c r="G238" s="90" t="n">
        <x:f>$B$8*'Transformaciones'!G230</x:f>
        <x:v>0.0028570790989573343</x:v>
      </x:c>
      <x:c r="H238" s="90" t="n">
        <x:f>$B$9*'Transformaciones'!I230</x:f>
        <x:v>0.005114245271178926</x:v>
      </x:c>
      <x:c r="I238" s="90" t="n">
        <x:f>$B$10*'Transformaciones'!K230</x:f>
        <x:v>0.0014970016115878526</x:v>
      </x:c>
      <x:c r="J238" s="90" t="n">
        <x:f>$B$13*'Transformaciones'!P231</x:f>
        <x:v>0</x:v>
      </x:c>
      <x:c r="K238" s="101" t="n">
        <x:f>SUM(C238:J238)</x:f>
        <x:v>0.0025726794970129087</x:v>
      </x:c>
      <x:c r="L238" s="101" t="n">
        <x:f>B238-K238</x:f>
        <x:v>0.0257912605910111</x:v>
      </x:c>
      <x:c r="M238" s="86" t="n">
        <x:f>'Datos_fuente'!B231</x:f>
        <x:v>4182.512333</x:v>
      </x:c>
      <x:c r="N238" s="86" t="n">
        <x:f>EXP('Transformaciones'!B230+K238)</x:f>
        <x:v>4076.0192658215615</x:v>
      </x:c>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t="str">
        <x:f>'Transformaciones'!A232</x:f>
        <x:v>2024-10</x:v>
      </x:c>
      <x:c r="B239" s="90" t="n">
        <x:f>'Transformaciones'!C232</x:f>
        <x:v>0.01588216668817033</x:v>
      </x:c>
      <x:c r="C239" s="90" t="n">
        <x:f>$B$6</x:f>
        <x:v>-0.00045209606279242174</x:v>
      </x:c>
      <x:c r="D239" s="90" t="n">
        <x:f>$B$7*'Transformaciones'!E232</x:f>
        <x:v>-0.001116409900729582</x:v>
      </x:c>
      <x:c r="E239" s="90" t="n">
        <x:f>$B$11*'Transformaciones'!M232</x:f>
        <x:v>0.01693210701619715</x:v>
      </x:c>
      <x:c r="F239" s="90" t="n">
        <x:f>$B$12*'Transformaciones'!O232</x:f>
        <x:v>0.004722282225235109</x:v>
      </x:c>
      <x:c r="G239" s="90" t="n">
        <x:f>$B$8*'Transformaciones'!G231</x:f>
        <x:v>0.0036294357229965284</x:v>
      </x:c>
      <x:c r="H239" s="90" t="n">
        <x:f>$B$9*'Transformaciones'!I231</x:f>
        <x:v>-0.0019817700435727195</x:v>
      </x:c>
      <x:c r="I239" s="90" t="n">
        <x:f>$B$10*'Transformaciones'!K231</x:f>
        <x:v>-0.0006233423187185418</x:v>
      </x:c>
      <x:c r="J239" s="90" t="n">
        <x:f>$B$13*'Transformaciones'!P232</x:f>
        <x:v>0</x:v>
      </x:c>
      <x:c r="K239" s="101" t="n">
        <x:f>SUM(C239:J239)</x:f>
        <x:v>0.02111020663861552</x:v>
      </x:c>
      <x:c r="L239" s="101" t="n">
        <x:f>B239-K239</x:f>
        <x:v>-0.005228039950445192</x:v>
      </x:c>
      <x:c r="M239" s="86" t="n">
        <x:f>'Datos_fuente'!B232</x:f>
        <x:v>4249.47</x:v>
      </x:c>
      <x:c r="N239" s="86" t="n">
        <x:f>EXP('Transformaciones'!B231+K239)</x:f>
        <x:v>4271.744574375802</x:v>
      </x:c>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t="str">
        <x:f>'Transformaciones'!A233</x:f>
        <x:v>2024-11</x:v>
      </x:c>
      <x:c r="B240" s="90" t="n">
        <x:f>'Transformaciones'!C233</x:f>
        <x:v>0.03677478005398527</x:v>
      </x:c>
      <x:c r="C240" s="90" t="n">
        <x:f>$B$6</x:f>
        <x:v>-0.00045209606279242174</x:v>
      </x:c>
      <x:c r="D240" s="90" t="n">
        <x:f>$B$7*'Transformaciones'!E233</x:f>
        <x:v>0.0008874477227958266</x:v>
      </x:c>
      <x:c r="E240" s="90" t="n">
        <x:f>$B$11*'Transformaciones'!M233</x:f>
        <x:v>0.026411312089313896</x:v>
      </x:c>
      <x:c r="F240" s="90" t="n">
        <x:f>$B$12*'Transformaciones'!O233</x:f>
        <x:v>-0.008504894707469176</x:v>
      </x:c>
      <x:c r="G240" s="90" t="n">
        <x:f>$B$8*'Transformaciones'!G232</x:f>
        <x:v>0.003461345413758565</x:v>
      </x:c>
      <x:c r="H240" s="90" t="n">
        <x:f>$B$9*'Transformaciones'!I232</x:f>
        <x:v>0.0019817700435727195</x:v>
      </x:c>
      <x:c r="I240" s="90" t="n">
        <x:f>$B$10*'Transformaciones'!K232</x:f>
        <x:v>0.000025919222601168313</x:v>
      </x:c>
      <x:c r="J240" s="90" t="n">
        <x:f>$B$13*'Transformaciones'!P233</x:f>
        <x:v>0</x:v>
      </x:c>
      <x:c r="K240" s="101" t="n">
        <x:f>SUM(C240:J240)</x:f>
        <x:v>0.023810803721780578</x:v>
      </x:c>
      <x:c r="L240" s="101" t="n">
        <x:f>B240-K240</x:f>
        <x:v>0.01296397633220469</x:v>
      </x:c>
      <x:c r="M240" s="86" t="n">
        <x:f>'Datos_fuente'!B233</x:f>
        <x:v>4408.652333</x:v>
      </x:c>
      <x:c r="N240" s="86" t="n">
        <x:f>EXP('Transformaciones'!B232+K240)</x:f>
        <x:v>4351.867542131418</x:v>
      </x:c>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t="str">
        <x:f>'Transformaciones'!A234</x:f>
        <x:v>2024-12</x:v>
      </x:c>
      <x:c r="B241" s="90" t="n">
        <x:f>'Transformaciones'!C234</x:f>
        <x:v>-0.005345510741495474</x:v>
      </x:c>
      <x:c r="C241" s="90" t="n">
        <x:f>$B$6</x:f>
        <x:v>-0.00045209606279242174</x:v>
      </x:c>
      <x:c r="D241" s="90" t="n">
        <x:f>$B$7*'Transformaciones'!E234</x:f>
        <x:v>0.0003388420312870392</x:v>
      </x:c>
      <x:c r="E241" s="90" t="n">
        <x:f>$B$11*'Transformaciones'!M234</x:f>
        <x:v>0.012102529218933244</x:v>
      </x:c>
      <x:c r="F241" s="90" t="n">
        <x:f>$B$12*'Transformaciones'!O234</x:f>
        <x:v>-0.0003610826431788596</x:v>
      </x:c>
      <x:c r="G241" s="90" t="n">
        <x:f>$B$8*'Transformaciones'!G233</x:f>
        <x:v>0.003318111944457872</x:v>
      </x:c>
      <x:c r="H241" s="90" t="n">
        <x:f>$B$9*'Transformaciones'!I233</x:f>
        <x:v>0.0030717435675377087</x:v>
      </x:c>
      <x:c r="I241" s="90" t="n">
        <x:f>$B$10*'Transformaciones'!K233</x:f>
        <x:v>0.0013012080728654403</x:v>
      </x:c>
      <x:c r="J241" s="90" t="n">
        <x:f>$B$13*'Transformaciones'!P234</x:f>
        <x:v>0</x:v>
      </x:c>
      <x:c r="K241" s="101" t="n">
        <x:f>SUM(C241:J241)</x:f>
        <x:v>0.019319256129110025</x:v>
      </x:c>
      <x:c r="L241" s="101" t="n">
        <x:f>B241-K241</x:f>
        <x:v>-0.0246647668706055</x:v>
      </x:c>
      <x:c r="M241" s="86" t="n">
        <x:f>'Datos_fuente'!B234</x:f>
        <x:v>4385.14871</x:v>
      </x:c>
      <x:c r="N241" s="86" t="n">
        <x:f>EXP('Transformaciones'!B233+K241)</x:f>
        <x:v>4494.652269179915</x:v>
      </x:c>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t="str">
        <x:f>'Transformaciones'!A235</x:f>
        <x:v>2025-01</x:v>
      </x:c>
      <x:c r="B242" s="90" t="n">
        <x:f>'Transformaciones'!C235</x:f>
        <x:v>-0.01785019775455865</x:v>
      </x:c>
      <x:c r="C242" s="90" t="n">
        <x:f>$B$6</x:f>
        <x:v>-0.00045209606279242174</x:v>
      </x:c>
      <x:c r="D242" s="90" t="n">
        <x:f>$B$7*'Transformaciones'!E235</x:f>
        <x:v>-0.0036546873116115233</x:v>
      </x:c>
      <x:c r="E242" s="90" t="n">
        <x:f>$B$11*'Transformaciones'!M235</x:f>
        <x:v>0.01195230241792102</x:v>
      </x:c>
      <x:c r="F242" s="90" t="n">
        <x:f>$B$12*'Transformaciones'!O235</x:f>
        <x:v>0.0021248056907684516</x:v>
      </x:c>
      <x:c r="G242" s="90" t="n">
        <x:f>$B$8*'Transformaciones'!G234</x:f>
        <x:v>0.004119058526535878</x:v>
      </x:c>
      <x:c r="H242" s="90" t="n">
        <x:f>$B$9*'Transformaciones'!I234</x:f>
        <x:v>-0.000866225294837242</x:v>
      </x:c>
      <x:c r="I242" s="90" t="n">
        <x:f>$B$10*'Transformaciones'!K234</x:f>
        <x:v>-0.0011653162207362685</x:v>
      </x:c>
      <x:c r="J242" s="90" t="n">
        <x:f>$B$13*'Transformaciones'!P235</x:f>
        <x:v>0</x:v>
      </x:c>
      <x:c r="K242" s="101" t="n">
        <x:f>SUM(C242:J242)</x:f>
        <x:v>0.012057841745247896</x:v>
      </x:c>
      <x:c r="L242" s="101" t="n">
        <x:f>B242-K242</x:f>
        <x:v>-0.029908039499806548</x:v>
      </x:c>
      <x:c r="M242" s="86" t="n">
        <x:f>'Datos_fuente'!B235</x:f>
        <x:v>4307.567419</x:v>
      </x:c>
      <x:c r="N242" s="86" t="n">
        <x:f>EXP('Transformaciones'!B234+K242)</x:f>
        <x:v>4438.344206098256</x:v>
      </x:c>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t="str">
        <x:f>'Transformaciones'!A236</x:f>
        <x:v>2025-02</x:v>
      </x:c>
      <x:c r="B243" s="90" t="n">
        <x:f>'Transformaciones'!C236</x:f>
        <x:v>-0.0425914733289634</x:v>
      </x:c>
      <x:c r="C243" s="90" t="n">
        <x:f>$B$6</x:f>
        <x:v>-0.00045209606279242174</x:v>
      </x:c>
      <x:c r="D243" s="90" t="n">
        <x:f>$B$7*'Transformaciones'!E236</x:f>
        <x:v>0.002561577294473617</x:v>
      </x:c>
      <x:c r="E243" s="90" t="n">
        <x:f>$B$11*'Transformaciones'!M236</x:f>
        <x:v>-0.009098002556373922</x:v>
      </x:c>
      <x:c r="F243" s="90" t="n">
        <x:f>$B$12*'Transformaciones'!O236</x:f>
        <x:v>0.0004679373488808524</x:v>
      </x:c>
      <x:c r="G243" s="90" t="n">
        <x:f>$B$8*'Transformaciones'!G235</x:f>
        <x:v>0.0021406913679410237</x:v>
      </x:c>
      <x:c r="H243" s="90" t="n">
        <x:f>$B$9*'Transformaciones'!I235</x:f>
        <x:v>0.0002716942817654305</x:v>
      </x:c>
      <x:c r="I243" s="90" t="n">
        <x:f>$B$10*'Transformaciones'!K235</x:f>
        <x:v>0.0003971120258459714</x:v>
      </x:c>
      <x:c r="J243" s="90" t="n">
        <x:f>$B$13*'Transformaciones'!P236</x:f>
        <x:v>0</x:v>
      </x:c>
      <x:c r="K243" s="101" t="n">
        <x:f>SUM(C243:J243)</x:f>
        <x:v>-0.0037110863002594485</x:v>
      </x:c>
      <x:c r="L243" s="101" t="n">
        <x:f>B243-K243</x:f>
        <x:v>-0.03888038702870395</x:v>
      </x:c>
      <x:c r="M243" s="86" t="n">
        <x:f>'Datos_fuente'!B236</x:f>
        <x:v>4127.953929</x:v>
      </x:c>
      <x:c r="N243" s="86" t="n">
        <x:f>EXP('Transformaciones'!B235+K243)</x:f>
        <x:v>4291.611290162</x:v>
      </x:c>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t="str">
        <x:f>'Transformaciones'!A237</x:f>
        <x:v>2025-03</x:v>
      </x:c>
      <x:c r="B244" s="90" t="n">
        <x:f>'Transformaciones'!C237</x:f>
        <x:v>0.0023544682143779028</x:v>
      </x:c>
      <x:c r="C244" s="90" t="n">
        <x:f>$B$6</x:f>
        <x:v>-0.00045209606279242174</x:v>
      </x:c>
      <x:c r="D244" s="90" t="n">
        <x:f>$B$7*'Transformaciones'!E237</x:f>
        <x:v>0.0018876927658255714</x:v>
      </x:c>
      <x:c r="E244" s="90" t="n">
        <x:f>$B$11*'Transformaciones'!M237</x:f>
        <x:v>-0.015613942847991592</x:v>
      </x:c>
      <x:c r="F244" s="90" t="n">
        <x:f>$B$12*'Transformaciones'!O237</x:f>
        <x:v>0.009750166480026932</x:v>
      </x:c>
      <x:c r="G244" s="90" t="n">
        <x:f>$B$8*'Transformaciones'!G236</x:f>
        <x:v>0.0025777651749323517</x:v>
      </x:c>
      <x:c r="H244" s="90" t="n">
        <x:f>$B$9*'Transformaciones'!I236</x:f>
        <x:v>0</x:v>
      </x:c>
      <x:c r="I244" s="90" t="n">
        <x:f>$B$10*'Transformaciones'!K236</x:f>
        <x:v>0.001060141265095983</x:v>
      </x:c>
      <x:c r="J244" s="90" t="n">
        <x:f>$B$13*'Transformaciones'!P237</x:f>
        <x:v>0</x:v>
      </x:c>
      <x:c r="K244" s="101" t="n">
        <x:f>SUM(C244:J244)</x:f>
        <x:v>-0.0007902732249031753</x:v>
      </x:c>
      <x:c r="L244" s="101" t="n">
        <x:f>B244-K244</x:f>
        <x:v>0.003144741439281078</x:v>
      </x:c>
      <x:c r="M244" s="86" t="n">
        <x:f>'Datos_fuente'!B237</x:f>
        <x:v>4137.684516</x:v>
      </x:c>
      <x:c r="N244" s="86" t="n">
        <x:f>EXP('Transformaciones'!B236+K244)</x:f>
        <x:v>4124.693006215973</x:v>
      </x:c>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t="str">
        <x:f>'Transformaciones'!A238</x:f>
        <x:v>2025-04</x:v>
      </x:c>
      <x:c r="B245" s="90" t="n">
        <x:f>'Transformaciones'!C238</x:f>
        <x:v>0.03387695242985522</x:v>
      </x:c>
      <x:c r="C245" s="90" t="n">
        <x:f>$B$6</x:f>
        <x:v>-0.00045209606279242174</x:v>
      </x:c>
      <x:c r="D245" s="90" t="n">
        <x:f>$B$7*'Transformaciones'!E238</x:f>
        <x:v>0.00337599893654722</x:v>
      </x:c>
      <x:c r="E245" s="90" t="n">
        <x:f>$B$11*'Transformaciones'!M238</x:f>
        <x:v>-0.020409169169265707</x:v>
      </x:c>
      <x:c r="F245" s="90" t="n">
        <x:f>$B$12*'Transformaciones'!O238</x:f>
        <x:v>0.014708325001321848</x:v>
      </x:c>
      <x:c r="G245" s="90" t="n">
        <x:f>$B$8*'Transformaciones'!G237</x:f>
        <x:v>0.004221875220580855</x:v>
      </x:c>
      <x:c r="H245" s="90" t="n">
        <x:f>$B$9*'Transformaciones'!I237</x:f>
        <x:v>0</x:v>
      </x:c>
      <x:c r="I245" s="90" t="n">
        <x:f>$B$10*'Transformaciones'!K237</x:f>
        <x:v>0.0012777882588171075</x:v>
      </x:c>
      <x:c r="J245" s="90" t="n">
        <x:f>$B$13*'Transformaciones'!P238</x:f>
        <x:v>0</x:v>
      </x:c>
      <x:c r="K245" s="101" t="n">
        <x:f>SUM(C245:J245)</x:f>
        <x:v>0.0027227221852089006</x:v>
      </x:c>
      <x:c r="L245" s="101" t="n">
        <x:f>B245-K245</x:f>
        <x:v>0.031154230244646322</x:v>
      </x:c>
      <x:c r="M245" s="86" t="n">
        <x:f>'Datos_fuente'!B238</x:f>
        <x:v>4280.258</x:v>
      </x:c>
      <x:c r="N245" s="86" t="n">
        <x:f>EXP('Transformaciones'!B237+K245)</x:f>
        <x:v>4148.965632130584</x:v>
      </x:c>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t="str">
        <x:f>'Transformaciones'!A239</x:f>
        <x:v>2025-05</x:v>
      </x:c>
      <x:c r="B246" s="90" t="n">
        <x:f>'Transformaciones'!C239</x:f>
        <x:v>-0.018125015238815934</x:v>
      </x:c>
      <x:c r="C246" s="90" t="n">
        <x:f>$B$6</x:f>
        <x:v>-0.00045209606279242174</x:v>
      </x:c>
      <x:c r="D246" s="90" t="n">
        <x:f>$B$7*'Transformaciones'!E239</x:f>
        <x:v>0.0028713723330845106</x:v>
      </x:c>
      <x:c r="E246" s="90" t="n">
        <x:f>$B$11*'Transformaciones'!M239</x:f>
        <x:v>-0.017726961139645177</x:v>
      </x:c>
      <x:c r="F246" s="90" t="n">
        <x:f>$B$12*'Transformaciones'!O239</x:f>
        <x:v>-0.017227191127731065</x:v>
      </x:c>
      <x:c r="G246" s="90" t="n">
        <x:f>$B$8*'Transformaciones'!G238</x:f>
        <x:v>0.0035790400359415934</x:v>
      </x:c>
      <x:c r="H246" s="90" t="n">
        <x:f>$B$9*'Transformaciones'!I238</x:f>
        <x:v>0</x:v>
      </x:c>
      <x:c r="I246" s="90" t="n">
        <x:f>$B$10*'Transformaciones'!K238</x:f>
        <x:v>-0.0011705197509343545</x:v>
      </x:c>
      <x:c r="J246" s="90" t="n">
        <x:f>$B$13*'Transformaciones'!P239</x:f>
        <x:v>0</x:v>
      </x:c>
      <x:c r="K246" s="101" t="n">
        <x:f>SUM(C246:J246)</x:f>
        <x:v>-0.03012635571207692</x:v>
      </x:c>
      <x:c r="L246" s="101" t="n">
        <x:f>B246-K246</x:f>
        <x:v>0.012001340473260985</x:v>
      </x:c>
      <x:c r="M246" s="86" t="n">
        <x:f>'Datos_fuente'!B239</x:f>
        <x:v>4203.377097</x:v>
      </x:c>
      <x:c r="N246" s="86" t="n">
        <x:f>EXP('Transformaciones'!B238+K246)</x:f>
        <x:v>4153.232440736634</x:v>
      </x:c>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t="str">
        <x:f>'Transformaciones'!A240</x:f>
        <x:v>2025-06</x:v>
      </x:c>
      <x:c r="B247" s="90" t="n">
        <x:f>'Transformaciones'!C240</x:f>
        <x:v>-0.02161767182145269</x:v>
      </x:c>
      <x:c r="C247" s="90" t="n">
        <x:f>$B$6</x:f>
        <x:v>-0.00045209606279242174</x:v>
      </x:c>
      <x:c r="D247" s="90" t="n">
        <x:f>$B$7*'Transformaciones'!E240</x:f>
        <x:v>-0.005323700242335196</x:v>
      </x:c>
      <x:c r="E247" s="90" t="n">
        <x:f>$B$11*'Transformaciones'!M240</x:f>
        <x:v>-0.017488117205995638</x:v>
      </x:c>
      <x:c r="F247" s="90" t="n">
        <x:f>$B$12*'Transformaciones'!O240</x:f>
        <x:v>-0.004095444698889823</x:v>
      </x:c>
      <x:c r="G247" s="90" t="n">
        <x:f>$B$8*'Transformaciones'!G239</x:f>
        <x:v>0.0028579440826505048</x:v>
      </x:c>
      <x:c r="H247" s="90" t="n">
        <x:f>$B$9*'Transformaciones'!I239</x:f>
        <x:v>0.0023973024733423315</x:v>
      </x:c>
      <x:c r="I247" s="90" t="n">
        <x:f>$B$10*'Transformaciones'!K239</x:f>
        <x:v>0.0003498774668951849</x:v>
      </x:c>
      <x:c r="J247" s="90" t="n">
        <x:f>$B$13*'Transformaciones'!P240</x:f>
        <x:v>0</x:v>
      </x:c>
      <x:c r="K247" s="101" t="n">
        <x:f>SUM(C247:J247)</x:f>
        <x:v>-0.021754234187125056</x:v>
      </x:c>
      <x:c r="L247" s="101" t="n">
        <x:f>B247-K247</x:f>
        <x:v>0.00013656236567236718</x:v>
      </x:c>
      <x:c r="M247" s="86" t="n">
        <x:f>'Datos_fuente'!B240</x:f>
        <x:v>4113.485</x:v>
      </x:c>
      <x:c r="N247" s="86" t="n">
        <x:f>EXP('Transformaciones'!B239+K247)</x:f>
        <x:v>4112.923291112266</x:v>
      </x:c>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t="str">
        <x:f>'Transformaciones'!A241</x:f>
        <x:v>2025-07</x:v>
      </x:c>
      <x:c r="B248" s="90" t="n">
        <x:f>'Transformaciones'!C241</x:f>
        <x:v>-0.017815934381481213</x:v>
      </x:c>
      <x:c r="C248" s="90" t="n">
        <x:f>$B$6</x:f>
        <x:v>-0.00045209606279242174</x:v>
      </x:c>
      <x:c r="D248" s="90" t="n">
        <x:f>$B$7*'Transformaciones'!E241</x:f>
        <x:v>0.0002927401230451911</x:v>
      </x:c>
      <x:c r="E248" s="90" t="n">
        <x:f>$B$11*'Transformaciones'!M241</x:f>
        <x:v>-0.0048577252963004774</x:v>
      </x:c>
      <x:c r="F248" s="90" t="n">
        <x:f>$B$12*'Transformaciones'!O241</x:f>
        <x:v>-0.004494754331252223</x:v>
      </x:c>
      <x:c r="G248" s="90" t="n">
        <x:f>$B$8*'Transformaciones'!G240</x:f>
        <x:v>0.0013957559933334364</x:v>
      </x:c>
      <x:c r="H248" s="90" t="n">
        <x:f>$B$9*'Transformaciones'!I240</x:f>
        <x:v>0.00007991008112356571</x:v>
      </x:c>
      <x:c r="I248" s="90" t="n">
        <x:f>$B$10*'Transformaciones'!K240</x:f>
        <x:v>-0.0009711538729193929</x:v>
      </x:c>
      <x:c r="J248" s="90" t="n">
        <x:f>$B$13*'Transformaciones'!P241</x:f>
        <x:v>0</x:v>
      </x:c>
      <x:c r="K248" s="101" t="n">
        <x:f>SUM(C248:J248)</x:f>
        <x:v>-0.009007323365762323</x:v>
      </x:c>
      <x:c r="L248" s="101" t="n">
        <x:f>B248-K248</x:f>
        <x:v>-0.00880861101571889</x:v>
      </x:c>
      <x:c r="M248" s="86" t="n">
        <x:f>'Datos_fuente'!B241</x:f>
        <x:v>4040.848387</x:v>
      </x:c>
      <x:c r="N248" s="86" t="n">
        <x:f>EXP('Transformaciones'!B240+K248)</x:f>
        <x:v>4076.599877935283</x:v>
      </x:c>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t="str">
        <x:f>'Transformaciones'!A242</x:f>
        <x:v>2025-08</x:v>
      </x:c>
      <x:c r="B249" s="90" t="n">
        <x:f>'Transformaciones'!C242</x:f>
        <x:v>0.0016229021917020248</x:v>
      </x:c>
      <x:c r="C249" s="90" t="n">
        <x:f>$B$6</x:f>
        <x:v>-0.00045209606279242174</x:v>
      </x:c>
      <x:c r="D249" s="90" t="n">
        <x:f>$B$7*'Transformaciones'!E242</x:f>
        <x:v>0.0023606491322947067</x:v>
      </x:c>
      <x:c r="E249" s="90" t="n">
        <x:f>$B$11*'Transformaciones'!M242</x:f>
        <x:v>0.004676083140312723</x:v>
      </x:c>
      <x:c r="F249" s="90" t="n">
        <x:f>$B$12*'Transformaciones'!O242</x:f>
        <x:v>-0.0015176879840623535</x:v>
      </x:c>
      <x:c r="G249" s="90" t="n">
        <x:f>$B$8*'Transformaciones'!G241</x:f>
        <x:v>0.0031437034437945682</x:v>
      </x:c>
      <x:c r="H249" s="90" t="n">
        <x:f>$B$9*'Transformaciones'!I241</x:f>
        <x:v>0</x:v>
      </x:c>
      <x:c r="I249" s="90" t="n">
        <x:f>$B$10*'Transformaciones'!K241</x:f>
        <x:v>-0.00019590444224742997</x:v>
      </x:c>
      <x:c r="J249" s="90" t="n">
        <x:f>$B$13*'Transformaciones'!P242</x:f>
        <x:v>0</x:v>
      </x:c>
      <x:c r="K249" s="101" t="n">
        <x:f>SUM(C249:J249)</x:f>
        <x:v>0.008014747227299793</x:v>
      </x:c>
      <x:c r="L249" s="101" t="n">
        <x:f>B249-K249</x:f>
        <x:v>-0.006391845035597768</x:v>
      </x:c>
      <x:c r="M249" s="86" t="n">
        <x:f>'Datos_fuente'!B242</x:f>
        <x:v>4047.411613</x:v>
      </x:c>
      <x:c r="N249" s="86" t="n">
        <x:f>EXP('Transformaciones'!B241+K249)</x:f>
        <x:v>4073.364897149266</x:v>
      </x:c>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t="str">
        <x:f>'Transformaciones'!A243</x:f>
        <x:v>2025-09</x:v>
      </x:c>
      <x:c r="B250" s="90" t="n">
        <x:f>'Transformaciones'!C243</x:f>
        <x:v>-0.031421788533361195</x:v>
      </x:c>
      <x:c r="C250" s="90" t="n">
        <x:f>$B$6</x:f>
        <x:v>-0.00045209606279242174</x:v>
      </x:c>
      <x:c r="D250" s="90" t="n">
        <x:f>$B$7*'Transformaciones'!E243</x:f>
        <x:v>-0.0000878597003264838</x:v>
      </x:c>
      <x:c r="E250" s="90" t="n">
        <x:f>$B$11*'Transformaciones'!M243</x:f>
        <x:v>-0.005522341147248335</x:v>
      </x:c>
      <x:c r="F250" s="90" t="n">
        <x:f>$B$12*'Transformaciones'!O243</x:f>
        <x:v>0.00009572888681617905</x:v>
      </x:c>
      <x:c r="G250" s="90" t="n">
        <x:f>$B$8*'Transformaciones'!G242</x:f>
        <x:v>0.0017720779771581523</x:v>
      </x:c>
      <x:c r="H250" s="90" t="n">
        <x:f>$B$9*'Transformaciones'!I242</x:f>
        <x:v>0</x:v>
      </x:c>
      <x:c r="I250" s="90" t="n">
        <x:f>$B$10*'Transformaciones'!K242</x:f>
        <x:v>-0.0011882319054845642</x:v>
      </x:c>
      <x:c r="J250" s="90" t="n">
        <x:f>$B$13*'Transformaciones'!P243</x:f>
        <x:v>0</x:v>
      </x:c>
      <x:c r="K250" s="101" t="n">
        <x:f>SUM(C250:J250)</x:f>
        <x:v>-0.005382721951877473</x:v>
      </x:c>
      <x:c r="L250" s="101" t="n">
        <x:f>B250-K250</x:f>
        <x:v>-0.026039066581483722</x:v>
      </x:c>
      <x:c r="M250" s="86" t="n">
        <x:f>'Datos_fuente'!B243</x:f>
        <x:v>3922.212</x:v>
      </x:c>
      <x:c r="N250" s="86" t="n">
        <x:f>EXP('Transformaciones'!B242+K250)</x:f>
        <x:v>4025.6840508359596</x:v>
      </x:c>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t="str">
        <x:f>'Transformaciones'!A244</x:f>
        <x:v>2025-10</x:v>
      </x:c>
      <x:c r="B251" s="90" t="n">
        <x:f>'Transformaciones'!C244</x:f>
        <x:v>-0.011376234919783457</x:v>
      </x:c>
      <x:c r="C251" s="90" t="n">
        <x:f>$B$6</x:f>
        <x:v>-0.00045209606279242174</x:v>
      </x:c>
      <x:c r="D251" s="90" t="n">
        <x:f>$B$7*'Transformaciones'!E244</x:f>
        <x:v>0.002685656648033502</x:v>
      </x:c>
      <x:c r="E251" s="90" t="n">
        <x:f>$B$11*'Transformaciones'!M244</x:f>
        <x:v>0.007394752776260651</x:v>
      </x:c>
      <x:c r="F251" s="90" t="n">
        <x:f>$B$12*'Transformaciones'!O244</x:f>
        <x:v>0.005246125066139122</x:v>
      </x:c>
      <x:c r="G251" s="90" t="n">
        <x:f>$B$8*'Transformaciones'!G243</x:f>
        <x:v>0.0012828382906989383</x:v>
      </x:c>
      <x:c r="H251" s="90" t="n">
        <x:f>$B$9*'Transformaciones'!I243</x:f>
        <x:v>-0.0010899735239649978</x:v>
      </x:c>
      <x:c r="I251" s="90" t="n">
        <x:f>$B$10*'Transformaciones'!K243</x:f>
        <x:v>-0.0008223270575951893</x:v>
      </x:c>
      <x:c r="J251" s="90" t="n">
        <x:f>$B$13*'Transformaciones'!P244</x:f>
        <x:v>0</x:v>
      </x:c>
      <x:c r="K251" s="101" t="n">
        <x:f>SUM(C251:J251)</x:f>
        <x:v>0.014244976136779604</x:v>
      </x:c>
      <x:c r="L251" s="101" t="n">
        <x:f>B251-K251</x:f>
        <x:v>-0.02562121105656306</x:v>
      </x:c>
      <x:c r="M251" s="86" t="n">
        <x:f>'Datos_fuente'!B244</x:f>
        <x:v>3877.844839</x:v>
      </x:c>
      <x:c r="N251" s="86" t="n">
        <x:f>EXP('Transformaciones'!B243+K251)</x:f>
        <x:v>3978.483659015853</x:v>
      </x:c>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t="str">
        <x:f>'Transformaciones'!A245</x:f>
        <x:v>2025-11</x:v>
      </x:c>
      <x:c r="B252" s="90" t="n">
        <x:f>'Transformaciones'!C245</x:f>
        <x:v>-0.02392106990255627</x:v>
      </x:c>
      <x:c r="C252" s="90" t="n">
        <x:f>$B$6</x:f>
        <x:v>-0.00045209606279242174</x:v>
      </x:c>
      <x:c r="D252" s="90" t="n">
        <x:f>$B$7*'Transformaciones'!E245</x:f>
        <x:v>0.0006013316300440529</x:v>
      </x:c>
      <x:c r="E252" s="90" t="n">
        <x:f>$B$11*'Transformaciones'!M245</x:f>
        <x:v>0.006581515189633106</x:v>
      </x:c>
      <x:c r="F252" s="90" t="n">
        <x:f>$B$12*'Transformaciones'!O245</x:f>
        <x:v>0.003435944000594218</x:v>
      </x:c>
      <x:c r="G252" s="90" t="n">
        <x:f>$B$8*'Transformaciones'!G244</x:f>
        <x:v>0.001130075501808084</x:v>
      </x:c>
      <x:c r="H252" s="90" t="n">
        <x:f>$B$9*'Transformaciones'!I244</x:f>
        <x:v>-0.0012881505283222656</x:v>
      </x:c>
      <x:c r="I252" s="90" t="n">
        <x:f>$B$10*'Transformaciones'!K244</x:f>
        <x:v>-0.0009053107496910014</x:v>
      </x:c>
      <x:c r="J252" s="90" t="n">
        <x:f>$B$13*'Transformaciones'!P245</x:f>
        <x:v>0</x:v>
      </x:c>
      <x:c r="K252" s="101" t="n">
        <x:f>SUM(C252:J252)</x:f>
        <x:v>0.009103308981273771</x:v>
      </x:c>
      <x:c r="L252" s="101" t="n">
        <x:f>B252-K252</x:f>
        <x:v>-0.033024378883830044</x:v>
      </x:c>
      <x:c r="M252" s="86" t="n">
        <x:f>'Datos_fuente'!B245</x:f>
        <x:v>3786.183333</x:v>
      </x:c>
      <x:c r="N252" s="86" t="n">
        <x:f>EXP('Transformaciones'!B244+K252)</x:f>
        <x:v>3913.307226387971</x:v>
      </x:c>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t="str">
        <x:f>'Transformaciones'!A246</x:f>
        <x:v>2025-12</x:v>
      </x:c>
      <x:c r="B253" s="90" t="n">
        <x:f>'Transformaciones'!C246</x:f>
        <x:v>0.0013958415028501037</x:v>
      </x:c>
      <x:c r="C253" s="90" t="n">
        <x:f>$B$6</x:f>
        <x:v>-0.00045209606279242174</x:v>
      </x:c>
      <x:c r="D253" s="90" t="n">
        <x:f>$B$7*'Transformaciones'!E246</x:f>
        <x:v>0.0010251244983828485</x:v>
      </x:c>
      <x:c r="E253" s="90" t="n">
        <x:f>$B$11*'Transformaciones'!M246</x:f>
        <x:v>-0.012365184397892274</x:v>
      </x:c>
      <x:c r="F253" s="90" t="n">
        <x:f>$B$12*'Transformaciones'!O246</x:f>
        <x:v>-0.009275836976465088</x:v>
      </x:c>
      <x:c r="G253" s="90" t="n">
        <x:f>$B$8*'Transformaciones'!G245</x:f>
        <x:v>0.000758095875198693</x:v>
      </x:c>
      <x:c r="H253" s="90" t="n">
        <x:f>$B$9*'Transformaciones'!I245</x:f>
        <x:v>-0.002080858545751353</x:v>
      </x:c>
      <x:c r="I253" s="90" t="n">
        <x:f>$B$10*'Transformaciones'!K245</x:f>
        <x:v>0.0017756036250238562</x:v>
      </x:c>
      <x:c r="J253" s="90" t="n">
        <x:f>$B$13*'Transformaciones'!P246</x:f>
        <x:v>0</x:v>
      </x:c>
      <x:c r="K253" s="101" t="n">
        <x:f>SUM(C253:J253)</x:f>
        <x:v>-0.02061515198429574</x:v>
      </x:c>
      <x:c r="L253" s="101" t="n">
        <x:f>B253-K253</x:f>
        <x:v>0.022010993487145844</x:v>
      </x:c>
      <x:c r="M253" s="86" t="n">
        <x:f>'Datos_fuente'!B246</x:f>
        <x:v>3791.471935</x:v>
      </x:c>
      <x:c r="N253" s="86" t="n">
        <x:f>EXP('Transformaciones'!B245+K253)</x:f>
        <x:v>3708.9296225902103</x:v>
      </x:c>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t="str">
        <x:f>'Transformaciones'!A247</x:f>
        <x:v>2026-01</x:v>
      </x:c>
      <x:c r="B254" s="90" t="n">
        <x:f>'Transformaciones'!C247</x:f>
        <x:v>-0.023611276526077418</x:v>
      </x:c>
      <x:c r="C254" s="90" t="n">
        <x:f>$B$6</x:f>
        <x:v>-0.00045209606279242174</x:v>
      </x:c>
      <x:c r="D254" s="90" t="n">
        <x:f>$B$7*'Transformaciones'!E247</x:f>
        <x:v>-0.0032496581024981904</x:v>
      </x:c>
      <x:c r="E254" s="90" t="n">
        <x:f>$B$11*'Transformaciones'!M247</x:f>
        <x:v>-0.00972874226937316</x:v>
      </x:c>
      <x:c r="F254" s="90" t="n">
        <x:f>$B$12*'Transformaciones'!O247</x:f>
        <x:v>0.001535954173040082</x:v>
      </x:c>
      <x:c r="G254" s="90" t="n">
        <x:f>$B$8*'Transformaciones'!G246</x:f>
        <x:v>0.0015094642256298632</x:v>
      </x:c>
      <x:c r="H254" s="90" t="n">
        <x:f>$B$9*'Transformaciones'!I246</x:f>
        <x:v>-0.0015854160348581757</x:v>
      </x:c>
      <x:c r="I254" s="90" t="n">
        <x:f>$B$10*'Transformaciones'!K246</x:f>
        <x:v>-0.0010280298124648302</x:v>
      </x:c>
      <x:c r="J254" s="90" t="n">
        <x:f>$B$13*'Transformaciones'!P247</x:f>
        <x:v>0</x:v>
      </x:c>
      <x:c r="K254" s="101" t="n">
        <x:f>SUM(C254:J254)</x:f>
        <x:v>-0.012998523883316834</x:v>
      </x:c>
      <x:c r="L254" s="101" t="n">
        <x:f>B254-K254</x:f>
        <x:v>-0.010612752642760584</x:v>
      </x:c>
      <x:c r="M254" s="86" t="n">
        <x:f>'Datos_fuente'!B247</x:f>
        <x:v>3702.999032</x:v>
      </x:c>
      <x:c r="N254" s="86" t="n">
        <x:f>EXP('Transformaciones'!B246+K254)</x:f>
        <x:v>3742.5073197865886</x:v>
      </x:c>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t="str">
        <x:f>'Transformaciones'!A248</x:f>
        <x:v>2026-02</x:v>
      </x:c>
      <x:c r="B255" s="90" t="n">
        <x:f>'Transformaciones'!C248</x:f>
        <x:v>-0.0074153845836448795</x:v>
      </x:c>
      <x:c r="C255" s="90" t="n">
        <x:f>$B$6</x:f>
        <x:v>-0.00045209606279242174</x:v>
      </x:c>
      <x:c r="D255" s="90" t="n">
        <x:f>$B$7*'Transformaciones'!E248</x:f>
        <x:v>-0.003222844453976377</x:v>
      </x:c>
      <x:c r="E255" s="90" t="n">
        <x:f>$B$11*'Transformaciones'!M248</x:f>
        <x:v>-0.013565618886356953</x:v>
      </x:c>
      <x:c r="F255" s="90" t="n">
        <x:f>$B$12*'Transformaciones'!O248</x:f>
        <x:v>0.006625162222620575</x:v>
      </x:c>
      <x:c r="G255" s="90" t="n">
        <x:f>$B$8*'Transformaciones'!G247</x:f>
        <x:v>0.0002096603912959502</x:v>
      </x:c>
      <x:c r="H255" s="90" t="n">
        <x:f>$B$9*'Transformaciones'!I247</x:f>
        <x:v>-0.0007927080174290878</x:v>
      </x:c>
      <x:c r="I255" s="90" t="n">
        <x:f>$B$10*'Transformaciones'!K247</x:f>
        <x:v>-0.00370524770949493</x:v>
      </x:c>
      <x:c r="J255" s="90" t="n">
        <x:f>$B$13*'Transformaciones'!P248</x:f>
        <x:v>0</x:v>
      </x:c>
      <x:c r="K255" s="101" t="n">
        <x:f>SUM(C255:J255)</x:f>
        <x:v>-0.014903692516133242</x:v>
      </x:c>
      <x:c r="L255" s="101" t="n">
        <x:f>B255-K255</x:f>
        <x:v>0.007488307932488362</x:v>
      </x:c>
      <x:c r="M255" s="86" t="n">
        <x:f>'Datos_fuente'!B248</x:f>
        <x:v>3675.641429</x:v>
      </x:c>
      <x:c r="N255" s="86" t="n">
        <x:f>EXP('Transformaciones'!B247+K255)</x:f>
        <x:v>3648.2198927219238</x:v>
      </x:c>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t="str">
        <x:f>'Transformaciones'!A249</x:f>
        <x:v>2026-03</x:v>
      </x:c>
      <x:c r="B256" s="90" t="n">
        <x:f>'Transformaciones'!C249</x:f>
        <x:v>0.011339188889921914</x:v>
      </x:c>
      <x:c r="C256" s="90" t="n">
        <x:f>$B$6</x:f>
        <x:v>-0.00045209606279242174</x:v>
      </x:c>
      <x:c r="D256" s="90" t="n">
        <x:f>$B$7*'Transformaciones'!E249</x:f>
        <x:v>-0.019381881085134882</x:v>
      </x:c>
      <x:c r="E256" s="90" t="n">
        <x:f>$B$11*'Transformaciones'!M249</x:f>
        <x:v>0.02057729866525692</x:v>
      </x:c>
      <x:c r="F256" s="90" t="n">
        <x:f>$B$12*'Transformaciones'!O249</x:f>
        <x:v>0.011090737377183864</x:v>
      </x:c>
      <x:c r="G256" s="90" t="n">
        <x:f>$B$8*'Transformaciones'!G248</x:f>
        <x:v>0.0013907527719191355</x:v>
      </x:c>
      <x:c r="H256" s="90" t="n">
        <x:f>$B$9*'Transformaciones'!I248</x:f>
        <x:v>-0.009554962707251645</x:v>
      </x:c>
      <x:c r="I256" s="90" t="n">
        <x:f>$B$10*'Transformaciones'!K248</x:f>
        <x:v>0.0022675417389529757</x:v>
      </x:c>
      <x:c r="J256" s="90" t="n">
        <x:f>$B$13*'Transformaciones'!P249</x:f>
        <x:v>0</x:v>
      </x:c>
      <x:c r="K256" s="101" t="n">
        <x:f>SUM(C256:J256)</x:f>
        <x:v>0.005937390698133945</x:v>
      </x:c>
      <x:c r="L256" s="101" t="n">
        <x:f>B256-K256</x:f>
        <x:v>0.005401798191787969</x:v>
      </x:c>
      <x:c r="M256" s="86" t="n">
        <x:f>'Datos_fuente'!B249</x:f>
        <x:v>3717.557419</x:v>
      </x:c>
      <x:c r="N256" s="86" t="n">
        <x:f>EXP('Transformaciones'!B248+K256)</x:f>
        <x:v>3697.5300646183905</x:v>
      </x:c>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t="str">
        <x:f>'Transformaciones'!A250</x:f>
        <x:v>2026-04</x:v>
      </x:c>
      <x:c r="B257" s="90" t="n">
        <x:f>'Transformaciones'!C250</x:f>
        <x:v>-0.027278505124357366</x:v>
      </x:c>
      <x:c r="C257" s="90" t="n">
        <x:f>$B$6</x:f>
        <x:v>-0.00045209606279242174</x:v>
      </x:c>
      <x:c r="D257" s="90" t="n">
        <x:f>$B$7*'Transformaciones'!E250</x:f>
        <x:v>-0.006647305159107783</x:v>
      </x:c>
      <x:c r="E257" s="90" t="n">
        <x:f>$B$11*'Transformaciones'!M250</x:f>
        <x:v>-0.008985074210400979</x:v>
      </x:c>
      <x:c r="F257" s="90" t="n">
        <x:f>$B$12*'Transformaciones'!O250</x:f>
        <x:v>-0.009893272179569307</x:v>
      </x:c>
      <x:c r="G257" s="90" t="n">
        <x:f>$B$8*'Transformaciones'!G249</x:f>
        <x:v>0.0027063203596728413</x:v>
      </x:c>
      <x:c r="H257" s="90" t="n">
        <x:f>$B$9*'Transformaciones'!I249</x:f>
        <x:v>-0.000353887510611944</x:v>
      </x:c>
      <x:c r="I257" s="90" t="n">
        <x:f>$B$10*'Transformaciones'!K249</x:f>
        <x:v>-0.001119487160650609</x:v>
      </x:c>
      <x:c r="J257" s="90" t="n">
        <x:f>$B$13*'Transformaciones'!P250</x:f>
        <x:v>0</x:v>
      </x:c>
      <x:c r="K257" s="101" t="n">
        <x:f>SUM(C257:J257)</x:f>
        <x:v>-0.024744801923460197</x:v>
      </x:c>
      <x:c r="L257" s="101" t="n">
        <x:f>B257-K257</x:f>
        <x:v>-0.0025337032008971687</x:v>
      </x:c>
      <x:c r="M257" s="86" t="n">
        <x:f>'Datos_fuente'!B250</x:f>
        <x:v>3617.518667</x:v>
      </x:c>
      <x:c r="N257" s="86" t="n">
        <x:f>EXP('Transformaciones'!B249+K257)</x:f>
        <x:v>3626.6960070441955</x:v>
      </x:c>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W1"/>
    <x:mergeCell ref="A2:W3"/>
  </x:mergeCells>
  <x:conditionalFormatting sqref="E6:E13">
    <x:cfRule type="cellIs" dxfId="1" priority="1" operator="lessThan">
      <x:formula>0.05</x:formula>
    </x:cfRule>
  </x:conditionalFormatting>
  <x:pageMargins left="0.7" right="0.7" top="0.75" bottom="0.75" header="0.3" footer="0.3"/>
  <x:drawing xmlns:r="http://schemas.openxmlformats.org/officeDocument/2006/relationships" r:id="Rf0779f33928c437c"/>
  <x:tableParts count="2">
    <x:tablePart xmlns:r="http://schemas.openxmlformats.org/officeDocument/2006/relationships" r:id="R133bab3f9d864356"/>
    <x:tablePart xmlns:r="http://schemas.openxmlformats.org/officeDocument/2006/relationships" r:id="R1c47dfa3bf234e0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s>
  <x:sheetData>
    <x:row r="1" ht="30" customHeight="1">
      <x:c r="A1" s="4" t="str">
        <x:v>Modelo ampliado: nuevos canales domésticos y regionales</x:v>
      </x:c>
      <x:c r="B1" s="4" t="str">
        <x:v>Modelo ampliado: nuevos canales domésticos y regionales</x:v>
      </x:c>
      <x:c r="C1" s="4" t="str">
        <x:v>Modelo ampliado: nuevos canales domésticos y regionales</x:v>
      </x:c>
      <x:c r="D1" s="4" t="str">
        <x:v>Modelo ampliado: nuevos canales domésticos y regionales</x:v>
      </x:c>
      <x:c r="E1" s="4" t="str">
        <x:v>Modelo ampliado: nuevos canales domésticos y regionales</x:v>
      </x:c>
      <x:c r="F1" s="4" t="str">
        <x:v>Modelo ampliado: nuevos canales domésticos y regionales</x:v>
      </x:c>
      <x:c r="G1" s="4" t="str">
        <x:v>Modelo ampliado: nuevos canales domésticos y regionales</x:v>
      </x:c>
      <x:c r="H1" s="4" t="str">
        <x:v>Modelo ampliado: nuevos canales domésticos y regionales</x:v>
      </x:c>
      <x:c r="I1" s="4" t="str">
        <x:v>Modelo ampliado: nuevos canales domésticos y regionales</x:v>
      </x:c>
      <x:c r="J1" s="4" t="str">
        <x:v>Modelo ampliado: nuevos canales domésticos y regionales</x:v>
      </x:c>
      <x:c r="K1" s="4" t="str">
        <x:v>Modelo ampliado: nuevos canales domésticos y regionales</x:v>
      </x:c>
      <x:c r="L1" s="4" t="str">
        <x:v>Modelo ampliado: nuevos canales domésticos y regionales</x:v>
      </x:c>
      <x:c r="M1" s="4" t="str">
        <x:v>Modelo ampliado: nuevos canales domésticos y regionales</x:v>
      </x:c>
      <x:c r="N1" s="4" t="str">
        <x:v>Modelo ampliado: nuevos canales domésticos y regionales</x:v>
      </x:c>
      <x:c r="O1" s="4" t="str">
        <x:v>Modelo ampliado: nuevos canales domésticos y regionales</x:v>
      </x:c>
      <x:c r="P1" s="4" t="str">
        <x:v>Modelo ampliado: nuevos canales domésticos y regionales</x:v>
      </x:c>
      <x:c r="Q1" s="4" t="str">
        <x:v>Modelo ampliado: nuevos canales domésticos y regionales</x:v>
      </x:c>
      <x:c r="R1" s="4" t="str">
        <x:v>Modelo ampliado: nuevos canales domésticos y regionales</x:v>
      </x:c>
      <x:c r="S1" s="4" t="str">
        <x:v>Modelo ampliado: nuevos canales domésticos y regionales</x:v>
      </x:c>
      <x:c r="T1" s="4" t="str">
        <x:v>Modelo ampliado: nuevos canales domésticos y regionales</x:v>
      </x:c>
      <x:c r="U1" s="4" t="str">
        <x:v>Modelo ampliado: nuevos canales domésticos y regionales</x:v>
      </x:c>
      <x:c r="V1" s="4" t="str">
        <x:v>Modelo ampliado: nuevos canales domésticos y regionales</x:v>
      </x:c>
      <x:c r="W1" s="4" t="str">
        <x:v>Modelo ampliado: nuevos canales domésticos y regionales</x:v>
      </x:c>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Extiende el modelo principal con una prima local amplia, reservas, balanza comercial cambiaria, flujos de capital, diferencial de inflación y un factor de monedas regionales. Los coeficientes y pesos describen asociaciones; no identifican efectos causales.</x:v>
      </x:c>
      <x:c r="B2" s="7" t="str">
        <x:v>Extiende el modelo principal con una prima local amplia, reservas, balanza comercial cambiaria, flujos de capital, diferencial de inflación y un factor de monedas regionales. Los coeficientes y pesos describen asociaciones; no identifican efectos causales.</x:v>
      </x:c>
      <x:c r="C2" s="7" t="str">
        <x:v>Extiende el modelo principal con una prima local amplia, reservas, balanza comercial cambiaria, flujos de capital, diferencial de inflación y un factor de monedas regionales. Los coeficientes y pesos describen asociaciones; no identifican efectos causales.</x:v>
      </x:c>
      <x:c r="D2" s="7" t="str">
        <x:v>Extiende el modelo principal con una prima local amplia, reservas, balanza comercial cambiaria, flujos de capital, diferencial de inflación y un factor de monedas regionales. Los coeficientes y pesos describen asociaciones; no identifican efectos causales.</x:v>
      </x:c>
      <x:c r="E2" s="7" t="str">
        <x:v>Extiende el modelo principal con una prima local amplia, reservas, balanza comercial cambiaria, flujos de capital, diferencial de inflación y un factor de monedas regionales. Los coeficientes y pesos describen asociaciones; no identifican efectos causales.</x:v>
      </x:c>
      <x:c r="F2" s="7" t="str">
        <x:v>Extiende el modelo principal con una prima local amplia, reservas, balanza comercial cambiaria, flujos de capital, diferencial de inflación y un factor de monedas regionales. Los coeficientes y pesos describen asociaciones; no identifican efectos causales.</x:v>
      </x:c>
      <x:c r="G2" s="7" t="str">
        <x:v>Extiende el modelo principal con una prima local amplia, reservas, balanza comercial cambiaria, flujos de capital, diferencial de inflación y un factor de monedas regionales. Los coeficientes y pesos describen asociaciones; no identifican efectos causales.</x:v>
      </x:c>
      <x:c r="H2" s="7" t="str">
        <x:v>Extiende el modelo principal con una prima local amplia, reservas, balanza comercial cambiaria, flujos de capital, diferencial de inflación y un factor de monedas regionales. Los coeficientes y pesos describen asociaciones; no identifican efectos causales.</x:v>
      </x:c>
      <x:c r="I2" s="7" t="str">
        <x:v>Extiende el modelo principal con una prima local amplia, reservas, balanza comercial cambiaria, flujos de capital, diferencial de inflación y un factor de monedas regionales. Los coeficientes y pesos describen asociaciones; no identifican efectos causales.</x:v>
      </x:c>
      <x:c r="J2" s="7" t="str">
        <x:v>Extiende el modelo principal con una prima local amplia, reservas, balanza comercial cambiaria, flujos de capital, diferencial de inflación y un factor de monedas regionales. Los coeficientes y pesos describen asociaciones; no identifican efectos causales.</x:v>
      </x:c>
      <x:c r="K2" s="7" t="str">
        <x:v>Extiende el modelo principal con una prima local amplia, reservas, balanza comercial cambiaria, flujos de capital, diferencial de inflación y un factor de monedas regionales. Los coeficientes y pesos describen asociaciones; no identifican efectos causales.</x:v>
      </x:c>
      <x:c r="L2" s="7" t="str">
        <x:v>Extiende el modelo principal con una prima local amplia, reservas, balanza comercial cambiaria, flujos de capital, diferencial de inflación y un factor de monedas regionales. Los coeficientes y pesos describen asociaciones; no identifican efectos causales.</x:v>
      </x:c>
      <x:c r="M2" s="7" t="str">
        <x:v>Extiende el modelo principal con una prima local amplia, reservas, balanza comercial cambiaria, flujos de capital, diferencial de inflación y un factor de monedas regionales. Los coeficientes y pesos describen asociaciones; no identifican efectos causales.</x:v>
      </x:c>
      <x:c r="N2" s="7" t="str">
        <x:v>Extiende el modelo principal con una prima local amplia, reservas, balanza comercial cambiaria, flujos de capital, diferencial de inflación y un factor de monedas regionales. Los coeficientes y pesos describen asociaciones; no identifican efectos causales.</x:v>
      </x:c>
      <x:c r="O2" s="7" t="str">
        <x:v>Extiende el modelo principal con una prima local amplia, reservas, balanza comercial cambiaria, flujos de capital, diferencial de inflación y un factor de monedas regionales. Los coeficientes y pesos describen asociaciones; no identifican efectos causales.</x:v>
      </x:c>
      <x:c r="P2" s="7" t="str">
        <x:v>Extiende el modelo principal con una prima local amplia, reservas, balanza comercial cambiaria, flujos de capital, diferencial de inflación y un factor de monedas regionales. Los coeficientes y pesos describen asociaciones; no identifican efectos causales.</x:v>
      </x:c>
      <x:c r="Q2" s="7" t="str">
        <x:v>Extiende el modelo principal con una prima local amplia, reservas, balanza comercial cambiaria, flujos de capital, diferencial de inflación y un factor de monedas regionales. Los coeficientes y pesos describen asociaciones; no identifican efectos causales.</x:v>
      </x:c>
      <x:c r="R2" s="7" t="str">
        <x:v>Extiende el modelo principal con una prima local amplia, reservas, balanza comercial cambiaria, flujos de capital, diferencial de inflación y un factor de monedas regionales. Los coeficientes y pesos describen asociaciones; no identifican efectos causales.</x:v>
      </x:c>
      <x:c r="S2" s="7" t="str">
        <x:v>Extiende el modelo principal con una prima local amplia, reservas, balanza comercial cambiaria, flujos de capital, diferencial de inflación y un factor de monedas regionales. Los coeficientes y pesos describen asociaciones; no identifican efectos causales.</x:v>
      </x:c>
      <x:c r="T2" s="7" t="str">
        <x:v>Extiende el modelo principal con una prima local amplia, reservas, balanza comercial cambiaria, flujos de capital, diferencial de inflación y un factor de monedas regionales. Los coeficientes y pesos describen asociaciones; no identifican efectos causales.</x:v>
      </x:c>
      <x:c r="U2" s="7" t="str">
        <x:v>Extiende el modelo principal con una prima local amplia, reservas, balanza comercial cambiaria, flujos de capital, diferencial de inflación y un factor de monedas regionales. Los coeficientes y pesos describen asociaciones; no identifican efectos causales.</x:v>
      </x:c>
      <x:c r="V2" s="7" t="str">
        <x:v>Extiende el modelo principal con una prima local amplia, reservas, balanza comercial cambiaria, flujos de capital, diferencial de inflación y un factor de monedas regionales. Los coeficientes y pesos describen asociaciones; no identifican efectos causales.</x:v>
      </x:c>
      <x:c r="W2" s="7" t="str">
        <x:v>Extiende el modelo principal con una prima local amplia, reservas, balanza comercial cambiaria, flujos de capital, diferencial de inflación y un factor de monedas regionales. Los coeficientes y pesos describen asociaciones; no identifican efectos causales.</x:v>
      </x:c>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Extiende el modelo principal con una prima local amplia, reservas, balanza comercial cambiaria, flujos de capital, diferencial de inflación y un factor de monedas regionales. Los coeficientes y pesos describen asociaciones; no identifican efectos causales.</x:v>
      </x:c>
      <x:c r="B3" s="7" t="str">
        <x:v>Extiende el modelo principal con una prima local amplia, reservas, balanza comercial cambiaria, flujos de capital, diferencial de inflación y un factor de monedas regionales. Los coeficientes y pesos describen asociaciones; no identifican efectos causales.</x:v>
      </x:c>
      <x:c r="C3" s="7" t="str">
        <x:v>Extiende el modelo principal con una prima local amplia, reservas, balanza comercial cambiaria, flujos de capital, diferencial de inflación y un factor de monedas regionales. Los coeficientes y pesos describen asociaciones; no identifican efectos causales.</x:v>
      </x:c>
      <x:c r="D3" s="7" t="str">
        <x:v>Extiende el modelo principal con una prima local amplia, reservas, balanza comercial cambiaria, flujos de capital, diferencial de inflación y un factor de monedas regionales. Los coeficientes y pesos describen asociaciones; no identifican efectos causales.</x:v>
      </x:c>
      <x:c r="E3" s="7" t="str">
        <x:v>Extiende el modelo principal con una prima local amplia, reservas, balanza comercial cambiaria, flujos de capital, diferencial de inflación y un factor de monedas regionales. Los coeficientes y pesos describen asociaciones; no identifican efectos causales.</x:v>
      </x:c>
      <x:c r="F3" s="7" t="str">
        <x:v>Extiende el modelo principal con una prima local amplia, reservas, balanza comercial cambiaria, flujos de capital, diferencial de inflación y un factor de monedas regionales. Los coeficientes y pesos describen asociaciones; no identifican efectos causales.</x:v>
      </x:c>
      <x:c r="G3" s="7" t="str">
        <x:v>Extiende el modelo principal con una prima local amplia, reservas, balanza comercial cambiaria, flujos de capital, diferencial de inflación y un factor de monedas regionales. Los coeficientes y pesos describen asociaciones; no identifican efectos causales.</x:v>
      </x:c>
      <x:c r="H3" s="7" t="str">
        <x:v>Extiende el modelo principal con una prima local amplia, reservas, balanza comercial cambiaria, flujos de capital, diferencial de inflación y un factor de monedas regionales. Los coeficientes y pesos describen asociaciones; no identifican efectos causales.</x:v>
      </x:c>
      <x:c r="I3" s="7" t="str">
        <x:v>Extiende el modelo principal con una prima local amplia, reservas, balanza comercial cambiaria, flujos de capital, diferencial de inflación y un factor de monedas regionales. Los coeficientes y pesos describen asociaciones; no identifican efectos causales.</x:v>
      </x:c>
      <x:c r="J3" s="7" t="str">
        <x:v>Extiende el modelo principal con una prima local amplia, reservas, balanza comercial cambiaria, flujos de capital, diferencial de inflación y un factor de monedas regionales. Los coeficientes y pesos describen asociaciones; no identifican efectos causales.</x:v>
      </x:c>
      <x:c r="K3" s="7" t="str">
        <x:v>Extiende el modelo principal con una prima local amplia, reservas, balanza comercial cambiaria, flujos de capital, diferencial de inflación y un factor de monedas regionales. Los coeficientes y pesos describen asociaciones; no identifican efectos causales.</x:v>
      </x:c>
      <x:c r="L3" s="7" t="str">
        <x:v>Extiende el modelo principal con una prima local amplia, reservas, balanza comercial cambiaria, flujos de capital, diferencial de inflación y un factor de monedas regionales. Los coeficientes y pesos describen asociaciones; no identifican efectos causales.</x:v>
      </x:c>
      <x:c r="M3" s="7" t="str">
        <x:v>Extiende el modelo principal con una prima local amplia, reservas, balanza comercial cambiaria, flujos de capital, diferencial de inflación y un factor de monedas regionales. Los coeficientes y pesos describen asociaciones; no identifican efectos causales.</x:v>
      </x:c>
      <x:c r="N3" s="7" t="str">
        <x:v>Extiende el modelo principal con una prima local amplia, reservas, balanza comercial cambiaria, flujos de capital, diferencial de inflación y un factor de monedas regionales. Los coeficientes y pesos describen asociaciones; no identifican efectos causales.</x:v>
      </x:c>
      <x:c r="O3" s="7" t="str">
        <x:v>Extiende el modelo principal con una prima local amplia, reservas, balanza comercial cambiaria, flujos de capital, diferencial de inflación y un factor de monedas regionales. Los coeficientes y pesos describen asociaciones; no identifican efectos causales.</x:v>
      </x:c>
      <x:c r="P3" s="7" t="str">
        <x:v>Extiende el modelo principal con una prima local amplia, reservas, balanza comercial cambiaria, flujos de capital, diferencial de inflación y un factor de monedas regionales. Los coeficientes y pesos describen asociaciones; no identifican efectos causales.</x:v>
      </x:c>
      <x:c r="Q3" s="7" t="str">
        <x:v>Extiende el modelo principal con una prima local amplia, reservas, balanza comercial cambiaria, flujos de capital, diferencial de inflación y un factor de monedas regionales. Los coeficientes y pesos describen asociaciones; no identifican efectos causales.</x:v>
      </x:c>
      <x:c r="R3" s="7" t="str">
        <x:v>Extiende el modelo principal con una prima local amplia, reservas, balanza comercial cambiaria, flujos de capital, diferencial de inflación y un factor de monedas regionales. Los coeficientes y pesos describen asociaciones; no identifican efectos causales.</x:v>
      </x:c>
      <x:c r="S3" s="7" t="str">
        <x:v>Extiende el modelo principal con una prima local amplia, reservas, balanza comercial cambiaria, flujos de capital, diferencial de inflación y un factor de monedas regionales. Los coeficientes y pesos describen asociaciones; no identifican efectos causales.</x:v>
      </x:c>
      <x:c r="T3" s="7" t="str">
        <x:v>Extiende el modelo principal con una prima local amplia, reservas, balanza comercial cambiaria, flujos de capital, diferencial de inflación y un factor de monedas regionales. Los coeficientes y pesos describen asociaciones; no identifican efectos causales.</x:v>
      </x:c>
      <x:c r="U3" s="7" t="str">
        <x:v>Extiende el modelo principal con una prima local amplia, reservas, balanza comercial cambiaria, flujos de capital, diferencial de inflación y un factor de monedas regionales. Los coeficientes y pesos describen asociaciones; no identifican efectos causales.</x:v>
      </x:c>
      <x:c r="V3" s="7" t="str">
        <x:v>Extiende el modelo principal con una prima local amplia, reservas, balanza comercial cambiaria, flujos de capital, diferencial de inflación y un factor de monedas regionales. Los coeficientes y pesos describen asociaciones; no identifican efectos causales.</x:v>
      </x:c>
      <x:c r="W3" s="7" t="str">
        <x:v>Extiende el modelo principal con una prima local amplia, reservas, balanza comercial cambiaria, flujos de capital, diferencial de inflación y un factor de monedas regionales. Los coeficientes y pesos describen asociaciones; no identifican efectos causales.</x:v>
      </x:c>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54" t="str">
        <x:v>Variable</x:v>
      </x:c>
      <x:c r="B5" s="54" t="str">
        <x:v>Coeficiente</x:v>
      </x:c>
      <x:c r="C5" s="54" t="str">
        <x:v>EE HAC</x:v>
      </x:c>
      <x:c r="D5" s="54" t="str">
        <x:v>t</x:v>
      </x:c>
      <x:c r="E5" s="54" t="str">
        <x:v>p-valor</x:v>
      </x:c>
      <x:c r="F5" s="54" t="str">
        <x:v>IC 95% inferior</x:v>
      </x:c>
      <x:c r="G5" s="54" t="str">
        <x:v>IC 95% superior</x:v>
      </x:c>
      <x:c r="H5" s="56"/>
      <x:c r="I5" s="58" t="str">
        <x:v>Indicador</x:v>
      </x:c>
      <x:c r="J5" s="58" t="str">
        <x:v>Valor</x:v>
      </x:c>
      <x:c r="K5" s="58" t="str">
        <x:v>Lectura</x:v>
      </x:c>
      <x:c r="L5" s="58" t="str">
        <x:v>Indicador</x:v>
      </x:c>
      <x:c r="M5" s="58" t="str">
        <x:v>Valor</x:v>
      </x:c>
      <x:c r="N5" s="58" t="str">
        <x:v>Lectura</x:v>
      </x:c>
      <x:c r="O5" s="56"/>
      <x:c r="P5" s="56"/>
      <x:c r="Q5" s="56"/>
      <x:c r="R5" s="56"/>
      <x:c r="S5" s="56"/>
      <x:c r="T5" s="56"/>
      <x:c r="U5" s="56"/>
      <x:c r="V5" s="56"/>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56" t="str">
        <x:v>Intercepto</x:v>
      </x:c>
      <x:c r="B6" s="102" t="n">
        <x:v>0.0036109531956773125</x:v>
      </x:c>
      <x:c r="C6" s="102" t="n">
        <x:v>0.0022216455434391925</x:v>
      </x:c>
      <x:c r="D6" s="102" t="n">
        <x:v>1.6253507254300426</x:v>
      </x:c>
      <x:c r="E6" s="102" t="n">
        <x:v>0.1054815223562928</x:v>
      </x:c>
      <x:c r="F6" s="102" t="n">
        <x:v>-0.000766835433154272</x:v>
      </x:c>
      <x:c r="G6" s="102" t="n">
        <x:v>0.007988741824508898</x:v>
      </x:c>
      <x:c r="H6" s="56"/>
      <x:c r="I6" s="59" t="str">
        <x:v>R²</x:v>
      </x:c>
      <x:c r="J6" s="99" t="n">
        <x:v>0.5951927947559785</x:v>
      </x:c>
      <x:c r="K6" s="59" t="str">
        <x:v>Variación explicada dentro de muestra</x:v>
      </x:c>
      <x:c r="L6" s="59" t="str">
        <x:v>AIC</x:v>
      </x:c>
      <x:c r="M6" s="100" t="n">
        <x:v>-1144.6374282863587</x:v>
      </x:c>
      <x:c r="N6" s="59" t="str">
        <x:v>Comparación relativa</x:v>
      </x:c>
      <x:c r="O6" s="56"/>
      <x:c r="P6" s="56"/>
      <x:c r="Q6" s="56"/>
      <x:c r="R6" s="56"/>
      <x:c r="S6" s="56"/>
      <x:c r="T6" s="56"/>
      <x:c r="U6" s="56"/>
      <x:c r="V6" s="56"/>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56" t="str">
        <x:v>Δ ln Brent (t)</x:v>
      </x:c>
      <x:c r="B7" s="102" t="n">
        <x:v>-0.037808835665688635</x:v>
      </x:c>
      <x:c r="C7" s="102" t="n">
        <x:v>0.018759403049483724</x:v>
      </x:c>
      <x:c r="D7" s="102" t="n">
        <x:v>-2.0154604901849034</x:v>
      </x:c>
      <x:c r="E7" s="102" t="n">
        <x:v>0.04504048230447384</x:v>
      </x:c>
      <x:c r="F7" s="102" t="n">
        <x:v>-0.07477454407773632</x:v>
      </x:c>
      <x:c r="G7" s="102" t="n">
        <x:v>-0.0008431272536409545</x:v>
      </x:c>
      <x:c r="H7" s="56"/>
      <x:c r="I7" s="59" t="str">
        <x:v>R² ajustado</x:v>
      </x:c>
      <x:c r="J7" s="99" t="n">
        <x:v>0.5719074245428268</x:v>
      </x:c>
      <x:c r="K7" s="59" t="str">
        <x:v>Penaliza el número de parámetros</x:v>
      </x:c>
      <x:c r="L7" s="59" t="str">
        <x:v>BIC</x:v>
      </x:c>
      <x:c r="M7" s="100" t="n">
        <x:v>-1095.908483359571</x:v>
      </x:c>
      <x:c r="N7" s="59" t="str">
        <x:v>Comparación relativa</x:v>
      </x:c>
      <x:c r="O7" s="56"/>
      <x:c r="P7" s="56"/>
      <x:c r="Q7" s="56"/>
      <x:c r="R7" s="56"/>
      <x:c r="S7" s="56"/>
      <x:c r="T7" s="56"/>
      <x:c r="U7" s="56"/>
      <x:c r="V7" s="56"/>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56" t="str">
        <x:v>Δ ln remesas 12m (t−1)</x:v>
      </x:c>
      <x:c r="B8" s="102" t="n">
        <x:v>0.06305760706554953</x:v>
      </x:c>
      <x:c r="C8" s="102" t="n">
        <x:v>0.11186251978252917</x:v>
      </x:c>
      <x:c r="D8" s="102" t="n">
        <x:v>0.5637062993765848</x:v>
      </x:c>
      <x:c r="E8" s="102" t="n">
        <x:v>0.5735129418271405</x:v>
      </x:c>
      <x:c r="F8" s="102" t="n">
        <x:v>-0.1573693051133905</x:v>
      </x:c>
      <x:c r="G8" s="102" t="n">
        <x:v>0.2834845192444896</x:v>
      </x:c>
      <x:c r="H8" s="56"/>
      <x:c r="I8" s="59" t="str">
        <x:v>Observaciones</x:v>
      </x:c>
      <x:c r="J8" s="59" t="n">
        <x:v>240</x:v>
      </x:c>
      <x:c r="K8" s="59" t="str">
        <x:v>Muestra común completa</x:v>
      </x:c>
      <x:c r="L8" s="59" t="str">
        <x:v>MAPE condicional</x:v>
      </x:c>
      <x:c r="M8" s="99" t="n">
        <x:v>0.017703823757030515</x:v>
      </x:c>
      <x:c r="N8" s="59" t="str">
        <x:v>Ventana de validación</x:v>
      </x:c>
      <x:c r="O8" s="56"/>
      <x:c r="P8" s="56"/>
      <x:c r="Q8" s="56"/>
      <x:c r="R8" s="56"/>
      <x:c r="S8" s="56"/>
      <x:c r="T8" s="56"/>
      <x:c r="U8" s="56"/>
      <x:c r="V8" s="56"/>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56" t="str">
        <x:v>Δ diferencial tasas (t−1)</x:v>
      </x:c>
      <x:c r="B9" s="102" t="n">
        <x:v>-0.009931365129265068</x:v>
      </x:c>
      <x:c r="C9" s="102" t="n">
        <x:v>0.005538662529091094</x:v>
      </x:c>
      <x:c r="D9" s="102" t="n">
        <x:v>-1.7930980768555376</x:v>
      </x:c>
      <x:c r="E9" s="102" t="n">
        <x:v>0.07429436878785568</x:v>
      </x:c>
      <x:c r="F9" s="102" t="n">
        <x:v>-0.020845389605579658</x:v>
      </x:c>
      <x:c r="G9" s="102" t="n">
        <x:v>0.0009826593470495214</x:v>
      </x:c>
      <x:c r="H9" s="56"/>
      <x:c r="I9" s="59" t="str">
        <x:v>Acierto dirección</x:v>
      </x:c>
      <x:c r="J9" s="99" t="n">
        <x:v>0.7291666666666665</x:v>
      </x:c>
      <x:c r="K9" s="59" t="str">
        <x:v>Signo del cambio mensual</x:v>
      </x:c>
      <x:c r="L9" s="59" t="str">
        <x:v>Inferencia</x:v>
      </x:c>
      <x:c r="M9" s="59" t="str">
        <x:v>HAC</x:v>
      </x:c>
      <x:c r="N9" s="59" t="str">
        <x:v>Errores robustos</x:v>
      </x:c>
      <x:c r="O9" s="56"/>
      <x:c r="P9" s="56"/>
      <x:c r="Q9" s="56"/>
      <x:c r="R9" s="56"/>
      <x:c r="S9" s="56"/>
      <x:c r="T9" s="56"/>
      <x:c r="U9" s="56"/>
      <x:c r="V9" s="56"/>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56" t="str">
        <x:v>Δ déficit fiscal 12m/PIB (t−1)</x:v>
      </x:c>
      <x:c r="B10" s="102" t="n">
        <x:v>0.0009331866051049488</x:v>
      </x:c>
      <x:c r="C10" s="102" t="n">
        <x:v>0.0031811704295191417</x:v>
      </x:c>
      <x:c r="D10" s="102" t="n">
        <x:v>0.2933469381098224</x:v>
      </x:c>
      <x:c r="E10" s="102" t="n">
        <x:v>0.7695261701118973</x:v>
      </x:c>
      <x:c r="F10" s="102" t="n">
        <x:v>-0.005335361397005884</x:v>
      </x:c>
      <x:c r="G10" s="102" t="n">
        <x:v>0.0072017346072157816</x:v>
      </x:c>
      <x:c r="H10" s="56"/>
      <x:c r="I10" s="56"/>
      <x:c r="J10" s="56"/>
      <x:c r="K10" s="56"/>
      <x:c r="L10" s="56"/>
      <x:c r="M10" s="56"/>
      <x:c r="N10" s="56"/>
      <x:c r="O10" s="56"/>
      <x:c r="P10" s="56"/>
      <x:c r="Q10" s="56"/>
      <x:c r="R10" s="56"/>
      <x:c r="S10" s="56"/>
      <x:c r="T10" s="56"/>
      <x:c r="U10" s="56"/>
      <x:c r="V10" s="56"/>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56" t="str">
        <x:v>Δ ln índice dólar amplio (t)</x:v>
      </x:c>
      <x:c r="B11" s="102" t="n">
        <x:v>0.6265971943953748</x:v>
      </x:c>
      <x:c r="C11" s="102" t="n">
        <x:v>0.270453953848284</x:v>
      </x:c>
      <x:c r="D11" s="102" t="n">
        <x:v>2.3168350304350724</x:v>
      </x:c>
      <x:c r="E11" s="102" t="n">
        <x:v>0.021407971339150716</x:v>
      </x:c>
      <x:c r="F11" s="102" t="n">
        <x:v>0.09366328543944935</x:v>
      </x:c>
      <x:c r="G11" s="102" t="n">
        <x:v>1.1595311033513003</x:v>
      </x:c>
      <x:c r="H11" s="56"/>
      <x:c r="I11" s="56"/>
      <x:c r="J11" s="56"/>
      <x:c r="K11" s="56"/>
      <x:c r="L11" s="56"/>
      <x:c r="M11" s="56"/>
      <x:c r="N11" s="56"/>
      <x:c r="O11" s="56"/>
      <x:c r="P11" s="56"/>
      <x:c r="Q11" s="56"/>
      <x:c r="R11" s="56"/>
      <x:c r="S11" s="56"/>
      <x:c r="T11" s="56"/>
      <x:c r="U11" s="56"/>
      <x:c r="V11" s="56"/>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ht="22" customHeight="1">
      <x:c r="A12" s="56" t="str">
        <x:v>Δ ln VIX (t)</x:v>
      </x:c>
      <x:c r="B12" s="102" t="n">
        <x:v>0.01698194632571167</x:v>
      </x:c>
      <x:c r="C12" s="102" t="n">
        <x:v>0.009198471730163593</x:v>
      </x:c>
      <x:c r="D12" s="102" t="n">
        <x:v>1.8461704100284984</x:v>
      </x:c>
      <x:c r="E12" s="102" t="n">
        <x:v>0.06617518399267365</x:v>
      </x:c>
      <x:c r="F12" s="102" t="n">
        <x:v>-0.0011437916264375562</x:v>
      </x:c>
      <x:c r="G12" s="102" t="n">
        <x:v>0.0351076842778609</x:v>
      </x:c>
      <x:c r="H12" s="56"/>
      <x:c r="I12" s="103" t="str">
        <x:v>Diagnósticos del modelo ampliado</x:v>
      </x:c>
      <x:c r="J12" s="103" t="str">
        <x:v>Diagnósticos del modelo ampliado</x:v>
      </x:c>
      <x:c r="K12" s="103" t="str">
        <x:v>Diagnósticos del modelo ampliado</x:v>
      </x:c>
      <x:c r="L12" s="103" t="str">
        <x:v>Diagnósticos del modelo ampliado</x:v>
      </x:c>
      <x:c r="M12" s="56"/>
      <x:c r="N12" s="56"/>
      <x:c r="O12" s="56"/>
      <x:c r="P12" s="56"/>
      <x:c r="Q12" s="56"/>
      <x:c r="R12" s="56"/>
      <x:c r="S12" s="56"/>
      <x:c r="T12" s="56"/>
      <x:c r="U12" s="56"/>
      <x:c r="V12" s="56"/>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56" t="str">
        <x:v>Δ spread TES–UST 10 años (t)</x:v>
      </x:c>
      <x:c r="B13" s="102" t="n">
        <x:v>0.014217186330303153</x:v>
      </x:c>
      <x:c r="C13" s="102" t="n">
        <x:v>0.005845304109585507</x:v>
      </x:c>
      <x:c r="D13" s="102" t="n">
        <x:v>2.4322406608389957</x:v>
      </x:c>
      <x:c r="E13" s="102" t="n">
        <x:v>0.01578366472426621</x:v>
      </x:c>
      <x:c r="F13" s="102" t="n">
        <x:v>0.0026989196389422855</x:v>
      </x:c>
      <x:c r="G13" s="102" t="n">
        <x:v>0.02573545302166402</x:v>
      </x:c>
      <x:c r="H13" s="56"/>
      <x:c r="I13" s="54" t="str">
        <x:v>Prueba</x:v>
      </x:c>
      <x:c r="J13" s="54" t="str">
        <x:v>Estadístico</x:v>
      </x:c>
      <x:c r="K13" s="54" t="str">
        <x:v>p-valor</x:v>
      </x:c>
      <x:c r="L13" s="54" t="str">
        <x:v>Lectura</x:v>
      </x:c>
      <x:c r="M13" s="56"/>
      <x:c r="N13" s="56"/>
      <x:c r="O13" s="56"/>
      <x:c r="P13" s="56"/>
      <x:c r="Q13" s="56"/>
      <x:c r="R13" s="56"/>
      <x:c r="S13" s="56"/>
      <x:c r="T13" s="56"/>
      <x:c r="U13" s="56"/>
      <x:c r="V13" s="56"/>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56" t="str">
        <x:v>Δ ln reservas netas sin FLAR (t−1)</x:v>
      </x:c>
      <x:c r="B14" s="102" t="n">
        <x:v>-0.22648068953181705</x:v>
      </x:c>
      <x:c r="C14" s="102" t="n">
        <x:v>0.12529529944315648</x:v>
      </x:c>
      <x:c r="D14" s="102" t="n">
        <x:v>-1.807575308398269</x:v>
      </x:c>
      <x:c r="E14" s="102" t="n">
        <x:v>0.07200223276629869</x:v>
      </x:c>
      <x:c r="F14" s="102" t="n">
        <x:v>-0.4733771122164072</x:v>
      </x:c>
      <x:c r="G14" s="102" t="n">
        <x:v>0.02041573315277309</x:v>
      </x:c>
      <x:c r="H14" s="56"/>
      <x:c r="I14" s="56" t="str">
        <x:v>Ljung-Box (6)</x:v>
      </x:c>
      <x:c r="J14" s="57" t="n">
        <x:v>6.32586159580412</x:v>
      </x:c>
      <x:c r="K14" s="57" t="n">
        <x:v>0.38769384586586103</x:v>
      </x:c>
      <x:c r="L14" s="56" t="str">
        <x:v>Sin autocorrelación detectada</x:v>
      </x:c>
      <x:c r="M14" s="56"/>
      <x:c r="N14" s="56"/>
      <x:c r="O14" s="56"/>
      <x:c r="P14" s="56"/>
      <x:c r="Q14" s="56"/>
      <x:c r="R14" s="56"/>
      <x:c r="S14" s="56"/>
      <x:c r="T14" s="56"/>
      <x:c r="U14" s="56"/>
      <x:c r="V14" s="56"/>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56" t="str">
        <x:v>Δ asinh balanza comercial cambiaria (t−1)</x:v>
      </x:c>
      <x:c r="B15" s="102" t="n">
        <x:v>0.04700587110976351</x:v>
      </x:c>
      <x:c r="C15" s="102" t="n">
        <x:v>0.01154996684668786</x:v>
      </x:c>
      <x:c r="D15" s="102" t="n">
        <x:v>4.069784072431619</x:v>
      </x:c>
      <x:c r="E15" s="102" t="n">
        <x:v>0.00006506529701958308</x:v>
      </x:c>
      <x:c r="F15" s="102" t="n">
        <x:v>0.02424647383591308</x:v>
      </x:c>
      <x:c r="G15" s="102" t="n">
        <x:v>0.06976526838361394</x:v>
      </x:c>
      <x:c r="H15" s="56"/>
      <x:c r="I15" s="56" t="str">
        <x:v>Ljung-Box (12)</x:v>
      </x:c>
      <x:c r="J15" s="57" t="n">
        <x:v>9.551831505602339</x:v>
      </x:c>
      <x:c r="K15" s="57" t="n">
        <x:v>0.6552129042148429</x:v>
      </x:c>
      <x:c r="L15" s="56" t="str">
        <x:v>Sin autocorrelación detectada</x:v>
      </x:c>
      <x:c r="M15" s="56"/>
      <x:c r="N15" s="56"/>
      <x:c r="O15" s="56"/>
      <x:c r="P15" s="56"/>
      <x:c r="Q15" s="56"/>
      <x:c r="R15" s="56"/>
      <x:c r="S15" s="56"/>
      <x:c r="T15" s="56"/>
      <x:c r="U15" s="56"/>
      <x:c r="V15" s="56"/>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56" t="str">
        <x:v>Δ asinh flujo neto de capital (t−1)</x:v>
      </x:c>
      <x:c r="B16" s="102" t="n">
        <x:v>-0.00013162531151631775</x:v>
      </x:c>
      <x:c r="C16" s="102" t="n">
        <x:v>0.003892572562735622</x:v>
      </x:c>
      <x:c r="D16" s="102" t="n">
        <x:v>-0.03381447857296053</x:v>
      </x:c>
      <x:c r="E16" s="102" t="n">
        <x:v>0.9730549359329551</x:v>
      </x:c>
      <x:c r="F16" s="102" t="n">
        <x:v>-0.007802002772209674</x:v>
      </x:c>
      <x:c r="G16" s="102" t="n">
        <x:v>0.007538752149177039</x:v>
      </x:c>
      <x:c r="H16" s="56"/>
      <x:c r="I16" s="56" t="str">
        <x:v>Breusch-Godfrey (12)</x:v>
      </x:c>
      <x:c r="J16" s="57" t="n">
        <x:v>9.989322619488755</x:v>
      </x:c>
      <x:c r="K16" s="57" t="n">
        <x:v>0.6168974198797699</x:v>
      </x:c>
      <x:c r="L16" s="56" t="str">
        <x:v>Sin autocorrelación detectada</x:v>
      </x:c>
      <x:c r="M16" s="56"/>
      <x:c r="N16" s="56"/>
      <x:c r="O16" s="56"/>
      <x:c r="P16" s="56"/>
      <x:c r="Q16" s="56"/>
      <x:c r="R16" s="56"/>
      <x:c r="S16" s="56"/>
      <x:c r="T16" s="56"/>
      <x:c r="U16" s="56"/>
      <x:c r="V16" s="56"/>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56" t="str">
        <x:v>Diferencial de inflación interanual (t−1)</x:v>
      </x:c>
      <x:c r="B17" s="102" t="n">
        <x:v>-0.000506855134296268</x:v>
      </x:c>
      <x:c r="C17" s="102" t="n">
        <x:v>0.0006744447033513858</x:v>
      </x:c>
      <x:c r="D17" s="102" t="n">
        <x:v>-0.7515147376466182</x:v>
      </x:c>
      <x:c r="E17" s="102" t="n">
        <x:v>0.45312480755479023</x:v>
      </x:c>
      <x:c r="F17" s="102" t="n">
        <x:v>-0.001835859377041799</x:v>
      </x:c>
      <x:c r="G17" s="102" t="n">
        <x:v>0.0008221491084492631</x:v>
      </x:c>
      <x:c r="H17" s="56"/>
      <x:c r="I17" s="56" t="str">
        <x:v>ARCH-LM (12)</x:v>
      </x:c>
      <x:c r="J17" s="57" t="n">
        <x:v>41.47537880462194</x:v>
      </x:c>
      <x:c r="K17" s="57" t="n">
        <x:v>0.0000407974722854756</x:v>
      </x:c>
      <x:c r="L17" s="56" t="str">
        <x:v>Heterocedasticidad condicional</x:v>
      </x:c>
      <x:c r="M17" s="56"/>
      <x:c r="N17" s="56"/>
      <x:c r="O17" s="56"/>
      <x:c r="P17" s="56"/>
      <x:c r="Q17" s="56"/>
      <x:c r="R17" s="56"/>
      <x:c r="S17" s="56"/>
      <x:c r="T17" s="56"/>
      <x:c r="U17" s="56"/>
      <x:c r="V17" s="56"/>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56" t="str">
        <x:v>Factor de monedas regionales (t)</x:v>
      </x:c>
      <x:c r="B18" s="102" t="n">
        <x:v>0.00928138610819083</x:v>
      </x:c>
      <x:c r="C18" s="102" t="n">
        <x:v>0.004130168896877798</x:v>
      </x:c>
      <x:c r="D18" s="102" t="n">
        <x:v>2.2472170848042308</x:v>
      </x:c>
      <x:c r="E18" s="102" t="n">
        <x:v>0.025592036397225636</x:v>
      </x:c>
      <x:c r="F18" s="102" t="n">
        <x:v>0.001142821211868341</x:v>
      </x:c>
      <x:c r="G18" s="102" t="n">
        <x:v>0.01741995100451332</x:v>
      </x:c>
      <x:c r="H18" s="56"/>
      <x:c r="I18" s="56" t="str">
        <x:v>Jarque-Bera</x:v>
      </x:c>
      <x:c r="J18" s="57" t="n">
        <x:v>17.992309098258104</x:v>
      </x:c>
      <x:c r="K18" s="57" t="n">
        <x:v>0.00012388528405679128</x:v>
      </x:c>
      <x:c r="L18" s="56" t="str">
        <x:v>Residuos no normales</x:v>
      </x:c>
      <x:c r="M18" s="56"/>
      <x:c r="N18" s="56"/>
      <x:c r="O18" s="56"/>
      <x:c r="P18" s="56"/>
      <x:c r="Q18" s="56"/>
      <x:c r="R18" s="56"/>
      <x:c r="S18" s="56"/>
      <x:c r="T18" s="56"/>
      <x:c r="U18" s="56"/>
      <x:c r="V18" s="56"/>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56" t="str">
        <x:v>Dummy pandemia 2020</x:v>
      </x:c>
      <x:c r="B19" s="102" t="n">
        <x:v>-0.001150702712629733</x:v>
      </x:c>
      <x:c r="C19" s="102" t="n">
        <x:v>0.008910629285203602</x:v>
      </x:c>
      <x:c r="D19" s="102" t="n">
        <x:v>-0.129138209636946</x:v>
      </x:c>
      <x:c r="E19" s="102" t="n">
        <x:v>0.8973631415388017</x:v>
      </x:c>
      <x:c r="F19" s="102" t="n">
        <x:v>-0.018709242451651665</x:v>
      </x:c>
      <x:c r="G19" s="102" t="n">
        <x:v>0.0164078370263922</x:v>
      </x:c>
      <x:c r="H19" s="56"/>
      <x:c r="I19" s="56" t="str">
        <x:v>Ramsey RESET</x:v>
      </x:c>
      <x:c r="J19" s="57" t="n">
        <x:v>0.05253080675132181</x:v>
      </x:c>
      <x:c r="K19" s="57" t="n">
        <x:v>0.8189247806488943</x:v>
      </x:c>
      <x:c r="L19" s="56" t="str">
        <x:v>Sin evidencia de mala forma funcional</x:v>
      </x:c>
      <x:c r="M19" s="56"/>
      <x:c r="N19" s="56"/>
      <x:c r="O19" s="56"/>
      <x:c r="P19" s="56"/>
      <x:c r="Q19" s="56"/>
      <x:c r="R19" s="56"/>
      <x:c r="S19" s="56"/>
      <x:c r="T19" s="56"/>
      <x:c r="U19" s="56"/>
      <x:c r="V19" s="56"/>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56"/>
      <x:c r="B20" s="56"/>
      <x:c r="C20" s="56"/>
      <x:c r="D20" s="56"/>
      <x:c r="E20" s="56"/>
      <x:c r="F20" s="56"/>
      <x:c r="G20" s="56"/>
      <x:c r="H20" s="56"/>
      <x:c r="I20" s="56" t="str">
        <x:v>CUSUM estabilidad</x:v>
      </x:c>
      <x:c r="J20" s="57" t="n">
        <x:v>0.8787617499259767</x:v>
      </x:c>
      <x:c r="K20" s="57" t="n">
        <x:v>0.4227125990263644</x:v>
      </x:c>
      <x:c r="L20" s="56" t="str">
        <x:v>Sin inestabilidad detectada</x:v>
      </x:c>
      <x:c r="M20" s="56"/>
      <x:c r="N20" s="56"/>
      <x:c r="O20" s="56"/>
      <x:c r="P20" s="56"/>
      <x:c r="Q20" s="56"/>
      <x:c r="R20" s="56"/>
      <x:c r="S20" s="56"/>
      <x:c r="T20" s="56"/>
      <x:c r="U20" s="56"/>
      <x:c r="V20" s="56"/>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56"/>
      <x:c r="B21" s="56"/>
      <x:c r="C21" s="56"/>
      <x:c r="D21" s="56"/>
      <x:c r="E21" s="56"/>
      <x:c r="F21" s="56"/>
      <x:c r="G21" s="56"/>
      <x:c r="H21" s="56"/>
      <x:c r="I21" s="56" t="str">
        <x:v>Durbin-Watson</x:v>
      </x:c>
      <x:c r="J21" s="57" t="n">
        <x:v>1.7246650697071721</x:v>
      </x:c>
      <x:c r="K21" s="57"/>
      <x:c r="L21" s="56" t="str">
        <x:v>Cercano a 2</x:v>
      </x:c>
      <x:c r="M21" s="56"/>
      <x:c r="N21" s="56"/>
      <x:c r="O21" s="56"/>
      <x:c r="P21" s="56"/>
      <x:c r="Q21" s="56"/>
      <x:c r="R21" s="56"/>
      <x:c r="S21" s="56"/>
      <x:c r="T21" s="56"/>
      <x:c r="U21" s="56"/>
      <x:c r="V21" s="56"/>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56"/>
      <x:c r="B22" s="56"/>
      <x:c r="C22" s="56"/>
      <x:c r="D22" s="56"/>
      <x:c r="E22" s="56"/>
      <x:c r="F22" s="56"/>
      <x:c r="G22" s="56"/>
      <x:c r="H22" s="56"/>
      <x:c r="I22" s="56"/>
      <x:c r="J22" s="56"/>
      <x:c r="K22" s="56"/>
      <x:c r="L22" s="56"/>
      <x:c r="M22" s="56"/>
      <x:c r="N22" s="56"/>
      <x:c r="O22" s="56"/>
      <x:c r="P22" s="56"/>
      <x:c r="Q22" s="56"/>
      <x:c r="R22" s="56"/>
      <x:c r="S22" s="56"/>
      <x:c r="T22" s="56"/>
      <x:c r="U22" s="56"/>
      <x:c r="V22" s="56"/>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56"/>
      <x:c r="B23" s="56"/>
      <x:c r="C23" s="56"/>
      <x:c r="D23" s="56"/>
      <x:c r="E23" s="56"/>
      <x:c r="F23" s="56"/>
      <x:c r="G23" s="56"/>
      <x:c r="H23" s="56"/>
      <x:c r="I23" s="56"/>
      <x:c r="J23" s="56"/>
      <x:c r="K23" s="56"/>
      <x:c r="L23" s="56"/>
      <x:c r="M23" s="56"/>
      <x:c r="N23" s="56"/>
      <x:c r="O23" s="56"/>
      <x:c r="P23" s="56"/>
      <x:c r="Q23" s="56"/>
      <x:c r="R23" s="56"/>
      <x:c r="S23" s="56"/>
      <x:c r="T23" s="56"/>
      <x:c r="U23" s="56"/>
      <x:c r="V23" s="56"/>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ht="48" customHeight="1">
      <x:c r="A24" s="54" t="str">
        <x:v>Mes</x:v>
      </x:c>
      <x:c r="B24" s="54" t="str">
        <x:v>Δln TRM observado</x:v>
      </x:c>
      <x:c r="C24" s="54" t="str">
        <x:v>Δln TRM ajustado</x:v>
      </x:c>
      <x:c r="D24" s="54" t="str">
        <x:v>Residuo</x:v>
      </x:c>
      <x:c r="E24" s="54" t="str">
        <x:v>TRM observada</x:v>
      </x:c>
      <x:c r="F24" s="54" t="str">
        <x:v>TRM ajustada 1 paso</x:v>
      </x:c>
      <x:c r="G24" s="54" t="str">
        <x:v>Intercepto</x:v>
      </x:c>
      <x:c r="H24" s="54" t="str">
        <x:v>Δ ln Brent (t)</x:v>
      </x:c>
      <x:c r="I24" s="54" t="str">
        <x:v>Δ ln remesas 12m (t−1)</x:v>
      </x:c>
      <x:c r="J24" s="54" t="str">
        <x:v>Δ diferencial tasas (t−1)</x:v>
      </x:c>
      <x:c r="K24" s="54" t="str">
        <x:v>Δ déficit fiscal 12m/PIB (t−1)</x:v>
      </x:c>
      <x:c r="L24" s="54" t="str">
        <x:v>Δ ln índice dólar amplio (t)</x:v>
      </x:c>
      <x:c r="M24" s="54" t="str">
        <x:v>Δ ln VIX (t)</x:v>
      </x:c>
      <x:c r="N24" s="54" t="str">
        <x:v>Δ spread TES–UST 10 años (t)</x:v>
      </x:c>
      <x:c r="O24" s="54" t="str">
        <x:v>Δ ln reservas netas sin FLAR (t−1)</x:v>
      </x:c>
      <x:c r="P24" s="54" t="str">
        <x:v>Δ asinh balanza comercial cambiaria (t−1)</x:v>
      </x:c>
      <x:c r="Q24" s="54" t="str">
        <x:v>Δ asinh flujo neto de capital (t−1)</x:v>
      </x:c>
      <x:c r="R24" s="54" t="str">
        <x:v>Diferencial de inflación interanual (t−1)</x:v>
      </x:c>
      <x:c r="S24" s="54" t="str">
        <x:v>Factor de monedas regionales (t)</x:v>
      </x:c>
      <x:c r="T24" s="54" t="str">
        <x:v>Dummy pandemia 2020</x:v>
      </x:c>
      <x:c r="U24" s="54" t="str">
        <x:v>Ajuste total de contribuciones</x:v>
      </x:c>
      <x:c r="V24" s="54" t="str">
        <x:v>Diferencia de control</x:v>
      </x:c>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56" t="str">
        <x:v>2006-05</x:v>
      </x:c>
      <x:c r="B25" s="102" t="n">
        <x:v>0.03513841925748107</x:v>
      </x:c>
      <x:c r="C25" s="102" t="n">
        <x:v>0.010506156717674376</x:v>
      </x:c>
      <x:c r="D25" s="102" t="n">
        <x:v>0.024632262539806694</x:v>
      </x:c>
      <x:c r="E25" s="104" t="n">
        <x:v>2418.6493548387098</x:v>
      </x:c>
      <x:c r="F25" s="104" t="n">
        <x:v>2359.8003169309054</x:v>
      </x:c>
      <x:c r="G25" s="102" t="n">
        <x:v>0.0036109531956773125</x:v>
      </x:c>
      <x:c r="H25" s="102" t="n">
        <x:v>0.000260836630237914</x:v>
      </x:c>
      <x:c r="I25" s="102" t="n">
        <x:v>0.0003943312774287858</x:v>
      </x:c>
      <x:c r="J25" s="102" t="n">
        <x:v>0.0019862730258530152</x:v>
      </x:c>
      <x:c r="K25" s="102" t="n">
        <x:v>0.0006786707541400774</x:v>
      </x:c>
      <x:c r="L25" s="102" t="n">
        <x:v>-0.014178993104955002</x:v>
      </x:c>
      <x:c r="M25" s="102" t="n">
        <x:v>0.003377762798607692</x:v>
      </x:c>
      <x:c r="N25" s="102" t="n">
        <x:v>0.010068232821032643</x:v>
      </x:c>
      <x:c r="O25" s="102" t="n">
        <x:v>0.0007008579990865831</x:v>
      </x:c>
      <x:c r="P25" s="102" t="n">
        <x:v>0.001930194827403086</x:v>
      </x:c>
      <x:c r="Q25" s="102" t="n">
        <x:v>0.000014348217896356818</x:v>
      </x:c>
      <x:c r="R25" s="102" t="n">
        <x:v>-0.00028398802509938816</x:v>
      </x:c>
      <x:c r="S25" s="102" t="n">
        <x:v>0.001946676300365299</x:v>
      </x:c>
      <x:c r="T25" s="102" t="n">
        <x:v>0</x:v>
      </x:c>
      <x:c r="U25" s="102" t="n">
        <x:v>0.010506156717674374</x:v>
      </x:c>
      <x:c r="V25" s="105" t="n">
        <x:f>C25-U25</x:f>
        <x:v>1.734723475976807e-18</x:v>
      </x:c>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56" t="str">
        <x:v>2006-06</x:v>
      </x:c>
      <x:c r="B26" s="102" t="n">
        <x:v>0.04982844852150414</x:v>
      </x:c>
      <x:c r="C26" s="102" t="n">
        <x:v>0.045775139010227076</x:v>
      </x:c>
      <x:c r="D26" s="102" t="n">
        <x:v>0.004053309511277067</x:v>
      </x:c>
      <x:c r="E26" s="104" t="n">
        <x:v>2542.22</x:v>
      </x:c>
      <x:c r="F26" s="104" t="n">
        <x:v>2531.9364507774826</x:v>
      </x:c>
      <x:c r="G26" s="102" t="n">
        <x:v>0.0036109531956773125</x:v>
      </x:c>
      <x:c r="H26" s="102" t="n">
        <x:v>0.0006674853514106201</x:v>
      </x:c>
      <x:c r="I26" s="102" t="n">
        <x:v>0.0017420256866771552</x:v>
      </x:c>
      <x:c r="J26" s="102" t="n">
        <x:v>-0.0009130448586582389</x:v>
      </x:c>
      <x:c r="K26" s="102" t="n">
        <x:v>-0.00045646956691588737</x:v>
      </x:c>
      <x:c r="L26" s="102" t="n">
        <x:v>0.007543029467442206</x:v>
      </x:c>
      <x:c r="M26" s="102" t="n">
        <x:v>0.0026730743102164633</x:v>
      </x:c>
      <x:c r="N26" s="102" t="n">
        <x:v>0.015998642859872955</x:v>
      </x:c>
      <x:c r="O26" s="102" t="n">
        <x:v>0.007793217607603026</x:v>
      </x:c>
      <x:c r="P26" s="102" t="n">
        <x:v>-0.0028169872768299175</x:v>
      </x:c>
      <x:c r="Q26" s="102" t="n">
        <x:v>0.00006611999413478458</x:v>
      </x:c>
      <x:c r="R26" s="102" t="n">
        <x:v>0.00006523372809824534</x:v>
      </x:c>
      <x:c r="S26" s="102" t="n">
        <x:v>0.009801858511498356</x:v>
      </x:c>
      <x:c r="T26" s="102" t="n">
        <x:v>0</x:v>
      </x:c>
      <x:c r="U26" s="102" t="n">
        <x:v>0.045775139010227076</x:v>
      </x:c>
      <x:c r="V26" s="105" t="n">
        <x:f>C26-U26</x:f>
        <x:v>0</x:v>
      </x:c>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56" t="str">
        <x:v>2006-07</x:v>
      </x:c>
      <x:c r="B27" s="102" t="n">
        <x:v>-0.011282585389189137</x:v>
      </x:c>
      <x:c r="C27" s="102" t="n">
        <x:v>-0.00805630608333739</x:v>
      </x:c>
      <x:c r="D27" s="102" t="n">
        <x:v>-0.003226279305851747</x:v>
      </x:c>
      <x:c r="E27" s="104" t="n">
        <x:v>2513.6983870967747</x:v>
      </x:c>
      <x:c r="F27" s="104" t="n">
        <x:v>2521.821376654842</x:v>
      </x:c>
      <x:c r="G27" s="102" t="n">
        <x:v>0.0036109531956773125</x:v>
      </x:c>
      <x:c r="H27" s="102" t="n">
        <x:v>-0.002722396099826804</x:v>
      </x:c>
      <x:c r="I27" s="102" t="n">
        <x:v>0.0012438465871842284</x:v>
      </x:c>
      <x:c r="J27" s="102" t="n">
        <x:v>-0.00041113715857709883</x:v>
      </x:c>
      <x:c r="K27" s="102" t="n">
        <x:v>0.00012576631399584465</x:v>
      </x:c>
      <x:c r="L27" s="102" t="n">
        <x:v>-0.001614771010951431</x:v>
      </x:c>
      <x:c r="M27" s="102" t="n">
        <x:v>-0.0016789205517143805</x:v>
      </x:c>
      <x:c r="N27" s="102" t="n">
        <x:v>0.0006315159281566246</x:v>
      </x:c>
      <x:c r="O27" s="102" t="n">
        <x:v>0.002091578353533731</x:v>
      </x:c>
      <x:c r="P27" s="102" t="n">
        <x:v>-0.0017254270932449414</x:v>
      </x:c>
      <x:c r="Q27" s="102" t="n">
        <x:v>-0.0000571738609408265</x:v>
      </x:c>
      <x:c r="R27" s="102" t="n">
        <x:v>0.0001852644356514608</x:v>
      </x:c>
      <x:c r="S27" s="102" t="n">
        <x:v>-0.007735405122281109</x:v>
      </x:c>
      <x:c r="T27" s="102" t="n">
        <x:v>0</x:v>
      </x:c>
      <x:c r="U27" s="102" t="n">
        <x:v>-0.008056306083337388</x:v>
      </x:c>
      <x:c r="V27" s="105" t="n">
        <x:f>C27-U27</x:f>
        <x:v>-1.734723475976807e-18</x:v>
      </x:c>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56" t="str">
        <x:v>2006-08</x:v>
      </x:c>
      <x:c r="B28" s="102" t="n">
        <x:v>-0.05088714774135372</x:v>
      </x:c>
      <x:c r="C28" s="102" t="n">
        <x:v>-0.026155981785730517</x:v>
      </x:c>
      <x:c r="D28" s="102" t="n">
        <x:v>-0.024731165955623205</x:v>
      </x:c>
      <x:c r="E28" s="104" t="n">
        <x:v>2388.9835483870975</x:v>
      </x:c>
      <x:c r="F28" s="104" t="n">
        <x:v>2448.802544855837</x:v>
      </x:c>
      <x:c r="G28" s="102" t="n">
        <x:v>0.0036109531956773125</x:v>
      </x:c>
      <x:c r="H28" s="102" t="n">
        <x:v>0.00022846832890076847</x:v>
      </x:c>
      <x:c r="I28" s="102" t="n">
        <x:v>0.0008790878236518698</x:v>
      </x:c>
      <x:c r="J28" s="102" t="n">
        <x:v>0.0008276137607720861</x:v>
      </x:c>
      <x:c r="K28" s="102" t="n">
        <x:v>-0.00012481409818820597</x:v>
      </x:c>
      <x:c r="L28" s="102" t="n">
        <x:v>-0.004631632714547934</x:v>
      </x:c>
      <x:c r="M28" s="102" t="n">
        <x:v>-0.002341879756726777</x:v>
      </x:c>
      <x:c r="N28" s="102" t="n">
        <x:v>-0.009925710484813952</x:v>
      </x:c>
      <x:c r="O28" s="102" t="n">
        <x:v>-0.00353041319197702</x:v>
      </x:c>
      <x:c r="P28" s="102" t="n">
        <x:v>-0.00719603824330556</x:v>
      </x:c>
      <x:c r="Q28" s="102" t="n">
        <x:v>-0.00008534274935484744</x:v>
      </x:c>
      <x:c r="R28" s="102" t="n">
        <x:v>-0.00009316513351783258</x:v>
      </x:c>
      <x:c r="S28" s="102" t="n">
        <x:v>-0.0037731085223004267</x:v>
      </x:c>
      <x:c r="T28" s="102" t="n">
        <x:v>0</x:v>
      </x:c>
      <x:c r="U28" s="102" t="n">
        <x:v>-0.026155981785730514</x:v>
      </x:c>
      <x:c r="V28" s="105" t="n">
        <x:f>C28-U28</x:f>
        <x:v>-3.469446951953614e-18</x:v>
      </x:c>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56" t="str">
        <x:v>2006-09</x:v>
      </x:c>
      <x:c r="B29" s="102" t="n">
        <x:v>0.004062555075931229</x:v>
      </x:c>
      <x:c r="C29" s="102" t="n">
        <x:v>0.013753017853473829</x:v>
      </x:c>
      <x:c r="D29" s="102" t="n">
        <x:v>-0.0096904627775426</x:v>
      </x:c>
      <x:c r="E29" s="104" t="n">
        <x:v>2398.7086666666664</x:v>
      </x:c>
      <x:c r="F29" s="104" t="n">
        <x:v>2422.066253847041</x:v>
      </x:c>
      <x:c r="G29" s="102" t="n">
        <x:v>0.0036109531956773125</x:v>
      </x:c>
      <x:c r="H29" s="102" t="n">
        <x:v>0.006319563559407977</x:v>
      </x:c>
      <x:c r="I29" s="102" t="n">
        <x:v>0.0005942107081764449</x:v>
      </x:c>
      <x:c r="J29" s="102" t="n">
        <x:v>-0.000701602891390022</x:v>
      </x:c>
      <x:c r="K29" s="102" t="n">
        <x:v>0.000017326951821961813</x:v>
      </x:c>
      <x:c r="L29" s="102" t="n">
        <x:v>0.0017136393788621741</x:v>
      </x:c>
      <x:c r="M29" s="102" t="n">
        <x:v>-0.0015535423480028566</x:v>
      </x:c>
      <x:c r="N29" s="102" t="n">
        <x:v>0.003079006918651571</x:v>
      </x:c>
      <x:c r="O29" s="102" t="n">
        <x:v>-0.004488259486709069</x:v>
      </x:c>
      <x:c r="P29" s="102" t="n">
        <x:v>0.0050785230391150625</x:v>
      </x:c>
      <x:c r="Q29" s="102" t="n">
        <x:v>0.000016852420137704833</x:v>
      </x:c>
      <x:c r="R29" s="102" t="n">
        <x:v>-0.00045897603152940256</x:v>
      </x:c>
      <x:c r="S29" s="102" t="n">
        <x:v>0.0005253224392549721</x:v>
      </x:c>
      <x:c r="T29" s="102" t="n">
        <x:v>0</x:v>
      </x:c>
      <x:c r="U29" s="102" t="n">
        <x:v>0.01375301785347383</x:v>
      </x:c>
      <x:c r="V29" s="105" t="n">
        <x:f>C29-U29</x:f>
        <x:v>-1.734723475976807e-18</x:v>
      </x:c>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56" t="str">
        <x:v>2006-10</x:v>
      </x:c>
      <x:c r="B30" s="102" t="n">
        <x:v>-0.015507999218544732</x:v>
      </x:c>
      <x:c r="C30" s="102" t="n">
        <x:v>-0.0031093043850942523</x:v>
      </x:c>
      <x:c r="D30" s="102" t="n">
        <x:v>-0.01239869483345048</x:v>
      </x:c>
      <x:c r="E30" s="104" t="n">
        <x:v>2361.7964516129027</x:v>
      </x:c>
      <x:c r="F30" s="104" t="n">
        <x:v>2391.261934368973</x:v>
      </x:c>
      <x:c r="G30" s="102" t="n">
        <x:v>0.0036109531956773125</x:v>
      </x:c>
      <x:c r="H30" s="102" t="n">
        <x:v>0.0026214997930086316</x:v>
      </x:c>
      <x:c r="I30" s="102" t="n">
        <x:v>0.0005970741564887627</x:v>
      </x:c>
      <x:c r="J30" s="102" t="n">
        <x:v>-0.0016819247396335966</x:v>
      </x:c>
      <x:c r="K30" s="102" t="n">
        <x:v>-0.00021571181400766544</x:v>
      </x:c>
      <x:c r="L30" s="102" t="n">
        <x:v>0.0021341845846777653</x:v>
      </x:c>
      <x:c r="M30" s="102" t="n">
        <x:v>-0.0012702314367219563</x:v>
      </x:c>
      <x:c r="N30" s="102" t="n">
        <x:v>-0.001713509457237962</x:v>
      </x:c>
      <x:c r="O30" s="102" t="n">
        <x:v>-0.0004661640850754052</x:v>
      </x:c>
      <x:c r="P30" s="102" t="n">
        <x:v>-0.0012257329418914706</x:v>
      </x:c>
      <x:c r="Q30" s="102" t="n">
        <x:v>0.00003271966184434092</x:v>
      </x:c>
      <x:c r="R30" s="102" t="n">
        <x:v>-0.0012782668139522024</x:v>
      </x:c>
      <x:c r="S30" s="102" t="n">
        <x:v>-0.004254194488270806</x:v>
      </x:c>
      <x:c r="T30" s="102" t="n">
        <x:v>0</x:v>
      </x:c>
      <x:c r="U30" s="102" t="n">
        <x:v>-0.003109304385094252</x:v>
      </x:c>
      <x:c r="V30" s="105" t="n">
        <x:f>C30-U30</x:f>
        <x:v>-4.336808689942018e-19</x:v>
      </x:c>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56" t="str">
        <x:v>2006-11</x:v>
      </x:c>
      <x:c r="B31" s="102" t="n">
        <x:v>-0.03067947212335209</x:v>
      </x:c>
      <x:c r="C31" s="102" t="n">
        <x:v>-0.017358907613391084</x:v>
      </x:c>
      <x:c r="D31" s="102" t="n">
        <x:v>-0.013320564509961007</x:v>
      </x:c>
      <x:c r="E31" s="104" t="n">
        <x:v>2290.4380000000006</x:v>
      </x:c>
      <x:c r="F31" s="104" t="n">
        <x:v>2321.1520371412857</x:v>
      </x:c>
      <x:c r="G31" s="102" t="n">
        <x:v>0.0036109531956773125</x:v>
      </x:c>
      <x:c r="H31" s="102" t="n">
        <x:v>-0.0006183347086895174</x:v>
      </x:c>
      <x:c r="I31" s="102" t="n">
        <x:v>0.0007703482985849357</x:v>
      </x:c>
      <x:c r="J31" s="102" t="n">
        <x:v>-0.0025629329365845317</x:v>
      </x:c>
      <x:c r="K31" s="102" t="n">
        <x:v>0.0002254987937979174</x:v>
      </x:c>
      <x:c r="L31" s="102" t="n">
        <x:v>-0.005134760190198947</x:v>
      </x:c>
      <x:c r="M31" s="102" t="n">
        <x:v>-0.0007504241029146674</x:v>
      </x:c>
      <x:c r="N31" s="102" t="n">
        <x:v>-0.004632771717060216</x:v>
      </x:c>
      <x:c r="O31" s="102" t="n">
        <x:v>-0.0018376135974820247</x:v>
      </x:c>
      <x:c r="P31" s="102" t="n">
        <x:v>-0.0037733588249624413</x:v>
      </x:c>
      <x:c r="Q31" s="102" t="n">
        <x:v>-0.000046556247275090994</x:v>
      </x:c>
      <x:c r="R31" s="102" t="n">
        <x:v>-0.0014575463242095545</x:v>
      </x:c>
      <x:c r="S31" s="102" t="n">
        <x:v>-0.0011514092520742603</x:v>
      </x:c>
      <x:c r="T31" s="102" t="n">
        <x:v>0</x:v>
      </x:c>
      <x:c r="U31" s="102" t="n">
        <x:v>-0.017358907613391084</x:v>
      </x:c>
      <x:c r="V31" s="105" t="n">
        <x:f>C31-U31</x:f>
        <x:v>0</x:v>
      </x:c>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56" t="str">
        <x:v>2006-12</x:v>
      </x:c>
      <x:c r="B32" s="102" t="n">
        <x:v>-0.01306614007567486</x:v>
      </x:c>
      <x:c r="C32" s="102" t="n">
        <x:v>-0.010248694990154837</x:v>
      </x:c>
      <x:c r="D32" s="102" t="n">
        <x:v>-0.0028174450855200216</x:v>
      </x:c>
      <x:c r="E32" s="104" t="n">
        <x:v>2260.7054838709682</x:v>
      </x:c>
      <x:c r="F32" s="104" t="n">
        <x:v>2267.0838785954375</x:v>
      </x:c>
      <x:c r="G32" s="102" t="n">
        <x:v>0.0036109531956773125</x:v>
      </x:c>
      <x:c r="H32" s="102" t="n">
        <x:v>-0.0023152461099025115</x:v>
      </x:c>
      <x:c r="I32" s="102" t="n">
        <x:v>0.0006384638912740045</x:v>
      </x:c>
      <x:c r="J32" s="102" t="n">
        <x:v>-0.0024027496280480025</x:v>
      </x:c>
      <x:c r="K32" s="102" t="n">
        <x:v>-0.00036498509217104685</x:v>
      </x:c>
      <x:c r="L32" s="102" t="n">
        <x:v>-0.0046321288516101115</x:v>
      </x:c>
      <x:c r="M32" s="102" t="n">
        <x:v>0.00022902842935767205</x:v>
      </x:c>
      <x:c r="N32" s="102" t="n">
        <x:v>-0.0009262609729004828</x:v>
      </x:c>
      <x:c r="O32" s="102" t="n">
        <x:v>-0.004694714443721676</x:v>
      </x:c>
      <x:c r="P32" s="102" t="n">
        <x:v>0.003634018442988245</x:v>
      </x:c>
      <x:c r="Q32" s="102" t="n">
        <x:v>-0.000001210578833458697</x:v>
      </x:c>
      <x:c r="R32" s="102" t="n">
        <x:v>-0.0011856892071113968</x:v>
      </x:c>
      <x:c r="S32" s="102" t="n">
        <x:v>-0.0018381740651533857</x:v>
      </x:c>
      <x:c r="T32" s="102" t="n">
        <x:v>0</x:v>
      </x:c>
      <x:c r="U32" s="102" t="n">
        <x:v>-0.010248694990154837</x:v>
      </x:c>
      <x:c r="V32" s="105" t="n">
        <x:f>C32-U32</x:f>
        <x:v>0</x:v>
      </x:c>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56" t="str">
        <x:v>2007-01</x:v>
      </x:c>
      <x:c r="B33" s="102" t="n">
        <x:v>-0.010897919068785455</x:v>
      </x:c>
      <x:c r="C33" s="102" t="n">
        <x:v>0.009944205463703747</x:v>
      </x:c>
      <x:c r="D33" s="102" t="n">
        <x:v>-0.020842124532489202</x:v>
      </x:c>
      <x:c r="E33" s="104" t="n">
        <x:v>2236.202258064517</x:v>
      </x:c>
      <x:c r="F33" s="104" t="n">
        <x:v>2283.2985525739446</x:v>
      </x:c>
      <x:c r="G33" s="102" t="n">
        <x:v>0.0036109531956773125</x:v>
      </x:c>
      <x:c r="H33" s="102" t="n">
        <x:v>0.005733824727045577</x:v>
      </x:c>
      <x:c r="I33" s="102" t="n">
        <x:v>0.00044761708068209575</x:v>
      </x:c>
      <x:c r="J33" s="102" t="n">
        <x:v>-0.0012205968110483856</x:v>
      </x:c>
      <x:c r="K33" s="102" t="n">
        <x:v>-0.00007389445446943182</x:v>
      </x:c>
      <x:c r="L33" s="102" t="n">
        <x:v>0.00668817959283624</x:v>
      </x:c>
      <x:c r="M33" s="102" t="n">
        <x:v>0.00012037963921173181</x:v>
      </x:c>
      <x:c r="N33" s="102" t="n">
        <x:v>0.0003460643688495234</x:v>
      </x:c>
      <x:c r="O33" s="102" t="n">
        <x:v>0.0002512044025629019</x:v>
      </x:c>
      <x:c r="P33" s="102" t="n">
        <x:v>-0.007362047436684145</x:v>
      </x:c>
      <x:c r="Q33" s="102" t="n">
        <x:v>0.000008286774476918076</x:v>
      </x:c>
      <x:c r="R33" s="102" t="n">
        <x:v>-0.0009831765307409565</x:v>
      </x:c>
      <x:c r="S33" s="102" t="n">
        <x:v>0.002377410915304368</x:v>
      </x:c>
      <x:c r="T33" s="102" t="n">
        <x:v>0</x:v>
      </x:c>
      <x:c r="U33" s="102" t="n">
        <x:v>0.00994420546370375</x:v>
      </x:c>
      <x:c r="V33" s="105" t="n">
        <x:f>C33-U33</x:f>
        <x:v>-3.469446951953614e-18</x:v>
      </x:c>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56" t="str">
        <x:v>2007-02</x:v>
      </x:c>
      <x:c r="B34" s="102" t="n">
        <x:v>-0.0038678616028011703</x:v>
      </x:c>
      <x:c r="C34" s="102" t="n">
        <x:v>-0.0061609625172657796</x:v>
      </x:c>
      <x:c r="D34" s="102" t="n">
        <x:v>0.0022931009144646092</x:v>
      </x:c>
      <x:c r="E34" s="104" t="n">
        <x:v>2227.569642857143</x:v>
      </x:c>
      <x:c r="F34" s="104" t="n">
        <x:v>2222.467453025901</x:v>
      </x:c>
      <x:c r="G34" s="102" t="n">
        <x:v>0.0036109531956773125</x:v>
      </x:c>
      <x:c r="H34" s="102" t="n">
        <x:v>-0.0026348079271038528</x:v>
      </x:c>
      <x:c r="I34" s="102" t="n">
        <x:v>0.0006240578625281328</x:v>
      </x:c>
      <x:c r="J34" s="102" t="n">
        <x:v>-0.0015025194340726837</x:v>
      </x:c>
      <x:c r="K34" s="102" t="n">
        <x:v>-0.0006524439796989534</x:v>
      </x:c>
      <x:c r="L34" s="102" t="n">
        <x:v>-0.0022929286720558884</x:v>
      </x:c>
      <x:c r="M34" s="102" t="n">
        <x:v>0.00017253579593934674</x:v>
      </x:c>
      <x:c r="N34" s="102" t="n">
        <x:v>0.005074341846379222</x:v>
      </x:c>
      <x:c r="O34" s="102" t="n">
        <x:v>-0.014369780620890749</x:v>
      </x:c>
      <x:c r="P34" s="102" t="n">
        <x:v>0.009084472996780162</x:v>
      </x:c>
      <x:c r="Q34" s="102" t="n">
        <x:v>-0.00008146318695012041</x:v>
      </x:c>
      <x:c r="R34" s="102" t="n">
        <x:v>-0.0013353730767465641</x:v>
      </x:c>
      <x:c r="S34" s="102" t="n">
        <x:v>-0.0018580073170511436</x:v>
      </x:c>
      <x:c r="T34" s="102" t="n">
        <x:v>0</x:v>
      </x:c>
      <x:c r="U34" s="102" t="n">
        <x:v>-0.0061609625172657796</x:v>
      </x:c>
      <x:c r="V34" s="105" t="n">
        <x:f>C34-U34</x:f>
        <x:v>0</x:v>
      </x:c>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56" t="str">
        <x:v>2007-03</x:v>
      </x:c>
      <x:c r="B35" s="102" t="n">
        <x:v>-0.011161657819650728</x:v>
      </x:c>
      <x:c r="C35" s="102" t="n">
        <x:v>-0.013531561769214434</x:v>
      </x:c>
      <x:c r="D35" s="102" t="n">
        <x:v>0.0023699039495637068</x:v>
      </x:c>
      <x:c r="E35" s="104" t="n">
        <x:v>2202.8445161290324</x:v>
      </x:c>
      <x:c r="F35" s="104" t="n">
        <x:v>2197.630167403311</x:v>
      </x:c>
      <x:c r="G35" s="102" t="n">
        <x:v>0.0036109531956773125</x:v>
      </x:c>
      <x:c r="H35" s="102" t="n">
        <x:v>-0.0028429638622354645</x:v>
      </x:c>
      <x:c r="I35" s="102" t="n">
        <x:v>0.0005669982727274198</x:v>
      </x:c>
      <x:c r="J35" s="102" t="n">
        <x:v>-0.002409271377038418</x:v>
      </x:c>
      <x:c r="K35" s="102" t="n">
        <x:v>6.955345584624675e-7</x:v>
      </x:c>
      <x:c r="L35" s="102" t="n">
        <x:v>-0.0029941331943859183</x:v>
      </x:c>
      <x:c r="M35" s="102" t="n">
        <x:v>0.005212249165803435</x:v>
      </x:c>
      <x:c r="N35" s="102" t="n">
        <x:v>0.0070878148234528385</x:v>
      </x:c>
      <x:c r="O35" s="102" t="n">
        <x:v>-0.015232361865339746</x:v>
      </x:c>
      <x:c r="P35" s="102" t="n">
        <x:v>-0.0042422761927607845</x:v>
      </x:c>
      <x:c r="Q35" s="102" t="n">
        <x:v>-0.000018169837745051385</x:v>
      </x:c>
      <x:c r="R35" s="102" t="n">
        <x:v>-0.0014376653660567468</x:v>
      </x:c>
      <x:c r="S35" s="102" t="n">
        <x:v>-0.0008334310658717745</x:v>
      </x:c>
      <x:c r="T35" s="102" t="n">
        <x:v>0</x:v>
      </x:c>
      <x:c r="U35" s="102" t="n">
        <x:v>-0.013531561769214434</x:v>
      </x:c>
      <x:c r="V35" s="105" t="n">
        <x:f>C35-U35</x:f>
        <x:v>0</x:v>
      </x:c>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56" t="str">
        <x:v>2007-04</x:v>
      </x:c>
      <x:c r="B36" s="102" t="n">
        <x:v>-0.026656245024335945</x:v>
      </x:c>
      <x:c r="C36" s="102" t="n">
        <x:v>-0.04035483733505261</x:v>
      </x:c>
      <x:c r="D36" s="102" t="n">
        <x:v>0.013698592310716663</x:v>
      </x:c>
      <x:c r="E36" s="104" t="n">
        <x:v>2144.900666666667</x:v>
      </x:c>
      <x:c r="F36" s="104" t="n">
        <x:v>2115.718877932673</x:v>
      </x:c>
      <x:c r="G36" s="102" t="n">
        <x:v>0.0036109531956773125</x:v>
      </x:c>
      <x:c r="H36" s="102" t="n">
        <x:v>-0.0031747781489971172</x:v>
      </x:c>
      <x:c r="I36" s="102" t="n">
        <x:v>0.0002330762323118326</x:v>
      </x:c>
      <x:c r="J36" s="102" t="n">
        <x:v>-0.0026973724991062697</x:v>
      </x:c>
      <x:c r="K36" s="102" t="n">
        <x:v>0.00015207383016556256</x:v>
      </x:c>
      <x:c r="L36" s="102" t="n">
        <x:v>-0.008974481309228576</x:v>
      </x:c>
      <x:c r="M36" s="102" t="n">
        <x:v>-0.002701115757830644</x:v>
      </x:c>
      <x:c r="N36" s="102" t="n">
        <x:v>0.0010295393783003226</x:v>
      </x:c>
      <x:c r="O36" s="102" t="n">
        <x:v>-0.017372345037272793</x:v>
      </x:c>
      <x:c r="P36" s="102" t="n">
        <x:v>-0.0028311491809479565</x:v>
      </x:c>
      <x:c r="Q36" s="102" t="n">
        <x:v>-0.00002272613969904909</x:v>
      </x:c>
      <x:c r="R36" s="102" t="n">
        <x:v>-0.0015227312971777256</x:v>
      </x:c>
      <x:c r="S36" s="102" t="n">
        <x:v>-0.006083780601247502</x:v>
      </x:c>
      <x:c r="T36" s="102" t="n">
        <x:v>0</x:v>
      </x:c>
      <x:c r="U36" s="102" t="n">
        <x:v>-0.04035483733505261</x:v>
      </x:c>
      <x:c r="V36" s="105" t="n">
        <x:f>C36-U36</x:f>
        <x:v>0</x:v>
      </x:c>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56" t="str">
        <x:v>2007-05</x:v>
      </x:c>
      <x:c r="B37" s="102" t="n">
        <x:v>-0.06524936632637068</x:v>
      </x:c>
      <x:c r="C37" s="102" t="n">
        <x:v>-0.017941541514476144</x:v>
      </x:c>
      <x:c r="D37" s="102" t="n">
        <x:v>-0.047307824811894536</x:v>
      </x:c>
      <x:c r="E37" s="104" t="n">
        <x:v>2009.4154838709676</x:v>
      </x:c>
      <x:c r="F37" s="104" t="n">
        <x:v>2106.7610075374555</x:v>
      </x:c>
      <x:c r="G37" s="102" t="n">
        <x:v>0.0036109531956773125</x:v>
      </x:c>
      <x:c r="H37" s="102" t="n">
        <x:v>0.00015354881520116134</x:v>
      </x:c>
      <x:c r="I37" s="102" t="n">
        <x:v>0.000548168724532142</x:v>
      </x:c>
      <x:c r="J37" s="102" t="n">
        <x:v>-0.0021016050079993116</x:v>
      </x:c>
      <x:c r="K37" s="102" t="n">
        <x:v>-0.00022598242390130122</x:v>
      </x:c>
      <x:c r="L37" s="102" t="n">
        <x:v>-0.005988711554407544</x:v>
      </x:c>
      <x:c r="M37" s="102" t="n">
        <x:v>0.0004722841356148195</x:v>
      </x:c>
      <x:c r="N37" s="102" t="n">
        <x:v>-0.0007304245490134231</x:v>
      </x:c>
      <x:c r="O37" s="102" t="n">
        <x:v>-0.00914529294546224</x:v>
      </x:c>
      <x:c r="P37" s="102" t="n">
        <x:v>0.0039574854167881285</x:v>
      </x:c>
      <x:c r="Q37" s="102" t="n">
        <x:v>0.00005831576320920509</x:v>
      </x:c>
      <x:c r="R37" s="102" t="n">
        <x:v>-0.0018670431969515994</x:v>
      </x:c>
      <x:c r="S37" s="102" t="n">
        <x:v>-0.0066832378877634945</x:v>
      </x:c>
      <x:c r="T37" s="102" t="n">
        <x:v>0</x:v>
      </x:c>
      <x:c r="U37" s="102" t="n">
        <x:v>-0.017941541514476144</x:v>
      </x:c>
      <x:c r="V37" s="105" t="n">
        <x:f>C37-U37</x:f>
        <x:v>0</x:v>
      </x:c>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56" t="str">
        <x:v>2007-06</x:v>
      </x:c>
      <x:c r="B38" s="102" t="n">
        <x:v>-0.04367958327761645</x:v>
      </x:c>
      <x:c r="C38" s="102" t="n">
        <x:v>-0.024093252164027544</x:v>
      </x:c>
      <x:c r="D38" s="102" t="n">
        <x:v>-0.019586331113588908</x:v>
      </x:c>
      <x:c r="E38" s="104" t="n">
        <x:v>1923.534333333333</x:v>
      </x:c>
      <x:c r="F38" s="104" t="n">
        <x:v>1961.5806916959011</x:v>
      </x:c>
      <x:c r="G38" s="102" t="n">
        <x:v>0.0036109531956773125</x:v>
      </x:c>
      <x:c r="H38" s="102" t="n">
        <x:v>-0.002097168106937789</x:v>
      </x:c>
      <x:c r="I38" s="102" t="n">
        <x:v>-0.0004304387810175398</x:v>
      </x:c>
      <x:c r="J38" s="102" t="n">
        <x:v>-0.0032036661707306644</x:v>
      </x:c>
      <x:c r="K38" s="102" t="n">
        <x:v>-0.0005399907022710487</x:v>
      </x:c>
      <x:c r="L38" s="102" t="n">
        <x:v>-0.0018392963421451876</x:v>
      </x:c>
      <x:c r="M38" s="102" t="n">
        <x:v>0.001986189545569931</x:v>
      </x:c>
      <x:c r="N38" s="102" t="n">
        <x:v>-0.008355034524923127</x:v>
      </x:c>
      <x:c r="O38" s="102" t="n">
        <x:v>-0.007141649529915422</x:v>
      </x:c>
      <x:c r="P38" s="102" t="n">
        <x:v>-0.0023215074723118346</x:v>
      </x:c>
      <x:c r="Q38" s="102" t="n">
        <x:v>-6.638735084298834e-7</x:v>
      </x:c>
      <x:c r="R38" s="102" t="n">
        <x:v>-0.0017971356066631833</x:v>
      </x:c>
      <x:c r="S38" s="102" t="n">
        <x:v>-0.0019638437948505615</x:v>
      </x:c>
      <x:c r="T38" s="102" t="n">
        <x:v>0</x:v>
      </x:c>
      <x:c r="U38" s="102" t="n">
        <x:v>-0.024093252164027544</x:v>
      </x:c>
      <x:c r="V38" s="105" t="n">
        <x:f>C38-U38</x:f>
        <x:v>0</x:v>
      </x:c>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56" t="str">
        <x:v>2007-07</x:v>
      </x:c>
      <x:c r="B39" s="102" t="n">
        <x:v>0.014610042929533051</x:v>
      </x:c>
      <x:c r="C39" s="102" t="n">
        <x:v>-0.004614260628847528</x:v>
      </x:c>
      <x:c r="D39" s="102" t="n">
        <x:v>0.01922430355838058</x:v>
      </x:c>
      <x:c r="E39" s="104" t="n">
        <x:v>1951.8435483870976</x:v>
      </x:c>
      <x:c r="F39" s="104" t="n">
        <x:v>1914.6790905016803</x:v>
      </x:c>
      <x:c r="G39" s="102" t="n">
        <x:v>0.0036109531956773125</x:v>
      </x:c>
      <x:c r="H39" s="102" t="n">
        <x:v>-0.00300853920687264</x:v>
      </x:c>
      <x:c r="I39" s="102" t="n">
        <x:v>-0.00011836864547097681</x:v>
      </x:c>
      <x:c r="J39" s="102" t="n">
        <x:v>-0.002755152906828373</x:v>
      </x:c>
      <x:c r="K39" s="102" t="n">
        <x:v>0.0002066462062890593</x:v>
      </x:c>
      <x:c r="L39" s="102" t="n">
        <x:v>-0.008274545412540024</x:v>
      </x:c>
      <x:c r="M39" s="102" t="n">
        <x:v>0.0024557908503784493</x:v>
      </x:c>
      <x:c r="N39" s="102" t="n">
        <x:v>0.0016909900042034749</x:v>
      </x:c>
      <x:c r="O39" s="102" t="n">
        <x:v>0.004652002753615692</x:v>
      </x:c>
      <x:c r="P39" s="102" t="n">
        <x:v>0.0035010789431901145</x:v>
      </x:c>
      <x:c r="Q39" s="102" t="n">
        <x:v>0.00014118672225539613</x:v>
      </x:c>
      <x:c r="R39" s="102" t="n">
        <x:v>-0.001688578031099261</x:v>
      </x:c>
      <x:c r="S39" s="102" t="n">
        <x:v>-0.005027725101645751</x:v>
      </x:c>
      <x:c r="T39" s="102" t="n">
        <x:v>0</x:v>
      </x:c>
      <x:c r="U39" s="102" t="n">
        <x:v>-0.004614260628847526</x:v>
      </x:c>
      <x:c r="V39" s="105" t="n">
        <x:f>C39-U39</x:f>
        <x:v>-1.734723475976807e-18</x:v>
      </x:c>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56" t="str">
        <x:v>2007-08</x:v>
      </x:c>
      <x:c r="B40" s="102" t="n">
        <x:v>0.052030216662443785</x:v>
      </x:c>
      <x:c r="C40" s="102" t="n">
        <x:v>0.025101710469347623</x:v>
      </x:c>
      <x:c r="D40" s="102" t="n">
        <x:v>0.026928506193096162</x:v>
      </x:c>
      <x:c r="E40" s="104" t="n">
        <x:v>2056.0867741935485</x:v>
      </x:c>
      <x:c r="F40" s="104" t="n">
        <x:v>2001.4582619663386</x:v>
      </x:c>
      <x:c r="G40" s="102" t="n">
        <x:v>0.0036109531956773125</x:v>
      </x:c>
      <x:c r="H40" s="102" t="n">
        <x:v>0.0031604314733610713</x:v>
      </x:c>
      <x:c r="I40" s="102" t="n">
        <x:v>0.0008705853874957388</x:v>
      </x:c>
      <x:c r="J40" s="102" t="n">
        <x:v>-0.001550574426633644</x:v>
      </x:c>
      <x:c r="K40" s="102" t="n">
        <x:v>0.0002173553108387395</x:v>
      </x:c>
      <x:c r="L40" s="102" t="n">
        <x:v>0.0037159146040926794</x:v>
      </x:c>
      <x:c r="M40" s="102" t="n">
        <x:v>0.006296139346798486</x:v>
      </x:c>
      <x:c r="N40" s="102" t="n">
        <x:v>0.01143235448449852</x:v>
      </x:c>
      <x:c r="O40" s="102" t="n">
        <x:v>-0.0022687637684168324</x:v>
      </x:c>
      <x:c r="P40" s="102" t="n">
        <x:v>-0.0041798892973381185</x:v>
      </x:c>
      <x:c r="Q40" s="102" t="n">
        <x:v>-0.00010208592735382467</x:v>
      </x:c>
      <x:c r="R40" s="102" t="n">
        <x:v>-0.0017258332519208346</x:v>
      </x:c>
      <x:c r="S40" s="102" t="n">
        <x:v>0.005625123338248331</x:v>
      </x:c>
      <x:c r="T40" s="102" t="n">
        <x:v>0</x:v>
      </x:c>
      <x:c r="U40" s="102" t="n">
        <x:v>0.025101710469347623</x:v>
      </x:c>
      <x:c r="V40" s="105" t="n">
        <x:f>C40-U40</x:f>
        <x:v>0</x:v>
      </x:c>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56" t="str">
        <x:v>2007-09</x:v>
      </x:c>
      <x:c r="B41" s="102" t="n">
        <x:v>0.02747912001290409</x:v>
      </x:c>
      <x:c r="C41" s="102" t="n">
        <x:v>-0.01346393374584982</x:v>
      </x:c>
      <x:c r="D41" s="102" t="n">
        <x:v>0.040943053758753914</x:v>
      </x:c>
      <x:c r="E41" s="104" t="n">
        <x:v>2113.3696666666665</x:v>
      </x:c>
      <x:c r="F41" s="104" t="n">
        <x:v>2028.5892856604182</x:v>
      </x:c>
      <x:c r="G41" s="102" t="n">
        <x:v>0.0036109531956773125</x:v>
      </x:c>
      <x:c r="H41" s="102" t="n">
        <x:v>-0.003279747970678152</x:v>
      </x:c>
      <x:c r="I41" s="102" t="n">
        <x:v>0.0012167406964185992</x:v>
      </x:c>
      <x:c r="J41" s="102" t="n">
        <x:v>-0.004706185604803357</x:v>
      </x:c>
      <x:c r="K41" s="102" t="n">
        <x:v>-0.00011112052354362206</x:v>
      </x:c>
      <x:c r="L41" s="102" t="n">
        <x:v>-0.008909290433963988</x:v>
      </x:c>
      <x:c r="M41" s="102" t="n">
        <x:v>-0.0020356919177224576</x:v>
      </x:c>
      <x:c r="N41" s="102" t="n">
        <x:v>0.0028659660144114262</x:v>
      </x:c>
      <x:c r="O41" s="102" t="n">
        <x:v>0.0009555646932851148</x:v>
      </x:c>
      <x:c r="P41" s="102" t="n">
        <x:v>0.003777854709264327</x:v>
      </x:c>
      <x:c r="Q41" s="102" t="n">
        <x:v>0.00006808731845425533</x:v>
      </x:c>
      <x:c r="R41" s="102" t="n">
        <x:v>-0.0016454808942838453</x:v>
      </x:c>
      <x:c r="S41" s="102" t="n">
        <x:v>-0.005271583028365434</x:v>
      </x:c>
      <x:c r="T41" s="102" t="n">
        <x:v>0</x:v>
      </x:c>
      <x:c r="U41" s="102" t="n">
        <x:v>-0.013463933745849824</x:v>
      </x:c>
      <x:c r="V41" s="105" t="n">
        <x:f>C41-U41</x:f>
        <x:v>3.469446951953614e-18</x:v>
      </x:c>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56" t="str">
        <x:v>2007-10</x:v>
      </x:c>
      <x:c r="B42" s="102" t="n">
        <x:v>-0.054593574392353794</x:v>
      </x:c>
      <x:c r="C42" s="102" t="n">
        <x:v>-0.03923315514669991</x:v>
      </x:c>
      <x:c r="D42" s="102" t="n">
        <x:v>-0.015360419245653886</x:v>
      </x:c>
      <x:c r="E42" s="104" t="n">
        <x:v>2001.086129032258</x:v>
      </x:c>
      <x:c r="F42" s="104" t="n">
        <x:v>2032.0609349026533</x:v>
      </x:c>
      <x:c r="G42" s="102" t="n">
        <x:v>0.0036109531956773125</x:v>
      </x:c>
      <x:c r="H42" s="102" t="n">
        <x:v>-0.00245021352155301</x:v>
      </x:c>
      <x:c r="I42" s="102" t="n">
        <x:v>0.0011692974188790156</x:v>
      </x:c>
      <x:c r="J42" s="102" t="n">
        <x:v>-0.0007945092103411974</x:v>
      </x:c>
      <x:c r="K42" s="102" t="n">
        <x:v>0.00022424928742965927</x:v>
      </x:c>
      <x:c r="L42" s="102" t="n">
        <x:v>-0.013958524434823509</x:v>
      </x:c>
      <x:c r="M42" s="102" t="n">
        <x:v>-0.0025394358782667823</x:v>
      </x:c>
      <x:c r="N42" s="102" t="n">
        <x:v>-0.0029579910544827786</x:v>
      </x:c>
      <x:c r="O42" s="102" t="n">
        <x:v>-0.0048716363306384675</x:v>
      </x:c>
      <x:c r="P42" s="102" t="n">
        <x:v>-0.004244440391383155</x:v>
      </x:c>
      <x:c r="Q42" s="102" t="n">
        <x:v>-0.00009188697578596836</x:v>
      </x:c>
      <x:c r="R42" s="102" t="n">
        <x:v>-0.0011403505691780376</x:v>
      </x:c>
      <x:c r="S42" s="102" t="n">
        <x:v>-0.011188666682232994</x:v>
      </x:c>
      <x:c r="T42" s="102" t="n">
        <x:v>0</x:v>
      </x:c>
      <x:c r="U42" s="102" t="n">
        <x:v>-0.039233155146699915</x:v>
      </x:c>
      <x:c r="V42" s="105" t="n">
        <x:f>C42-U42</x:f>
        <x:v>6.938893903907228e-18</x:v>
      </x:c>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56" t="str">
        <x:v>2007-11</x:v>
      </x:c>
      <x:c r="B43" s="102" t="n">
        <x:v>0.022371041441997086</x:v>
      </x:c>
      <x:c r="C43" s="102" t="n">
        <x:v>-0.0035081024301365496</x:v>
      </x:c>
      <x:c r="D43" s="102" t="n">
        <x:v>0.025879143872133636</x:v>
      </x:c>
      <x:c r="E43" s="104" t="n">
        <x:v>2046.357</x:v>
      </x:c>
      <x:c r="F43" s="104" t="n">
        <x:v>1994.0784129997776</x:v>
      </x:c>
      <x:c r="G43" s="102" t="n">
        <x:v>0.0036109531956773125</x:v>
      </x:c>
      <x:c r="H43" s="102" t="n">
        <x:v>-0.004364068132082051</x:v>
      </x:c>
      <x:c r="I43" s="102" t="n">
        <x:v>0.0014418541091073685</x:v>
      </x:c>
      <x:c r="J43" s="102" t="n">
        <x:v>-0.0017876457232677183</x:v>
      </x:c>
      <x:c r="K43" s="102" t="n">
        <x:v>0.00006478974056421441</x:v>
      </x:c>
      <x:c r="L43" s="102" t="n">
        <x:v>-0.00940810137481739</x:v>
      </x:c>
      <x:c r="M43" s="102" t="n">
        <x:v>0.00494847777783671</x:v>
      </x:c>
      <x:c r="N43" s="102" t="n">
        <x:v>0.005695921832513254</x:v>
      </x:c>
      <x:c r="O43" s="102" t="n">
        <x:v>-0.0012452592228399814</x:v>
      </x:c>
      <x:c r="P43" s="102" t="n">
        <x:v>-0.001182210417109697</x:v>
      </x:c>
      <x:c r="Q43" s="102" t="n">
        <x:v>0.000033040879023768646</x:v>
      </x:c>
      <x:c r="R43" s="102" t="n">
        <x:v>-0.0008228948859735276</x:v>
      </x:c>
      <x:c r="S43" s="102" t="n">
        <x:v>-0.0004929602087688126</x:v>
      </x:c>
      <x:c r="T43" s="102" t="n">
        <x:v>0</x:v>
      </x:c>
      <x:c r="U43" s="102" t="n">
        <x:v>-0.0035081024301365487</x:v>
      </x:c>
      <x:c r="V43" s="105" t="n">
        <x:f>C43-U43</x:f>
        <x:v>-8.673617379884035e-19</x:v>
      </x:c>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56" t="str">
        <x:v>2007-12</x:v>
      </x:c>
      <x:c r="B44" s="102" t="n">
        <x:v>-0.01602051495951251</x:v>
      </x:c>
      <x:c r="C44" s="102" t="n">
        <x:v>0.006705205490604339</x:v>
      </x:c>
      <x:c r="D44" s="102" t="n">
        <x:v>-0.02272572045011685</x:v>
      </x:c>
      <x:c r="E44" s="104" t="n">
        <x:v>2013.8345161290322</x:v>
      </x:c>
      <x:c r="F44" s="104" t="n">
        <x:v>2060.124349063023</x:v>
      </x:c>
      <x:c r="G44" s="102" t="n">
        <x:v>0.0036109531956773125</x:v>
      </x:c>
      <x:c r="H44" s="102" t="n">
        <x:v>0.0006134984067735236</x:v>
      </x:c>
      <x:c r="I44" s="102" t="n">
        <x:v>0.0018005994921567166</x:v>
      </x:c>
      <x:c r="J44" s="102" t="n">
        <x:v>-0.003095275465287603</x:v>
      </x:c>
      <x:c r="K44" s="102" t="n">
        <x:v>0.00007145427651473258</x:v>
      </x:c>
      <x:c r="L44" s="102" t="n">
        <x:v>0.006662671325536128</x:v>
      </x:c>
      <x:c r="M44" s="102" t="n">
        <x:v>-0.002833475575653124</x:v>
      </x:c>
      <x:c r="N44" s="102" t="n">
        <x:v>-0.000782735091851704</x:v>
      </x:c>
      <x:c r="O44" s="102" t="n">
        <x:v>-0.002411389203188922</x:v>
      </x:c>
      <x:c r="P44" s="102" t="n">
        <x:v>0.006020925847473525</x:v>
      </x:c>
      <x:c r="Q44" s="102" t="n">
        <x:v>0.00002016795906817573</x:v>
      </x:c>
      <x:c r="R44" s="102" t="n">
        <x:v>-0.0005674342994938731</x:v>
      </x:c>
      <x:c r="S44" s="102" t="n">
        <x:v>-0.00240475537712055</x:v>
      </x:c>
      <x:c r="T44" s="102" t="n">
        <x:v>0</x:v>
      </x:c>
      <x:c r="U44" s="102" t="n">
        <x:v>0.006705205490604337</x:v>
      </x:c>
      <x:c r="V44" s="105" t="n">
        <x:f>C44-U44</x:f>
        <x:v>1.734723475976807e-18</x:v>
      </x:c>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56" t="str">
        <x:v>2008-01</x:v>
      </x:c>
      <x:c r="B45" s="102" t="n">
        <x:v>-0.015336892620586795</x:v>
      </x:c>
      <x:c r="C45" s="102" t="n">
        <x:v>-0.0020428963501598913</x:v>
      </x:c>
      <x:c r="D45" s="102" t="n">
        <x:v>-0.013293996270426904</x:v>
      </x:c>
      <x:c r="E45" s="104" t="n">
        <x:v>1983.1841935483867</x:v>
      </x:c>
      <x:c r="F45" s="104" t="n">
        <x:v>2009.724660380209</x:v>
      </x:c>
      <x:c r="G45" s="102" t="n">
        <x:v>0.0036109531956773125</x:v>
      </x:c>
      <x:c r="H45" s="102" t="n">
        <x:v>-0.0005167436899492317</x:v>
      </x:c>
      <x:c r="I45" s="102" t="n">
        <x:v>0.0007433073409284055</x:v>
      </x:c>
      <x:c r="J45" s="102" t="n">
        <x:v>-0.004551875684246496</x:v>
      </x:c>
      <x:c r="K45" s="102" t="n">
        <x:v>-0.00007520320334684539</x:v>
      </x:c>
      <x:c r="L45" s="102" t="n">
        <x:v>-0.00424601712512709</x:v>
      </x:c>
      <x:c r="M45" s="102" t="n">
        <x:v>0.0029879766857481833</x:v>
      </x:c>
      <x:c r="N45" s="102" t="n">
        <x:v>0.015089963602246785</x:v>
      </x:c>
      <x:c r="O45" s="102" t="n">
        <x:v>-0.0007177033279656147</x:v>
      </x:c>
      <x:c r="P45" s="102" t="n">
        <x:v>-0.008492498931270527</x:v>
      </x:c>
      <x:c r="Q45" s="102" t="n">
        <x:v>-0.000018522702143315034</x:v>
      </x:c>
      <x:c r="R45" s="102" t="n">
        <x:v>-0.00081566071838159</x:v>
      </x:c>
      <x:c r="S45" s="102" t="n">
        <x:v>-0.005040871792329869</x:v>
      </x:c>
      <x:c r="T45" s="102" t="n">
        <x:v>0</x:v>
      </x:c>
      <x:c r="U45" s="102" t="n">
        <x:v>-0.0020428963501598926</x:v>
      </x:c>
      <x:c r="V45" s="105" t="n">
        <x:f>C45-U45</x:f>
        <x:v>1.3010426069826053e-18</x:v>
      </x:c>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56" t="str">
        <x:v>2008-02</x:v>
      </x:c>
      <x:c r="B46" s="102" t="n">
        <x:v>-0.04006733175866817</x:v>
      </x:c>
      <x:c r="C46" s="102" t="n">
        <x:v>-0.009400525494379535</x:v>
      </x:c>
      <x:c r="D46" s="102" t="n">
        <x:v>-0.03066680626428863</x:v>
      </x:c>
      <x:c r="E46" s="104" t="n">
        <x:v>1905.2941379310348</x:v>
      </x:c>
      <x:c r="F46" s="104" t="n">
        <x:v>1964.628572915591</x:v>
      </x:c>
      <x:c r="G46" s="102" t="n">
        <x:v>0.0036109531956773125</x:v>
      </x:c>
      <x:c r="H46" s="102" t="n">
        <x:v>-0.001134728328996628</x:v>
      </x:c>
      <x:c r="I46" s="102" t="n">
        <x:v>0.0010662529675925768</x:v>
      </x:c>
      <x:c r="J46" s="102" t="n">
        <x:v>-0.0029794095387795276</x:v>
      </x:c>
      <x:c r="K46" s="102" t="n">
        <x:v>-0.00022818077453062272</x:v>
      </x:c>
      <x:c r="L46" s="102" t="n">
        <x:v>-0.005305040214435613</x:v>
      </x:c>
      <x:c r="M46" s="102" t="n">
        <x:v>-0.00023860248229319922</x:v>
      </x:c>
      <x:c r="N46" s="102" t="n">
        <x:v>0.007008734356403024</x:v>
      </x:c>
      <x:c r="O46" s="102" t="n">
        <x:v>-0.00448847823771304</x:v>
      </x:c>
      <x:c r="P46" s="102" t="n">
        <x:v>0.0019462646075143488</x:v>
      </x:c>
      <x:c r="Q46" s="102" t="n">
        <x:v>-0.000034850211423200494</x:v>
      </x:c>
      <x:c r="R46" s="102" t="n">
        <x:v>-0.0008732820991790411</x:v>
      </x:c>
      <x:c r="S46" s="102" t="n">
        <x:v>-0.007750158734215925</x:v>
      </x:c>
      <x:c r="T46" s="102" t="n">
        <x:v>0</x:v>
      </x:c>
      <x:c r="U46" s="102" t="n">
        <x:v>-0.009400525494379535</x:v>
      </x:c>
      <x:c r="V46" s="105" t="n">
        <x:f>C46-U46</x:f>
        <x:v>0</x:v>
      </x:c>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56" t="str">
        <x:v>2008-03</x:v>
      </x:c>
      <x:c r="B47" s="102" t="n">
        <x:v>-0.032974135724953335</x:v>
      </x:c>
      <x:c r="C47" s="102" t="n">
        <x:v>-0.026712512031895067</x:v>
      </x:c>
      <x:c r="D47" s="102" t="n">
        <x:v>-0.006261623693058268</x:v>
      </x:c>
      <x:c r="E47" s="104" t="n">
        <x:v>1843.4932258064518</x:v>
      </x:c>
      <x:c r="F47" s="104" t="n">
        <x:v>1855.0727019944627</x:v>
      </x:c>
      <x:c r="G47" s="102" t="n">
        <x:v>0.0036109531956773125</x:v>
      </x:c>
      <x:c r="H47" s="102" t="n">
        <x:v>-0.0032948569950350115</x:v>
      </x:c>
      <x:c r="I47" s="102" t="n">
        <x:v>0.0008043997830839031</x:v>
      </x:c>
      <x:c r="J47" s="102" t="n">
        <x:v>-0.009962186607252425</x:v>
      </x:c>
      <x:c r="K47" s="102" t="n">
        <x:v>0.00012486983849953787</x:v>
      </x:c>
      <x:c r="L47" s="102" t="n">
        <x:v>-0.012880457124701764</x:v>
      </x:c>
      <x:c r="M47" s="102" t="n">
        <x:v>0.001064961615945176</x:v>
      </x:c>
      <x:c r="N47" s="102" t="n">
        <x:v>0.008432709685676222</x:v>
      </x:c>
      <x:c r="O47" s="102" t="n">
        <x:v>-0.0049806573738577714</x:v>
      </x:c>
      <x:c r="P47" s="102" t="n">
        <x:v>0.0001204517636465082</x:v>
      </x:c>
      <x:c r="Q47" s="102" t="n">
        <x:v>-0.000011015248813359573</x:v>
      </x:c>
      <x:c r="R47" s="102" t="n">
        <x:v>-0.0011771188888144617</x:v>
      </x:c>
      <x:c r="S47" s="102" t="n">
        <x:v>-0.008564565675948937</x:v>
      </x:c>
      <x:c r="T47" s="102" t="n">
        <x:v>0</x:v>
      </x:c>
      <x:c r="U47" s="102" t="n">
        <x:v>-0.02671251203189507</x:v>
      </x:c>
      <x:c r="V47" s="105" t="n">
        <x:f>C47-U47</x:f>
        <x:v>3.469446951953614e-18</x:v>
      </x:c>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56" t="str">
        <x:v>2008-04</x:v>
      </x:c>
      <x:c r="B48" s="102" t="n">
        <x:v>-0.026599862138602326</x:v>
      </x:c>
      <x:c r="C48" s="102" t="n">
        <x:v>-0.015325289417834934</x:v>
      </x:c>
      <x:c r="D48" s="102" t="n">
        <x:v>-0.011274572720767392</x:v>
      </x:c>
      <x:c r="E48" s="104" t="n">
        <x:v>1795.1029999999996</x:v>
      </x:c>
      <x:c r="F48" s="104" t="n">
        <x:v>1815.456542457446</x:v>
      </x:c>
      <x:c r="G48" s="102" t="n">
        <x:v>0.0036109531956773125</x:v>
      </x:c>
      <x:c r="H48" s="102" t="n">
        <x:v>-0.0019328801232198598</x:v>
      </x:c>
      <x:c r="I48" s="102" t="n">
        <x:v>0.000695939490116748</x:v>
      </x:c>
      <x:c r="J48" s="102" t="n">
        <x:v>-0.0057293702969863835</x:v>
      </x:c>
      <x:c r="K48" s="102" t="n">
        <x:v>-0.00020887951241031763</x:v>
      </x:c>
      <x:c r="L48" s="102" t="n">
        <x:v>-0.0021128815366758193</x:v>
      </x:c>
      <x:c r="M48" s="102" t="n">
        <x:v>-0.003883713996019671</x:v>
      </x:c>
      <x:c r="N48" s="102" t="n">
        <x:v>-0.007805091687393703</x:v>
      </x:c>
      <x:c r="O48" s="102" t="n">
        <x:v>-0.0029558731543095893</x:v>
      </x:c>
      <x:c r="P48" s="102" t="n">
        <x:v>0.009433686953220926</x:v>
      </x:c>
      <x:c r="Q48" s="102" t="n">
        <x:v>0.00003892741296504071</x:v>
      </x:c>
      <x:c r="R48" s="102" t="n">
        <x:v>-0.000985149194992698</x:v>
      </x:c>
      <x:c r="S48" s="102" t="n">
        <x:v>-0.0034909569678069187</x:v>
      </x:c>
      <x:c r="T48" s="102" t="n">
        <x:v>0</x:v>
      </x:c>
      <x:c r="U48" s="102" t="n">
        <x:v>-0.015325289417834936</x:v>
      </x:c>
      <x:c r="V48" s="105" t="n">
        <x:f>C48-U48</x:f>
        <x:v>1.734723475976807e-18</x:v>
      </x:c>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56" t="str">
        <x:v>2008-05</x:v>
      </x:c>
      <x:c r="B49" s="102" t="n">
        <x:v>-0.011174022832282304</x:v>
      </x:c>
      <x:c r="C49" s="102" t="n">
        <x:v>-0.013748955393129796</x:v>
      </x:c>
      <x:c r="D49" s="102" t="n">
        <x:v>0.002574932560847492</x:v>
      </x:c>
      <x:c r="E49" s="104" t="n">
        <x:v>1775.1561290322572</x:v>
      </x:c>
      <x:c r="F49" s="104" t="n">
        <x:v>1770.591101556252</x:v>
      </x:c>
      <x:c r="G49" s="102" t="n">
        <x:v>0.0036109531956773125</x:v>
      </x:c>
      <x:c r="H49" s="102" t="n">
        <x:v>-0.004481533034658057</x:v>
      </x:c>
      <x:c r="I49" s="102" t="n">
        <x:v>0.0011946167810357247</x:v>
      </x:c>
      <x:c r="J49" s="102" t="n">
        <x:v>-0.0032773504926574735</x:v>
      </x:c>
      <x:c r="K49" s="102" t="n">
        <x:v>-0.0006171501433034169</x:v>
      </x:c>
      <x:c r="L49" s="102" t="n">
        <x:v>0.002001730379941101</x:v>
      </x:c>
      <x:c r="M49" s="102" t="n">
        <x:v>-0.0027830530279957886</x:v>
      </x:c>
      <x:c r="N49" s="102" t="n">
        <x:v>-0.0038151717480146164</x:v>
      </x:c>
      <x:c r="O49" s="102" t="n">
        <x:v>-0.0008100095610170825</x:v>
      </x:c>
      <x:c r="P49" s="102" t="n">
        <x:v>-0.006718122619931017</x:v>
      </x:c>
      <x:c r="Q49" s="102" t="n">
        <x:v>-0.000011774282168416307</x:v>
      </x:c>
      <x:c r="R49" s="102" t="n">
        <x:v>-0.0009099545052131035</x:v>
      </x:c>
      <x:c r="S49" s="102" t="n">
        <x:v>0.0028678636651750375</x:v>
      </x:c>
      <x:c r="T49" s="102" t="n">
        <x:v>0</x:v>
      </x:c>
      <x:c r="U49" s="102" t="n">
        <x:v>-0.013748955393129796</x:v>
      </x:c>
      <x:c r="V49" s="105" t="n">
        <x:f>C49-U49</x:f>
        <x:v>0</x:v>
      </x:c>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56" t="str">
        <x:v>2008-06</x:v>
      </x:c>
      <x:c r="B50" s="102" t="n">
        <x:v>-0.024446263124291434</x:v>
      </x:c>
      <x:c r="C50" s="102" t="n">
        <x:v>0.014583563708285585</x:v>
      </x:c>
      <x:c r="D50" s="102" t="n">
        <x:v>-0.03902982683257702</x:v>
      </x:c>
      <x:c r="E50" s="104" t="n">
        <x:v>1732.2863333333335</x:v>
      </x:c>
      <x:c r="F50" s="104" t="n">
        <x:v>1801.2339229319928</x:v>
      </x:c>
      <x:c r="G50" s="102" t="n">
        <x:v>0.0036109531956773125</x:v>
      </x:c>
      <x:c r="H50" s="102" t="n">
        <x:v>-0.0028246026907665627</x:v>
      </x:c>
      <x:c r="I50" s="102" t="n">
        <x:v>0.0008745960916763577</x:v>
      </x:c>
      <x:c r="J50" s="102" t="n">
        <x:v>-0.00297940953877951</x:v>
      </x:c>
      <x:c r="K50" s="102" t="n">
        <x:v>0.00044598659281031315</x:v>
      </x:c>
      <x:c r="L50" s="102" t="n">
        <x:v>0.0017896768561848182</x:v>
      </x:c>
      <x:c r="M50" s="102" t="n">
        <x:v>0.003209050196095955</x:v>
      </x:c>
      <x:c r="N50" s="102" t="n">
        <x:v>0.009479905822499149</x:v>
      </x:c>
      <x:c r="O50" s="102" t="n">
        <x:v>-0.0017113948725855758</x:v>
      </x:c>
      <x:c r="P50" s="102" t="n">
        <x:v>0.0015714126926738338</x:v>
      </x:c>
      <x:c r="Q50" s="102" t="n">
        <x:v>0.00002840776414128753</x:v>
      </x:c>
      <x:c r="R50" s="102" t="n">
        <x:v>-0.0011201970755046122</x:v>
      </x:c>
      <x:c r="S50" s="102" t="n">
        <x:v>0.0022091786741628198</x:v>
      </x:c>
      <x:c r="T50" s="102" t="n">
        <x:v>0</x:v>
      </x:c>
      <x:c r="U50" s="102" t="n">
        <x:v>0.014583563708285587</x:v>
      </x:c>
      <x:c r="V50" s="105" t="n">
        <x:f>C50-U50</x:f>
        <x:v>-1.734723475976807e-18</x:v>
      </x:c>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56" t="str">
        <x:v>2008-07</x:v>
      </x:c>
      <x:c r="B51" s="102" t="n">
        <x:v>0.02775824529879145</x:v>
      </x:c>
      <x:c r="C51" s="102" t="n">
        <x:v>-0.0000032000218859256083</x:v>
      </x:c>
      <x:c r="D51" s="102" t="n">
        <x:v>0.027761445320677376</x:v>
      </x:c>
      <x:c r="E51" s="104" t="n">
        <x:v>1781.0451612903223</x:v>
      </x:c>
      <x:c r="F51" s="104" t="n">
        <x:v>1732.280789988024</x:v>
      </x:c>
      <x:c r="G51" s="102" t="n">
        <x:v>0.0036109531956773125</x:v>
      </x:c>
      <x:c r="H51" s="102" t="n">
        <x:v>-0.00011292445850106397</x:v>
      </x:c>
      <x:c r="I51" s="102" t="n">
        <x:v>0.0003666180941890358</x:v>
      </x:c>
      <x:c r="J51" s="102" t="n">
        <x:v>0.00019862730258529714</x:v>
      </x:c>
      <x:c r="K51" s="102" t="n">
        <x:v>-0.0006386251886533468</x:v>
      </x:c>
      <x:c r="L51" s="102" t="n">
        <x:v>-0.004470733853855118</x:v>
      </x:c>
      <x:c r="M51" s="102" t="n">
        <x:v>0.001618757895191943</x:v>
      </x:c>
      <x:c r="N51" s="102" t="n">
        <x:v>0.011959519477977824</x:v>
      </x:c>
      <x:c r="O51" s="102" t="n">
        <x:v>-0.004704524143419132</x:v>
      </x:c>
      <x:c r="P51" s="102" t="n">
        <x:v>-0.003727954252188567</x:v>
      </x:c>
      <x:c r="Q51" s="102" t="n">
        <x:v>-0.00007077694260343305</x:v>
      </x:c>
      <x:c r="R51" s="102" t="n">
        <x:v>-0.0010987881173884363</x:v>
      </x:c>
      <x:c r="S51" s="102" t="n">
        <x:v>-0.002933349030898242</x:v>
      </x:c>
      <x:c r="T51" s="102" t="n">
        <x:v>0</x:v>
      </x:c>
      <x:c r="U51" s="102" t="n">
        <x:v>-0.000003200021885925875</x:v>
      </x:c>
      <x:c r="V51" s="105" t="n">
        <x:f>C51-U51</x:f>
        <x:v>2.668153783851046e-19</x:v>
      </x:c>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56" t="str">
        <x:v>2008-08</x:v>
      </x:c>
      <x:c r="B52" s="102" t="n">
        <x:v>0.03662079024300713</x:v>
      </x:c>
      <x:c r="C52" s="102" t="n">
        <x:v>0.00752569156984862</x:v>
      </x:c>
      <x:c r="D52" s="102" t="n">
        <x:v>0.029095098673158508</x:v>
      </x:c>
      <x:c r="E52" s="104" t="n">
        <x:v>1847.4774193548383</x:v>
      </x:c>
      <x:c r="F52" s="104" t="n">
        <x:v>1794.4993202724568</x:v>
      </x:c>
      <x:c r="G52" s="102" t="n">
        <x:v>0.0036109531956773125</x:v>
      </x:c>
      <x:c r="H52" s="102" t="n">
        <x:v>0.00599984823573825</x:v>
      </x:c>
      <x:c r="I52" s="102" t="n">
        <x:v>0.001265215699146137</x:v>
      </x:c>
      <x:c r="J52" s="102" t="n">
        <x:v>-0.0002210529657804267</x:v>
      </x:c>
      <x:c r="K52" s="102" t="n">
        <x:v>-0.0001186682131760779</x:v>
      </x:c>
      <x:c r="L52" s="102" t="n">
        <x:v>0.017800675957851023</x:v>
      </x:c>
      <x:c r="M52" s="102" t="n">
        <x:v>-0.0027416872699814665</x:v>
      </x:c>
      <x:c r="N52" s="102" t="n">
        <x:v>-0.013005320026334708</x:v>
      </x:c>
      <x:c r="O52" s="102" t="n">
        <x:v>-0.004884176780790238</x:v>
      </x:c>
      <x:c r="P52" s="102" t="n">
        <x:v>-0.0019909690284453867</x:v>
      </x:c>
      <x:c r="Q52" s="102" t="n">
        <x:v>0.000016057917768520776</x:v>
      </x:c>
      <x:c r="R52" s="102" t="n">
        <x:v>-0.000973023809202168</x:v>
      </x:c>
      <x:c r="S52" s="102" t="n">
        <x:v>0.0027678386573778526</x:v>
      </x:c>
      <x:c r="T52" s="102" t="n">
        <x:v>0</x:v>
      </x:c>
      <x:c r="U52" s="102" t="n">
        <x:v>0.007525691569848621</x:v>
      </x:c>
      <x:c r="V52" s="105" t="n">
        <x:f>C52-U52</x:f>
        <x:v>-8.673617379884035e-19</x:v>
      </x:c>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56" t="str">
        <x:v>2008-09</x:v>
      </x:c>
      <x:c r="B53" s="102" t="n">
        <x:v>0.11188372817531445</x:v>
      </x:c>
      <x:c r="C53" s="102" t="n">
        <x:v>0.04772210041138848</x:v>
      </x:c>
      <x:c r="D53" s="102" t="n">
        <x:v>0.06416162776392596</x:v>
      </x:c>
      <x:c r="E53" s="104" t="n">
        <x:v>2066.1870000000004</x:v>
      </x:c>
      <x:c r="F53" s="104" t="n">
        <x:v>1937.7805115221424</x:v>
      </x:c>
      <x:c r="G53" s="102" t="n">
        <x:v>0.0036109531956773125</x:v>
      </x:c>
      <x:c r="H53" s="102" t="n">
        <x:v>0.005762467915921443</x:v>
      </x:c>
      <x:c r="I53" s="102" t="n">
        <x:v>-0.000558984143808744</x:v>
      </x:c>
      <x:c r="J53" s="102" t="n">
        <x:v>-0.0022617883165358403</x:v>
      </x:c>
      <x:c r="K53" s="102" t="n">
        <x:v>0.0004426047901414754</x:v>
      </x:c>
      <x:c r="L53" s="102" t="n">
        <x:v>0.01613513478256409</x:v>
      </x:c>
      <x:c r="M53" s="102" t="n">
        <x:v>0.006439412579939403</x:v>
      </x:c>
      <x:c r="N53" s="102" t="n">
        <x:v>0.0035842598939349614</x:v>
      </x:c>
      <x:c r="O53" s="102" t="n">
        <x:v>-0.002827643400157619</x:v>
      </x:c>
      <x:c r="P53" s="102" t="n">
        <x:v>0.0010802215042621111</x:v>
      </x:c>
      <x:c r="Q53" s="102" t="n">
        <x:v>0.000030515456498742763</x:v>
      </x:c>
      <x:c r="R53" s="102" t="n">
        <x:v>-0.001267921848390164</x:v>
      </x:c>
      <x:c r="S53" s="102" t="n">
        <x:v>0.017552868001341308</x:v>
      </x:c>
      <x:c r="T53" s="102" t="n">
        <x:v>0</x:v>
      </x:c>
      <x:c r="U53" s="102" t="n">
        <x:v>0.04772210041138848</x:v>
      </x:c>
      <x:c r="V53" s="105" t="n">
        <x:f>C53-U53</x:f>
        <x:v>0</x:v>
      </x:c>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56" t="str">
        <x:v>2008-10</x:v>
      </x:c>
      <x:c r="B54" s="102" t="n">
        <x:v>0.10234815173954459</x:v>
      </x:c>
      <x:c r="C54" s="102" t="n">
        <x:v>0.13339658248020927</x:v>
      </x:c>
      <x:c r="D54" s="102" t="n">
        <x:v>-0.031048430740664684</x:v>
      </x:c>
      <x:c r="E54" s="104" t="n">
        <x:v>2288.8580645161287</x:v>
      </x:c>
      <x:c r="F54" s="104" t="n">
        <x:v>2361.0382580648197</x:v>
      </x:c>
      <x:c r="G54" s="102" t="n">
        <x:v>0.0036109531956773125</x:v>
      </x:c>
      <x:c r="H54" s="102" t="n">
        <x:v>0.011580173557001744</x:v>
      </x:c>
      <x:c r="I54" s="102" t="n">
        <x:v>0.0009808195502604604</x:v>
      </x:c>
      <x:c r="J54" s="102" t="n">
        <x:v>-0.0018869593745603581</x:v>
      </x:c>
      <x:c r="K54" s="102" t="n">
        <x:v>-0.000085791730739311</x:v>
      </x:c>
      <x:c r="L54" s="102" t="n">
        <x:v>0.044868745816361674</x:v>
      </x:c>
      <x:c r="M54" s="102" t="n">
        <x:v>0.011966487922864689</x:v>
      </x:c>
      <x:c r="N54" s="102" t="n">
        <x:v>0.013833445391907274</x:v>
      </x:c>
      <x:c r="O54" s="102" t="n">
        <x:v>-0.004208894825394299</x:v>
      </x:c>
      <x:c r="P54" s="102" t="n">
        <x:v>0.0008609844333936663</x:v>
      </x:c>
      <x:c r="Q54" s="102" t="n">
        <x:v>-0.000012387139505548308</x:v>
      </x:c>
      <x:c r="R54" s="102" t="n">
        <x:v>-0.0013346337204278717</x:v>
      </x:c>
      <x:c r="S54" s="102" t="n">
        <x:v>0.05322363940336985</x:v>
      </x:c>
      <x:c r="T54" s="102" t="n">
        <x:v>0</x:v>
      </x:c>
      <x:c r="U54" s="102" t="n">
        <x:v>0.13339658248020927</x:v>
      </x:c>
      <x:c r="V54" s="105" t="n">
        <x:f>C54-U54</x:f>
        <x:v>0</x:v>
      </x:c>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56" t="str">
        <x:v>2008-11</x:v>
      </x:c>
      <x:c r="B55" s="102" t="n">
        <x:v>0.019384962015591256</x:v>
      </x:c>
      <x:c r="C55" s="102" t="n">
        <x:v>0.045569272619345666</x:v>
      </x:c>
      <x:c r="D55" s="102" t="n">
        <x:v>-0.02618431060375441</x:v>
      </x:c>
      <x:c r="E55" s="104" t="n">
        <x:v>2333.660333333334</x:v>
      </x:c>
      <x:c r="F55" s="104" t="n">
        <x:v>2395.5726486826193</x:v>
      </x:c>
      <x:c r="G55" s="102" t="n">
        <x:v>0.0036109531956773125</x:v>
      </x:c>
      <x:c r="H55" s="102" t="n">
        <x:v>0.011756111815558168</x:v>
      </x:c>
      <x:c r="I55" s="102" t="n">
        <x:v>-0.00008468004460251519</x:v>
      </x:c>
      <x:c r="J55" s="102" t="n">
        <x:v>-0.008342346708582657</x:v>
      </x:c>
      <x:c r="K55" s="102" t="n">
        <x:v>-0.00005966582621890215</x:v>
      </x:c>
      <x:c r="L55" s="102" t="n">
        <x:v>0.017188806904178407</x:v>
      </x:c>
      <x:c r="M55" s="102" t="n">
        <x:v>0.0004090673986590101</x:v>
      </x:c>
      <x:c r="N55" s="102" t="n">
        <x:v>0.0032486809294527946</x:v>
      </x:c>
      <x:c r="O55" s="102" t="n">
        <x:v>0.006436730440336433</x:v>
      </x:c>
      <x:c r="P55" s="102" t="n">
        <x:v>0.002688633978036346</x:v>
      </x:c>
      <x:c r="Q55" s="102" t="n">
        <x:v>0.00012645615774420956</x:v>
      </x:c>
      <x:c r="R55" s="102" t="n">
        <x:v>-0.0021737693597621657</x:v>
      </x:c>
      <x:c r="S55" s="102" t="n">
        <x:v>0.010764293738869215</x:v>
      </x:c>
      <x:c r="T55" s="102" t="n">
        <x:v>0</x:v>
      </x:c>
      <x:c r="U55" s="102" t="n">
        <x:v>0.045569272619345666</x:v>
      </x:c>
      <x:c r="V55" s="105" t="n">
        <x:f>C55-U55</x:f>
        <x:v>0</x:v>
      </x:c>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56" t="str">
        <x:v>2008-12</x:v>
      </x:c>
      <x:c r="B56" s="102" t="n">
        <x:v>-0.03583674791915925</x:v>
      </x:c>
      <x:c r="C56" s="102" t="n">
        <x:v>-0.008375325851718688</x:v>
      </x:c>
      <x:c r="D56" s="102" t="n">
        <x:v>-0.027461422067440563</x:v>
      </x:c>
      <x:c r="E56" s="104" t="n">
        <x:v>2251.5103225806456</x:v>
      </x:c>
      <x:c r="F56" s="104" t="n">
        <x:v>2314.19678815514</x:v>
      </x:c>
      <x:c r="G56" s="102" t="n">
        <x:v>0.0036109531956773125</x:v>
      </x:c>
      <x:c r="H56" s="102" t="n">
        <x:v>0.010297670539223331</x:v>
      </x:c>
      <x:c r="I56" s="102" t="n">
        <x:v>-0.0018042748480593196</x:v>
      </x:c>
      <x:c r="J56" s="102" t="n">
        <x:v>-0.00576019177497374</x:v>
      </x:c>
      <x:c r="K56" s="102" t="n">
        <x:v>0.0005906679994164</x:v>
      </x:c>
      <x:c r="L56" s="102" t="n">
        <x:v>-0.006905476671653889</x:v>
      </x:c>
      <x:c r="M56" s="102" t="n">
        <x:v>-0.003037459884424276</x:v>
      </x:c>
      <x:c r="N56" s="102" t="n">
        <x:v>-0.005471085647176075</x:v>
      </x:c>
      <x:c r="O56" s="102" t="n">
        <x:v>-0.001898206046498871</x:v>
      </x:c>
      <x:c r="P56" s="102" t="n">
        <x:v>-0.000760091164104031</x:v>
      </x:c>
      <x:c r="Q56" s="102" t="n">
        <x:v>-0.00009795964335184658</x:v>
      </x:c>
      <x:c r="R56" s="102" t="n">
        <x:v>-0.003370667072294111</x:v>
      </x:c>
      <x:c r="S56" s="102" t="n">
        <x:v>0.006230795166500432</x:v>
      </x:c>
      <x:c r="T56" s="102" t="n">
        <x:v>0</x:v>
      </x:c>
      <x:c r="U56" s="102" t="n">
        <x:v>-0.008375325851718686</x:v>
      </x:c>
      <x:c r="V56" s="105" t="n">
        <x:f>C56-U56</x:f>
        <x:v>-1.734723475976807e-18</x:v>
      </x:c>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56" t="str">
        <x:v>2009-01</x:v>
      </x:c>
      <x:c r="B57" s="102" t="n">
        <x:v>0.000886037422334951</x:v>
      </x:c>
      <x:c r="C57" s="102" t="n">
        <x:v>-0.040530601672205624</x:v>
      </x:c>
      <x:c r="D57" s="102" t="n">
        <x:v>0.041416639094540575</x:v>
      </x:c>
      <x:c r="E57" s="104" t="n">
        <x:v>2253.506129032258</x:v>
      </x:c>
      <x:c r="F57" s="104" t="n">
        <x:v>2162.0798324955613</x:v>
      </x:c>
      <x:c r="G57" s="102" t="n">
        <x:v>0.0036109531956773125</x:v>
      </x:c>
      <x:c r="H57" s="102" t="n">
        <x:v>-0.003169141951700728</x:v>
      </x:c>
      <x:c r="I57" s="102" t="n">
        <x:v>0.00006315617024342521</x:v>
      </x:c>
      <x:c r="J57" s="102" t="n">
        <x:v>-0.000682380894365629</x:v>
      </x:c>
      <x:c r="K57" s="102" t="n">
        <x:v>-0.000009059618982528318</x:v>
      </x:c>
      <x:c r="L57" s="102" t="n">
        <x:v>0.0043222028400029715</x:v>
      </x:c>
      <x:c r="M57" s="102" t="n">
        <x:v>-0.002707073222976722</x:v>
      </x:c>
      <x:c r="N57" s="102" t="n">
        <x:v>-0.01990599956965127</x:v>
      </x:c>
      <x:c r="O57" s="102" t="n">
        <x:v>-0.004043309313695763</x:v>
      </x:c>
      <x:c r="P57" s="102" t="n">
        <x:v>-0.009027332714270773</x:v>
      </x:c>
      <x:c r="Q57" s="102" t="n">
        <x:v>-0.00003836795478206102</x:v>
      </x:c>
      <x:c r="R57" s="102" t="n">
        <x:v>-0.003847740596498512</x:v>
      </x:c>
      <x:c r="S57" s="102" t="n">
        <x:v>-0.005096508041205346</x:v>
      </x:c>
      <x:c r="T57" s="102" t="n">
        <x:v>0</x:v>
      </x:c>
      <x:c r="U57" s="102" t="n">
        <x:v>-0.040530601672205624</x:v>
      </x:c>
      <x:c r="V57" s="105" t="n">
        <x:f>C57-U57</x:f>
        <x:v>0</x:v>
      </x:c>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56" t="str">
        <x:v>2009-02</x:v>
      </x:c>
      <x:c r="B58" s="102" t="n">
        <x:v>0.10872901270107249</x:v>
      </x:c>
      <x:c r="C58" s="102" t="n">
        <x:v>0.03346540483058182</x:v>
      </x:c>
      <x:c r="D58" s="102" t="n">
        <x:v>0.07526360787049066</x:v>
      </x:c>
      <x:c r="E58" s="104" t="n">
        <x:v>2512.344285714285</x:v>
      </x:c>
      <x:c r="F58" s="104" t="n">
        <x:v>2330.196707325585</x:v>
      </x:c>
      <x:c r="G58" s="102" t="n">
        <x:v>0.0036109531956773125</x:v>
      </x:c>
      <x:c r="H58" s="102" t="n">
        <x:v>0.00010001964094187974</x:v>
      </x:c>
      <x:c r="I58" s="102" t="n">
        <x:v>-0.0008167933430788494</x:v>
      </x:c>
      <x:c r="J58" s="102" t="n">
        <x:v>0.0032645358279745447</x:v>
      </x:c>
      <x:c r="K58" s="102" t="n">
        <x:v>-0.0005291624773952203</x:v>
      </x:c>
      <x:c r="L58" s="102" t="n">
        <x:v>0.01615933192578179</x:v>
      </x:c>
      <x:c r="M58" s="102" t="n">
        <x:v>0.0003340015781711891</x:v>
      </x:c>
      <x:c r="N58" s="102" t="n">
        <x:v>-0.006494094778208476</x:v>
      </x:c>
      <x:c r="O58" s="102" t="n">
        <x:v>0.003883612045921094</x:v>
      </x:c>
      <x:c r="P58" s="102" t="n">
        <x:v>0.015879045846148084</x:v>
      </x:c>
      <x:c r="Q58" s="102" t="n">
        <x:v>0.00012024086481420345</x:v>
      </x:c>
      <x:c r="R58" s="102" t="n">
        <x:v>-0.0036212927404575025</x:v>
      </x:c>
      <x:c r="S58" s="102" t="n">
        <x:v>0.001575007244291768</x:v>
      </x:c>
      <x:c r="T58" s="102" t="n">
        <x:v>0</x:v>
      </x:c>
      <x:c r="U58" s="102" t="n">
        <x:v>0.033465404830581816</x:v>
      </x:c>
      <x:c r="V58" s="105" t="n">
        <x:f>C58-U58</x:f>
        <x:v>6.938893903907228e-18</x:v>
      </x:c>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56" t="str">
        <x:v>2009-03</x:v>
      </x:c>
      <x:c r="B59" s="102" t="n">
        <x:v>-0.017145994497894</x:v>
      </x:c>
      <x:c r="C59" s="102" t="n">
        <x:v>-0.0005386608339312361</x:v>
      </x:c>
      <x:c r="D59" s="102" t="n">
        <x:v>-0.016607333663962765</x:v>
      </x:c>
      <x:c r="E59" s="104" t="n">
        <x:v>2469.634838709678</x:v>
      </x:c>
      <x:c r="F59" s="104" t="n">
        <x:v>2510.9913486660325</x:v>
      </x:c>
      <x:c r="G59" s="102" t="n">
        <x:v>0.0036109531956773125</x:v>
      </x:c>
      <x:c r="H59" s="102" t="n">
        <x:v>-0.0027070431809249388</x:v>
      </x:c>
      <x:c r="I59" s="102" t="n">
        <x:v>0.0002252159737101136</x:v>
      </x:c>
      <x:c r="J59" s="102" t="n">
        <x:v>0.0054835323178013635</x:v>
      </x:c>
      <x:c r="K59" s="102" t="n">
        <x:v>-0.0001275712690297596</x:v>
      </x:c>
      <x:c r="L59" s="102" t="n">
        <x:v>0.0028293384003859052</x:v>
      </x:c>
      <x:c r="M59" s="102" t="n">
        <x:v>-0.00029131648553871174</x:v>
      </x:c>
      <x:c r="N59" s="102" t="n">
        <x:v>-0.0006513645973840464</x:v>
      </x:c>
      <x:c r="O59" s="102" t="n">
        <x:v>0.0026968104050610945</x:v>
      </x:c>
      <x:c r="P59" s="102" t="n">
        <x:v>-0.005002138527277449</x:v>
      </x:c>
      <x:c r="Q59" s="102" t="n">
        <x:v>-0.000012773389255036855</x:v>
      </x:c>
      <x:c r="R59" s="102" t="n">
        <x:v>-0.003157694473411549</x:v>
      </x:c>
      <x:c r="S59" s="102" t="n">
        <x:v>-0.003434609203745535</x:v>
      </x:c>
      <x:c r="T59" s="102" t="n">
        <x:v>0</x:v>
      </x:c>
      <x:c r="U59" s="102" t="n">
        <x:v>-0.000538660833931236</x:v>
      </x:c>
      <x:c r="V59" s="105" t="n">
        <x:f>C59-U59</x:f>
        <x:v>-1.0842021724855044e-19</x:v>
      </x:c>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56" t="str">
        <x:v>2009-04</x:v>
      </x:c>
      <x:c r="B60" s="102" t="n">
        <x:v>-0.03923807027332327</x:v>
      </x:c>
      <x:c r="C60" s="102" t="n">
        <x:v>-0.035879045596353</x:v>
      </x:c>
      <x:c r="D60" s="102" t="n">
        <x:v>-0.0033590246769702667</x:v>
      </x:c>
      <x:c r="E60" s="104" t="n">
        <x:v>2374.607666666667</x:v>
      </x:c>
      <x:c r="F60" s="104" t="n">
        <x:v>2382.59744383404</x:v>
      </x:c>
      <x:c r="G60" s="102" t="n">
        <x:v>0.0036109531956773125</x:v>
      </x:c>
      <x:c r="H60" s="102" t="n">
        <x:v>-0.002848236918543435</x:v>
      </x:c>
      <x:c r="I60" s="102" t="n">
        <x:v>-0.00004737511590526656</x:v>
      </x:c>
      <x:c r="J60" s="102" t="n">
        <x:v>0.01195402264948565</x:v>
      </x:c>
      <x:c r="K60" s="102" t="n">
        <x:v>0.00012721276077030727</x:v>
      </x:c>
      <x:c r="L60" s="102" t="n">
        <x:v>-0.016719335275596794</x:v>
      </x:c>
      <x:c r="M60" s="102" t="n">
        <x:v>-0.0027653863949300946</x:v>
      </x:c>
      <x:c r="N60" s="102" t="n">
        <x:v>-0.007422079046421673</x:v>
      </x:c>
      <x:c r="O60" s="102" t="n">
        <x:v>-0.00479461331754499</x:v>
      </x:c>
      <x:c r="P60" s="102" t="n">
        <x:v>0.0032651435973340063</x:v>
      </x:c>
      <x:c r="Q60" s="102" t="n">
        <x:v>-0.00009714616258849129</x:v>
      </x:c>
      <x:c r="R60" s="102" t="n">
        <x:v>-0.0033017681402073957</x:v>
      </x:c>
      <x:c r="S60" s="102" t="n">
        <x:v>-0.01684043742788214</x:v>
      </x:c>
      <x:c r="T60" s="102" t="n">
        <x:v>0</x:v>
      </x:c>
      <x:c r="U60" s="102" t="n">
        <x:v>-0.035879045596353</x:v>
      </x:c>
      <x:c r="V60" s="105" t="n">
        <x:f>C60-U60</x:f>
        <x:v>0</x:v>
      </x:c>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56" t="str">
        <x:v>2009-05</x:v>
      </x:c>
      <x:c r="B61" s="102" t="n">
        <x:v>-0.06403417564529601</x:v>
      </x:c>
      <x:c r="C61" s="102" t="n">
        <x:v>-0.046356229028885754</x:v>
      </x:c>
      <x:c r="D61" s="102" t="n">
        <x:v>-0.017677946616410256</x:v>
      </x:c>
      <x:c r="E61" s="104" t="n">
        <x:v>2227.3177419354834</x:v>
      </x:c>
      <x:c r="F61" s="104" t="n">
        <x:v>2267.042235292611</x:v>
      </x:c>
      <x:c r="G61" s="102" t="n">
        <x:v>0.0036109531956773125</x:v>
      </x:c>
      <x:c r="H61" s="102" t="n">
        <x:v>-0.005016845102800957</x:v>
      </x:c>
      <x:c r="I61" s="102" t="n">
        <x:v>-0.0008834614825373637</x:v>
      </x:c>
      <x:c r="J61" s="102" t="n">
        <x:v>0.0073908578558756575</x:v>
      </x:c>
      <x:c r="K61" s="102" t="n">
        <x:v>-0.0003240856174164979</x:v>
      </x:c>
      <x:c r="L61" s="102" t="n">
        <x:v>-0.020002352326319858</x:v>
      </x:c>
      <x:c r="M61" s="102" t="n">
        <x:v>-0.002958523077381662</x:v>
      </x:c>
      <x:c r="N61" s="102" t="n">
        <x:v>-0.010801159901999912</x:v>
      </x:c>
      <x:c r="O61" s="102" t="n">
        <x:v>0.004096015857661325</x:v>
      </x:c>
      <x:c r="P61" s="102" t="n">
        <x:v>-0.006612375697658793</x:v>
      </x:c>
      <x:c r="Q61" s="102" t="n">
        <x:v>0.00004754139918983928</x:v>
      </x:c>
      <x:c r="R61" s="102" t="n">
        <x:v>-0.0032790332945588857</x:v>
      </x:c>
      <x:c r="S61" s="102" t="n">
        <x:v>-0.011623760836615961</x:v>
      </x:c>
      <x:c r="T61" s="102" t="n">
        <x:v>0</x:v>
      </x:c>
      <x:c r="U61" s="102" t="n">
        <x:v>-0.046356229028885754</x:v>
      </x:c>
      <x:c r="V61" s="105" t="n">
        <x:f>C61-U61</x:f>
        <x:v>0</x:v>
      </x:c>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56" t="str">
        <x:v>2009-06</x:v>
      </x:c>
      <x:c r="B62" s="102" t="n">
        <x:v>-0.0638922362952794</x:v>
      </x:c>
      <x:c r="C62" s="102" t="n">
        <x:v>-0.0034714196573338387</x:v>
      </x:c>
      <x:c r="D62" s="102" t="n">
        <x:v>-0.06042081663794557</x:v>
      </x:c>
      <x:c r="E62" s="104" t="n">
        <x:v>2089.460333333333</x:v>
      </x:c>
      <x:c r="F62" s="104" t="n">
        <x:v>2219.599192256734</x:v>
      </x:c>
      <x:c r="G62" s="102" t="n">
        <x:v>0.0036109531956773125</x:v>
      </x:c>
      <x:c r="H62" s="102" t="n">
        <x:v>-0.006808895624122046</x:v>
      </x:c>
      <x:c r="I62" s="102" t="n">
        <x:v>-0.0008690444923420844</x:v>
      </x:c>
      <x:c r="J62" s="102" t="n">
        <x:v>0.009268206231923815</x:v>
      </x:c>
      <x:c r="K62" s="102" t="n">
        <x:v>0.0007687012960969039</x:v>
      </x:c>
      <x:c r="L62" s="102" t="n">
        <x:v>-0.00977009563343483</x:v>
      </x:c>
      <x:c r="M62" s="102" t="n">
        <x:v>-0.0015779754784273486</x:v>
      </x:c>
      <x:c r="N62" s="102" t="n">
        <x:v>0.005900428435093954</x:v>
      </x:c>
      <x:c r="O62" s="102" t="n">
        <x:v>-0.0016483626901110146</x:v>
      </x:c>
      <x:c r="P62" s="102" t="n">
        <x:v>0.008177212496795951</x:v>
      </x:c>
      <x:c r="Q62" s="102" t="n">
        <x:v>-0.000027310085173154656</x:v>
      </x:c>
      <x:c r="R62" s="102" t="n">
        <x:v>-0.0030669945160026624</x:v>
      </x:c>
      <x:c r="S62" s="102" t="n">
        <x:v>-0.007428242793308632</x:v>
      </x:c>
      <x:c r="T62" s="102" t="n">
        <x:v>0</x:v>
      </x:c>
      <x:c r="U62" s="102" t="n">
        <x:v>-0.0034714196573338374</x:v>
      </x:c>
      <x:c r="V62" s="105" t="n">
        <x:f>C62-U62</x:f>
        <x:v>-1.3010426069826053e-18</x:v>
      </x:c>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56" t="str">
        <x:v>2009-07</x:v>
      </x:c>
      <x:c r="B63" s="102" t="n">
        <x:v>-0.019436983627482363</x:v>
      </x:c>
      <x:c r="C63" s="102" t="n">
        <x:v>0.003383048815013264</x:v>
      </x:c>
      <x:c r="D63" s="102" t="n">
        <x:v>-0.022820032442495627</x:v>
      </x:c>
      <x:c r="E63" s="104" t="n">
        <x:v>2049.239677419354</x:v>
      </x:c>
      <x:c r="F63" s="104" t="n">
        <x:v>2096.5410500900052</x:v>
      </x:c>
      <x:c r="G63" s="102" t="n">
        <x:v>0.0036109531956773125</x:v>
      </x:c>
      <x:c r="H63" s="102" t="n">
        <x:v>0.002373171899279438</x:v>
      </x:c>
      <x:c r="I63" s="102" t="n">
        <x:v>-0.0006835643301754638</x:v>
      </x:c>
      <x:c r="J63" s="102" t="n">
        <x:v>0.012514587951597569</x:v>
      </x:c>
      <x:c r="K63" s="102" t="n">
        <x:v>0.0007033718067249122</x:v>
      </x:c>
      <x:c r="L63" s="102" t="n">
        <x:v>-0.0024975848060558564</x:v>
      </x:c>
      <x:c r="M63" s="102" t="n">
        <x:v>-0.0018305115837096832</x:v>
      </x:c>
      <x:c r="N63" s="102" t="n">
        <x:v>-0.002418442230839279</x:v>
      </x:c>
      <x:c r="O63" s="102" t="n">
        <x:v>-0.001327730361533945</x:v>
      </x:c>
      <x:c r="P63" s="102" t="n">
        <x:v>-0.0004884145790753057</x:v>
      </x:c>
      <x:c r="Q63" s="102" t="n">
        <x:v>-0.0000066192497526740436</x:v>
      </x:c>
      <x:c r="R63" s="102" t="n">
        <x:v>-0.0026553096796562174</x:v>
      </x:c>
      <x:c r="S63" s="102" t="n">
        <x:v>-0.003910859217467541</x:v>
      </x:c>
      <x:c r="T63" s="102" t="n">
        <x:v>0</x:v>
      </x:c>
      <x:c r="U63" s="102" t="n">
        <x:v>0.0033830488150132674</x:v>
      </x:c>
      <x:c r="V63" s="105" t="n">
        <x:f>C63-U63</x:f>
        <x:v>-3.469446951953614e-18</x:v>
      </x:c>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56" t="str">
        <x:v>2009-08</x:v>
      </x:c>
      <x:c r="B64" s="102" t="n">
        <x:v>-0.015551195634241566</x:v>
      </x:c>
      <x:c r="C64" s="102" t="n">
        <x:v>-0.02945461070450097</x:v>
      </x:c>
      <x:c r="D64" s="102" t="n">
        <x:v>0.013903415070259405</x:v>
      </x:c>
      <x:c r="E64" s="104" t="n">
        <x:v>2017.618064516128</x:v>
      </x:c>
      <x:c r="F64" s="104" t="n">
        <x:v>1989.7603902666485</x:v>
      </x:c>
      <x:c r="G64" s="102" t="n">
        <x:v>0.0036109531956773125</x:v>
      </x:c>
      <x:c r="H64" s="102" t="n">
        <x:v>-0.004462983826474407</x:v>
      </x:c>
      <x:c r="I64" s="102" t="n">
        <x:v>-0.00212979257767221</x:v>
      </x:c>
      <x:c r="J64" s="102" t="n">
        <x:v>0.003144932290933936</x:v>
      </x:c>
      <x:c r="K64" s="102" t="n">
        <x:v>0.00031993953370161425</x:v>
      </x:c>
      <x:c r="L64" s="102" t="n">
        <x:v>-0.00849077632725096</x:v>
      </x:c>
      <x:c r="M64" s="102" t="n">
        <x:v>-0.0005445152141128328</x:v>
      </x:c>
      <x:c r="N64" s="102" t="n">
        <x:v>0.0024004013639427097</x:v>
      </x:c>
      <x:c r="O64" s="102" t="n">
        <x:v>-0.003778221274111568</x:v>
      </x:c>
      <x:c r="P64" s="102" t="n">
        <x:v>-0.01035456878189899</x:v>
      </x:c>
      <x:c r="Q64" s="102" t="n">
        <x:v>-0.000041530510239588635</x:v>
      </x:c>
      <x:c r="R64" s="102" t="n">
        <x:v>-0.002721648866789176</x:v>
      </x:c>
      <x:c r="S64" s="102" t="n">
        <x:v>-0.006406799710206813</x:v>
      </x:c>
      <x:c r="T64" s="102" t="n">
        <x:v>0</x:v>
      </x:c>
      <x:c r="U64" s="102" t="n">
        <x:v>-0.02945461070450097</x:v>
      </x:c>
      <x:c r="V64" s="105" t="n">
        <x:f>C64-U64</x:f>
        <x:v>0</x:v>
      </x:c>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56" t="str">
        <x:v>2009-09</x:v>
      </x:c>
      <x:c r="B65" s="102" t="n">
        <x:v>-0.019814723075928242</x:v>
      </x:c>
      <x:c r="C65" s="102" t="n">
        <x:v>0.00036756867933119186</x:v>
      </x:c>
      <x:c r="D65" s="102" t="n">
        <x:v>-0.020182291755259433</x:v>
      </x:c>
      <x:c r="E65" s="104" t="n">
        <x:v>1978.0329999999992</x:v>
      </x:c>
      <x:c r="F65" s="104" t="n">
        <x:v>2018.3598140370912</x:v>
      </x:c>
      <x:c r="G65" s="102" t="n">
        <x:v>0.0036109531956773125</x:v>
      </x:c>
      <x:c r="H65" s="102" t="n">
        <x:v>0.0026244527148262787</x:v>
      </x:c>
      <x:c r="I65" s="102" t="n">
        <x:v>-0.0009444946081561479</x:v>
      </x:c>
      <x:c r="J65" s="102" t="n">
        <x:v>0</x:v>
      </x:c>
      <x:c r="K65" s="102" t="n">
        <x:v>-0.00034515765752858514</x:v>
      </x:c>
      <x:c r="L65" s="102" t="n">
        <x:v>-0.004726857622041514</x:v>
      </x:c>
      <x:c r="M65" s="102" t="n">
        <x:v>-0.00027737012641055925</x:v>
      </x:c>
      <x:c r="N65" s="102" t="n">
        <x:v>0.0035332736754708238</x:v>
      </x:c>
      <x:c r="O65" s="102" t="n">
        <x:v>-0.010247234836554688</x:v>
      </x:c>
      <x:c r="P65" s="102" t="n">
        <x:v>0.007959576582988152</x:v>
      </x:c>
      <x:c r="Q65" s="102" t="n">
        <x:v>-0.00002617555550427965</x:v>
      </x:c>
      <x:c r="R65" s="102" t="n">
        <x:v>-0.002334669544628428</x:v>
      </x:c>
      <x:c r="S65" s="102" t="n">
        <x:v>0.001541272461192826</x:v>
      </x:c>
      <x:c r="T65" s="102" t="n">
        <x:v>0</x:v>
      </x:c>
      <x:c r="U65" s="102" t="n">
        <x:v>0.00036756867933119175</x:v>
      </x:c>
      <x:c r="V65" s="105" t="n">
        <x:f>C65-U65</x:f>
        <x:v>1.0842021724855044e-19</x:v>
      </x:c>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56" t="str">
        <x:v>2009-10</x:v>
      </x:c>
      <x:c r="B66" s="102" t="n">
        <x:v>-0.03951228998300049</x:v>
      </x:c>
      <x:c r="C66" s="102" t="n">
        <x:v>-0.03772504230191223</x:v>
      </x:c>
      <x:c r="D66" s="102" t="n">
        <x:v>-0.001787247681088261</x:v>
      </x:c>
      <x:c r="E66" s="104" t="n">
        <x:v>1901.4003225806448</x:v>
      </x:c>
      <x:c r="F66" s="104" t="n">
        <x:v>1904.8016344860173</x:v>
      </x:c>
      <x:c r="G66" s="102" t="n">
        <x:v>0.0036109531956773125</x:v>
      </x:c>
      <x:c r="H66" s="102" t="n">
        <x:v>-0.0027602905806576785</x:v>
      </x:c>
      <x:c r="I66" s="102" t="n">
        <x:v>-0.0024113099282594332</x:v>
      </x:c>
      <x:c r="J66" s="102" t="n">
        <x:v>0.00039725460517060307</x:v>
      </x:c>
      <x:c r="K66" s="102" t="n">
        <x:v>0.00011262252813870331</x:v>
      </x:c>
      <x:c r="L66" s="102" t="n">
        <x:v>-0.009463922126500973</x:v>
      </x:c>
      <x:c r="M66" s="102" t="n">
        <x:v>-0.0004657782285828486</x:v>
      </x:c>
      <x:c r="N66" s="102" t="n">
        <x:v>-0.009451043865287214</x:v>
      </x:c>
      <x:c r="O66" s="102" t="n">
        <x:v>0.0010463862022777061</x:v>
      </x:c>
      <x:c r="P66" s="102" t="n">
        <x:v>-0.009051301703791011</x:v>
      </x:c>
      <x:c r="Q66" s="102" t="n">
        <x:v>0.00006236348190252484</x:v>
      </x:c>
      <x:c r="R66" s="102" t="n">
        <x:v>-0.0022812545870050586</x:v>
      </x:c>
      <x:c r="S66" s="102" t="n">
        <x:v>-0.007069721294994864</x:v>
      </x:c>
      <x:c r="T66" s="102" t="n">
        <x:v>0</x:v>
      </x:c>
      <x:c r="U66" s="102" t="n">
        <x:v>-0.03772504230191224</x:v>
      </x:c>
      <x:c r="V66" s="105" t="n">
        <x:f>C66-U66</x:f>
        <x:v>6.938893903907228e-18</x:v>
      </x:c>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56" t="str">
        <x:v>2009-11</x:v>
      </x:c>
      <x:c r="B67" s="102" t="n">
        <x:v>0.03892888049012022</x:v>
      </x:c>
      <x:c r="C67" s="102" t="n">
        <x:v>-0.016949049364518024</x:v>
      </x:c>
      <x:c r="D67" s="102" t="n">
        <x:v>0.05587792985463824</x:v>
      </x:c>
      <x:c r="E67" s="104" t="n">
        <x:v>1976.8793333333338</x:v>
      </x:c>
      <x:c r="F67" s="104" t="n">
        <x:v>1869.4449660904938</x:v>
      </x:c>
      <x:c r="G67" s="102" t="n">
        <x:v>0.0036109531956773125</x:v>
      </x:c>
      <x:c r="H67" s="102" t="n">
        <x:v>-0.001970165979182205</x:v>
      </x:c>
      <x:c r="I67" s="102" t="n">
        <x:v>-0.0013155383890357183</x:v>
      </x:c>
      <x:c r="J67" s="102" t="n">
        <x:v>0.004171173354291328</x:v>
      </x:c>
      <x:c r="K67" s="102" t="n">
        <x:v>0.0004877970460404613</x:v>
      </x:c>
      <x:c r="L67" s="102" t="n">
        <x:v>-0.003133012566757985</x:v>
      </x:c>
      <x:c r="M67" s="102" t="n">
        <x:v>-0.0003275315585754498</x:v>
      </x:c>
      <x:c r="N67" s="102" t="n">
        <x:v>-0.01053995918923227</x:v>
      </x:c>
      <x:c r="O67" s="102" t="n">
        <x:v>-0.0005687639125167124</x:v>
      </x:c>
      <x:c r="P67" s="102" t="n">
        <x:v>0.005288452832940417</x:v>
      </x:c>
      <x:c r="Q67" s="102" t="n">
        <x:v>-0.000007482953757731691</x:v>
      </x:c>
      <x:c r="R67" s="102" t="n">
        <x:v>-0.0014750097726854417</x:v>
      </x:c>
      <x:c r="S67" s="102" t="n">
        <x:v>-0.011169961471724029</x:v>
      </x:c>
      <x:c r="T67" s="102" t="n">
        <x:v>0</x:v>
      </x:c>
      <x:c r="U67" s="102" t="n">
        <x:v>-0.016949049364518024</x:v>
      </x:c>
      <x:c r="V67" s="105" t="n">
        <x:f>C67-U67</x:f>
        <x:v>0</x:v>
      </x:c>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56" t="str">
        <x:v>2009-12</x:v>
      </x:c>
      <x:c r="B68" s="102" t="n">
        <x:v>0.020593649039456707</x:v>
      </x:c>
      <x:c r="C68" s="102" t="n">
        <x:v>0.002998830583527082</x:v>
      </x:c>
      <x:c r="D68" s="102" t="n">
        <x:v>0.017594818455929626</x:v>
      </x:c>
      <x:c r="E68" s="104" t="n">
        <x:v>2018.0125806451622</x:v>
      </x:c>
      <x:c r="F68" s="104" t="n">
        <x:v>1982.816557453266</x:v>
      </x:c>
      <x:c r="G68" s="102" t="n">
        <x:v>0.0036109531956773125</x:v>
      </x:c>
      <x:c r="H68" s="102" t="n">
        <x:v>0.0011037502413920397</x:v>
      </x:c>
      <x:c r="I68" s="102" t="n">
        <x:v>0.00036039910428730467</x:v>
      </x:c>
      <x:c r="J68" s="102" t="n">
        <x:v>0.001158659265080925</x:v>
      </x:c>
      <x:c r="K68" s="102" t="n">
        <x:v>-0.0002359299786905019</x:v>
      </x:c>
      <x:c r="L68" s="102" t="n">
        <x:v>0.0031252506183205415</x:v>
      </x:c>
      <x:c r="M68" s="102" t="n">
        <x:v>-0.0019250478481645256</x:v>
      </x:c>
      <x:c r="N68" s="102" t="n">
        <x:v>-0.000864255274289484</x:v>
      </x:c>
      <x:c r="O68" s="102" t="n">
        <x:v>-0.002279485601916982</x:v>
      </x:c>
      <x:c r="P68" s="102" t="n">
        <x:v>0.001849887980117903</x:v>
      </x:c>
      <x:c r="Q68" s="102" t="n">
        <x:v>0.000014807521954456867</x:v>
      </x:c>
      <x:c r="R68" s="102" t="n">
        <x:v>-0.0002717486045760732</x:v>
      </x:c>
      <x:c r="S68" s="102" t="n">
        <x:v>-0.0026484100356658348</x:v>
      </x:c>
      <x:c r="T68" s="102" t="n">
        <x:v>0</x:v>
      </x:c>
      <x:c r="U68" s="102" t="n">
        <x:v>0.0029988305835270805</x:v>
      </x:c>
      <x:c r="V68" s="105" t="n">
        <x:f>C68-U68</x:f>
        <x:v>1.734723475976807e-18</x:v>
      </x:c>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56" t="str">
        <x:v>2010-01</x:v>
      </x:c>
      <x:c r="B69" s="102" t="n">
        <x:v>-0.01728711330822552</x:v>
      </x:c>
      <x:c r="C69" s="102" t="n">
        <x:v>0.00966697027928175</x:v>
      </x:c>
      <x:c r="D69" s="102" t="n">
        <x:v>-0.02695408358750727</x:v>
      </x:c>
      <x:c r="E69" s="104" t="n">
        <x:v>1983.4267741935485</x:v>
      </x:c>
      <x:c r="F69" s="104" t="n">
        <x:v>2037.6152448154173</x:v>
      </x:c>
      <x:c r="G69" s="102" t="n">
        <x:v>0.0036109531956773125</x:v>
      </x:c>
      <x:c r="H69" s="102" t="n">
        <x:v>-0.0008590131260625</x:v>
      </x:c>
      <x:c r="I69" s="102" t="n">
        <x:v>-0.0003751971621203613</x:v>
      </x:c>
      <x:c r="J69" s="102" t="n">
        <x:v>0.0038070232995516093</x:v>
      </x:c>
      <x:c r="K69" s="102" t="n">
        <x:v>0.0007290393052605094</x:v>
      </x:c>
      <x:c r="L69" s="102" t="n">
        <x:v>0.0012327176828212075</x:v>
      </x:c>
      <x:c r="M69" s="102" t="n">
        <x:v>-0.0004836605719126093</x:v>
      </x:c>
      <x:c r="N69" s="102" t="n">
        <x:v>0.0041865872377918785</x:v>
      </x:c>
      <x:c r="O69" s="102" t="n">
        <x:v>0.0007561805830634111</x:v>
      </x:c>
      <x:c r="P69" s="102" t="n">
        <x:v>-0.003294239918804513</x:v>
      </x:c>
      <x:c r="Q69" s="102" t="n">
        <x:v>0.00002886261532008825</x:v>
      </x:c>
      <x:c r="R69" s="102" t="n">
        <x:v>0.00036270577089500213</x:v>
      </x:c>
      <x:c r="S69" s="102" t="n">
        <x:v>-0.0000349886321992847</x:v>
      </x:c>
      <x:c r="T69" s="102" t="n">
        <x:v>0</x:v>
      </x:c>
      <x:c r="U69" s="102" t="n">
        <x:v>0.009666970279281751</x:v>
      </x:c>
      <x:c r="V69" s="105" t="n">
        <x:f>C69-U69</x:f>
        <x:v>-1.734723475976807e-18</x:v>
      </x:c>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56" t="str">
        <x:v>2010-02</x:v>
      </x:c>
      <x:c r="B70" s="102" t="n">
        <x:v>-0.016112994864807106</x:v>
      </x:c>
      <x:c r="C70" s="102" t="n">
        <x:v>0.027302142836509762</x:v>
      </x:c>
      <x:c r="D70" s="102" t="n">
        <x:v>-0.04341513770131687</x:v>
      </x:c>
      <x:c r="E70" s="104" t="n">
        <x:v>1951.7239285714281</x:v>
      </x:c>
      <x:c r="F70" s="104" t="n">
        <x:v>2038.3245790852984</x:v>
      </x:c>
      <x:c r="G70" s="102" t="n">
        <x:v>0.0036109531956773125</x:v>
      </x:c>
      <x:c r="H70" s="102" t="n">
        <x:v>0.0012183365805234633</x:v>
      </x:c>
      <x:c r="I70" s="102" t="n">
        <x:v>-0.0008369389702094463</x:v>
      </x:c>
      <x:c r="J70" s="102" t="n">
        <x:v>-0.00009931365129265298</x:v>
      </x:c>
      <x:c r="K70" s="102" t="n">
        <x:v>-0.0004787318852662578</x:v>
      </x:c>
      <x:c r="L70" s="102" t="n">
        <x:v>0.009728229959228049</x:v>
      </x:c>
      <x:c r="M70" s="102" t="n">
        <x:v>0.0014928418208979089</x:v>
      </x:c>
      <x:c r="N70" s="102" t="n">
        <x:v>0.007022915910687415</x:v>
      </x:c>
      <x:c r="O70" s="102" t="n">
        <x:v>0.000864042965052023</x:v>
      </x:c>
      <x:c r="P70" s="102" t="n">
        <x:v>-0.0049635455262247545</x:v>
      </x:c>
      <x:c r="Q70" s="102" t="n">
        <x:v>-0.000034912715215624295</x:v>
      </x:c>
      <x:c r="R70" s="102" t="n">
        <x:v>0.00026242263102166087</x:v>
      </x:c>
      <x:c r="S70" s="102" t="n">
        <x:v>0.009515842521630664</x:v>
      </x:c>
      <x:c r="T70" s="102" t="n">
        <x:v>0</x:v>
      </x:c>
      <x:c r="U70" s="102" t="n">
        <x:v>0.02730214283650976</x:v>
      </x:c>
      <x:c r="V70" s="105" t="n">
        <x:f>C70-U70</x:f>
        <x:v>3.469446951953614e-18</x:v>
      </x:c>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56" t="str">
        <x:v>2010-03</x:v>
      </x:c>
      <x:c r="B71" s="102" t="n">
        <x:v>-0.022137727690432207</x:v>
      </x:c>
      <x:c r="C71" s="102" t="n">
        <x:v>-0.019709753769564853</x:v>
      </x:c>
      <x:c r="D71" s="102" t="n">
        <x:v>-0.0024279739208673545</x:v>
      </x:c>
      <x:c r="E71" s="104" t="n">
        <x:v>1908.9919354838712</x:v>
      </x:c>
      <x:c r="F71" s="104" t="n">
        <x:v>1913.6325494835328</x:v>
      </x:c>
      <x:c r="G71" s="102" t="n">
        <x:v>0.0036109531956773125</x:v>
      </x:c>
      <x:c r="H71" s="102" t="n">
        <x:v>-0.0025162158637719394</x:v>
      </x:c>
      <x:c r="I71" s="102" t="n">
        <x:v>-0.0016061149572558632</x:v>
      </x:c>
      <x:c r="J71" s="102" t="n">
        <x:v>0.00019862730258530154</x:v>
      </x:c>
      <x:c r="K71" s="102" t="n">
        <x:v>-0.0004734961824156647</x:v>
      </x:c>
      <x:c r="L71" s="102" t="n">
        <x:v>-0.004936791983927418</x:v>
      </x:c>
      <x:c r="M71" s="102" t="n">
        <x:v>-0.004040458119041232</x:v>
      </x:c>
      <x:c r="N71" s="102" t="n">
        <x:v>-0.0014271798426327511</x:v>
      </x:c>
      <x:c r="O71" s="102" t="n">
        <x:v>0.00048370840558501296</x:v>
      </x:c>
      <x:c r="P71" s="102" t="n">
        <x:v>-0.0003070894011184729</x:v>
      </x:c>
      <x:c r="Q71" s="102" t="n">
        <x:v>-0.000012689908148957007</x:v>
      </x:c>
      <x:c r="R71" s="102" t="n">
        <x:v>0.000026831034391064098</x:v>
      </x:c>
      <x:c r="S71" s="102" t="n">
        <x:v>-0.008709837449491244</x:v>
      </x:c>
      <x:c r="T71" s="102" t="n">
        <x:v>0</x:v>
      </x:c>
      <x:c r="U71" s="102" t="n">
        <x:v>-0.019709753769564853</x:v>
      </x:c>
      <x:c r="V71" s="105" t="n">
        <x:f>C71-U71</x:f>
        <x:v>0</x:v>
      </x:c>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56" t="str">
        <x:v>2010-04</x:v>
      </x:c>
      <x:c r="B72" s="102" t="n">
        <x:v>0.01479683905510587</x:v>
      </x:c>
      <x:c r="C72" s="102" t="n">
        <x:v>-0.016683439972373974</x:v>
      </x:c>
      <x:c r="D72" s="102" t="n">
        <x:v>0.031480279027479845</x:v>
      </x:c>
      <x:c r="E72" s="104" t="n">
        <x:v>1937.4490000000003</x:v>
      </x:c>
      <x:c r="F72" s="104" t="n">
        <x:v>1877.4075835286312</x:v>
      </x:c>
      <x:c r="G72" s="102" t="n">
        <x:v>0.0036109531956773125</x:v>
      </x:c>
      <x:c r="H72" s="102" t="n">
        <x:v>-0.0027692231421618803</x:v>
      </x:c>
      <x:c r="I72" s="102" t="n">
        <x:v>-0.00039949540698307786</x:v>
      </x:c>
      <x:c r="J72" s="102" t="n">
        <x:v>0.0002979409538779545</x:v>
      </x:c>
      <x:c r="K72" s="102" t="n">
        <x:v>-0.00003114505092284209</x:v>
      </x:c>
      <x:c r="L72" s="102" t="n">
        <x:v>-0.0034454315065825707</x:v>
      </x:c>
      <x:c r="M72" s="102" t="n">
        <x:v>-0.0003311456477661025</x:v>
      </x:c>
      <x:c r="N72" s="102" t="n">
        <x:v>-0.008756100947095585</x:v>
      </x:c>
      <x:c r="O72" s="102" t="n">
        <x:v>-0.0026418849641426916</x:v>
      </x:c>
      <x:c r="P72" s="102" t="n">
        <x:v>0.0033003844403867947</x:v>
      </x:c>
      <x:c r="Q72" s="102" t="n">
        <x:v>-0.000040706536338402455</x:v>
      </x:c>
      <x:c r="R72" s="102" t="n">
        <x:v>0.00023963038375184915</x:v>
      </x:c>
      <x:c r="S72" s="102" t="n">
        <x:v>-0.005717215744074731</x:v>
      </x:c>
      <x:c r="T72" s="102" t="n">
        <x:v>0</x:v>
      </x:c>
      <x:c r="U72" s="102" t="n">
        <x:v>-0.016683439972373974</x:v>
      </x:c>
      <x:c r="V72" s="105" t="n">
        <x:f>C72-U72</x:f>
        <x:v>0</x:v>
      </x:c>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56" t="str">
        <x:v>2010-05</x:v>
      </x:c>
      <x:c r="B73" s="102" t="n">
        <x:v>0.023537801208136422</x:v>
      </x:c>
      <x:c r="C73" s="102" t="n">
        <x:v>0.05006548687150119</x:v>
      </x:c>
      <x:c r="D73" s="102" t="n">
        <x:v>-0.026527685663364768</x:v>
      </x:c>
      <x:c r="E73" s="104" t="n">
        <x:v>1983.5932258064518</x:v>
      </x:c>
      <x:c r="F73" s="104" t="n">
        <x:v>2036.917521391018</x:v>
      </x:c>
      <x:c r="G73" s="102" t="n">
        <x:v>0.0036109531956773125</x:v>
      </x:c>
      <x:c r="H73" s="102" t="n">
        <x:v>0.004177396744448958</x:v>
      </x:c>
      <x:c r="I73" s="102" t="n">
        <x:v>-0.00036456129759804956</x:v>
      </x:c>
      <x:c r="J73" s="102" t="n">
        <x:v>0.00039725460517060307</x:v>
      </x:c>
      <x:c r="K73" s="102" t="n">
        <x:v>0.0004456141815994728</x:v>
      </x:c>
      <x:c r="L73" s="102" t="n">
        <x:v>0.01925901753676089</x:v>
      </x:c>
      <x:c r="M73" s="102" t="n">
        <x:v>0.010285377034781388</x:v>
      </x:c>
      <x:c r="N73" s="102" t="n">
        <x:v>0.0022863820562096606</x:v>
      </x:c>
      <x:c r="O73" s="102" t="n">
        <x:v>-0.003564089867784516</x:v>
      </x:c>
      <x:c r="P73" s="102" t="n">
        <x:v>0.004439460798454051</x:v>
      </x:c>
      <x:c r="Q73" s="102" t="n">
        <x:v>0.000019941141153031488</x:v>
      </x:c>
      <x:c r="R73" s="102" t="n">
        <x:v>0.00013234188385118954</x:v>
      </x:c>
      <x:c r="S73" s="102" t="n">
        <x:v>0.008940398858777204</x:v>
      </x:c>
      <x:c r="T73" s="102" t="n">
        <x:v>0</x:v>
      </x:c>
      <x:c r="U73" s="102" t="n">
        <x:v>0.05006548687150119</x:v>
      </x:c>
      <x:c r="V73" s="105" t="n">
        <x:f>C73-U73</x:f>
        <x:v>0</x:v>
      </x:c>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56" t="str">
        <x:v>2010-06</x:v>
      </x:c>
      <x:c r="B74" s="102" t="n">
        <x:v>-0.029025491257095304</x:v>
      </x:c>
      <x:c r="C74" s="102" t="n">
        <x:v>0.0055688197977786374</x:v>
      </x:c>
      <x:c r="D74" s="102" t="n">
        <x:v>-0.03459431105487394</x:v>
      </x:c>
      <x:c r="E74" s="104" t="n">
        <x:v>1926.8460000000005</x:v>
      </x:c>
      <x:c r="F74" s="104" t="n">
        <x:v>1994.6703135592063</x:v>
      </x:c>
      <x:c r="G74" s="102" t="n">
        <x:v>0.0036109531956773125</x:v>
      </x:c>
      <x:c r="H74" s="102" t="n">
        <x:v>0.0005943864724210312</x:v>
      </x:c>
      <x:c r="I74" s="102" t="n">
        <x:v>-0.00019088319787948833</x:v>
      </x:c>
      <x:c r="J74" s="102" t="n">
        <x:v>0.004645315947559468</x:v>
      </x:c>
      <x:c r="K74" s="102" t="n">
        <x:v>-0.000014316223572356959</x:v>
      </x:c>
      <x:c r="L74" s="102" t="n">
        <x:v>0.0034666442781369515</x:v>
      </x:c>
      <x:c r="M74" s="102" t="n">
        <x:v>-0.0011059448025955755</x:v>
      </x:c>
      <x:c r="N74" s="102" t="n">
        <x:v>0.00040389733892907834</x:v>
      </x:c>
      <x:c r="O74" s="102" t="n">
        <x:v>-0.00024762886364577334</x:v>
      </x:c>
      <x:c r="P74" s="102" t="n">
        <x:v>-0.004938360955862802</x:v>
      </x:c>
      <x:c r="Q74" s="102" t="n">
        <x:v>0.000015405415340030478</x:v>
      </x:c>
      <x:c r="R74" s="102" t="n">
        <x:v>-0.0000264240816750865</x:v>
      </x:c>
      <x:c r="S74" s="102" t="n">
        <x:v>-0.0006442247250541501</x:v>
      </x:c>
      <x:c r="T74" s="102" t="n">
        <x:v>0</x:v>
      </x:c>
      <x:c r="U74" s="102" t="n">
        <x:v>0.005568819797778639</x:v>
      </x:c>
      <x:c r="V74" s="105" t="n">
        <x:f>C74-U74</x:f>
        <x:v>-1.734723475976807e-18</x:v>
      </x:c>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56" t="str">
        <x:v>2010-07</x:v>
      </x:c>
      <x:c r="B75" s="102" t="n">
        <x:v>-0.027589837643133386</x:v>
      </x:c>
      <x:c r="C75" s="102" t="n">
        <x:v>-0.02823619950907527</x:v>
      </x:c>
      <x:c r="D75" s="102" t="n">
        <x:v>0.0006463618659418857</x:v>
      </x:c>
      <x:c r="E75" s="104" t="n">
        <x:v>1874.41129032258</x:v>
      </x:c>
      <x:c r="F75" s="104" t="n">
        <x:v>1873.200133808283</x:v>
      </x:c>
      <x:c r="G75" s="102" t="n">
        <x:v>0.0036109531956773125</x:v>
      </x:c>
      <x:c r="H75" s="102" t="n">
        <x:v>-0.00041198606803197505</x:v>
      </x:c>
      <x:c r="I75" s="102" t="n">
        <x:v>0.00009738201673305884</x:v>
      </x:c>
      <x:c r="J75" s="102" t="n">
        <x:v>0.0001217393144877649</x:v>
      </x:c>
      <x:c r="K75" s="102" t="n">
        <x:v>0.00027316789724795404</x:v>
      </x:c>
      <x:c r="L75" s="102" t="n">
        <x:v>-0.010563972889554551</x:v>
      </x:c>
      <x:c r="M75" s="102" t="n">
        <x:v>-0.002669087617335626</x:v>
      </x:c>
      <x:c r="N75" s="102" t="n">
        <x:v>-0.002791369129110694</x:v>
      </x:c>
      <x:c r="O75" s="102" t="n">
        <x:v>-0.004053697853687387</x:v>
      </x:c>
      <x:c r="P75" s="102" t="n">
        <x:v>-0.007854364155606029</x:v>
      </x:c>
      <x:c r="Q75" s="102" t="n">
        <x:v>-0.00006185797809214338</x:v>
      </x:c>
      <x:c r="R75" s="102" t="n">
        <x:v>-0.0006027104320750048</x:v>
      </x:c>
      <x:c r="S75" s="102" t="n">
        <x:v>-0.0033303958097279512</x:v>
      </x:c>
      <x:c r="T75" s="102" t="n">
        <x:v>0</x:v>
      </x:c>
      <x:c r="U75" s="102" t="n">
        <x:v>-0.02823619950907527</x:v>
      </x:c>
      <x:c r="V75" s="105" t="n">
        <x:f>C75-U75</x:f>
        <x:v>0</x:v>
      </x:c>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56" t="str">
        <x:v>2010-08</x:v>
      </x:c>
      <x:c r="B76" s="102" t="n">
        <x:v>-0.028798652897101817</x:v>
      </x:c>
      <x:c r="C76" s="102" t="n">
        <x:v>-0.01502832236824344</x:v>
      </x:c>
      <x:c r="D76" s="102" t="n">
        <x:v>-0.013770330528858378</x:v>
      </x:c>
      <x:c r="E76" s="104" t="n">
        <x:v>1821.2006451612901</x:v>
      </x:c>
      <x:c r="F76" s="104" t="n">
        <x:v>1846.452645171217</x:v>
      </x:c>
      <x:c r="G76" s="102" t="n">
        <x:v>0.0036109531956773125</x:v>
      </x:c>
      <x:c r="H76" s="102" t="n">
        <x:v>-0.000723176005668104</x:v>
      </x:c>
      <x:c r="I76" s="102" t="n">
        <x:v>0.00043902938494435543</x:v>
      </x:c>
      <x:c r="J76" s="102" t="n">
        <x:v>0</x:v>
      </x:c>
      <x:c r="K76" s="102" t="n">
        <x:v>-0.00010079281843019637</x:v>
      </x:c>
      <x:c r="L76" s="102" t="n">
        <x:v>-0.005145434950978615</x:v>
      </x:c>
      <x:c r="M76" s="102" t="n">
        <x:v>-0.000553158978488262</x:v>
      </x:c>
      <x:c r="N76" s="102" t="n">
        <x:v>-0.0015793693810176306</x:v>
      </x:c>
      <x:c r="O76" s="102" t="n">
        <x:v>-0.002243177213373316</x:v>
      </x:c>
      <x:c r="P76" s="102" t="n">
        <x:v>-0.001374060628966177</x:v>
      </x:c>
      <x:c r="Q76" s="102" t="n">
        <x:v>0.000021061099060570135</x:v>
      </x:c>
      <x:c r="R76" s="102" t="n">
        <x:v>-0.0005110200667756936</x:v>
      </x:c>
      <x:c r="S76" s="102" t="n">
        <x:v>-0.0068691760042276844</x:v>
      </x:c>
      <x:c r="T76" s="102" t="n">
        <x:v>0</x:v>
      </x:c>
      <x:c r="U76" s="102" t="n">
        <x:v>-0.015028322368243443</x:v>
      </x:c>
      <x:c r="V76" s="105" t="n">
        <x:f>C76-U76</x:f>
        <x:v>3.469446951953614e-18</x:v>
      </x:c>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56" t="str">
        <x:v>2010-09</x:v>
      </x:c>
      <x:c r="B77" s="102" t="n">
        <x:v>-0.008507592957902155</x:v>
      </x:c>
      <x:c r="C77" s="102" t="n">
        <x:v>-0.004857747058159611</x:v>
      </x:c>
      <x:c r="D77" s="102" t="n">
        <x:v>-0.003649845899742544</x:v>
      </x:c>
      <x:c r="E77" s="104" t="n">
        <x:v>1805.7723333333327</x:v>
      </x:c>
      <x:c r="F77" s="104" t="n">
        <x:v>1812.375166411737</x:v>
      </x:c>
      <x:c r="G77" s="102" t="n">
        <x:v>0.0036109531956773125</x:v>
      </x:c>
      <x:c r="H77" s="102" t="n">
        <x:v>-0.0003910449933620227</x:v>
      </x:c>
      <x:c r="I77" s="102" t="n">
        <x:v>0.0005293272599335446</x:v>
      </x:c>
      <x:c r="J77" s="102" t="n">
        <x:v>0.00009931365129264857</x:v>
      </x:c>
      <x:c r="K77" s="102" t="n">
        <x:v>0.00010498468131519416</x:v>
      </x:c>
      <x:c r="L77" s="102" t="n">
        <x:v>-0.006181414451892125</x:v>
      </x:c>
      <x:c r="M77" s="102" t="n">
        <x:v>-0.001602452364327436</x:v>
      </x:c>
      <x:c r="N77" s="102" t="n">
        <x:v>0.0015475807371232763</x:v>
      </x:c>
      <x:c r="O77" s="102" t="n">
        <x:v>-0.0003130257155402817</x:v>
      </x:c>
      <x:c r="P77" s="102" t="n">
        <x:v>0.004322566453917646</x:v>
      </x:c>
      <x:c r="Q77" s="102" t="n">
        <x:v>0.00003077679010159571</x:v>
      </x:c>
      <x:c r="R77" s="102" t="n">
        <x:v>-0.0005902020055143457</x:v>
      </x:c>
      <x:c r="S77" s="102" t="n">
        <x:v>-0.006025110296884617</x:v>
      </x:c>
      <x:c r="T77" s="102" t="n">
        <x:v>0</x:v>
      </x:c>
      <x:c r="U77" s="102" t="n">
        <x:v>-0.004857747058159611</x:v>
      </x:c>
      <x:c r="V77" s="105" t="n">
        <x:f>C77-U77</x:f>
        <x:v>0</x:v>
      </x:c>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56" t="str">
        <x:v>2010-10</x:v>
      </x:c>
      <x:c r="B78" s="102" t="n">
        <x:v>0.0015686034501500856</x:v>
      </x:c>
      <x:c r="C78" s="102" t="n">
        <x:v>-0.03850175564408744</x:v>
      </x:c>
      <x:c r="D78" s="102" t="n">
        <x:v>0.04007035909423753</x:v>
      </x:c>
      <x:c r="E78" s="104" t="n">
        <x:v>1808.6070967741932</x:v>
      </x:c>
      <x:c r="F78" s="104" t="n">
        <x:v>1737.5683401210692</x:v>
      </x:c>
      <x:c r="G78" s="102" t="n">
        <x:v>0.0036109531956773125</x:v>
      </x:c>
      <x:c r="H78" s="102" t="n">
        <x:v>-0.0022735156259725206</x:v>
      </x:c>
      <x:c r="I78" s="102" t="n">
        <x:v>0.00026547585916729014</x:v>
      </x:c>
      <x:c r="J78" s="102" t="n">
        <x:v>0</x:v>
      </x:c>
      <x:c r="K78" s="102" t="n">
        <x:v>-0.00029538193524734365</x:v>
      </x:c>
      <x:c r="L78" s="102" t="n">
        <x:v>-0.01735127640107464</x:v>
      </x:c>
      <x:c r="M78" s="102" t="n">
        <x:v>-0.0016994040080753506</x:v>
      </x:c>
      <x:c r="N78" s="102" t="n">
        <x:v>-0.00009718154638766961</x:v>
      </x:c>
      <x:c r="O78" s="102" t="n">
        <x:v>-0.004901485597788841</x:v>
      </x:c>
      <x:c r="P78" s="102" t="n">
        <x:v>-0.007253061467354606</x:v>
      </x:c>
      <x:c r="Q78" s="102" t="n">
        <x:v>-0.000056446279061266806</x:v>
      </x:c>
      <x:c r="R78" s="102" t="n">
        <x:v>-0.0005722620597433406</x:v>
      </x:c>
      <x:c r="S78" s="102" t="n">
        <x:v>-0.007878169778226465</x:v>
      </x:c>
      <x:c r="T78" s="102" t="n">
        <x:v>0</x:v>
      </x:c>
      <x:c r="U78" s="102" t="n">
        <x:v>-0.038501755644087435</x:v>
      </x:c>
      <x:c r="V78" s="105" t="n">
        <x:f>C78-U78</x:f>
        <x:v>-6.938893903907228e-18</x:v>
      </x:c>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56" t="str">
        <x:v>2010-11</x:v>
      </x:c>
      <x:c r="B79" s="102" t="n">
        <x:v>0.02962788178102027</x:v>
      </x:c>
      <x:c r="C79" s="102" t="n">
        <x:v>0.003654537958585558</x:v>
      </x:c>
      <x:c r="D79" s="102" t="n">
        <x:v>0.025973343822434714</x:v>
      </x:c>
      <x:c r="E79" s="104" t="n">
        <x:v>1862.994</x:v>
      </x:c>
      <x:c r="F79" s="104" t="n">
        <x:v>1815.228812347204</x:v>
      </x:c>
      <x:c r="G79" s="102" t="n">
        <x:v>0.0036109531956773125</x:v>
      </x:c>
      <x:c r="H79" s="102" t="n">
        <x:v>-0.0011752922110003327</x:v>
      </x:c>
      <x:c r="I79" s="102" t="n">
        <x:v>0.00014034731096972981</x:v>
      </x:c>
      <x:c r="J79" s="102" t="n">
        <x:v>0</x:v>
      </x:c>
      <x:c r="K79" s="102" t="n">
        <x:v>-0.00020801976442609655</x:v>
      </x:c>
      <x:c r="L79" s="102" t="n">
        <x:v>0.001944325559469271</x:v>
      </x:c>
      <x:c r="M79" s="102" t="n">
        <x:v>-0.00023299711756066862</x:v>
      </x:c>
      <x:c r="N79" s="102" t="n">
        <x:v>-0.00017060623596363168</x:v>
      </x:c>
      <x:c r="O79" s="102" t="n">
        <x:v>-0.004542342981315501</x:v>
      </x:c>
      <x:c r="P79" s="102" t="n">
        <x:v>0.00581167278867307</x:v>
      </x:c>
      <x:c r="Q79" s="102" t="n">
        <x:v>0.000007838213210209025</x:v>
      </x:c>
      <x:c r="R79" s="102" t="n">
        <x:v>-0.000580629749249866</x:v>
      </x:c>
      <x:c r="S79" s="102" t="n">
        <x:v>-0.0009507110498979378</x:v>
      </x:c>
      <x:c r="T79" s="102" t="n">
        <x:v>0</x:v>
      </x:c>
      <x:c r="U79" s="102" t="n">
        <x:v>0.003654537958585558</x:v>
      </x:c>
      <x:c r="V79" s="105" t="n">
        <x:f>C79-U79</x:f>
        <x:v>0</x:v>
      </x:c>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56" t="str">
        <x:v>2010-12</x:v>
      </x:c>
      <x:c r="B80" s="102" t="n">
        <x:v>0.031353792185720764</x:v>
      </x:c>
      <x:c r="C80" s="102" t="n">
        <x:v>-0.0035631897686376982</x:v>
      </x:c>
      <x:c r="D80" s="102" t="n">
        <x:v>0.03491698195435846</x:v>
      </x:c>
      <x:c r="E80" s="104" t="n">
        <x:v>1922.331290322581</x:v>
      </x:c>
      <x:c r="F80" s="104" t="n">
        <x:v>1856.3676113911085</x:v>
      </x:c>
      <x:c r="G80" s="102" t="n">
        <x:v>0.0036109531956773125</x:v>
      </x:c>
      <x:c r="H80" s="102" t="n">
        <x:v>-0.002642045330250415</x:v>
      </x:c>
      <x:c r="I80" s="102" t="n">
        <x:v>0.00031741164909838266</x:v>
      </x:c>
      <x:c r="J80" s="102" t="n">
        <x:v>0</x:v>
      </x:c>
      <x:c r="K80" s="102" t="n">
        <x:v>-0.00014353686482185935</x:v>
      </x:c>
      <x:c r="L80" s="102" t="n">
        <x:v>0.004648374973747258</x:v>
      </x:c>
      <x:c r="M80" s="102" t="n">
        <x:v>-0.00228134688136909</x:v>
      </x:c>
      <x:c r="N80" s="102" t="n">
        <x:v>-0.00272028319745918</x:v>
      </x:c>
      <x:c r="O80" s="102" t="n">
        <x:v>-0.00026180899254663243</x:v>
      </x:c>
      <x:c r="P80" s="102" t="n">
        <x:v>0.0002505140957468838</x:v>
      </x:c>
      <x:c r="Q80" s="102" t="n">
        <x:v>0.00006202676850033621</x:v>
      </x:c>
      <x:c r="R80" s="102" t="n">
        <x:v>-0.0007315381071323268</x:v>
      </x:c>
      <x:c r="S80" s="102" t="n">
        <x:v>-0.0036719110778283687</x:v>
      </x:c>
      <x:c r="T80" s="102" t="n">
        <x:v>0</x:v>
      </x:c>
      <x:c r="U80" s="102" t="n">
        <x:v>-0.003563189768637699</x:v>
      </x:c>
      <x:c r="V80" s="105" t="n">
        <x:f>C80-U80</x:f>
        <x:v>8.673617379884035e-19</x:v>
      </x:c>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56" t="str">
        <x:v>2011-01</x:v>
      </x:c>
      <x:c r="B81" s="102" t="n">
        <x:v>-0.029164677784858206</x:v>
      </x:c>
      <x:c r="C81" s="102" t="n">
        <x:v>-0.015625546260066504</x:v>
      </x:c>
      <x:c r="D81" s="102" t="n">
        <x:v>-0.013539131524791703</x:v>
      </x:c>
      <x:c r="E81" s="104" t="n">
        <x:v>1867.0767741935488</x:v>
      </x:c>
      <x:c r="F81" s="104" t="n">
        <x:v>1892.5272722542345</x:v>
      </x:c>
      <x:c r="G81" s="102" t="n">
        <x:v>0.0036109531956773125</x:v>
      </x:c>
      <x:c r="H81" s="102" t="n">
        <x:v>-0.0020427705863676703</x:v>
      </x:c>
      <x:c r="I81" s="102" t="n">
        <x:v>0.00014390931618286058</x:v>
      </x:c>
      <x:c r="J81" s="102" t="n">
        <x:v>-0.00009931365129264857</x:v>
      </x:c>
      <x:c r="K81" s="102" t="n">
        <x:v>0.0006728315579665742</x:v>
      </x:c>
      <x:c r="L81" s="102" t="n">
        <x:v>-0.007411993873178283</x:v>
      </x:c>
      <x:c r="M81" s="102" t="n">
        <x:v>-0.0002473416608179071</x:v>
      </x:c>
      <x:c r="N81" s="102" t="n">
        <x:v>0.0016113426636955174</x:v>
      </x:c>
      <x:c r="O81" s="102" t="n">
        <x:v>-0.00467092842135636</x:v>
      </x:c>
      <x:c r="P81" s="102" t="n">
        <x:v>-0.0059848123718677405</x:v>
      </x:c>
      <x:c r="Q81" s="102" t="n">
        <x:v>-0.00009657765948559578</x:v>
      </x:c>
      <x:c r="R81" s="102" t="n">
        <x:v>-0.0008436040250843142</x:v>
      </x:c>
      <x:c r="S81" s="102" t="n">
        <x:v>-0.00026724074413825077</x:v>
      </x:c>
      <x:c r="T81" s="102" t="n">
        <x:v>0</x:v>
      </x:c>
      <x:c r="U81" s="102" t="n">
        <x:v>-0.015625546260066504</x:v>
      </x:c>
      <x:c r="V81" s="105" t="n">
        <x:f>C81-U81</x:f>
        <x:v>0</x:v>
      </x:c>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56" t="str">
        <x:v>2011-02</x:v>
      </x:c>
      <x:c r="B82" s="102" t="n">
        <x:v>0.008158394720640061</x:v>
      </x:c>
      <x:c r="C82" s="102" t="n">
        <x:v>-0.013786076383064977</x:v>
      </x:c>
      <x:c r="D82" s="102" t="n">
        <x:v>0.021944471103705038</x:v>
      </x:c>
      <x:c r="E82" s="104" t="n">
        <x:v>1882.3714285714277</x:v>
      </x:c>
      <x:c r="F82" s="104" t="n">
        <x:v>1841.5137231248902</x:v>
      </x:c>
      <x:c r="G82" s="102" t="n">
        <x:v>0.0036109531956773125</x:v>
      </x:c>
      <x:c r="H82" s="102" t="n">
        <x:v>-0.0027174320748689796</x:v>
      </x:c>
      <x:c r="I82" s="102" t="n">
        <x:v>0.00040986165544270334</x:v>
      </x:c>
      <x:c r="J82" s="102" t="n">
        <x:v>-0.00009931365129265298</x:v>
      </x:c>
      <x:c r="K82" s="102" t="n">
        <x:v>-0.0007238392984495807</x:v>
      </x:c>
      <x:c r="L82" s="102" t="n">
        <x:v>-0.004988361672307868</x:v>
      </x:c>
      <x:c r="M82" s="102" t="n">
        <x:v>0.00011192470351140477</x:v>
      </x:c>
      <x:c r="N82" s="102" t="n">
        <x:v>0.00282473044194182</x:v>
      </x:c>
      <x:c r="O82" s="102" t="n">
        <x:v>-0.0035099096935073157</x:v>
      </x:c>
      <x:c r="P82" s="102" t="n">
        <x:v>-0.0022421445907697913</x:v>
      </x:c>
      <x:c r="Q82" s="102" t="n">
        <x:v>0.000030112881047767267</x:v>
      </x:c>
      <x:c r="R82" s="102" t="n">
        <x:v>-0.0008909232074070736</x:v>
      </x:c>
      <x:c r="S82" s="102" t="n">
        <x:v>-0.0056017350720827235</x:v>
      </x:c>
      <x:c r="T82" s="102" t="n">
        <x:v>0</x:v>
      </x:c>
      <x:c r="U82" s="102" t="n">
        <x:v>-0.013786076383064979</x:v>
      </x:c>
      <x:c r="V82" s="105" t="n">
        <x:f>C82-U82</x:f>
        <x:v>1.734723475976807e-18</x:v>
      </x:c>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56" t="str">
        <x:v>2011-03</x:v>
      </x:c>
      <x:c r="B83" s="102" t="n">
        <x:v>-0.00029572918356635114</x:v>
      </x:c>
      <x:c r="C83" s="102" t="n">
        <x:v>0.007981500519803444</x:v>
      </x:c>
      <x:c r="D83" s="102" t="n">
        <x:v>-0.008277229703369795</x:v>
      </x:c>
      <x:c r="E83" s="104" t="n">
        <x:v>1881.814838709677</x:v>
      </x:c>
      <x:c r="F83" s="104" t="n">
        <x:v>1897.4556945677834</x:v>
      </x:c>
      <x:c r="G83" s="102" t="n">
        <x:v>0.0036109531956773125</x:v>
      </x:c>
      <x:c r="H83" s="102" t="n">
        <x:v>-0.003787223521531063</x:v>
      </x:c>
      <x:c r="I83" s="102" t="n">
        <x:v>0.0007308249060938868</x:v>
      </x:c>
      <x:c r="J83" s="102" t="n">
        <x:v>-0.00018798655423251715</x:v>
      </x:c>
      <x:c r="K83" s="102" t="n">
        <x:v>0.00005084569575141321</x:v>
      </x:c>
      <x:c r="L83" s="102" t="n">
        <x:v>-0.0064072366538189835</x:v>
      </x:c>
      <x:c r="M83" s="102" t="n">
        <x:v>0.0029391404004771395</x:v>
      </x:c>
      <x:c r="N83" s="102" t="n">
        <x:v>0.0029153601986964253</x:v>
      </x:c>
      <x:c r="O83" s="102" t="n">
        <x:v>-0.003234853643784134</x:v>
      </x:c>
      <x:c r="P83" s="102" t="n">
        <x:v>0.012801480971096723</x:v>
      </x:c>
      <x:c r="Q83" s="102" t="n">
        <x:v>0.000050126321446187716</x:v>
      </x:c>
      <x:c r="R83" s="102" t="n">
        <x:v>-0.0005375959054883341</x:v>
      </x:c>
      <x:c r="S83" s="102" t="n">
        <x:v>-0.0009623348905806158</x:v>
      </x:c>
      <x:c r="T83" s="102" t="n">
        <x:v>0</x:v>
      </x:c>
      <x:c r="U83" s="102" t="n">
        <x:v>0.007981500519803442</x:v>
      </x:c>
      <x:c r="V83" s="105" t="n">
        <x:f>C83-U83</x:f>
        <x:v>1.734723475976807e-18</x:v>
      </x:c>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56" t="str">
        <x:v>2011-04</x:v>
      </x:c>
      <x:c r="B84" s="102" t="n">
        <x:v>-0.03900152257560041</x:v>
      </x:c>
      <x:c r="C84" s="102" t="n">
        <x:v>-0.04918150215941421</x:v>
      </x:c>
      <x:c r="D84" s="102" t="n">
        <x:v>0.010179979583813802</x:v>
      </x:c>
      <x:c r="E84" s="104" t="n">
        <x:v>1809.8340000000005</x:v>
      </x:c>
      <x:c r="F84" s="104" t="n">
        <x:v>1791.503387761949</x:v>
      </x:c>
      <x:c r="G84" s="102" t="n">
        <x:v>0.0036109531956773125</x:v>
      </x:c>
      <x:c r="H84" s="102" t="n">
        <x:v>-0.002739620948031102</x:v>
      </x:c>
      <x:c r="I84" s="102" t="n">
        <x:v>-0.000031309636723419196</x:v>
      </x:c>
      <x:c r="J84" s="102" t="n">
        <x:v>-0.003393712224644366</x:v>
      </x:c>
      <x:c r="K84" s="102" t="n">
        <x:v>-0.00021984476254484535</x:v>
      </x:c>
      <x:c r="L84" s="102" t="n">
        <x:v>-0.011187469990795286</x:v>
      </x:c>
      <x:c r="M84" s="102" t="n">
        <x:v>-0.004135845416629497</x:v>
      </x:c>
      <x:c r="N84" s="102" t="n">
        <x:v>-0.004441088773827383</x:v>
      </x:c>
      <x:c r="O84" s="102" t="n">
        <x:v>-0.004094247387479828</x:v>
      </x:c>
      <x:c r="P84" s="102" t="n">
        <x:v>-0.012337740274113973</x:v>
      </x:c>
      <x:c r="Q84" s="102" t="n">
        <x:v>-0.00006758896919013455</x:v>
      </x:c>
      <x:c r="R84" s="102" t="n">
        <x:v>-0.0002566524379982137</x:v>
      </x:c>
      <x:c r="S84" s="102" t="n">
        <x:v>-0.009887334533113471</x:v>
      </x:c>
      <x:c r="T84" s="102" t="n">
        <x:v>0</x:v>
      </x:c>
      <x:c r="U84" s="102" t="n">
        <x:v>-0.049181502159414206</x:v>
      </x:c>
      <x:c r="V84" s="105" t="n">
        <x:f>C84-U84</x:f>
        <x:v>-6.938893903907228e-18</x:v>
      </x:c>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56" t="str">
        <x:v>2011-05</x:v>
      </x:c>
      <x:c r="B85" s="102" t="n">
        <x:v>-0.005165886903627737</x:v>
      </x:c>
      <x:c r="C85" s="102" t="n">
        <x:v>0.00009457765581255145</x:v>
      </x:c>
      <x:c r="D85" s="102" t="n">
        <x:v>-0.005260464559440288</x:v>
      </x:c>
      <x:c r="E85" s="104" t="n">
        <x:v>1800.5087096774187</x:v>
      </x:c>
      <x:c r="F85" s="104" t="n">
        <x:v>1810.0051779518078</x:v>
      </x:c>
      <x:c r="G85" s="102" t="n">
        <x:v>0.0036109531956773125</x:v>
      </x:c>
      <x:c r="H85" s="102" t="n">
        <x:v>0.002625825353200247</x:v>
      </x:c>
      <x:c r="I85" s="102" t="n">
        <x:v>-0.00014792333078104017</x:v>
      </x:c>
      <x:c r="J85" s="102" t="n">
        <x:v>-0.0020791793448042043</x:v>
      </x:c>
      <x:c r="K85" s="102" t="n">
        <x:v>-0.0005448658854143884</x:v>
      </x:c>
      <x:c r="L85" s="102" t="n">
        <x:v>0.00018046818232886753</x:v>
      </x:c>
      <x:c r="M85" s="102" t="n">
        <x:v>0.0006837955667172168</x:v>
      </x:c>
      <x:c r="N85" s="102" t="n">
        <x:v>0.002248463080775052</x:v>
      </x:c>
      <x:c r="O85" s="102" t="n">
        <x:v>-0.005316354227195767</x:v>
      </x:c>
      <x:c r="P85" s="102" t="n">
        <x:v>-0.0009749986007758214</x:v>
      </x:c>
      <x:c r="Q85" s="102" t="n">
        <x:v>-0.000012233920432345894</x:v>
      </x:c>
      <x:c r="R85" s="102" t="n">
        <x:v>0.00016210931970763302</x:v>
      </x:c>
      <x:c r="S85" s="102" t="n">
        <x:v>-0.00034148173319021067</x:v>
      </x:c>
      <x:c r="T85" s="102" t="n">
        <x:v>0</x:v>
      </x:c>
      <x:c r="U85" s="102" t="n">
        <x:v>0.00009457765581255111</x:v>
      </x:c>
      <x:c r="V85" s="105" t="n">
        <x:f>C85-U85</x:f>
        <x:v>3.3881317890172014e-19</x:v>
      </x:c>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56" t="str">
        <x:v>2011-06</x:v>
      </x:c>
      <x:c r="B86" s="102" t="n">
        <x:v>-0.00968254407498037</x:v>
      </x:c>
      <x:c r="C86" s="102" t="n">
        <x:v>0.00017327340679922977</x:v>
      </x:c>
      <x:c r="D86" s="102" t="n">
        <x:v>-0.0098558174817796</x:v>
      </x:c>
      <x:c r="E86" s="104" t="n">
        <x:v>1783.159333333334</x:v>
      </x:c>
      <x:c r="F86" s="104" t="n">
        <x:v>1800.820716986021</x:v>
      </x:c>
      <x:c r="G86" s="102" t="n">
        <x:v>0.0036109531956773125</x:v>
      </x:c>
      <x:c r="H86" s="102" t="n">
        <x:v>0.00038197610375736643</x:v>
      </x:c>
      <x:c r="I86" s="102" t="n">
        <x:v>0.000306945325837425</x:v>
      </x:c>
      <x:c r="J86" s="102" t="n">
        <x:v>-0.00258215493360892</x:v>
      </x:c>
      <x:c r="K86" s="102" t="n">
        <x:v>-0.0002863329060903872</x:v>
      </x:c>
      <x:c r="L86" s="102" t="n">
        <x:v>-0.00003711719614908103</x:v>
      </x:c>
      <x:c r="M86" s="102" t="n">
        <x:v>0.0021138993308671516</x:v>
      </x:c>
      <x:c r="N86" s="102" t="n">
        <x:v>-0.003323867380754769</x:v>
      </x:c>
      <x:c r="O86" s="102" t="n">
        <x:v>-0.0018906236070308441</x:v>
      </x:c>
      <x:c r="P86" s="102" t="n">
        <x:v>0.0021187451059081213</x:v>
      </x:c>
      <x:c r="Q86" s="102" t="n">
        <x:v>0.00004571723230355438</x:v>
      </x:c>
      <x:c r="R86" s="102" t="n">
        <x:v>0.00027855274081213136</x:v>
      </x:c>
      <x:c r="S86" s="102" t="n">
        <x:v>-0.0005634196047298308</x:v>
      </x:c>
      <x:c r="T86" s="102" t="n">
        <x:v>0</x:v>
      </x:c>
      <x:c r="U86" s="102" t="n">
        <x:v>0.00017327340679923063</x:v>
      </x:c>
      <x:c r="V86" s="105" t="n">
        <x:f>C86-U86</x:f>
        <x:v>-8.673617379884035e-19</x:v>
      </x:c>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56" t="str">
        <x:v>2011-07</x:v>
      </x:c>
      <x:c r="B87" s="102" t="n">
        <x:v>-0.012167689647595736</x:v>
      </x:c>
      <x:c r="C87" s="102" t="n">
        <x:v>-0.016091163578005763</x:v>
      </x:c>
      <x:c r="D87" s="102" t="n">
        <x:v>0.003923473930410027</x:v>
      </x:c>
      <x:c r="E87" s="104" t="n">
        <x:v>1761.593870967742</x:v>
      </x:c>
      <x:c r="F87" s="104" t="n">
        <x:v>1754.6958443017418</x:v>
      </x:c>
      <x:c r="G87" s="102" t="n">
        <x:v>0.0036109531956773125</x:v>
      </x:c>
      <x:c r="H87" s="102" t="n">
        <x:v>-0.0010289052331396292</x:v>
      </x:c>
      <x:c r="I87" s="102" t="n">
        <x:v>0.00011680428041012625</x:v>
      </x:c>
      <x:c r="J87" s="102" t="n">
        <x:v>-0.003393216419165566</x:v>
      </x:c>
      <x:c r="K87" s="102" t="n">
        <x:v>-0.000573900221207693</x:v>
      </x:c>
      <x:c r="L87" s="102" t="n">
        <x:v>-0.004509471806564317</x:v>
      </x:c>
      <x:c r="M87" s="102" t="n">
        <x:v>0.00006576584324300704</x:v>
      </x:c>
      <x:c r="N87" s="102" t="n">
        <x:v>-0.0015525303522320956</x:v>
      </x:c>
      <x:c r="O87" s="102" t="n">
        <x:v>-0.0028209700662076512</x:v>
      </x:c>
      <x:c r="P87" s="102" t="n">
        <x:v>-0.0007636075389077756</x:v>
      </x:c>
      <x:c r="Q87" s="102" t="n">
        <x:v>-0.000020231859384440025</x:v>
      </x:c>
      <x:c r="R87" s="102" t="n">
        <x:v>0.00016408711341483494</x:v>
      </x:c>
      <x:c r="S87" s="102" t="n">
        <x:v>-0.005385940513941876</x:v>
      </x:c>
      <x:c r="T87" s="102" t="n">
        <x:v>0</x:v>
      </x:c>
      <x:c r="U87" s="102" t="n">
        <x:v>-0.01609116357800576</x:v>
      </x:c>
      <x:c r="V87" s="105" t="n">
        <x:f>C87-U87</x:f>
        <x:v>-3.469446951953614e-18</x:v>
      </x:c>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56" t="str">
        <x:v>2011-08</x:v>
      </x:c>
      <x:c r="B88" s="102" t="n">
        <x:v>0.013513083781766078</x:v>
      </x:c>
      <x:c r="C88" s="102" t="n">
        <x:v>0.03577122503396963</x:v>
      </x:c>
      <x:c r="D88" s="102" t="n">
        <x:v>-0.022258141252203552</x:v>
      </x:c>
      <x:c r="E88" s="104" t="n">
        <x:v>1785.56</x:v>
      </x:c>
      <x:c r="F88" s="104" t="n">
        <x:v>1825.7488520680242</x:v>
      </x:c>
      <x:c r="G88" s="102" t="n">
        <x:v>0.0036109531956773125</x:v>
      </x:c>
      <x:c r="H88" s="102" t="n">
        <x:v>0.0022486112715026027</x:v>
      </x:c>
      <x:c r="I88" s="102" t="n">
        <x:v>-0.0003431481225697239</x:v>
      </x:c>
      <x:c r="J88" s="102" t="n">
        <x:v>-0.001771093448052265</x:v>
      </x:c>
      <x:c r="K88" s="102" t="n">
        <x:v>-0.0003055786311873519</x:v>
      </x:c>
      <x:c r="L88" s="102" t="n">
        <x:v>0.0041994086173835</x:v>
      </x:c>
      <x:c r="M88" s="102" t="n">
        <x:v>0.010186424659334252</x:v>
      </x:c>
      <x:c r="N88" s="102" t="n">
        <x:v>0.005013150849382534</x:v>
      </x:c>
      <x:c r="O88" s="102" t="n">
        <x:v>-0.006770851471745796</x:v>
      </x:c>
      <x:c r="P88" s="102" t="n">
        <x:v>0.012370801733651073</x:v>
      </x:c>
      <x:c r="Q88" s="102" t="n">
        <x:v>-0.000007069556475075902</x:v>
      </x:c>
      <x:c r="R88" s="102" t="n">
        <x:v>0.0001015237327716091</x:v>
      </x:c>
      <x:c r="S88" s="102" t="n">
        <x:v>0.0072380922042969585</x:v>
      </x:c>
      <x:c r="T88" s="102" t="n">
        <x:v>0</x:v>
      </x:c>
      <x:c r="U88" s="102" t="n">
        <x:v>0.03577122503396963</x:v>
      </x:c>
      <x:c r="V88" s="105" t="n">
        <x:f>C88-U88</x:f>
        <x:v>0</x:v>
      </x:c>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56" t="str">
        <x:v>2011-09</x:v>
      </x:c>
      <x:c r="B89" s="102" t="n">
        <x:v>0.02639625747682839</x:v>
      </x:c>
      <x:c r="C89" s="102" t="n">
        <x:v>0.04241156331629958</x:v>
      </x:c>
      <x:c r="D89" s="102" t="n">
        <x:v>-0.016015305839471194</x:v>
      </x:c>
      <x:c r="E89" s="104" t="n">
        <x:v>1833.319666666666</x:v>
      </x:c>
      <x:c r="F89" s="104" t="n">
        <x:v>1862.9172161127872</x:v>
      </x:c>
      <x:c r="G89" s="102" t="n">
        <x:v>0.0036109531956773125</x:v>
      </x:c>
      <x:c r="H89" s="102" t="n">
        <x:v>-0.0008863063892732568</x:v>
      </x:c>
      <x:c r="I89" s="102" t="n">
        <x:v>0.0005047102625283115</x:v>
      </x:c>
      <x:c r="J89" s="102" t="n">
        <x:v>-0.0021849003284383213</x:v>
      </x:c>
      <x:c r="K89" s="102" t="n">
        <x:v>0.0005171425981338322</x:v>
      </x:c>
      <x:c r="L89" s="102" t="n">
        <x:v>0.020060252364540704</x:v>
      </x:c>
      <x:c r="M89" s="102" t="n">
        <x:v>0.0007124576442016506</x:v>
      </x:c>
      <x:c r="N89" s="102" t="n">
        <x:v>0.0036329553802756267</x:v>
      </x:c>
      <x:c r="O89" s="102" t="n">
        <x:v>-0.001479471401505386</x:v>
      </x:c>
      <x:c r="P89" s="102" t="n">
        <x:v>-0.0012613938483175301</x:v>
      </x:c>
      <x:c r="Q89" s="102" t="n">
        <x:v>0.0000759415058932152</x:v>
      </x:c>
      <x:c r="R89" s="102" t="n">
        <x:v>0.0002520264048429984</x:v>
      </x:c>
      <x:c r="S89" s="102" t="n">
        <x:v>0.018857195927740426</x:v>
      </x:c>
      <x:c r="T89" s="102" t="n">
        <x:v>0</x:v>
      </x:c>
      <x:c r="U89" s="102" t="n">
        <x:v>0.04241156331629958</x:v>
      </x:c>
      <x:c r="V89" s="105" t="n">
        <x:f>C89-U89</x:f>
        <x:v>0</x:v>
      </x:c>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56" t="str">
        <x:v>2011-10</x:v>
      </x:c>
      <x:c r="B90" s="102" t="n">
        <x:v>0.039722293314158996</x:v>
      </x:c>
      <x:c r="C90" s="102" t="n">
        <x:v>0.027069509487827926</x:v>
      </x:c>
      <x:c r="D90" s="102" t="n">
        <x:v>0.01265278382633107</x:v>
      </x:c>
      <x:c r="E90" s="104" t="n">
        <x:v>1907.6090322580642</x:v>
      </x:c>
      <x:c r="F90" s="104" t="n">
        <x:v>1883.6245229319493</x:v>
      </x:c>
      <x:c r="G90" s="102" t="n">
        <x:v>0.0036109531956773125</x:v>
      </x:c>
      <x:c r="H90" s="102" t="n">
        <x:v>0.0011166823708999738</x:v>
      </x:c>
      <x:c r="I90" s="102" t="n">
        <x:v>0.00013872374633952815</x:v>
      </x:c>
      <x:c r="J90" s="102" t="n">
        <x:v>-0.00019862730258529714</x:v>
      </x:c>
      <x:c r="K90" s="102" t="n">
        <x:v>-0.00012799112486697856</x:v>
      </x:c>
      <x:c r="L90" s="102" t="n">
        <x:v>0.0061472082976934345</x:v>
      </x:c>
      <x:c r="M90" s="102" t="n">
        <x:v>-0.0018140135305238856</x:v>
      </x:c>
      <x:c r="N90" s="102" t="n">
        <x:v>0.00020371812447315572</x:v>
      </x:c>
      <x:c r="O90" s="102" t="n">
        <x:v>-0.0005511936177213912</x:v>
      </x:c>
      <x:c r="P90" s="102" t="n">
        <x:v>0.009786824722309925</x:v>
      </x:c>
      <x:c r="Q90" s="102" t="n">
        <x:v>0.00002984229146791442</x:v>
      </x:c>
      <x:c r="R90" s="102" t="n">
        <x:v>0.00006954979738420065</x:v>
      </x:c>
      <x:c r="S90" s="102" t="n">
        <x:v>0.008657832517280036</x:v>
      </x:c>
      <x:c r="T90" s="102" t="n">
        <x:v>0</x:v>
      </x:c>
      <x:c r="U90" s="102" t="n">
        <x:v>0.027069509487827926</x:v>
      </x:c>
      <x:c r="V90" s="105" t="n">
        <x:f>C90-U90</x:f>
        <x:v>0</x:v>
      </x:c>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56" t="str">
        <x:v>2011-11</x:v>
      </x:c>
      <x:c r="B91" s="102" t="n">
        <x:v>0.006201068837606627</x:v>
      </x:c>
      <x:c r="C91" s="102" t="n">
        <x:v>0.0009490763872112624</x:v>
      </x:c>
      <x:c r="D91" s="102" t="n">
        <x:v>0.005251992450395365</x:v>
      </x:c>
      <x:c r="E91" s="104" t="n">
        <x:v>1919.4750000000006</x:v>
      </x:c>
      <x:c r="F91" s="104" t="n">
        <x:v>1909.4203583540634</x:v>
      </x:c>
      <x:c r="G91" s="102" t="n">
        <x:v>0.0036109531956773125</x:v>
      </x:c>
      <x:c r="H91" s="102" t="n">
        <x:v>-0.00041807943104447135</x:v>
      </x:c>
      <x:c r="I91" s="102" t="n">
        <x:v>0.00011388808819508724</x:v>
      </x:c>
      <x:c r="J91" s="102" t="n">
        <x:v>-0.00009931365129264857</x:v>
      </x:c>
      <x:c r="K91" s="102" t="n">
        <x:v>0.00010634478875493825</x:v>
      </x:c>
      <x:c r="L91" s="102" t="n">
        <x:v>0.004513489908045838</x:v>
      </x:c>
      <x:c r="M91" s="102" t="n">
        <x:v>-0.00046521948534925694</x:v>
      </x:c>
      <x:c r="N91" s="102" t="n">
        <x:v>0.001983297493077302</x:v>
      </x:c>
      <x:c r="O91" s="102" t="n">
        <x:v>-0.002119177976755368</x:v>
      </x:c>
      <x:c r="P91" s="102" t="n">
        <x:v>-0.007664301253856551</x:v>
      </x:c>
      <x:c r="Q91" s="102" t="n">
        <x:v>-0.00005559681074297958</x:v>
      </x:c>
      <x:c r="R91" s="102" t="n">
        <x:v>-0.000252066752465647</x:v>
      </x:c>
      <x:c r="S91" s="102" t="n">
        <x:v>0.0016948582749677066</x:v>
      </x:c>
      <x:c r="T91" s="102" t="n">
        <x:v>0</x:v>
      </x:c>
      <x:c r="U91" s="102" t="n">
        <x:v>0.0009490763872112623</x:v>
      </x:c>
      <x:c r="V91" s="105" t="n">
        <x:f>C91-U91</x:f>
        <x:v>1.0842021724855044e-19</x:v>
      </x:c>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56" t="str">
        <x:v>2011-12</x:v>
      </x:c>
      <x:c r="B92" s="102" t="n">
        <x:v>0.0072032057901756374</x:v>
      </x:c>
      <x:c r="C92" s="102" t="n">
        <x:v>0.023650569849031317</x:v>
      </x:c>
      <x:c r="D92" s="102" t="n">
        <x:v>-0.01644736405885568</x:v>
      </x:c>
      <x:c r="E92" s="104" t="n">
        <x:v>1933.3512903225812</x:v>
      </x:c>
      <x:c r="F92" s="104" t="n">
        <x:v>1965.4127634506203</x:v>
      </x:c>
      <x:c r="G92" s="102" t="n">
        <x:v>0.0036109531956773125</x:v>
      </x:c>
      <x:c r="H92" s="102" t="n">
        <x:v>0.0010022120456623456</x:v>
      </x:c>
      <x:c r="I92" s="102" t="n">
        <x:v>-0.00010559279312747147</x:v>
      </x:c>
      <x:c r="J92" s="102" t="n">
        <x:v>-0.00014897047693898167</x:v>
      </x:c>
      <x:c r="K92" s="102" t="n">
        <x:v>0.0009783943001786851</x:v>
      </x:c>
      <x:c r="L92" s="102" t="n">
        <x:v>0.006425575833068976</x:v>
      </x:c>
      <x:c r="M92" s="102" t="n">
        <x:v>-0.004128990457157359</x:v>
      </x:c>
      <x:c r="N92" s="102" t="n">
        <x:v>0.001477233360605779</x:v>
      </x:c>
      <x:c r="O92" s="102" t="n">
        <x:v>0.0010404654190897976</x:v>
      </x:c>
      <x:c r="P92" s="102" t="n">
        <x:v>0.009793949333699198</x:v>
      </x:c>
      <x:c r="Q92" s="102" t="n">
        <x:v>0.00009869122040243806</x:v>
      </x:c>
      <x:c r="R92" s="102" t="n">
        <x:v>-0.0002866830660765763</x:v>
      </x:c>
      <x:c r="S92" s="102" t="n">
        <x:v>0.0038933319339471742</x:v>
      </x:c>
      <x:c r="T92" s="102" t="n">
        <x:v>0</x:v>
      </x:c>
      <x:c r="U92" s="102" t="n">
        <x:v>0.023650569849031317</x:v>
      </x:c>
      <x:c r="V92" s="105" t="n">
        <x:f>C92-U92</x:f>
        <x:v>0</x:v>
      </x:c>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56" t="str">
        <x:v>2012-01</x:v>
      </x:c>
      <x:c r="B93" s="102" t="n">
        <x:v>-0.04229665632266322</x:v>
      </x:c>
      <x:c r="C93" s="102" t="n">
        <x:v>-0.031972573753727175</x:v>
      </x:c>
      <x:c r="D93" s="102" t="n">
        <x:v>-0.010324082568936042</x:v>
      </x:c>
      <x:c r="E93" s="104" t="n">
        <x:v>1853.282258064516</x:v>
      </x:c>
      <x:c r="F93" s="104" t="n">
        <x:v>1872.5148054966899</x:v>
      </x:c>
      <x:c r="G93" s="102" t="n">
        <x:v>0.0036109531956773125</x:v>
      </x:c>
      <x:c r="H93" s="102" t="n">
        <x:v>-0.0009741798207000795</x:v>
      </x:c>
      <x:c r="I93" s="102" t="n">
        <x:v>-0.0006335732491955158</x:v>
      </x:c>
      <x:c r="J93" s="102" t="n">
        <x:v>-0.0023338708053772853</x:v>
      </x:c>
      <x:c r="K93" s="102" t="n">
        <x:v>0.0001635478802427216</x:v>
      </x:c>
      <x:c r="L93" s="102" t="n">
        <x:v>-0.0038125571752343312</x:v>
      </x:c>
      <x:c r="M93" s="102" t="n">
        <x:v>-0.0036292285919036203</x:v>
      </x:c>
      <x:c r="N93" s="102" t="n">
        <x:v>-0.002388487303490932</x:v>
      </x:c>
      <x:c r="O93" s="102" t="n">
        <x:v>0.00201403123360227</x:v>
      </x:c>
      <x:c r="P93" s="102" t="n">
        <x:v>-0.013391346603353229</x:v>
      </x:c>
      <x:c r="Q93" s="102" t="n">
        <x:v>-0.00004531246995622918</x:v>
      </x:c>
      <x:c r="R93" s="102" t="n">
        <x:v>-0.0003892698209668898</x:v>
      </x:c>
      <x:c r="S93" s="102" t="n">
        <x:v>-0.010163280223071369</x:v>
      </x:c>
      <x:c r="T93" s="102" t="n">
        <x:v>0</x:v>
      </x:c>
      <x:c r="U93" s="102" t="n">
        <x:v>-0.031972573753727175</x:v>
      </x:c>
      <x:c r="V93" s="105" t="n">
        <x:f>C93-U93</x:f>
        <x:v>0</x:v>
      </x:c>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56" t="str">
        <x:v>2012-02</x:v>
      </x:c>
      <x:c r="B94" s="102" t="n">
        <x:v>-0.03879843675028205</x:v>
      </x:c>
      <x:c r="C94" s="102" t="n">
        <x:v>-0.03169834905694483</x:v>
      </x:c>
      <x:c r="D94" s="102" t="n">
        <x:v>-0.007100087693337219</x:v>
      </x:c>
      <x:c r="E94" s="104" t="n">
        <x:v>1782.7548275862068</x:v>
      </x:c>
      <x:c r="F94" s="104" t="n">
        <x:v>1795.4575851807829</x:v>
      </x:c>
      <x:c r="G94" s="102" t="n">
        <x:v>0.0036109531956773125</x:v>
      </x:c>
      <x:c r="H94" s="102" t="n">
        <x:v>-0.0028421000039972645</x:v>
      </x:c>
      <x:c r="I94" s="102" t="n">
        <x:v>0.00004916579236327322</x:v>
      </x:c>
      <x:c r="J94" s="102" t="n">
        <x:v>0.000019221997024384163</x:v>
      </x:c>
      <x:c r="K94" s="102" t="n">
        <x:v>-0.0001745863202061297</x:v>
      </x:c>
      <x:c r="L94" s="102" t="n">
        <x:v>-0.011633112450280056</x:v>
      </x:c>
      <x:c r="M94" s="102" t="n">
        <x:v>-0.0015895714529049752</x:v>
      </x:c>
      <x:c r="N94" s="102" t="n">
        <x:v>-0.0013140742222437294</x:v>
      </x:c>
      <x:c r="O94" s="102" t="n">
        <x:v>-0.0015226473232382005</x:v>
      </x:c>
      <x:c r="P94" s="102" t="n">
        <x:v>-0.0016829782553464978</x:v>
      </x:c>
      <x:c r="Q94" s="102" t="n">
        <x:v>-0.00006115144512102638</x:v>
      </x:c>
      <x:c r="R94" s="102" t="n">
        <x:v>-0.00031581299089375843</x:v>
      </x:c>
      <x:c r="S94" s="102" t="n">
        <x:v>-0.014241655577778164</x:v>
      </x:c>
      <x:c r="T94" s="102" t="n">
        <x:v>0</x:v>
      </x:c>
      <x:c r="U94" s="102" t="n">
        <x:v>-0.03169834905694483</x:v>
      </x:c>
      <x:c r="V94" s="105" t="n">
        <x:f>C94-U94</x:f>
        <x:v>0</x:v>
      </x:c>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56" t="str">
        <x:v>2012-03</x:v>
      </x:c>
      <x:c r="B95" s="102" t="n">
        <x:v>-0.00925496303616935</x:v>
      </x:c>
      <x:c r="C95" s="102" t="n">
        <x:v>0.007395743368088907</x:v>
      </x:c>
      <x:c r="D95" s="102" t="n">
        <x:v>-0.016650706404258257</x:v>
      </x:c>
      <x:c r="E95" s="104" t="n">
        <x:v>1766.3316129032253</x:v>
      </x:c>
      <x:c r="F95" s="104" t="n">
        <x:v>1795.9885008848698</x:v>
      </x:c>
      <x:c r="G95" s="102" t="n">
        <x:v>0.0036109531956773125</x:v>
      </x:c>
      <x:c r="H95" s="102" t="n">
        <x:v>-0.00189057091031304</x:v>
      </x:c>
      <x:c r="I95" s="102" t="n">
        <x:v>-0.000272989523562424</x:v>
      </x:c>
      <x:c r="J95" s="102" t="n">
        <x:v>-0.0024609679753574885</x:v>
      </x:c>
      <x:c r="K95" s="102" t="n">
        <x:v>-0.000058232490114809</x:v>
      </x:c>
      <x:c r="L95" s="102" t="n">
        <x:v>0.0038241637274315007</x:v>
      </x:c>
      <x:c r="M95" s="102" t="n">
        <x:v>-0.002215722469793974</x:v>
      </x:c>
      <x:c r="N95" s="102" t="n">
        <x:v>-0.004325932831996474</x:v>
      </x:c>
      <x:c r="O95" s="102" t="n">
        <x:v>-0.0020795573732685277</x:v>
      </x:c>
      <x:c r="P95" s="102" t="n">
        <x:v>0.009884498858097189</x:v>
      </x:c>
      <x:c r="Q95" s="102" t="n">
        <x:v>0.000030314777986200423</x:v>
      </x:c>
      <x:c r="R95" s="102" t="n">
        <x:v>-0.00034598394986133164</x:v>
      </x:c>
      <x:c r="S95" s="102" t="n">
        <x:v>0.003695770333164772</x:v>
      </x:c>
      <x:c r="T95" s="102" t="n">
        <x:v>0</x:v>
      </x:c>
      <x:c r="U95" s="102" t="n">
        <x:v>0.007395743368088906</x:v>
      </x:c>
      <x:c r="V95" s="105" t="n">
        <x:f>C95-U95</x:f>
        <x:v>8.673617379884035e-19</x:v>
      </x:c>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56" t="str">
        <x:v>2012-04</x:v>
      </x:c>
      <x:c r="B96" s="102" t="n">
        <x:v>0.00447237397446365</x:v>
      </x:c>
      <x:c r="C96" s="102" t="n">
        <x:v>0.012073636282730909</x:v>
      </x:c>
      <x:c r="D96" s="102" t="n">
        <x:v>-0.007601262308267258</x:v>
      </x:c>
      <x:c r="E96" s="104" t="n">
        <x:v>1774.2489999999993</x:v>
      </x:c>
      <x:c r="F96" s="104" t="n">
        <x:v>1787.786919503703</x:v>
      </x:c>
      <x:c r="G96" s="102" t="n">
        <x:v>0.0036109531956773125</x:v>
      </x:c>
      <x:c r="H96" s="102" t="n">
        <x:v>0.0018605876087886995</x:v>
      </x:c>
      <x:c r="I96" s="102" t="n">
        <x:v>-0.0003211103044236746</x:v>
      </x:c>
      <x:c r="J96" s="102" t="n">
        <x:v>-0.0019280546785435297</x:v>
      </x:c>
      <x:c r="K96" s="102" t="n">
        <x:v>0.00014944756977951462</x:v>
      </x:c>
      <x:c r="L96" s="102" t="n">
        <x:v>0.0021037570162300893</x:v>
      </x:c>
      <x:c r="M96" s="102" t="n">
        <x:v>0.0016557526931451553</x:v>
      </x:c>
      <x:c r="N96" s="102" t="n">
        <x:v>-0.0002316730841520189</x:v>
      </x:c>
      <x:c r="O96" s="102" t="n">
        <x:v>-0.0020845016416057814</x:v>
      </x:c>
      <x:c r="P96" s="102" t="n">
        <x:v>0.0032306631424611817</x:v>
      </x:c>
      <x:c r="Q96" s="102" t="n">
        <x:v>0.0000021230222462460862</x:v>
      </x:c>
      <x:c r="R96" s="102" t="n">
        <x:v>-0.00037795487859485275</x:v>
      </x:c>
      <x:c r="S96" s="102" t="n">
        <x:v>0.0044036466217225664</x:v>
      </x:c>
      <x:c r="T96" s="102" t="n">
        <x:v>0</x:v>
      </x:c>
      <x:c r="U96" s="102" t="n">
        <x:v>0.012073636282730909</x:v>
      </x:c>
      <x:c r="V96" s="105" t="n">
        <x:f>C96-U96</x:f>
        <x:v>0</x:v>
      </x:c>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56" t="str">
        <x:v>2012-05</x:v>
      </x:c>
      <x:c r="B97" s="102" t="n">
        <x:v>0.010667311650083278</x:v>
      </x:c>
      <x:c r="C97" s="102" t="n">
        <x:v>0.03527200389674776</x:v>
      </x:c>
      <x:c r="D97" s="102" t="n">
        <x:v>-0.024604692246664485</x:v>
      </x:c>
      <x:c r="E97" s="104" t="n">
        <x:v>1793.276774193548</x:v>
      </x:c>
      <x:c r="F97" s="104" t="n">
        <x:v>1837.947093504349</x:v>
      </x:c>
      <x:c r="G97" s="102" t="n">
        <x:v>0.0036109531956773125</x:v>
      </x:c>
      <x:c r="H97" s="102" t="n">
        <x:v>0.0029906204939169484</x:v>
      </x:c>
      <x:c r="I97" s="102" t="n">
        <x:v>0.0003525557470527459</x:v>
      </x:c>
      <x:c r="J97" s="102" t="n">
        <x:v>0.00009931365129264857</x:v>
      </x:c>
      <x:c r="K97" s="102" t="n">
        <x:v>-0.000812206040268311</x:v>
      </x:c>
      <x:c r="L97" s="102" t="n">
        <x:v>0.011466399275328693</x:v>
      </x:c>
      <x:c r="M97" s="102" t="n">
        <x:v>0.0027870643967550074</x:v>
      </x:c>
      <x:c r="N97" s="102" t="n">
        <x:v>0.003210819856092834</x:v>
      </x:c>
      <x:c r="O97" s="102" t="n">
        <x:v>-0.00294010759834294</x:v>
      </x:c>
      <x:c r="P97" s="102" t="n">
        <x:v>0.0026281210339963905</x:v>
      </x:c>
      <x:c r="Q97" s="102" t="n">
        <x:v>-0.000009721442287666146</x:v>
      </x:c>
      <x:c r="R97" s="102" t="n">
        <x:v>-0.0005661455239972128</x:v>
      </x:c>
      <x:c r="S97" s="102" t="n">
        <x:v>0.012454336851531321</x:v>
      </x:c>
      <x:c r="T97" s="102" t="n">
        <x:v>0</x:v>
      </x:c>
      <x:c r="U97" s="102" t="n">
        <x:v>0.03527200389674777</x:v>
      </x:c>
      <x:c r="V97" s="105" t="n">
        <x:f>C97-U97</x:f>
        <x:v>-6.938893903907228e-18</x:v>
      </x:c>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56" t="str">
        <x:v>2012-06</x:v>
      </x:c>
      <x:c r="B98" s="102" t="n">
        <x:v>-0.0004072188990962289</x:v>
      </x:c>
      <x:c r="C98" s="102" t="n">
        <x:v>0.028288611201263313</x:v>
      </x:c>
      <x:c r="D98" s="102" t="n">
        <x:v>-0.028695830100359542</x:v>
      </x:c>
      <x:c r="E98" s="104" t="n">
        <x:v>1792.5466666666669</x:v>
      </x:c>
      <x:c r="F98" s="104" t="n">
        <x:v>1844.7304285964892</x:v>
      </x:c>
      <x:c r="G98" s="102" t="n">
        <x:v>0.0036109531956773125</x:v>
      </x:c>
      <x:c r="H98" s="102" t="n">
        <x:v>0.005597505287503089</x:v>
      </x:c>
      <x:c r="I98" s="102" t="n">
        <x:v>0.00007248269786508147</x:v>
      </x:c>
      <x:c r="J98" s="102" t="n">
        <x:v>0.00019862730258530595</x:v>
      </x:c>
      <x:c r="K98" s="102" t="n">
        <x:v>-0.00009393426192221378</x:v>
      </x:c>
      <x:c r="L98" s="102" t="n">
        <x:v>0.009333758199582378</x:v>
      </x:c>
      <x:c r="M98" s="102" t="n">
        <x:v>0.00010409744604915843</x:v>
      </x:c>
      <x:c r="N98" s="102" t="n">
        <x:v>0.0015774144774062479</x:v>
      </x:c>
      <x:c r="O98" s="102" t="n">
        <x:v>-0.0007723918257945256</x:v>
      </x:c>
      <x:c r="P98" s="102" t="n">
        <x:v>0.0038741954709736173</x:v>
      </x:c>
      <x:c r="Q98" s="102" t="n">
        <x:v>0.000052098922707367816</x:v>
      </x:c>
      <x:c r="R98" s="102" t="n">
        <x:v>-0.0008848978273690769</x:v>
      </x:c>
      <x:c r="S98" s="102" t="n">
        <x:v>0.005618702115999571</x:v>
      </x:c>
      <x:c r="T98" s="102" t="n">
        <x:v>0</x:v>
      </x:c>
      <x:c r="U98" s="102" t="n">
        <x:v>0.028288611201263313</x:v>
      </x:c>
      <x:c r="V98" s="105" t="n">
        <x:f>C98-U98</x:f>
        <x:v>0</x:v>
      </x:c>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56" t="str">
        <x:v>2012-07</x:v>
      </x:c>
      <x:c r="B99" s="102" t="n">
        <x:v>-0.004880014511975617</x:v>
      </x:c>
      <x:c r="C99" s="102" t="n">
        <x:v>-0.025241481645614534</x:v>
      </x:c>
      <x:c r="D99" s="102" t="n">
        <x:v>0.020361467133638917</x:v>
      </x:c>
      <x:c r="E99" s="104" t="n">
        <x:v>1783.820322580645</x:v>
      </x:c>
      <x:c r="F99" s="104" t="n">
        <x:v>1747.866403151895</x:v>
      </x:c>
      <x:c r="G99" s="102" t="n">
        <x:v>0.0036109531956773125</x:v>
      </x:c>
      <x:c r="H99" s="102" t="n">
        <x:v>-0.00285472879896228</x:v>
      </x:c>
      <x:c r="I99" s="102" t="n">
        <x:v>-0.00010828815244245944</x:v>
      </x:c>
      <x:c r="J99" s="102" t="n">
        <x:v>0</x:v>
      </x:c>
      <x:c r="K99" s="102" t="n">
        <x:v>-0.000335681914945233</x:v>
      </x:c>
      <x:c r="L99" s="102" t="n">
        <x:v>-0.003176368591504001</x:v>
      </x:c>
      <x:c r="M99" s="102" t="n">
        <x:v>-0.0031385534328286797</x:v>
      </x:c>
      <x:c r="N99" s="102" t="n">
        <x:v>-0.0018392014992934583</x:v>
      </x:c>
      <x:c r="O99" s="102" t="n">
        <x:v>-0.003976526378471763</x:v>
      </x:c>
      <x:c r="P99" s="102" t="n">
        <x:v>-0.0030641231533829233</x:v>
      </x:c>
      <x:c r="Q99" s="102" t="n">
        <x:v>-0.00007626395725487754</x:v>
      </x:c>
      <x:c r="R99" s="102" t="n">
        <x:v>-0.0007785864899212238</x:v>
      </x:c>
      <x:c r="S99" s="102" t="n">
        <x:v>-0.009504112472284946</x:v>
      </x:c>
      <x:c r="T99" s="102" t="n">
        <x:v>0</x:v>
      </x:c>
      <x:c r="U99" s="102" t="n">
        <x:v>-0.025241481645614534</x:v>
      </x:c>
      <x:c r="V99" s="105" t="n">
        <x:f>C99-U99</x:f>
        <x:v>0</x:v>
      </x:c>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56" t="str">
        <x:v>2012-08</x:v>
      </x:c>
      <x:c r="B100" s="102" t="n">
        <x:v>0.0120931125286452</x:v>
      </x:c>
      <x:c r="C100" s="102" t="n">
        <x:v>-0.022072406869946302</x:v>
      </x:c>
      <x:c r="D100" s="102" t="n">
        <x:v>0.0341655193985915</x:v>
      </x:c>
      <x:c r="E100" s="104" t="n">
        <x:v>1805.5232258064523</x:v>
      </x:c>
      <x:c r="F100" s="104" t="n">
        <x:v>1744.8784658881686</x:v>
      </x:c>
      <x:c r="G100" s="102" t="n">
        <x:v>0.0036109531956773125</x:v>
      </x:c>
      <x:c r="H100" s="102" t="n">
        <x:v>-0.0037625520139240184</x:v>
      </x:c>
      <x:c r="I100" s="102" t="n">
        <x:v>0.0001705939772730396</x:v>
      </x:c>
      <x:c r="J100" s="102" t="n">
        <x:v>0.00016018330853653762</x:v>
      </x:c>
      <x:c r="K100" s="102" t="n">
        <x:v>0.00008633225830940441</x:v>
      </x:c>
      <x:c r="L100" s="102" t="n">
        <x:v>-0.005917082353247544</x:v>
      </x:c>
      <x:c r="M100" s="102" t="n">
        <x:v>-0.001917703018928264</x:v>
      </x:c>
      <x:c r="N100" s="102" t="n">
        <x:v>-0.004976000498021929</x:v>
      </x:c>
      <x:c r="O100" s="102" t="n">
        <x:v>-0.0029355721532449146</x:v>
      </x:c>
      <x:c r="P100" s="102" t="n">
        <x:v>-0.0009495710690512458</x:v>
      </x:c>
      <x:c r="Q100" s="102" t="n">
        <x:v>0.000014284910949389915</x:v>
      </x:c>
      <x:c r="R100" s="102" t="n">
        <x:v>-0.0008183784872555058</x:v>
      </x:c>
      <x:c r="S100" s="102" t="n">
        <x:v>-0.004837894927018565</x:v>
      </x:c>
      <x:c r="T100" s="102" t="n">
        <x:v>0</x:v>
      </x:c>
      <x:c r="U100" s="102" t="n">
        <x:v>-0.022072406869946302</x:v>
      </x:c>
      <x:c r="V100" s="105" t="n">
        <x:f>C100-U100</x:f>
        <x:v>0</x:v>
      </x:c>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56" t="str">
        <x:v>2012-09</x:v>
      </x:c>
      <x:c r="B101" s="102" t="n">
        <x:v>-0.0015391826890036597</x:v>
      </x:c>
      <x:c r="C101" s="102" t="n">
        <x:v>-0.01123429226512843</x:v>
      </x:c>
      <x:c r="D101" s="102" t="n">
        <x:v>0.00969510957612477</x:v>
      </x:c>
      <x:c r="E101" s="104" t="n">
        <x:v>1802.746333333333</x:v>
      </x:c>
      <x:c r="F101" s="104" t="n">
        <x:v>1785.352961656695</x:v>
      </x:c>
      <x:c r="G101" s="102" t="n">
        <x:v>0.0036109531956773125</x:v>
      </x:c>
      <x:c r="H101" s="102" t="n">
        <x:v>0.00016459395932023018</x:v>
      </x:c>
      <x:c r="I101" s="102" t="n">
        <x:v>-0.00035617370599450916</x:v>
      </x:c>
      <x:c r="J101" s="102" t="n">
        <x:v>0.002425175291243106</x:v>
      </x:c>
      <x:c r="K101" s="102" t="n">
        <x:v>0.000013985747190938427</x:v>
      </x:c>
      <x:c r="L101" s="102" t="n">
        <x:v>-0.010572115374801613</x:v>
      </x:c>
      <x:c r="M101" s="102" t="n">
        <x:v>-0.0004439270474519449</x:v>
      </x:c>
      <x:c r="N101" s="102" t="n">
        <x:v>-0.00217511951395977</x:v>
      </x:c>
      <x:c r="O101" s="102" t="n">
        <x:v>-0.0036083576647923613</x:v>
      </x:c>
      <x:c r="P101" s="102" t="n">
        <x:v>0.005270129132334745</x:v>
      </x:c>
      <x:c r="Q101" s="102" t="n">
        <x:v>0.00002168889361324505</x:v>
      </x:c>
      <x:c r="R101" s="102" t="n">
        <x:v>-0.0007154163567485727</x:v>
      </x:c>
      <x:c r="S101" s="102" t="n">
        <x:v>-0.004869708820759234</x:v>
      </x:c>
      <x:c r="T101" s="102" t="n">
        <x:v>0</x:v>
      </x:c>
      <x:c r="U101" s="102" t="n">
        <x:v>-0.01123429226512843</x:v>
      </x:c>
      <x:c r="V101" s="105" t="n">
        <x:f>C101-U101</x:f>
        <x:v>0</x:v>
      </x:c>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56" t="str">
        <x:v>2012-10</x:v>
      </x:c>
      <x:c r="B102" s="102" t="n">
        <x:v>0.0009174199923371873</x:v>
      </x:c>
      <x:c r="C102" s="102" t="n">
        <x:v>-0.007345675226255876</x:v>
      </x:c>
      <x:c r="D102" s="102" t="n">
        <x:v>0.008263095218593064</x:v>
      </x:c>
      <x:c r="E102" s="104" t="n">
        <x:v>1804.4009677419356</x:v>
      </x:c>
      <x:c r="F102" s="104" t="n">
        <x:v>1789.552462525533</x:v>
      </x:c>
      <x:c r="G102" s="102" t="n">
        <x:v>0.0036109531956773125</x:v>
      </x:c>
      <x:c r="H102" s="102" t="n">
        <x:v>0.0003881736519243745</x:v>
      </x:c>
      <x:c r="I102" s="102" t="n">
        <x:v>-0.0004113085455632939</x:v>
      </x:c>
      <x:c r="J102" s="102" t="n">
        <x:v>0.002181696662267585</x:v>
      </x:c>
      <x:c r="K102" s="102" t="n">
        <x:v>0.00009560472716932931</x:v>
      </x:c>
      <x:c r="L102" s="102" t="n">
        <x:v>-0.0015416622532582278</x:v>
      </x:c>
      <x:c r="M102" s="102" t="n">
        <x:v>0.0010672914585309933</x:v>
      </x:c>
      <x:c r="N102" s="102" t="n">
        <x:v>-0.006447310981647414</x:v>
      </x:c>
      <x:c r="O102" s="102" t="n">
        <x:v>-0.0035640318693648206</x:v>
      </x:c>
      <x:c r="P102" s="102" t="n">
        <x:v>-0.0013839411505297272</x:v>
      </x:c>
      <x:c r="Q102" s="102" t="n">
        <x:v>-0.000012626565611113097</x:v>
      </x:c>
      <x:c r="R102" s="102" t="n">
        <x:v>-0.0005591308474643937</x:v>
      </x:c>
      <x:c r="S102" s="102" t="n">
        <x:v>-0.0007693827083864793</x:v>
      </x:c>
      <x:c r="T102" s="102" t="n">
        <x:v>0</x:v>
      </x:c>
      <x:c r="U102" s="102" t="n">
        <x:v>-0.0073456752262558754</x:v>
      </x:c>
      <x:c r="V102" s="105" t="n">
        <x:f>C102-U102</x:f>
        <x:v>-8.673617379884035e-19</x:v>
      </x:c>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56" t="str">
        <x:v>2012-11</x:v>
      </x:c>
      <x:c r="B103" s="102" t="n">
        <x:v>0.009164642875816753</x:v>
      </x:c>
      <x:c r="C103" s="102" t="n">
        <x:v>0.016737713758083726</x:v>
      </x:c>
      <x:c r="D103" s="102" t="n">
        <x:v>-0.0075730708822669725</x:v>
      </x:c>
      <x:c r="E103" s="104" t="n">
        <x:v>1821.013666666667</x:v>
      </x:c>
      <x:c r="F103" s="104" t="n">
        <x:v>1834.8566831548176</x:v>
      </x:c>
      <x:c r="G103" s="102" t="n">
        <x:v>0.0036109531956773125</x:v>
      </x:c>
      <x:c r="H103" s="102" t="n">
        <x:v>0.0009085055336418822</x:v>
      </x:c>
      <x:c r="I103" s="102" t="n">
        <x:v>0.00003850251330168173</x:v>
      </x:c>
      <x:c r="J103" s="102" t="n">
        <x:v>0.00019862730258530595</x:v>
      </x:c>
      <x:c r="K103" s="102" t="n">
        <x:v>0.0003391661481558302</x:v>
      </x:c>
      <x:c r="L103" s="102" t="n">
        <x:v>0.004940754677293301</x:v>
      </x:c>
      <x:c r="M103" s="102" t="n">
        <x:v>0.00043846430279814003</x:v>
      </x:c>
      <x:c r="N103" s="102" t="n">
        <x:v>0.0014877577712658762</x:v>
      </x:c>
      <x:c r="O103" s="102" t="n">
        <x:v>-0.0035489545961172714</x:v>
      </x:c>
      <x:c r="P103" s="102" t="n">
        <x:v>0.005560476962524141</x:v>
      </x:c>
      <x:c r="Q103" s="102" t="n">
        <x:v>3.636447586353388e-7</x:v>
      </x:c>
      <x:c r="R103" s="102" t="n">
        <x:v>-0.00044925429941792086</x:v>
      </x:c>
      <x:c r="S103" s="102" t="n">
        <x:v>0.0032123506016168116</x:v>
      </x:c>
      <x:c r="T103" s="102" t="n">
        <x:v>0</x:v>
      </x:c>
      <x:c r="U103" s="102" t="n">
        <x:v>0.016737713758083726</x:v>
      </x:c>
      <x:c r="V103" s="105" t="n">
        <x:f>C103-U103</x:f>
        <x:v>0</x:v>
      </x:c>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56" t="str">
        <x:v>2012-12</x:v>
      </x:c>
      <x:c r="B104" s="102" t="n">
        <x:v>-0.015784891644613275</x:v>
      </x:c>
      <x:c r="C104" s="102" t="n">
        <x:v>-0.01586051318147787</x:v>
      </x:c>
      <x:c r="D104" s="102" t="n">
        <x:v>0.00007562153686459586</x:v>
      </x:c>
      <x:c r="E104" s="104" t="n">
        <x:v>1792.4948387096765</x:v>
      </x:c>
      <x:c r="F104" s="104" t="n">
        <x:v>1792.3592926203182</x:v>
      </x:c>
      <x:c r="G104" s="102" t="n">
        <x:v>0.0036109531956773125</x:v>
      </x:c>
      <x:c r="H104" s="102" t="n">
        <x:v>-0.00015065545993252016</x:v>
      </x:c>
      <x:c r="I104" s="102" t="n">
        <x:v>-0.0004219792694171756</x:v>
      </x:c>
      <x:c r="J104" s="102" t="n">
        <x:v>0.00041380688038604745</x:v>
      </x:c>
      <x:c r="K104" s="102" t="n">
        <x:v>-0.0008805691890272462</x:v>
      </x:c>
      <x:c r="L104" s="102" t="n">
        <x:v>-0.004086879395934259</x:v>
      </x:c>
      <x:c r="M104" s="102" t="n">
        <x:v>0.0006043581491304565</x:v>
      </x:c>
      <x:c r="N104" s="102" t="n">
        <x:v>-0.00515784554604103</x:v>
      </x:c>
      <x:c r="O104" s="102" t="n">
        <x:v>-0.0030565778935515956</x:v>
      </x:c>
      <x:c r="P104" s="102" t="n">
        <x:v>-0.0030935395671693373</x:v>
      </x:c>
      <x:c r="Q104" s="102" t="n">
        <x:v>0.000012858473800042882</x:v>
      </x:c>
      <x:c r="R104" s="102" t="n">
        <x:v>-0.0005154407745766043</x:v>
      </x:c>
      <x:c r="S104" s="102" t="n">
        <x:v>-0.003139002784821961</x:v>
      </x:c>
      <x:c r="T104" s="102" t="n">
        <x:v>0</x:v>
      </x:c>
      <x:c r="U104" s="102" t="n">
        <x:v>-0.015860513181477867</x:v>
      </x:c>
      <x:c r="V104" s="105" t="n">
        <x:f>C104-U104</x:f>
        <x:v>-3.469446951953614e-18</x:v>
      </x:c>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56" t="str">
        <x:v>2013-01</x:v>
      </x:c>
      <x:c r="B105" s="102" t="n">
        <x:v>-0.012813867318578254</x:v>
      </x:c>
      <x:c r="C105" s="102" t="n">
        <x:v>-0.026140958974973316</x:v>
      </x:c>
      <x:c r="D105" s="102" t="n">
        <x:v>0.013327091656395063</x:v>
      </x:c>
      <x:c r="E105" s="104" t="n">
        <x:v>1769.6725806451618</x:v>
      </x:c>
      <x:c r="F105" s="104" t="n">
        <x:v>1746.2444531199908</x:v>
      </x:c>
      <x:c r="G105" s="102" t="n">
        <x:v>0.0036109531956773125</x:v>
      </x:c>
      <x:c r="H105" s="102" t="n">
        <x:v>-0.0011782753301522414</x:v>
      </x:c>
      <x:c r="I105" s="102" t="n">
        <x:v>-0.0002738944836443932</x:v>
      </x:c>
      <x:c r="J105" s="102" t="n">
        <x:v>0.0027097676360763527</x:v>
      </x:c>
      <x:c r="K105" s="102" t="n">
        <x:v>0.0011932389026762466</x:v>
      </x:c>
      <x:c r="L105" s="102" t="n">
        <x:v>-0.00037846838045693914</x:v>
      </x:c>
      <x:c r="M105" s="102" t="n">
        <x:v>-0.004212090339186049</x:v>
      </x:c>
      <x:c r="N105" s="102" t="n">
        <x:v>-0.009051216677787658</x:v>
      </x:c>
      <x:c r="O105" s="102" t="n">
        <x:v>-0.003513551407026622</x:v>
      </x:c>
      <x:c r="P105" s="102" t="n">
        <x:v>-0.009162884163831625</x:v>
      </x:c>
      <x:c r="Q105" s="102" t="n">
        <x:v>-0.000031721036988831957</x:v>
      </x:c>
      <x:c r="R105" s="102" t="n">
        <x:v>-0.0003549217036253543</x:v>
      </x:c>
      <x:c r="S105" s="102" t="n">
        <x:v>-0.0054978951867035155</x:v>
      </x:c>
      <x:c r="T105" s="102" t="n">
        <x:v>0</x:v>
      </x:c>
      <x:c r="U105" s="102" t="n">
        <x:v>-0.02614095897497332</x:v>
      </x:c>
      <x:c r="V105" s="105" t="n">
        <x:f>C105-U105</x:f>
        <x:v>3.469446951953614e-18</x:v>
      </x:c>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56" t="str">
        <x:v>2013-02</x:v>
      </x:c>
      <x:c r="B106" s="102" t="n">
        <x:v>0.01172709167914654</x:v>
      </x:c>
      <x:c r="C106" s="102" t="n">
        <x:v>0.0036728006137219716</x:v>
      </x:c>
      <x:c r="D106" s="102" t="n">
        <x:v>0.008054291065424568</x:v>
      </x:c>
      <x:c r="E106" s="104" t="n">
        <x:v>1790.547857142857</x:v>
      </x:c>
      <x:c r="F106" s="104" t="n">
        <x:v>1776.1841857792715</x:v>
      </x:c>
      <x:c r="G106" s="102" t="n">
        <x:v>0.0036109531956773125</x:v>
      </x:c>
      <x:c r="H106" s="102" t="n">
        <x:v>-0.0010205320926980669</x:v>
      </x:c>
      <x:c r="I106" s="102" t="n">
        <x:v>0.0005513285810648242</x:v>
      </x:c>
      <x:c r="J106" s="102" t="n">
        <x:v>0.0018837557083896304</x:v>
      </x:c>
      <x:c r="K106" s="102" t="n">
        <x:v>-0.0007899903498759009</x:v>
      </x:c>
      <x:c r="L106" s="102" t="n">
        <x:v>0.004984313656781633</x:v>
      </x:c>
      <x:c r="M106" s="102" t="n">
        <x:v>0.0006988796236539273</x:v>
      </x:c>
      <x:c r="N106" s="102" t="n">
        <x:v>-0.005413648003848674</x:v>
      </x:c>
      <x:c r="O106" s="102" t="n">
        <x:v>-0.002380607407709831</x:v>
      </x:c>
      <x:c r="P106" s="102" t="n">
        <x:v>0.004851706790359152</x:v>
      </x:c>
      <x:c r="Q106" s="102" t="n">
        <x:v>0.00002064057415543219</x:v>
      </x:c>
      <x:c r="R106" s="102" t="n">
        <x:v>-0.0002020429352013322</x:v>
      </x:c>
      <x:c r="S106" s="102" t="n">
        <x:v>-0.003121956727026133</x:v>
      </x:c>
      <x:c r="T106" s="102" t="n">
        <x:v>0</x:v>
      </x:c>
      <x:c r="U106" s="102" t="n">
        <x:v>0.0036728006137219734</x:v>
      </x:c>
      <x:c r="V106" s="105" t="n">
        <x:f>C106-U106</x:f>
        <x:v>-1.734723475976807e-18</x:v>
      </x:c>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56" t="str">
        <x:v>2013-03</x:v>
      </x:c>
      <x:c r="B107" s="102" t="n">
        <x:v>0.012874175337395322</x:v>
      </x:c>
      <x:c r="C107" s="102" t="n">
        <x:v>0.015808881193765823</x:v>
      </x:c>
      <x:c r="D107" s="102" t="n">
        <x:v>-0.0029347058563705015</x:v>
      </x:c>
      <x:c r="E107" s="104" t="n">
        <x:v>1813.74870967742</x:v>
      </x:c>
      <x:c r="F107" s="104" t="n">
        <x:v>1819.0793467377528</x:v>
      </x:c>
      <x:c r="G107" s="102" t="n">
        <x:v>0.0036109531956773125</x:v>
      </x:c>
      <x:c r="H107" s="102" t="n">
        <x:v>0.0025526694015658375</x:v>
      </x:c>
      <x:c r="I107" s="102" t="n">
        <x:v>0.0002326196227091409</x:v>
      </x:c>
      <x:c r="J107" s="102" t="n">
        <x:v>0.0026965715825635833</x:v>
      </x:c>
      <x:c r="K107" s="102" t="n">
        <x:v>0.00019689021303837518</x:v>
      </x:c>
      <x:c r="L107" s="102" t="n">
        <x:v>0.005874220148943694</x:v>
      </x:c>
      <x:c r="M107" s="102" t="n">
        <x:v>-0.0013052728951981143</x:v>
      </x:c>
      <x:c r="N107" s="102" t="n">
        <x:v>-0.0007149748178213078</x:v>
      </x:c>
      <x:c r="O107" s="102" t="n">
        <x:v>-0.003991943967351209</x:v>
      </x:c>
      <x:c r="P107" s="102" t="n">
        <x:v>0.008894894531099396</x:v>
      </x:c>
      <x:c r="Q107" s="102" t="n">
        <x:v>0.000023831379556758154</x:v>
      </x:c>
      <x:c r="R107" s="102" t="n">
        <x:v>0.00007702762820027815</x:v>
      </x:c>
      <x:c r="S107" s="102" t="n">
        <x:v>-0.0023386048292179202</x:v>
      </x:c>
      <x:c r="T107" s="102" t="n">
        <x:v>0</x:v>
      </x:c>
      <x:c r="U107" s="102" t="n">
        <x:v>0.015808881193765823</x:v>
      </x:c>
      <x:c r="V107" s="105" t="n">
        <x:f>C107-U107</x:f>
        <x:v>0</x:v>
      </x:c>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56" t="str">
        <x:v>2013-04</x:v>
      </x:c>
      <x:c r="B108" s="102" t="n">
        <x:v>0.00904655671708543</x:v>
      </x:c>
      <x:c r="C108" s="102" t="n">
        <x:v>0.010006944785745856</x:v>
      </x:c>
      <x:c r="D108" s="102" t="n">
        <x:v>-0.0009603880686604258</x:v>
      </x:c>
      <x:c r="E108" s="104" t="n">
        <x:v>1830.2313333333332</x:v>
      </x:c>
      <x:c r="F108" s="104" t="n">
        <x:v>1831.989909991608</x:v>
      </x:c>
      <x:c r="G108" s="102" t="n">
        <x:v>0.0036109531956773125</x:v>
      </x:c>
      <x:c r="H108" s="102" t="n">
        <x:v>0.002234785750041139</x:v>
      </x:c>
      <x:c r="I108" s="102" t="n">
        <x:v>-0.00006749703430536756</x:v>
      </x:c>
      <x:c r="J108" s="102" t="n">
        <x:v>0.0029899358704833525</x:v>
      </x:c>
      <x:c r="K108" s="102" t="n">
        <x:v>0.0004326464256231551</x:v>
      </x:c>
      <x:c r="L108" s="102" t="n">
        <x:v>-0.00248217387990836</x:v>
      </x:c>
      <x:c r="M108" s="102" t="n">
        <x:v>0.0011776542867404421</x:v>
      </x:c>
      <x:c r="N108" s="102" t="n">
        <x:v>0.004022817495733522</x:v>
      </x:c>
      <x:c r="O108" s="102" t="n">
        <x:v>-0.004648631279752002</x:v>
      </x:c>
      <x:c r="P108" s="102" t="n">
        <x:v>0.0058631202059507325</x:v>
      </x:c>
      <x:c r="Q108" s="102" t="n">
        <x:v>-0.000028455598136079618</x:v>
      </x:c>
      <x:c r="R108" s="102" t="n">
        <x:v>-0.0002232567632227549</x:v>
      </x:c>
      <x:c r="S108" s="102" t="n">
        <x:v>-0.0028749538891792354</x:v>
      </x:c>
      <x:c r="T108" s="102" t="n">
        <x:v>0</x:v>
      </x:c>
      <x:c r="U108" s="102" t="n">
        <x:v>0.010006944785745856</x:v>
      </x:c>
      <x:c r="V108" s="105" t="n">
        <x:f>C108-U108</x:f>
        <x:v>0</x:v>
      </x:c>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56" t="str">
        <x:v>2013-05</x:v>
      </x:c>
      <x:c r="B109" s="102" t="n">
        <x:v>0.00961900997404097</x:v>
      </x:c>
      <x:c r="C109" s="102" t="n">
        <x:v>-0.0015652511129348296</x:v>
      </x:c>
      <x:c r="D109" s="102" t="n">
        <x:v>0.0111842610869758</x:v>
      </x:c>
      <x:c r="E109" s="104" t="n">
        <x:v>1847.9212903225798</x:v>
      </x:c>
      <x:c r="F109" s="104" t="n">
        <x:v>1827.3688025760673</x:v>
      </x:c>
      <x:c r="G109" s="102" t="n">
        <x:v>0.0036109531956773125</x:v>
      </x:c>
      <x:c r="H109" s="102" t="n">
        <x:v>-0.00011462444449202142</x:v>
      </x:c>
      <x:c r="I109" s="102" t="n">
        <x:v>0.0008816335674679744</x:v>
      </x:c>
      <x:c r="J109" s="102" t="n">
        <x:v>0.004103896364705983</x:v>
      </x:c>
      <x:c r="K109" s="102" t="n">
        <x:v>0.0007544723419084041</x:v>
      </x:c>
      <x:c r="L109" s="102" t="n">
        <x:v>0.0032667712263139428</x:v>
      </x:c>
      <x:c r="M109" s="102" t="n">
        <x:v>-0.0005858556973392326</x:v>
      </x:c>
      <x:c r="N109" s="102" t="n">
        <x:v>0.0014072552616553342</x:v>
      </x:c>
      <x:c r="O109" s="102" t="n">
        <x:v>-0.004304382709782305</x:v>
      </x:c>
      <x:c r="P109" s="102" t="n">
        <x:v>-0.013892434360667512</x:v>
      </x:c>
      <x:c r="Q109" s="102" t="n">
        <x:v>-0.00001917635877831038</x:v>
      </x:c>
      <x:c r="R109" s="102" t="n">
        <x:v>-0.000489021125193327</x:v>
      </x:c>
      <x:c r="S109" s="102" t="n">
        <x:v>0.003815261625588927</x:v>
      </x:c>
      <x:c r="T109" s="102" t="n">
        <x:v>0</x:v>
      </x:c>
      <x:c r="U109" s="102" t="n">
        <x:v>-0.0015652511129348296</x:v>
      </x:c>
      <x:c r="V109" s="105" t="n">
        <x:f>C109-U109</x:f>
        <x:v>0</x:v>
      </x:c>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56" t="str">
        <x:v>2013-06</x:v>
      </x:c>
      <x:c r="B110" s="102" t="n">
        <x:v>0.03296297537990256</x:v>
      </x:c>
      <x:c r="C110" s="102" t="n">
        <x:v>0.050428701407931924</x:v>
      </x:c>
      <x:c r="D110" s="102" t="n">
        <x:v>-0.017465726028029364</x:v>
      </x:c>
      <x:c r="E110" s="104" t="n">
        <x:v>1909.8493333333329</x:v>
      </x:c>
      <x:c r="F110" s="104" t="n">
        <x:v>1943.499243188499</x:v>
      </x:c>
      <x:c r="G110" s="102" t="n">
        <x:v>0.0036109531956773125</x:v>
      </x:c>
      <x:c r="H110" s="102" t="n">
        <x:v>-0.0001328009703966856</x:v>
      </x:c>
      <x:c r="I110" s="102" t="n">
        <x:v>0.0006388576448192583</x:v>
      </x:c>
      <x:c r="J110" s="102" t="n">
        <x:v>-0.00039725460517060307</x:v>
      </x:c>
      <x:c r="K110" s="102" t="n">
        <x:v>0.00003276980971168144</x:v>
      </x:c>
      <x:c r="L110" s="102" t="n">
        <x:v>0.005089667995676111</x:v>
      </x:c>
      <x:c r="M110" s="102" t="n">
        <x:v>0.004191815995410068</x:v>
      </x:c>
      <x:c r="N110" s="102" t="n">
        <x:v>0.016807976194260336</x:v>
      </x:c>
      <x:c r="O110" s="102" t="n">
        <x:v>-0.002358149609854453</x:v>
      </x:c>
      <x:c r="P110" s="102" t="n">
        <x:v>0.008004754944135245</x:v>
      </x:c>
      <x:c r="Q110" s="102" t="n">
        <x:v>0.00006893933270238528</x:v>
      </x:c>
      <x:c r="R110" s="102" t="n">
        <x:v>-0.0003213027763431881</x:v>
      </x:c>
      <x:c r="S110" s="102" t="n">
        <x:v>0.015192474257304463</x:v>
      </x:c>
      <x:c r="T110" s="102" t="n">
        <x:v>0</x:v>
      </x:c>
      <x:c r="U110" s="102" t="n">
        <x:v>0.05042870140793193</x:v>
      </x:c>
      <x:c r="V110" s="105" t="n">
        <x:f>C110-U110</x:f>
        <x:v>-6.938893903907228e-18</x:v>
      </x:c>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56" t="str">
        <x:v>2013-07</x:v>
      </x:c>
      <x:c r="B111" s="102" t="n">
        <x:v>-0.004358914553056259</x:v>
      </x:c>
      <x:c r="C111" s="102" t="n">
        <x:v>-0.0009303464752421065</x:v>
      </x:c>
      <x:c r="D111" s="102" t="n">
        <x:v>-0.0034285680778141526</x:v>
      </x:c>
      <x:c r="E111" s="104" t="n">
        <x:v>1901.5425806451606</x:v>
      </x:c>
      <x:c r="F111" s="104" t="n">
        <x:v>1908.0733380114177</x:v>
      </x:c>
      <x:c r="G111" s="102" t="n">
        <x:v>0.0036109531956773125</x:v>
      </x:c>
      <x:c r="H111" s="102" t="n">
        <x:v>-0.0017983855686250366</x:v>
      </x:c>
      <x:c r="I111" s="102" t="n">
        <x:v>0.0008103910185298907</x:v>
      </x:c>
      <x:c r="J111" s="102" t="n">
        <x:v>-0.00019862730258530154</x:v>
      </x:c>
      <x:c r="K111" s="102" t="n">
        <x:v>0.00007125786388137265</x:v>
      </x:c>
      <x:c r="L111" s="102" t="n">
        <x:v>0.003942419147018602</x:v>
      </x:c>
      <x:c r="M111" s="102" t="n">
        <x:v>-0.003597120138409616</x:v>
      </x:c>
      <x:c r="N111" s="102" t="n">
        <x:v>-0.001600510521729566</x:v>
      </x:c>
      <x:c r="O111" s="102" t="n">
        <x:v>-0.0017126348404066293</x:v>
      </x:c>
      <x:c r="P111" s="102" t="n">
        <x:v>-0.001103984215350602</x:v>
      </x:c>
      <x:c r="Q111" s="102" t="n">
        <x:v>-0.00001461395223868547</x:v>
      </x:c>
      <x:c r="R111" s="102" t="n">
        <x:v>-0.00019986439278007472</x:v>
      </x:c>
      <x:c r="S111" s="102" t="n">
        <x:v>0.000860373231776227</x:v>
      </x:c>
      <x:c r="T111" s="102" t="n">
        <x:v>0</x:v>
      </x:c>
      <x:c r="U111" s="102" t="n">
        <x:v>-0.0009303464752421071</x:v>
      </x:c>
      <x:c r="V111" s="105" t="n">
        <x:f>C111-U111</x:f>
        <x:v>6.505213034913027e-19</x:v>
      </x:c>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56" t="str">
        <x:v>2013-08</x:v>
      </x:c>
      <x:c r="B112" s="102" t="n">
        <x:v>0.00029530234569552505</x:v>
      </x:c>
      <x:c r="C112" s="102" t="n">
        <x:v>-0.002588441180278418</x:v>
      </x:c>
      <x:c r="D112" s="102" t="n">
        <x:v>0.002883743525973943</x:v>
      </x:c>
      <x:c r="E112" s="104" t="n">
        <x:v>1902.1041935483875</x:v>
      </x:c>
      <x:c r="F112" s="104" t="n">
        <x:v>1896.6269142246529</x:v>
      </x:c>
      <x:c r="G112" s="102" t="n">
        <x:v>0.0036109531956773125</x:v>
      </x:c>
      <x:c r="H112" s="102" t="n">
        <x:v>-0.0011547303695268747</x:v>
      </x:c>
      <x:c r="I112" s="102" t="n">
        <x:v>0.0009589187622668879</x:v>
      </x:c>
      <x:c r="J112" s="102" t="n">
        <x:v>0</x:v>
      </x:c>
      <x:c r="K112" s="102" t="n">
        <x:v>0.00031126893637598095</x:v>
      </x:c>
      <x:c r="L112" s="102" t="n">
        <x:v>-0.0010521937855649923</x:v>
      </x:c>
      <x:c r="M112" s="102" t="n">
        <x:v>0.0002837419876826077</x:v>
      </x:c>
      <x:c r="N112" s="102" t="n">
        <x:v>0.0038690133890693012</x:v>
      </x:c>
      <x:c r="O112" s="102" t="n">
        <x:v>-0.003890883760984304</x:v>
      </x:c>
      <x:c r="P112" s="102" t="n">
        <x:v>-0.01068201073562445</x:v>
      </x:c>
      <x:c r="Q112" s="102" t="n">
        <x:v>-0.00006235700643276808</x:v>
      </x:c>
      <x:c r="R112" s="102" t="n">
        <x:v>-0.0001347376118975214</x:v>
      </x:c>
      <x:c r="S112" s="102" t="n">
        <x:v>0.005354575818680402</x:v>
      </x:c>
      <x:c r="T112" s="102" t="n">
        <x:v>0</x:v>
      </x:c>
      <x:c r="U112" s="102" t="n">
        <x:v>-0.0025884411802784184</x:v>
      </x:c>
      <x:c r="V112" s="105" t="n">
        <x:f>C112-U112</x:f>
        <x:v>4.336808689942018e-19</x:v>
      </x:c>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56" t="str">
        <x:v>2013-09</x:v>
      </x:c>
      <x:c r="B113" s="102" t="n">
        <x:v>0.009110417054244202</x:v>
      </x:c>
      <x:c r="C113" s="102" t="n">
        <x:v>0.002985199947869568</x:v>
      </x:c>
      <x:c r="D113" s="102" t="n">
        <x:v>0.006125217106374634</x:v>
      </x:c>
      <x:c r="E113" s="104" t="n">
        <x:v>1919.5123333333331</x:v>
      </x:c>
      <x:c r="F113" s="104" t="n">
        <x:v>1907.7908385509877</x:v>
      </x:c>
      <x:c r="G113" s="102" t="n">
        <x:v>0.0036109531956773125</x:v>
      </x:c>
      <x:c r="H113" s="102" t="n">
        <x:v>-0.00010722794276690034</x:v>
      </x:c>
      <x:c r="I113" s="102" t="n">
        <x:v>0.0003782470504054817</x:v>
      </x:c>
      <x:c r="J113" s="102" t="n">
        <x:v>-0.00009931365129264857</x:v>
      </x:c>
      <x:c r="K113" s="102" t="n">
        <x:v>-0.00001354814108469973</x:v>
      </x:c>
      <x:c r="L113" s="102" t="n">
        <x:v>-0.0016357165239905028</x:v>
      </x:c>
      <x:c r="M113" s="102" t="n">
        <x:v>0.000566469939654519</x:v>
      </x:c>
      <x:c r="N113" s="102" t="n">
        <x:v>-0.0019939757693903134</x:v>
      </x:c>
      <x:c r="O113" s="102" t="n">
        <x:v>-0.0030816201491877665</x:v>
      </x:c>
      <x:c r="P113" s="102" t="n">
        <x:v>0.009965375209288297</x:v>
      </x:c>
      <x:c r="Q113" s="102" t="n">
        <x:v>0.000048396427900734996</x:v>
      </x:c>
      <x:c r="R113" s="102" t="n">
        <x:v>-0.0003845740645692641</x:v>
      </x:c>
      <x:c r="S113" s="102" t="n">
        <x:v>-0.004268265632774683</x:v>
      </x:c>
      <x:c r="T113" s="102" t="n">
        <x:v>0</x:v>
      </x:c>
      <x:c r="U113" s="102" t="n">
        <x:v>0.0029851999478695667</x:v>
      </x:c>
      <x:c r="V113" s="105" t="n">
        <x:f>C113-U113</x:f>
        <x:v>1.3010426069826053e-18</x:v>
      </x:c>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56" t="str">
        <x:v>2013-10</x:v>
      </x:c>
      <x:c r="B114" s="102" t="n">
        <x:v>-0.018073692209408243</x:v>
      </x:c>
      <x:c r="C114" s="102" t="n">
        <x:v>-0.021762484711191535</x:v>
      </x:c>
      <x:c r="D114" s="102" t="n">
        <x:v>0.0036887925017832918</x:v>
      </x:c>
      <x:c r="E114" s="104" t="n">
        <x:v>1885.1312903225808</x:v>
      </x:c>
      <x:c r="F114" s="104" t="n">
        <x:v>1878.1902420680176</x:v>
      </x:c>
      <x:c r="G114" s="102" t="n">
        <x:v>0.0036109531956773125</x:v>
      </x:c>
      <x:c r="H114" s="102" t="n">
        <x:v>0.0008635544578978766</x:v>
      </x:c>
      <x:c r="I114" s="102" t="n">
        <x:v>0.0006052118576393068</x:v>
      </x:c>
      <x:c r="J114" s="102" t="n">
        <x:v>0</x:v>
      </x:c>
      <x:c r="K114" s="102" t="n">
        <x:v>-0.00016230641118338354</x:v>
      </x:c>
      <x:c r="L114" s="102" t="n">
        <x:v>-0.006545334636933381</x:v>
      </x:c>
      <x:c r="M114" s="102" t="n">
        <x:v>0.0008078726200029608</x:v>
      </x:c>
      <x:c r="N114" s="102" t="n">
        <x:v>-0.003329068039823644</x:v>
      </x:c>
      <x:c r="O114" s="102" t="n">
        <x:v>-0.005169532671877648</x:v>
      </x:c>
      <x:c r="P114" s="102" t="n">
        <x:v>-0.0066372321625515806</x:v>
      </x:c>
      <x:c r="Q114" s="102" t="n">
        <x:v>-0.000052696611124254776</x:v>
      </x:c>
      <x:c r="R114" s="102" t="n">
        <x:v>-0.0005501759477640902</x:v>
      </x:c>
      <x:c r="S114" s="102" t="n">
        <x:v>-0.005203730361151013</x:v>
      </x:c>
      <x:c r="T114" s="102" t="n">
        <x:v>0</x:v>
      </x:c>
      <x:c r="U114" s="102" t="n">
        <x:v>-0.021762484711191535</x:v>
      </x:c>
      <x:c r="V114" s="105" t="n">
        <x:f>C114-U114</x:f>
        <x:v>0</x:v>
      </x:c>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56" t="str">
        <x:v>2013-11</x:v>
      </x:c>
      <x:c r="B115" s="102" t="n">
        <x:v>0.01924032181000168</x:v>
      </x:c>
      <x:c r="C115" s="102" t="n">
        <x:v>0.007879732339597033</x:v>
      </x:c>
      <x:c r="D115" s="102" t="n">
        <x:v>0.011360589470404648</x:v>
      </x:c>
      <x:c r="E115" s="104" t="n">
        <x:v>1921.7529999999997</x:v>
      </x:c>
      <x:c r="F115" s="104" t="n">
        <x:v>1900.0442984088354</x:v>
      </x:c>
      <x:c r="G115" s="102" t="n">
        <x:v>0.0036109531956773125</x:v>
      </x:c>
      <x:c r="H115" s="102" t="n">
        <x:v>0.00044789201224302834</x:v>
      </x:c>
      <x:c r="I115" s="102" t="n">
        <x:v>0.00021508137270645773</x:v>
      </x:c>
      <x:c r="J115" s="102" t="n">
        <x:v>0.00009931365129264857</x:v>
      </x:c>
      <x:c r="K115" s="102" t="n">
        <x:v>0.00008325567166149152</x:v>
      </x:c>
      <x:c r="L115" s="102" t="n">
        <x:v>0.005895433606045772</x:v>
      </x:c>
      <x:c r="M115" s="102" t="n">
        <x:v>-0.0029852481905203996</x:v>
      </x:c>
      <x:c r="N115" s="102" t="n">
        <x:v>0.002275089936923395</x:v>
      </x:c>
      <x:c r="O115" s="102" t="n">
        <x:v>-0.0011965341100883908</x:v>
      </x:c>
      <x:c r="P115" s="102" t="n">
        <x:v>-0.008179624625891717</x:v>
      </x:c>
      <x:c r="Q115" s="102" t="n">
        <x:v>0.00003020492552409236</x:v>
      </x:c>
      <x:c r="R115" s="102" t="n">
        <x:v>-0.0004463617664296921</x:v>
      </x:c>
      <x:c r="S115" s="102" t="n">
        <x:v>0.008030276660453035</x:v>
      </x:c>
      <x:c r="T115" s="102" t="n">
        <x:v>0</x:v>
      </x:c>
      <x:c r="U115" s="102" t="n">
        <x:v>0.007879732339597033</x:v>
      </x:c>
      <x:c r="V115" s="105" t="n">
        <x:f>C115-U115</x:f>
        <x:v>0</x:v>
      </x:c>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56" t="str">
        <x:v>2013-12</x:v>
      </x:c>
      <x:c r="B116" s="102" t="n">
        <x:v>0.0058127138526771205</x:v>
      </x:c>
      <x:c r="C116" s="102" t="n">
        <x:v>0.014801507272363434</x:v>
      </x:c>
      <x:c r="D116" s="102" t="n">
        <x:v>-0.008988793419686314</x:v>
      </x:c>
      <x:c r="E116" s="104" t="n">
        <x:v>1932.9561290322576</x:v>
      </x:c>
      <x:c r="F116" s="104" t="n">
        <x:v>1950.409396758294</x:v>
      </x:c>
      <x:c r="G116" s="102" t="n">
        <x:v>0.0036109531956773125</x:v>
      </x:c>
      <x:c r="H116" s="102" t="n">
        <x:v>-0.0010258353231567376</x:v>
      </x:c>
      <x:c r="I116" s="102" t="n">
        <x:v>0.0004862024260325831</x:v>
      </x:c>
      <x:c r="J116" s="102" t="n">
        <x:v>-0.00009931365129264857</x:v>
      </x:c>
      <x:c r="K116" s="102" t="n">
        <x:v>-0.000029648163208270024</x:v>
      </x:c>
      <x:c r="L116" s="102" t="n">
        <x:v>0.0010751390163240963</x:v>
      </x:c>
      <x:c r="M116" s="102" t="n">
        <x:v>0.0015898365690924718</x:v>
      </x:c>
      <x:c r="N116" s="102" t="n">
        <x:v>-0.0036644352365782233</x:v>
      </x:c>
      <x:c r="O116" s="102" t="n">
        <x:v>-0.0006501615491679166</x:v>
      </x:c>
      <x:c r="P116" s="102" t="n">
        <x:v>0.011522302859811361</x:v>
      </x:c>
      <x:c r="Q116" s="102" t="n">
        <x:v>0.00007320729875759546</x:v>
      </x:c>
      <x:c r="R116" s="102" t="n">
        <x:v>-0.00026345748466561177</x:v>
      </x:c>
      <x:c r="S116" s="102" t="n">
        <x:v>0.0021767173147374218</x:v>
      </x:c>
      <x:c r="T116" s="102" t="n">
        <x:v>0</x:v>
      </x:c>
      <x:c r="U116" s="102" t="n">
        <x:v>0.014801507272363434</x:v>
      </x:c>
      <x:c r="V116" s="105" t="n">
        <x:f>C116-U116</x:f>
        <x:v>0</x:v>
      </x:c>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56" t="str">
        <x:v>2014-01</x:v>
      </x:c>
      <x:c r="B117" s="102" t="n">
        <x:v>0.012508875969120758</x:v>
      </x:c>
      <x:c r="C117" s="102" t="n">
        <x:v>0.004198161956219736</x:v>
      </x:c>
      <x:c r="D117" s="102" t="n">
        <x:v>0.008310714012901023</x:v>
      </x:c>
      <x:c r="E117" s="104" t="n">
        <x:v>1957.2870967741935</x:v>
      </x:c>
      <x:c r="F117" s="104" t="n">
        <x:v>1941.0880495323809</x:v>
      </x:c>
      <x:c r="G117" s="102" t="n">
        <x:v>0.0036109531956773125</x:v>
      </x:c>
      <x:c r="H117" s="102" t="n">
        <x:v>0.0009117563659459643</x:v>
      </x:c>
      <x:c r="I117" s="102" t="n">
        <x:v>0.0008138960102743961</x:v>
      </x:c>
      <x:c r="J117" s="102" t="n">
        <x:v>0.00009931365129264857</x:v>
      </x:c>
      <x:c r="K117" s="102" t="n">
        <x:v>-0.0008735508887105463</x:v>
      </x:c>
      <x:c r="L117" s="102" t="n">
        <x:v>0.006204254281894201</x:v>
      </x:c>
      <x:c r="M117" s="102" t="n">
        <x:v>0.000058019099317349004</x:v>
      </x:c>
      <x:c r="N117" s="102" t="n">
        <x:v>0.0014548920678010581</x:v>
      </x:c>
      <x:c r="O117" s="102" t="n">
        <x:v>-0.0011209834929064304</x:v>
      </x:c>
      <x:c r="P117" s="102" t="n">
        <x:v>-0.010806110438811153</x:v>
      </x:c>
      <x:c r="Q117" s="102" t="n">
        <x:v>-0.00004851616568723192</x:v>
      </x:c>
      <x:c r="R117" s="102" t="n">
        <x:v>-0.00021942856174072222</x:v>
      </x:c>
      <x:c r="S117" s="102" t="n">
        <x:v>0.00411366683187289</x:v>
      </x:c>
      <x:c r="T117" s="102" t="n">
        <x:v>0</x:v>
      </x:c>
      <x:c r="U117" s="102" t="n">
        <x:v>0.004198161956219736</x:v>
      </x:c>
      <x:c r="V117" s="105" t="n">
        <x:f>C117-U117</x:f>
        <x:v>0</x:v>
      </x:c>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56" t="str">
        <x:v>2014-02</x:v>
      </x:c>
      <x:c r="B118" s="102" t="n">
        <x:v>0.0406511839497119</x:v>
      </x:c>
      <x:c r="C118" s="102" t="n">
        <x:v>0.02210192158100508</x:v>
      </x:c>
      <x:c r="D118" s="102" t="n">
        <x:v>0.01854926236870682</x:v>
      </x:c>
      <x:c r="E118" s="104" t="n">
        <x:v>2038.4925000000007</x:v>
      </x:c>
      <x:c r="F118" s="104" t="n">
        <x:v>2001.0285066976503</x:v>
      </x:c>
      <x:c r="G118" s="102" t="n">
        <x:v>0.0036109531956773125</x:v>
      </x:c>
      <x:c r="H118" s="102" t="n">
        <x:v>-0.0002727590721074913</x:v>
      </x:c>
      <x:c r="I118" s="102" t="n">
        <x:v>0.00033110633979483155</x:v>
      </x:c>
      <x:c r="J118" s="102" t="n">
        <x:v>-0.00019862730258530154</x:v>
      </x:c>
      <x:c r="K118" s="102" t="n">
        <x:v>0.00004841761794643335</x:v>
      </x:c>
      <x:c r="L118" s="102" t="n">
        <x:v>0.0011983541191064153</x:v>
      </x:c>
      <x:c r="M118" s="102" t="n">
        <x:v>0.0014057804635483318</x:v>
      </x:c>
      <x:c r="N118" s="102" t="n">
        <x:v>0.0060650196196659605</x:v>
      </x:c>
      <x:c r="O118" s="102" t="n">
        <x:v>-0.00040326287577286735</x:v>
      </x:c>
      <x:c r="P118" s="102" t="n">
        <x:v>0.007482275569380216</x:v>
      </x:c>
      <x:c r="Q118" s="102" t="n">
        <x:v>0.000027234034131539382</x:v>
      </x:c>
      <x:c r="R118" s="102" t="n">
        <x:v>-0.0002810106390962972</x:v>
      </x:c>
      <x:c r="S118" s="102" t="n">
        <x:v>0.003088440511316001</x:v>
      </x:c>
      <x:c r="T118" s="102" t="n">
        <x:v>0</x:v>
      </x:c>
      <x:c r="U118" s="102" t="n">
        <x:v>0.02210192158100508</x:v>
      </x:c>
      <x:c r="V118" s="105" t="n">
        <x:f>C118-U118</x:f>
        <x:v>0</x:v>
      </x:c>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56" t="str">
        <x:v>2014-03</x:v>
      </x:c>
      <x:c r="B119" s="102" t="n">
        <x:v>-0.009255030182302448</x:v>
      </x:c>
      <x:c r="C119" s="102" t="n">
        <x:v>-0.002318474815370191</x:v>
      </x:c>
      <x:c r="D119" s="102" t="n">
        <x:v>-0.006936555366932258</x:v>
      </x:c>
      <x:c r="E119" s="104" t="n">
        <x:v>2019.7132258064514</x:v>
      </x:c>
      <x:c r="F119" s="104" t="n">
        <x:v>2033.7717810260726</x:v>
      </x:c>
      <x:c r="G119" s="102" t="n">
        <x:v>0.0036109531956773125</x:v>
      </x:c>
      <x:c r="H119" s="102" t="n">
        <x:v>0.0004960979838724117</x:v>
      </x:c>
      <x:c r="I119" s="102" t="n">
        <x:v>0.000183594251370339</x:v>
      </x:c>
      <x:c r="J119" s="102" t="n">
        <x:v>0</x:v>
      </x:c>
      <x:c r="K119" s="102" t="n">
        <x:v>0.00010731917171205455</x:v>
      </x:c>
      <x:c r="L119" s="102" t="n">
        <x:v>-0.0013570823087880046</x:v>
      </x:c>
      <x:c r="M119" s="102" t="n">
        <x:v>-0.0007098635309237221</x:v>
      </x:c>
      <x:c r="N119" s="102" t="n">
        <x:v>-0.0031613285639197903</x:v>
      </x:c>
      <x:c r="O119" s="102" t="n">
        <x:v>-0.001633277806849763</x:v>
      </x:c>
      <x:c r="P119" s="102" t="n">
        <x:v>0.0025315349791267365</x:v>
      </x:c>
      <x:c r="Q119" s="102" t="n">
        <x:v>-0.000009599540515106823</x:v>
      </x:c>
      <x:c r="R119" s="102" t="n">
        <x:v>-0.0006022903445423713</x:v>
      </x:c>
      <x:c r="S119" s="102" t="n">
        <x:v>-0.001774532301590288</x:v>
      </x:c>
      <x:c r="T119" s="102" t="n">
        <x:v>0</x:v>
      </x:c>
      <x:c r="U119" s="102" t="n">
        <x:v>-0.0023184748153701916</x:v>
      </x:c>
      <x:c r="V119" s="105" t="n">
        <x:f>C119-U119</x:f>
        <x:v>4.336808689942018e-19</x:v>
      </x:c>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56" t="str">
        <x:v>2014-04</x:v>
      </x:c>
      <x:c r="B120" s="102" t="n">
        <x:v>-0.04111310721404138</x:v>
      </x:c>
      <x:c r="C120" s="102" t="n">
        <x:v>-0.02669659302062946</x:v>
      </x:c>
      <x:c r="D120" s="102" t="n">
        <x:v>-0.014416514193411917</x:v>
      </x:c>
      <x:c r="E120" s="104" t="n">
        <x:v>1938.360333333333</x:v>
      </x:c>
      <x:c r="F120" s="104" t="n">
        <x:v>1966.5071344786384</x:v>
      </x:c>
      <x:c r="G120" s="102" t="n">
        <x:v>0.0036109531956773125</x:v>
      </x:c>
      <x:c r="H120" s="102" t="n">
        <x:v>-0.00009636324716265094</x:v>
      </x:c>
      <x:c r="I120" s="102" t="n">
        <x:v>0.00006434486493997743</x:v>
      </x:c>
      <x:c r="J120" s="102" t="n">
        <x:v>0.00009931365129265298</x:v>
      </x:c>
      <x:c r="K120" s="102" t="n">
        <x:v>0.00002386098139988197</x:v>
      </x:c>
      <x:c r="L120" s="102" t="n">
        <x:v>-0.002961276637402332</x:v>
      </x:c>
      <x:c r="M120" s="102" t="n">
        <x:v>-0.0007470999581861544</x:v>
      </x:c>
      <x:c r="N120" s="102" t="n">
        <x:v>-0.010881902118101318</x:v>
      </x:c>
      <x:c r="O120" s="102" t="n">
        <x:v>-0.0013924497806053226</x:v>
      </x:c>
      <x:c r="P120" s="102" t="n">
        <x:v>-0.006600983617864499</x:v>
      </x:c>
      <x:c r="Q120" s="102" t="n">
        <x:v>-0.00002794448260015856</x:v>
      </x:c>
      <x:c r="R120" s="102" t="n">
        <x:v>-0.0005072638568897474</x:v>
      </x:c>
      <x:c r="S120" s="102" t="n">
        <x:v>-0.007279782015127102</x:v>
      </x:c>
      <x:c r="T120" s="102" t="n">
        <x:v>0</x:v>
      </x:c>
      <x:c r="U120" s="102" t="n">
        <x:v>-0.02669659302062946</x:v>
      </x:c>
      <x:c r="V120" s="105" t="n">
        <x:f>C120-U120</x:f>
        <x:v>0</x:v>
      </x:c>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56" t="str">
        <x:v>2014-05</x:v>
      </x:c>
      <x:c r="B121" s="102" t="n">
        <x:v>-0.011936326924113061</x:v>
      </x:c>
      <x:c r="C121" s="102" t="n">
        <x:v>0.0012994276062752044</x:v>
      </x:c>
      <x:c r="D121" s="102" t="n">
        <x:v>-0.013235754530388265</x:v>
      </x:c>
      <x:c r="E121" s="104" t="n">
        <x:v>1915.3609677419352</x:v>
      </x:c>
      <x:c r="F121" s="104" t="n">
        <x:v>1940.8807294428739</x:v>
      </x:c>
      <x:c r="G121" s="102" t="n">
        <x:v>0.0036109531956773125</x:v>
      </x:c>
      <x:c r="H121" s="102" t="n">
        <x:v>-0.000620788525862621</x:v>
      </x:c>
      <x:c r="I121" s="102" t="n">
        <x:v>-0.001003141085954149</x:v>
      </x:c>
      <x:c r="J121" s="102" t="n">
        <x:v>-0.00014897047693897725</x:v>
      </x:c>
      <x:c r="K121" s="102" t="n">
        <x:v>0.0001721008497153185</x:v>
      </x:c>
      <x:c r="L121" s="102" t="n">
        <x:v>-0.0021737712368889816</x:v>
      </x:c>
      <x:c r="M121" s="102" t="n">
        <x:v>-0.0021968200723837526</x:v>
      </x:c>
      <x:c r="N121" s="102" t="n">
        <x:v>0.0023454972400635864</x:v>
      </x:c>
      <x:c r="O121" s="102" t="n">
        <x:v>-0.0017520483939349304</x:v>
      </x:c>
      <x:c r="P121" s="102" t="n">
        <x:v>0.0060724280912557325</x:v>
      </x:c>
      <x:c r="Q121" s="102" t="n">
        <x:v>-0.0000014339289465001714</x:v>
      </x:c>
      <x:c r="R121" s="102" t="n">
        <x:v>-0.0003897744511140293</x:v>
      </x:c>
      <x:c r="S121" s="102" t="n">
        <x:v>-0.002614803598412804</x:v>
      </x:c>
      <x:c r="T121" s="102" t="n">
        <x:v>0</x:v>
      </x:c>
      <x:c r="U121" s="102" t="n">
        <x:v>0.0012994276062752047</x:v>
      </x:c>
      <x:c r="V121" s="105" t="n">
        <x:f>C121-U121</x:f>
        <x:v>-2.168404344971009e-19</x:v>
      </x:c>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56" t="str">
        <x:v>2014-06</x:v>
      </x:c>
      <x:c r="B122" s="102" t="n">
        <x:v>-0.014896989231123925</x:v>
      </x:c>
      <x:c r="C122" s="102" t="n">
        <x:v>-0.0041368514631946705</x:v>
      </x:c>
      <x:c r="D122" s="102" t="n">
        <x:v>-0.010760137767929254</x:v>
      </x:c>
      <x:c r="E122" s="104" t="n">
        <x:v>1887.0393333333334</x:v>
      </x:c>
      <x:c r="F122" s="104" t="n">
        <x:v>1907.453770646597</x:v>
      </x:c>
      <x:c r="G122" s="102" t="n">
        <x:v>0.0036109531956773125</x:v>
      </x:c>
      <x:c r="H122" s="102" t="n">
        <x:v>-0.0007708271303190842</x:v>
      </x:c>
      <x:c r="I122" s="102" t="n">
        <x:v>-0.0009103841264817624</x:v>
      </x:c>
      <x:c r="J122" s="102" t="n">
        <x:v>-0.002234557154084641</x:v>
      </x:c>
      <x:c r="K122" s="102" t="n">
        <x:v>0.0001629432811373324</x:v>
      </x:c>
      <x:c r="L122" s="102" t="n">
        <x:v>0.0010518704264002238</x:v>
      </x:c>
      <x:c r="M122" s="102" t="n">
        <x:v>-0.0013212409495080902</x:v>
      </x:c>
      <x:c r="N122" s="102" t="n">
        <x:v>0.0011464016913958666</x:v>
      </x:c>
      <x:c r="O122" s="102" t="n">
        <x:v>-0.0019889227551960864</x:v>
      </x:c>
      <x:c r="P122" s="102" t="n">
        <x:v>-0.0022412890729352443</x:v>
      </x:c>
      <x:c r="Q122" s="102" t="n">
        <x:v>-0.00000504876179624082</x:v>
      </x:c>
      <x:c r="R122" s="102" t="n">
        <x:v>-0.00040640230887984866</x:v>
      </x:c>
      <x:c r="S122" s="102" t="n">
        <x:v>-0.00023034779860440837</x:v>
      </x:c>
      <x:c r="T122" s="102" t="n">
        <x:v>0</x:v>
      </x:c>
      <x:c r="U122" s="102" t="n">
        <x:v>-0.0041368514631946705</x:v>
      </x:c>
      <x:c r="V122" s="105" t="n">
        <x:f>C122-U122</x:f>
        <x:v>0</x:v>
      </x:c>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56" t="str">
        <x:v>2014-07</x:v>
      </x:c>
      <x:c r="B123" s="102" t="n">
        <x:v>-0.01569998819457119</x:v>
      </x:c>
      <x:c r="C123" s="102" t="n">
        <x:v>0.0025291605287954444</x:v>
      </x:c>
      <x:c r="D123" s="102" t="n">
        <x:v>-0.018229148723366635</x:v>
      </x:c>
      <x:c r="E123" s="104" t="n">
        <x:v>1857.6441935483879</x:v>
      </x:c>
      <x:c r="F123" s="104" t="n">
        <x:v>1891.8179991907296</x:v>
      </x:c>
      <x:c r="G123" s="102" t="n">
        <x:v>0.0036109531956773125</x:v>
      </x:c>
      <x:c r="H123" s="102" t="n">
        <x:v>0.0017395470097797214</x:v>
      </x:c>
      <x:c r="I123" s="102" t="n">
        <x:v>-0.0010994956417097134</x:v>
      </x:c>
      <x:c r="J123" s="102" t="n">
        <x:v>-0.002797334511409657</x:v>
      </x:c>
      <x:c r="K123" s="102" t="n">
        <x:v>0.0003946794387123933</x:v>
      </x:c>
      <x:c r="L123" s="102" t="n">
        <x:v>-0.0014946616034405998</x:v>
      </x:c>
      <x:c r="M123" s="102" t="n">
        <x:v>0.0010759851690820958</x:v>
      </x:c>
      <x:c r="N123" s="102" t="n">
        <x:v>0.002659632478987819</x:v>
      </x:c>
      <x:c r="O123" s="102" t="n">
        <x:v>-0.0023287706070459807</x:v>
      </x:c>
      <x:c r="P123" s="102" t="n">
        <x:v>0.0015078298340658075</x:v>
      </x:c>
      <x:c r="Q123" s="102" t="n">
        <x:v>-0.000013913473832638526</x:v>
      </x:c>
      <x:c r="R123" s="102" t="n">
        <x:v>-0.00036695327498526334</x:v>
      </x:c>
      <x:c r="S123" s="102" t="n">
        <x:v>-0.0003583374850858514</x:v>
      </x:c>
      <x:c r="T123" s="102" t="n">
        <x:v>0</x:v>
      </x:c>
      <x:c r="U123" s="102" t="n">
        <x:v>0.0025291605287954457</x:v>
      </x:c>
      <x:c r="V123" s="105" t="n">
        <x:f>C123-U123</x:f>
        <x:v>-1.3010426069826053e-18</x:v>
      </x:c>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56" t="str">
        <x:v>2014-08</x:v>
      </x:c>
      <x:c r="B124" s="102" t="n">
        <x:v>0.021557519442985118</x:v>
      </x:c>
      <x:c r="C124" s="102" t="n">
        <x:v>0.012320226514751509</x:v>
      </x:c>
      <x:c r="D124" s="102" t="n">
        <x:v>0.00923729292823361</x:v>
      </x:c>
      <x:c r="E124" s="104" t="n">
        <x:v>1898.1251612903231</x:v>
      </x:c>
      <x:c r="F124" s="104" t="n">
        <x:v>1880.672355600619</x:v>
      </x:c>
      <x:c r="G124" s="102" t="n">
        <x:v>0.0036109531956773125</x:v>
      </x:c>
      <x:c r="H124" s="102" t="n">
        <x:v>0.001872926824164305</x:v>
      </x:c>
      <x:c r="I124" s="102" t="n">
        <x:v>-0.0007191873234811554</x:v>
      </x:c>
      <x:c r="J124" s="102" t="n">
        <x:v>-0.002168348053222877</x:v>
      </x:c>
      <x:c r="K124" s="102" t="n">
        <x:v>-0.000050774769611528496</x:v>
      </x:c>
      <x:c r="L124" s="102" t="n">
        <x:v>0.006505948697378321</x:v>
      </x:c>
      <x:c r="M124" s="102" t="n">
        <x:v>0.0015756916092194927</x:v>
      </x:c>
      <x:c r="N124" s="102" t="n">
        <x:v>0.0026519178358923555</x:v>
      </x:c>
      <x:c r="O124" s="102" t="n">
        <x:v>-0.0029194710645576525</x:v>
      </x:c>
      <x:c r="P124" s="102" t="n">
        <x:v>-0.003947303603002324</x:v>
      </x:c>
      <x:c r="Q124" s="102" t="n">
        <x:v>-0.000011559510500336059</x:v>
      </x:c>
      <x:c r="R124" s="102" t="n">
        <x:v>-0.00045784363046367794</x:v>
      </x:c>
      <x:c r="S124" s="102" t="n">
        <x:v>0.006377276307259275</x:v>
      </x:c>
      <x:c r="T124" s="102" t="n">
        <x:v>0</x:v>
      </x:c>
      <x:c r="U124" s="102" t="n">
        <x:v>0.012320226514751509</x:v>
      </x:c>
      <x:c r="V124" s="105" t="n">
        <x:f>C124-U124</x:f>
        <x:v>0</x:v>
      </x:c>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56" t="str">
        <x:v>2014-09</x:v>
      </x:c>
      <x:c r="B125" s="102" t="n">
        <x:v>0.03905175632778857</x:v>
      </x:c>
      <x:c r="C125" s="102" t="n">
        <x:v>0.01633750348981547</x:v>
      </x:c>
      <x:c r="D125" s="102" t="n">
        <x:v>0.022714252837973098</x:v>
      </x:c>
      <x:c r="E125" s="104" t="n">
        <x:v>1973.7166666666658</x:v>
      </x:c>
      <x:c r="F125" s="104" t="n">
        <x:v>1929.3904910273768</x:v>
      </x:c>
      <x:c r="G125" s="102" t="n">
        <x:v>0.0036109531956773125</x:v>
      </x:c>
      <x:c r="H125" s="102" t="n">
        <x:v>0.0017191720054794699</x:v>
      </x:c>
      <x:c r="I125" s="102" t="n">
        <x:v>-0.0008640064449923255</x:v>
      </x:c>
      <x:c r="J125" s="102" t="n">
        <x:v>-0.002482841282316267</x:v>
      </x:c>
      <x:c r="K125" s="102" t="n">
        <x:v>0.000288226862153206</x:v>
      </x:c>
      <x:c r="L125" s="102" t="n">
        <x:v>0.010120691996455383</x:v>
      </x:c>
      <x:c r="M125" s="102" t="n">
        <x:v>-0.00003179635130467907</x:v>
      </x:c>
      <x:c r="N125" s="102" t="n">
        <x:v>-0.0021731013036106537</x:v>
      </x:c>
      <x:c r="O125" s="102" t="n">
        <x:v>-0.002992612725261309</x:v>
      </x:c>
      <x:c r="P125" s="102" t="n">
        <x:v>0.004756571210430246</x:v>
      </x:c>
      <x:c r="Q125" s="102" t="n">
        <x:v>-0.000017792319229166445</x:v>
      </x:c>
      <x:c r="R125" s="102" t="n">
        <x:v>-0.0006686719762809267</x:v>
      </x:c>
      <x:c r="S125" s="102" t="n">
        <x:v>0.005072710622615179</x:v>
      </x:c>
      <x:c r="T125" s="102" t="n">
        <x:v>0</x:v>
      </x:c>
      <x:c r="U125" s="102" t="n">
        <x:v>0.01633750348981547</x:v>
      </x:c>
      <x:c r="V125" s="105" t="n">
        <x:f>C125-U125</x:f>
        <x:v>0</x:v>
      </x:c>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56" t="str">
        <x:v>2014-10</x:v>
      </x:c>
      <x:c r="B126" s="102" t="n">
        <x:v>0.03722233091585725</x:v>
      </x:c>
      <x:c r="C126" s="102" t="n">
        <x:v>0.026534758004989834</x:v>
      </x:c>
      <x:c r="D126" s="102" t="n">
        <x:v>0.010687572910867416</x:v>
      </x:c>
      <x:c r="E126" s="104" t="n">
        <x:v>2048.567419354838</x:v>
      </x:c>
      <x:c r="F126" s="104" t="n">
        <x:v>2026.7897880031137</x:v>
      </x:c>
      <x:c r="G126" s="102" t="n">
        <x:v>0.0036109531956773125</x:v>
      </x:c>
      <x:c r="H126" s="102" t="n">
        <x:v>0.003964987174071222</x:v>
      </x:c>
      <x:c r="I126" s="102" t="n">
        <x:v>-0.00016605463859537128</x:v>
      </x:c>
      <x:c r="J126" s="102" t="n">
        <x:v>-0.002482841282316267</x:v>
      </x:c>
      <x:c r="K126" s="102" t="n">
        <x:v>-0.0001768639711620072</x:v>
      </x:c>
      <x:c r="L126" s="102" t="n">
        <x:v>0.008538212739665122</x:v>
      </x:c>
      <x:c r="M126" s="102" t="n">
        <x:v>0.0049826699175352885</x:v>
      </x:c>
      <x:c r="N126" s="102" t="n">
        <x:v>0.004739677572712767</x:v>
      </x:c>
      <x:c r="O126" s="102" t="n">
        <x:v>-0.0019385240708294535</x:v>
      </x:c>
      <x:c r="P126" s="102" t="n">
        <x:v>0.002071728875499756</x:v>
      </x:c>
      <x:c r="Q126" s="102" t="n">
        <x:v>0.00004622613550205862</x:v>
      </x:c>
      <x:c r="R126" s="102" t="n">
        <x:v>-0.0006091043624372432</x:v>
      </x:c>
      <x:c r="S126" s="102" t="n">
        <x:v>0.003953690719666653</x:v>
      </x:c>
      <x:c r="T126" s="102" t="n">
        <x:v>0</x:v>
      </x:c>
      <x:c r="U126" s="102" t="n">
        <x:v>0.02653475800498984</x:v>
      </x:c>
      <x:c r="V126" s="105" t="n">
        <x:f>C126-U126</x:f>
        <x:v>-6.938893903907228e-18</x:v>
      </x:c>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56" t="str">
        <x:v>2014-11</x:v>
      </x:c>
      <x:c r="B127" s="102" t="n">
        <x:v>0.03836306277742896</x:v>
      </x:c>
      <x:c r="C127" s="102" t="n">
        <x:v>0.010547084205047751</x:v>
      </x:c>
      <x:c r="D127" s="102" t="n">
        <x:v>0.027815978572381207</x:v>
      </x:c>
      <x:c r="E127" s="104" t="n">
        <x:v>2128.683666666666</x:v>
      </x:c>
      <x:c r="F127" s="104" t="n">
        <x:v>2070.2881764004424</x:v>
      </x:c>
      <x:c r="G127" s="102" t="n">
        <x:v>0.0036109531956773125</x:v>
      </x:c>
      <x:c r="H127" s="102" t="n">
        <x:v>0.0036223984349658444</x:v>
      </x:c>
      <x:c r="I127" s="102" t="n">
        <x:v>-0.0002921903677397714</x:v>
      </x:c>
      <x:c r="J127" s="102" t="n">
        <x:v>0</x:v>
      </x:c>
      <x:c r="K127" s="102" t="n">
        <x:v>-0.0003328307877932458</x:v>
      </x:c>
      <x:c r="L127" s="102" t="n">
        <x:v>0.010680291365582191</x:v>
      </x:c>
      <x:c r="M127" s="102" t="n">
        <x:v>-0.005050280797293077</x:v>
      </x:c>
      <x:c r="N127" s="102" t="n">
        <x:v>-0.0026933669659074473</x:v>
      </x:c>
      <x:c r="O127" s="102" t="n">
        <x:v>-0.0012372293768370228</x:v>
      </x:c>
      <x:c r="P127" s="102" t="n">
        <x:v>-0.0016784502847585672</x:v>
      </x:c>
      <x:c r="Q127" s="102" t="n">
        <x:v>0.0000037572618059537378</x:v>
      </x:c>
      <x:c r="R127" s="102" t="n">
        <x:v>-0.0008263910036342766</x:v>
      </x:c>
      <x:c r="S127" s="102" t="n">
        <x:v>0.00474042353097986</x:v>
      </x:c>
      <x:c r="T127" s="102" t="n">
        <x:v>0</x:v>
      </x:c>
      <x:c r="U127" s="102" t="n">
        <x:v>0.010547084205047757</x:v>
      </x:c>
      <x:c r="V127" s="105" t="n">
        <x:f>C127-U127</x:f>
        <x:v>-5.204170427930421e-18</x:v>
      </x:c>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56" t="str">
        <x:v>2014-12</x:v>
      </x:c>
      <x:c r="B128" s="102" t="n">
        <x:v>0.09560972898362774</x:v>
      </x:c>
      <x:c r="C128" s="102" t="n">
        <x:v>0.05671449161866936</x:v>
      </x:c>
      <x:c r="D128" s="102" t="n">
        <x:v>0.03889523736495838</x:v>
      </x:c>
      <x:c r="E128" s="104" t="n">
        <x:v>2342.2535483870965</x:v>
      </x:c>
      <x:c r="F128" s="104" t="n">
        <x:v>2252.900018541719</x:v>
      </x:c>
      <x:c r="G128" s="102" t="n">
        <x:v>0.0036109531956773125</x:v>
      </x:c>
      <x:c r="H128" s="102" t="n">
        <x:v>0.009166844925385236</x:v>
      </x:c>
      <x:c r="I128" s="102" t="n">
        <x:v>-0.0005625511204486311</x:v>
      </x:c>
      <x:c r="J128" s="102" t="n">
        <x:v>0</x:v>
      </x:c>
      <x:c r="K128" s="102" t="n">
        <x:v>-0.00015385166911107562</x:v>
      </x:c>
      <x:c r="L128" s="102" t="n">
        <x:v>0.014556218253768927</x:v>
      </x:c>
      <x:c r="M128" s="102" t="n">
        <x:v>0.003302220500490121</x:v>
      </x:c>
      <x:c r="N128" s="102" t="n">
        <x:v>0.009449761651512869</x:v>
      </x:c>
      <x:c r="O128" s="102" t="n">
        <x:v>-0.00007467700917192374</x:v>
      </x:c>
      <x:c r="P128" s="102" t="n">
        <x:v>0.005787849422474464</x:v>
      </x:c>
      <x:c r="Q128" s="102" t="n">
        <x:v>0.00006370300373745672</x:v>
      </x:c>
      <x:c r="R128" s="102" t="n">
        <x:v>-0.0011821581032877958</x:v>
      </x:c>
      <x:c r="S128" s="102" t="n">
        <x:v>0.012750178567642396</x:v>
      </x:c>
      <x:c r="T128" s="102" t="n">
        <x:v>0</x:v>
      </x:c>
      <x:c r="U128" s="102" t="n">
        <x:v>0.05671449161866936</x:v>
      </x:c>
      <x:c r="V128" s="105" t="n">
        <x:f>C128-U128</x:f>
        <x:v>0</x:v>
      </x:c>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56" t="str">
        <x:v>2015-01</x:v>
      </x:c>
      <x:c r="B129" s="102" t="n">
        <x:v>0.023212090319638</x:v>
      </x:c>
      <x:c r="C129" s="102" t="n">
        <x:v>0.028283114885362486</x:v>
      </x:c>
      <x:c r="D129" s="102" t="n">
        <x:v>-0.005071024565724485</x:v>
      </x:c>
      <x:c r="E129" s="104" t="n">
        <x:v>2397.2580645161297</x:v>
      </x:c>
      <x:c r="F129" s="104" t="n">
        <x:v>2409.445494312688</x:v>
      </x:c>
      <x:c r="G129" s="102" t="n">
        <x:v>0.0036109531956773125</x:v>
      </x:c>
      <x:c r="H129" s="102" t="n">
        <x:v>0.010070196822409685</x:v>
      </x:c>
      <x:c r="I129" s="102" t="n">
        <x:v>0.0004655716062416923</x:v>
      </x:c>
      <x:c r="J129" s="102" t="n">
        <x:v>0.0002979409538779545</x:v>
      </x:c>
      <x:c r="K129" s="102" t="n">
        <x:v>-0.0004131028834000652</x:v>
      </x:c>
      <x:c r="L129" s="102" t="n">
        <x:v>0.0141482108627275</x:v>
      </x:c>
      <x:c r="M129" s="102" t="n">
        <x:v>0.0027174141502424192</x:v>
      </x:c>
      <x:c r="N129" s="102" t="n">
        <x:v>0.0008640171874370619</x:v>
      </x:c>
      <x:c r="O129" s="102" t="n">
        <x:v>0.0002731544753525521</x:v>
      </x:c>
      <x:c r="P129" s="102" t="n">
        <x:v>-0.004131532155940314</x:v>
      </x:c>
      <x:c r="Q129" s="102" t="n">
        <x:v>0.00000746497102203407</x:v>
      </x:c>
      <x:c r="R129" s="102" t="n">
        <x:v>-0.0014704494036751167</x:v>
      </x:c>
      <x:c r="S129" s="102" t="n">
        <x:v>0.0018432751033897684</x:v>
      </x:c>
      <x:c r="T129" s="102" t="n">
        <x:v>0</x:v>
      </x:c>
      <x:c r="U129" s="102" t="n">
        <x:v>0.028283114885362493</x:v>
      </x:c>
      <x:c r="V129" s="105" t="n">
        <x:f>C129-U129</x:f>
        <x:v>-6.938893903907228e-18</x:v>
      </x:c>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56" t="str">
        <x:v>2015-02</x:v>
      </x:c>
      <x:c r="B130" s="102" t="n">
        <x:v>0.009719783009880523</x:v>
      </x:c>
      <x:c r="C130" s="102" t="n">
        <x:v>0.00777340552474987</x:v>
      </x:c>
      <x:c r="D130" s="102" t="n">
        <x:v>0.0019463774851306527</x:v>
      </x:c>
      <x:c r="E130" s="104" t="n">
        <x:v>2420.672500000001</x:v>
      </x:c>
      <x:c r="F130" s="104" t="n">
        <x:v>2415.9655397937922</x:v>
      </x:c>
      <x:c r="G130" s="102" t="n">
        <x:v>0.0036109531956773125</x:v>
      </x:c>
      <x:c r="H130" s="102" t="n">
        <x:v>-0.007407136866029342</x:v>
      </x:c>
      <x:c r="I130" s="102" t="n">
        <x:v>-0.000055021336455302726</x:v>
      </x:c>
      <x:c r="J130" s="102" t="n">
        <x:v>-0.00009931365129264857</x:v>
      </x:c>
      <x:c r="K130" s="102" t="n">
        <x:v>0.00025466160796884155</x:v>
      </x:c>
      <x:c r="L130" s="102" t="n">
        <x:v>0.008444351977736981</x:v>
      </x:c>
      <x:c r="M130" s="102" t="n">
        <x:v>-0.0031267986512211986</x:v>
      </x:c>
      <x:c r="N130" s="102" t="n">
        <x:v>-0.002761875512902599</x:v>
      </x:c>
      <x:c r="O130" s="102" t="n">
        <x:v>0.0012281638180913876</x:v>
      </x:c>
      <x:c r="P130" s="102" t="n">
        <x:v>0.0030241465849299458</x:v>
      </x:c>
      <x:c r="Q130" s="102" t="n">
        <x:v>0.00003249363016910398</x:v>
      </x:c>
      <x:c r="R130" s="102" t="n">
        <x:v>-0.0019788803467843054</x:v>
      </x:c>
      <x:c r="S130" s="102" t="n">
        <x:v>0.006607661074861693</x:v>
      </x:c>
      <x:c r="T130" s="102" t="n">
        <x:v>0</x:v>
      </x:c>
      <x:c r="U130" s="102" t="n">
        <x:v>0.007773405524749869</x:v>
      </x:c>
      <x:c r="V130" s="105" t="n">
        <x:f>C130-U130</x:f>
        <x:v>8.673617379884035e-19</x:v>
      </x:c>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56" t="str">
        <x:v>2015-03</x:v>
      </x:c>
      <x:c r="B131" s="102" t="n">
        <x:v>0.06582024253256868</x:v>
      </x:c>
      <x:c r="C131" s="102" t="n">
        <x:v>0.032152374214871896</x:v>
      </x:c>
      <x:c r="D131" s="102" t="n">
        <x:v>0.03366786831769679</x:v>
      </x:c>
      <x:c r="E131" s="104" t="n">
        <x:v>2585.3622580645156</x:v>
      </x:c>
      <x:c r="F131" s="104" t="n">
        <x:v>2499.7676019682117</x:v>
      </x:c>
      <x:c r="G131" s="102" t="n">
        <x:v>0.0036109531956773125</x:v>
      </x:c>
      <x:c r="H131" s="102" t="n">
        <x:v>0.0014663804080854326</x:v>
      </x:c>
      <x:c r="I131" s="102" t="n">
        <x:v>0.000487505429812097</x:v>
      </x:c>
      <x:c r="J131" s="102" t="n">
        <x:v>0</x:v>
      </x:c>
      <x:c r="K131" s="102" t="n">
        <x:v>0.000019608267019567996</x:v>
      </x:c>
      <x:c r="L131" s="102" t="n">
        <x:v>0.01295026609286804</x:v>
      </x:c>
      <x:c r="M131" s="102" t="n">
        <x:v>-0.0012073675617005099</x:v>
      </x:c>
      <x:c r="N131" s="102" t="n">
        <x:v>0.0031794053486808574</x:v>
      </x:c>
      <x:c r="O131" s="102" t="n">
        <x:v>0.000057268400446809245</x:v>
      </x:c>
      <x:c r="P131" s="102" t="n">
        <x:v>0.0022055091307796675</x:v>
      </x:c>
      <x:c r="Q131" s="102" t="n">
        <x:v>-0.000020470179849267107</x:v>
      </x:c>
      <x:c r="R131" s="102" t="n">
        <x:v>-0.0022241250141701416</x:v>
      </x:c>
      <x:c r="S131" s="102" t="n">
        <x:v>0.011627440697222028</x:v>
      </x:c>
      <x:c r="T131" s="102" t="n">
        <x:v>0</x:v>
      </x:c>
      <x:c r="U131" s="102" t="n">
        <x:v>0.032152374214871896</x:v>
      </x:c>
      <x:c r="V131" s="105" t="n">
        <x:f>C131-U131</x:f>
        <x:v>0</x:v>
      </x:c>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56" t="str">
        <x:v>2015-04</x:v>
      </x:c>
      <x:c r="B132" s="102" t="n">
        <x:v>-0.03147790502569947</x:v>
      </x:c>
      <x:c r="C132" s="102" t="n">
        <x:v>-0.013956959691431323</x:v>
      </x:c>
      <x:c r="D132" s="102" t="n">
        <x:v>-0.017520945334268147</x:v>
      </x:c>
      <x:c r="E132" s="104" t="n">
        <x:v>2505.248</x:v>
      </x:c>
      <x:c r="F132" s="104" t="n">
        <x:v>2549.529103865214</x:v>
      </x:c>
      <x:c r="G132" s="102" t="n">
        <x:v>0.0036109531956773125</x:v>
      </x:c>
      <x:c r="H132" s="102" t="n">
        <x:v>-0.00238499084949622</x:v>
      </x:c>
      <x:c r="I132" s="102" t="n">
        <x:v>0.0014705034986111118</x:v>
      </x:c>
      <x:c r="J132" s="102" t="n">
        <x:v>0</x:v>
      </x:c>
      <x:c r="K132" s="102" t="n">
        <x:v>0.000038721824721131594</x:v>
      </x:c>
      <x:c r="L132" s="102" t="n">
        <x:v>-0.005936888029450194</x:v>
      </x:c>
      <x:c r="M132" s="102" t="n">
        <x:v>-0.0015824653682978136</x:v>
      </x:c>
      <x:c r="N132" s="102" t="n">
        <x:v>-0.00003366580486008407</x:v>
      </x:c>
      <x:c r="O132" s="102" t="n">
        <x:v>0.0006827043364524144</x:v>
      </x:c>
      <x:c r="P132" s="102" t="n">
        <x:v>-0.001196232283796065</x:v>
      </x:c>
      <x:c r="Q132" s="102" t="n">
        <x:v>0.000015108033301378204</x:v>
      </x:c>
      <x:c r="R132" s="102" t="n">
        <x:v>-0.0023466300319300954</x:v>
      </x:c>
      <x:c r="S132" s="102" t="n">
        <x:v>-0.006294078212364198</x:v>
      </x:c>
      <x:c r="T132" s="102" t="n">
        <x:v>0</x:v>
      </x:c>
      <x:c r="U132" s="102" t="n">
        <x:v>-0.013956959691431323</x:v>
      </x:c>
      <x:c r="V132" s="105" t="n">
        <x:f>C132-U132</x:f>
        <x:v>0</x:v>
      </x:c>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56" t="str">
        <x:v>2015-05</x:v>
      </x:c>
      <x:c r="B133" s="102" t="n">
        <x:v>-0.027400382701890713</x:v>
      </x:c>
      <x:c r="C133" s="102" t="n">
        <x:v>-0.014188999471583471</x:v>
      </x:c>
      <x:c r="D133" s="102" t="n">
        <x:v>-0.013211383230307242</x:v>
      </x:c>
      <x:c r="E133" s="104" t="n">
        <x:v>2437.535161290322</x:v>
      </x:c>
      <x:c r="F133" s="104" t="n">
        <x:v>2469.952036822539</x:v>
      </x:c>
      <x:c r="G133" s="102" t="n">
        <x:v>0.0036109531956773125</x:v>
      </x:c>
      <x:c r="H133" s="102" t="n">
        <x:v>-0.002785372375436609</x:v>
      </x:c>
      <x:c r="I133" s="102" t="n">
        <x:v>0.0005333055264346128</x:v>
      </x:c>
      <x:c r="J133" s="102" t="n">
        <x:v>0.00009931365129264857</x:v>
      </x:c>
      <x:c r="K133" s="102" t="n">
        <x:v>0.00003188581092261189</x:v>
      </x:c>
      <x:c r="L133" s="102" t="n">
        <x:v>-0.005597111280777343</x:v>
      </x:c>
      <x:c r="M133" s="102" t="n">
        <x:v>-0.00019778894466900717</x:v>
      </x:c>
      <x:c r="N133" s="102" t="n">
        <x:v>-0.0016832400342114268</x:v>
      </x:c>
      <x:c r="O133" s="102" t="n">
        <x:v>-0.001248640463947829</x:v>
      </x:c>
      <x:c r="P133" s="102" t="n">
        <x:v>-0.0028690090823913746</x:v>
      </x:c>
      <x:c r="Q133" s="102" t="n">
        <x:v>-0.00006745789110339682</x:v>
      </x:c>
      <x:c r="R133" s="102" t="n">
        <x:v>-0.0024498758934847972</x:v>
      </x:c>
      <x:c r="S133" s="102" t="n">
        <x:v>-0.001565961689888873</x:v>
      </x:c>
      <x:c r="T133" s="102" t="n">
        <x:v>0</x:v>
      </x:c>
      <x:c r="U133" s="102" t="n">
        <x:v>-0.014188999471583473</x:v>
      </x:c>
      <x:c r="V133" s="105" t="n">
        <x:f>C133-U133</x:f>
        <x:v>1.734723475976807e-18</x:v>
      </x:c>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56" t="str">
        <x:v>2015-06</x:v>
      </x:c>
      <x:c r="B134" s="102" t="n">
        <x:v>0.04998728004882125</x:v>
      </x:c>
      <x:c r="C134" s="102" t="n">
        <x:v>0.023929539809505296</x:v>
      </x:c>
      <x:c r="D134" s="102" t="n">
        <x:v>0.026057740239315952</x:v>
      </x:c>
      <x:c r="E134" s="104" t="n">
        <x:v>2562.477666666667</x:v>
      </x:c>
      <x:c r="F134" s="104" t="n">
        <x:v>2496.5677503909324</x:v>
      </x:c>
      <x:c r="G134" s="102" t="n">
        <x:v>0.0036109531956773125</x:v>
      </x:c>
      <x:c r="H134" s="102" t="n">
        <x:v>0.001564503955201191</x:v>
      </x:c>
      <x:c r="I134" s="102" t="n">
        <x:v>0.0004367576147336078</x:v>
      </x:c>
      <x:c r="J134" s="102" t="n">
        <x:v>0</x:v>
      </x:c>
      <x:c r="K134" s="102" t="n">
        <x:v>-0.00019442914595313207</x:v>
      </x:c>
      <x:c r="L134" s="102" t="n">
        <x:v>0.004575271335875025</x:v>
      </x:c>
      <x:c r="M134" s="102" t="n">
        <x:v>0.001228924809315657</x:v>
      </x:c>
      <x:c r="N134" s="102" t="n">
        <x:v>0.0014841314007722143</x:v>
      </x:c>
      <x:c r="O134" s="102" t="n">
        <x:v>0.0008057062118868967</x:v>
      </x:c>
      <x:c r="P134" s="102" t="n">
        <x:v>0.005888514260865261</x:v>
      </x:c>
      <x:c r="Q134" s="102" t="n">
        <x:v>0.0000880366289013247</x:v>
      </x:c>
      <x:c r="R134" s="102" t="n">
        <x:v>-0.0022520688081850535</x:v>
      </x:c>
      <x:c r="S134" s="102" t="n">
        <x:v>0.006693238350414988</x:v>
      </x:c>
      <x:c r="T134" s="102" t="n">
        <x:v>0</x:v>
      </x:c>
      <x:c r="U134" s="102" t="n">
        <x:v>0.02392953980950529</x:v>
      </x:c>
      <x:c r="V134" s="105" t="n">
        <x:f>C134-U134</x:f>
        <x:v>6.938893903907228e-18</x:v>
      </x:c>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56" t="str">
        <x:v>2015-07</x:v>
      </x:c>
      <x:c r="B135" s="102" t="n">
        <x:v>0.06407241895791049</x:v>
      </x:c>
      <x:c r="C135" s="102" t="n">
        <x:v>0.031733789513279535</x:v>
      </x:c>
      <x:c r="D135" s="102" t="n">
        <x:v>0.03233862944463096</x:v>
      </x:c>
      <x:c r="E135" s="104" t="n">
        <x:v>2732.035806451614</x:v>
      </x:c>
      <x:c r="F135" s="104" t="n">
        <x:v>2645.0988010127276</x:v>
      </x:c>
      <x:c r="G135" s="102" t="n">
        <x:v>0.0036109531956773125</x:v>
      </x:c>
      <x:c r="H135" s="102" t="n">
        <x:v>0.003151361477681352</x:v>
      </x:c>
      <x:c r="I135" s="102" t="n">
        <x:v>0.0014347255332154388</x:v>
      </x:c>
      <x:c r="J135" s="102" t="n">
        <x:v>0.00009931365129264857</x:v>
      </x:c>
      <x:c r="K135" s="102" t="n">
        <x:v>0.00009105227374856431</x:v>
      </x:c>
      <x:c r="L135" s="102" t="n">
        <x:v>0.011371800562043363</x:v>
      </x:c>
      <x:c r="M135" s="102" t="n">
        <x:v>0.000015603709522490646</x:v>
      </x:c>
      <x:c r="N135" s="102" t="n">
        <x:v>0.0036525924402183063</x:v>
      </x:c>
      <x:c r="O135" s="102" t="n">
        <x:v>0.00014314509370195658</x:v>
      </x:c>
      <x:c r="P135" s="102" t="n">
        <x:v>0.0017287865771868974</x:v>
      </x:c>
      <x:c r="Q135" s="102" t="n">
        <x:v>-0.00003587111577612077</x:v>
      </x:c>
      <x:c r="R135" s="102" t="n">
        <x:v>-0.0021731175209970545</x:v>
      </x:c>
      <x:c r="S135" s="102" t="n">
        <x:v>0.008643443635764374</x:v>
      </x:c>
      <x:c r="T135" s="102" t="n">
        <x:v>0</x:v>
      </x:c>
      <x:c r="U135" s="102" t="n">
        <x:v>0.031733789513279535</x:v>
      </x:c>
      <x:c r="V135" s="105" t="n">
        <x:f>C135-U135</x:f>
        <x:v>0</x:v>
      </x:c>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56" t="str">
        <x:v>2015-08</x:v>
      </x:c>
      <x:c r="B136" s="102" t="n">
        <x:v>0.0977522693314068</x:v>
      </x:c>
      <x:c r="C136" s="102" t="n">
        <x:v>0.04661141810398323</x:v>
      </x:c>
      <x:c r="D136" s="102" t="n">
        <x:v>0.05114085122742356</x:v>
      </x:c>
      <x:c r="E136" s="104" t="n">
        <x:v>3012.5874193548398</x:v>
      </x:c>
      <x:c r="F136" s="104" t="n">
        <x:v>2862.3943675722367</x:v>
      </x:c>
      <x:c r="G136" s="102" t="n">
        <x:v>0.0036109531956773125</x:v>
      </x:c>
      <x:c r="H136" s="102" t="n">
        <x:v>0.007393526942016356</x:v>
      </x:c>
      <x:c r="I136" s="102" t="n">
        <x:v>0.0015982393132403729</x:v>
      </x:c>
      <x:c r="J136" s="102" t="n">
        <x:v>0</x:v>
      </x:c>
      <x:c r="K136" s="102" t="n">
        <x:v>0.00004886870034612425</x:v>
      </x:c>
      <x:c r="L136" s="102" t="n">
        <x:v>0.010648540129002093</x:v>
      </x:c>
      <x:c r="M136" s="102" t="n">
        <x:v>0.0051417979298741074</x:v>
      </x:c>
      <x:c r="N136" s="102" t="n">
        <x:v>0.0053441752320952055</x:v>
      </x:c>
      <x:c r="O136" s="102" t="n">
        <x:v>0.0006274828708954713</x:v>
      </x:c>
      <x:c r="P136" s="102" t="n">
        <x:v>-0.002600336925874239</x:v>
      </x:c>
      <x:c r="Q136" s="102" t="n">
        <x:v>0.000029624477563387506</x:v>
      </x:c>
      <x:c r="R136" s="102" t="n">
        <x:v>-0.0021714278105580452</x:v>
      </x:c>
      <x:c r="S136" s="102" t="n">
        <x:v>0.01693997404970509</x:v>
      </x:c>
      <x:c r="T136" s="102" t="n">
        <x:v>0</x:v>
      </x:c>
      <x:c r="U136" s="102" t="n">
        <x:v>0.04661141810398324</x:v>
      </x:c>
      <x:c r="V136" s="105" t="n">
        <x:f>C136-U136</x:f>
        <x:v>-6.938893903907228e-18</x:v>
      </x:c>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56" t="str">
        <x:v>2015-09</x:v>
      </x:c>
      <x:c r="B137" s="102" t="n">
        <x:v>0.01770752673461118</x:v>
      </x:c>
      <x:c r="C137" s="102" t="n">
        <x:v>0.032528657376695566</x:v>
      </x:c>
      <x:c r="D137" s="102" t="n">
        <x:v>-0.014821130642084387</x:v>
      </x:c>
      <x:c r="E137" s="104" t="n">
        <x:v>3066.408000000003</x:v>
      </x:c>
      <x:c r="F137" s="104" t="n">
        <x:v>3112.194096293328</x:v>
      </x:c>
      <x:c r="G137" s="102" t="n">
        <x:v>0.0036109531956773125</x:v>
      </x:c>
      <x:c r="H137" s="102" t="n">
        <x:v>-0.0008902020203770288</x:v>
      </x:c>
      <x:c r="I137" s="102" t="n">
        <x:v>0.0025686661150466582</x:v>
      </x:c>
      <x:c r="J137" s="102" t="n">
        <x:v>0.00009931365129264857</x:v>
      </x:c>
      <x:c r="K137" s="102" t="n">
        <x:v>-0.00016887762965212994</x:v>
      </x:c>
      <x:c r="L137" s="102" t="n">
        <x:v>0.004962849519319009</x:v>
      </x:c>
      <x:c r="M137" s="102" t="n">
        <x:v>0.0038536400323837595</x:v>
      </x:c>
      <x:c r="N137" s="102" t="n">
        <x:v>0.007488220221879718</x:v>
      </x:c>
      <x:c r="O137" s="102" t="n">
        <x:v>0.000690077397755107</x:v>
      </x:c>
      <x:c r="P137" s="102" t="n">
        <x:v>0.0022684143889619515</x:v>
      </x:c>
      <x:c r="Q137" s="102" t="n">
        <x:v>0.00001479718891117856</x:v>
      </x:c>
      <x:c r="R137" s="102" t="n">
        <x:v>-0.002302341521589498</x:v>
      </x:c>
      <x:c r="S137" s="102" t="n">
        <x:v>0.010333146837086879</x:v>
      </x:c>
      <x:c r="T137" s="102" t="n">
        <x:v>0</x:v>
      </x:c>
      <x:c r="U137" s="102" t="n">
        <x:v>0.032528657376695566</x:v>
      </x:c>
      <x:c r="V137" s="105" t="n">
        <x:f>C137-U137</x:f>
        <x:v>0</x:v>
      </x:c>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56" t="str">
        <x:v>2015-10</x:v>
      </x:c>
      <x:c r="B138" s="102" t="n">
        <x:v>-0.04568455389883663</x:v>
      </x:c>
      <x:c r="C138" s="102" t="n">
        <x:v>-0.022249302335990928</x:v>
      </x:c>
      <x:c r="D138" s="102" t="n">
        <x:v>-0.023435251562845705</x:v>
      </x:c>
      <x:c r="E138" s="104" t="n">
        <x:v>2929.4722580645157</x:v>
      </x:c>
      <x:c r="F138" s="104" t="n">
        <x:v>2998.9359477434923</x:v>
      </x:c>
      <x:c r="G138" s="102" t="n">
        <x:v>0.0036109531956773125</x:v>
      </x:c>
      <x:c r="H138" s="102" t="n">
        <x:v>-0.0006351809055116466</x:v>
      </x:c>
      <x:c r="I138" s="102" t="n">
        <x:v>0.0014471142005848658</x:v>
      </x:c>
      <x:c r="J138" s="102" t="n">
        <x:v>-0.0002482841282316302</x:v>
      </x:c>
      <x:c r="K138" s="102" t="n">
        <x:v>0.0002151928288662956</x:v>
      </x:c>
      <x:c r="L138" s="102" t="n">
        <x:v>-0.005379912742988412</x:v>
      </x:c>
      <x:c r="M138" s="102" t="n">
        <x:v>-0.0063323899291363684</x:v>
      </x:c>
      <x:c r="N138" s="102" t="n">
        <x:v>-0.003776786316705864</x:v>
      </x:c>
      <x:c r="O138" s="102" t="n">
        <x:v>-0.00011194388992667365</x:v>
      </x:c>
      <x:c r="P138" s="102" t="n">
        <x:v>-0.0037048155833258956</x:v>
      </x:c>
      <x:c r="Q138" s="102" t="n">
        <x:v>-0.000015711949182787323</x:v>
      </x:c>
      <x:c r="R138" s="102" t="n">
        <x:v>-0.0027253305803890027</x:v>
      </x:c>
      <x:c r="S138" s="102" t="n">
        <x:v>-0.004592206535721122</x:v>
      </x:c>
      <x:c r="T138" s="102" t="n">
        <x:v>0</x:v>
      </x:c>
      <x:c r="U138" s="102" t="n">
        <x:v>-0.02224930233599093</x:v>
      </x:c>
      <x:c r="V138" s="105" t="n">
        <x:f>C138-U138</x:f>
        <x:v>3.469446951953614e-18</x:v>
      </x:c>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56" t="str">
        <x:v>2015-11</x:v>
      </x:c>
      <x:c r="B139" s="102" t="n">
        <x:v>0.024248671135054245</x:v>
      </x:c>
      <x:c r="C139" s="102" t="n">
        <x:v>0.010316082851352302</x:v>
      </x:c>
      <x:c r="D139" s="102" t="n">
        <x:v>0.013932588283701943</x:v>
      </x:c>
      <x:c r="E139" s="104" t="n">
        <x:v>3001.376333333332</x:v>
      </x:c>
      <x:c r="F139" s="104" t="n">
        <x:v>2959.849353508445</x:v>
      </x:c>
      <x:c r="G139" s="102" t="n">
        <x:v>0.0036109531956773125</x:v>
      </x:c>
      <x:c r="H139" s="102" t="n">
        <x:v>0.0033977285855593883</x:v>
      </x:c>
      <x:c r="I139" s="102" t="n">
        <x:v>0.0005175271859400529</x:v>
      </x:c>
      <x:c r="J139" s="102" t="n">
        <x:v>-0.002433184456669934</x:v>
      </x:c>
      <x:c r="K139" s="102" t="n">
        <x:v>0.00003230087652625692</x:v>
      </x:c>
      <x:c r="L139" s="102" t="n">
        <x:v>0.010112174717588485</x:v>
      </x:c>
      <x:c r="M139" s="102" t="n">
        <x:v>-0.0005965428733247651</x:v>
      </x:c>
      <x:c r="N139" s="102" t="n">
        <x:v>0.0018375446091572422</x:v>
      </x:c>
      <x:c r="O139" s="102" t="n">
        <x:v>-0.00048398428567035463</x:v>
      </x:c>
      <x:c r="P139" s="102" t="n">
        <x:v>-0.0035604819366493092</x:v>
      </x:c>
      <x:c r="Q139" s="102" t="n">
        <x:v>-0.000059857374479863595</x:v>
      </x:c>
      <x:c r="R139" s="102" t="n">
        <x:v>-0.002900125952590137</x:v>
      </x:c>
      <x:c r="S139" s="102" t="n">
        <x:v>0.0008420305602879275</x:v>
      </x:c>
      <x:c r="T139" s="102" t="n">
        <x:v>0</x:v>
      </x:c>
      <x:c r="U139" s="102" t="n">
        <x:v>0.010316082851352302</x:v>
      </x:c>
      <x:c r="V139" s="105" t="n">
        <x:f>C139-U139</x:f>
        <x:v>0</x:v>
      </x:c>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56" t="str">
        <x:v>2015-12</x:v>
      </x:c>
      <x:c r="B140" s="102" t="n">
        <x:v>0.07779832255937968</x:v>
      </x:c>
      <x:c r="C140" s="102" t="n">
        <x:v>0.0284471756315506</x:v>
      </x:c>
      <x:c r="D140" s="102" t="n">
        <x:v>0.04935114692782908</x:v>
      </x:c>
      <x:c r="E140" s="104" t="n">
        <x:v>3244.2016129032277</x:v>
      </x:c>
      <x:c r="F140" s="104" t="n">
        <x:v>3087.9830305866562</x:v>
      </x:c>
      <x:c r="G140" s="102" t="n">
        <x:v>0.0036109531956773125</x:v>
      </x:c>
      <x:c r="H140" s="102" t="n">
        <x:v>0.005766746256273312</x:v>
      </x:c>
      <x:c r="I140" s="102" t="n">
        <x:v>0.000969025988477778</x:v>
      </x:c>
      <x:c r="J140" s="102" t="n">
        <x:v>-0.004717398436400904</x:v>
      </x:c>
      <x:c r="K140" s="102" t="n">
        <x:v>0.00016774921750680236</x:v>
      </x:c>
      <x:c r="L140" s="102" t="n">
        <x:v>0.006108272865499746</x:v>
      </x:c>
      <x:c r="M140" s="102" t="n">
        <x:v>0.0018027450822681334</x:v>
      </x:c>
      <x:c r="N140" s="102" t="n">
        <x:v>0.004949961711469729</x:v>
      </x:c>
      <x:c r="O140" s="102" t="n">
        <x:v>0.0003318409612789784</x:v>
      </x:c>
      <x:c r="P140" s="102" t="n">
        <x:v>0.008407261749072133</x:v>
      </x:c>
      <x:c r="Q140" s="102" t="n">
        <x:v>0.0000734842800017763</x:v>
      </x:c>
      <x:c r="R140" s="102" t="n">
        <x:v>-0.0029870692313894906</x:v>
      </x:c>
      <x:c r="S140" s="102" t="n">
        <x:v>0.003963601991815295</x:v>
      </x:c>
      <x:c r="T140" s="102" t="n">
        <x:v>0</x:v>
      </x:c>
      <x:c r="U140" s="102" t="n">
        <x:v>0.028447175631550605</x:v>
      </x:c>
      <x:c r="V140" s="105" t="n">
        <x:f>C140-U140</x:f>
        <x:v>-3.469446951953614e-18</x:v>
      </x:c>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56" t="str">
        <x:v>2016-01</x:v>
      </x:c>
      <x:c r="B141" s="102" t="n">
        <x:v>0.007980381681104376</x:v>
      </x:c>
      <x:c r="C141" s="102" t="n">
        <x:v>0.038162109990190006</x:v>
      </x:c>
      <x:c r="D141" s="102" t="n">
        <x:v>-0.03018172830908563</x:v>
      </x:c>
      <x:c r="E141" s="104" t="n">
        <x:v>3270.195161290325</x:v>
      </x:c>
      <x:c r="F141" s="104" t="n">
        <x:v>3370.3998722835404</x:v>
      </x:c>
      <x:c r="G141" s="102" t="n">
        <x:v>0.0036109531956773125</x:v>
      </x:c>
      <x:c r="H141" s="102" t="n">
        <x:v>0.008071555849438217</x:v>
      </x:c>
      <x:c r="I141" s="102" t="n">
        <x:v>0.000670455779761831</x:v>
      </x:c>
      <x:c r="J141" s="102" t="n">
        <x:v>-0.002420369791987023</x:v>
      </x:c>
      <x:c r="K141" s="102" t="n">
        <x:v>0.00003227881406767557</x:v>
      </x:c>
      <x:c r="L141" s="102" t="n">
        <x:v>0.01345823351607182</x:v>
      </x:c>
      <x:c r="M141" s="102" t="n">
        <x:v>0.00466060881701557</x:v>
      </x:c>
      <x:c r="N141" s="102" t="n">
        <x:v>0.006281615489469775</x:v>
      </x:c>
      <x:c r="O141" s="102" t="n">
        <x:v>0.00012916991510826442</x:v>
      </x:c>
      <x:c r="P141" s="102" t="n">
        <x:v>-0.004857263299052827</x:v>
      </x:c>
      <x:c r="Q141" s="102" t="n">
        <x:v>-0.00001617428869343311</x:v>
      </x:c>
      <x:c r="R141" s="102" t="n">
        <x:v>-0.0030596700340718434</x:v>
      </x:c>
      <x:c r="S141" s="102" t="n">
        <x:v>0.01160071602738467</x:v>
      </x:c>
      <x:c r="T141" s="102" t="n">
        <x:v>0</x:v>
      </x:c>
      <x:c r="U141" s="102" t="n">
        <x:v>0.038162109990190006</x:v>
      </x:c>
      <x:c r="V141" s="105" t="n">
        <x:f>C141-U141</x:f>
        <x:v>0</x:v>
      </x:c>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56" t="str">
        <x:v>2016-02</x:v>
      </x:c>
      <x:c r="B142" s="102" t="n">
        <x:v>0.025589257335525417</x:v>
      </x:c>
      <x:c r="C142" s="102" t="n">
        <x:v>0.0012097148068224847</x:v>
      </x:c>
      <x:c r="D142" s="102" t="n">
        <x:v>0.024379542528702933</x:v>
      </x:c>
      <x:c r="E142" s="104" t="n">
        <x:v>3354.9568965517233</x:v>
      </x:c>
      <x:c r="F142" s="104" t="n">
        <x:v>3274.153558581316</x:v>
      </x:c>
      <x:c r="G142" s="102" t="n">
        <x:v>0.0036109531956773125</x:v>
      </x:c>
      <x:c r="H142" s="102" t="n">
        <x:v>-0.001782512131453296</x:v>
      </x:c>
      <x:c r="I142" s="102" t="n">
        <x:v>0.0007622566662212551</x:v>
      </x:c>
      <x:c r="J142" s="102" t="n">
        <x:v>-0.0006086965724388289</x:v>
      </x:c>
      <x:c r="K142" s="102" t="n">
        <x:v>0.0000909709469368705</x:v>
      </x:c>
      <x:c r="L142" s="102" t="n">
        <x:v>-0.005201663441285981</x:v>
      </x:c>
      <x:c r="M142" s="102" t="n">
        <x:v>-0.0008823689559004381</x:v>
      </x:c>
      <x:c r="N142" s="102" t="n">
        <x:v>0.007079000750997873</x:v>
      </x:c>
      <x:c r="O142" s="102" t="n">
        <x:v>-0.000015411234381535107</x:v>
      </x:c>
      <x:c r="P142" s="102" t="n">
        <x:v>0.0043474846006117005</x:v>
      </x:c>
      <x:c r="Q142" s="102" t="n">
        <x:v>-0.000008968500294664774</x:v>
      </x:c>
      <x:c r="R142" s="102" t="n">
        <x:v>-0.003084083996519712</x:v>
      </x:c>
      <x:c r="S142" s="102" t="n">
        <x:v>-0.0030972465213480707</x:v>
      </x:c>
      <x:c r="T142" s="102" t="n">
        <x:v>0</x:v>
      </x:c>
      <x:c r="U142" s="102" t="n">
        <x:v>0.0012097148068224849</x:v>
      </x:c>
      <x:c r="V142" s="105" t="n">
        <x:f>C142-U142</x:f>
        <x:v>-2.168404344971009e-19</x:v>
      </x:c>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56" t="str">
        <x:v>2016-03</x:v>
      </x:c>
      <x:c r="B143" s="102" t="n">
        <x:v>-0.06979288377736026</x:v>
      </x:c>
      <x:c r="C143" s="102" t="n">
        <x:v>-0.053524564371783954</x:v>
      </x:c>
      <x:c r="D143" s="102" t="n">
        <x:v>-0.016268319405576305</x:v>
      </x:c>
      <x:c r="E143" s="104" t="n">
        <x:v>3128.789032258063</x:v>
      </x:c>
      <x:c r="F143" s="104" t="n">
        <x:v>3180.1054558008714</x:v>
      </x:c>
      <x:c r="G143" s="102" t="n">
        <x:v>0.0036109531956773125</x:v>
      </x:c>
      <x:c r="H143" s="102" t="n">
        <x:v>-0.00649243511212876</x:v>
      </x:c>
      <x:c r="I143" s="102" t="n">
        <x:v>0.0011143445891759992</x:v>
      </x:c>
      <x:c r="J143" s="102" t="n">
        <x:v>-0.0027705084101984244</x:v>
      </x:c>
      <x:c r="K143" s="102" t="n">
        <x:v>0.000280807611321507</x:v>
      </x:c>
      <x:c r="L143" s="102" t="n">
        <x:v>-0.01323386096306527</x:v>
      </x:c>
      <x:c r="M143" s="102" t="n">
        <x:v>-0.00596335372373224</x:v>
      </x:c>
      <x:c r="N143" s="102" t="n">
        <x:v>-0.010913321484428645</x:v>
      </x:c>
      <x:c r="O143" s="102" t="n">
        <x:v>-0.0005571044119952627</x:v>
      </x:c>
      <x:c r="P143" s="102" t="n">
        <x:v>0.0004716445908312736</x:v>
      </x:c>
      <x:c r="Q143" s="102" t="n">
        <x:v>-0.000002327330021679306</x:v>
      </x:c>
      <x:c r="R143" s="102" t="n">
        <x:v>-0.0033296055730162597</x:v>
      </x:c>
      <x:c r="S143" s="102" t="n">
        <x:v>-0.015739797350203505</x:v>
      </x:c>
      <x:c r="T143" s="102" t="n">
        <x:v>0</x:v>
      </x:c>
      <x:c r="U143" s="102" t="n">
        <x:v>-0.053524564371783954</x:v>
      </x:c>
      <x:c r="V143" s="105" t="n">
        <x:f>C143-U143</x:f>
        <x:v>0</x:v>
      </x:c>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56" t="str">
        <x:v>2016-04</x:v>
      </x:c>
      <x:c r="B144" s="102" t="n">
        <x:v>-0.04279170421119716</x:v>
      </x:c>
      <x:c r="C144" s="102" t="n">
        <x:v>-0.03752244167882866</x:v>
      </x:c>
      <x:c r="D144" s="102" t="n">
        <x:v>-0.0052692625323685</x:v>
      </x:c>
      <x:c r="E144" s="104" t="n">
        <x:v>2997.727000000002</x:v>
      </x:c>
      <x:c r="F144" s="104" t="n">
        <x:v>3013.5644998916</x:v>
      </x:c>
      <x:c r="G144" s="102" t="n">
        <x:v>0.0036109531956773125</x:v>
      </x:c>
      <x:c r="H144" s="102" t="n">
        <x:v>-0.0031982603203610425</x:v>
      </x:c>
      <x:c r="I144" s="102" t="n">
        <x:v>-0.0002605638824146249</x:v>
      </x:c>
      <x:c r="J144" s="102" t="n">
        <x:v>-0.0027974633945314744</x:v>
      </x:c>
      <x:c r="K144" s="102" t="n">
        <x:v>-0.0001501813162773665</x:v>
      </x:c>
      <x:c r="L144" s="102" t="n">
        <x:v>-0.010596361839981822</x:v>
      </x:c>
      <x:c r="M144" s="102" t="n">
        <x:v>-0.0017460719364238316</x:v>
      </x:c>
      <x:c r="N144" s="102" t="n">
        <x:v>-0.004800392959357124</x:v>
      </x:c>
      <x:c r="O144" s="102" t="n">
        <x:v>-0.0018083527437503224</x:v>
      </x:c>
      <x:c r="P144" s="102" t="n">
        <x:v>-0.005122444844662791</x:v>
      </x:c>
      <x:c r="Q144" s="102" t="n">
        <x:v>-0.00006192508165944546</x:v>
      </x:c>
      <x:c r="R144" s="102" t="n">
        <x:v>-0.0036071239373212985</x:v>
      </x:c>
      <x:c r="S144" s="102" t="n">
        <x:v>-0.006984252617764831</x:v>
      </x:c>
      <x:c r="T144" s="102" t="n">
        <x:v>0</x:v>
      </x:c>
      <x:c r="U144" s="102" t="n">
        <x:v>-0.03752244167882866</x:v>
      </x:c>
      <x:c r="V144" s="105" t="n">
        <x:f>C144-U144</x:f>
        <x:v>0</x:v>
      </x:c>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56" t="str">
        <x:v>2016-05</x:v>
      </x:c>
      <x:c r="B145" s="102" t="n">
        <x:v>-0.0014082616782200574</x:v>
      </x:c>
      <x:c r="C145" s="102" t="n">
        <x:v>0.009816895769171831</x:v>
      </x:c>
      <x:c r="D145" s="102" t="n">
        <x:v>-0.011225157447391889</x:v>
      </x:c>
      <x:c r="E145" s="104" t="n">
        <x:v>2993.5083870967765</x:v>
      </x:c>
      <x:c r="F145" s="104" t="n">
        <x:v>3027.300294979238</x:v>
      </x:c>
      <x:c r="G145" s="102" t="n">
        <x:v>0.0036109531956773125</x:v>
      </x:c>
      <x:c r="H145" s="102" t="n">
        <x:v>-0.004421812226695554</x:v>
      </x:c>
      <x:c r="I145" s="102" t="n">
        <x:v>0.000578804067615421</x:v>
      </x:c>
      <x:c r="J145" s="102" t="n">
        <x:v>-0.001582611088340948</x:v>
      </x:c>
      <x:c r="K145" s="102" t="n">
        <x:v>0.0002934474631100859</x:v>
      </x:c>
      <x:c r="L145" s="102" t="n">
        <x:v>0.006366041627476865</x:v>
      </x:c>
      <x:c r="M145" s="102" t="n">
        <x:v>0.0006436057496199514</x:v>
      </x:c>
      <x:c r="N145" s="102" t="n">
        <x:v>-0.0010869377453953256</x:v>
      </x:c>
      <x:c r="O145" s="102" t="n">
        <x:v>-0.00032583083432978645</x:v>
      </x:c>
      <x:c r="P145" s="102" t="n">
        <x:v>0.004462810093376844</x:v>
      </x:c>
      <x:c r="Q145" s="102" t="n">
        <x:v>0.00005357420466077834</x:v>
      </x:c>
      <x:c r="R145" s="102" t="n">
        <x:v>-0.00344755892604182</x:v>
      </x:c>
      <x:c r="S145" s="102" t="n">
        <x:v>0.0046724101884380075</x:v>
      </x:c>
      <x:c r="T145" s="102" t="n">
        <x:v>0</x:v>
      </x:c>
      <x:c r="U145" s="102" t="n">
        <x:v>0.009816895769171833</x:v>
      </x:c>
      <x:c r="V145" s="105" t="n">
        <x:f>C145-U145</x:f>
        <x:v>-1.734723475976807e-18</x:v>
      </x:c>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56" t="str">
        <x:v>2016-06</x:v>
      </x:c>
      <x:c r="B146" s="102" t="n">
        <x:v>-0.00021706668730026024</x:v>
      </x:c>
      <x:c r="C146" s="102" t="n">
        <x:v>0.004830668039107746</x:v>
      </x:c>
      <x:c r="D146" s="102" t="n">
        <x:v>-0.0050477347264080066</x:v>
      </x:c>
      <x:c r="E146" s="104" t="n">
        <x:v>2992.8586666666656</x:v>
      </x:c>
      <x:c r="F146" s="104" t="n">
        <x:v>3008.0040159843406</x:v>
      </x:c>
      <x:c r="G146" s="102" t="n">
        <x:v>0.0036109531956773125</x:v>
      </x:c>
      <x:c r="H146" s="102" t="n">
        <x:v>-0.0011980876786969793</x:v>
      </x:c>
      <x:c r="I146" s="102" t="n">
        <x:v>0.0008639391923800589</x:v>
      </x:c>
      <x:c r="J146" s="102" t="n">
        <x:v>-0.00488559091036427</x:v>
      </x:c>
      <x:c r="K146" s="102" t="n">
        <x:v>0.00006223250904677935</x:v>
      </x:c>
      <x:c r="L146" s="102" t="n">
        <x:v>0.00235846578274485</x:v>
      </x:c>
      <x:c r="M146" s="102" t="n">
        <x:v>0.003049535664873792</x:v>
      </x:c>
      <x:c r="N146" s="102" t="n">
        <x:v>-0.0008397679605360182</x:v>
      </x:c>
      <x:c r="O146" s="102" t="n">
        <x:v>-0.0011440921859208703</x:v>
      </x:c>
      <x:c r="P146" s="102" t="n">
        <x:v>0.008029658217040965</x:v>
      </x:c>
      <x:c r="Q146" s="102" t="n">
        <x:v>0.000032406702135988464</x:v>
      </x:c>
      <x:c r="R146" s="102" t="n">
        <x:v>-0.0036396585046538843</x:v>
      </x:c>
      <x:c r="S146" s="102" t="n">
        <x:v>-0.0014693259846199774</x:v>
      </x:c>
      <x:c r="T146" s="102" t="n">
        <x:v>0</x:v>
      </x:c>
      <x:c r="U146" s="102" t="n">
        <x:v>0.004830668039107748</x:v>
      </x:c>
      <x:c r="V146" s="105" t="n">
        <x:f>C146-U146</x:f>
        <x:v>-1.734723475976807e-18</x:v>
      </x:c>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56" t="str">
        <x:v>2016-07</x:v>
      </x:c>
      <x:c r="B147" s="102" t="n">
        <x:v>-0.010702066285164236</x:v>
      </x:c>
      <x:c r="C147" s="102" t="n">
        <x:v>-0.017945720859880956</x:v>
      </x:c>
      <x:c r="D147" s="102" t="n">
        <x:v>0.007243654574716721</x:v>
      </x:c>
      <x:c r="E147" s="104" t="n">
        <x:v>2960.999677419356</x:v>
      </x:c>
      <x:c r="F147" s="104" t="n">
        <x:v>2939.6287139443557</x:v>
      </x:c>
      <x:c r="G147" s="102" t="n">
        <x:v>0.0036109531956773125</x:v>
      </x:c>
      <x:c r="H147" s="102" t="n">
        <x:v>0.0026748302117118386</x:v>
      </x:c>
      <x:c r="I147" s="102" t="n">
        <x:v>0.00008863856078095467</x:v>
      </x:c>
      <x:c r="J147" s="102" t="n">
        <x:v>-0.003125710293909552</x:v>
      </x:c>
      <x:c r="K147" s="102" t="n">
        <x:v>-0.00004201999343455182</x:v>
      </x:c>
      <x:c r="L147" s="102" t="n">
        <x:v>0.005133154955491104</x:v>
      </x:c>
      <x:c r="M147" s="102" t="n">
        <x:v>-0.005106462184089707</x:v>
      </x:c>
      <x:c r="N147" s="102" t="n">
        <x:v>-0.0033085682759386344</x:v>
      </x:c>
      <x:c r="O147" s="102" t="n">
        <x:v>0.0024305385932565167</x:v>
      </x:c>
      <x:c r="P147" s="102" t="n">
        <x:v>-0.007568061606805517</x:v>
      </x:c>
      <x:c r="Q147" s="102" t="n">
        <x:v>0.00003742286977554495</x:v>
      </x:c>
      <x:c r="R147" s="102" t="n">
        <x:v>-0.0038546080719477384</x:v>
      </x:c>
      <x:c r="S147" s="102" t="n">
        <x:v>-0.008915828820448526</x:v>
      </x:c>
      <x:c r="T147" s="102" t="n">
        <x:v>0</x:v>
      </x:c>
      <x:c r="U147" s="102" t="n">
        <x:v>-0.017945720859880956</x:v>
      </x:c>
      <x:c r="V147" s="105" t="n">
        <x:f>C147-U147</x:f>
        <x:v>0</x:v>
      </x:c>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56" t="str">
        <x:v>2016-08</x:v>
      </x:c>
      <x:c r="B148" s="102" t="n">
        <x:v>-0.0027843198110462097</x:v>
      </x:c>
      <x:c r="C148" s="102" t="n">
        <x:v>-0.010564560902776757</x:v>
      </x:c>
      <x:c r="D148" s="102" t="n">
        <x:v>0.007780241091730547</x:v>
      </x:c>
      <x:c r="E148" s="104" t="n">
        <x:v>2952.7667741935475</x:v>
      </x:c>
      <x:c r="F148" s="104" t="n">
        <x:v>2929.88267414564</x:v>
      </x:c>
      <x:c r="G148" s="102" t="n">
        <x:v>0.0036109531956773125</x:v>
      </x:c>
      <x:c r="H148" s="102" t="n">
        <x:v>-0.0007421998666535908</x:v>
      </x:c>
      <x:c r="I148" s="102" t="n">
        <x:v>-0.0007191084531372021</x:v>
      </x:c>
      <x:c r="J148" s="102" t="n">
        <x:v>-0.0017214366224059497</x:v>
      </x:c>
      <x:c r="K148" s="102" t="n">
        <x:v>0.0003648204453915681</x:v>
      </x:c>
      <x:c r="L148" s="102" t="n">
        <x:v>-0.005814593783555495</x:v>
      </x:c>
      <x:c r="M148" s="102" t="n">
        <x:v>-0.0010088384827172635</x:v>
      </x:c>
      <x:c r="N148" s="102" t="n">
        <x:v>-0.0022340739310925954</x:v>
      </x:c>
      <x:c r="O148" s="102" t="n">
        <x:v>-0.00031817327328151823</x:v>
      </x:c>
      <x:c r="P148" s="102" t="n">
        <x:v>0.005065650547444852</x:v>
      </x:c>
      <x:c r="Q148" s="102" t="n">
        <x:v>-0.00005033810831073705</x:v>
      </x:c>
      <x:c r="R148" s="102" t="n">
        <x:v>-0.0041226858909608035</x:v>
      </x:c>
      <x:c r="S148" s="102" t="n">
        <x:v>-0.0028745366791753345</x:v>
      </x:c>
      <x:c r="T148" s="102" t="n">
        <x:v>0</x:v>
      </x:c>
      <x:c r="U148" s="102" t="n">
        <x:v>-0.010564560902776757</x:v>
      </x:c>
      <x:c r="V148" s="105" t="n">
        <x:f>C148-U148</x:f>
        <x:v>0</x:v>
      </x:c>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56" t="str">
        <x:v>2016-09</x:v>
      </x:c>
      <x:c r="B149" s="102" t="n">
        <x:v>-0.009699339320595968</x:v>
      </x:c>
      <x:c r="C149" s="102" t="n">
        <x:v>-0.004857950256667414</x:v>
      </x:c>
      <x:c r="D149" s="102" t="n">
        <x:v>-0.004841389063928554</x:v>
      </x:c>
      <x:c r="E149" s="104" t="n">
        <x:v>2924.265333333333</x:v>
      </x:c>
      <x:c r="F149" s="104" t="n">
        <x:v>2938.457165909431</x:v>
      </x:c>
      <x:c r="G149" s="102" t="n">
        <x:v>0.0036109531956773125</x:v>
      </x:c>
      <x:c r="H149" s="102" t="n">
        <x:v>-0.0005930047320534453</x:v>
      </x:c>
      <x:c r="I149" s="102" t="n">
        <x:v>-0.0006018579436701983</x:v>
      </x:c>
      <x:c r="J149" s="102" t="n">
        <x:v>-0.0023835276310236095</x:v>
      </x:c>
      <x:c r="K149" s="102" t="n">
        <x:v>0.00025923661942200846</x:v>
      </x:c>
      <x:c r="L149" s="102" t="n">
        <x:v>0.0049202305575294855</x:v>
      </x:c>
      <x:c r="M149" s="102" t="n">
        <x:v>0.0023257544360269903</x:v>
      </x:c>
      <x:c r="N149" s="102" t="n">
        <x:v>-0.005865880494772418</x:v>
      </x:c>
      <x:c r="O149" s="102" t="n">
        <x:v>0.00026303486117176345</x:v>
      </x:c>
      <x:c r="P149" s="102" t="n">
        <x:v>-0.008692900509646072</x:v>
      </x:c>
      <x:c r="Q149" s="102" t="n">
        <x:v>-0.00000723187196004062</x:v>
      </x:c>
      <x:c r="R149" s="102" t="n">
        <x:v>-0.0035678785868928217</x:v>
      </x:c>
      <x:c r="S149" s="102" t="n">
        <x:v>0.0054751218435236315</x:v>
      </x:c>
      <x:c r="T149" s="102" t="n">
        <x:v>0</x:v>
      </x:c>
      <x:c r="U149" s="102" t="n">
        <x:v>-0.004857950256667414</x:v>
      </x:c>
      <x:c r="V149" s="105" t="n">
        <x:f>C149-U149</x:f>
        <x:v>0</x:v>
      </x:c>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56" t="str">
        <x:v>2016-10</x:v>
      </x:c>
      <x:c r="B150" s="102" t="n">
        <x:v>0.0017504887083177323</x:v>
      </x:c>
      <x:c r="C150" s="102" t="n">
        <x:v>0.002864038321509549</x:v>
      </x:c>
      <x:c r="D150" s="102" t="n">
        <x:v>-0.001113549613191817</x:v>
      </x:c>
      <x:c r="E150" s="104" t="n">
        <x:v>2929.388709677419</x:v>
      </x:c>
      <x:c r="F150" s="104" t="n">
        <x:v>2932.65254622667</x:v>
      </x:c>
      <x:c r="G150" s="102" t="n">
        <x:v>0.0036109531956773125</x:v>
      </x:c>
      <x:c r="H150" s="102" t="n">
        <x:v>-0.0023258844206236334</x:v>
      </x:c>
      <x:c r="I150" s="102" t="n">
        <x:v>-0.00047778754305020157</x:v>
      </x:c>
      <x:c r="J150" s="102" t="n">
        <x:v>0</x:v>
      </x:c>
      <x:c r="K150" s="102" t="n">
        <x:v>0.00014107943426485767</x:v>
      </x:c>
      <x:c r="L150" s="102" t="n">
        <x:v>0.006426292799540247</x:v>
      </x:c>
      <x:c r="M150" s="102" t="n">
        <x:v>0.000431239399158493</x:v>
      </x:c>
      <x:c r="N150" s="102" t="n">
        <x:v>-0.0008430299123780534</x:v>
      </x:c>
      <x:c r="O150" s="102" t="n">
        <x:v>-0.0003344913725166839</x:v>
      </x:c>
      <x:c r="P150" s="102" t="n">
        <x:v>0.004004371174895015</x:v>
      </x:c>
      <x:c r="Q150" s="102" t="n">
        <x:v>0.00001875717797106189</x:v>
      </x:c>
      <x:c r="R150" s="102" t="n">
        <x:v>-0.002948453178732367</x:v>
      </x:c>
      <x:c r="S150" s="102" t="n">
        <x:v>-0.004839008432696498</x:v>
      </x:c>
      <x:c r="T150" s="102" t="n">
        <x:v>0</x:v>
      </x:c>
      <x:c r="U150" s="102" t="n">
        <x:v>0.0028640383215095483</x:v>
      </x:c>
      <x:c r="V150" s="105" t="n">
        <x:f>C150-U150</x:f>
        <x:v>8.673617379884035e-19</x:v>
      </x:c>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56" t="str">
        <x:v>2016-11</x:v>
      </x:c>
      <x:c r="B151" s="102" t="n">
        <x:v>0.05991212554114522</x:v>
      </x:c>
      <x:c r="C151" s="102" t="n">
        <x:v>0.037078796335777535</x:v>
      </x:c>
      <x:c r="D151" s="102" t="n">
        <x:v>0.022833329205367688</x:v>
      </x:c>
      <x:c r="E151" s="104" t="n">
        <x:v>3110.258666666669</x:v>
      </x:c>
      <x:c r="F151" s="104" t="n">
        <x:v>3040.0457543830294</x:v>
      </x:c>
      <x:c r="G151" s="102" t="n">
        <x:v>0.0036109531956773125</x:v>
      </x:c>
      <x:c r="H151" s="102" t="n">
        <x:v>0.003844736517391034</x:v>
      </x:c>
      <x:c r="I151" s="102" t="n">
        <x:v>0.00041807617840041724</x:v>
      </x:c>
      <x:c r="J151" s="102" t="n">
        <x:v>0</x:v>
      </x:c>
      <x:c r="K151" s="102" t="n">
        <x:v>0.00010084443111528044</x:v>
      </x:c>
      <x:c r="L151" s="102" t="n">
        <x:v>0.01437210618678278</x:v>
      </x:c>
      <x:c r="M151" s="102" t="n">
        <x:v>0.0007414932920818258</x:v>
      </x:c>
      <x:c r="N151" s="102" t="n">
        <x:v>-0.0010520717884424185</x:v>
      </x:c>
      <x:c r="O151" s="102" t="n">
        <x:v>0.0006725154468755836</x:v>
      </x:c>
      <x:c r="P151" s="102" t="n">
        <x:v>0.006480690149033198</x:v>
      </x:c>
      <x:c r="Q151" s="102" t="n">
        <x:v>0.000044624786285331487</x:v>
      </x:c>
      <x:c r="R151" s="102" t="n">
        <x:v>-0.0024573663511669197</x:v>
      </x:c>
      <x:c r="S151" s="102" t="n">
        <x:v>0.010302194291744112</x:v>
      </x:c>
      <x:c r="T151" s="102" t="n">
        <x:v>0</x:v>
      </x:c>
      <x:c r="U151" s="102" t="n">
        <x:v>0.03707879633577754</x:v>
      </x:c>
      <x:c r="V151" s="105" t="n">
        <x:f>C151-U151</x:f>
        <x:v>-6.938893903907228e-18</x:v>
      </x:c>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56" t="str">
        <x:v>2016-12</x:v>
      </x:c>
      <x:c r="B152" s="102" t="n">
        <x:v>-0.032811043148162966</x:v>
      </x:c>
      <x:c r="C152" s="102" t="n">
        <x:v>-0.0021400909470509653</x:v>
      </x:c>
      <x:c r="D152" s="102" t="n">
        <x:v>-0.030670952201112</x:v>
      </x:c>
      <x:c r="E152" s="104" t="n">
        <x:v>3009.863870967741</x:v>
      </x:c>
      <x:c r="F152" s="104" t="n">
        <x:v>3103.609547648596</x:v>
      </x:c>
      <x:c r="G152" s="102" t="n">
        <x:v>0.0036109531956773125</x:v>
      </x:c>
      <x:c r="H152" s="102" t="n">
        <x:v>-0.0066301544743066895</x:v>
      </x:c>
      <x:c r="I152" s="102" t="n">
        <x:v>0.0009733905920607459</x:v>
      </x:c>
      <x:c r="J152" s="102" t="n">
        <x:v>0.00009931365129264857</x:v>
      </x:c>
      <x:c r="K152" s="102" t="n">
        <x:v>0.0002241753214939844</x:v>
      </x:c>
      <x:c r="L152" s="102" t="n">
        <x:v>0.009625251122776197</x:v>
      </x:c>
      <x:c r="M152" s="102" t="n">
        <x:v>-0.003399053297066309</x:v>
      </x:c>
      <x:c r="N152" s="102" t="n">
        <x:v>-0.007611949262131598</x:v>
      </x:c>
      <x:c r="O152" s="102" t="n">
        <x:v>0.0010832386095370695</x:v>
      </x:c>
      <x:c r="P152" s="102" t="n">
        <x:v>0.00022374674177946065</x:v>
      </x:c>
      <x:c r="Q152" s="102" t="n">
        <x:v>0.00001677508494408656</x:v>
      </x:c>
      <x:c r="R152" s="102" t="n">
        <x:v>-0.002165536232384232</x:v>
      </x:c>
      <x:c r="S152" s="102" t="n">
        <x:v>0.0018097579992763582</x:v>
      </x:c>
      <x:c r="T152" s="102" t="n">
        <x:v>0</x:v>
      </x:c>
      <x:c r="U152" s="102" t="n">
        <x:v>-0.0021400909470509653</x:v>
      </x:c>
      <x:c r="V152" s="105" t="n">
        <x:f>C152-U152</x:f>
        <x:v>0</x:v>
      </x:c>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56" t="str">
        <x:v>2017-01</x:v>
      </x:c>
      <x:c r="B153" s="102" t="n">
        <x:v>-0.023009413000080414</x:v>
      </x:c>
      <x:c r="C153" s="102" t="n">
        <x:v>-0.01595022313436192</x:v>
      </x:c>
      <x:c r="D153" s="102" t="n">
        <x:v>-0.007059189865718494</x:v>
      </x:c>
      <x:c r="E153" s="104" t="n">
        <x:v>2941.3993548387107</x:v>
      </x:c>
      <x:c r="F153" s="104" t="n">
        <x:v>2962.2367122557644</x:v>
      </x:c>
      <x:c r="G153" s="102" t="n">
        <x:v>0.0036109531956773125</x:v>
      </x:c>
      <x:c r="H153" s="102" t="n">
        <x:v>-0.0008889102211267883</x:v>
      </x:c>
      <x:c r="I153" s="102" t="n">
        <x:v>-0.0003676575295792686</x:v>
      </x:c>
      <x:c r="J153" s="102" t="n">
        <x:v>0.0023322689722919216</x:v>
      </x:c>
      <x:c r="K153" s="102" t="n">
        <x:v>-0.0006666407774899135</x:v>
      </x:c>
      <x:c r="L153" s="102" t="n">
        <x:v>-0.0006330007594216944</x:v>
      </x:c>
      <x:c r="M153" s="102" t="n">
        <x:v>-0.001218948611283078</x:v>
      </x:c>
      <x:c r="N153" s="102" t="n">
        <x:v>-0.004781375164655536</x:v>
      </x:c>
      <x:c r="O153" s="102" t="n">
        <x:v>0.0003280224388743637</x:v>
      </x:c>
      <x:c r="P153" s="102" t="n">
        <x:v>-0.010076670071245002</x:v>
      </x:c>
      <x:c r="Q153" s="102" t="n">
        <x:v>-0.00006902134373800262</x:v>
      </x:c>
      <x:c r="R153" s="102" t="n">
        <x:v>-0.001861229163950621</x:v>
      </x:c>
      <x:c r="S153" s="102" t="n">
        <x:v>-0.001658014098715616</x:v>
      </x:c>
      <x:c r="T153" s="102" t="n">
        <x:v>0</x:v>
      </x:c>
      <x:c r="U153" s="102" t="n">
        <x:v>-0.01595022313436192</x:v>
      </x:c>
      <x:c r="V153" s="105" t="n">
        <x:f>C153-U153</x:f>
        <x:v>0</x:v>
      </x:c>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56" t="str">
        <x:v>2017-02</x:v>
      </x:c>
      <x:c r="B154" s="102" t="n">
        <x:v>-0.021245577939480675</x:v>
      </x:c>
      <x:c r="C154" s="102" t="n">
        <x:v>-0.017812859190524114</x:v>
      </x:c>
      <x:c r="D154" s="102" t="n">
        <x:v>-0.0034327187489565612</x:v>
      </x:c>
      <x:c r="E154" s="104" t="n">
        <x:v>2879.5667857142857</x:v>
      </x:c>
      <x:c r="F154" s="104" t="n">
        <x:v>2889.468513809188</x:v>
      </x:c>
      <x:c r="G154" s="102" t="n">
        <x:v>0.0036109531956773125</x:v>
      </x:c>
      <x:c r="H154" s="102" t="n">
        <x:v>-0.00020232255061520185</x:v>
      </x:c>
      <x:c r="I154" s="102" t="n">
        <x:v>0.00033257226065565174</x:v>
      </x:c>
      <x:c r="J154" s="102" t="n">
        <x:v>0.002534099941047964</x:v>
      </x:c>
      <x:c r="K154" s="102" t="n">
        <x:v>-0.00004800582931180428</x:v>
      </x:c>
      <x:c r="L154" s="102" t="n">
        <x:v>-0.008922774568734144</x:v>
      </x:c>
      <x:c r="M154" s="102" t="n">
        <x:v>-0.00011445165532460835</x:v>
      </x:c>
      <x:c r="N154" s="102" t="n">
        <x:v>-0.000351634845364894</x:v>
      </x:c>
      <x:c r="O154" s="102" t="n">
        <x:v>-0.0014845946461010538</x:v>
      </x:c>
      <x:c r="P154" s="102" t="n">
        <x:v>0.000546891094104001</x:v>
      </x:c>
      <x:c r="Q154" s="102" t="n">
        <x:v>-0.000053762135366086685</x:v>
      </x:c>
      <x:c r="R154" s="102" t="n">
        <x:v>-0.0015060811060335962</x:v>
      </x:c>
      <x:c r="S154" s="102" t="n">
        <x:v>-0.012153748345157655</x:v>
      </x:c>
      <x:c r="T154" s="102" t="n">
        <x:v>0</x:v>
      </x:c>
      <x:c r="U154" s="102" t="n">
        <x:v>-0.017812859190524114</x:v>
      </x:c>
      <x:c r="V154" s="105" t="n">
        <x:f>C154-U154</x:f>
        <x:v>0</x:v>
      </x:c>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56" t="str">
        <x:v>2017-03</x:v>
      </x:c>
      <x:c r="B155" s="102" t="n">
        <x:v>0.021547012882831673</x:v>
      </x:c>
      <x:c r="C155" s="102" t="n">
        <x:v>0.00732519806391765</x:v>
      </x:c>
      <x:c r="D155" s="102" t="n">
        <x:v>0.014221814818914023</x:v>
      </x:c>
      <x:c r="E155" s="104" t="n">
        <x:v>2942.286129032259</x:v>
      </x:c>
      <x:c r="F155" s="104" t="n">
        <x:v>2900.7376283995795</x:v>
      </x:c>
      <x:c r="G155" s="102" t="n">
        <x:v>0.0036109531956773125</x:v>
      </x:c>
      <x:c r="H155" s="102" t="n">
        <x:v>0.0023307876347060576</x:v>
      </x:c>
      <x:c r="I155" s="102" t="n">
        <x:v>-0.0007174209560688343</x:v>
      </x:c>
      <x:c r="J155" s="102" t="n">
        <x:v>0.00027665945717238573</x:v>
      </x:c>
      <x:c r="K155" s="102" t="n">
        <x:v>0.00009086776334240675</x:v>
      </x:c>
      <x:c r="L155" s="102" t="n">
        <x:v>-0.0025117405150918036</x:v>
      </x:c>
      <x:c r="M155" s="102" t="n">
        <x:v>0.0005325151334190901</x:v>
      </x:c>
      <x:c r="N155" s="102" t="n">
        <x:v>0.00019812375242237096</x:v>
      </x:c>
      <x:c r="O155" s="102" t="n">
        <x:v>-0.000019233482327620776</x:v>
      </x:c>
      <x:c r="P155" s="102" t="n">
        <x:v>0.007283316145884273</x:v>
      </x:c>
      <x:c r="Q155" s="102" t="n">
        <x:v>0.00006021441190170474</x:v>
      </x:c>
      <x:c r="R155" s="102" t="n">
        <x:v>-0.0012382698090915455</x:v>
      </x:c>
      <x:c r="S155" s="102" t="n">
        <x:v>-0.002571574668028147</x:v>
      </x:c>
      <x:c r="T155" s="102" t="n">
        <x:v>0</x:v>
      </x:c>
      <x:c r="U155" s="102" t="n">
        <x:v>0.0073251980639176505</x:v>
      </x:c>
      <x:c r="V155" s="105" t="n">
        <x:f>C155-U155</x:f>
        <x:v>-8.673617379884035e-19</x:v>
      </x:c>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56" t="str">
        <x:v>2017-04</x:v>
      </x:c>
      <x:c r="B156" s="102" t="n">
        <x:v>-0.022153231871005374</x:v>
      </x:c>
      <x:c r="C156" s="102" t="n">
        <x:v>-0.005539830353126266</x:v>
      </x:c>
      <x:c r="D156" s="102" t="n">
        <x:v>-0.016613401517879108</x:v>
      </x:c>
      <x:c r="E156" s="104" t="n">
        <x:v>2877.8216666666676</x:v>
      </x:c>
      <x:c r="F156" s="104" t="n">
        <x:v>2926.0314287390916</x:v>
      </x:c>
      <x:c r="G156" s="102" t="n">
        <x:v>0.0036109531956773125</x:v>
      </x:c>
      <x:c r="H156" s="102" t="n">
        <x:v>-0.0005231348035739132</x:v>
      </x:c>
      <x:c r="I156" s="102" t="n">
        <x:v>0.000785502670982114</x:v>
      </x:c>
      <x:c r="J156" s="102" t="n">
        <x:v>0.003997031214582319</x:v>
      </x:c>
      <x:c r="K156" s="102" t="n">
        <x:v>0.00010138470091893161</x:v>
      </x:c>
      <x:c r="L156" s="102" t="n">
        <x:v>-0.004818916371959148</x:v>
      </x:c>
      <x:c r="M156" s="102" t="n">
        <x:v>0.00168163537984508</x:v>
      </x:c>
      <x:c r="N156" s="102" t="n">
        <x:v>-0.0024883378732090933</x:v>
      </x:c>
      <x:c r="O156" s="102" t="n">
        <x:v>0.0002599105723234835</x:v>
      </x:c>
      <x:c r="P156" s="102" t="n">
        <x:v>-0.0023255027454123236</x:v>
      </x:c>
      <x:c r="Q156" s="102" t="n">
        <x:v>0.000010315185951265804</x:v>
      </x:c>
      <x:c r="R156" s="102" t="n">
        <x:v>-0.0011725583692763595</x:v>
      </x:c>
      <x:c r="S156" s="102" t="n">
        <x:v>-0.004658113109975935</x:v>
      </x:c>
      <x:c r="T156" s="102" t="n">
        <x:v>0</x:v>
      </x:c>
      <x:c r="U156" s="102" t="n">
        <x:v>-0.005539830353126266</x:v>
      </x:c>
      <x:c r="V156" s="105" t="n">
        <x:f>C156-U156</x:f>
        <x:v>0</x:v>
      </x:c>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56" t="str">
        <x:v>2017-05</x:v>
      </x:c>
      <x:c r="B157" s="102" t="n">
        <x:v>0.015786504867811857</x:v>
      </x:c>
      <x:c r="C157" s="102" t="n">
        <x:v>0.007344788054119975</x:v>
      </x:c>
      <x:c r="D157" s="102" t="n">
        <x:v>0.008441716813691883</x:v>
      </x:c>
      <x:c r="E157" s="104" t="n">
        <x:v>2923.612903225806</x:v>
      </x:c>
      <x:c r="F157" s="104" t="n">
        <x:v>2899.0364706142805</x:v>
      </x:c>
      <x:c r="G157" s="102" t="n">
        <x:v>0.0036109531956773125</x:v>
      </x:c>
      <x:c r="H157" s="102" t="n">
        <x:v>0.0014599920218136282</x:v>
      </x:c>
      <x:c r="I157" s="102" t="n">
        <x:v>0.00002288038388335757</x:v>
      </x:c>
      <x:c r="J157" s="102" t="n">
        <x:v>0.003174833175194097</x:v>
      </x:c>
      <x:c r="K157" s="102" t="n">
        <x:v>-0.00020963740534916167</x:v>
      </x:c>
      <x:c r="L157" s="102" t="n">
        <x:v>-0.002794237843374937</x:v>
      </x:c>
      <x:c r="M157" s="102" t="n">
        <x:v>-0.0032280136874853066</x:v>
      </x:c>
      <x:c r="N157" s="102" t="n">
        <x:v>-0.00201858779530458</x:v>
      </x:c>
      <x:c r="O157" s="102" t="n">
        <x:v>-0.00001968821173757958</x:v>
      </x:c>
      <x:c r="P157" s="102" t="n">
        <x:v>0.004773620368417603</x:v>
      </x:c>
      <x:c r="Q157" s="102" t="n">
        <x:v>0.00001560725346599549</x:v>
      </x:c>
      <x:c r="R157" s="102" t="n">
        <x:v>-0.0012525755909132735</x:v>
      </x:c>
      <x:c r="S157" s="102" t="n">
        <x:v>0.003809642189832819</x:v>
      </x:c>
      <x:c r="T157" s="102" t="n">
        <x:v>0</x:v>
      </x:c>
      <x:c r="U157" s="102" t="n">
        <x:v>0.007344788054119974</x:v>
      </x:c>
      <x:c r="V157" s="105" t="n">
        <x:f>C157-U157</x:f>
        <x:v>8.673617379884035e-19</x:v>
      </x:c>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56" t="str">
        <x:v>2017-06</x:v>
      </x:c>
      <x:c r="B158" s="102" t="n">
        <x:v>0.011388347655912234</x:v>
      </x:c>
      <x:c r="C158" s="102" t="n">
        <x:v>-0.0025775705844066103</x:v>
      </x:c>
      <x:c r="D158" s="102" t="n">
        <x:v>0.013965918240318845</x:v>
      </x:c>
      <x:c r="E158" s="104" t="n">
        <x:v>2957.098333333333</x:v>
      </x:c>
      <x:c r="F158" s="104" t="n">
        <x:v>2916.0867883193346</x:v>
      </x:c>
      <x:c r="G158" s="102" t="n">
        <x:v>0.0036109531956773125</x:v>
      </x:c>
      <x:c r="H158" s="102" t="n">
        <x:v>0.0030972514970059703</x:v>
      </x:c>
      <x:c r="I158" s="102" t="n">
        <x:v>0.0007928639263606129</x:v>
      </x:c>
      <x:c r="J158" s="102" t="n">
        <x:v>0.005064996215925183</x:v>
      </x:c>
      <x:c r="K158" s="102" t="n">
        <x:v>0.00003528877840399595</x:v>
      </x:c>
      <x:c r="L158" s="102" t="n">
        <x:v>-0.008274134539023337</x:v>
      </x:c>
      <x:c r="M158" s="102" t="n">
        <x:v>-0.0005539927255298264</x:v>
      </x:c>
      <x:c r="N158" s="102" t="n">
        <x:v>0.002099866111733536</x:v>
      </x:c>
      <x:c r="O158" s="102" t="n">
        <x:v>-0.0010435792912709988</x:v>
      </x:c>
      <x:c r="P158" s="102" t="n">
        <x:v>-0.0022842455440761737</x:v>
      </x:c>
      <x:c r="Q158" s="102" t="n">
        <x:v>-0.00002235598964364108</x:v>
      </x:c>
      <x:c r="R158" s="102" t="n">
        <x:v>-0.0012620404575513326</x:v>
      </x:c>
      <x:c r="S158" s="102" t="n">
        <x:v>-0.0038384417624179107</x:v>
      </x:c>
      <x:c r="T158" s="102" t="n">
        <x:v>0</x:v>
      </x:c>
      <x:c r="U158" s="102" t="n">
        <x:v>-0.002577570584406611</x:v>
      </x:c>
      <x:c r="V158" s="105" t="n">
        <x:f>C158-U158</x:f>
        <x:v>8.673617379884035e-19</x:v>
      </x:c>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56" t="str">
        <x:v>2017-07</x:v>
      </x:c>
      <x:c r="B159" s="102" t="n">
        <x:v>0.026524662166631963</x:v>
      </x:c>
      <x:c r="C159" s="102" t="n">
        <x:v>-0.0027705341986199285</x:v>
      </x:c>
      <x:c r="D159" s="102" t="n">
        <x:v>0.02929519636525189</x:v>
      </x:c>
      <x:c r="E159" s="104" t="n">
        <x:v>3036.5838709677405</x:v>
      </x:c>
      <x:c r="F159" s="104" t="n">
        <x:v>2948.9169299343816</x:v>
      </x:c>
      <x:c r="G159" s="102" t="n">
        <x:v>0.0036109531956773125</x:v>
      </x:c>
      <x:c r="H159" s="102" t="n">
        <x:v>-0.0016828102809162005</x:v>
      </x:c>
      <x:c r="I159" s="102" t="n">
        <x:v>0.0011323885910325523</x:v>
      </x:c>
      <x:c r="J159" s="102" t="n">
        <x:v>0.003773918749120725</x:v>
      </x:c>
      <x:c r="K159" s="102" t="n">
        <x:v>0.0001902694424602732</x:v>
      </x:c>
      <x:c r="L159" s="102" t="n">
        <x:v>-0.009517066346411019</x:v>
      </x:c>
      <x:c r="M159" s="102" t="n">
        <x:v>-0.00040725722944023727</x:v>
      </x:c>
      <x:c r="N159" s="102" t="n">
        <x:v>0.004314575927172139</x:v>
      </x:c>
      <x:c r="O159" s="102" t="n">
        <x:v>-0.000392605156298336</x:v>
      </x:c>
      <x:c r="P159" s="102" t="n">
        <x:v>0.003878738293510926</x:v>
      </x:c>
      <x:c r="Q159" s="102" t="n">
        <x:v>0.00002110355625415102</x:v>
      </x:c>
      <x:c r="R159" s="102" t="n">
        <x:v>-0.0011931252903474873</x:v>
      </x:c>
      <x:c r="S159" s="102" t="n">
        <x:v>-0.006499617650434729</x:v>
      </x:c>
      <x:c r="T159" s="102" t="n">
        <x:v>0</x:v>
      </x:c>
      <x:c r="U159" s="102" t="n">
        <x:v>-0.0027705341986199302</x:v>
      </x:c>
      <x:c r="V159" s="105" t="n">
        <x:f>C159-U159</x:f>
        <x:v>1.734723475976807e-18</x:v>
      </x:c>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56" t="str">
        <x:v>2017-08</x:v>
      </x:c>
      <x:c r="B160" s="102" t="n">
        <x:v>-0.021092715599203338</x:v>
      </x:c>
      <x:c r="C160" s="102" t="n">
        <x:v>-0.0073919990668221865</x:v>
      </x:c>
      <x:c r="D160" s="102" t="n">
        <x:v>-0.013700716532381151</x:v>
      </x:c>
      <x:c r="E160" s="104" t="n">
        <x:v>2973.2048387096766</x:v>
      </x:c>
      <x:c r="F160" s="104" t="n">
        <x:v>3014.2202037629872</x:v>
      </x:c>
      <x:c r="G160" s="102" t="n">
        <x:v>0.0036109531956773125</x:v>
      </x:c>
      <x:c r="H160" s="102" t="n">
        <x:v>-0.002435645235186201</x:v>
      </x:c>
      <x:c r="I160" s="102" t="n">
        <x:v>0.0012841449098349006</x:v>
      </x:c>
      <x:c r="J160" s="102" t="n">
        <x:v>0.0058979494203151486</x:v>
      </x:c>
      <x:c r="K160" s="102" t="n">
        <x:v>-0.000008212956808875235</x:v>
      </x:c>
      <x:c r="L160" s="102" t="n">
        <x:v>-0.006548820423065244</x:v>
      </x:c>
      <x:c r="M160" s="102" t="n">
        <x:v>0.0026183488789190985</x:v>
      </x:c>
      <x:c r="N160" s="102" t="n">
        <x:v>0.0018414269529453571</x:v>
      </x:c>
      <x:c r="O160" s="102" t="n">
        <x:v>-0.001418367275380517</x:v>
      </x:c>
      <x:c r="P160" s="102" t="n">
        <x:v>-0.006438280489492731</x:v>
      </x:c>
      <x:c r="Q160" s="102" t="n">
        <x:v>-0.00005415543345079148</x:v>
      </x:c>
      <x:c r="R160" s="102" t="n">
        <x:v>-0.0008460124032891434</x:v>
      </x:c>
      <x:c r="S160" s="102" t="n">
        <x:v>-0.004895328207840499</x:v>
      </x:c>
      <x:c r="T160" s="102" t="n">
        <x:v>0</x:v>
      </x:c>
      <x:c r="U160" s="102" t="n">
        <x:v>-0.0073919990668221865</x:v>
      </x:c>
      <x:c r="V160" s="105" t="n">
        <x:f>C160-U160</x:f>
        <x:v>0</x:v>
      </x:c>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56" t="str">
        <x:v>2017-09</x:v>
      </x:c>
      <x:c r="B161" s="102" t="n">
        <x:v>-0.019055611321434185</x:v>
      </x:c>
      <x:c r="C161" s="102" t="n">
        <x:v>-0.014473626435692164</x:v>
      </x:c>
      <x:c r="D161" s="102" t="n">
        <x:v>-0.00458198488574202</x:v>
      </x:c>
      <x:c r="E161" s="104" t="n">
        <x:v>2917.0849999999996</x:v>
      </x:c>
      <x:c r="F161" s="104" t="n">
        <x:v>2930.4817076983345</x:v>
      </x:c>
      <x:c r="G161" s="102" t="n">
        <x:v>0.0036109531956773125</x:v>
      </x:c>
      <x:c r="H161" s="102" t="n">
        <x:v>-0.003120578294640999</x:v>
      </x:c>
      <x:c r="I161" s="102" t="n">
        <x:v>0.0005814284786084335</x:v>
      </x:c>
      <x:c r="J161" s="102" t="n">
        <x:v>0.002742338242145462</x:v>
      </x:c>
      <x:c r="K161" s="102" t="n">
        <x:v>-0.0005239773139635318</x:v>
      </x:c>
      <x:c r="L161" s="102" t="n">
        <x:v>-0.006024358295832884</x:v>
      </x:c>
      <x:c r="M161" s="102" t="n">
        <x:v>-0.002333703384919628</x:v>
      </x:c>
      <x:c r="N161" s="102" t="n">
        <x:v>-0.002566040239193585</x:v>
      </x:c>
      <x:c r="O161" s="102" t="n">
        <x:v>-0.00017870836421430623</x:v>
      </x:c>
      <x:c r="P161" s="102" t="n">
        <x:v>-0.0011262965045566635</x:v>
      </x:c>
      <x:c r="Q161" s="102" t="n">
        <x:v>0.00002787628599160523</x:v>
      </x:c>
      <x:c r="R161" s="102" t="n">
        <x:v>-0.0009794876882269874</x:v>
      </x:c>
      <x:c r="S161" s="102" t="n">
        <x:v>-0.004583072552566393</x:v>
      </x:c>
      <x:c r="T161" s="102" t="n">
        <x:v>0</x:v>
      </x:c>
      <x:c r="U161" s="102" t="n">
        <x:v>-0.014473626435692163</x:v>
      </x:c>
      <x:c r="V161" s="105" t="n">
        <x:f>C161-U161</x:f>
        <x:v>-1.734723475976807e-18</x:v>
      </x:c>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56" t="str">
        <x:v>2017-10</x:v>
      </x:c>
      <x:c r="B162" s="102" t="n">
        <x:v>0.012492685318897578</x:v>
      </x:c>
      <x:c r="C162" s="102" t="n">
        <x:v>0.0205220774143687</x:v>
      </x:c>
      <x:c r="D162" s="102" t="n">
        <x:v>-0.00802939209547112</x:v>
      </x:c>
      <x:c r="E162" s="104" t="n">
        <x:v>2953.7558064516124</x:v>
      </x:c>
      <x:c r="F162" s="104" t="n">
        <x:v>2977.568141328717</x:v>
      </x:c>
      <x:c r="G162" s="102" t="n">
        <x:v>0.0036109531956773125</x:v>
      </x:c>
      <x:c r="H162" s="102" t="n">
        <x:v>-0.0009014292661485295</x:v>
      </x:c>
      <x:c r="I162" s="102" t="n">
        <x:v>0.0005169340012416362</x:v>
      </x:c>
      <x:c r="J162" s="102" t="n">
        <x:v>0.0023835276310236186</x:v>
      </x:c>
      <x:c r="K162" s="102" t="n">
        <x:v>-0.00021195886381447158</x:v>
      </x:c>
      <x:c r="L162" s="102" t="n">
        <x:v>0.011605522646577899</x:v>
      </x:c>
      <x:c r="M162" s="102" t="n">
        <x:v>-0.000516259453081189</x:v>
      </x:c>
      <x:c r="N162" s="102" t="n">
        <x:v>-0.003227978305851689</x:v>
      </x:c>
      <x:c r="O162" s="102" t="n">
        <x:v>0.00025748579033963505</x:v>
      </x:c>
      <x:c r="P162" s="102" t="n">
        <x:v>0.0009228703180988907</x:v>
      </x:c>
      <x:c r="Q162" s="102" t="n">
        <x:v>0.000014658468657882143</x:v>
      </x:c>
      <x:c r="R162" s="102" t="n">
        <x:v>-0.0008807560034004595</x:v>
      </x:c>
      <x:c r="S162" s="102" t="n">
        <x:v>0.006948507255048164</x:v>
      </x:c>
      <x:c r="T162" s="102" t="n">
        <x:v>0</x:v>
      </x:c>
      <x:c r="U162" s="102" t="n">
        <x:v>0.0205220774143687</x:v>
      </x:c>
      <x:c r="V162" s="105" t="n">
        <x:f>C162-U162</x:f>
        <x:v>0</x:v>
      </x:c>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56" t="str">
        <x:v>2017-11</x:v>
      </x:c>
      <x:c r="B163" s="102" t="n">
        <x:v>0.020013617237836456</x:v>
      </x:c>
      <x:c r="C163" s="102" t="n">
        <x:v>0.014005009551219846</x:v>
      </x:c>
      <x:c r="D163" s="102" t="n">
        <x:v>0.00600860768661661</x:v>
      </x:c>
      <x:c r="E163" s="104" t="n">
        <x:v>3013.466666666667</x:v>
      </x:c>
      <x:c r="F163" s="104" t="n">
        <x:v>2995.4142170465616</x:v>
      </x:c>
      <x:c r="G163" s="102" t="n">
        <x:v>0.0036109531956773125</x:v>
      </x:c>
      <x:c r="H163" s="102" t="n">
        <x:v>-0.0032767719957455983</x:v>
      </x:c>
      <x:c r="I163" s="102" t="n">
        <x:v>0.001184262262227963</x:v>
      </x:c>
      <x:c r="J163" s="102" t="n">
        <x:v>0.0001601833085365288</x:v>
      </x:c>
      <x:c r="K163" s="102" t="n">
        <x:v>-0.00018700791917967808</x:v>
      </x:c>
      <x:c r="L163" s="102" t="n">
        <x:v>0.0015483376773429674</x:v>
      </x:c>
      <x:c r="M163" s="102" t="n">
        <x:v>0.0006821684535593679</x:v>
      </x:c>
      <x:c r="N163" s="102" t="n">
        <x:v>0.0023746086215970584</x:v>
      </x:c>
      <x:c r="O163" s="102" t="n">
        <x:v>0.0005092587075475535</x:v>
      </x:c>
      <x:c r="P163" s="102" t="n">
        <x:v>0.005720762617661117</x:v>
      </x:c>
      <x:c r="Q163" s="102" t="n">
        <x:v>0.00003539246289883203</x:v>
      </x:c>
      <x:c r="R163" s="102" t="n">
        <x:v>-0.0010175992934104761</x:v>
      </x:c>
      <x:c r="S163" s="102" t="n">
        <x:v>0.0026604614525068972</x:v>
      </x:c>
      <x:c r="T163" s="102" t="n">
        <x:v>0</x:v>
      </x:c>
      <x:c r="U163" s="102" t="n">
        <x:v>0.014005009551219846</x:v>
      </x:c>
      <x:c r="V163" s="105" t="n">
        <x:f>C163-U163</x:f>
        <x:v>0</x:v>
      </x:c>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56" t="str">
        <x:v>2017-12</x:v>
      </x:c>
      <x:c r="B164" s="102" t="n">
        <x:v>-0.007228642615496383</x:v>
      </x:c>
      <x:c r="C164" s="102" t="n">
        <x:v>-0.0023225672922442945</x:v>
      </x:c>
      <x:c r="D164" s="102" t="n">
        <x:v>-0.004906075323252089</x:v>
      </x:c>
      <x:c r="E164" s="104" t="n">
        <x:v>2991.761935483872</x:v>
      </x:c>
      <x:c r="F164" s="104" t="n">
        <x:v>3006.4758090615824</x:v>
      </x:c>
      <x:c r="G164" s="102" t="n">
        <x:v>0.0036109531956773125</x:v>
      </x:c>
      <x:c r="H164" s="102" t="n">
        <x:v>-0.0009875199630468773</x:v>
      </x:c>
      <x:c r="I164" s="102" t="n">
        <x:v>0.0005546585417556105</x:v>
      </x:c>
      <x:c r="J164" s="102" t="n">
        <x:v>0.0027530171293812214</x:v>
      </x:c>
      <x:c r="K164" s="102" t="n">
        <x:v>0.00017004876147903484</x:v>
      </x:c>
      <x:c r="L164" s="102" t="n">
        <x:v>-0.0016238700470477033</x:v>
      </x:c>
      <x:c r="M164" s="102" t="n">
        <x:v>-0.0004505544944776492</x:v>
      </x:c>
      <x:c r="N164" s="102" t="n">
        <x:v>-0.0024959060446532186</x:v>
      </x:c>
      <x:c r="O164" s="102" t="n">
        <x:v>0.00006010620097929527</x:v>
      </x:c>
      <x:c r="P164" s="102" t="n">
        <x:v>-0.004474601597017059</x:v>
      </x:c>
      <x:c r="Q164" s="102" t="n">
        <x:v>-0.00001875985956761517</x:v>
      </x:c>
      <x:c r="R164" s="102" t="n">
        <x:v>-0.0009715925041323727</x:v>
      </x:c>
      <x:c r="S164" s="102" t="n">
        <x:v>0.0015514533884257262</x:v>
      </x:c>
      <x:c r="T164" s="102" t="n">
        <x:v>0</x:v>
      </x:c>
      <x:c r="U164" s="102" t="n">
        <x:v>-0.002322567292244295</x:v>
      </x:c>
      <x:c r="V164" s="105" t="n">
        <x:f>C164-U164</x:f>
        <x:v>4.336808689942018e-19</x:v>
      </x:c>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56" t="str">
        <x:v>2018-01</x:v>
      </x:c>
      <x:c r="B165" s="102" t="n">
        <x:v>-0.04204805499509501</x:v>
      </x:c>
      <x:c r="C165" s="102" t="n">
        <x:v>-0.026047327713382588</x:v>
      </x:c>
      <x:c r="D165" s="102" t="n">
        <x:v>-0.01600072728171242</x:v>
      </x:c>
      <x:c r="E165" s="104" t="n">
        <x:v>2868.572258064516</x:v>
      </x:c>
      <x:c r="F165" s="104" t="n">
        <x:v>2914.8406774890377</x:v>
      </x:c>
      <x:c r="G165" s="102" t="n">
        <x:v>0.0036109531956773125</x:v>
      </x:c>
      <x:c r="H165" s="102" t="n">
        <x:v>-0.0026663113516985</x:v>
      </x:c>
      <x:c r="I165" s="102" t="n">
        <x:v>0.0008785193054061454</x:v>
      </x:c>
      <x:c r="J165" s="102" t="n">
        <x:v>0.003542186896104539</x:v>
      </x:c>
      <x:c r="K165" s="102" t="n">
        <x:v>0.0002378278785312705</x:v>
      </x:c>
      <x:c r="L165" s="102" t="n">
        <x:v>-0.014400131061128113</x:v>
      </x:c>
      <x:c r="M165" s="102" t="n">
        <x:v>0.00127124997176812</x:v>
      </x:c>
      <x:c r="N165" s="102" t="n">
        <x:v>-0.0034465393369770793</x:v>
      </x:c>
      <x:c r="O165" s="102" t="n">
        <x:v>-0.0011143836349567229</x:v>
      </x:c>
      <x:c r="P165" s="102" t="n">
        <x:v>-0.002918410079408587</x:v>
      </x:c>
      <x:c r="Q165" s="102" t="n">
        <x:v>-0.000043683450901257055</x:v>
      </x:c>
      <x:c r="R165" s="102" t="n">
        <x:v>-0.0010050186137179338</x:v>
      </x:c>
      <x:c r="S165" s="102" t="n">
        <x:v>-0.009993587432081784</x:v>
      </x:c>
      <x:c r="T165" s="102" t="n">
        <x:v>0</x:v>
      </x:c>
      <x:c r="U165" s="102" t="n">
        <x:v>-0.026047327713382584</x:v>
      </x:c>
      <x:c r="V165" s="105" t="n">
        <x:f>C165-U165</x:f>
        <x:v>-3.469446951953614e-18</x:v>
      </x:c>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56" t="str">
        <x:v>2018-02</x:v>
      </x:c>
      <x:c r="B166" s="102" t="n">
        <x:v>-0.0029044024219917475</x:v>
      </x:c>
      <x:c r="C166" s="102" t="n">
        <x:v>0.004223833699769822</x:v>
      </x:c>
      <x:c r="D166" s="102" t="n">
        <x:v>-0.007128236121761569</x:v>
      </x:c>
      <x:c r="E166" s="104" t="n">
        <x:v>2860.252857142857</x:v>
      </x:c>
      <x:c r="F166" s="104" t="n">
        <x:v>2880.714255074555</x:v>
      </x:c>
      <x:c r="G166" s="102" t="n">
        <x:v>0.0036109531956773125</x:v>
      </x:c>
      <x:c r="H166" s="102" t="n">
        <x:v>0.0021160009157199103</x:v>
      </x:c>
      <x:c r="I166" s="102" t="n">
        <x:v>0.0010241168240216504</x:v>
      </x:c>
      <x:c r="J166" s="102" t="n">
        <x:v>0.0012526334727556983</x:v>
      </x:c>
      <x:c r="K166" s="102" t="n">
        <x:v>-0.0007456659560339576</x:v>
      </x:c>
      <x:c r="L166" s="102" t="n">
        <x:v>-0.004099926952242537</x:v>
      </x:c>
      <x:c r="M166" s="102" t="n">
        <x:v>0.012029952688954338</x:v>
      </x:c>
      <x:c r="N166" s="102" t="n">
        <x:v>-0.0016866963426676444</x:v>
      </x:c>
      <x:c r="O166" s="102" t="n">
        <x:v>-0.0007353219340481646</x:v>
      </x:c>
      <x:c r="P166" s="102" t="n">
        <x:v>-0.004069579666633495</x:v>
      </x:c>
      <x:c r="Q166" s="102" t="n">
        <x:v>-0.000018815703810171766</x:v>
      </x:c>
      <x:c r="R166" s="102" t="n">
        <x:v>-0.0008148225561950471</x:v>
      </x:c>
      <x:c r="S166" s="102" t="n">
        <x:v>-0.0036389942857280744</x:v>
      </x:c>
      <x:c r="T166" s="102" t="n">
        <x:v>0</x:v>
      </x:c>
      <x:c r="U166" s="102" t="n">
        <x:v>0.004223833699769818</x:v>
      </x:c>
      <x:c r="V166" s="105" t="n">
        <x:f>C166-U166</x:f>
        <x:v>3.469446951953614e-18</x:v>
      </x:c>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56" t="str">
        <x:v>2018-03</x:v>
      </x:c>
      <x:c r="B167" s="102" t="n">
        <x:v>-0.004317391379220048</x:v>
      </x:c>
      <x:c r="C167" s="102" t="n">
        <x:v>0.019638032391029455</x:v>
      </x:c>
      <x:c r="D167" s="102" t="n">
        <x:v>-0.023955423770249503</x:v>
      </x:c>
      <x:c r="E167" s="104" t="n">
        <x:v>2847.930645161291</x:v>
      </x:c>
      <x:c r="F167" s="104" t="n">
        <x:v>2916.9777550939934</x:v>
      </x:c>
      <x:c r="G167" s="102" t="n">
        <x:v>0.0036109531956773125</x:v>
      </x:c>
      <x:c r="H167" s="102" t="n">
        <x:v>-0.00040255979081792496</x:v>
      </x:c>
      <x:c r="I167" s="102" t="n">
        <x:v>0.0008532183621134098</x:v>
      </x:c>
      <x:c r="J167" s="102" t="n">
        <x:v>0.002421971625072378</x:v>
      </x:c>
      <x:c r="K167" s="102" t="n">
        <x:v>-0.0000366835467141816</x:v>
      </x:c>
      <x:c r="L167" s="102" t="n">
        <x:v>0.0017268287065762527</x:v>
      </x:c>
      <x:c r="M167" s="102" t="n">
        <x:v>-0.0028233419916564723</x:v>
      </x:c>
      <x:c r="N167" s="102" t="n">
        <x:v>0.001692041149558759</x:v>
      </x:c>
      <x:c r="O167" s="102" t="n">
        <x:v>0.0006986155624643486</x:v>
      </x:c>
      <x:c r="P167" s="102" t="n">
        <x:v>0.011018896807048258</x:v>
      </x:c>
      <x:c r="Q167" s="102" t="n">
        <x:v>0.00007276408489289656</x:v>
      </x:c>
      <x:c r="R167" s="102" t="n">
        <x:v>-0.0005913966983476309</x:v>
      </x:c>
      <x:c r="S167" s="102" t="n">
        <x:v>0.0013967249251620505</x:v>
      </x:c>
      <x:c r="T167" s="102" t="n">
        <x:v>0</x:v>
      </x:c>
      <x:c r="U167" s="102" t="n">
        <x:v>0.01963803239102946</x:v>
      </x:c>
      <x:c r="V167" s="105" t="n">
        <x:f>C167-U167</x:f>
        <x:v>-3.469446951953614e-18</x:v>
      </x:c>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56" t="str">
        <x:v>2018-04</x:v>
      </x:c>
      <x:c r="B168" s="102" t="n">
        <x:v>-0.029087376321890623</x:v>
      </x:c>
      <x:c r="C168" s="102" t="n">
        <x:v>-0.010167203568042902</x:v>
      </x:c>
      <x:c r="D168" s="102" t="n">
        <x:v>-0.01892017275384772</x:v>
      </x:c>
      <x:c r="E168" s="104" t="n">
        <x:v>2766.285</x:v>
      </x:c>
      <x:c r="F168" s="104" t="n">
        <x:v>2819.1218551288353</x:v>
      </x:c>
      <x:c r="G168" s="102" t="n">
        <x:v>0.0036109531956773125</x:v>
      </x:c>
      <x:c r="H168" s="102" t="n">
        <x:v>-0.0033358744472607033</x:v>
      </x:c>
      <x:c r="I168" s="102" t="n">
        <x:v>0.00021752457443183126</x:v>
      </x:c>
      <x:c r="J168" s="102" t="n">
        <x:v>0.0008938228616338547</x:v>
      </x:c>
      <x:c r="K168" s="102" t="n">
        <x:v>0.000026345429485923533</x:v>
      </x:c>
      <x:c r="L168" s="102" t="n">
        <x:v>-0.000022161773847393412</x:v>
      </x:c>
      <x:c r="M168" s="102" t="n">
        <x:v>-0.0006888095802728024</x:v>
      </x:c>
      <x:c r="N168" s="102" t="n">
        <x:v>-0.004548074343859395</x:v>
      </x:c>
      <x:c r="O168" s="102" t="n">
        <x:v>0.00013530098321752553</x:v>
      </x:c>
      <x:c r="P168" s="102" t="n">
        <x:v>-0.005985285747668273</x:v>
      </x:c>
      <x:c r="Q168" s="102" t="n">
        <x:v>-0.000050259554594011693</x:v>
      </x:c>
      <x:c r="R168" s="102" t="n">
        <x:v>-0.0003915408092878687</x:v>
      </x:c>
      <x:c r="S168" s="102" t="n">
        <x:v>-0.000029144355698903173</x:v>
      </x:c>
      <x:c r="T168" s="102" t="n">
        <x:v>0</x:v>
      </x:c>
      <x:c r="U168" s="102" t="n">
        <x:v>-0.010167203568042902</x:v>
      </x:c>
      <x:c r="V168" s="105" t="n">
        <x:f>C168-U168</x:f>
        <x:v>0</x:v>
      </x:c>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56" t="str">
        <x:v>2018-05</x:v>
      </x:c>
      <x:c r="B169" s="102" t="n">
        <x:v>0.03395455019829452</x:v>
      </x:c>
      <x:c r="C169" s="102" t="n">
        <x:v>0.039713162665537406</x:v>
      </x:c>
      <x:c r="D169" s="102" t="n">
        <x:v>-0.0057586124672428865</x:v>
      </x:c>
      <x:c r="E169" s="104" t="n">
        <x:v>2861.8258064516135</x:v>
      </x:c>
      <x:c r="F169" s="104" t="n">
        <x:v>2878.3534948221622</x:v>
      </x:c>
      <x:c r="G169" s="102" t="n">
        <x:v>0.0036109531956773125</x:v>
      </x:c>
      <x:c r="H169" s="102" t="n">
        <x:v>-0.0024706761526301817</x:v>
      </x:c>
      <x:c r="I169" s="102" t="n">
        <x:v>0.0013974042550517062</x:v>
      </x:c>
      <x:c r="J169" s="102" t="n">
        <x:v>0.001870407099344927</x:v>
      </x:c>
      <x:c r="K169" s="102" t="n">
        <x:v>0.00031199449872771105</x:v>
      </x:c>
      <x:c r="L169" s="102" t="n">
        <x:v>0.017762329168200378</x:v>
      </x:c>
      <x:c r="M169" s="102" t="n">
        <x:v>-0.0043680273766002874</x:v>
      </x:c>
      <x:c r="N169" s="102" t="n">
        <x:v>0.0006619300388849049</x:v>
      </x:c>
      <x:c r="O169" s="102" t="n">
        <x:v>0.0004955726132511156</x:v>
      </x:c>
      <x:c r="P169" s="102" t="n">
        <x:v>0.004527257079710769</x:v>
      </x:c>
      <x:c r="Q169" s="102" t="n">
        <x:v>0.00004045783531747083</x:v>
      </x:c>
      <x:c r="R169" s="102" t="n">
        <x:v>-0.0003371542031163486</x:v>
      </x:c>
      <x:c r="S169" s="102" t="n">
        <x:v>0.01621071461371793</x:v>
      </x:c>
      <x:c r="T169" s="102" t="n">
        <x:v>0</x:v>
      </x:c>
      <x:c r="U169" s="102" t="n">
        <x:v>0.03971316266553741</x:v>
      </x:c>
      <x:c r="V169" s="105" t="n">
        <x:f>C169-U169</x:f>
        <x:v>-6.938893903907228e-18</x:v>
      </x:c>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56" t="str">
        <x:v>2018-06</x:v>
      </x:c>
      <x:c r="B170" s="102" t="n">
        <x:v>0.009689068867674955</x:v>
      </x:c>
      <x:c r="C170" s="102" t="n">
        <x:v>0.027224206741733415</x:v>
      </x:c>
      <x:c r="D170" s="102" t="n">
        <x:v>-0.01753513787405846</x:v>
      </x:c>
      <x:c r="E170" s="104" t="n">
        <x:v>2889.6889999999994</x:v>
      </x:c>
      <x:c r="F170" s="104" t="n">
        <x:v>2940.8069655041545</x:v>
      </x:c>
      <x:c r="G170" s="102" t="n">
        <x:v>0.0036109531956773125</x:v>
      </x:c>
      <x:c r="H170" s="102" t="n">
        <x:v>0.001284133361165968</x:v>
      </x:c>
      <x:c r="I170" s="102" t="n">
        <x:v>0.0005446575198512013</x:v>
      </x:c>
      <x:c r="J170" s="102" t="n">
        <x:v>0.002499393557531707</x:v>
      </x:c>
      <x:c r="K170" s="102" t="n">
        <x:v>0.0000712820596210482</x:v>
      </x:c>
      <x:c r="L170" s="102" t="n">
        <x:v>0.010060734734410593</x:v>
      </x:c>
      <x:c r="M170" s="102" t="n">
        <x:v>-0.0005454334676882938</x:v>
      </x:c>
      <x:c r="N170" s="102" t="n">
        <x:v>0.002067841000625183</x:v>
      </x:c>
      <x:c r="O170" s="102" t="n">
        <x:v>-0.00047035822370663984</x:v>
      </x:c>
      <x:c r="P170" s="102" t="n">
        <x:v>0.00002819661238820718</x:v>
      </x:c>
      <x:c r="Q170" s="102" t="n">
        <x:v>-0.000009142220146916884</x:v>
      </x:c>
      <x:c r="R170" s="102" t="n">
        <x:v>-0.00018333029290342343</x:v>
      </x:c>
      <x:c r="S170" s="102" t="n">
        <x:v>0.00826527890490747</x:v>
      </x:c>
      <x:c r="T170" s="102" t="n">
        <x:v>0</x:v>
      </x:c>
      <x:c r="U170" s="102" t="n">
        <x:v>0.02722420674173342</x:v>
      </x:c>
      <x:c r="V170" s="105" t="n">
        <x:f>C170-U170</x:f>
        <x:v>-3.469446951953614e-18</x:v>
      </x:c>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56" t="str">
        <x:v>2018-07</x:v>
      </x:c>
      <x:c r="B171" s="102" t="n">
        <x:v>-0.001512400720045548</x:v>
      </x:c>
      <x:c r="C171" s="102" t="n">
        <x:v>0.003990112748713459</x:v>
      </x:c>
      <x:c r="D171" s="102" t="n">
        <x:v>-0.005502513468759007</x:v>
      </x:c>
      <x:c r="E171" s="104" t="n">
        <x:v>2885.32193548387</x:v>
      </x:c>
      <x:c r="F171" s="104" t="n">
        <x:v>2901.2422189135254</x:v>
      </x:c>
      <x:c r="G171" s="102" t="n">
        <x:v>0.0036109531956773125</x:v>
      </x:c>
      <x:c r="H171" s="102" t="n">
        <x:v>0.00007664120579075428</x:v>
      </x:c>
      <x:c r="I171" s="102" t="n">
        <x:v>0.00012065961924282465</x:v>
      </x:c>
      <x:c r="J171" s="102" t="n">
        <x:v>0.0011917638155118093</x:v>
      </x:c>
      <x:c r="K171" s="102" t="n">
        <x:v>-0.000003111621637416278</x:v>
      </x:c>
      <x:c r="L171" s="102" t="n">
        <x:v>0.0011933394455732479</x:v>
      </x:c>
      <x:c r="M171" s="102" t="n">
        <x:v>-0.0006717206203989975</x:v>
      </x:c>
      <x:c r="N171" s="102" t="n">
        <x:v>0.0012479945930468828</x:v>
      </x:c>
      <x:c r="O171" s="102" t="n">
        <x:v>0.0005331560623005044</x:v>
      </x:c>
      <x:c r="P171" s="102" t="n">
        <x:v>0.001131349635355751</x:v>
      </x:c>
      <x:c r="Q171" s="102" t="n">
        <x:v>-5.642718257507801e-7</x:v>
      </x:c>
      <x:c r="R171" s="102" t="n">
        <x:v>-0.00016681476183797508</x:v>
      </x:c>
      <x:c r="S171" s="102" t="n">
        <x:v>-0.004273533548085487</x:v>
      </x:c>
      <x:c r="T171" s="102" t="n">
        <x:v>0</x:v>
      </x:c>
      <x:c r="U171" s="102" t="n">
        <x:v>0.003990112748713459</x:v>
      </x:c>
      <x:c r="V171" s="105" t="n">
        <x:f>C171-U171</x:f>
        <x:v>0</x:v>
      </x:c>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56" t="str">
        <x:v>2018-08</x:v>
      </x:c>
      <x:c r="B172" s="102" t="n">
        <x:v>0.02510226958834494</x:v>
      </x:c>
      <x:c r="C172" s="102" t="n">
        <x:v>0.006336208460899689</x:v>
      </x:c>
      <x:c r="D172" s="102" t="n">
        <x:v>0.01876606112744525</x:v>
      </x:c>
      <x:c r="E172" s="104" t="n">
        <x:v>2958.6667741935476</x:v>
      </x:c>
      <x:c r="F172" s="104" t="n">
        <x:v>2903.6619785530124</x:v>
      </x:c>
      <x:c r="G172" s="102" t="n">
        <x:v>0.0036109531956773125</x:v>
      </x:c>
      <x:c r="H172" s="102" t="n">
        <x:v>0.0008891345683761755</x:v>
      </x:c>
      <x:c r="I172" s="102" t="n">
        <x:v>0.000447616042521707</x:v>
      </x:c>
      <x:c r="J172" s="102" t="n">
        <x:v>0.0008938228616338547</x:v>
      </x:c>
      <x:c r="K172" s="102" t="n">
        <x:v>0.0001462545877358087</x:v>
      </x:c>
      <x:c r="L172" s="102" t="n">
        <x:v>0.004264562242020591</x:v>
      </x:c>
      <x:c r="M172" s="102" t="n">
        <x:v>-0.0007941191697306588</x:v>
      </x:c>
      <x:c r="N172" s="102" t="n">
        <x:v>0.001965194864520064</x:v>
      </x:c>
      <x:c r="O172" s="102" t="n">
        <x:v>-0.00012915294133325893</x:v>
      </x:c>
      <x:c r="P172" s="102" t="n">
        <x:v>-0.0062185471741996855</x:v>
      </x:c>
      <x:c r="Q172" s="102" t="n">
        <x:v>-0.000023383428122322346</x:v>
      </x:c>
      <x:c r="R172" s="102" t="n">
        <x:v>-0.00008598113307739718</x:v>
      </x:c>
      <x:c r="S172" s="102" t="n">
        <x:v>0.0013698539448775001</x:v>
      </x:c>
      <x:c r="T172" s="102" t="n">
        <x:v>0</x:v>
      </x:c>
      <x:c r="U172" s="102" t="n">
        <x:v>0.006336208460899691</x:v>
      </x:c>
      <x:c r="V172" s="105" t="n">
        <x:f>C172-U172</x:f>
        <x:v>-1.734723475976807e-18</x:v>
      </x:c>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56" t="str">
        <x:v>2018-09</x:v>
      </x:c>
      <x:c r="B173" s="102" t="n">
        <x:v>0.025066658546742282</x:v>
      </x:c>
      <x:c r="C173" s="102" t="n">
        <x:v>0.013314684507766227</x:v>
      </x:c>
      <x:c r="D173" s="102" t="n">
        <x:v>0.011751974038976055</x:v>
      </x:c>
      <x:c r="E173" s="104" t="n">
        <x:v>3033.7679999999987</x:v>
      </x:c>
      <x:c r="F173" s="104" t="n">
        <x:v>2998.32391413984</x:v>
      </x:c>
      <x:c r="G173" s="102" t="n">
        <x:v>0.0036109531956773125</x:v>
      </x:c>
      <x:c r="H173" s="102" t="n">
        <x:v>-0.003179377578587901</x:v>
      </x:c>
      <x:c r="I173" s="102" t="n">
        <x:v>0.0010348362716210836</x:v>
      </x:c>
      <x:c r="J173" s="102" t="n">
        <x:v>0</x:v>
      </x:c>
      <x:c r="K173" s="102" t="n">
        <x:v>0.00044835559494666203</x:v>
      </x:c>
      <x:c r="L173" s="102" t="n">
        <x:v>0.0013583420863014705</x:v>
      </x:c>
      <x:c r="M173" s="102" t="n">
        <x:v>0.00048508665029420956</x:v>
      </x:c>
      <x:c r="N173" s="102" t="n">
        <x:v>-0.0008727876000728605</x:v>
      </x:c>
      <x:c r="O173" s="102" t="n">
        <x:v>-0.00009039660672218857</x:v>
      </x:c>
      <x:c r="P173" s="102" t="n">
        <x:v>0.0028977416736739605</x:v>
      </x:c>
      <x:c r="Q173" s="102" t="n">
        <x:v>0.000041004647306456926</x:v>
      </x:c>
      <x:c r="R173" s="102" t="n">
        <x:v>-0.0002000423995344898</x:v>
      </x:c>
      <x:c r="S173" s="102" t="n">
        <x:v>0.007780968572862512</x:v>
      </x:c>
      <x:c r="T173" s="102" t="n">
        <x:v>0</x:v>
      </x:c>
      <x:c r="U173" s="102" t="n">
        <x:v>0.013314684507766229</x:v>
      </x:c>
      <x:c r="V173" s="105" t="n">
        <x:f>C173-U173</x:f>
        <x:v>-1.734723475976807e-18</x:v>
      </x:c>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56" t="str">
        <x:v>2018-10</x:v>
      </x:c>
      <x:c r="B174" s="102" t="n">
        <x:v>0.01669145290845897</x:v>
      </x:c>
      <x:c r="C174" s="102" t="n">
        <x:v>0.0030834766047100007</x:v>
      </x:c>
      <x:c r="D174" s="102" t="n">
        <x:v>0.01360797630374897</x:v>
      </x:c>
      <x:c r="E174" s="104" t="n">
        <x:v>3084.8309677419325</x:v>
      </x:c>
      <x:c r="F174" s="104" t="n">
        <x:v>3043.136989759254</x:v>
      </x:c>
      <x:c r="G174" s="102" t="n">
        <x:v>0.0036109531956773125</x:v>
      </x:c>
      <x:c r="H174" s="102" t="n">
        <x:v>-0.0010124877898832947</x:v>
      </x:c>
      <x:c r="I174" s="102" t="n">
        <x:v>0.0009049151598549348</x:v>
      </x:c>
      <x:c r="J174" s="102" t="n">
        <x:v>0.00039725460517060307</x:v>
      </x:c>
      <x:c r="K174" s="102" t="n">
        <x:v>0.00008365850736478693</x:v>
      </x:c>
      <x:c r="L174" s="102" t="n">
        <x:v>0.0041201901135298254</x:v>
      </x:c>
      <x:c r="M174" s="102" t="n">
        <x:v>0.006873642958424325</x:v>
      </x:c>
      <x:c r="N174" s="102" t="n">
        <x:v>0.00008894244558311814</x:v>
      </x:c>
      <x:c r="O174" s="102" t="n">
        <x:v>0.00012114062736063899</x:v>
      </x:c>
      <x:c r="P174" s="102" t="n">
        <x:v>-0.0035999321439749085</x:v>
      </x:c>
      <x:c r="Q174" s="102" t="n">
        <x:v>-0.000026155513825642126</x:v>
      </x:c>
      <x:c r="R174" s="102" t="n">
        <x:v>-0.0004817699046313468</x:v>
      </x:c>
      <x:c r="S174" s="102" t="n">
        <x:v>-0.007996875655940353</x:v>
      </x:c>
      <x:c r="T174" s="102" t="n">
        <x:v>0</x:v>
      </x:c>
      <x:c r="U174" s="102" t="n">
        <x:v>0.0030834766047100025</x:v>
      </x:c>
      <x:c r="V174" s="105" t="n">
        <x:f>C174-U174</x:f>
        <x:v>-1.734723475976807e-18</x:v>
      </x:c>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56" t="str">
        <x:v>2018-11</x:v>
      </x:c>
      <x:c r="B175" s="102" t="n">
        <x:v>0.03478793485623477</x:v>
      </x:c>
      <x:c r="C175" s="102" t="n">
        <x:v>0.037535013468190846</x:v>
      </x:c>
      <x:c r="D175" s="102" t="n">
        <x:v>-0.002747078611956076</x:v>
      </x:c>
      <x:c r="E175" s="104" t="n">
        <x:v>3194.0343333333362</x:v>
      </x:c>
      <x:c r="F175" s="104" t="n">
        <x:v>3202.820659575279</x:v>
      </x:c>
      <x:c r="G175" s="102" t="n">
        <x:v>0.0036109531956773125</x:v>
      </x:c>
      <x:c r="H175" s="102" t="n">
        <x:v>0.00848205931538178</x:v>
      </x:c>
      <x:c r="I175" s="102" t="n">
        <x:v>0.0008711793746143973</x:v>
      </x:c>
      <x:c r="J175" s="102" t="n">
        <x:v>0.0023835276310236143</x:v>
      </x:c>
      <x:c r="K175" s="102" t="n">
        <x:v>0.00004262945656961605</x:v>
      </x:c>
      <x:c r="L175" s="102" t="n">
        <x:v>0.0072576724274963375</x:v>
      </x:c>
      <x:c r="M175" s="102" t="n">
        <x:v>0.00003232667740042346</x:v>
      </x:c>
      <x:c r="N175" s="102" t="n">
        <x:v>0.0010158825868743918</x:v>
      </x:c>
      <x:c r="O175" s="102" t="n">
        <x:v>0.0000744225732850128</x:v>
      </x:c>
      <x:c r="P175" s="102" t="n">
        <x:v>0.00871302659435772</x:v>
      </x:c>
      <x:c r="Q175" s="102" t="n">
        <x:v>0.00006996174127566932</x:v>
      </x:c>
      <x:c r="R175" s="102" t="n">
        <x:v>-0.0004150225403145215</x:v>
      </x:c>
      <x:c r="S175" s="102" t="n">
        <x:v>0.005396394434549097</x:v>
      </x:c>
      <x:c r="T175" s="102" t="n">
        <x:v>0</x:v>
      </x:c>
      <x:c r="U175" s="102" t="n">
        <x:v>0.037535013468190846</x:v>
      </x:c>
      <x:c r="V175" s="105" t="n">
        <x:f>C175-U175</x:f>
        <x:v>0</x:v>
      </x:c>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56" t="str">
        <x:v>2018-12</x:v>
      </x:c>
      <x:c r="B176" s="102" t="n">
        <x:v>0.007646449196696992</x:v>
      </x:c>
      <x:c r="C176" s="102" t="n">
        <x:v>0.008316186989809947</x:v>
      </x:c>
      <x:c r="D176" s="102" t="n">
        <x:v>-0.0006697377931129556</x:v>
      </x:c>
      <x:c r="E176" s="104" t="n">
        <x:v>3218.5509677419377</x:v>
      </x:c>
      <x:c r="F176" s="104" t="n">
        <x:v>3220.707274963712</x:v>
      </x:c>
      <x:c r="G176" s="102" t="n">
        <x:v>0.0036109531956773125</x:v>
      </x:c>
      <x:c r="H176" s="102" t="n">
        <x:v>0.004579308028436386</x:v>
      </x:c>
      <x:c r="I176" s="102" t="n">
        <x:v>0.0005802536027289196</x:v>
      </x:c>
      <x:c r="J176" s="102" t="n">
        <x:v>0.00009931365129265298</x:v>
      </x:c>
      <x:c r="K176" s="102" t="n">
        <x:v>-0.0002654003432654489</x:v>
      </x:c>
      <x:c r="L176" s="102" t="n">
        <x:v>0.0002305995627300119</x:v>
      </x:c>
      <x:c r="M176" s="102" t="n">
        <x:v>0.004284409749007446</x:v>
      </x:c>
      <x:c r="N176" s="102" t="n">
        <x:v>0.000988468586438442</x:v>
      </x:c>
      <x:c r="O176" s="102" t="n">
        <x:v>-0.0012240261471184858</x:v>
      </x:c>
      <x:c r="P176" s="102" t="n">
        <x:v>-0.0055439284462397735</x:v>
      </x:c>
      <x:c r="Q176" s="102" t="n">
        <x:v>-0.00005895399454065749</x:v>
      </x:c>
      <x:c r="R176" s="102" t="n">
        <x:v>-0.0005504229965449478</x:v>
      </x:c>
      <x:c r="S176" s="102" t="n">
        <x:v>0.0015856125412080893</x:v>
      </x:c>
      <x:c r="T176" s="102" t="n">
        <x:v>0</x:v>
      </x:c>
      <x:c r="U176" s="102" t="n">
        <x:v>0.008316186989809949</x:v>
      </x:c>
      <x:c r="V176" s="105" t="n">
        <x:f>C176-U176</x:f>
        <x:v>-1.734723475976807e-18</x:v>
      </x:c>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56" t="str">
        <x:v>2019-01</x:v>
      </x:c>
      <x:c r="B177" s="102" t="n">
        <x:v>-0.016718774354265165</x:v>
      </x:c>
      <x:c r="C177" s="102" t="n">
        <x:v>-0.025183675143049138</x:v>
      </x:c>
      <x:c r="D177" s="102" t="n">
        <x:v>0.008464900788783973</x:v>
      </x:c>
      <x:c r="E177" s="104" t="n">
        <x:v>3165.1880645161295</x:v>
      </x:c>
      <x:c r="F177" s="104" t="n">
        <x:v>3138.508142330618</x:v>
      </x:c>
      <x:c r="G177" s="102" t="n">
        <x:v>0.0036109531956773125</x:v>
      </x:c>
      <x:c r="H177" s="102" t="n">
        <x:v>-0.001325830920075109</x:v>
      </x:c>
      <x:c r="I177" s="102" t="n">
        <x:v>0.0006735764177748044</x:v>
      </x:c>
      <x:c r="J177" s="102" t="n">
        <x:v>0.0006951955590485532</x:v>
      </x:c>
      <x:c r="K177" s="102" t="n">
        <x:v>-0.0006257022859714002</x:v>
      </x:c>
      <x:c r="L177" s="102" t="n">
        <x:v>-0.009613258876592468</x:v>
      </x:c>
      <x:c r="M177" s="102" t="n">
        <x:v>-0.004124591183862695</x:v>
      </x:c>
      <x:c r="N177" s="102" t="n">
        <x:v>0.0007101466755963305</x:v>
      </x:c>
      <x:c r="O177" s="102" t="n">
        <x:v>-0.0030124557436251504</x:v>
      </x:c>
      <x:c r="P177" s="102" t="n">
        <x:v>-0.0009552238701642754</x:v>
      </x:c>
      <x:c r="Q177" s="102" t="n">
        <x:v>-0.0000440052710864594</x:v>
      </x:c>
      <x:c r="R177" s="102" t="n">
        <x:v>-0.0006425502966679272</x:v>
      </x:c>
      <x:c r="S177" s="102" t="n">
        <x:v>-0.010529928543100656</x:v>
      </x:c>
      <x:c r="T177" s="102" t="n">
        <x:v>0</x:v>
      </x:c>
      <x:c r="U177" s="102" t="n">
        <x:v>-0.025183675143049138</x:v>
      </x:c>
      <x:c r="V177" s="105" t="n">
        <x:f>C177-U177</x:f>
        <x:v>0</x:v>
      </x:c>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56" t="str">
        <x:v>2019-02</x:v>
      </x:c>
      <x:c r="B178" s="102" t="n">
        <x:v>-0.015714153577748746</x:v>
      </x:c>
      <x:c r="C178" s="102" t="n">
        <x:v>-0.017255353108407017</x:v>
      </x:c>
      <x:c r="D178" s="102" t="n">
        <x:v>0.0015411995306582708</x:v>
      </x:c>
      <x:c r="E178" s="104" t="n">
        <x:v>3115.838571428572</x:v>
      </x:c>
      <x:c r="F178" s="104" t="n">
        <x:v>3111.040141103769</x:v>
      </x:c>
      <x:c r="G178" s="102" t="n">
        <x:v>0.0036109531956773125</x:v>
      </x:c>
      <x:c r="H178" s="102" t="n">
        <x:v>-0.0027907001797553934</x:v>
      </x:c>
      <x:c r="I178" s="102" t="n">
        <x:v>0.0003909364868420977</x:v>
      </x:c>
      <x:c r="J178" s="102" t="n">
        <x:v>0.0012910774668044578</x:v>
      </x:c>
      <x:c r="K178" s="102" t="n">
        <x:v>-0.00009541782602345057</x:v>
      </x:c>
      <x:c r="L178" s="102" t="n">
        <x:v>-0.00016145446037499605</x:v>
      </x:c>
      <x:c r="M178" s="102" t="n">
        <x:v>-0.0042546788808915425</x:v>
      </x:c>
      <x:c r="N178" s="102" t="n">
        <x:v>-0.0007221190430323734</x:v>
      </x:c>
      <x:c r="O178" s="102" t="n">
        <x:v>-0.0037857362875708257</x:v>
      </x:c>
      <x:c r="P178" s="102" t="n">
        <x:v>-0.005079325107917833</x:v>
      </x:c>
      <x:c r="Q178" s="102" t="n">
        <x:v>-0.00005971817135505785</x:v>
      </x:c>
      <x:c r="R178" s="102" t="n">
        <x:v>-0.0008092014558614449</x:v>
      </x:c>
      <x:c r="S178" s="102" t="n">
        <x:v>-0.004789968844947967</x:v>
      </x:c>
      <x:c r="T178" s="102" t="n">
        <x:v>0</x:v>
      </x:c>
      <x:c r="U178" s="102" t="n">
        <x:v>-0.017255353108407014</x:v>
      </x:c>
      <x:c r="V178" s="105" t="n">
        <x:f>C178-U178</x:f>
        <x:v>-3.469446951953614e-18</x:v>
      </x:c>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56" t="str">
        <x:v>2019-03</x:v>
      </x:c>
      <x:c r="B179" s="102" t="n">
        <x:v>0.004114210396151563</x:v>
      </x:c>
      <x:c r="C179" s="102" t="n">
        <x:v>0.009729285261037694</x:v>
      </x:c>
      <x:c r="D179" s="102" t="n">
        <x:v>-0.005615074864886131</x:v>
      </x:c>
      <x:c r="E179" s="104" t="n">
        <x:v>3128.6841935483853</x:v>
      </x:c>
      <x:c r="F179" s="104" t="n">
        <x:v>3146.3014042143213</x:v>
      </x:c>
      <x:c r="G179" s="102" t="n">
        <x:v>0.0036109531956773125</x:v>
      </x:c>
      <x:c r="H179" s="102" t="n">
        <x:v>-0.0012660819002797434</x:v>
      </x:c>
      <x:c r="I179" s="102" t="n">
        <x:v>0.0003699420104193923</x:v>
      </x:c>
      <x:c r="J179" s="102" t="n">
        <x:v>0</x:v>
      </x:c>
      <x:c r="K179" s="102" t="n">
        <x:v>0.0001349657364564576</x:v>
      </x:c>
      <x:c r="L179" s="102" t="n">
        <x:v>0.0020258851416103418</x:v>
      </x:c>
      <x:c r="M179" s="102" t="n">
        <x:v>-0.0008567064270184779</x:v>
      </x:c>
      <x:c r="N179" s="102" t="n">
        <x:v>-0.0004995434680643736</x:v>
      </x:c>
      <x:c r="O179" s="102" t="n">
        <x:v>-0.005859069853314322</x:v>
      </x:c>
      <x:c r="P179" s="102" t="n">
        <x:v>0.00858669767778281</x:v>
      </x:c>
      <x:c r="Q179" s="102" t="n">
        <x:v>-0.00002682180547119346</x:v>
      </x:c>
      <x:c r="R179" s="102" t="n">
        <x:v>-0.0007569919833430091</x:v>
      </x:c>
      <x:c r="S179" s="102" t="n">
        <x:v>0.004266056936582499</x:v>
      </x:c>
      <x:c r="T179" s="102" t="n">
        <x:v>0</x:v>
      </x:c>
      <x:c r="U179" s="102" t="n">
        <x:v>0.009729285261037692</x:v>
      </x:c>
      <x:c r="V179" s="105" t="n">
        <x:f>C179-U179</x:f>
        <x:v>1.734723475976807e-18</x:v>
      </x:c>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56" t="str">
        <x:v>2019-04</x:v>
      </x:c>
      <x:c r="B180" s="102" t="n">
        <x:v>0.008618408150244505</x:v>
      </x:c>
      <x:c r="C180" s="102" t="n">
        <x:v>-0.00439796123433367</x:v>
      </x:c>
      <x:c r="D180" s="102" t="n">
        <x:v>0.013016369384578175</x:v>
      </x:c>
      <x:c r="E180" s="104" t="n">
        <x:v>3155.7650000000012</x:v>
      </x:c>
      <x:c r="F180" s="104" t="n">
        <x:v>3114.954575045577</x:v>
      </x:c>
      <x:c r="G180" s="102" t="n">
        <x:v>0.0036109531956773125</x:v>
      </x:c>
      <x:c r="H180" s="102" t="n">
        <x:v>-0.002805747021322031</x:v>
      </x:c>
      <x:c r="I180" s="102" t="n">
        <x:v>0.0005642285181749797</x:v>
      </x:c>
      <x:c r="J180" s="102" t="n">
        <x:v>0.00009931365129265298</x:v>
      </x:c>
      <x:c r="K180" s="102" t="n">
        <x:v>-0.00013730712258793444</x:v>
      </x:c>
      <x:c r="L180" s="102" t="n">
        <x:v>0.0006560157322914107</x:v>
      </x:c>
      <x:c r="M180" s="102" t="n">
        <x:v>-0.0019038090828255765</x:v>
      </x:c>
      <x:c r="N180" s="102" t="n">
        <x:v>-0.0005534547535725155</x:v>
      </x:c>
      <x:c r="O180" s="102" t="n">
        <x:v>-0.0033951620030123887</x:v>
      </x:c>
      <x:c r="P180" s="102" t="n">
        <x:v>0.0016826959015063159</x:v>
      </x:c>
      <x:c r="Q180" s="102" t="n">
        <x:v>0.00006361501316996538</x:v>
      </x:c>
      <x:c r="R180" s="102" t="n">
        <x:v>-0.0006879979834759179</x:v>
      </x:c>
      <x:c r="S180" s="102" t="n">
        <x:v>-0.0015913052796499442</x:v>
      </x:c>
      <x:c r="T180" s="102" t="n">
        <x:v>0</x:v>
      </x:c>
      <x:c r="U180" s="102" t="n">
        <x:v>-0.004397961234333671</x:v>
      </x:c>
      <x:c r="V180" s="105" t="n">
        <x:f>C180-U180</x:f>
        <x:v>8.673617379884035e-19</x:v>
      </x:c>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56" t="str">
        <x:v>2019-05</x:v>
      </x:c>
      <x:c r="B181" s="102" t="n">
        <x:v>0.04605257754311687</x:v>
      </x:c>
      <x:c r="C181" s="102" t="n">
        <x:v>0.0232581158230121</x:v>
      </x:c>
      <x:c r="D181" s="102" t="n">
        <x:v>0.02279446172010477</x:v>
      </x:c>
      <x:c r="E181" s="104" t="n">
        <x:v>3304.494516129032</x:v>
      </x:c>
      <x:c r="F181" s="104" t="n">
        <x:v>3230.022343460866</x:v>
      </x:c>
      <x:c r="G181" s="102" t="n">
        <x:v>0.0036109531956773125</x:v>
      </x:c>
      <x:c r="H181" s="102" t="n">
        <x:v>-0.00004476763546973695</x:v>
      </x:c>
      <x:c r="I181" s="102" t="n">
        <x:v>0.0005642045030858598</x:v>
      </x:c>
      <x:c r="J181" s="102" t="n">
        <x:v>0.00009931365129264857</x:v>
      </x:c>
      <x:c r="K181" s="102" t="n">
        <x:v>-0.00024220971703580723</x:v>
      </x:c>
      <x:c r="L181" s="102" t="n">
        <x:v>0.005719494301163395</x:v>
      </x:c>
      <x:c r="M181" s="102" t="n">
        <x:v>0.004342149554886878</x:v>
      </x:c>
      <x:c r="N181" s="102" t="n">
        <x:v>0.0037070544028000745</x:v>
      </x:c>
      <x:c r="O181" s="102" t="n">
        <x:v>-0.0011488146490056055</x:v>
      </x:c>
      <x:c r="P181" s="102" t="n">
        <x:v>0.0007472291081642925</x:v>
      </x:c>
      <x:c r="Q181" s="102" t="n">
        <x:v>0.00008035829351868958</x:v>
      </x:c>
      <x:c r="R181" s="102" t="n">
        <x:v>-0.0006330290195441561</x:v>
      </x:c>
      <x:c r="S181" s="102" t="n">
        <x:v>0.006456179833478251</x:v>
      </x:c>
      <x:c r="T181" s="102" t="n">
        <x:v>0</x:v>
      </x:c>
      <x:c r="U181" s="102" t="n">
        <x:v>0.0232581158230121</x:v>
      </x:c>
      <x:c r="V181" s="105" t="n">
        <x:f>C181-U181</x:f>
        <x:v>0</x:v>
      </x:c>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56" t="str">
        <x:v>2019-06</x:v>
      </x:c>
      <x:c r="B182" s="102" t="n">
        <x:v>-0.013397744649116916</x:v>
      </x:c>
      <x:c r="C182" s="102" t="n">
        <x:v>-0.007747623919473443</x:v>
      </x:c>
      <x:c r="D182" s="102" t="n">
        <x:v>-0.005650120729643473</x:v>
      </x:c>
      <x:c r="E182" s="104" t="n">
        <x:v>3260.516999999999</x:v>
      </x:c>
      <x:c r="F182" s="104" t="n">
        <x:v>3278.991456999308</x:v>
      </x:c>
      <x:c r="G182" s="102" t="n">
        <x:v>0.0036109531956773125</x:v>
      </x:c>
      <x:c r="H182" s="102" t="n">
        <x:v>0.003963214842857746</x:v>
      </x:c>
      <x:c r="I182" s="102" t="n">
        <x:v>0.0009165732120097723</x:v>
      </x:c>
      <x:c r="J182" s="102" t="n">
        <x:v>-0.0002979409538779501</x:v>
      </x:c>
      <x:c r="K182" s="102" t="n">
        <x:v>-0.00006338201841809516</x:v>
      </x:c>
      <x:c r="L182" s="102" t="n">
        <x:v>-0.002872210960102758</x:v>
      </x:c>
      <x:c r="M182" s="102" t="n">
        <x:v>-0.0009243021276594367</x:v>
      </x:c>
      <x:c r="N182" s="102" t="n">
        <x:v>-0.0022325290776857836</x:v>
      </x:c>
      <x:c r="O182" s="102" t="n">
        <x:v>-0.0019850495840574587</x:v>
      </x:c>
      <x:c r="P182" s="102" t="n">
        <x:v>-0.003523999696552503</x:v>
      </x:c>
      <x:c r="Q182" s="102" t="n">
        <x:v>-0.000004554434001406445</x:v>
      </x:c>
      <x:c r="R182" s="102" t="n">
        <x:v>-0.0007691815208332133</x:v>
      </x:c>
      <x:c r="S182" s="102" t="n">
        <x:v>-0.0035652147968296684</x:v>
      </x:c>
      <x:c r="T182" s="102" t="n">
        <x:v>0</x:v>
      </x:c>
      <x:c r="U182" s="102" t="n">
        <x:v>-0.007747623919473444</x:v>
      </x:c>
      <x:c r="V182" s="105" t="n">
        <x:f>C182-U182</x:f>
        <x:v>8.673617379884035e-19</x:v>
      </x:c>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56" t="str">
        <x:v>2019-07</x:v>
      </x:c>
      <x:c r="B183" s="102" t="n">
        <x:v>-0.01667448539020988</x:v>
      </x:c>
      <x:c r="C183" s="102" t="n">
        <x:v>-0.017938489658345057</x:v>
      </x:c>
      <x:c r="D183" s="102" t="n">
        <x:v>0.0012640042681351764</x:v>
      </x:c>
      <x:c r="E183" s="104" t="n">
        <x:v>3206.600322580648</x:v>
      </x:c>
      <x:c r="F183" s="104" t="n">
        <x:v>3202.549726611305</x:v>
      </x:c>
      <x:c r="G183" s="102" t="n">
        <x:v>0.0036109531956773125</x:v>
      </x:c>
      <x:c r="H183" s="102" t="n">
        <x:v>0.0001778443302240077</x:v>
      </x:c>
      <x:c r="I183" s="102" t="n">
        <x:v>0.0001320996941649992</x:v>
      </x:c>
      <x:c r="J183" s="102" t="n">
        <x:v>-0.00009931365129265298</x:v>
      </x:c>
      <x:c r="K183" s="102" t="n">
        <x:v>-0.00032915135654120527</x:v>
      </x:c>
      <x:c r="L183" s="102" t="n">
        <x:v>-0.0019000291342669694</x:v>
      </x:c>
      <x:c r="M183" s="102" t="n">
        <x:v>-0.0029561764620068863</x:v>
      </x:c>
      <x:c r="N183" s="102" t="n">
        <x:v>-0.004675731007356981</x:v>
      </x:c>
      <x:c r="O183" s="102" t="n">
        <x:v>-0.0020356125038177957</x:v>
      </x:c>
      <x:c r="P183" s="102" t="n">
        <x:v>-0.004360062448854502</x:v>
      </x:c>
      <x:c r="Q183" s="102" t="n">
        <x:v>-0.000043866944819999734</x:v>
      </x:c>
      <x:c r="R183" s="102" t="n">
        <x:v>-0.0008997379830404347</x:v>
      </x:c>
      <x:c r="S183" s="102" t="n">
        <x:v>-0.004559705386413948</x:v>
      </x:c>
      <x:c r="T183" s="102" t="n">
        <x:v>0</x:v>
      </x:c>
      <x:c r="U183" s="102" t="n">
        <x:v>-0.017938489658345054</x:v>
      </x:c>
      <x:c r="V183" s="105" t="n">
        <x:f>C183-U183</x:f>
        <x:v>-3.469446951953614e-18</x:v>
      </x:c>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56" t="str">
        <x:v>2019-08</x:v>
      </x:c>
      <x:c r="B184" s="102" t="n">
        <x:v>0.06171477452456031</x:v>
      </x:c>
      <x:c r="C184" s="102" t="n">
        <x:v>0.043160529263343864</x:v>
      </x:c>
      <x:c r="D184" s="102" t="n">
        <x:v>0.018554245261216448</x:v>
      </x:c>
      <x:c r="E184" s="104" t="n">
        <x:v>3410.7290322580675</x:v>
      </x:c>
      <x:c r="F184" s="104" t="n">
        <x:v>3348.029003875335</x:v>
      </x:c>
      <x:c r="G184" s="102" t="n">
        <x:v>0.0036109531956773125</x:v>
      </x:c>
      <x:c r="H184" s="102" t="n">
        <x:v>0.003000990195762016</x:v>
      </x:c>
      <x:c r="I184" s="102" t="n">
        <x:v>0.00048183159170695123</x:v>
      </x:c>
      <x:c r="J184" s="102" t="n">
        <x:v>0.00019862730258530154</x:v>
      </x:c>
      <x:c r="K184" s="102" t="n">
        <x:v>-0.00023169052708958958</x:v>
      </x:c>
      <x:c r="L184" s="102" t="n">
        <x:v>0.010918434570590173</x:v>
      </x:c>
      <x:c r="M184" s="102" t="n">
        <x:v>0.006030792920191868</x:v>
      </x:c>
      <x:c r="N184" s="102" t="n">
        <x:v>0.006421644571101018</x:v>
      </x:c>
      <x:c r="O184" s="102" t="n">
        <x:v>0.00034029294940485265</x:v>
      </x:c>
      <x:c r="P184" s="102" t="n">
        <x:v>0.0008366189989080146</x:v>
      </x:c>
      <x:c r="Q184" s="102" t="n">
        <x:v>0.0000775144012353952</x:v>
      </x:c>
      <x:c r="R184" s="102" t="n">
        <x:v>-0.0010033816285397218</x:v>
      </x:c>
      <x:c r="S184" s="102" t="n">
        <x:v>0.012477900721810277</x:v>
      </x:c>
      <x:c r="T184" s="102" t="n">
        <x:v>0</x:v>
      </x:c>
      <x:c r="U184" s="102" t="n">
        <x:v>0.043160529263343864</x:v>
      </x:c>
      <x:c r="V184" s="105" t="n">
        <x:f>C184-U184</x:f>
        <x:v>0</x:v>
      </x:c>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56" t="str">
        <x:v>2019-09</x:v>
      </x:c>
      <x:c r="B185" s="102" t="n">
        <x:v>-0.0033103479107019496</x:v>
      </x:c>
      <x:c r="C185" s="102" t="n">
        <x:v>-0.0012726010215744167</x:v>
      </x:c>
      <x:c r="D185" s="102" t="n">
        <x:v>-0.002037746889127533</x:v>
      </x:c>
      <x:c r="E185" s="104" t="n">
        <x:v>3399.457</x:v>
      </x:c>
      <x:c r="F185" s="104" t="n">
        <x:v>3406.391295696712</x:v>
      </x:c>
      <x:c r="G185" s="102" t="n">
        <x:v>0.0036109531956773125</x:v>
      </x:c>
      <x:c r="H185" s="102" t="n">
        <x:v>-0.0023492004409484293</x:v>
      </x:c>
      <x:c r="I185" s="102" t="n">
        <x:v>0.0006592469233150089</x:v>
      </x:c>
      <x:c r="J185" s="102" t="n">
        <x:v>-0.002681468584901569</x:v>
      </x:c>
      <x:c r="K185" s="102" t="n">
        <x:v>-0.000024838475640129254</x:v>
      </x:c>
      <x:c r="L185" s="102" t="n">
        <x:v>0.0011949749923322061</x:v>
      </x:c>
      <x:c r="M185" s="102" t="n">
        <x:v>-0.003374289731066956</x:v>
      </x:c>
      <x:c r="N185" s="102" t="n">
        <x:v>-0.0007341238032374759</x:v>
      </x:c>
      <x:c r="O185" s="102" t="n">
        <x:v>-0.0026994583717675383</x:v>
      </x:c>
      <x:c r="P185" s="102" t="n">
        <x:v>0.004939914207959385</x:v>
      </x:c>
      <x:c r="Q185" s="102" t="n">
        <x:v>-0.000014129822788733774</x:v>
      </x:c>
      <x:c r="R185" s="102" t="n">
        <x:v>-0.001017012008585582</x:v>
      </x:c>
      <x:c r="S185" s="102" t="n">
        <x:v>0.0012168308980780827</x:v>
      </x:c>
      <x:c r="T185" s="102" t="n">
        <x:v>0</x:v>
      </x:c>
      <x:c r="U185" s="102" t="n">
        <x:v>-0.0012726010215744184</x:v>
      </x:c>
      <x:c r="V185" s="105" t="n">
        <x:f>C185-U185</x:f>
        <x:v>1.734723475976807e-18</x:v>
      </x:c>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56" t="str">
        <x:v>2019-10</x:v>
      </x:c>
      <x:c r="B186" s="102" t="n">
        <x:v>0.009909567223182592</x:v>
      </x:c>
      <x:c r="C186" s="102" t="n">
        <x:v>-0.0059429527052234565</x:v>
      </x:c>
      <x:c r="D186" s="102" t="n">
        <x:v>0.01585251992840605</x:v>
      </x:c>
      <x:c r="E186" s="104" t="n">
        <x:v>3433.3116129032264</x:v>
      </x:c>
      <x:c r="F186" s="104" t="n">
        <x:v>3379.3141012578685</x:v>
      </x:c>
      <x:c r="G186" s="102" t="n">
        <x:v>0.0036109531956773125</x:v>
      </x:c>
      <x:c r="H186" s="102" t="n">
        <x:v>0.0019217902813380365</x:v>
      </x:c>
      <x:c r="I186" s="102" t="n">
        <x:v>0.00028579628265317815</x:v>
      </x:c>
      <x:c r="J186" s="102" t="n">
        <x:v>-0.0008938228616338547</x:v>
      </x:c>
      <x:c r="K186" s="102" t="n">
        <x:v>-0.0002299914061855796</x:v>
      </x:c>
      <x:c r="L186" s="102" t="n">
        <x:v>-0.003092759967960714</x:v>
      </x:c>
      <x:c r="M186" s="102" t="n">
        <x:v>-0.00010123700910615598</x:v>
      </x:c>
      <x:c r="N186" s="102" t="n">
        <x:v>-0.00004588273770234067</x:v>
      </x:c>
      <x:c r="O186" s="102" t="n">
        <x:v>0.0005343764945779811</x:v>
      </x:c>
      <x:c r="P186" s="102" t="n">
        <x:v>-0.004447338426223632</x:v>
      </x:c>
      <x:c r="Q186" s="102" t="n">
        <x:v>0.00005412116506287196</x:v>
      </x:c>
      <x:c r="R186" s="102" t="n">
        <x:v>-0.0010638329270899604</x:v>
      </x:c>
      <x:c r="S186" s="102" t="n">
        <x:v>-0.002475124788630599</x:v>
      </x:c>
      <x:c r="T186" s="102" t="n">
        <x:v>0</x:v>
      </x:c>
      <x:c r="U186" s="102" t="n">
        <x:v>-0.005942952705223456</x:v>
      </x:c>
      <x:c r="V186" s="105" t="n">
        <x:f>C186-U186</x:f>
        <x:v>-8.673617379884035e-19</x:v>
      </x:c>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56" t="str">
        <x:v>2019-11</x:v>
      </x:c>
      <x:c r="B187" s="102" t="n">
        <x:v>-0.009316707111683087</x:v>
      </x:c>
      <x:c r="C187" s="102" t="n">
        <x:v>0.001992851949318395</x:v>
      </x:c>
      <x:c r="D187" s="102" t="n">
        <x:v>-0.011309559061001482</x:v>
      </x:c>
      <x:c r="E187" s="104" t="n">
        <x:v>3401.473000000001</x:v>
      </x:c>
      <x:c r="F187" s="104" t="n">
        <x:v>3440.1605168026813</x:v>
      </x:c>
      <x:c r="G187" s="102" t="n">
        <x:v>0.0036109531956773125</x:v>
      </x:c>
      <x:c r="H187" s="102" t="n">
        <x:v>-0.00215291713446032</x:v>
      </x:c>
      <x:c r="I187" s="102" t="n">
        <x:v>-0.0001734916565379358</x:v>
      </x:c>
      <x:c r="J187" s="102" t="n">
        <x:v>-0.002085586677145664</x:v>
      </x:c>
      <x:c r="K187" s="102" t="n">
        <x:v>0.0002628972496325108</x:v>
      </x:c>
      <x:c r="L187" s="102" t="n">
        <x:v>-0.001003340431695736</x:v>
      </x:c>
      <x:c r="M187" s="102" t="n">
        <x:v>-0.003584395049393172</x:v>
      </x:c>
      <x:c r="N187" s="102" t="n">
        <x:v>0.002792418654827499</x:v>
      </x:c>
      <x:c r="O187" s="102" t="n">
        <x:v>-0.0009189422425496855</x:v>
      </x:c>
      <x:c r="P187" s="102" t="n">
        <x:v>-0.002848755365412028</x:v>
      </x:c>
      <x:c r="Q187" s="102" t="n">
        <x:v>-0.00005979478949355374</x:v>
      </x:c>
      <x:c r="R187" s="102" t="n">
        <x:v>-0.0010602222718294313</x:v>
      </x:c>
      <x:c r="S187" s="102" t="n">
        <x:v>0.0092140284676986</x:v>
      </x:c>
      <x:c r="T187" s="102" t="n">
        <x:v>0</x:v>
      </x:c>
      <x:c r="U187" s="102" t="n">
        <x:v>0.001992851949318395</x:v>
      </x:c>
      <x:c r="V187" s="105" t="n">
        <x:f>C187-U187</x:f>
        <x:v>0</x:v>
      </x:c>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56" t="str">
        <x:v>2019-12</x:v>
      </x:c>
      <x:c r="B188" s="102" t="n">
        <x:v>-0.006909762176782408</x:v>
      </x:c>
      <x:c r="C188" s="102" t="n">
        <x:v>-0.004608515647219557</x:v>
      </x:c>
      <x:c r="D188" s="102" t="n">
        <x:v>-0.002301246529562851</x:v>
      </x:c>
      <x:c r="E188" s="104" t="n">
        <x:v>3378.0506451612882</x:v>
      </x:c>
      <x:c r="F188" s="104" t="n">
        <x:v>3385.8333239818803</x:v>
      </x:c>
      <x:c r="G188" s="102" t="n">
        <x:v>0.0036109531956773125</x:v>
      </x:c>
      <x:c r="H188" s="102" t="n">
        <x:v>-0.0023228110427955277</x:v>
      </x:c>
      <x:c r="I188" s="102" t="n">
        <x:v>-0.0004054867275963266</x:v>
      </x:c>
      <x:c r="J188" s="102" t="n">
        <x:v>-0.0027807822361942216</x:v>
      </x:c>
      <x:c r="K188" s="102" t="n">
        <x:v>0.00006950592010152922</x:v>
      </x:c>
      <x:c r="L188" s="102" t="n">
        <x:v>-0.003503266127759288</x:v>
      </x:c>
      <x:c r="M188" s="102" t="n">
        <x:v>0.0015948879471232881</x:v>
      </x:c>
      <x:c r="N188" s="102" t="n">
        <x:v>-0.0006687956862822803</x:v>
      </x:c>
      <x:c r="O188" s="102" t="n">
        <x:v>0.0005634493798229276</x:v>
      </x:c>
      <x:c r="P188" s="102" t="n">
        <x:v>0.005380624423591967</x:v>
      </x:c>
      <x:c r="Q188" s="102" t="n">
        <x:v>0.00004760731740372827</x:v>
      </x:c>
      <x:c r="R188" s="102" t="n">
        <x:v>-0.0009124794794764206</x:v>
      </x:c>
      <x:c r="S188" s="102" t="n">
        <x:v>-0.0052819225308362435</x:v>
      </x:c>
      <x:c r="T188" s="102" t="n">
        <x:v>0</x:v>
      </x:c>
      <x:c r="U188" s="102" t="n">
        <x:v>-0.004608515647219555</x:v>
      </x:c>
      <x:c r="V188" s="105" t="n">
        <x:f>C188-U188</x:f>
        <x:v>-1.734723475976807e-18</x:v>
      </x:c>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56" t="str">
        <x:v>2020-01</x:v>
      </x:c>
      <x:c r="B189" s="102" t="n">
        <x:v>-0.01999136436821125</x:v>
      </x:c>
      <x:c r="C189" s="102" t="n">
        <x:v>-0.012486032751733317</x:v>
      </x:c>
      <x:c r="D189" s="102" t="n">
        <x:v>-0.0075053316164779334</x:v>
      </x:c>
      <x:c r="E189" s="104" t="n">
        <x:v>3311.1893548387106</x:v>
      </x:c>
      <x:c r="F189" s="104" t="n">
        <x:v>3336.1344223976403</x:v>
      </x:c>
      <x:c r="G189" s="102" t="n">
        <x:v>0.0036109531956773125</x:v>
      </x:c>
      <x:c r="H189" s="102" t="n">
        <x:v>0.002064377847761348</x:v>
      </x:c>
      <x:c r="I189" s="102" t="n">
        <x:v>0.0003543426244588078</x:v>
      </x:c>
      <x:c r="J189" s="102" t="n">
        <x:v>0</x:v>
      </x:c>
      <x:c r="K189" s="102" t="n">
        <x:v>0.0003156937784034119</x:v>
      </x:c>
      <x:c r="L189" s="102" t="n">
        <x:v>-0.003416233080052903</x:v>
      </x:c>
      <x:c r="M189" s="102" t="n">
        <x:v>0.00022598161124957907</x:v>
      </x:c>
      <x:c r="N189" s="102" t="n">
        <x:v>-0.001482310927152333</x:v>
      </x:c>
      <x:c r="O189" s="102" t="n">
        <x:v>-0.0009193781943634583</x:v>
      </x:c>
      <x:c r="P189" s="102" t="n">
        <x:v>-0.011786799697850915</x:v>
      </x:c>
      <x:c r="Q189" s="102" t="n">
        <x:v>-0.000025239012625414793</x:v>
      </x:c>
      <x:c r="R189" s="102" t="n">
        <x:v>-0.0007678197690120316</x:v>
      </x:c>
      <x:c r="S189" s="102" t="n">
        <x:v>-0.0006596011282267212</x:v>
      </x:c>
      <x:c r="T189" s="102" t="n">
        <x:v>0</x:v>
      </x:c>
      <x:c r="U189" s="102" t="n">
        <x:v>-0.012486032751733317</x:v>
      </x:c>
      <x:c r="V189" s="105" t="n">
        <x:f>C189-U189</x:f>
        <x:v>0</x:v>
      </x:c>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56" t="str">
        <x:v>2020-02</x:v>
      </x:c>
      <x:c r="B190" s="102" t="n">
        <x:v>0.02971352396540361</x:v>
      </x:c>
      <x:c r="C190" s="102" t="n">
        <x:v>0.037965128548060105</x:v>
      </x:c>
      <x:c r="D190" s="102" t="n">
        <x:v>-0.008251604582656495</x:v>
      </x:c>
      <x:c r="E190" s="104" t="n">
        <x:v>3411.052758620691</x:v>
      </x:c>
      <x:c r="F190" s="104" t="n">
        <x:v>3439.315864816728</x:v>
      </x:c>
      <x:c r="G190" s="102" t="n">
        <x:v>0.0036109531956773125</x:v>
      </x:c>
      <x:c r="H190" s="102" t="n">
        <x:v>0.005070923051294913</x:v>
      </x:c>
      <x:c r="I190" s="102" t="n">
        <x:v>-0.00030836472925414594</x:v>
      </x:c>
      <x:c r="J190" s="102" t="n">
        <x:v>0</x:v>
      </x:c>
      <x:c r="K190" s="102" t="n">
        <x:v>0.00025448936835590355</x:v>
      </x:c>
      <x:c r="L190" s="102" t="n">
        <x:v>0.00773111112221552</x:v>
      </x:c>
      <x:c r="M190" s="102" t="n">
        <x:v>0.005810791713961757</x:v>
      </x:c>
      <x:c r="N190" s="102" t="n">
        <x:v>0.00018352285261712928</x:v>
      </x:c>
      <x:c r="O190" s="102" t="n">
        <x:v>-0.001250324244828416</x:v>
      </x:c>
      <x:c r="P190" s="102" t="n">
        <x:v>0.010792576744937265</x:v>
      </x:c>
      <x:c r="Q190" s="102" t="n">
        <x:v>-0.000038862177731811556</x:v>
      </x:c>
      <x:c r="R190" s="102" t="n">
        <x:v>-0.0005736172325533964</x:v>
      </x:c>
      <x:c r="S190" s="102" t="n">
        <x:v>0.006681928883368073</x:v>
      </x:c>
      <x:c r="T190" s="102" t="n">
        <x:v>0</x:v>
      </x:c>
      <x:c r="U190" s="102" t="n">
        <x:v>0.0379651285480601</x:v>
      </x:c>
      <x:c r="V190" s="105" t="n">
        <x:f>C190-U190</x:f>
        <x:v>6.938893903907228e-18</x:v>
      </x:c>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56" t="str">
        <x:v>2020-03</x:v>
      </x:c>
      <x:c r="B191" s="102" t="n">
        <x:v>0.1280531686447226</x:v>
      </x:c>
      <x:c r="C191" s="102" t="n">
        <x:v>0.13548197935555595</x:v>
      </x:c>
      <x:c r="D191" s="102" t="n">
        <x:v>-0.0074288107108333445</x:v>
      </x:c>
      <x:c r="E191" s="104" t="n">
        <x:v>3877.048387096777</x:v>
      </x:c>
      <x:c r="F191" s="104" t="n">
        <x:v>3905.9574928675565</x:v>
      </x:c>
      <x:c r="G191" s="102" t="n">
        <x:v>0.0036109531956773125</x:v>
      </x:c>
      <x:c r="H191" s="102" t="n">
        <x:v>0.020912706073429363</x:v>
      </x:c>
      <x:c r="I191" s="102" t="n">
        <x:v>0.00021539866266386557</x:v>
      </x:c>
      <x:c r="J191" s="102" t="n">
        <x:v>0.0002979409538779545</x:v>
      </x:c>
      <x:c r="K191" s="102" t="n">
        <x:v>-0.0003300247205678799</x:v>
      </x:c>
      <x:c r="L191" s="102" t="n">
        <x:v>0.022733948160779192</x:v>
      </x:c>
      <x:c r="M191" s="102" t="n">
        <x:v>0.018321646696913895</x:v>
      </x:c>
      <x:c r="N191" s="102" t="n">
        <x:v>0.03238737402123453</x:v>
      </x:c>
      <x:c r="O191" s="102" t="n">
        <x:v>-0.0009069592857292889</x:v>
      </x:c>
      <x:c r="P191" s="102" t="n">
        <x:v>0.0069340555600919075</x:v>
      </x:c>
      <x:c r="Q191" s="102" t="n">
        <x:v>0.00007053295811888532</x:v>
      </x:c>
      <x:c r="R191" s="102" t="n">
        <x:v>-0.0007001067679583662</x:v>
      </x:c>
      <x:c r="S191" s="102" t="n">
        <x:v>0.033085216559654324</x:v>
      </x:c>
      <x:c r="T191" s="102" t="n">
        <x:v>-0.001150702712629733</x:v>
      </x:c>
      <x:c r="U191" s="102" t="n">
        <x:v>0.13548197935555595</x:v>
      </x:c>
      <x:c r="V191" s="105" t="n">
        <x:f>C191-U191</x:f>
        <x:v>0</x:v>
      </x:c>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56" t="str">
        <x:v>2020-04</x:v>
      </x:c>
      <x:c r="B192" s="102" t="n">
        <x:v>0.025552524192967496</x:v>
      </x:c>
      <x:c r="C192" s="102" t="n">
        <x:v>0.04853249774694261</x:v>
      </x:c>
      <x:c r="D192" s="102" t="n">
        <x:v>-0.022979973553975117</x:v>
      </x:c>
      <x:c r="E192" s="104" t="n">
        <x:v>3977.3933333333357</x:v>
      </x:c>
      <x:c r="F192" s="104" t="n">
        <x:v>4069.852007130493</x:v>
      </x:c>
      <x:c r="G192" s="102" t="n">
        <x:v>0.0036109531956773125</x:v>
      </x:c>
      <x:c r="H192" s="102" t="n">
        <x:v>0.020980480213729318</x:v>
      </x:c>
      <x:c r="I192" s="102" t="n">
        <x:v>0.001398346084278416</x:v>
      </x:c>
      <x:c r="J192" s="102" t="n">
        <x:v>-0.008915802953143448</x:v>
      </x:c>
      <x:c r="K192" s="102" t="n">
        <x:v>-0.00014037870216694693</x:v>
      </x:c>
      <x:c r="L192" s="102" t="n">
        <x:v>0.01158109760045791</x:v>
      </x:c>
      <x:c r="M192" s="102" t="n">
        <x:v>-0.005626378351302888</x:v>
      </x:c>
      <x:c r="N192" s="102" t="n">
        <x:v>0.0016001104710319837</x:v>
      </x:c>
      <x:c r="O192" s="102" t="n">
        <x:v>0.001437248071989619</x:v>
      </x:c>
      <x:c r="P192" s="102" t="n">
        <x:v>0.007667147027827955</x:v>
      </x:c>
      <x:c r="Q192" s="102" t="n">
        <x:v>0.00008892043637228623</x:v>
      </x:c>
      <x:c r="R192" s="102" t="n">
        <x:v>-0.001169994381123529</x:v>
      </x:c>
      <x:c r="S192" s="102" t="n">
        <x:v>0.01717145174594437</x:v>
      </x:c>
      <x:c r="T192" s="102" t="n">
        <x:v>-0.001150702712629733</x:v>
      </x:c>
      <x:c r="U192" s="102" t="n">
        <x:v>0.04853249774694261</x:v>
      </x:c>
      <x:c r="V192" s="105" t="n">
        <x:f>C192-U192</x:f>
        <x:v>0</x:v>
      </x:c>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56" t="str">
        <x:v>2020-05</x:v>
      </x:c>
      <x:c r="B193" s="102" t="n">
        <x:v>-0.030428083722435773</x:v>
      </x:c>
      <x:c r="C193" s="102" t="n">
        <x:v>-0.06083686798724548</x:v>
      </x:c>
      <x:c r="D193" s="102" t="n">
        <x:v>0.03040878426480971</x:v>
      </x:c>
      <x:c r="E193" s="104" t="n">
        <x:v>3858.1916129032247</x:v>
      </x:c>
      <x:c r="F193" s="104" t="n">
        <x:v>3742.634575444583</x:v>
      </x:c>
      <x:c r="G193" s="102" t="n">
        <x:v>0.0036109531956773125</x:v>
      </x:c>
      <x:c r="H193" s="102" t="n">
        <x:v>-0.017736005288904434</x:v>
      </x:c>
      <x:c r="I193" s="102" t="n">
        <x:v>-0.002190531187665641</x:v>
      </x:c>
      <x:c r="J193" s="102" t="n">
        <x:v>-0.0013135031299995742</x:v>
      </x:c>
      <x:c r="K193" s="102" t="n">
        <x:v>0.0008894280048914143</x:v>
      </x:c>
      <x:c r="L193" s="102" t="n">
        <x:v>-0.0033908598702589786</x:v>
      </x:c>
      <x:c r="M193" s="102" t="n">
        <x:v>-0.00499134541609562</x:v>
      </x:c>
      <x:c r="N193" s="102" t="n">
        <x:v>-0.01608617622000298</x:v>
      </x:c>
      <x:c r="O193" s="102" t="n">
        <x:v>-0.002223390929857914</x:v>
      </x:c>
      <x:c r="P193" s="102" t="n">
        <x:v>-0.010394193884632872</x:v>
      </x:c>
      <x:c r="Q193" s="102" t="n">
        <x:v>-0.00020480070361041428</x:v>
      </x:c>
      <x:c r="R193" s="102" t="n">
        <x:v>-0.001610067355575548</x:v>
      </x:c>
      <x:c r="S193" s="102" t="n">
        <x:v>-0.004045672488580516</x:v>
      </x:c>
      <x:c r="T193" s="102" t="n">
        <x:v>-0.001150702712629733</x:v>
      </x:c>
      <x:c r="U193" s="102" t="n">
        <x:v>-0.06083686798724548</x:v>
      </x:c>
      <x:c r="V193" s="105" t="n">
        <x:f>C193-U193</x:f>
        <x:v>0</x:v>
      </x:c>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56" t="str">
        <x:v>2020-06</x:v>
      </x:c>
      <x:c r="B194" s="102" t="n">
        <x:v>-0.04143225035767806</x:v>
      </x:c>
      <x:c r="C194" s="102" t="n">
        <x:v>-0.053051116921332235</x:v>
      </x:c>
      <x:c r="D194" s="102" t="n">
        <x:v>0.011618866563654177</x:v>
      </x:c>
      <x:c r="E194" s="104" t="n">
        <x:v>3701.6043333333364</x:v>
      </x:c>
      <x:c r="F194" s="104" t="n">
        <x:v>3658.8447763434046</x:v>
      </x:c>
      <x:c r="G194" s="102" t="n">
        <x:v>0.0036109531956773125</x:v>
      </x:c>
      <x:c r="H194" s="102" t="n">
        <x:v>-0.01191921342688973</x:v>
      </x:c>
      <x:c r="I194" s="102" t="n">
        <x:v>-0.0018651463474163084</x:v>
      </x:c>
      <x:c r="J194" s="102" t="n">
        <x:v>0.004485132639022935</x:v>
      </x:c>
      <x:c r="K194" s="102" t="n">
        <x:v>0.0006819964192632647</x:v>
      </x:c>
      <x:c r="L194" s="102" t="n">
        <x:v>-0.015198932010288902</x:v>
      </x:c>
      <x:c r="M194" s="102" t="n">
        <x:v>0.00012187944873917522</x:v>
      </x:c>
      <x:c r="N194" s="102" t="n">
        <x:v>0.0009592179159981312</x:v>
      </x:c>
      <x:c r="O194" s="102" t="n">
        <x:v>-0.010271273004608004</x:v>
      </x:c>
      <x:c r="P194" s="102" t="n">
        <x:v>-0.004979233068076887</x:v>
      </x:c>
      <x:c r="Q194" s="102" t="n">
        <x:v>-0.00018136691352812616</x:v>
      </x:c>
      <x:c r="R194" s="102" t="n">
        <x:v>-0.0013849931464577812</x:v>
      </x:c>
      <x:c r="S194" s="102" t="n">
        <x:v>-0.017110138622767314</x:v>
      </x:c>
      <x:c r="T194" s="102" t="n">
        <x:v>0</x:v>
      </x:c>
      <x:c r="U194" s="102" t="n">
        <x:v>-0.053051116921332235</x:v>
      </x:c>
      <x:c r="V194" s="105" t="n">
        <x:f>C194-U194</x:f>
        <x:v>0</x:v>
      </x:c>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56" t="str">
        <x:v>2020-07</x:v>
      </x:c>
      <x:c r="B195" s="102" t="n">
        <x:v>-0.011886200364893185</x:v>
      </x:c>
      <x:c r="C195" s="102" t="n">
        <x:v>-0.000655002918917732</x:v>
      </x:c>
      <x:c r="D195" s="102" t="n">
        <x:v>-0.011231197445975453</x:v>
      </x:c>
      <x:c r="E195" s="104" t="n">
        <x:v>3657.866774193545</x:v>
      </x:c>
      <x:c r="F195" s="104" t="n">
        <x:v>3699.180565564459</x:v>
      </x:c>
      <x:c r="G195" s="102" t="n">
        <x:v>0.0036109531956773125</x:v>
      </x:c>
      <x:c r="H195" s="102" t="n">
        <x:v>-0.0026953354610634653</x:v>
      </x:c>
      <x:c r="I195" s="102" t="n">
        <x:v>0.000006227292182897556</x:v>
      </x:c>
      <x:c r="J195" s="102" t="n">
        <x:v>0.005744173444120089</x:v>
      </x:c>
      <x:c r="K195" s="102" t="n">
        <x:v>0.0011816800020254654</x:v>
      </x:c>
      <x:c r="L195" s="102" t="n">
        <x:v>-0.005186764409046104</x:v>
      </x:c>
      <x:c r="M195" s="102" t="n">
        <x:v>-0.0025120687710549726</x:v>
      </x:c>
      <x:c r="N195" s="102" t="n">
        <x:v>-0.00022074052460208053</x:v>
      </x:c>
      <x:c r="O195" s="102" t="n">
        <x:v>-0.0010496070493790375</x:v>
      </x:c>
      <x:c r="P195" s="102" t="n">
        <x:v>0.001757061544348062</x:v>
      </x:c>
      <x:c r="Q195" s="102" t="n">
        <x:v>0.00026615053352417725</x:v>
      </x:c>
      <x:c r="R195" s="102" t="n">
        <x:v>-0.0007879757079892009</x:v>
      </x:c>
      <x:c r="S195" s="102" t="n">
        <x:v>-0.0007687570076608738</x:v>
      </x:c>
      <x:c r="T195" s="102" t="n">
        <x:v>0</x:v>
      </x:c>
      <x:c r="U195" s="102" t="n">
        <x:v>-0.0006550029189177321</x:v>
      </x:c>
      <x:c r="V195" s="105" t="n">
        <x:f>C195-U195</x:f>
        <x:v>1.0842021724855044e-19</x:v>
      </x:c>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56" t="str">
        <x:v>2020-08</x:v>
      </x:c>
      <x:c r="B196" s="102" t="n">
        <x:v>0.03364403840717323</x:v>
      </x:c>
      <x:c r="C196" s="102" t="n">
        <x:v>-0.008930285047025505</x:v>
      </x:c>
      <x:c r="D196" s="102" t="n">
        <x:v>0.04257432345419873</x:v>
      </x:c>
      <x:c r="E196" s="104" t="n">
        <x:v>3783.0258064516115</x:v>
      </x:c>
      <x:c r="F196" s="104" t="n">
        <x:v>3625.346405441985</x:v>
      </x:c>
      <x:c r="G196" s="102" t="n">
        <x:v>0.0036109531956773125</x:v>
      </x:c>
      <x:c r="H196" s="102" t="n">
        <x:v>-0.0012840742480136294</x:v>
      </x:c>
      <x:c r="I196" s="102" t="n">
        <x:v>-0.00020703823069753819</x:v>
      </x:c>
      <x:c r="J196" s="102" t="n">
        <x:v>0.0025821549336089156</x:v>
      </x:c>
      <x:c r="K196" s="102" t="n">
        <x:v>0.0005738804506442725</x:v>
      </x:c>
      <x:c r="L196" s="102" t="n">
        <x:v>-0.009279128743641432</x:v>
      </x:c>
      <x:c r="M196" s="102" t="n">
        <x:v>-0.0027040508861428114</x:v>
      </x:c>
      <x:c r="N196" s="102" t="n">
        <x:v>-0.003210771266939282</x:v>
      </x:c>
      <x:c r="O196" s="102" t="n">
        <x:v>-0.001389407758872626</x:v>
      </x:c>
      <x:c r="P196" s="102" t="n">
        <x:v>0.0012984385450659352</x:v>
      </x:c>
      <x:c r="Q196" s="102" t="n">
        <x:v>0.000010495439780521223</x:v>
      </x:c>
      <x:c r="R196" s="102" t="n">
        <x:v>-0.0004997291120379423</x:v>
      </x:c>
      <x:c r="S196" s="102" t="n">
        <x:v>0.0015679926345427968</x:v>
      </x:c>
      <x:c r="T196" s="102" t="n">
        <x:v>0</x:v>
      </x:c>
      <x:c r="U196" s="102" t="n">
        <x:v>-0.008930285047025506</x:v>
      </x:c>
      <x:c r="V196" s="105" t="n">
        <x:f>C196-U196</x:f>
        <x:v>1.734723475976807e-18</x:v>
      </x:c>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56" t="str">
        <x:v>2020-09</x:v>
      </x:c>
      <x:c r="B197" s="102" t="n">
        <x:v>-0.008710906761237425</x:v>
      </x:c>
      <x:c r="C197" s="102" t="n">
        <x:v>0.0016202695029786955</x:v>
      </x:c>
      <x:c r="D197" s="102" t="n">
        <x:v>-0.01033117626421612</x:v>
      </x:c>
      <x:c r="E197" s="104" t="n">
        <x:v>3750.215333333332</x:v>
      </x:c>
      <x:c r="F197" s="104" t="n">
        <x:v>3789.160296216069</x:v>
      </x:c>
      <x:c r="G197" s="102" t="n">
        <x:v>0.0036109531956773125</x:v>
      </x:c>
      <x:c r="H197" s="102" t="n">
        <x:v>0.0033806817896848335</x:v>
      </x:c>
      <x:c r="I197" s="102" t="n">
        <x:v>-0.0004155638306618333</x:v>
      </x:c>
      <x:c r="J197" s="102" t="n">
        <x:v>0.002421971625072387</x:v>
      </x:c>
      <x:c r="K197" s="102" t="n">
        <x:v>0.0004978918159719882</x:v>
      </x:c>
      <x:c r="L197" s="102" t="n">
        <x:v>-0.003235021450604225</x:v>
      </x:c>
      <x:c r="M197" s="102" t="n">
        <x:v>0.0032072151982611586</x:v>
      </x:c>
      <x:c r="N197" s="102" t="n">
        <x:v>-0.004324029756815538</x:v>
      </x:c>
      <x:c r="O197" s="102" t="n">
        <x:v>-0.000845160647409427</x:v>
      </x:c>
      <x:c r="P197" s="102" t="n">
        <x:v>0.004413457858700512</x:v>
      </x:c>
      <x:c r="Q197" s="102" t="n">
        <x:v>0.000002543156605931126</x:v>
      </x:c>
      <x:c r="R197" s="102" t="n">
        <x:v>-0.0002856612329612497</x:v>
      </x:c>
      <x:c r="S197" s="102" t="n">
        <x:v>-0.006809008218543151</x:v>
      </x:c>
      <x:c r="T197" s="102" t="n">
        <x:v>0</x:v>
      </x:c>
      <x:c r="U197" s="102" t="n">
        <x:v>0.0016202695029786975</x:v>
      </x:c>
      <x:c r="V197" s="105" t="n">
        <x:f>C197-U197</x:f>
        <x:v>-1.951563910473908e-18</x:v>
      </x:c>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56" t="str">
        <x:v>2020-10</x:v>
      </x:c>
      <x:c r="B198" s="102" t="n">
        <x:v>0.022040188777129543</x:v>
      </x:c>
      <x:c r="C198" s="102" t="n">
        <x:v>0.01263891630282659</x:v>
      </x:c>
      <x:c r="D198" s="102" t="n">
        <x:v>0.009401272474302953</x:v>
      </x:c>
      <x:c r="E198" s="104" t="n">
        <x:v>3833.7883870967758</x:v>
      </x:c>
      <x:c r="F198" s="104" t="n">
        <x:v>3797.914790807911</x:v>
      </x:c>
      <x:c r="G198" s="102" t="n">
        <x:v>0.0036109531956773125</x:v>
      </x:c>
      <x:c r="H198" s="102" t="n">
        <x:v>0.0006713534424252656</x:v>
      </x:c>
      <x:c r="I198" s="102" t="n">
        <x:v>0.0006598600202970588</x:v>
      </x:c>
      <x:c r="J198" s="102" t="n">
        <x:v>0.0027919950677917755</x:v>
      </x:c>
      <x:c r="K198" s="102" t="n">
        <x:v>0.0009698648870931212</x:v>
      </x:c>
      <x:c r="L198" s="102" t="n">
        <x:v>-0.003041274732624247</x:v>
      </x:c>
      <x:c r="M198" s="102" t="n">
        <x:v>0.0010659289162417624</x:v>
      </x:c>
      <x:c r="N198" s="102" t="n">
        <x:v>0.0002815741448533958</x:v>
      </x:c>
      <x:c r="O198" s="102" t="n">
        <x:v>0.0008191239088303012</x:v>
      </x:c>
      <x:c r="P198" s="102" t="n">
        <x:v>0.002137562022208581</x:v>
      </x:c>
      <x:c r="Q198" s="102" t="n">
        <x:v>0.00004555635089540254</x:v>
      </x:c>
      <x:c r="R198" s="102" t="n">
        <x:v>-0.00030136918524811704</x:v>
      </x:c>
      <x:c r="S198" s="102" t="n">
        <x:v>0.002927788264384978</x:v>
      </x:c>
      <x:c r="T198" s="102" t="n">
        <x:v>0</x:v>
      </x:c>
      <x:c r="U198" s="102" t="n">
        <x:v>0.012638916302826592</x:v>
      </x:c>
      <x:c r="V198" s="105" t="n">
        <x:f>C198-U198</x:f>
        <x:v>-1.734723475976807e-18</x:v>
      </x:c>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56" t="str">
        <x:v>2020-11</x:v>
      </x:c>
      <x:c r="B199" s="102" t="n">
        <x:v>-0.03941287935321114</x:v>
      </x:c>
      <x:c r="C199" s="102" t="n">
        <x:v>-0.02373484564985112</x:v>
      </x:c>
      <x:c r="D199" s="102" t="n">
        <x:v>-0.01567803370336002</x:v>
      </x:c>
      <x:c r="E199" s="104" t="n">
        <x:v>3685.6266666666693</x:v>
      </x:c>
      <x:c r="F199" s="104" t="n">
        <x:v>3743.8653871541587</x:v>
      </x:c>
      <x:c r="G199" s="102" t="n">
        <x:v>0.0036109531956773125</x:v>
      </x:c>
      <x:c r="H199" s="102" t="n">
        <x:v>-0.0022841668838665995</x:v>
      </x:c>
      <x:c r="I199" s="102" t="n">
        <x:v>0.00045590032209877405</x:v>
      </x:c>
      <x:c r="J199" s="102" t="n">
        <x:v>0.002234557154084641</x:v>
      </x:c>
      <x:c r="K199" s="102" t="n">
        <x:v>-0.0008244828434665188</x:v>
      </x:c>
      <x:c r="L199" s="102" t="n">
        <x:v>-0.009166490757549042</x:v>
      </x:c>
      <x:c r="M199" s="102" t="n">
        <x:v>-0.0027784530034431244</x:v>
      </x:c>
      <x:c r="N199" s="102" t="n">
        <x:v>-0.0019736590246503443</x:v>
      </x:c>
      <x:c r="O199" s="102" t="n">
        <x:v>0.00023658712428772344</x:v>
      </x:c>
      <x:c r="P199" s="102" t="n">
        <x:v>-0.0007739578109196406</x:v>
      </x:c>
      <x:c r="Q199" s="102" t="n">
        <x:v>-0.00001165703414424506</x:v>
      </x:c>
      <x:c r="R199" s="102" t="n">
        <x:v>-0.00028294746228400884</x:v>
      </x:c>
      <x:c r="S199" s="102" t="n">
        <x:v>-0.012177028625676049</x:v>
      </x:c>
      <x:c r="T199" s="102" t="n">
        <x:v>0</x:v>
      </x:c>
      <x:c r="U199" s="102" t="n">
        <x:v>-0.02373484564985112</x:v>
      </x:c>
      <x:c r="V199" s="105" t="n">
        <x:f>C199-U199</x:f>
        <x:v>0</x:v>
      </x:c>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56" t="str">
        <x:v>2020-12</x:v>
      </x:c>
      <x:c r="B200" s="102" t="n">
        <x:v>-0.061402709775904896</x:v>
      </x:c>
      <x:c r="C200" s="102" t="n">
        <x:v>-0.03989179623112276</x:v>
      </x:c>
      <x:c r="D200" s="102" t="n">
        <x:v>-0.021510913544782136</x:v>
      </x:c>
      <x:c r="E200" s="104" t="n">
        <x:v>3466.127096774195</x:v>
      </x:c>
      <x:c r="F200" s="104" t="n">
        <x:v>3541.494360297499</x:v>
      </x:c>
      <x:c r="G200" s="102" t="n">
        <x:v>0.0036109531956773125</x:v>
      </x:c>
      <x:c r="H200" s="102" t="n">
        <x:v>-0.005969079470489898</x:v>
      </x:c>
      <x:c r="I200" s="102" t="n">
        <x:v>0.0005476833606789716</x:v>
      </x:c>
      <x:c r="J200" s="102" t="n">
        <x:v>0</x:v>
      </x:c>
      <x:c r="K200" s="102" t="n">
        <x:v>0.00038703776606760585</x:v>
      </x:c>
      <x:c r="L200" s="102" t="n">
        <x:v>-0.012195235785474719</x:v>
      </x:c>
      <x:c r="M200" s="102" t="n">
        <x:v>-0.0018814667707220231</x:v>
      </x:c>
      <x:c r="N200" s="102" t="n">
        <x:v>-0.002423724157649283</x:v>
      </x:c>
      <x:c r="O200" s="102" t="n">
        <x:v>-0.0012917128034962376</x:v>
      </x:c>
      <x:c r="P200" s="102" t="n">
        <x:v>-0.007339195562689618</x:v>
      </x:c>
      <x:c r="Q200" s="102" t="n">
        <x:v>-0.00008612728140905721</x:v>
      </x:c>
      <x:c r="R200" s="102" t="n">
        <x:v>-0.00015855041926288743</x:v>
      </x:c>
      <x:c r="S200" s="102" t="n">
        <x:v>-0.013092378302352924</x:v>
      </x:c>
      <x:c r="T200" s="102" t="n">
        <x:v>0</x:v>
      </x:c>
      <x:c r="U200" s="102" t="n">
        <x:v>-0.03989179623112276</x:v>
      </x:c>
      <x:c r="V200" s="105" t="n">
        <x:f>C200-U200</x:f>
        <x:v>0</x:v>
      </x:c>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56" t="str">
        <x:v>2021-01</x:v>
      </x:c>
      <x:c r="B201" s="102" t="n">
        <x:v>0.007242489972684396</x:v>
      </x:c>
      <x:c r="C201" s="102" t="n">
        <x:v>-0.008721523856397155</x:v>
      </x:c>
      <x:c r="D201" s="102" t="n">
        <x:v>0.015964013829081553</x:v>
      </x:c>
      <x:c r="E201" s="104" t="n">
        <x:v>3491.321612903226</x:v>
      </x:c>
      <x:c r="F201" s="104" t="n">
        <x:v>3436.0286296462828</x:v>
      </x:c>
      <x:c r="G201" s="102" t="n">
        <x:v>0.0036109531956773125</x:v>
      </x:c>
      <x:c r="H201" s="102" t="n">
        <x:v>-0.0034526992512818023</x:v>
      </x:c>
      <x:c r="I201" s="102" t="n">
        <x:v>0.00010194068427316679</x:v>
      </x:c>
      <x:c r="J201" s="102" t="n">
        <x:v>0</x:v>
      </x:c>
      <x:c r="K201" s="102" t="n">
        <x:v>0.0008334344081843103</x:v>
      </x:c>
      <x:c r="L201" s="102" t="n">
        <x:v>-0.002310990587343178</x:v>
      </x:c>
      <x:c r="M201" s="102" t="n">
        <x:v>0.0018232784815980785</x:v>
      </x:c>
      <x:c r="N201" s="102" t="n">
        <x:v>-0.0027692902177351335</x:v>
      </x:c>
      <x:c r="O201" s="102" t="n">
        <x:v>-0.0069590111768992316</x:v>
      </x:c>
      <x:c r="P201" s="102" t="n">
        <x:v>-0.00027860832145937866</x:v>
      </x:c>
      <x:c r="Q201" s="102" t="n">
        <x:v>-0.0001518236433174816</x:v>
      </x:c>
      <x:c r="R201" s="102" t="n">
        <x:v>-0.00013000409202106676</x:v>
      </x:c>
      <x:c r="S201" s="102" t="n">
        <x:v>0.0009612966639272479</x:v>
      </x:c>
      <x:c r="T201" s="102" t="n">
        <x:v>0</x:v>
      </x:c>
      <x:c r="U201" s="102" t="n">
        <x:v>-0.008721523856397156</x:v>
      </x:c>
      <x:c r="V201" s="105" t="n">
        <x:f>C201-U201</x:f>
        <x:v>1.734723475976807e-18</x:v>
      </x:c>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56" t="str">
        <x:v>2021-02</x:v>
      </x:c>
      <x:c r="B202" s="102" t="n">
        <x:v>0.01793526192511763</x:v>
      </x:c>
      <x:c r="C202" s="102" t="n">
        <x:v>0.00704975045788363</x:v>
      </x:c>
      <x:c r="D202" s="102" t="n">
        <x:v>0.010885511467233999</x:v>
      </x:c>
      <x:c r="E202" s="104" t="n">
        <x:v>3554.504285714289</x:v>
      </x:c>
      <x:c r="F202" s="104" t="n">
        <x:v>3516.021520839444</x:v>
      </x:c>
      <x:c r="G202" s="102" t="n">
        <x:v>0.0036109531956773125</x:v>
      </x:c>
      <x:c r="H202" s="102" t="n">
        <x:v>-0.004853464230419334</x:v>
      </x:c>
      <x:c r="I202" s="102" t="n">
        <x:v>0.00008856182768434732</x:v>
      </x:c>
      <x:c r="J202" s="102" t="n">
        <x:v>0</x:v>
      </x:c>
      <x:c r="K202" s="102" t="n">
        <x:v>-0.0006505430784401151</x:v>
      </x:c>
      <x:c r="L202" s="102" t="n">
        <x:v>0.002970497685634687</x:v>
      </x:c>
      <x:c r="M202" s="102" t="n">
        <x:v>-0.0012512954051603134</x:v>
      </x:c>
      <x:c r="N202" s="102" t="n">
        <x:v>0.0002985609129363775</x:v>
      </x:c>
      <x:c r="O202" s="102" t="n">
        <x:v>0.00011482177537687453</x:v>
      </x:c>
      <x:c r="P202" s="102" t="n">
        <x:v>0.00460193953252991</x:v>
      </x:c>
      <x:c r="Q202" s="102" t="n">
        <x:v>0.00020874046853324444</x:v>
      </x:c>
      <x:c r="R202" s="102" t="n">
        <x:v>-0.0001025380099443301</x:v>
      </x:c>
      <x:c r="S202" s="102" t="n">
        <x:v>0.0020135157834749694</x:v>
      </x:c>
      <x:c r="T202" s="102" t="n">
        <x:v>0</x:v>
      </x:c>
      <x:c r="U202" s="102" t="n">
        <x:v>0.00704975045788363</x:v>
      </x:c>
      <x:c r="V202" s="105" t="n">
        <x:f>C202-U202</x:f>
        <x:v>0</x:v>
      </x:c>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56" t="str">
        <x:v>2021-03</x:v>
      </x:c>
      <x:c r="B203" s="102" t="n">
        <x:v>0.01625873258315025</x:v>
      </x:c>
      <x:c r="C203" s="102" t="n">
        <x:v>0.02104599675947984</x:v>
      </x:c>
      <x:c r="D203" s="102" t="n">
        <x:v>-0.004787264176329593</x:v>
      </x:c>
      <x:c r="E203" s="104" t="n">
        <x:v>3612.768387096772</x:v>
      </x:c>
      <x:c r="F203" s="104" t="n">
        <x:v>3630.105128443961</x:v>
      </x:c>
      <x:c r="G203" s="102" t="n">
        <x:v>0.0036109531956773125</x:v>
      </x:c>
      <x:c r="H203" s="102" t="n">
        <x:v>-0.001856073718128815</x:v>
      </x:c>
      <x:c r="I203" s="102" t="n">
        <x:v>0.0006315453460697951</x:v>
      </x:c>
      <x:c r="J203" s="102" t="n">
        <x:v>-0.00009931365129265077</x:v>
      </x:c>
      <x:c r="K203" s="102" t="n">
        <x:v>0.000557021454668751</x:v>
      </x:c>
      <x:c r="L203" s="102" t="n">
        <x:v>0.007338343122555497</x:v>
      </x:c>
      <x:c r="M203" s="102" t="n">
        <x:v>-0.0009799087697211926</x:v>
      </x:c>
      <x:c r="N203" s="102" t="n">
        <x:v>0.008790456436259858</x:v>
      </x:c>
      <x:c r="O203" s="102" t="n">
        <x:v>0.00009867349019437971</x:v>
      </x:c>
      <x:c r="P203" s="102" t="n">
        <x:v>-0.002752740383296775</x:v>
      </x:c>
      <x:c r="Q203" s="102" t="n">
        <x:v>0.000024772768940620293</x:v>
      </x:c>
      <x:c r="R203" s="102" t="n">
        <x:v>0.000057486205782396147</x:v>
      </x:c>
      <x:c r="S203" s="102" t="n">
        <x:v>0.005624781261770664</x:v>
      </x:c>
      <x:c r="T203" s="102" t="n">
        <x:v>0</x:v>
      </x:c>
      <x:c r="U203" s="102" t="n">
        <x:v>0.02104599675947984</x:v>
      </x:c>
      <x:c r="V203" s="105" t="n">
        <x:f>C203-U203</x:f>
        <x:v>0</x:v>
      </x:c>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56" t="str">
        <x:v>2021-04</x:v>
      </x:c>
      <x:c r="B204" s="102" t="n">
        <x:v>0.010465403052451805</x:v>
      </x:c>
      <x:c r="C204" s="102" t="n">
        <x:v>-0.003538022092744365</x:v>
      </x:c>
      <x:c r="D204" s="102" t="n">
        <x:v>0.014003425145196171</x:v>
      </x:c>
      <x:c r="E204" s="104" t="n">
        <x:v>3650.776</x:v>
      </x:c>
      <x:c r="F204" s="104" t="n">
        <x:v>3600.0089176794263</x:v>
      </x:c>
      <x:c r="G204" s="102" t="n">
        <x:v>0.0036109531956773125</x:v>
      </x:c>
      <x:c r="H204" s="102" t="n">
        <x:v>0.0003504593610820311</x:v>
      </x:c>
      <x:c r="I204" s="102" t="n">
        <x:v>0.000688596086029946</x:v>
      </x:c>
      <x:c r="J204" s="102" t="n">
        <x:v>-0.00009931365129265077</x:v>
      </x:c>
      <x:c r="K204" s="102" t="n">
        <x:v>-0.0001194776389000925</x:v>
      </x:c>
      <x:c r="L204" s="102" t="n">
        <x:v>-0.003906285891389632</x:v>
      </x:c>
      <x:c r="M204" s="102" t="n">
        <x:v>-0.003846109138884436</x:v>
      </x:c>
      <x:c r="N204" s="102" t="n">
        <x:v>0.0023898640665940504</x:v>
      </x:c>
      <x:c r="O204" s="102" t="n">
        <x:v>0.00028689633928850953</x:v>
      </x:c>
      <x:c r="P204" s="102" t="n">
        <x:v>0.005214638519059313</x:v>
      </x:c>
      <x:c r="Q204" s="102" t="n">
        <x:v>0.00003152584230944025</x:v>
      </x:c>
      <x:c r="R204" s="102" t="n">
        <x:v>0.0005641712983056111</x:v>
      </x:c>
      <x:c r="S204" s="102" t="n">
        <x:v>-0.008703940480623767</x:v>
      </x:c>
      <x:c r="T204" s="102" t="n">
        <x:v>0</x:v>
      </x:c>
      <x:c r="U204" s="102" t="n">
        <x:v>-0.0035380220927443643</x:v>
      </x:c>
      <x:c r="V204" s="105" t="n">
        <x:f>C204-U204</x:f>
        <x:v>-8.673617379884035e-19</x:v>
      </x:c>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56" t="str">
        <x:v>2021-05</x:v>
      </x:c>
      <x:c r="B205" s="102" t="n">
        <x:v>0.02298640274513808</x:v>
      </x:c>
      <x:c r="C205" s="102" t="n">
        <x:v>0.0018203680696569824</x:v>
      </x:c>
      <x:c r="D205" s="102" t="n">
        <x:v>0.0211660346754811</x:v>
      </x:c>
      <x:c r="E205" s="104" t="n">
        <x:v>3735.66612903226</x:v>
      </x:c>
      <x:c r="F205" s="104" t="n">
        <x:v>3657.42780859299</x:v>
      </x:c>
      <x:c r="G205" s="102" t="n">
        <x:v>0.0036109531956773125</x:v>
      </x:c>
      <x:c r="H205" s="102" t="n">
        <x:v>-0.0021145399460693296</x:v>
      </x:c>
      <x:c r="I205" s="102" t="n">
        <x:v>0.0031309193451972343</x:v>
      </x:c>
      <x:c r="J205" s="102" t="n">
        <x:v>0</x:v>
      </x:c>
      <x:c r="K205" s="102" t="n">
        <x:v>-0.00021914614979195117</x:v>
      </x:c>
      <x:c r="L205" s="102" t="n">
        <x:v>-0.007950072318624163</x:v>
      </x:c>
      <x:c r="M205" s="102" t="n">
        <x:v>0.0021445605901724276</x:v>
      </x:c>
      <x:c r="N205" s="102" t="n">
        <x:v>0.009383342978000083</x:v>
      </x:c>
      <x:c r="O205" s="102" t="n">
        <x:v>-0.0007091244397020852</x:v>
      </x:c>
      <x:c r="P205" s="102" t="n">
        <x:v>-0.0016093706262075493</x:v>
      </x:c>
      <x:c r="Q205" s="102" t="n">
        <x:v>-0.00005252478093128112</x:v>
      </x:c>
      <x:c r="R205" s="102" t="n">
        <x:v>0.0011205466249378838</x:v>
      </x:c>
      <x:c r="S205" s="102" t="n">
        <x:v>-0.0049151764030016</x:v>
      </x:c>
      <x:c r="T205" s="102" t="n">
        <x:v>0</x:v>
      </x:c>
      <x:c r="U205" s="102" t="n">
        <x:v>0.0018203680696569826</x:v>
      </x:c>
      <x:c r="V205" s="105" t="n">
        <x:f>C205-U205</x:f>
        <x:v>-2.168404344971009e-19</x:v>
      </x:c>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56" t="str">
        <x:v>2021-06</x:v>
      </x:c>
      <x:c r="B206" s="102" t="n">
        <x:v>-0.013644046436954937</x:v>
      </x:c>
      <x:c r="C206" s="102" t="n">
        <x:v>-0.005028335921064296</x:v>
      </x:c>
      <x:c r="D206" s="102" t="n">
        <x:v>-0.008615710515890641</x:v>
      </x:c>
      <x:c r="E206" s="104" t="n">
        <x:v>3685.042666666665</x:v>
      </x:c>
      <x:c r="F206" s="104" t="n">
        <x:v>3716.929092382935</x:v>
      </x:c>
      <x:c r="G206" s="102" t="n">
        <x:v>0.0036109531956773125</x:v>
      </x:c>
      <x:c r="H206" s="102" t="n">
        <x:v>-0.002471627670114461</x:v>
      </x:c>
      <x:c r="I206" s="102" t="n">
        <x:v>0.002584273851779427</x:v>
      </x:c>
      <x:c r="J206" s="102" t="n">
        <x:v>-0.00009931365129265077</x:v>
      </x:c>
      <x:c r="K206" s="102" t="n">
        <x:v>-0.0002535084476636409</x:v>
      </x:c>
      <x:c r="L206" s="102" t="n">
        <x:v>0.002055521391652119</x:v>
      </x:c>
      <x:c r="M206" s="102" t="n">
        <x:v>-0.0025984923486376144</x:v>
      </x:c>
      <x:c r="N206" s="102" t="n">
        <x:v>-0.002994010194013386</x:v>
      </x:c>
      <x:c r="O206" s="102" t="n">
        <x:v>-0.00022504557331311755</x:v>
      </x:c>
      <x:c r="P206" s="102" t="n">
        <x:v>-0.002989658607020964</x:v>
      </x:c>
      <x:c r="Q206" s="102" t="n">
        <x:v>0.000006598165489928442</x:v>
      </x:c>
      <x:c r="R206" s="102" t="n">
        <x:v>0.0008564560616812905</x:v>
      </x:c>
      <x:c r="S206" s="102" t="n">
        <x:v>-0.00251048209528854</x:v>
      </x:c>
      <x:c r="T206" s="102" t="n">
        <x:v>0</x:v>
      </x:c>
      <x:c r="U206" s="102" t="n">
        <x:v>-0.005028335921064297</x:v>
      </x:c>
      <x:c r="V206" s="105" t="n">
        <x:f>C206-U206</x:f>
        <x:v>8.673617379884035e-19</x:v>
      </x:c>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56" t="str">
        <x:v>2021-07</x:v>
      </x:c>
      <x:c r="B207" s="102" t="n">
        <x:v>0.038430746223143686</x:v>
      </x:c>
      <x:c r="C207" s="102" t="n">
        <x:v>0.02596560304846718</x:v>
      </x:c>
      <x:c r="D207" s="102" t="n">
        <x:v>0.012465143174676507</x:v>
      </x:c>
      <x:c r="E207" s="104" t="n">
        <x:v>3829.418064516129</x:v>
      </x:c>
      <x:c r="F207" s="104" t="n">
        <x:v>3781.9800948483967</x:v>
      </x:c>
      <x:c r="G207" s="102" t="n">
        <x:v>0.0036109531956773125</x:v>
      </x:c>
      <x:c r="H207" s="102" t="n">
        <x:v>-0.0010205758807638734</x:v>
      </x:c>
      <x:c r="I207" s="102" t="n">
        <x:v>0.001391499923561725</x:v>
      </x:c>
      <x:c r="J207" s="102" t="n">
        <x:v>0.00019862730258530154</x:v>
      </x:c>
      <x:c r="K207" s="102" t="n">
        <x:v>-0.000141378215011759</x:v>
      </x:c>
      <x:c r="L207" s="102" t="n">
        <x:v>0.008287900131497715</x:v>
      </x:c>
      <x:c r="M207" s="102" t="n">
        <x:v>0.0006354350950519323</x:v>
      </x:c>
      <x:c r="N207" s="102" t="n">
        <x:v>0.0030001032738692433</x:v>
      </x:c>
      <x:c r="O207" s="102" t="n">
        <x:v>0.0008695808768399036</x:v>
      </x:c>
      <x:c r="P207" s="102" t="n">
        <x:v>0.0036528724981493552</x:v>
      </x:c>
      <x:c r="Q207" s="102" t="n">
        <x:v>0.00000976416195260301</x:v>
      </x:c>
      <x:c r="R207" s="102" t="n">
        <x:v>0.0008929991469376931</x:v>
      </x:c>
      <x:c r="S207" s="102" t="n">
        <x:v>0.004577821538120028</x:v>
      </x:c>
      <x:c r="T207" s="102" t="n">
        <x:v>0</x:v>
      </x:c>
      <x:c r="U207" s="102" t="n">
        <x:v>0.02596560304846718</x:v>
      </x:c>
      <x:c r="V207" s="105" t="n">
        <x:f>C207-U207</x:f>
        <x:v>0</x:v>
      </x:c>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56" t="str">
        <x:v>2021-08</x:v>
      </x:c>
      <x:c r="B208" s="102" t="n">
        <x:v>0.013427295095880254</x:v>
      </x:c>
      <x:c r="C208" s="102" t="n">
        <x:v>0.021759979225968125</x:v>
      </x:c>
      <x:c r="D208" s="102" t="n">
        <x:v>-0.008332684130087871</x:v>
      </x:c>
      <x:c r="E208" s="104" t="n">
        <x:v>3881.1835483870987</x:v>
      </x:c>
      <x:c r="F208" s="104" t="n">
        <x:v>3913.659342303866</x:v>
      </x:c>
      <x:c r="G208" s="102" t="n">
        <x:v>0.0036109531956773125</x:v>
      </x:c>
      <x:c r="H208" s="102" t="n">
        <x:v>0.002290672489347136</x:v>
      </x:c>
      <x:c r="I208" s="102" t="n">
        <x:v>0.0012393633315005534</x:v>
      </x:c>
      <x:c r="J208" s="102" t="n">
        <x:v>0.00019862730258530154</x:v>
      </x:c>
      <x:c r="K208" s="102" t="n">
        <x:v>-0.00025634737058045253</x:v>
      </x:c>
      <x:c r="L208" s="102" t="n">
        <x:v>0.0018771286919510852</x:v>
      </x:c>
      <x:c r="M208" s="102" t="n">
        <x:v>-0.00012646547662651487</x:v>
      </x:c>
      <x:c r="N208" s="102" t="n">
        <x:v>0.0027518256563088535</x:v>
      </x:c>
      <x:c r="O208" s="102" t="n">
        <x:v>0.00014965960145112137</x:v>
      </x:c>
      <x:c r="P208" s="102" t="n">
        <x:v>0.003826937067415677</x:v>
      </x:c>
      <x:c r="Q208" s="102" t="n">
        <x:v>0.00001501353909702477</x:v>
      </x:c>
      <x:c r="R208" s="102" t="n">
        <x:v>0.0007060044213163175</x:v>
      </x:c>
      <x:c r="S208" s="102" t="n">
        <x:v>0.005476606776524713</x:v>
      </x:c>
      <x:c r="T208" s="102" t="n">
        <x:v>0</x:v>
      </x:c>
      <x:c r="U208" s="102" t="n">
        <x:v>0.021759979225968132</x:v>
      </x:c>
      <x:c r="V208" s="105" t="n">
        <x:f>C208-U208</x:f>
        <x:v>-6.938893903907228e-18</x:v>
      </x:c>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56" t="str">
        <x:v>2021-09</x:v>
      </x:c>
      <x:c r="B209" s="102" t="n">
        <x:v>-0.015487273198761642</x:v>
      </x:c>
      <x:c r="C209" s="102" t="n">
        <x:v>-0.009929575085764647</x:v>
      </x:c>
      <x:c r="D209" s="102" t="n">
        <x:v>-0.005557698112996995</x:v>
      </x:c>
      <x:c r="E209" s="104" t="n">
        <x:v>3821.5376666666657</x:v>
      </x:c>
      <x:c r="F209" s="104" t="n">
        <x:v>3842.8357486792997</x:v>
      </x:c>
      <x:c r="G209" s="102" t="n">
        <x:v>0.0036109531956773125</x:v>
      </x:c>
      <x:c r="H209" s="102" t="n">
        <x:v>-0.0019484567820004764</x:v>
      </x:c>
      <x:c r="I209" s="102" t="n">
        <x:v>0.0008430863233045838</x:v>
      </x:c>
      <x:c r="J209" s="102" t="n">
        <x:v>-0.00009931365129265077</x:v>
      </x:c>
      <x:c r="K209" s="102" t="n">
        <x:v>-0.0012571315084697594</x:v>
      </x:c>
      <x:c r="L209" s="102" t="n">
        <x:v>0.0002276683298395524</x:v>
      </x:c>
      <x:c r="M209" s="102" t="n">
        <x:v>0.0021446590675051743</x:v>
      </x:c>
      <x:c r="N209" s="102" t="n">
        <x:v>0.0014724942984956847</x:v>
      </x:c>
      <x:c r="O209" s="102" t="n">
        <x:v>0.00012266231797647731</x:v>
      </x:c>
      <x:c r="P209" s="102" t="n">
        <x:v>-0.015409727217317858</x:v>
      </x:c>
      <x:c r="Q209" s="102" t="n">
        <x:v>-0.00002701357431654766</x:v>
      </x:c>
      <x:c r="R209" s="102" t="n">
        <x:v>0.00041130532319995567</x:v>
      </x:c>
      <x:c r="S209" s="102" t="n">
        <x:v>-0.000020761208366094096</x:v>
      </x:c>
      <x:c r="T209" s="102" t="n">
        <x:v>0</x:v>
      </x:c>
      <x:c r="U209" s="102" t="n">
        <x:v>-0.009929575085764647</x:v>
      </x:c>
      <x:c r="V209" s="105" t="n">
        <x:f>C209-U209</x:f>
        <x:v>0</x:v>
      </x:c>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56" t="str">
        <x:v>2021-10</x:v>
      </x:c>
      <x:c r="B210" s="102" t="n">
        <x:v>-0.012680609294143608</x:v>
      </x:c>
      <x:c r="C210" s="102" t="n">
        <x:v>0.02050335437610969</x:v>
      </x:c>
      <x:c r="D210" s="102" t="n">
        <x:v>-0.033183963670253294</x:v>
      </x:c>
      <x:c r="E210" s="104" t="n">
        <x:v>3773.3841935483883</x:v>
      </x:c>
      <x:c r="F210" s="104" t="n">
        <x:v>3900.700789239363</x:v>
      </x:c>
      <x:c r="G210" s="102" t="n">
        <x:v>0.0036109531956773125</x:v>
      </x:c>
      <x:c r="H210" s="102" t="n">
        <x:v>-0.004335016535046846</x:v>
      </x:c>
      <x:c r="I210" s="102" t="n">
        <x:v>0.0002297996718814312</x:v>
      </x:c>
      <x:c r="J210" s="102" t="n">
        <x:v>-0.00009931365129265077</x:v>
      </x:c>
      <x:c r="K210" s="102" t="n">
        <x:v>-0.00040987529617809965</x:v>
      </x:c>
      <x:c r="L210" s="102" t="n">
        <x:v>0.003413752259267565</x:v>
      </x:c>
      <x:c r="M210" s="102" t="n">
        <x:v>-0.0017615116357556776</x:v>
      </x:c>
      <x:c r="N210" s="102" t="n">
        <x:v>0.000980185755395714</x:v>
      </x:c>
      <x:c r="O210" s="102" t="n">
        <x:v>0.00048329222180926287</x:v>
      </x:c>
      <x:c r="P210" s="102" t="n">
        <x:v>0.008103820665900877</x:v>
      </x:c>
      <x:c r="Q210" s="102" t="n">
        <x:v>0.00001682037548018664</x:v>
      </x:c>
      <x:c r="R210" s="102" t="n">
        <x:v>0.0004455252825141068</x:v>
      </x:c>
      <x:c r="S210" s="102" t="n">
        <x:v>0.00982492206645651</x:v>
      </x:c>
      <x:c r="T210" s="102" t="n">
        <x:v>0</x:v>
      </x:c>
      <x:c r="U210" s="102" t="n">
        <x:v>0.020503354376109693</x:v>
      </x:c>
      <x:c r="V210" s="105" t="n">
        <x:f>C210-U210</x:f>
        <x:v>-3.469446951953614e-18</x:v>
      </x:c>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56" t="str">
        <x:v>2021-11</x:v>
      </x:c>
      <x:c r="B211" s="102" t="n">
        <x:v>0.03374785990134299</x:v>
      </x:c>
      <x:c r="C211" s="102" t="n">
        <x:v>0.014015067135084212</x:v>
      </x:c>
      <x:c r="D211" s="102" t="n">
        <x:v>0.019732792766258778</x:v>
      </x:c>
      <x:c r="E211" s="104" t="n">
        <x:v>3902.900999999997</x:v>
      </x:c>
      <x:c r="F211" s="104" t="n">
        <x:v>3826.640751739053</x:v>
      </x:c>
      <x:c r="G211" s="102" t="n">
        <x:v>0.0036109531956773125</x:v>
      </x:c>
      <x:c r="H211" s="102" t="n">
        <x:v>0.0011432072388293892</x:v>
      </x:c>
      <x:c r="I211" s="102" t="n">
        <x:v>0.00013384306682410243</x:v>
      </x:c>
      <x:c r="J211" s="102" t="n">
        <x:v>-0.002482841282316267</x:v>
      </x:c>
      <x:c r="K211" s="102" t="n">
        <x:v>0.0013169478182417935</x:v>
      </x:c>
      <x:c r="L211" s="102" t="n">
        <x:v>0.005068047149259152</x:v>
      </x:c>
      <x:c r="M211" s="102" t="n">
        <x:v>0.0005874599227142964</x:v>
      </x:c>
      <x:c r="N211" s="102" t="n">
        <x:v>0.005445182364506095</x:v>
      </x:c>
      <x:c r="O211" s="102" t="n">
        <x:v>-0.000273404094699445</x:v>
      </x:c>
      <x:c r="P211" s="102" t="n">
        <x:v>-0.0023572883558695894</x:v>
      </x:c>
      <x:c r="Q211" s="102" t="n">
        <x:v>-0.00004407959632114516</x:v>
      </x:c>
      <x:c r="R211" s="102" t="n">
        <x:v>0.0008271485870044757</x:v>
      </x:c>
      <x:c r="S211" s="102" t="n">
        <x:v>0.001039891121234041</x:v>
      </x:c>
      <x:c r="T211" s="102" t="n">
        <x:v>0</x:v>
      </x:c>
      <x:c r="U211" s="102" t="n">
        <x:v>0.014015067135084212</x:v>
      </x:c>
      <x:c r="V211" s="105" t="n">
        <x:f>C211-U211</x:f>
        <x:v>0</x:v>
      </x:c>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56" t="str">
        <x:v>2021-12</x:v>
      </x:c>
      <x:c r="B212" s="102" t="n">
        <x:v>0.015314889678268884</x:v>
      </x:c>
      <x:c r="C212" s="102" t="n">
        <x:v>0.028584071852330032</x:v>
      </x:c>
      <x:c r="D212" s="102" t="n">
        <x:v>-0.013269182174061148</x:v>
      </x:c>
      <x:c r="E212" s="104" t="n">
        <x:v>3963.133548387098</x:v>
      </x:c>
      <x:c r="F212" s="104" t="n">
        <x:v>4016.071534576523</x:v>
      </x:c>
      <x:c r="G212" s="102" t="n">
        <x:v>0.0036109531956773125</x:v>
      </x:c>
      <x:c r="H212" s="102" t="n">
        <x:v>0.003353646453217177</x:v>
      </x:c>
      <x:c r="I212" s="102" t="n">
        <x:v>0.0016250225302630256</x:v>
      </x:c>
      <x:c r="J212" s="102" t="n">
        <x:v>-0.004800159812478117</x:v>
      </x:c>
      <x:c r="K212" s="102" t="n">
        <x:v>0.0003659139738866626</x:v>
      </x:c>
      <x:c r="L212" s="102" t="n">
        <x:v>0.004424006876573957</x:v>
      </x:c>
      <x:c r="M212" s="102" t="n">
        <x:v>0.0024363683732934157</x:v>
      </x:c>
      <x:c r="N212" s="102" t="n">
        <x:v>0.000440732776239406</x:v>
      </x:c>
      <x:c r="O212" s="102" t="n">
        <x:v>0.0010034544876787385</x:v>
      </x:c>
      <x:c r="P212" s="102" t="n">
        <x:v>0.009504949824802216</x:v>
      </x:c>
      <x:c r="Q212" s="102" t="n">
        <x:v>0.00008897820410218775</x:v>
      </x:c>
      <x:c r="R212" s="102" t="n">
        <x:v>0.0007885968332290768</x:v>
      </x:c>
      <x:c r="S212" s="102" t="n">
        <x:v>0.0057416081358449755</x:v>
      </x:c>
      <x:c r="T212" s="102" t="n">
        <x:v>0</x:v>
      </x:c>
      <x:c r="U212" s="102" t="n">
        <x:v>0.02858407185233003</x:v>
      </x:c>
      <x:c r="V212" s="105" t="n">
        <x:f>C212-U212</x:f>
        <x:v>3.469446951953614e-18</x:v>
      </x:c>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56" t="str">
        <x:v>2022-01</x:v>
      </x:c>
      <x:c r="B213" s="102" t="n">
        <x:v>0.009163376321476235</x:v>
      </x:c>
      <x:c r="C213" s="102" t="n">
        <x:v>-0.01887201036047241</x:v>
      </x:c>
      <x:c r="D213" s="102" t="n">
        <x:v>0.028035386681948646</x:v>
      </x:c>
      <x:c r="E213" s="104" t="n">
        <x:v>3999.616129032256</x:v>
      </x:c>
      <x:c r="F213" s="104" t="n">
        <x:v>3889.0425727940037</x:v>
      </x:c>
      <x:c r="G213" s="102" t="n">
        <x:v>0.0036109531956773125</x:v>
      </x:c>
      <x:c r="H213" s="102" t="n">
        <x:v>-0.005816465610789296</x:v>
      </x:c>
      <x:c r="I213" s="102" t="n">
        <x:v>0.0012003705143710222</x:v>
      </x:c>
      <x:c r="J213" s="102" t="n">
        <x:v>-0.002087722454592816</x:v>
      </x:c>
      <x:c r="K213" s="102" t="n">
        <x:v>0.0003056941266567529</x:v>
      </x:c>
      <x:c r="L213" s="102" t="n">
        <x:v>-0.004165307171780337</x:v>
      </x:c>
      <x:c r="M213" s="102" t="n">
        <x:v>0.0013936804633837099</x:v>
      </x:c>
      <x:c r="N213" s="102" t="n">
        <x:v>0.006980638488178831</x:v>
      </x:c>
      <x:c r="O213" s="102" t="n">
        <x:v>-0.00018221139668665794</x:v>
      </x:c>
      <x:c r="P213" s="102" t="n">
        <x:v>-0.011844096967464447</x:v>
      </x:c>
      <x:c r="Q213" s="102" t="n">
        <x:v>-0.00004905270465683025</x:v>
      </x:c>
      <x:c r="R213" s="102" t="n">
        <x:v>0.0007169384870910139</x:v>
      </x:c>
      <x:c r="S213" s="102" t="n">
        <x:v>-0.008935429329860668</x:v>
      </x:c>
      <x:c r="T213" s="102" t="n">
        <x:v>0</x:v>
      </x:c>
      <x:c r="U213" s="102" t="n">
        <x:v>-0.01887201036047241</x:v>
      </x:c>
      <x:c r="V213" s="105" t="n">
        <x:f>C213-U213</x:f>
        <x:v>0</x:v>
      </x:c>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56" t="str">
        <x:v>2022-02</x:v>
      </x:c>
      <x:c r="B214" s="102" t="n">
        <x:v>-0.016075149710534475</x:v>
      </x:c>
      <x:c r="C214" s="102" t="n">
        <x:v>-0.007282465892041566</x:v>
      </x:c>
      <x:c r="D214" s="102" t="n">
        <x:v>-0.00879268381849291</x:v>
      </x:c>
      <x:c r="E214" s="104" t="n">
        <x:v>3935.8357142857144</x:v>
      </x:c>
      <x:c r="F214" s="104" t="n">
        <x:v>3970.594862443481</x:v>
      </x:c>
      <x:c r="G214" s="102" t="n">
        <x:v>0.0036109531956773125</x:v>
      </x:c>
      <x:c r="H214" s="102" t="n">
        <x:v>-0.004379587377758068</x:v>
      </x:c>
      <x:c r="I214" s="102" t="n">
        <x:v>0.0008511351344614543</x:v>
      </x:c>
      <x:c r="J214" s="102" t="n">
        <x:v>-0.0033638494792672022</x:v>
      </x:c>
      <x:c r="K214" s="102" t="n">
        <x:v>-0.0016389964259972748</x:v>
      </x:c>
      <x:c r="L214" s="102" t="n">
        <x:v>-0.00021539619429796294</x:v>
      </x:c>
      <x:c r="M214" s="102" t="n">
        <x:v>0.0017837892336258364</x:v>
      </x:c>
      <x:c r="N214" s="102" t="n">
        <x:v>-0.0008346984921817229</x:v>
      </x:c>
      <x:c r="O214" s="102" t="n">
        <x:v>0.0012213820484623602</x:v>
      </x:c>
      <x:c r="P214" s="102" t="n">
        <x:v>0.0037786586080644966</x:v>
      </x:c>
      <x:c r="Q214" s="102" t="n">
        <x:v>0.000004265301867704802</x:v>
      </x:c>
      <x:c r="R214" s="102" t="n">
        <x:v>0.00027371083243705644</x:v>
      </x:c>
      <x:c r="S214" s="102" t="n">
        <x:v>-0.008373832277135557</x:v>
      </x:c>
      <x:c r="T214" s="102" t="n">
        <x:v>0</x:v>
      </x:c>
      <x:c r="U214" s="102" t="n">
        <x:v>-0.007282465892041567</x:v>
      </x:c>
      <x:c r="V214" s="105" t="n">
        <x:f>C214-U214</x:f>
        <x:v>8.673617379884035e-19</x:v>
      </x:c>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56" t="str">
        <x:v>2022-03</x:v>
      </x:c>
      <x:c r="B215" s="102" t="n">
        <x:v>-0.03323685388590292</x:v>
      </x:c>
      <x:c r="C215" s="102" t="n">
        <x:v>-0.0036359674670646703</x:v>
      </x:c>
      <x:c r="D215" s="102" t="n">
        <x:v>-0.02960088641883825</x:v>
      </x:c>
      <x:c r="E215" s="104" t="n">
        <x:v>3807.170967741936</x:v>
      </x:c>
      <x:c r="F215" s="104" t="n">
        <x:v>3921.5511285545203</x:v>
      </x:c>
      <x:c r="G215" s="102" t="n">
        <x:v>0.0036109531956773125</x:v>
      </x:c>
      <x:c r="H215" s="102" t="n">
        <x:v>-0.0071166673328186365</x:v>
      </x:c>
      <x:c r="I215" s="102" t="n">
        <x:v>0.00029772098908820084</x:v>
      </x:c>
      <x:c r="J215" s="102" t="n">
        <x:v>-0.009610998512192001</x:v>
      </x:c>
      <x:c r="K215" s="102" t="n">
        <x:v>-0.00008891981881852956</x:v>
      </x:c>
      <x:c r="L215" s="102" t="n">
        <x:v>0.007006480008784447</x:v>
      </x:c>
      <x:c r="M215" s="102" t="n">
        <x:v>0.0007863229773887149</x:v>
      </x:c>
      <x:c r="N215" s="102" t="n">
        <x:v>0.005400887858353446</x:v>
      </x:c>
      <x:c r="O215" s="102" t="n">
        <x:v>-0.00007889513615660351</x:v>
      </x:c>
      <x:c r="P215" s="102" t="n">
        <x:v>0.0016101569621769537</x:v>
      </x:c>
      <x:c r="Q215" s="102" t="n">
        <x:v>-0.00002965254264607512</x:v>
      </x:c>
      <x:c r="R215" s="102" t="n">
        <x:v>-0.00006706395252726707</x:v>
      </x:c>
      <x:c r="S215" s="102" t="n">
        <x:v>-0.00535629216337463</x:v>
      </x:c>
      <x:c r="T215" s="102" t="n">
        <x:v>0</x:v>
      </x:c>
      <x:c r="U215" s="102" t="n">
        <x:v>-0.003635967467064669</x:v>
      </x:c>
      <x:c r="V215" s="105" t="n">
        <x:f>C215-U215</x:f>
        <x:v>-1.3010426069826053e-18</x:v>
      </x:c>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56" t="str">
        <x:v>2022-04</x:v>
      </x:c>
      <x:c r="B216" s="102" t="n">
        <x:v>-0.0037338680647884814</x:v>
      </x:c>
      <x:c r="C216" s="102" t="n">
        <x:v>0.0019971350467768486</x:v>
      </x:c>
      <x:c r="D216" s="102" t="n">
        <x:v>-0.00573100311156533</x:v>
      </x:c>
      <x:c r="E216" s="104" t="n">
        <x:v>3792.9819999999972</x:v>
      </x:c>
      <x:c r="F216" s="104" t="n">
        <x:v>3814.7819999104795</x:v>
      </x:c>
      <x:c r="G216" s="102" t="n">
        <x:v>0.0036109531956773125</x:v>
      </x:c>
      <x:c r="H216" s="102" t="n">
        <x:v>0.004323840484683378</x:v>
      </x:c>
      <x:c r="I216" s="102" t="n">
        <x:v>-0.0004439188296847453</x:v>
      </x:c>
      <x:c r="J216" s="102" t="n">
        <x:v>0.0011917638155118093</x:v>
      </x:c>
      <x:c r="K216" s="102" t="n">
        <x:v>0.0006214928785214469</x:v>
      </x:c>
      <x:c r="L216" s="102" t="n">
        <x:v>0.0047128269409615975</x:v>
      </x:c>
      <x:c r="M216" s="102" t="n">
        <x:v>-0.0017182383650278194</x:v>
      </x:c>
      <x:c r="N216" s="102" t="n">
        <x:v>-0.008241332032555072</x:v>
      </x:c>
      <x:c r="O216" s="102" t="n">
        <x:v>0.0010926714636173558</x:v>
      </x:c>
      <x:c r="P216" s="102" t="n">
        <x:v>0.0013695158139134201</x:v>
      </x:c>
      <x:c r="Q216" s="102" t="n">
        <x:v>0.00003758148296642574</x:v>
      </x:c>
      <x:c r="R216" s="102" t="n">
        <x:v>0.0000050526484069330874</x:v>
      </x:c>
      <x:c r="S216" s="102" t="n">
        <x:v>-0.004565074450215194</x:v>
      </x:c>
      <x:c r="T216" s="102" t="n">
        <x:v>0</x:v>
      </x:c>
      <x:c r="U216" s="102" t="n">
        <x:v>0.0019971350467768486</x:v>
      </x:c>
      <x:c r="V216" s="105" t="n">
        <x:f>C216-U216</x:f>
        <x:v>0</x:v>
      </x:c>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56" t="str">
        <x:v>2022-05</x:v>
      </x:c>
      <x:c r="B217" s="102" t="n">
        <x:v>0.05790034308190606</x:v>
      </x:c>
      <x:c r="C217" s="102" t="n">
        <x:v>0.04705656909463521</x:v>
      </x:c>
      <x:c r="D217" s="102" t="n">
        <x:v>0.01084377398727085</x:v>
      </x:c>
      <x:c r="E217" s="104" t="n">
        <x:v>4019.079354838708</x:v>
      </x:c>
      <x:c r="F217" s="104" t="n">
        <x:v>3975.732811487451</x:v>
      </x:c>
      <x:c r="G217" s="102" t="n">
        <x:v>0.0036109531956773125</x:v>
      </x:c>
      <x:c r="H217" s="102" t="n">
        <x:v>-0.0030422542959743274</x:v>
      </x:c>
      <x:c r="I217" s="102" t="n">
        <x:v>0.0003304539756233942</x:v>
      </x:c>
      <x:c r="J217" s="102" t="n">
        <x:v>-0.00864028766246061</x:v>
      </x:c>
      <x:c r="K217" s="102" t="n">
        <x:v>-0.00037191142810363967</x:v>
      </x:c>
      <x:c r="L217" s="102" t="n">
        <x:v>0.013372334168331577</x:v>
      </x:c>
      <x:c r="M217" s="102" t="n">
        <x:v>0.0031341257942162828</x:v>
      </x:c>
      <x:c r="N217" s="102" t="n">
        <x:v>0.017052160985452876</x:v>
      </x:c>
      <x:c r="O217" s="102" t="n">
        <x:v>0.0020796862515569613</x:v>
      </x:c>
      <x:c r="P217" s="102" t="n">
        <x:v>0.013504724847522454</x:v>
      </x:c>
      <x:c r="Q217" s="102" t="n">
        <x:v>0.000046445567590045114</x:v>
      </x:c>
      <x:c r="R217" s="102" t="n">
        <x:v>-0.0004941089798798845</x:v>
      </x:c>
      <x:c r="S217" s="102" t="n">
        <x:v>0.006474246675082773</x:v>
      </x:c>
      <x:c r="T217" s="102" t="n">
        <x:v>0</x:v>
      </x:c>
      <x:c r="U217" s="102" t="n">
        <x:v>0.04705656909463521</x:v>
      </x:c>
      <x:c r="V217" s="105" t="n">
        <x:f>C217-U217</x:f>
        <x:v>0</x:v>
      </x:c>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56" t="str">
        <x:v>2022-06</x:v>
      </x:c>
      <x:c r="B218" s="102" t="n">
        <x:v>-0.022218372761248162</x:v>
      </x:c>
      <x:c r="C218" s="102" t="n">
        <x:v>-0.01209398214776928</x:v>
      </x:c>
      <x:c r="D218" s="102" t="n">
        <x:v>-0.010124390613478881</x:v>
      </x:c>
      <x:c r="E218" s="104" t="n">
        <x:v>3930.766666666666</x:v>
      </x:c>
      <x:c r="F218" s="104" t="n">
        <x:v>3970.765423663972</x:v>
      </x:c>
      <x:c r="G218" s="102" t="n">
        <x:v>0.0036109531956773125</x:v>
      </x:c>
      <x:c r="H218" s="102" t="n">
        <x:v>-0.0030043076948099126</x:v>
      </x:c>
      <x:c r="I218" s="102" t="n">
        <x:v>0.0005883149014213775</x:v>
      </x:c>
      <x:c r="J218" s="102" t="n">
        <x:v>-0.005241197855315368</x:v>
      </x:c>
      <x:c r="K218" s="102" t="n">
        <x:v>-0.00008368786519786603</x:v>
      </x:c>
      <x:c r="L218" s="102" t="n">
        <x:v>0.0017226281018381747</x:v>
      </x:c>
      <x:c r="M218" s="102" t="n">
        <x:v>-0.0006377547223631335</x:v>
      </x:c>
      <x:c r="N218" s="102" t="n">
        <x:v>-0.0000886881623461914</x:v>
      </x:c>
      <x:c r="O218" s="102" t="n">
        <x:v>-0.0006094198751691897</x:v>
      </x:c>
      <x:c r="P218" s="102" t="n">
        <x:v>-0.011189284214184322</x:v>
      </x:c>
      <x:c r="Q218" s="102" t="n">
        <x:v>-0.0000530682375343311</x:v>
      </x:c>
      <x:c r="R218" s="102" t="n">
        <x:v>-0.0002421033485753353</x:v>
      </x:c>
      <x:c r="S218" s="102" t="n">
        <x:v>0.0031336336287895034</x:v>
      </x:c>
      <x:c r="T218" s="102" t="n">
        <x:v>0</x:v>
      </x:c>
      <x:c r="U218" s="102" t="n">
        <x:v>-0.012093982147769283</x:v>
      </x:c>
      <x:c r="V218" s="105" t="n">
        <x:f>C218-U218</x:f>
        <x:v>1.734723475976807e-18</x:v>
      </x:c>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56" t="str">
        <x:v>2022-07</x:v>
      </x:c>
      <x:c r="B219" s="102" t="n">
        <x:v>0.10542629179217755</x:v>
      </x:c>
      <x:c r="C219" s="102" t="n">
        <x:v>0.06491504146553842</x:v>
      </x:c>
      <x:c r="D219" s="102" t="n">
        <x:v>0.04051125032663913</x:v>
      </x:c>
      <x:c r="E219" s="104" t="n">
        <x:v>4367.805806451614</x:v>
      </x:c>
      <x:c r="F219" s="104" t="n">
        <x:v>4194.396756142642</x:v>
      </x:c>
      <x:c r="G219" s="102" t="n">
        <x:v>0.0036109531956773125</x:v>
      </x:c>
      <x:c r="H219" s="102" t="n">
        <x:v>0.003478270087121147</x:v>
      </x:c>
      <x:c r="I219" s="102" t="n">
        <x:v>0.0008701920053905688</x:v>
      </x:c>
      <x:c r="J219" s="102" t="n">
        <x:v>0.004049434039803559</x:v>
      </x:c>
      <x:c r="K219" s="102" t="n">
        <x:v>0.00020441225575193228</x:v>
      </x:c>
      <x:c r="L219" s="102" t="n">
        <x:v>0.014069348181824875</x:v>
      </x:c>
      <x:c r="M219" s="102" t="n">
        <x:v>-0.002068615305116608</x:v>
      </x:c>
      <x:c r="N219" s="102" t="n">
        <x:v>0.01865319788967933</x:v>
      </x:c>
      <x:c r="O219" s="102" t="n">
        <x:v>0.001831418456621791</x:v>
      </x:c>
      <x:c r="P219" s="102" t="n">
        <x:v>0.0027833597079180154</x:v>
      </x:c>
      <x:c r="Q219" s="102" t="n">
        <x:v>0.00002470494729798572</x:v>
      </x:c>
      <x:c r="R219" s="102" t="n">
        <x:v>-0.00031441759078993194</x:v>
      </x:c>
      <x:c r="S219" s="102" t="n">
        <x:v>0.017722783594358447</x:v>
      </x:c>
      <x:c r="T219" s="102" t="n">
        <x:v>0</x:v>
      </x:c>
      <x:c r="U219" s="102" t="n">
        <x:v>0.06491504146553842</x:v>
      </x:c>
      <x:c r="V219" s="105" t="n">
        <x:f>C219-U219</x:f>
        <x:v>0</x:v>
      </x:c>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56" t="str">
        <x:v>2022-08</x:v>
      </x:c>
      <x:c r="B220" s="102" t="n">
        <x:v>-0.010433930358697552</x:v>
      </x:c>
      <x:c r="C220" s="102" t="n">
        <x:v>-0.02796097576212739</x:v>
      </x:c>
      <x:c r="D220" s="102" t="n">
        <x:v>0.01752704540342984</x:v>
      </x:c>
      <x:c r="E220" s="104" t="n">
        <x:v>4322.469354838713</x:v>
      </x:c>
      <x:c r="F220" s="104" t="n">
        <x:v>4247.369301756355</x:v>
      </x:c>
      <x:c r="G220" s="102" t="n">
        <x:v>0.0036109531956773125</x:v>
      </x:c>
      <x:c r="H220" s="102" t="n">
        <x:v>0.0040913506716184</x:v>
      </x:c>
      <x:c r="I220" s="102" t="n">
        <x:v>0.0010338524302352676</x:v>
      </x:c>
      <x:c r="J220" s="102" t="n">
        <x:v>-0.010229306083143022</x:v>
      </x:c>
      <x:c r="K220" s="102" t="n">
        <x:v>-0.00009392077223580413</x:v>
      </x:c>
      <x:c r="L220" s="102" t="n">
        <x:v>-0.0022164984388209686</x:v>
      </x:c>
      <x:c r="M220" s="102" t="n">
        <x:v>-0.002037237805285929</x:v>
      </x:c>
      <x:c r="N220" s="102" t="n">
        <x:v>-0.007710385042452528</x:v>
      </x:c>
      <x:c r="O220" s="102" t="n">
        <x:v>-0.0007315732138016554</x:v>
      </x:c>
      <x:c r="P220" s="102" t="n">
        <x:v>0.00005632300095591553</x:v>
      </x:c>
      <x:c r="Q220" s="102" t="n">
        <x:v>-0.000012101773441232863</x:v>
      </x:c>
      <x:c r="R220" s="102" t="n">
        <x:v>-0.000848017396329259</x:v>
      </x:c>
      <x:c r="S220" s="102" t="n">
        <x:v>-0.012874414535103889</x:v>
      </x:c>
      <x:c r="T220" s="102" t="n">
        <x:v>0</x:v>
      </x:c>
      <x:c r="U220" s="102" t="n">
        <x:v>-0.02796097576212739</x:v>
      </x:c>
      <x:c r="V220" s="105" t="n">
        <x:f>C220-U220</x:f>
        <x:v>0</x:v>
      </x:c>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56" t="str">
        <x:v>2022-09</x:v>
      </x:c>
      <x:c r="B221" s="102" t="n">
        <x:v>0.02539654926223278</x:v>
      </x:c>
      <x:c r="C221" s="102" t="n">
        <x:v>0.01900335193436267</x:v>
      </x:c>
      <x:c r="D221" s="102" t="n">
        <x:v>0.006393197327870113</x:v>
      </x:c>
      <x:c r="E221" s="104" t="n">
        <x:v>4433.650999999996</x:v>
      </x:c>
      <x:c r="F221" s="104" t="n">
        <x:v>4405.396209736929</x:v>
      </x:c>
      <x:c r="G221" s="102" t="n">
        <x:v>0.0036109531956773125</x:v>
      </x:c>
      <x:c r="H221" s="102" t="n">
        <x:v>0.004250900249956485</x:v>
      </x:c>
      <x:c r="I221" s="102" t="n">
        <x:v>0.00017322035652314163</x:v>
      </x:c>
      <x:c r="J221" s="102" t="n">
        <x:v>-0.008441660359875305</x:v>
      </x:c>
      <x:c r="K221" s="102" t="n">
        <x:v>0.0009209176590702565</x:v>
      </x:c>
      <x:c r="L221" s="102" t="n">
        <x:v>0.01656539679141873</x:v>
      </x:c>
      <x:c r="M221" s="102" t="n">
        <x:v>0.0035610618329660663</x:v>
      </x:c>
      <x:c r="N221" s="102" t="n">
        <x:v>-0.001516633671452275</x:v>
      </x:c>
      <x:c r="O221" s="102" t="n">
        <x:v>0.0014531559896754044</x:v>
      </x:c>
      <x:c r="P221" s="102" t="n">
        <x:v>-0.0033665537113279093</x:v>
      </x:c>
      <x:c r="Q221" s="102" t="n">
        <x:v>0.000029440347534550616</x:v>
      </x:c>
      <x:c r="R221" s="102" t="n">
        <x:v>-0.001305023189328527</x:v>
      </x:c>
      <x:c r="S221" s="102" t="n">
        <x:v>0.003068176443524745</x:v>
      </x:c>
      <x:c r="T221" s="102" t="n">
        <x:v>0</x:v>
      </x:c>
      <x:c r="U221" s="102" t="n">
        <x:v>0.01900335193436267</x:v>
      </x:c>
      <x:c r="V221" s="105" t="n">
        <x:f>C221-U221</x:f>
        <x:v>0</x:v>
      </x:c>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56" t="str">
        <x:v>2022-10</x:v>
      </x:c>
      <x:c r="B222" s="102" t="n">
        <x:v>0.06085303793394026</x:v>
      </x:c>
      <x:c r="C222" s="102" t="n">
        <x:v>0.02927835838941352</x:v>
      </x:c>
      <x:c r="D222" s="102" t="n">
        <x:v>0.03157467954452674</x:v>
      </x:c>
      <x:c r="E222" s="104" t="n">
        <x:v>4711.830322580648</x:v>
      </x:c>
      <x:c r="F222" s="104" t="n">
        <x:v>4565.380017693885</x:v>
      </x:c>
      <x:c r="G222" s="102" t="n">
        <x:v>0.0036109531956773125</x:v>
      </x:c>
      <x:c r="H222" s="102" t="n">
        <x:v>-0.0014733920404314533</x:v>
      </x:c>
      <x:c r="I222" s="102" t="n">
        <x:v>0.0004693345518789145</x:v>
      </x:c>
      <x:c r="J222" s="102" t="n">
        <x:v>0.0019531684754221356</x:v>
      </x:c>
      <x:c r="K222" s="102" t="n">
        <x:v>-0.0001255657811365378</x:v>
      </x:c>
      <x:c r="L222" s="102" t="n">
        <x:v>0.00933941608215156</x:v>
      </x:c>
      <x:c r="M222" s="102" t="n">
        <x:v>0.0015788201767792211</x:v>
      </x:c>
      <x:c r="N222" s="102" t="n">
        <x:v>0.012188683108396367</x:v>
      </x:c>
      <x:c r="O222" s="102" t="n">
        <x:v>0.0026235596730909173</x:v>
      </x:c>
      <x:c r="P222" s="102" t="n">
        <x:v>-0.001689908264054096</x:v>
      </x:c>
      <x:c r="Q222" s="102" t="n">
        <x:v>0.00000923486751454793</x:v>
      </x:c>
      <x:c r="R222" s="102" t="n">
        <x:v>-0.0016420202760684254</x:v>
      </x:c>
      <x:c r="S222" s="102" t="n">
        <x:v>0.002436074620193061</x:v>
      </x:c>
      <x:c r="T222" s="102" t="n">
        <x:v>0</x:v>
      </x:c>
      <x:c r="U222" s="102" t="n">
        <x:v>0.029278358389413523</x:v>
      </x:c>
      <x:c r="V222" s="105" t="n">
        <x:f>C222-U222</x:f>
        <x:v>-3.469446951953614e-18</x:v>
      </x:c>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56" t="str">
        <x:v>2022-11</x:v>
      </x:c>
      <x:c r="B223" s="102" t="n">
        <x:v>0.044584972927387057</x:v>
      </x:c>
      <x:c r="C223" s="102" t="n">
        <x:v>-0.0230373312633071</x:v>
      </x:c>
      <x:c r="D223" s="102" t="n">
        <x:v>0.06762230419069415</x:v>
      </x:c>
      <x:c r="E223" s="104" t="n">
        <x:v>4926.660666666665</x:v>
      </x:c>
      <x:c r="F223" s="104" t="n">
        <x:v>4604.523108290321</x:v>
      </x:c>
      <x:c r="G223" s="102" t="n">
        <x:v>0.0036109531956773125</x:v>
      </x:c>
      <x:c r="H223" s="102" t="n">
        <x:v>0.0007844371984118198</x:v>
      </x:c>
      <x:c r="I223" s="102" t="n">
        <x:v>0.0015617051682419478</x:v>
      </x:c>
      <x:c r="J223" s="102" t="n">
        <x:v>-0.0047563763748114775</x:v>
      </x:c>
      <x:c r="K223" s="102" t="n">
        <x:v>-0.00043349956685731494</x:v>
      </x:c>
      <x:c r="L223" s="102" t="n">
        <x:v>-0.01305166412106901</x:v>
      </x:c>
      <x:c r="M223" s="102" t="n">
        <x:v>-0.00429598234246568</x:v>
      </x:c>
      <x:c r="N223" s="102" t="n">
        <x:v>-0.0020117318657378543</x:v>
      </x:c>
      <x:c r="O223" s="102" t="n">
        <x:v>-0.00021597834760107683</x:v>
      </x:c>
      <x:c r="P223" s="102" t="n">
        <x:v>0.006353769037612777</x:v>
      </x:c>
      <x:c r="Q223" s="102" t="n">
        <x:v>-0.0000369096396957708</x:v>
      </x:c>
      <x:c r="R223" s="102" t="n">
        <x:v>-0.0022682677626640153</x:v>
      </x:c>
      <x:c r="S223" s="102" t="n">
        <x:v>-0.008277785842348754</x:v>
      </x:c>
      <x:c r="T223" s="102" t="n">
        <x:v>0</x:v>
      </x:c>
      <x:c r="U223" s="102" t="n">
        <x:v>-0.0230373312633071</x:v>
      </x:c>
      <x:c r="V223" s="105" t="n">
        <x:f>C223-U223</x:f>
        <x:v>0</x:v>
      </x:c>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56" t="str">
        <x:v>2022-12</x:v>
      </x:c>
      <x:c r="B224" s="102" t="n">
        <x:v>-0.028446152616844245</x:v>
      </x:c>
      <x:c r="C224" s="102" t="n">
        <x:v>-0.032177971483987176</x:v>
      </x:c>
      <x:c r="D224" s="102" t="n">
        <x:v>0.0037318188671429317</x:v>
      </x:c>
      <x:c r="E224" s="104" t="n">
        <x:v>4788.490645161287</x:v>
      </x:c>
      <x:c r="F224" s="104" t="n">
        <x:v>4770.6541673786205</x:v>
      </x:c>
      <x:c r="G224" s="102" t="n">
        <x:v>0.0036109531956773125</x:v>
      </x:c>
      <x:c r="H224" s="102" t="n">
        <x:v>0.004609052404565501</x:v>
      </x:c>
      <x:c r="I224" s="102" t="n">
        <x:v>-0.00003081516512959708</x:v>
      </x:c>
      <x:c r="J224" s="102" t="n">
        <x:v>-0.0026590429217064524</x:v>
      </x:c>
      <x:c r="K224" s="102" t="n">
        <x:v>-0.0004982610965665251</x:v>
      </x:c>
      <x:c r="L224" s="102" t="n">
        <x:v>-0.013280648670976314</x:v>
      </x:c>
      <x:c r="M224" s="102" t="n">
        <x:v>-0.0011416193565735235</x:v>
      </x:c>
      <x:c r="N224" s="102" t="n">
        <x:v>-0.0064288762567885245</x:v>
      </x:c>
      <x:c r="O224" s="102" t="n">
        <x:v>-0.002403487494448991</x:v>
      </x:c>
      <x:c r="P224" s="102" t="n">
        <x:v>-0.004842549007830807</x:v>
      </x:c>
      <x:c r="Q224" s="102" t="n">
        <x:v>-0.00004744683603256811</x:v>
      </x:c>
      <x:c r="R224" s="102" t="n">
        <x:v>-0.002747825283403242</x:v>
      </x:c>
      <x:c r="S224" s="102" t="n">
        <x:v>-0.006317404994773442</x:v>
      </x:c>
      <x:c r="T224" s="102" t="n">
        <x:v>0</x:v>
      </x:c>
      <x:c r="U224" s="102" t="n">
        <x:v>-0.032177971483987176</x:v>
      </x:c>
      <x:c r="V224" s="105" t="n">
        <x:f>C224-U224</x:f>
        <x:v>0</x:v>
      </x:c>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56" t="str">
        <x:v>2023-01</x:v>
      </x:c>
      <x:c r="B225" s="102" t="n">
        <x:v>-0.015423102416274759</x:v>
      </x:c>
      <x:c r="C225" s="102" t="n">
        <x:v>-0.037244141649541165</x:v>
      </x:c>
      <x:c r="D225" s="102" t="n">
        <x:v>0.021821039233266407</x:v>
      </x:c>
      <x:c r="E225" s="104" t="n">
        <x:v>4715.203870967738</x:v>
      </x:c>
      <x:c r="F225" s="104" t="n">
        <x:v>4613.427691734221</x:v>
      </x:c>
      <x:c r="G225" s="102" t="n">
        <x:v>0.0036109531956773125</x:v>
      </x:c>
      <x:c r="H225" s="102" t="n">
        <x:v>-0.0007299058712083064</x:v>
      </x:c>
      <x:c r="I225" s="102" t="n">
        <x:v>0.00012096349327076295</x:v>
      </x:c>
      <x:c r="J225" s="102" t="n">
        <x:v>-0.0009867291805850478</x:v>
      </x:c>
      <x:c r="K225" s="102" t="n">
        <x:v>0.0000031730394051214786</x:v>
      </x:c>
      <x:c r="L225" s="102" t="n">
        <x:v>-0.012552139939864216</x:v>
      </x:c>
      <x:c r="M225" s="102" t="n">
        <x:v>-0.0013082846942613826</x:v>
      </x:c>
      <x:c r="N225" s="102" t="n">
        <x:v>-0.003222562234868688</x:v>
      </x:c>
      <x:c r="O225" s="102" t="n">
        <x:v>-0.001140109617260797</x:v>
      </x:c>
      <x:c r="P225" s="102" t="n">
        <x:v>-0.006088642699744893</x:v>
      </x:c>
      <x:c r="Q225" s="102" t="n">
        <x:v>-0.0000026703825230881263</x:v>
      </x:c>
      <x:c r="R225" s="102" t="n">
        <x:v>-0.003379861385349186</x:v>
      </x:c>
      <x:c r="S225" s="102" t="n">
        <x:v>-0.011568325372228756</x:v>
      </x:c>
      <x:c r="T225" s="102" t="n">
        <x:v>0</x:v>
      </x:c>
      <x:c r="U225" s="102" t="n">
        <x:v>-0.037244141649541165</x:v>
      </x:c>
      <x:c r="V225" s="105" t="n">
        <x:f>C225-U225</x:f>
        <x:v>0</x:v>
      </x:c>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56" t="str">
        <x:v>2023-02</x:v>
      </x:c>
      <x:c r="B226" s="102" t="n">
        <x:v>0.018471991312978275</x:v>
      </x:c>
      <x:c r="C226" s="102" t="n">
        <x:v>-0.009941476172185663</x:v>
      </x:c>
      <x:c r="D226" s="102" t="n">
        <x:v>0.028413467485163938</x:v>
      </x:c>
      <x:c r="E226" s="104" t="n">
        <x:v>4803.112499999996</x:v>
      </x:c>
      <x:c r="F226" s="104" t="n">
        <x:v>4668.560022553101</x:v>
      </x:c>
      <x:c r="G226" s="102" t="n">
        <x:v>0.0036109531956773125</x:v>
      </x:c>
      <x:c r="H226" s="102" t="n">
        <x:v>-0.000038279811447349855</x:v>
      </x:c>
      <x:c r="I226" s="102" t="n">
        <x:v>0.0008012294058908208</x:v>
      </x:c>
      <x:c r="J226" s="102" t="n">
        <x:v>-0.00396293505319383</x:v>
      </x:c>
      <x:c r="K226" s="102" t="n">
        <x:v>-0.0004063490134784974</x:v>
      </x:c>
      <x:c r="L226" s="102" t="n">
        <x:v>0.0026007104945564292</x:v>
      </x:c>
      <x:c r="M226" s="102" t="n">
        <x:v>-0.00004092542650092825</x:v>
      </x:c>
      <x:c r="N226" s="102" t="n">
        <x:v>-0.004158313209338045</x:v>
      </x:c>
      <x:c r="O226" s="102" t="n">
        <x:v>-0.001980867523139709</x:v>
      </x:c>
      <x:c r="P226" s="102" t="n">
        <x:v>0.004147966347368456</x:v>
      </x:c>
      <x:c r="Q226" s="102" t="n">
        <x:v>0.000011572347173268048</x:v>
      </x:c>
      <x:c r="R226" s="102" t="n">
        <x:v>-0.003468179546461902</x:v>
      </x:c>
      <x:c r="S226" s="102" t="n">
        <x:v>-0.007058058379291688</x:v>
      </x:c>
      <x:c r="T226" s="102" t="n">
        <x:v>0</x:v>
      </x:c>
      <x:c r="U226" s="102" t="n">
        <x:v>-0.009941476172185663</x:v>
      </x:c>
      <x:c r="V226" s="105" t="n">
        <x:f>C226-U226</x:f>
        <x:v>0</x:v>
      </x:c>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56" t="str">
        <x:v>2023-03</x:v>
      </x:c>
      <x:c r="B227" s="102" t="n">
        <x:v>-0.007692604477320231</x:v>
      </x:c>
      <x:c r="C227" s="102" t="n">
        <x:v>0.013067852687238764</x:v>
      </x:c>
      <x:c r="D227" s="102" t="n">
        <x:v>-0.020760457164558994</x:v>
      </x:c>
      <x:c r="E227" s="104" t="n">
        <x:v>4766.3058064516135</x:v>
      </x:c>
      <x:c r="F227" s="104" t="n">
        <x:v>4866.290769680431</x:v>
      </x:c>
      <x:c r="G227" s="102" t="n">
        <x:v>0.0036109531956773125</x:v>
      </x:c>
      <x:c r="H227" s="102" t="n">
        <x:v>0.0019496551283562278</x:v>
      </x:c>
      <x:c r="I227" s="102" t="n">
        <x:v>0.0012127792544221721</x:v>
      </x:c>
      <x:c r="J227" s="102" t="n">
        <x:v>-0.004584446290315579</x:v>
      </x:c>
      <x:c r="K227" s="102" t="n">
        <x:v>0.000026849907920964085</x:v>
      </x:c>
      <x:c r="L227" s="102" t="n">
        <x:v>0.0022700141278025024</x:v>
      </x:c>
      <x:c r="M227" s="102" t="n">
        <x:v>0.0012397696094064833</x:v>
      </x:c>
      <x:c r="N227" s="102" t="n">
        <x:v>0.00041589780357129325</x:v>
      </x:c>
      <x:c r="O227" s="102" t="n">
        <x:v>0.0015648625054091024</x:v>
      </x:c>
      <x:c r="P227" s="102" t="n">
        <x:v>0.009768260780767871</x:v>
      </x:c>
      <x:c r="Q227" s="102" t="n">
        <x:v>0.00010082897393820904</x:v>
      </x:c>
      <x:c r="R227" s="102" t="n">
        <x:v>-0.0036733482799507816</x:v>
      </x:c>
      <x:c r="S227" s="102" t="n">
        <x:v>-0.0008342240297670167</x:v>
      </x:c>
      <x:c r="T227" s="102" t="n">
        <x:v>0</x:v>
      </x:c>
      <x:c r="U227" s="102" t="n">
        <x:v>0.01306785268723876</x:v>
      </x:c>
      <x:c r="V227" s="105" t="n">
        <x:f>C227-U227</x:f>
        <x:v>3.469446951953614e-18</x:v>
      </x:c>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56" t="str">
        <x:v>2023-04</x:v>
      </x:c>
      <x:c r="B228" s="102" t="n">
        <x:v>-0.04805564196079004</x:v>
      </x:c>
      <x:c r="C228" s="102" t="n">
        <x:v>-0.03369494532818954</x:v>
      </x:c>
      <x:c r="D228" s="102" t="n">
        <x:v>-0.014360696632600499</x:v>
      </x:c>
      <x:c r="E228" s="104" t="n">
        <x:v>4542.674333333336</x:v>
      </x:c>
      <x:c r="F228" s="104" t="n">
        <x:v>4608.380968646019</x:v>
      </x:c>
      <x:c r="G228" s="102" t="n">
        <x:v>0.0036109531956773125</x:v>
      </x:c>
      <x:c r="H228" s="102" t="n">
        <x:v>-0.002878210289856785</x:v>
      </x:c>
      <x:c r="I228" s="102" t="n">
        <x:v>0.0008001225177803458</x:v>
      </x:c>
      <x:c r="J228" s="102" t="n">
        <x:v>0.0007144175560729418</x:v>
      </x:c>
      <x:c r="K228" s="102" t="n">
        <x:v>-0.00015902766681209088</x:v>
      </x:c>
      <x:c r="L228" s="102" t="n">
        <x:v>-0.007832199053127063</x:v>
      </x:c>
      <x:c r="M228" s="102" t="n">
        <x:v>-0.0033036861002593747</x:v>
      </x:c>
      <x:c r="N228" s="102" t="n">
        <x:v>-0.009962613712209098</x:v>
      </x:c>
      <x:c r="O228" s="102" t="n">
        <x:v>-0.002321886595333321</x:v>
      </x:c>
      <x:c r="P228" s="102" t="n">
        <x:v>-0.0019950108759858734</x:v>
      </x:c>
      <x:c r="Q228" s="102" t="n">
        <x:v>-0.00007086007373349398</x:v>
      </x:c>
      <x:c r="R228" s="102" t="n">
        <x:v>-0.004235187109085513</x:v>
      </x:c>
      <x:c r="S228" s="102" t="n">
        <x:v>-0.006061757121317533</x:v>
      </x:c>
      <x:c r="T228" s="102" t="n">
        <x:v>0</x:v>
      </x:c>
      <x:c r="U228" s="102" t="n">
        <x:v>-0.03369494532818955</x:v>
      </x:c>
      <x:c r="V228" s="105" t="n">
        <x:f>C228-U228</x:f>
        <x:v>6.938893903907228e-18</x:v>
      </x:c>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56" t="str">
        <x:v>2023-05</x:v>
      </x:c>
      <x:c r="B229" s="102" t="n">
        <x:v>-0.0005692763404763213</x:v>
      </x:c>
      <x:c r="C229" s="102" t="n">
        <x:v>-0.0058962762544294955</x:v>
      </x:c>
      <x:c r="D229" s="102" t="n">
        <x:v>0.005326999913953174</x:v>
      </x:c>
      <x:c r="E229" s="104" t="n">
        <x:v>4540.089032258067</x:v>
      </x:c>
      <x:c r="F229" s="104" t="n">
        <x:v>4515.968281033116</x:v>
      </x:c>
      <x:c r="G229" s="102" t="n">
        <x:v>0.0036109531956773125</x:v>
      </x:c>
      <x:c r="H229" s="102" t="n">
        <x:v>0.004336864497961232</x:v>
      </x:c>
      <x:c r="I229" s="102" t="n">
        <x:v>-0.00011587121034691936</x:v>
      </x:c>
      <x:c r="J229" s="102" t="n">
        <x:v>-0.0006151039047802932</x:v>
      </x:c>
      <x:c r="K229" s="102" t="n">
        <x:v>-0.0003545998322288073</x:v>
      </x:c>
      <x:c r="L229" s="102" t="n">
        <x:v>0.002015135748502265</x:v>
      </x:c>
      <x:c r="M229" s="102" t="n">
        <x:v>-0.00017416814037869791</x:v>
      </x:c>
      <x:c r="N229" s="102" t="n">
        <x:v>-0.005186811160113821</x:v>
      </x:c>
      <x:c r="O229" s="102" t="n">
        <x:v>-0.00022240303881173692</x:v>
      </x:c>
      <x:c r="P229" s="102" t="n">
        <x:v>-0.0005454457564999862</x:v>
      </x:c>
      <x:c r="Q229" s="102" t="n">
        <x:v>0.000004915757112999599</x:v>
      </x:c>
      <x:c r="R229" s="102" t="n">
        <x:v>-0.003998742902409585</x:v>
      </x:c>
      <x:c r="S229" s="102" t="n">
        <x:v>-0.00465099950811346</x:v>
      </x:c>
      <x:c r="T229" s="102" t="n">
        <x:v>0</x:v>
      </x:c>
      <x:c r="U229" s="102" t="n">
        <x:v>-0.005896276254429495</x:v>
      </x:c>
      <x:c r="V229" s="105" t="n">
        <x:f>C229-U229</x:f>
        <x:v>-8.673617379884035e-19</x:v>
      </x:c>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56" t="str">
        <x:v>2023-06</x:v>
      </x:c>
      <x:c r="B230" s="102" t="n">
        <x:v>-0.07565786164762045</x:v>
      </x:c>
      <x:c r="C230" s="102" t="n">
        <x:v>-0.02539511636728089</x:v>
      </x:c>
      <x:c r="D230" s="102" t="n">
        <x:v>-0.05026274528033956</x:v>
      </x:c>
      <x:c r="E230" s="104" t="n">
        <x:v>4209.267999999998</x:v>
      </x:c>
      <x:c r="F230" s="104" t="n">
        <x:v>4426.244607411034</x:v>
      </x:c>
      <x:c r="G230" s="102" t="n">
        <x:v>0.0036109531956773125</x:v>
      </x:c>
      <x:c r="H230" s="102" t="n">
        <x:v>0.00031539637282493446</x:v>
      </x:c>
      <x:c r="I230" s="102" t="n">
        <x:v>0.0002308276348106248</x:v>
      </x:c>
      <x:c r="J230" s="102" t="n">
        <x:v>-0.00011853564831705037</x:v>
      </x:c>
      <x:c r="K230" s="102" t="n">
        <x:v>-0.00018720331903753322</x:v>
      </x:c>
      <x:c r="L230" s="102" t="n">
        <x:v>-0.001742962740713993</x:v>
      </x:c>
      <x:c r="M230" s="102" t="n">
        <x:v>-0.0039171002591830255</x:v>
      </x:c>
      <x:c r="N230" s="102" t="n">
        <x:v>-0.013398774922393171</x:v>
      </x:c>
      <x:c r="O230" s="102" t="n">
        <x:v>0.0012402727879736474</x:v>
      </x:c>
      <x:c r="P230" s="102" t="n">
        <x:v>-0.0009191051901620355</x:v>
      </x:c>
      <x:c r="Q230" s="102" t="n">
        <x:v>0.00005143739149744575</x:v>
      </x:c>
      <x:c r="R230" s="102" t="n">
        <x:v>-0.004216884323219444</x:v>
      </x:c>
      <x:c r="S230" s="102" t="n">
        <x:v>-0.006343437347038599</x:v>
      </x:c>
      <x:c r="T230" s="102" t="n">
        <x:v>0</x:v>
      </x:c>
      <x:c r="U230" s="102" t="n">
        <x:v>-0.02539511636728089</x:v>
      </x:c>
      <x:c r="V230" s="105" t="n">
        <x:f>C230-U230</x:f>
        <x:v>0</x:v>
      </x:c>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56" t="str">
        <x:v>2023-07</x:v>
      </x:c>
      <x:c r="B231" s="102" t="n">
        <x:v>-0.03383409647192259</x:v>
      </x:c>
      <x:c r="C231" s="102" t="n">
        <x:v>-0.022645632652103172</x:v>
      </x:c>
      <x:c r="D231" s="102" t="n">
        <x:v>-0.01118846381981942</x:v>
      </x:c>
      <x:c r="E231" s="104" t="n">
        <x:v>4069.2335483870993</x:v>
      </x:c>
      <x:c r="F231" s="104" t="n">
        <x:v>4115.017670102013</x:v>
      </x:c>
      <x:c r="G231" s="102" t="n">
        <x:v>0.0036109531956773125</x:v>
      </x:c>
      <x:c r="H231" s="102" t="n">
        <x:v>-0.002572383074994964</x:v>
      </x:c>
      <x:c r="I231" s="102" t="n">
        <x:v>-0.00024377233490529922</x:v>
      </x:c>
      <x:c r="J231" s="102" t="n">
        <x:v>0.00011853564831705037</x:v>
      </x:c>
      <x:c r="K231" s="102" t="n">
        <x:v>-0.0004396284084834582</x:v>
      </x:c>
      <x:c r="L231" s="102" t="n">
        <x:v>-0.006588414287463078</x:v>
      </x:c>
      <x:c r="M231" s="102" t="n">
        <x:v>-0.00008607945986812095</x:v>
      </x:c>
      <x:c r="N231" s="102" t="n">
        <x:v>-0.008877652982010938</x:v>
      </x:c>
      <x:c r="O231" s="102" t="n">
        <x:v>-0.0005214695535717948</x:v>
      </x:c>
      <x:c r="P231" s="102" t="n">
        <x:v>-0.0004901580678246075</x:v>
      </x:c>
      <x:c r="Q231" s="102" t="n">
        <x:v>-0.000032683594312185374</x:v>
      </x:c>
      <x:c r="R231" s="102" t="n">
        <x:v>-0.004642231475085036</x:v>
      </x:c>
      <x:c r="S231" s="102" t="n">
        <x:v>-0.0018806482575780496</x:v>
      </x:c>
      <x:c r="T231" s="102" t="n">
        <x:v>0</x:v>
      </x:c>
      <x:c r="U231" s="102" t="n">
        <x:v>-0.022645632652103162</x:v>
      </x:c>
      <x:c r="V231" s="105" t="n">
        <x:f>C231-U231</x:f>
        <x:v>-1.0408340855860843e-17</x:v>
      </x:c>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56" t="str">
        <x:v>2023-08</x:v>
      </x:c>
      <x:c r="B232" s="102" t="n">
        <x:v>0.00036649151994971874</x:v>
      </x:c>
      <x:c r="C232" s="102" t="n">
        <x:v>0.013761332131103142</x:v>
      </x:c>
      <x:c r="D232" s="102" t="n">
        <x:v>-0.013394840611153423</x:v>
      </x:c>
      <x:c r="E232" s="104" t="n">
        <x:v>4070.7251612903224</x:v>
      </x:c>
      <x:c r="F232" s="104" t="n">
        <x:v>4125.61870034526</x:v>
      </x:c>
      <x:c r="G232" s="102" t="n">
        <x:v>0.0036109531956773125</x:v>
      </x:c>
      <x:c r="H232" s="102" t="n">
        <x:v>-0.0027481983030573738</x:v>
      </x:c>
      <x:c r="I232" s="102" t="n">
        <x:v>-0.0008246863092493882</x:v>
      </x:c>
      <x:c r="J232" s="102" t="n">
        <x:v>0.0003972546051706119</x:v>
      </x:c>
      <x:c r="K232" s="102" t="n">
        <x:v>-0.00034082918461494796</x:v>
      </x:c>
      <x:c r="L232" s="102" t="n">
        <x:v>0.009519724500855333</x:v>
      </x:c>
      <x:c r="M232" s="102" t="n">
        <x:v>0.002194078567088534</x:v>
      </x:c>
      <x:c r="N232" s="102" t="n">
        <x:v>0.0033215441854432407</x:v>
      </x:c>
      <x:c r="O232" s="102" t="n">
        <x:v>-0.0010671014422947564</x:v>
      </x:c>
      <x:c r="P232" s="102" t="n">
        <x:v>-0.0030191111592611872</x:v>
      </x:c>
      <x:c r="Q232" s="102" t="n">
        <x:v>-0.000006122296541646583</x:v>
      </x:c>
      <x:c r="R232" s="102" t="n">
        <x:v>-0.0043652182134849</x:v>
      </x:c>
      <x:c r="S232" s="102" t="n">
        <x:v>0.007089043985372305</x:v>
      </x:c>
      <x:c r="T232" s="102" t="n">
        <x:v>0</x:v>
      </x:c>
      <x:c r="U232" s="102" t="n">
        <x:v>0.013761332131103136</x:v>
      </x:c>
      <x:c r="V232" s="105" t="n">
        <x:f>C232-U232</x:f>
        <x:v>5.204170427930421e-18</x:v>
      </x:c>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56" t="str">
        <x:v>2023-09</x:v>
      </x:c>
      <x:c r="B233" s="102" t="n">
        <x:v>-0.016397266261925836</x:v>
      </x:c>
      <x:c r="C233" s="102" t="n">
        <x:v>0.019154045433013193</x:v>
      </x:c>
      <x:c r="D233" s="102" t="n">
        <x:v>-0.035551311694939025</x:v>
      </x:c>
      <x:c r="E233" s="104" t="n">
        <x:v>4004.52066666667</x:v>
      </x:c>
      <x:c r="F233" s="104" t="n">
        <x:v>4149.447535163894</x:v>
      </x:c>
      <x:c r="G233" s="102" t="n">
        <x:v>0.0036109531956773125</x:v>
      </x:c>
      <x:c r="H233" s="102" t="n">
        <x:v>-0.0031862805189379535</x:v>
      </x:c>
      <x:c r="I233" s="102" t="n">
        <x:v>0.0007636438052156977</x:v>
      </x:c>
      <x:c r="J233" s="102" t="n">
        <x:v>0.002085586677145655</x:v>
      </x:c>
      <x:c r="K233" s="102" t="n">
        <x:v>-0.00027509699566629524</x:v>
      </x:c>
      <x:c r="L233" s="102" t="n">
        <x:v>0.00928454099277561</x:v>
      </x:c>
      <x:c r="M233" s="102" t="n">
        <x:v>-0.0007451142847802577</x:v>
      </x:c>
      <x:c r="N233" s="102" t="n">
        <x:v>0.004999946007503718</x:v>
      </x:c>
      <x:c r="O233" s="102" t="n">
        <x:v>0.0006531571501236314</x:v>
      </x:c>
      <x:c r="P233" s="102" t="n">
        <x:v>0.00011521961566943089</x:v>
      </x:c>
      <x:c r="Q233" s="102" t="n">
        <x:v>0.000045577999376941724</x:v>
      </x:c>
      <x:c r="R233" s="102" t="n">
        <x:v>-0.003936736925235537</x:v>
      </x:c>
      <x:c r="S233" s="102" t="n">
        <x:v>0.0057386487141452384</x:v>
      </x:c>
      <x:c r="T233" s="102" t="n">
        <x:v>0</x:v>
      </x:c>
      <x:c r="U233" s="102" t="n">
        <x:v>0.019154045433013193</x:v>
      </x:c>
      <x:c r="V233" s="105" t="n">
        <x:f>C233-U233</x:f>
        <x:v>0</x:v>
      </x:c>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56" t="str">
        <x:v>2023-10</x:v>
      </x:c>
      <x:c r="B234" s="102" t="n">
        <x:v>0.05298766604560612</x:v>
      </x:c>
      <x:c r="C234" s="102" t="n">
        <x:v>0.03039317869121092</x:v>
      </x:c>
      <x:c r="D234" s="102" t="n">
        <x:v>0.022594487354395197</x:v>
      </x:c>
      <x:c r="E234" s="104" t="n">
        <x:v>4222.433225806451</x:v>
      </x:c>
      <x:c r="F234" s="104" t="n">
        <x:v>4128.099238894619</x:v>
      </x:c>
      <x:c r="G234" s="102" t="n">
        <x:v>0.0036109531956773125</x:v>
      </x:c>
      <x:c r="H234" s="102" t="n">
        <x:v>0.0012827766552031454</x:v>
      </x:c>
      <x:c r="I234" s="102" t="n">
        <x:v>0.0008317927768468496</x:v>
      </x:c>
      <x:c r="J234" s="102" t="n">
        <x:v>0</x:v>
      </x:c>
      <x:c r="K234" s="102" t="n">
        <x:v>0.00030637088189231605</x:v>
      </x:c>
      <x:c r="L234" s="102" t="n">
        <x:v>0.009465838271506917</x:v>
      </x:c>
      <x:c r="M234" s="102" t="n">
        <x:v>0.00371858534421557</x:v>
      </x:c>
      <x:c r="N234" s="102" t="n">
        <x:v>0.004352490043691346</x:v>
      </x:c>
      <x:c r="O234" s="102" t="n">
        <x:v>0.0014838154858049669</x:v>
      </x:c>
      <x:c r="P234" s="102" t="n">
        <x:v>-0.0016928993996498168</x:v>
      </x:c>
      <x:c r="Q234" s="102" t="n">
        <x:v>-0.000005140566746968016</x:v>
      </x:c>
      <x:c r="R234" s="102" t="n">
        <x:v>-0.003696351606903492</x:v>
      </x:c>
      <x:c r="S234" s="102" t="n">
        <x:v>0.010734947609672776</x:v>
      </x:c>
      <x:c r="T234" s="102" t="n">
        <x:v>0</x:v>
      </x:c>
      <x:c r="U234" s="102" t="n">
        <x:v>0.030393178691210918</x:v>
      </x:c>
      <x:c r="V234" s="105" t="n">
        <x:f>C234-U234</x:f>
        <x:v>3.469446951953614e-18</x:v>
      </x:c>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56" t="str">
        <x:v>2023-11</x:v>
      </x:c>
      <x:c r="B235" s="102" t="n">
        <x:v>-0.044462782068508844</x:v>
      </x:c>
      <x:c r="C235" s="102" t="n">
        <x:v>-0.027772193949092572</x:v>
      </x:c>
      <x:c r="D235" s="102" t="n">
        <x:v>-0.01669058811941627</x:v>
      </x:c>
      <x:c r="E235" s="104" t="n">
        <x:v>4038.804666666669</x:v>
      </x:c>
      <x:c r="F235" s="104" t="n">
        <x:v>4106.780391238312</x:v>
      </x:c>
      <x:c r="G235" s="102" t="n">
        <x:v>0.0036109531956773125</x:v>
      </x:c>
      <x:c r="H235" s="102" t="n">
        <x:v>0.0033382027345478195</x:v>
      </x:c>
      <x:c r="I235" s="102" t="n">
        <x:v>-0.00005440732183988155</x:v>
      </x:c>
      <x:c r="J235" s="102" t="n">
        <x:v>0</x:v>
      </x:c>
      <x:c r="K235" s="102" t="n">
        <x:v>0.0003363676449271238</x:v>
      </x:c>
      <x:c r="L235" s="102" t="n">
        <x:v>-0.011650631403637039</x:v>
      </x:c>
      <x:c r="M235" s="102" t="n">
        <x:v>-0.0050621878365203375</x:v>
      </x:c>
      <x:c r="N235" s="102" t="n">
        <x:v>-0.011079250204543367</x:v>
      </x:c>
      <x:c r="O235" s="102" t="n">
        <x:v>0.0004687804693904522</x:v>
      </x:c>
      <x:c r="P235" s="102" t="n">
        <x:v>0.008900007614196253</x:v>
      </x:c>
      <x:c r="Q235" s="102" t="n">
        <x:v>0.00002022944155878807</x:v>
      </x:c>
      <x:c r="R235" s="102" t="n">
        <x:v>-0.0036674718735882597</x:v>
      </x:c>
      <x:c r="S235" s="102" t="n">
        <x:v>-0.012932786409261434</x:v>
      </x:c>
      <x:c r="T235" s="102" t="n">
        <x:v>0</x:v>
      </x:c>
      <x:c r="U235" s="102" t="n">
        <x:v>-0.02777219394909257</x:v>
      </x:c>
      <x:c r="V235" s="105" t="n">
        <x:f>C235-U235</x:f>
        <x:v>-3.469446951953614e-18</x:v>
      </x:c>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56" t="str">
        <x:v>2023-12</x:v>
      </x:c>
      <x:c r="B236" s="102" t="n">
        <x:v>-0.022687278990543902</x:v>
      </x:c>
      <x:c r="C236" s="102" t="n">
        <x:v>-0.017032838589620923</x:v>
      </x:c>
      <x:c r="D236" s="102" t="n">
        <x:v>-0.005654440400922979</x:v>
      </x:c>
      <x:c r="E236" s="104" t="n">
        <x:v>3948.2067741935466</x:v>
      </x:c>
      <x:c r="F236" s="104" t="n">
        <x:v>3970.5949106296002</x:v>
      </x:c>
      <x:c r="G236" s="102" t="n">
        <x:v>0.0036109531956773125</x:v>
      </x:c>
      <x:c r="H236" s="102" t="n">
        <x:v>0.0025010523958201385</x:v>
      </x:c>
      <x:c r="I236" s="102" t="n">
        <x:v>0.0004691182686789524</x:v>
      </x:c>
      <x:c r="J236" s="102" t="n">
        <x:v>0</x:v>
      </x:c>
      <x:c r="K236" s="102" t="n">
        <x:v>0.00044415153994991285</x:v>
      </x:c>
      <x:c r="L236" s="102" t="n">
        <x:v>-0.007221087840061742</x:v>
      </x:c>
      <x:c r="M236" s="102" t="n">
        <x:v>-0.0016534032316501482</x:v>
      </x:c>
      <x:c r="N236" s="102" t="n">
        <x:v>0.0004829329959817042</x:v>
      </x:c>
      <x:c r="O236" s="102" t="n">
        <x:v>-0.004470096440345317</x:v>
      </x:c>
      <x:c r="P236" s="102" t="n">
        <x:v>-0.0038436995483839267</x:v>
      </x:c>
      <x:c r="Q236" s="102" t="n">
        <x:v>-0.000158819300890941</x:v>
      </x:c>
      <x:c r="R236" s="102" t="n">
        <x:v>-0.0035533423619102784</x:v>
      </x:c>
      <x:c r="S236" s="102" t="n">
        <x:v>-0.0036405982624865894</x:v>
      </x:c>
      <x:c r="T236" s="102" t="n">
        <x:v>0</x:v>
      </x:c>
      <x:c r="U236" s="102" t="n">
        <x:v>-0.017032838589620923</x:v>
      </x:c>
      <x:c r="V236" s="105" t="n">
        <x:f>C236-U236</x:f>
        <x:v>0</x:v>
      </x:c>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56" t="str">
        <x:v>2024-01</x:v>
      </x:c>
      <x:c r="B237" s="102" t="n">
        <x:v>-0.008395410476795817</x:v>
      </x:c>
      <x:c r="C237" s="102" t="n">
        <x:v>-0.009313563639993274</x:v>
      </x:c>
      <x:c r="D237" s="102" t="n">
        <x:v>0.000918153163197457</x:v>
      </x:c>
      <x:c r="E237" s="104" t="n">
        <x:v>3915.1987096774164</x:v>
      </x:c>
      <x:c r="F237" s="104" t="n">
        <x:v>3911.6056073591235</x:v>
      </x:c>
      <x:c r="G237" s="102" t="n">
        <x:v>0.0036109531956773125</x:v>
      </x:c>
      <x:c r="H237" s="102" t="n">
        <x:v>-0.0011951017303072123</x:v>
      </x:c>
      <x:c r="I237" s="102" t="n">
        <x:v>0.0004095643251847358</x:v>
      </x:c>
      <x:c r="J237" s="102" t="n">
        <x:v>0.0009610998512192082</x:v>
      </x:c>
      <x:c r="K237" s="102" t="n">
        <x:v>0.00006203289794855906</x:v>
      </x:c>
      <x:c r="L237" s="102" t="n">
        <x:v>0.0020579443988300718</x:v>
      </x:c>
      <x:c r="M237" s="102" t="n">
        <x:v>0.0008720006665574329</x:v>
      </x:c>
      <x:c r="N237" s="102" t="n">
        <x:v>-0.008793216910480347</x:v>
      </x:c>
      <x:c r="O237" s="102" t="n">
        <x:v>-0.003893743215119859</x:v>
      </x:c>
      <x:c r="P237" s="102" t="n">
        <x:v>-0.003593402943752004</x:v>
      </x:c>
      <x:c r="Q237" s="102" t="n">
        <x:v>0.000037044852707765407</x:v>
      </x:c>
      <x:c r="R237" s="102" t="n">
        <x:v>-0.0030023292598320133</x:v>
      </x:c>
      <x:c r="S237" s="102" t="n">
        <x:v>0.003153590231373077</x:v>
      </x:c>
      <x:c r="T237" s="102" t="n">
        <x:v>0</x:v>
      </x:c>
      <x:c r="U237" s="102" t="n">
        <x:v>-0.009313563639993274</x:v>
      </x:c>
      <x:c r="V237" s="105" t="n">
        <x:f>C237-U237</x:f>
        <x:v>0</x:v>
      </x:c>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56" t="str">
        <x:v>2024-02</x:v>
      </x:c>
      <x:c r="B238" s="102" t="n">
        <x:v>0.004139336002547012</x:v>
      </x:c>
      <x:c r="C238" s="102" t="n">
        <x:v>0.019100246379967337</x:v>
      </x:c>
      <x:c r="D238" s="102" t="n">
        <x:v>-0.014960910377420325</x:v>
      </x:c>
      <x:c r="E238" s="104" t="n">
        <x:v>3931.4386206896565</x:v>
      </x:c>
      <x:c r="F238" s="104" t="n">
        <x:v>3990.6987086415907</x:v>
      </x:c>
      <x:c r="G238" s="102" t="n">
        <x:v>0.0036109531956773125</x:v>
      </x:c>
      <x:c r="H238" s="102" t="n">
        <x:v>-0.0015504532275849613</x:v>
      </x:c>
      <x:c r="I238" s="102" t="n">
        <x:v>0.0007934027094861026</x:v>
      </x:c>
      <x:c r="J238" s="102" t="n">
        <x:v>0.001521741431097059</x:v>
      </x:c>
      <x:c r="K238" s="102" t="n">
        <x:v>-0.00003781676473125835</x:v>
      </x:c>
      <x:c r="L238" s="102" t="n">
        <x:v>0.00435532845129763</x:v>
      </x:c>
      <x:c r="M238" s="102" t="n">
        <x:v>0.0007345623055768039</x:v>
      </x:c>
      <x:c r="N238" s="102" t="n">
        <x:v>-0.0007294770605191228</x:v>
      </x:c>
      <x:c r="O238" s="102" t="n">
        <x:v>-0.0001724687544553828</x:v>
      </x:c>
      <x:c r="P238" s="102" t="n">
        <x:v>0.006090366478176405</x:v>
      </x:c>
      <x:c r="Q238" s="102" t="n">
        <x:v>0.00010925701876667697</x:v>
      </x:c>
      <x:c r="R238" s="102" t="n">
        <x:v>-0.002665394195342306</x:v>
      </x:c>
      <x:c r="S238" s="102" t="n">
        <x:v>0.007040244792522377</x:v>
      </x:c>
      <x:c r="T238" s="102" t="n">
        <x:v>0</x:v>
      </x:c>
      <x:c r="U238" s="102" t="n">
        <x:v>0.019100246379967337</x:v>
      </x:c>
      <x:c r="V238" s="105" t="n">
        <x:f>C238-U238</x:f>
        <x:v>0</x:v>
      </x:c>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56" t="str">
        <x:v>2024-03</x:v>
      </x:c>
      <x:c r="B239" s="102" t="n">
        <x:v>-0.008197781188169273</x:v>
      </x:c>
      <x:c r="C239" s="102" t="n">
        <x:v>0.004903790576352818</x:v>
      </x:c>
      <x:c r="D239" s="102" t="n">
        <x:v>-0.01310157176452209</x:v>
      </x:c>
      <x:c r="E239" s="104" t="n">
        <x:v>3899.3412903225835</x:v>
      </x:c>
      <x:c r="F239" s="104" t="n">
        <x:v>3950.7649196822063</x:v>
      </x:c>
      <x:c r="G239" s="102" t="n">
        <x:v>0.0036109531956773125</x:v>
      </x:c>
      <x:c r="H239" s="102" t="n">
        <x:v>-0.0008643614976211208</x:v>
      </x:c>
      <x:c r="I239" s="102" t="n">
        <x:v>0.0004992654276164389</x:v>
      </x:c>
      <x:c r="J239" s="102" t="n">
        <x:v>0.002482841282316267</x:v>
      </x:c>
      <x:c r="K239" s="102" t="n">
        <x:v>0.00014424094354555323</x:v>
      </x:c>
      <x:c r="L239" s="102" t="n">
        <x:v>-0.0021105998596693473</x:v>
      </x:c>
      <x:c r="M239" s="102" t="n">
        <x:v>-0.0002360391010083485</x:v>
      </x:c>
      <x:c r="N239" s="102" t="n">
        <x:v>0.004157285818680056</x:v>
      </x:c>
      <x:c r="O239" s="102" t="n">
        <x:v>0.000723150590822854</x:v>
      </x:c>
      <x:c r="P239" s="102" t="n">
        <x:v>0.0012082459546669652</x:v>
      </x:c>
      <x:c r="Q239" s="102" t="n">
        <x:v>0.000026071566285573905</x:v>
      </x:c>
      <x:c r="R239" s="102" t="n">
        <x:v>-0.002323707237470254</x:v>
      </x:c>
      <x:c r="S239" s="102" t="n">
        <x:v>-0.002413556507489134</x:v>
      </x:c>
      <x:c r="T239" s="102" t="n">
        <x:v>0</x:v>
      </x:c>
      <x:c r="U239" s="102" t="n">
        <x:v>0.0049037905763528195</x:v>
      </x:c>
      <x:c r="V239" s="105" t="n">
        <x:f>C239-U239</x:f>
        <x:v>-1.734723475976807e-18</x:v>
      </x:c>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56" t="str">
        <x:v>2024-04</x:v>
      </x:c>
      <x:c r="B240" s="102" t="n">
        <x:v>-0.00807643849374351</x:v>
      </x:c>
      <x:c r="C240" s="102" t="n">
        <x:v>0.008033829468198361</x:v>
      </x:c>
      <x:c r="D240" s="102" t="n">
        <x:v>-0.01611026796194187</x:v>
      </x:c>
      <x:c r="E240" s="104" t="n">
        <x:v>3867.9753333333356</x:v>
      </x:c>
      <x:c r="F240" s="104" t="n">
        <x:v>3930.794107401809</x:v>
      </x:c>
      <x:c r="G240" s="102" t="n">
        <x:v>0.0036109531956773125</x:v>
      </x:c>
      <x:c r="H240" s="102" t="n">
        <x:v>-0.0019538084663327476</x:v>
      </x:c>
      <x:c r="I240" s="102" t="n">
        <x:v>0.00021872838611386913</x:v>
      </x:c>
      <x:c r="J240" s="102" t="n">
        <x:v>0.0009610998512192082</x:v>
      </x:c>
      <x:c r="K240" s="102" t="n">
        <x:v>-0.0002576356988953306</x:v>
      </x:c>
      <x:c r="L240" s="102" t="n">
        <x:v>0.0076594988928301135</x:v>
      </x:c>
      <x:c r="M240" s="102" t="n">
        <x:v>0.0026729151327700876</x:v>
      </x:c>
      <x:c r="N240" s="102" t="n">
        <x:v>0.004903708616441399</x:v>
      </x:c>
      <x:c r="O240" s="102" t="n">
        <x:v>-0.002013723666478128</x:v>
      </x:c>
      <x:c r="P240" s="102" t="n">
        <x:v>-0.006094037190065202</x:v>
      </x:c>
      <x:c r="Q240" s="102" t="n">
        <x:v>-0.00007836347741523851</x:v>
      </x:c>
      <x:c r="R240" s="102" t="n">
        <x:v>-0.001972434503227946</x:v>
      </x:c>
      <x:c r="S240" s="102" t="n">
        <x:v>0.0003769283955609651</x:v>
      </x:c>
      <x:c r="T240" s="102" t="n">
        <x:v>0</x:v>
      </x:c>
      <x:c r="U240" s="102" t="n">
        <x:v>0.008033829468198361</x:v>
      </x:c>
      <x:c r="V240" s="105" t="n">
        <x:f>C240-U240</x:f>
        <x:v>0</x:v>
      </x:c>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56" t="str">
        <x:v>2024-05</x:v>
      </x:c>
      <x:c r="B241" s="102" t="n">
        <x:v>0.00029088814405220376</x:v>
      </x:c>
      <x:c r="C241" s="102" t="n">
        <x:v>0.013543822764475813</x:v>
      </x:c>
      <x:c r="D241" s="102" t="n">
        <x:v>-0.01325293462042361</x:v>
      </x:c>
      <x:c r="E241" s="104" t="n">
        <x:v>3869.100645161288</x:v>
      </x:c>
      <x:c r="F241" s="104" t="n">
        <x:v>3920.718874039938</x:v>
      </x:c>
      <x:c r="G241" s="102" t="n">
        <x:v>0.0036109531956773125</x:v>
      </x:c>
      <x:c r="H241" s="102" t="n">
        <x:v>0.003610834319157005</x:v>
      </x:c>
      <x:c r="I241" s="102" t="n">
        <x:v>0.001164509794104603</x:v>
      </x:c>
      <x:c r="J241" s="102" t="n">
        <x:v>0.004004582713413326</x:v>
      </x:c>
      <x:c r="K241" s="102" t="n">
        <x:v>0.0013548616599151858</x:v>
      </x:c>
      <x:c r="L241" s="102" t="n">
        <x:v>-0.0014610577879018156</x:v>
      </x:c>
      <x:c r="M241" s="102" t="n">
        <x:v>-0.0035951730379277366</x:v>
      </x:c>
      <x:c r="N241" s="102" t="n">
        <x:v>0.0020485673030482326</x:v>
      </x:c>
      <x:c r="O241" s="102" t="n">
        <x:v>0.0007130515801020253</x:v>
      </x:c>
      <x:c r="P241" s="102" t="n">
        <x:v>0.00988993181677344</x:v>
      </x:c>
      <x:c r="Q241" s="102" t="n">
        <x:v>0.00008429474441237558</x:v>
      </x:c>
      <x:c r="R241" s="102" t="n">
        <x:v>-0.0019317824213649836</x:v>
      </x:c>
      <x:c r="S241" s="102" t="n">
        <x:v>-0.005949751114933157</x:v>
      </x:c>
      <x:c r="T241" s="102" t="n">
        <x:v>0</x:v>
      </x:c>
      <x:c r="U241" s="102" t="n">
        <x:v>0.01354382276447581</x:v>
      </x:c>
      <x:c r="V241" s="105" t="n">
        <x:f>C241-U241</x:f>
        <x:v>3.469446951953614e-18</x:v>
      </x:c>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56" t="str">
        <x:v>2024-06</x:v>
      </x:c>
      <x:c r="B242" s="102" t="n">
        <x:v>0.0439146905547112</x:v>
      </x:c>
      <x:c r="C242" s="102" t="n">
        <x:v>0.02724338546394345</x:v>
      </x:c>
      <x:c r="D242" s="102" t="n">
        <x:v>0.01667130509076775</x:v>
      </x:c>
      <x:c r="E242" s="104" t="n">
        <x:v>4042.7970000000014</x:v>
      </x:c>
      <x:c r="F242" s="104" t="n">
        <x:v>3975.9570008781275</x:v>
      </x:c>
      <x:c r="G242" s="102" t="n">
        <x:v>0.0036109531956773125</x:v>
      </x:c>
      <x:c r="H242" s="102" t="n">
        <x:v>-0.00023046554359147612</x:v>
      </x:c>
      <x:c r="I242" s="102" t="n">
        <x:v>0.0004946211327717829</x:v>
      </x:c>
      <x:c r="J242" s="102" t="n">
        <x:v>0.004805499256096005</x:v>
      </x:c>
      <x:c r="K242" s="102" t="n">
        <x:v>0.00026319705183558515</x:v>
      </x:c>
      <x:c r="L242" s="102" t="n">
        <x:v>0.009447002243116703</x:v>
      </x:c>
      <x:c r="M242" s="102" t="n">
        <x:v>-0.0005171691930544185</x:v>
      </x:c>
      <x:c r="N242" s="102" t="n">
        <x:v>0.005620663712209789</x:v>
      </x:c>
      <x:c r="O242" s="102" t="n">
        <x:v>-0.0029213558653960973</x:v>
      </x:c>
      <x:c r="P242" s="102" t="n">
        <x:v>-0.004385637070720274</x:v>
      </x:c>
      <x:c r="Q242" s="102" t="n">
        <x:v>-0.00012402928035111442</x:v>
      </x:c>
      <x:c r="R242" s="102" t="n">
        <x:v>-0.00196835547634275</x:v>
      </x:c>
      <x:c r="S242" s="102" t="n">
        <x:v>0.013148461301692406</x:v>
      </x:c>
      <x:c r="T242" s="102" t="n">
        <x:v>0</x:v>
      </x:c>
      <x:c r="U242" s="102" t="n">
        <x:v>0.02724338546394346</x:v>
      </x:c>
      <x:c r="V242" s="105" t="n">
        <x:f>C242-U242</x:f>
        <x:v>-6.938893903907228e-18</x:v>
      </x:c>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56" t="str">
        <x:v>2024-07</x:v>
      </x:c>
      <x:c r="B243" s="102" t="n">
        <x:v>-0.001454274733683647</x:v>
      </x:c>
      <x:c r="C243" s="102" t="n">
        <x:v>0.011673341441285802</x:v>
      </x:c>
      <x:c r="D243" s="102" t="n">
        <x:v>-0.013127616174969449</x:v>
      </x:c>
      <x:c r="E243" s="104" t="n">
        <x:v>4036.92193548387</x:v>
      </x:c>
      <x:c r="F243" s="104" t="n">
        <x:v>4090.2664744082567</x:v>
      </x:c>
      <x:c r="G243" s="102" t="n">
        <x:v>0.0036109531956773125</x:v>
      </x:c>
      <x:c r="H243" s="102" t="n">
        <x:v>-0.0013133047573040118</x:v>
      </x:c>
      <x:c r="I243" s="102" t="n">
        <x:v>0.0013742541525918733</x:v>
      </x:c>
      <x:c r="J243" s="102" t="n">
        <x:v>0.0001601833085365288</x:v>
      </x:c>
      <x:c r="K243" s="102" t="n">
        <x:v>0.0005079658365976764</x:v>
      </x:c>
      <x:c r="L243" s="102" t="n">
        <x:v>-0.0016586870907565213</x:v>
      </x:c>
      <x:c r="M243" s="102" t="n">
        <x:v>0.0021467690589400197</x:v>
      </x:c>
      <x:c r="N243" s="102" t="n">
        <x:v>-0.000017799826585780688</x:v>
      </x:c>
      <x:c r="O243" s="102" t="n">
        <x:v>-0.001189230636275737</x:v>
      </x:c>
      <x:c r="P243" s="102" t="n">
        <x:v>0.008129981717254651</x:v>
      </x:c>
      <x:c r="Q243" s="102" t="n">
        <x:v>0.00008372419991420735</x:v>
      </x:c>
      <x:c r="R243" s="102" t="n">
        <x:v>-0.0021311045594121177</x:v>
      </x:c>
      <x:c r="S243" s="102" t="n">
        <x:v>0.001969636842107702</x:v>
      </x:c>
      <x:c r="T243" s="102" t="n">
        <x:v>0</x:v>
      </x:c>
      <x:c r="U243" s="102" t="n">
        <x:v>0.011673341441285802</x:v>
      </x:c>
      <x:c r="V243" s="105" t="n">
        <x:f>C243-U243</x:f>
        <x:v>0</x:v>
      </x:c>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56" t="str">
        <x:v>2024-08</x:v>
      </x:c>
      <x:c r="B244" s="102" t="n">
        <x:v>0.007065657981685902</x:v>
      </x:c>
      <x:c r="C244" s="102" t="n">
        <x:v>0.0015375761958067158</x:v>
      </x:c>
      <x:c r="D244" s="102" t="n">
        <x:v>0.005528081785879186</x:v>
      </x:c>
      <x:c r="E244" s="104" t="n">
        <x:v>4065.546451612903</x:v>
      </x:c>
      <x:c r="F244" s="104" t="n">
        <x:v>4043.1337849283113</x:v>
      </x:c>
      <x:c r="G244" s="102" t="n">
        <x:v>0.0036109531956773125</x:v>
      </x:c>
      <x:c r="H244" s="102" t="n">
        <x:v>0.002192642815344967</x:v>
      </x:c>
      <x:c r="I244" s="102" t="n">
        <x:v>0.001407689169573506</x:v>
      </x:c>
      <x:c r="J244" s="102" t="n">
        <x:v>0.004805499256096005</x:v>
      </x:c>
      <x:c r="K244" s="102" t="n">
        <x:v>0.0001040323973324072</x:v>
      </x:c>
      <x:c r="L244" s="102" t="n">
        <x:v>-0.003916028194012035</x:v>
      </x:c>
      <x:c r="M244" s="102" t="n">
        <x:v>0.005015207172276823</x:v>
      </x:c>
      <x:c r="N244" s="102" t="n">
        <x:v>-0.0007496334610523608</x:v>
      </x:c>
      <x:c r="O244" s="102" t="n">
        <x:v>-0.0035679828923934147</x:v>
      </x:c>
      <x:c r="P244" s="102" t="n">
        <x:v>-0.009524101815529564</x:v>
      </x:c>
      <x:c r="Q244" s="102" t="n">
        <x:v>-0.00005911937920728272</x:v>
      </x:c>
      <x:c r="R244" s="102" t="n">
        <x:v>-0.002008572962060728</x:v>
      </x:c>
      <x:c r="S244" s="102" t="n">
        <x:v>0.00422699089376108</x:v>
      </x:c>
      <x:c r="T244" s="102" t="n">
        <x:v>0</x:v>
      </x:c>
      <x:c r="U244" s="102" t="n">
        <x:v>0.0015375761958067134</x:v>
      </x:c>
      <x:c r="V244" s="105" t="n">
        <x:f>C244-U244</x:f>
        <x:v>2.3852447794681098e-18</x:v>
      </x:c>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56" t="str">
        <x:v>2024-09</x:v>
      </x:c>
      <x:c r="B245" s="102" t="n">
        <x:v>0.02836394026293476</x:v>
      </x:c>
      <x:c r="C245" s="102" t="n">
        <x:v>0.001187053567118841</x:v>
      </x:c>
      <x:c r="D245" s="102" t="n">
        <x:v>0.02717688669581592</x:v>
      </x:c>
      <x:c r="E245" s="104" t="n">
        <x:v>4182.5123333333295</x:v>
      </x:c>
      <x:c r="F245" s="104" t="n">
        <x:v>4070.3753385372706</x:v>
      </x:c>
      <x:c r="G245" s="102" t="n">
        <x:v>0.0036109531956773125</x:v>
      </x:c>
      <x:c r="H245" s="102" t="n">
        <x:v>0.0031066381452501263</x:v>
      </x:c>
      <x:c r="I245" s="102" t="n">
        <x:v>0.0006852870488160971</x:v>
      </x:c>
      <x:c r="J245" s="102" t="n">
        <x:v>0.005125865873169063</x:v>
      </x:c>
      <x:c r="K245" s="102" t="n">
        <x:v>0.00032362594263464527</x:v>
      </x:c>
      <x:c r="L245" s="102" t="n">
        <x:v>-0.0037359659834869286</x:v>
      </x:c>
      <x:c r="M245" s="102" t="n">
        <x:v>-0.0015156363080686735</x:v>
      </x:c>
      <x:c r="N245" s="102" t="n">
        <x:v>-0.0021287928544834757</x:v>
      </x:c>
      <x:c r="O245" s="102" t="n">
        <x:v>-0.0033070666225361173</x:v>
      </x:c>
      <x:c r="P245" s="102" t="n">
        <x:v>-0.0004515896385214322</x:v>
      </x:c>
      <x:c r="Q245" s="102" t="n">
        <x:v>0.000022559923722936017</x:v>
      </x:c>
      <x:c r="R245" s="102" t="n">
        <x:v>-0.0018170429935627976</x:v>
      </x:c>
      <x:c r="S245" s="102" t="n">
        <x:v>0.001268217838508085</x:v>
      </x:c>
      <x:c r="T245" s="102" t="n">
        <x:v>0</x:v>
      </x:c>
      <x:c r="U245" s="102" t="n">
        <x:v>0.0011870535671188401</x:v>
      </x:c>
      <x:c r="V245" s="105" t="n">
        <x:f>C245-U245</x:f>
        <x:v>8.673617379884035e-19</x:v>
      </x:c>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56" t="str">
        <x:v>2024-10</x:v>
      </x:c>
      <x:c r="B246" s="102" t="n">
        <x:v>0.01588216660847408</x:v>
      </x:c>
      <x:c r="C246" s="102" t="n">
        <x:v>0.018389536257455093</x:v>
      </x:c>
      <x:c r="D246" s="102" t="n">
        <x:v>-0.0025073696489810136</x:v>
      </x:c>
      <x:c r="E246" s="104" t="n">
        <x:v>4249.470000000003</x:v>
      </x:c>
      <x:c r="F246" s="104" t="n">
        <x:v>4260.138361275648</x:v>
      </x:c>
      <x:c r="G246" s="102" t="n">
        <x:v>0.0036109531956773125</x:v>
      </x:c>
      <x:c r="H246" s="102" t="n">
        <x:v>-0.000816566084805002</x:v>
      </x:c>
      <x:c r="I246" s="102" t="n">
        <x:v>0.0008705412798643526</x:v>
      </x:c>
      <x:c r="J246" s="102" t="n">
        <x:v>-0.0019862730258530152</x:v>
      </x:c>
      <x:c r="K246" s="102" t="n">
        <x:v>-0.00013475586362749763</x:v>
      </x:c>
      <x:c r="L246" s="102" t="n">
        <x:v>0.008732043747075353</x:v>
      </x:c>
      <x:c r="M246" s="102" t="n">
        <x:v>0.00207660177153807</x:v>
      </x:c>
      <x:c r="N246" s="102" t="n">
        <x:v>0.002064169280254846</x:v>
      </x:c>
      <x:c r="O246" s="102" t="n">
        <x:v>-0.0028800053991451984</x:v>
      </x:c>
      <x:c r="P246" s="102" t="n">
        <x:v>0.006024524926330915</x:v>
      </x:c>
      <x:c r="Q246" s="102" t="n">
        <x:v>0.000015586212003975606</x:v>
      </x:c>
      <x:c r="R246" s="102" t="n">
        <x:v>-0.001708529071815791</x:v>
      </x:c>
      <x:c r="S246" s="102" t="n">
        <x:v>0.002521245289956774</x:v>
      </x:c>
      <x:c r="T246" s="102" t="n">
        <x:v>0</x:v>
      </x:c>
      <x:c r="U246" s="102" t="n">
        <x:v>0.018389536257455097</x:v>
      </x:c>
      <x:c r="V246" s="105" t="n">
        <x:f>C246-U246</x:f>
        <x:v>-3.469446951953614e-18</x:v>
      </x:c>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56" t="str">
        <x:v>2024-11</x:v>
      </x:c>
      <x:c r="B247" s="102" t="n">
        <x:v>0.03677478012959412</x:v>
      </x:c>
      <x:c r="C247" s="102" t="n">
        <x:v>0.03020896027306535</x:v>
      </x:c>
      <x:c r="D247" s="102" t="n">
        <x:v>0.006565819856528769</x:v>
      </x:c>
      <x:c r="E247" s="104" t="n">
        <x:v>4408.652333333335</x:v>
      </x:c>
      <x:c r="F247" s="104" t="n">
        <x:v>4379.8007371434405</x:v>
      </x:c>
      <x:c r="G247" s="102" t="n">
        <x:v>0.0036109531956773125</x:v>
      </x:c>
      <x:c r="H247" s="102" t="n">
        <x:v>0.0006490982502876743</x:v>
      </x:c>
      <x:c r="I247" s="102" t="n">
        <x:v>0.0008302238409826964</x:v>
      </x:c>
      <x:c r="J247" s="102" t="n">
        <x:v>0.0019862730258530152</x:v>
      </x:c>
      <x:c r="K247" s="102" t="n">
        <x:v>0.000005603288345871458</x:v>
      </x:c>
      <x:c r="L247" s="102" t="n">
        <x:v>0.01362055731752246</x:v>
      </x:c>
      <x:c r="M247" s="102" t="n">
        <x:v>-0.003739988132938685</x:v>
      </x:c>
      <x:c r="N247" s="102" t="n">
        <x:v>-0.0003639327601297624</x:v>
      </x:c>
      <x:c r="O247" s="102" t="n">
        <x:v>0.0029049714783831713</x:v>
      </x:c>
      <x:c r="P247" s="102" t="n">
        <x:v>0.0028937099329398633</x:v>
      </x:c>
      <x:c r="Q247" s="102" t="n">
        <x:v>0.00008803770207205133</x:v>
      </x:c>
      <x:c r="R247" s="102" t="n">
        <x:v>-0.0014246023502751137</x:v>
      </x:c>
      <x:c r="S247" s="102" t="n">
        <x:v>0.009148055484344797</x:v>
      </x:c>
      <x:c r="T247" s="102" t="n">
        <x:v>0</x:v>
      </x:c>
      <x:c r="U247" s="102" t="n">
        <x:v>0.030208960273065355</x:v>
      </x:c>
      <x:c r="V247" s="105" t="n">
        <x:f>C247-U247</x:f>
        <x:v>-3.469446951953614e-18</x:v>
      </x:c>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56" t="str">
        <x:v>2024-12</x:v>
      </x:c>
      <x:c r="B248" s="102" t="n">
        <x:v>-0.005345510890666816</x:v>
      </x:c>
      <x:c r="C248" s="102" t="n">
        <x:v>0.01636825257495276</x:v>
      </x:c>
      <x:c r="D248" s="102" t="n">
        <x:v>-0.021713763465619575</x:v>
      </x:c>
      <x:c r="E248" s="104" t="n">
        <x:v>4385.148709677422</x:v>
      </x:c>
      <x:c r="F248" s="104" t="n">
        <x:v>4481.408086125158</x:v>
      </x:c>
      <x:c r="G248" s="102" t="n">
        <x:v>0.0036109531956773125</x:v>
      </x:c>
      <x:c r="H248" s="102" t="n">
        <x:v>0.00024783630826862165</x:v>
      </x:c>
      <x:c r="I248" s="102" t="n">
        <x:v>0.0007958684598157612</x:v>
      </x:c>
      <x:c r="J248" s="102" t="n">
        <x:v>0.0030787231900721674</x:v>
      </x:c>
      <x:c r="K248" s="102" t="n">
        <x:v>0.0002812987543658661</x:v>
      </x:c>
      <x:c r="L248" s="102" t="n">
        <x:v>0.00624138545984096</x:v>
      </x:c>
      <x:c r="M248" s="102" t="n">
        <x:v>-0.0001587844221860838</x:v>
      </x:c>
      <x:c r="N248" s="102" t="n">
        <x:v>0.007579524100325618</x:v>
      </x:c>
      <x:c r="O248" s="102" t="n">
        <x:v>-0.0006706738361479831</x:v>
      </x:c>
      <x:c r="P248" s="102" t="n">
        <x:v>-0.007778409673996918</x:v>
      </x:c>
      <x:c r="Q248" s="102" t="n">
        <x:v>-0.00007780719237183147</x:v>
      </x:c>
      <x:c r="R248" s="102" t="n">
        <x:v>-0.0012425971646126122</x:v>
      </x:c>
      <x:c r="S248" s="102" t="n">
        <x:v>0.00446093539590188</x:v>
      </x:c>
      <x:c r="T248" s="102" t="n">
        <x:v>0</x:v>
      </x:c>
      <x:c r="U248" s="102" t="n">
        <x:v>0.016368252574952762</x:v>
      </x:c>
      <x:c r="V248" s="105" t="n">
        <x:f>C248-U248</x:f>
        <x:v>-3.469446951953614e-18</x:v>
      </x:c>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56" t="str">
        <x:v>2025-01</x:v>
      </x:c>
      <x:c r="B249" s="102" t="n">
        <x:v>-0.017850197598621165</x:v>
      </x:c>
      <x:c r="C249" s="102" t="n">
        <x:v>0.004174868000671182</x:v>
      </x:c>
      <x:c r="D249" s="102" t="n">
        <x:v>-0.02202506559929235</x:v>
      </x:c>
      <x:c r="E249" s="104" t="n">
        <x:v>4307.567419354838</x:v>
      </x:c>
      <x:c r="F249" s="104" t="n">
        <x:v>4403.494395465541</x:v>
      </x:c>
      <x:c r="G249" s="102" t="n">
        <x:v>0.0036109531956773125</x:v>
      </x:c>
      <x:c r="H249" s="102" t="n">
        <x:v>-0.002673116483989552</x:v>
      </x:c>
      <x:c r="I249" s="102" t="n">
        <x:v>0.0009879801586804814</x:v>
      </x:c>
      <x:c r="J249" s="102" t="n">
        <x:v>-0.0008681935322680062</x:v>
      </x:c>
      <x:c r="K249" s="102" t="n">
        <x:v>-0.0002519212783777336</x:v>
      </x:c>
      <x:c r="L249" s="102" t="n">
        <x:v>0.0061639126974836565</x:v>
      </x:c>
      <x:c r="M249" s="102" t="n">
        <x:v>0.0009343734879186622</x:v>
      </x:c>
      <x:c r="N249" s="102" t="n">
        <x:v>0.0014599696343475868</x:v>
      </x:c>
      <x:c r="O249" s="102" t="n">
        <x:v>0.001720835932711453</x:v>
      </x:c>
      <x:c r="P249" s="102" t="n">
        <x:v>-0.007254183766268725</x:v>
      </x:c>
      <x:c r="Q249" s="102" t="n">
        <x:v>0.00005789649867948686</x:v>
      </x:c>
      <x:c r="R249" s="102" t="n">
        <x:v>-0.0011712901006416365</x:v>
      </x:c>
      <x:c r="S249" s="102" t="n">
        <x:v>0.001457651556718195</x:v>
      </x:c>
      <x:c r="T249" s="102" t="n">
        <x:v>0</x:v>
      </x:c>
      <x:c r="U249" s="102" t="n">
        <x:v>0.004174868000671182</x:v>
      </x:c>
      <x:c r="V249" s="105" t="n">
        <x:f>C249-U249</x:f>
        <x:v>0</x:v>
      </x:c>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56" t="str">
        <x:v>2025-02</x:v>
      </x:c>
      <x:c r="B250" s="102" t="n">
        <x:v>-0.04259147351515935</x:v>
      </x:c>
      <x:c r="C250" s="102" t="n">
        <x:v>-0.0114589275303901</x:v>
      </x:c>
      <x:c r="D250" s="102" t="n">
        <x:v>-0.03113254598476925</x:v>
      </x:c>
      <x:c r="E250" s="104" t="n">
        <x:v>4127.95392857143</x:v>
      </x:c>
      <x:c r="F250" s="104" t="n">
        <x:v>4258.489046251271</x:v>
      </x:c>
      <x:c r="G250" s="102" t="n">
        <x:v>0.0036109531956773125</x:v>
      </x:c>
      <x:c r="H250" s="102" t="n">
        <x:v>0.0018735924320380667</x:v>
      </x:c>
      <x:c r="I250" s="102" t="n">
        <x:v>0.0005134572824734752</x:v>
      </x:c>
      <x:c r="J250" s="102" t="n">
        <x:v>0.00027231162451210605</x:v>
      </x:c>
      <x:c r="K250" s="102" t="n">
        <x:v>0.00008584877444620889</x:v>
      </x:c>
      <x:c r="L250" s="102" t="n">
        <x:v>-0.004691923811731056</x:v>
      </x:c>
      <x:c r="M250" s="102" t="n">
        <x:v>0.0002057732823485475</x:v>
      </x:c>
      <x:c r="N250" s="102" t="n">
        <x:v>0.002974028714432955</x:v>
      </x:c>
      <x:c r="O250" s="102" t="n">
        <x:v>-0.0011482066860429513</x:v>
      </x:c>
      <x:c r="P250" s="102" t="n">
        <x:v>-0.0033788799535774032</x:v>
      </x:c>
      <x:c r="Q250" s="102" t="n">
        <x:v>-0.00008678460021674892</x:v>
      </x:c>
      <x:c r="R250" s="102" t="n">
        <x:v>-0.0011268859984783046</x:v>
      </x:c>
      <x:c r="S250" s="102" t="n">
        <x:v>-0.01056221178627231</x:v>
      </x:c>
      <x:c r="T250" s="102" t="n">
        <x:v>0</x:v>
      </x:c>
      <x:c r="U250" s="102" t="n">
        <x:v>-0.011458927530390102</x:v>
      </x:c>
      <x:c r="V250" s="105" t="n">
        <x:f>C250-U250</x:f>
        <x:v>1.734723475976807e-18</x:v>
      </x:c>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56" t="str">
        <x:v>2025-03</x:v>
      </x:c>
      <x:c r="B251" s="102" t="n">
        <x:v>0.002354468349382799</x:v>
      </x:c>
      <x:c r="C251" s="102" t="n">
        <x:v>0.010617173385978357</x:v>
      </x:c>
      <x:c r="D251" s="102" t="n">
        <x:v>-0.008262705036595559</x:v>
      </x:c>
      <x:c r="E251" s="104" t="n">
        <x:v>4137.684516129031</x:v>
      </x:c>
      <x:c r="F251" s="104" t="n">
        <x:v>4172.014617254025</x:v>
      </x:c>
      <x:c r="G251" s="102" t="n">
        <x:v>0.0036109531956773125</x:v>
      </x:c>
      <x:c r="H251" s="102" t="n">
        <x:v>0.0013806988717389227</x:v>
      </x:c>
      <x:c r="I251" s="102" t="n">
        <x:v>0.0006182919786557444</x:v>
      </x:c>
      <x:c r="J251" s="102" t="n">
        <x:v>0</x:v>
      </x:c>
      <x:c r="K251" s="102" t="n">
        <x:v>0.00022918426549864242</x:v>
      </x:c>
      <x:c r="L251" s="102" t="n">
        <x:v>-0.00805225439562887</x:v>
      </x:c>
      <x:c r="M251" s="102" t="n">
        <x:v>0.004287590638522471</x:v>
      </x:c>
      <x:c r="N251" s="102" t="n">
        <x:v>0.006029173781449694</x:v>
      </x:c>
      <x:c r="O251" s="102" t="n">
        <x:v>-0.0023387843588428803</x:v>
      </x:c>
      <x:c r="P251" s="102" t="n">
        <x:v>0.011208230466033189</x:v>
      </x:c>
      <x:c r="Q251" s="102" t="n">
        <x:v>0.000023407571656417727</x:v>
      </x:c>
      <x:c r="R251" s="102" t="n">
        <x:v>-0.0012432385023291666</x:v>
      </x:c>
      <x:c r="S251" s="102" t="n">
        <x:v>-0.005136080126453116</x:v>
      </x:c>
      <x:c r="T251" s="102" t="n">
        <x:v>0</x:v>
      </x:c>
      <x:c r="U251" s="102" t="n">
        <x:v>0.010617173385978361</x:v>
      </x:c>
      <x:c r="V251" s="105" t="n">
        <x:f>C251-U251</x:f>
        <x:v>-3.469446951953614e-18</x:v>
      </x:c>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56" t="str">
        <x:v>2025-04</x:v>
      </x:c>
      <x:c r="B252" s="102" t="n">
        <x:v>0.03387695239867128</x:v>
      </x:c>
      <x:c r="C252" s="102" t="n">
        <x:v>0.007242865236164248</x:v>
      </x:c>
      <x:c r="D252" s="102" t="n">
        <x:v>0.02663408716250703</x:v>
      </x:c>
      <x:c r="E252" s="104" t="n">
        <x:v>4280.2580000000025</x:v>
      </x:c>
      <x:c r="F252" s="104" t="n">
        <x:v>4167.761999562344</x:v>
      </x:c>
      <x:c r="G252" s="102" t="n">
        <x:v>0.0036109531956773125</x:v>
      </x:c>
      <x:c r="H252" s="102" t="n">
        <x:v>0.0024692778480092875</x:v>
      </x:c>
      <x:c r="I252" s="102" t="n">
        <x:v>0.001012641341094655</x:v>
      </x:c>
      <x:c r="J252" s="102" t="n">
        <x:v>0</x:v>
      </x:c>
      <x:c r="K252" s="102" t="n">
        <x:v>0.0002762357946771944</x:v>
      </x:c>
      <x:c r="L252" s="102" t="n">
        <x:v>-0.010525196498852526</x:v>
      </x:c>
      <x:c r="M252" s="102" t="n">
        <x:v>0.006467917923893775</x:v>
      </x:c>
      <x:c r="N252" s="102" t="n">
        <x:v>0.005323320767389257</x:v>
      </x:c>
      <x:c r="O252" s="102" t="n">
        <x:v>-0.001435303106833243</x:v>
      </x:c>
      <x:c r="P252" s="102" t="n">
        <x:v>-0.0007481875861412748</x:v>
      </x:c>
      <x:c r="Q252" s="102" t="n">
        <x:v>0.00003228818670122113</x:v>
      </x:c>
      <x:c r="R252" s="102" t="n">
        <x:v>-0.0013676640720821107</x:v>
      </x:c>
      <x:c r="S252" s="102" t="n">
        <x:v>0.002126581442630698</x:v>
      </x:c>
      <x:c r="T252" s="102" t="n">
        <x:v>0</x:v>
      </x:c>
      <x:c r="U252" s="102" t="n">
        <x:v>0.0072428652361642455</x:v>
      </x:c>
      <x:c r="V252" s="105" t="n">
        <x:f>C252-U252</x:f>
        <x:v>2.6020852139652106e-18</x:v>
      </x:c>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56" t="str">
        <x:v>2025-05</x:v>
      </x:c>
      <x:c r="B253" s="102" t="n">
        <x:v>-0.018125015292536517</x:v>
      </x:c>
      <x:c r="C253" s="102" t="n">
        <x:v>-0.028738935567971483</x:v>
      </x:c>
      <x:c r="D253" s="102" t="n">
        <x:v>0.010613920275434965</x:v>
      </x:c>
      <x:c r="E253" s="104" t="n">
        <x:v>4203.377096774196</x:v>
      </x:c>
      <x:c r="F253" s="104" t="n">
        <x:v>4158.998718287905</x:v>
      </x:c>
      <x:c r="G253" s="102" t="n">
        <x:v>0.0036109531956773125</x:v>
      </x:c>
      <x:c r="H253" s="102" t="n">
        <x:v>0.0021001831530370924</x:v>
      </x:c>
      <x:c r="I253" s="102" t="n">
        <x:v>0.0008584535810436025</x:v>
      </x:c>
      <x:c r="J253" s="102" t="n">
        <x:v>0</x:v>
      </x:c>
      <x:c r="K253" s="102" t="n">
        <x:v>-0.00025304619163176036</x:v>
      </x:c>
      <x:c r="L253" s="102" t="n">
        <x:v>-0.009141957276553366</x:v>
      </x:c>
      <x:c r="M253" s="102" t="n">
        <x:v>-0.007575577662371829</x:v>
      </x:c>
      <x:c r="N253" s="102" t="n">
        <x:v>-0.0021200532853973674</x:v>
      </x:c>
      <x:c r="O253" s="102" t="n">
        <x:v>-0.0027377995968447697</x:v>
      </x:c>
      <x:c r="P253" s="102" t="n">
        <x:v>-0.003314601628359755</x:v>
      </x:c>
      <x:c r="Q253" s="102" t="n">
        <x:v>-0.0000471969328782671</x:v>
      </x:c>
      <x:c r="R253" s="102" t="n">
        <x:v>-0.0014425618835505797</x:v>
      </x:c>
      <x:c r="S253" s="102" t="n">
        <x:v>-0.008675731040141795</x:v>
      </x:c>
      <x:c r="T253" s="102" t="n">
        <x:v>0</x:v>
      </x:c>
      <x:c r="U253" s="102" t="n">
        <x:v>-0.028738935567971483</x:v>
      </x:c>
      <x:c r="V253" s="105" t="n">
        <x:f>C253-U253</x:f>
        <x:v>0</x:v>
      </x:c>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56" t="str">
        <x:v>2025-06</x:v>
      </x:c>
      <x:c r="B254" s="102" t="n">
        <x:v>-0.021617671767732105</x:v>
      </x:c>
      <x:c r="C254" s="102" t="n">
        <x:v>-0.015469042891150689</x:v>
      </x:c>
      <x:c r="D254" s="102" t="n">
        <x:v>-0.0061486288765814166</x:v>
      </x:c>
      <x:c r="E254" s="104" t="n">
        <x:v>4113.4850000000015</x:v>
      </x:c>
      <x:c r="F254" s="104" t="n">
        <x:v>4138.855208725345</x:v>
      </x:c>
      <x:c r="G254" s="102" t="n">
        <x:v>0.0036109531956773125</x:v>
      </x:c>
      <x:c r="H254" s="102" t="n">
        <x:v>-0.0038938682521876566</x:v>
      </x:c>
      <x:c r="I254" s="102" t="n">
        <x:v>0.000685494520188837</x:v>
      </x:c>
      <x:c r="J254" s="102" t="n">
        <x:v>0.0024027496280480025</x:v>
      </x:c>
      <x:c r="K254" s="102" t="n">
        <x:v>0.00007563747601470516</x:v>
      </x:c>
      <x:c r="L254" s="102" t="n">
        <x:v>-0.009018783306625118</x:v>
      </x:c>
      <x:c r="M254" s="102" t="n">
        <x:v>-0.0018009528689493805</x:v>
      </x:c>
      <x:c r="N254" s="102" t="n">
        <x:v>0.004491841036690797</x:v>
      </x:c>
      <x:c r="O254" s="102" t="n">
        <x:v>0.00013488309003925364</x:v>
      </x:c>
      <x:c r="P254" s="102" t="n">
        <x:v>-0.005261108943079071</x:v>
      </x:c>
      <x:c r="Q254" s="102" t="n">
        <x:v>0.00003855793842501628</x:v>
      </x:c>
      <x:c r="R254" s="102" t="n">
        <x:v>-0.0013669278205345908</x:v>
      </x:c>
      <x:c r="S254" s="102" t="n">
        <x:v>-0.005567518584858797</x:v>
      </x:c>
      <x:c r="T254" s="102" t="n">
        <x:v>0</x:v>
      </x:c>
      <x:c r="U254" s="102" t="n">
        <x:v>-0.015469042891150692</x:v>
      </x:c>
      <x:c r="V254" s="105" t="n">
        <x:f>C254-U254</x:f>
        <x:v>3.469446951953614e-18</x:v>
      </x:c>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56" t="str">
        <x:v>2025-07</x:v>
      </x:c>
      <x:c r="B255" s="102" t="n">
        <x:v>-0.01781593435753237</x:v>
      </x:c>
      <x:c r="C255" s="102" t="n">
        <x:v>-0.009599422185559014</x:v>
      </x:c>
      <x:c r="D255" s="102" t="n">
        <x:v>-0.008216512171973356</x:v>
      </x:c>
      <x:c r="E255" s="104" t="n">
        <x:v>4040.8483870967743</x:v>
      </x:c>
      <x:c r="F255" s="104" t="n">
        <x:v>4074.186842407018</x:v>
      </x:c>
      <x:c r="G255" s="102" t="n">
        <x:v>0.0036109531956773125</x:v>
      </x:c>
      <x:c r="H255" s="102" t="n">
        <x:v>0.00021411639239943465</x:v>
      </x:c>
      <x:c r="I255" s="102" t="n">
        <x:v>0.0003347801976808814</x:v>
      </x:c>
      <x:c r="J255" s="102" t="n">
        <x:v>0.0000800916542682644</x:v>
      </x:c>
      <x:c r="K255" s="102" t="n">
        <x:v>-0.00020994672563190862</x:v>
      </x:c>
      <x:c r="L255" s="102" t="n">
        <x:v>-0.0025051736757329334</x:v>
      </x:c>
      <x:c r="M255" s="102" t="n">
        <x:v>-0.001976547444557407</x:v>
      </x:c>
      <x:c r="N255" s="102" t="n">
        <x:v>-0.0077423131630379675</x:v>
      </x:c>
      <x:c r="O255" s="102" t="n">
        <x:v>-0.0019935902001219532</x:v>
      </x:c>
      <x:c r="P255" s="102" t="n">
        <x:v>0.0028258564361255145</x:v>
      </x:c>
      <x:c r="Q255" s="102" t="n">
        <x:v>-0.000035875037319242915</x:v>
      </x:c>
      <x:c r="R255" s="102" t="n">
        <x:v>-0.0010933486617910428</x:v>
      </x:c>
      <x:c r="S255" s="102" t="n">
        <x:v>-0.0011084251535179663</x:v>
      </x:c>
      <x:c r="T255" s="102" t="n">
        <x:v>0</x:v>
      </x:c>
      <x:c r="U255" s="102" t="n">
        <x:v>-0.009599422185559016</x:v>
      </x:c>
      <x:c r="V255" s="105" t="n">
        <x:f>C255-U255</x:f>
        <x:v>1.734723475976807e-18</x:v>
      </x:c>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56" t="str">
        <x:v>2025-08</x:v>
      </x:c>
      <x:c r="B256" s="102" t="n">
        <x:v>0.0016229021438416424</x:v>
      </x:c>
      <x:c r="C256" s="102" t="n">
        <x:v>0.00496965390406101</x:v>
      </x:c>
      <x:c r="D256" s="102" t="n">
        <x:v>-0.0033467517602193677</x:v>
      </x:c>
      <x:c r="E256" s="104" t="n">
        <x:v>4047.4116129032236</x:v>
      </x:c>
      <x:c r="F256" s="104" t="n">
        <x:v>4060.9799871686077</x:v>
      </x:c>
      <x:c r="G256" s="102" t="n">
        <x:v>0.0036109531956773125</x:v>
      </x:c>
      <x:c r="H256" s="102" t="n">
        <x:v>0.00172662927668074</x:v>
      </x:c>
      <x:c r="I256" s="102" t="n">
        <x:v>0.00075403556595167</x:v>
      </x:c>
      <x:c r="J256" s="102" t="n">
        <x:v>0</x:v>
      </x:c>
      <x:c r="K256" s="102" t="n">
        <x:v>-0.00004235116292824013</x:v>
      </x:c>
      <x:c r="L256" s="102" t="n">
        <x:v>0.0024114989184471363</x:v>
      </x:c>
      <x:c r="M256" s="102" t="n">
        <x:v>-0.0006673962729082392</x:v>
      </x:c>
      <x:c r="N256" s="102" t="n">
        <x:v>-0.00005226221188790891</x:v>
      </x:c>
      <x:c r="O256" s="102" t="n">
        <x:v>0.0009816856177660637</x:v>
      </x:c>
      <x:c r="P256" s="102" t="n">
        <x:v>-0.0019144365136762548</x:v>
      </x:c>
      <x:c r="Q256" s="102" t="n">
        <x:v>0.00006362385791535425</x:v>
      </x:c>
      <x:c r="R256" s="102" t="n">
        <x:v>-0.0011126564647912919</x:v>
      </x:c>
      <x:c r="S256" s="102" t="n">
        <x:v>-0.0007896699021853326</x:v>
      </x:c>
      <x:c r="T256" s="102" t="n">
        <x:v>0</x:v>
      </x:c>
      <x:c r="U256" s="102" t="n">
        <x:v>0.00496965390406101</x:v>
      </x:c>
      <x:c r="V256" s="105" t="n">
        <x:f>C256-U256</x:f>
        <x:v>0</x:v>
      </x:c>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56" t="str">
        <x:v>2025-09</x:v>
      </x:c>
      <x:c r="B257" s="102" t="n">
        <x:v>-0.031421788509449655</x:v>
      </x:c>
      <x:c r="C257" s="102" t="n">
        <x:v>-0.015392104674821222</x:v>
      </x:c>
      <x:c r="D257" s="102" t="n">
        <x:v>-0.016029683834628432</x:v>
      </x:c>
      <x:c r="E257" s="104" t="n">
        <x:v>3922.211999999997</x:v>
      </x:c>
      <x:c r="F257" s="104" t="n">
        <x:v>3985.590429295309</x:v>
      </x:c>
      <x:c r="G257" s="102" t="n">
        <x:v>0.0036109531956773125</x:v>
      </x:c>
      <x:c r="H257" s="102" t="n">
        <x:v>-0.00006426246191481425</x:v>
      </x:c>
      <x:c r="I257" s="102" t="n">
        <x:v>0.0004250432155280151</x:v>
      </x:c>
      <x:c r="J257" s="102" t="n">
        <x:v>0</x:v>
      </x:c>
      <x:c r="K257" s="102" t="n">
        <x:v>-0.00025687525444992673</x:v>
      </x:c>
      <x:c r="L257" s="102" t="n">
        <x:v>-0.0028479219976241745</x:v>
      </x:c>
      <x:c r="M257" s="102" t="n">
        <x:v>0.00004209633447287963</x:v>
      </x:c>
      <x:c r="N257" s="102" t="n">
        <x:v>-0.001966548811846755</x:v>
      </x:c>
      <x:c r="O257" s="102" t="n">
        <x:v>-0.002035151633255598</x:v>
      </x:c>
      <x:c r="P257" s="102" t="n">
        <x:v>-0.00698349742208514</x:v>
      </x:c>
      <x:c r="Q257" s="102" t="n">
        <x:v>-0.00007552817709230992</x:v>
      </x:c>
      <x:c r="R257" s="102" t="n">
        <x:v>-0.001104353763421464</x:v>
      </x:c>
      <x:c r="S257" s="102" t="n">
        <x:v>-0.004136057898809249</x:v>
      </x:c>
      <x:c r="T257" s="102" t="n">
        <x:v>0</x:v>
      </x:c>
      <x:c r="U257" s="102" t="n">
        <x:v>-0.015392104674821223</x:v>
      </x:c>
      <x:c r="V257" s="105" t="n">
        <x:f>C257-U257</x:f>
        <x:v>1.734723475976807e-18</x:v>
      </x:c>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56" t="str">
        <x:v>2025-10</x:v>
      </x:c>
      <x:c r="B258" s="102" t="n">
        <x:v>-0.011376234994651568</x:v>
      </x:c>
      <x:c r="C258" s="102" t="n">
        <x:v>0.005836141796084799</x:v>
      </x:c>
      <x:c r="D258" s="102" t="n">
        <x:v>-0.017212376790736367</x:v>
      </x:c>
      <x:c r="E258" s="104" t="n">
        <x:v>3877.8448387096764</x:v>
      </x:c>
      <x:c r="F258" s="104" t="n">
        <x:v>3945.1695118714965</x:v>
      </x:c>
      <x:c r="G258" s="102" t="n">
        <x:v>0.0036109531956773125</x:v>
      </x:c>
      <x:c r="H258" s="102" t="n">
        <x:v>0.0019643467248505035</x:v>
      </x:c>
      <x:c r="I258" s="102" t="n">
        <x:v>0.00030769622957312813</x:v>
      </x:c>
      <x:c r="J258" s="102" t="n">
        <x:v>-0.0010924501642191606</x:v>
      </x:c>
      <x:c r="K258" s="102" t="n">
        <x:v>-0.0001777729336007165</x:v>
      </x:c>
      <x:c r="L258" s="102" t="n">
        <x:v>0.003813542160914086</x:v>
      </x:c>
      <x:c r="M258" s="102" t="n">
        <x:v>0.0023069592466876455</x:v>
      </x:c>
      <x:c r="N258" s="102" t="n">
        <x:v>0.0009567366298898731</x:v>
      </x:c>
      <x:c r="O258" s="102" t="n">
        <x:v>-0.001228748808939791</x:v>
      </x:c>
      <x:c r="P258" s="102" t="n">
        <x:v>-0.0016391126403599598</x:v>
      </x:c>
      <x:c r="Q258" s="102" t="n">
        <x:v>0.000015933708393116354</x:v>
      </x:c>
      <x:c r="R258" s="102" t="n">
        <x:v>-0.0010984358476151973</x:v>
      </x:c>
      <x:c r="S258" s="102" t="n">
        <x:v>-0.001903505705166041</x:v>
      </x:c>
      <x:c r="T258" s="102" t="n">
        <x:v>0</x:v>
      </x:c>
      <x:c r="U258" s="102" t="n">
        <x:v>0.005836141796084799</x:v>
      </x:c>
      <x:c r="V258" s="105" t="n">
        <x:f>C258-U258</x:f>
        <x:v>0</x:v>
      </x:c>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56" t="str">
        <x:v>2025-11</x:v>
      </x:c>
      <x:c r="B259" s="102" t="n">
        <x:v>-0.02392106973964836</x:v>
      </x:c>
      <x:c r="C259" s="102" t="n">
        <x:v>-0.0010812169334868409</x:v>
      </x:c>
      <x:c r="D259" s="102" t="n">
        <x:v>-0.02283985280616152</x:v>
      </x:c>
      <x:c r="E259" s="104" t="n">
        <x:v>3786.1833333333366</x:v>
      </x:c>
      <x:c r="F259" s="104" t="n">
        <x:v>3873.6543130465184</x:v>
      </x:c>
      <x:c r="G259" s="102" t="n">
        <x:v>0.0036109531956773125</x:v>
      </x:c>
      <x:c r="H259" s="102" t="n">
        <x:v>0.0004398268192940522</x:v>
      </x:c>
      <x:c r="I259" s="102" t="n">
        <x:v>0.0002710551856460859</x:v>
      </x:c>
      <x:c r="J259" s="102" t="n">
        <x:v>-0.0012910774668044578</x:v>
      </x:c>
      <x:c r="K259" s="102" t="n">
        <x:v>-0.0001957125777983707</x:v>
      </x:c>
      <x:c r="L259" s="102" t="n">
        <x:v>0.0033941478923385964</x:v>
      </x:c>
      <x:c r="M259" s="102" t="n">
        <x:v>0.0015109404917092915</x:v>
      </x:c>
      <x:c r="N259" s="102" t="n">
        <x:v>0.006223968237932714</x:v>
      </x:c>
      <x:c r="O259" s="102" t="n">
        <x:v>-0.00034882929001324485</x:v>
      </x:c>
      <x:c r="P259" s="102" t="n">
        <x:v>-0.009395220719840908</x:v>
      </x:c>
      <x:c r="Q259" s="102" t="n">
        <x:v>-0.000009379305115419758</x:v>
      </x:c>
      <x:c r="R259" s="102" t="n">
        <x:v>-0.0013820061197064963</x:v>
      </x:c>
      <x:c r="S259" s="102" t="n">
        <x:v>-0.0039098832768059985</x:v>
      </x:c>
      <x:c r="T259" s="102" t="n">
        <x:v>0</x:v>
      </x:c>
      <x:c r="U259" s="102" t="n">
        <x:v>-0.0010812169334868437</x:v>
      </x:c>
      <x:c r="V259" s="105" t="n">
        <x:f>C259-U259</x:f>
        <x:v>2.8189256484623115e-18</x:v>
      </x:c>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56" t="str">
        <x:v>2025-12</x:v>
      </x:c>
      <x:c r="B260" s="102" t="n">
        <x:v>0.0013958415424308868</x:v>
      </x:c>
      <x:c r="C260" s="102" t="n">
        <x:v>0.0013989112857678916</x:v>
      </x:c>
      <x:c r="D260" s="102" t="n">
        <x:v>-0.0000030697433370048717</x:v>
      </x:c>
      <x:c r="E260" s="104" t="n">
        <x:v>3791.471935483873</x:v>
      </x:c>
      <x:c r="F260" s="104" t="n">
        <x:v>3791.4835743474514</x:v>
      </x:c>
      <x:c r="G260" s="102" t="n">
        <x:v>0.0036109531956773125</x:v>
      </x:c>
      <x:c r="H260" s="102" t="n">
        <x:v>0.000749797986497078</x:v>
      </x:c>
      <x:c r="I260" s="102" t="n">
        <x:v>0.00018183370744763783</x:v>
      </x:c>
      <x:c r="J260" s="102" t="n">
        <x:v>-0.002085586677145664</x:v>
      </x:c>
      <x:c r="K260" s="102" t="n">
        <x:v>0.00038385489482104055</x:v>
      </x:c>
      <x:c r="L260" s="102" t="n">
        <x:v>-0.006376839285840361</x:v>
      </x:c>
      <x:c r="M260" s="102" t="n">
        <x:v>-0.004079006432893421</x:v>
      </x:c>
      <x:c r="N260" s="102" t="n">
        <x:v>0.003348721812557302</x:v>
      </x:c>
      <x:c r="O260" s="102" t="n">
        <x:v>-0.0006827961051612884</x:v>
      </x:c>
      <x:c r="P260" s="102" t="n">
        <x:v>0.011536137696134274</x:v>
      </x:c>
      <x:c r="Q260" s="102" t="n">
        <x:v>-0.00003383384662456789</x:v>
      </x:c>
      <x:c r="R260" s="102" t="n">
        <x:v>-0.0013022687793361623</x:v>
      </x:c>
      <x:c r="S260" s="102" t="n">
        <x:v>-0.0038520568803652867</x:v>
      </x:c>
      <x:c r="T260" s="102" t="n">
        <x:v>0</x:v>
      </x:c>
      <x:c r="U260" s="102" t="n">
        <x:v>0.0013989112857678916</x:v>
      </x:c>
      <x:c r="V260" s="105" t="n">
        <x:f>C260-U260</x:f>
        <x:v>0</x:v>
      </x:c>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56" t="str">
        <x:v>2026-01</x:v>
      </x:c>
      <x:c r="B261" s="102" t="n">
        <x:v>-0.02361127658400619</x:v>
      </x:c>
      <x:c r="C261" s="102" t="n">
        <x:v>-0.005307763504171236</x:v>
      </x:c>
      <x:c r="D261" s="102" t="n">
        <x:v>-0.018303513079834955</x:v>
      </x:c>
      <x:c r="E261" s="104" t="n">
        <x:v>3702.999032258066</x:v>
      </x:c>
      <x:c r="F261" s="104" t="n">
        <x:v>3771.4010120953544</x:v>
      </x:c>
      <x:c r="G261" s="102" t="n">
        <x:v>0.0036109531956773125</x:v>
      </x:c>
      <x:c r="H261" s="102" t="n">
        <x:v>-0.002376869456392505</x:v>
      </x:c>
      <x:c r="I261" s="102" t="n">
        <x:v>0.00036205377892857966</x:v>
      </x:c>
      <x:c r="J261" s="102" t="n">
        <x:v>-0.0015890184206824036</x:v>
      </x:c>
      <x:c r="K261" s="102" t="n">
        <x:v>-0.00022224232356853792</x:v>
      </x:c>
      <x:c r="L261" s="102" t="n">
        <x:v>-0.0050172022287617276</x:v>
      </x:c>
      <x:c r="M261" s="102" t="n">
        <x:v>0.0006754287483117513</x:v>
      </x:c>
      <x:c r="N261" s="102" t="n">
        <x:v>-0.0020731242612550926</x:v>
      </x:c>
      <x:c r="O261" s="102" t="n">
        <x:v>-0.000781800184616144</x:v>
      </x:c>
      <x:c r="P261" s="102" t="n">
        <x:v>0.01255915634334114</x:v>
      </x:c>
      <x:c r="Q261" s="102" t="n">
        <x:v>0.00009089680550053574</x:v>
      </x:c>
      <x:c r="R261" s="102" t="n">
        <x:v>-0.001228461000599728</x:v>
      </x:c>
      <x:c r="S261" s="102" t="n">
        <x:v>-0.009317534500054419</x:v>
      </x:c>
      <x:c r="T261" s="102" t="n">
        <x:v>0</x:v>
      </x:c>
      <x:c r="U261" s="102" t="n">
        <x:v>-0.005307763504171237</x:v>
      </x:c>
      <x:c r="V261" s="105" t="n">
        <x:f>C261-U261</x:f>
        <x:v>8.673617379884035e-19</x:v>
      </x:c>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56" t="str">
        <x:v>2026-02</x:v>
      </x:c>
      <x:c r="B262" s="102" t="n">
        <x:v>-0.007415384769933198</x:v>
      </x:c>
      <x:c r="C262" s="102" t="n">
        <x:v>-0.012856341624569431</x:v>
      </x:c>
      <x:c r="D262" s="102" t="n">
        <x:v>0.005440956854636234</x:v>
      </x:c>
      <x:c r="E262" s="104" t="n">
        <x:v>3675.64142857143</x:v>
      </x:c>
      <x:c r="F262" s="104" t="n">
        <x:v>3655.696730469948</x:v>
      </x:c>
      <x:c r="G262" s="102" t="n">
        <x:v>0.0036109531956773125</x:v>
      </x:c>
      <x:c r="H262" s="102" t="n">
        <x:v>-0.002357257380114225</x:v>
      </x:c>
      <x:c r="I262" s="102" t="n">
        <x:v>0.00005028826498267538</x:v>
      </x:c>
      <x:c r="J262" s="102" t="n">
        <x:v>-0.0007945092103412061</x:v>
      </x:c>
      <x:c r="K262" s="102" t="n">
        <x:v>-0.0008010106802614549</x:v>
      </x:c>
      <x:c r="L262" s="102" t="n">
        <x:v>-0.00699591498539744</x:v>
      </x:c>
      <x:c r="M262" s="102" t="n">
        <x:v>0.002913384462201527</x:v>
      </x:c>
      <x:c r="N262" s="102" t="n">
        <x:v>0.008014377588984838</x:v>
      </x:c>
      <x:c r="O262" s="102" t="n">
        <x:v>-0.0019627230782212853</x:v>
      </x:c>
      <x:c r="P262" s="102" t="n">
        <x:v>-0.0043059215643574105</x:v>
      </x:c>
      <x:c r="Q262" s="102" t="n">
        <x:v>-0.00004408783526870027</x:v>
      </x:c>
      <x:c r="R262" s="102" t="n">
        <x:v>-0.0015042350418405872</x:v>
      </x:c>
      <x:c r="S262" s="102" t="n">
        <x:v>-0.008679685360613476</x:v>
      </x:c>
      <x:c r="T262" s="102" t="n">
        <x:v>0</x:v>
      </x:c>
      <x:c r="U262" s="102" t="n">
        <x:v>-0.012856341624569431</x:v>
      </x:c>
      <x:c r="V262" s="105" t="n">
        <x:f>C262-U262</x:f>
        <x:v>0</x:v>
      </x:c>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56" t="str">
        <x:v>2026-03</x:v>
      </x:c>
      <x:c r="B263" s="102" t="n">
        <x:v>0.011339189101967406</x:v>
      </x:c>
      <x:c r="C263" s="102" t="n">
        <x:v>0.02221777029744263</x:v>
      </x:c>
      <x:c r="D263" s="102" t="n">
        <x:v>-0.010878581195475225</x:v>
      </x:c>
      <x:c r="E263" s="104" t="n">
        <x:v>3717.5574193548405</x:v>
      </x:c>
      <x:c r="F263" s="104" t="n">
        <x:v>3758.2199438659595</x:v>
      </x:c>
      <x:c r="G263" s="102" t="n">
        <x:v>0.0036109531956773125</x:v>
      </x:c>
      <x:c r="H263" s="102" t="n">
        <x:v>-0.014176322454703863</x:v>
      </x:c>
      <x:c r="I263" s="102" t="n">
        <x:v>0.0003335801459081352</x:v>
      </x:c>
      <x:c r="J263" s="102" t="n">
        <x:v>-0.009576673517505595</x:v>
      </x:c>
      <x:c r="K263" s="102" t="n">
        <x:v>0.0004902034335103339</x:v>
      </x:c>
      <x:c r="L263" s="102" t="n">
        <x:v>0.010611903132033843</x:v>
      </x:c>
      <x:c r="M263" s="102" t="n">
        <x:v>0.004877100493573916</x:v>
      </x:c>
      <x:c r="N263" s="102" t="n">
        <x:v>0.003263513173485181</x:v>
      </x:c>
      <x:c r="O263" s="102" t="n">
        <x:v>-0.0016664588093008713</x:v>
      </x:c>
      <x:c r="P263" s="102" t="n">
        <x:v>0.01660524354578122</x:v>
      </x:c>
      <x:c r="Q263" s="102" t="n">
        <x:v>0.000054413594082784596</x:v>
      </x:c>
      <x:c r="R263" s="102" t="n">
        <x:v>-0.0014597451489353104</x:v>
      </x:c>
      <x:c r="S263" s="102" t="n">
        <x:v>0.009250059513835545</x:v>
      </x:c>
      <x:c r="T263" s="102" t="n">
        <x:v>0</x:v>
      </x:c>
      <x:c r="U263" s="102" t="n">
        <x:v>0.02221777029744263</x:v>
      </x:c>
      <x:c r="V263" s="105" t="n">
        <x:f>C263-U263</x:f>
        <x:v>0</x:v>
      </x:c>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56" t="str">
        <x:v>2026-04</x:v>
      </x:c>
      <x:c r="B264" s="102" t="n">
        <x:v>-0.027278505311951307</x:v>
      </x:c>
      <x:c r="C264" s="102" t="n">
        <x:v>-0.03185194339211191</x:v>
      </x:c>
      <x:c r="D264" s="102" t="n">
        <x:v>0.0045734380801606064</x:v>
      </x:c>
      <x:c r="E264" s="104" t="n">
        <x:v>3617.5186666666664</x:v>
      </x:c>
      <x:c r="F264" s="104" t="n">
        <x:v>3601.011944049407</x:v>
      </x:c>
      <x:c r="G264" s="102" t="n">
        <x:v>0.0036109531956773125</x:v>
      </x:c>
      <x:c r="H264" s="102" t="n">
        <x:v>-0.004861981218961273</x:v>
      </x:c>
      <x:c r="I264" s="102" t="n">
        <x:v>0.0006491266878498192</x:v>
      </x:c>
      <x:c r="J264" s="102" t="n">
        <x:v>-0.00035469161175947426</x:v>
      </x:c>
      <x:c r="K264" s="102" t="n">
        <x:v>-0.0002420138249276696</x:v>
      </x:c>
      <x:c r="L264" s="102" t="n">
        <x:v>-0.00463368594521494</x:v>
      </x:c>
      <x:c r="M264" s="102" t="n">
        <x:v>-0.004350520706823104</x:v>
      </x:c>
      <x:c r="N264" s="102" t="n">
        <x:v>-0.006033041478072737</x:v>
      </x:c>
      <x:c r="O264" s="102" t="n">
        <x:v>0.0027477746189021194</x:v>
      </x:c>
      <x:c r="P264" s="102" t="n">
        <x:v>-0.009565525293152782</x:v>
      </x:c>
      <x:c r="Q264" s="102" t="n">
        <x:v>0.00004034364361629159</x:v>
      </x:c>
      <x:c r="R264" s="102" t="n">
        <x:v>-0.0011653284382222705</x:v>
      </x:c>
      <x:c r="S264" s="102" t="n">
        <x:v>-0.007693353021023208</x:v>
      </x:c>
      <x:c r="T264" s="102" t="n">
        <x:v>0</x:v>
      </x:c>
      <x:c r="U264" s="102" t="n">
        <x:v>-0.03185194339211192</x:v>
      </x:c>
      <x:c r="V264" s="105" t="n">
        <x:f>C264-U264</x:f>
        <x:v>6.938893903907228e-18</x:v>
      </x:c>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W1"/>
    <x:mergeCell ref="A2:W3"/>
    <x:mergeCell ref="I12:L12"/>
  </x:mergeCells>
  <x:conditionalFormatting sqref="E6:E19">
    <x:cfRule type="cellIs" dxfId="2" priority="1" operator="lessThan">
      <x:formula>0.05</x:formula>
    </x:cfRule>
  </x:conditionalFormatting>
  <x:pageMargins left="0.7" right="0.7" top="0.75" bottom="0.75" header="0.3" footer="0.3"/>
  <x:drawing xmlns:r="http://schemas.openxmlformats.org/officeDocument/2006/relationships" r:id="R2fd4bbe99f4a443e"/>
  <x:tableParts count="3">
    <x:tablePart xmlns:r="http://schemas.openxmlformats.org/officeDocument/2006/relationships" r:id="R5bbf43a833614746"/>
    <x:tablePart xmlns:r="http://schemas.openxmlformats.org/officeDocument/2006/relationships" r:id="R352a6c4f148440b2"/>
    <x:tablePart xmlns:r="http://schemas.openxmlformats.org/officeDocument/2006/relationships" r:id="R9eaa280dd43240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ht="30" customHeight="1">
      <x:c r="A1" s="4" t="str">
        <x:v>Peso explicativo de cada factor: descomposición Shapley del R²</x:v>
      </x:c>
      <x:c r="B1" s="4" t="str">
        <x:v>Peso explicativo de cada factor: descomposición Shapley del R²</x:v>
      </x:c>
      <x:c r="C1" s="4" t="str">
        <x:v>Peso explicativo de cada factor: descomposición Shapley del R²</x:v>
      </x:c>
      <x:c r="D1" s="4" t="str">
        <x:v>Peso explicativo de cada factor: descomposición Shapley del R²</x:v>
      </x:c>
      <x:c r="E1" s="4" t="str">
        <x:v>Peso explicativo de cada factor: descomposición Shapley del R²</x:v>
      </x:c>
      <x:c r="F1" s="4" t="str">
        <x:v>Peso explicativo de cada factor: descomposición Shapley del R²</x:v>
      </x:c>
      <x:c r="G1" s="4" t="str">
        <x:v>Peso explicativo de cada factor: descomposición Shapley del R²</x:v>
      </x:c>
      <x:c r="H1" s="4" t="str">
        <x:v>Peso explicativo de cada factor: descomposición Shapley del R²</x:v>
      </x:c>
      <x:c r="I1" s="4" t="str">
        <x:v>Peso explicativo de cada factor: descomposición Shapley del R²</x:v>
      </x:c>
      <x:c r="J1" s="4" t="str">
        <x:v>Peso explicativo de cada factor: descomposición Shapley del R²</x:v>
      </x:c>
      <x:c r="K1" s="4" t="str">
        <x:v>Peso explicativo de cada factor: descomposición Shapley del R²</x:v>
      </x:c>
      <x:c r="L1" s="4" t="str">
        <x:v>Peso explicativo de cada factor: descomposición Shapley del R²</x:v>
      </x:c>
      <x:c r="M1" s="4" t="str">
        <x:v>Peso explicativo de cada factor: descomposición Shapley del R²</x:v>
      </x:c>
      <x:c r="N1" s="4" t="str">
        <x:v>Peso explicativo de cada factor: descomposición Shapley del R²</x:v>
      </x:c>
      <x:c r="O1" s="4" t="str">
        <x:v>Peso explicativo de cada factor: descomposición Shapley del R²</x:v>
      </x:c>
      <x:c r="P1" s="4" t="str">
        <x:v>Peso explicativo de cada factor: descomposición Shapley del R²</x:v>
      </x:c>
      <x:c r="Q1" s="4" t="str">
        <x:v>Peso explicativo de cada factor: descomposición Shapley del R²</x:v>
      </x:c>
      <x:c r="R1" s="4" t="str">
        <x:v>Peso explicativo de cada factor: descomposición Shapley del R²</x:v>
      </x:c>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B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C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D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E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F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G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H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I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J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K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L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M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N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O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P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Q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R2"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B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C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D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E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F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G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H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I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J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K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L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M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N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O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P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Q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R3" s="107" t="str">
        <x:v>La descomposición reparte el R² incremental entre factores promediando todos los órdenes posibles de entrada. Así distribuye la información compartida entre variables correlacionadas. Es una medida descriptiva dentro de muestra, no una participación causal ni una garantía de pronóstico.</x:v>
      </x:c>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22" customHeight="1">
      <x:c r="A5" s="47" t="str">
        <x:v>Control de suma Shapley</x:v>
      </x:c>
      <x:c r="B5" s="47" t="str">
        <x:v>Control de suma Shapley</x:v>
      </x:c>
      <x:c r="C5" s="1"/>
      <x:c r="D5" s="47" t="str">
        <x:v>Reconciliación del R²</x:v>
      </x:c>
      <x:c r="E5" s="47" t="str">
        <x:v>Reconciliación del R²</x:v>
      </x:c>
      <x:c r="F5" s="1"/>
      <x:c r="G5" s="47" t="str">
        <x:v>Control de participaciones</x:v>
      </x:c>
      <x:c r="H5" s="47" t="str">
        <x:v>Control de participaciones</x:v>
      </x:c>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59" t="str">
        <x:v>Suma Shapley</x:v>
      </x:c>
      <x:c r="B6" s="108" t="n">
        <x:f>SUM(C11:C22)</x:f>
        <x:v>0.5773521967484185</x:v>
      </x:c>
      <x:c r="C6" s="1"/>
      <x:c r="D6" s="59" t="str">
        <x:v>R² base + incremental</x:v>
      </x:c>
      <x:c r="E6" s="108" t="n">
        <x:f>MAX(F11:F22)+MAX(H11:H22)</x:f>
        <x:v>0.5951927947559785</x:v>
      </x:c>
      <x:c r="F6" s="1"/>
      <x:c r="G6" s="59" t="str">
        <x:v>Suma peso entre factores</x:v>
      </x:c>
      <x:c r="H6" s="108" t="n">
        <x:f>SUM(D11:D22)</x:f>
        <x:v>1.0000000000000004</x:v>
      </x:c>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59" t="str">
        <x:v>R² incremental</x:v>
      </x:c>
      <x:c r="B7" s="108" t="n">
        <x:f>MAX(H11:H22)</x:f>
        <x:v>0.5773521967484183</x:v>
      </x:c>
      <x:c r="C7" s="1"/>
      <x:c r="D7" s="59" t="str">
        <x:v>R² completo</x:v>
      </x:c>
      <x:c r="E7" s="108" t="n">
        <x:f>MAX(G11:G22)</x:f>
        <x:v>0.5951927947559785</x:v>
      </x:c>
      <x:c r="F7" s="1"/>
      <x:c r="G7" s="59" t="str">
        <x:v>Porción del R² total</x:v>
      </x:c>
      <x:c r="H7" s="108" t="n">
        <x:f>SUM(E11:E22)</x:f>
        <x:v>0.9700255141447498</x:v>
      </x:c>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59" t="str">
        <x:v>Diferencia</x:v>
      </x:c>
      <x:c r="B8" s="108" t="n">
        <x:f>B6-B7</x:f>
        <x:v>2.220446049250313e-16</x:v>
      </x:c>
      <x:c r="C8" s="1"/>
      <x:c r="D8" s="59" t="str">
        <x:v>Diferencia</x:v>
      </x:c>
      <x:c r="E8" s="108" t="n">
        <x:f>E6-E7</x:f>
        <x:v>0</x:v>
      </x:c>
      <x:c r="F8" s="1"/>
      <x:c r="G8" s="59" t="str">
        <x:v>Diferencia frente a 100%</x:v>
      </x:c>
      <x:c r="H8" s="108" t="n">
        <x:f>H6-1</x:f>
        <x:v>4.440892098500626e-16</x:v>
      </x:c>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54" t="str">
        <x:v>Factor</x:v>
      </x:c>
      <x:c r="B10" s="54" t="str">
        <x:v>Grupo</x:v>
      </x:c>
      <x:c r="C10" s="54" t="str">
        <x:v>Shapley R²</x:v>
      </x:c>
      <x:c r="D10" s="54" t="str">
        <x:v>Peso entre factores</x:v>
      </x:c>
      <x:c r="E10" s="54" t="str">
        <x:v>Peso del R² total</x:v>
      </x:c>
      <x:c r="F10" s="54" t="str">
        <x:v>R² base</x:v>
      </x:c>
      <x:c r="G10" s="54" t="str">
        <x:v>R² completo</x:v>
      </x:c>
      <x:c r="H10" s="54" t="str">
        <x:v>R² incremental</x:v>
      </x:c>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30" customHeight="1">
      <x:c r="A11" s="56" t="str">
        <x:v>Monedas regionales</x:v>
      </x:c>
      <x:c r="B11" s="56" t="str">
        <x:v>Regional</x:v>
      </x:c>
      <x:c r="C11" s="73" t="n">
        <x:v>0.15362430879511446</x:v>
      </x:c>
      <x:c r="D11" s="73" t="n">
        <x:v>0.266084219754093</x:v>
      </x:c>
      <x:c r="E11" s="73" t="n">
        <x:v>0.25810848207276854</x:v>
      </x:c>
      <x:c r="F11" s="73" t="n">
        <x:v>0.017840598007560216</x:v>
      </x:c>
      <x:c r="G11" s="73" t="n">
        <x:v>0.5951927947559785</x:v>
      </x:c>
      <x:c r="H11" s="73" t="n">
        <x:v>0.5773521967484183</x:v>
      </x:c>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ht="30" customHeight="1">
      <x:c r="A12" s="56" t="str">
        <x:v>Dólar amplio</x:v>
      </x:c>
      <x:c r="B12" s="56" t="str">
        <x:v>Global</x:v>
      </x:c>
      <x:c r="C12" s="73" t="n">
        <x:v>0.1365760606685034</x:v>
      </x:c>
      <x:c r="D12" s="73" t="n">
        <x:v>0.23655588640293426</x:v>
      </x:c>
      <x:c r="E12" s="73" t="n">
        <x:v>0.22946524533197324</x:v>
      </x:c>
      <x:c r="F12" s="73" t="n">
        <x:v>0.017840598007560216</x:v>
      </x:c>
      <x:c r="G12" s="73" t="n">
        <x:v>0.5951927947559785</x:v>
      </x:c>
      <x:c r="H12" s="73" t="n">
        <x:v>0.5773521967484183</x:v>
      </x:c>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ht="30" customHeight="1">
      <x:c r="A13" s="56" t="str">
        <x:v>Spread TES-Treasury 10 años</x:v>
      </x:c>
      <x:c r="B13" s="56" t="str">
        <x:v>Riesgo local</x:v>
      </x:c>
      <x:c r="C13" s="73" t="n">
        <x:v>0.07881952310617955</x:v>
      </x:c>
      <x:c r="D13" s="73" t="n">
        <x:v>0.13651896286197943</x:v>
      </x:c>
      <x:c r="E13" s="73" t="n">
        <x:v>0.1324268771406995</x:v>
      </x:c>
      <x:c r="F13" s="73" t="n">
        <x:v>0.017840598007560216</x:v>
      </x:c>
      <x:c r="G13" s="73" t="n">
        <x:v>0.5951927947559785</x:v>
      </x:c>
      <x:c r="H13" s="73" t="n">
        <x:v>0.5773521967484183</x:v>
      </x:c>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ht="30" customHeight="1">
      <x:c r="A14" s="56" t="str">
        <x:v>Petróleo Brent</x:v>
      </x:c>
      <x:c r="B14" s="56" t="str">
        <x:v>Global</x:v>
      </x:c>
      <x:c r="C14" s="73" t="n">
        <x:v>0.055173008893095676</x:v>
      </x:c>
      <x:c r="D14" s="73" t="n">
        <x:v>0.0955621355627012</x:v>
      </x:c>
      <x:c r="E14" s="73" t="n">
        <x:v>0.09269770968197945</x:v>
      </x:c>
      <x:c r="F14" s="73" t="n">
        <x:v>0.017840598007560216</x:v>
      </x:c>
      <x:c r="G14" s="73" t="n">
        <x:v>0.5951927947559785</x:v>
      </x:c>
      <x:c r="H14" s="73" t="n">
        <x:v>0.5773521967484183</x:v>
      </x:c>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ht="30" customHeight="1">
      <x:c r="A15" s="56" t="str">
        <x:v>VIX</x:v>
      </x:c>
      <x:c r="B15" s="56" t="str">
        <x:v>Global</x:v>
      </x:c>
      <x:c r="C15" s="73" t="n">
        <x:v>0.05329718043198232</x:v>
      </x:c>
      <x:c r="D15" s="73" t="n">
        <x:v>0.09231311620904181</x:v>
      </x:c>
      <x:c r="E15" s="73" t="n">
        <x:v>0.08954607801297979</x:v>
      </x:c>
      <x:c r="F15" s="73" t="n">
        <x:v>0.017840598007560216</x:v>
      </x:c>
      <x:c r="G15" s="73" t="n">
        <x:v>0.5951927947559785</x:v>
      </x:c>
      <x:c r="H15" s="73" t="n">
        <x:v>0.5773521967484183</x:v>
      </x:c>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ht="30" customHeight="1">
      <x:c r="A16" s="56" t="str">
        <x:v>Balanza comercial cambiaria</x:v>
      </x:c>
      <x:c r="B16" s="56" t="str">
        <x:v>Sector externo Colombia</x:v>
      </x:c>
      <x:c r="C16" s="73" t="n">
        <x:v>0.044018473797316056</x:v>
      </x:c>
      <x:c r="D16" s="73" t="n">
        <x:v>0.07624197854485196</x:v>
      </x:c>
      <x:c r="E16" s="73" t="n">
        <x:v>0.07395666443738297</x:v>
      </x:c>
      <x:c r="F16" s="73" t="n">
        <x:v>0.017840598007560216</x:v>
      </x:c>
      <x:c r="G16" s="73" t="n">
        <x:v>0.5951927947559785</x:v>
      </x:c>
      <x:c r="H16" s="73" t="n">
        <x:v>0.5773521967484183</x:v>
      </x:c>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ht="30" customHeight="1">
      <x:c r="A17" s="56" t="str">
        <x:v>Flujos netos de capital</x:v>
      </x:c>
      <x:c r="B17" s="56" t="str">
        <x:v>Sector externo Colombia</x:v>
      </x:c>
      <x:c r="C17" s="73" t="n">
        <x:v>0.02554860871492124</x:v>
      </x:c>
      <x:c r="D17" s="73" t="n">
        <x:v>0.04425134061809774</x:v>
      </x:c>
      <x:c r="E17" s="73" t="n">
        <x:v>0.04292492943466469</x:v>
      </x:c>
      <x:c r="F17" s="73" t="n">
        <x:v>0.017840598007560216</x:v>
      </x:c>
      <x:c r="G17" s="73" t="n">
        <x:v>0.5951927947559785</x:v>
      </x:c>
      <x:c r="H17" s="73" t="n">
        <x:v>0.5773521967484183</x:v>
      </x:c>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ht="30" customHeight="1">
      <x:c r="A18" s="56" t="str">
        <x:v>Reservas internacionales</x:v>
      </x:c>
      <x:c r="B18" s="56" t="str">
        <x:v>Sector externo Colombia</x:v>
      </x:c>
      <x:c r="C18" s="73" t="n">
        <x:v>0.013943448847255301</x:v>
      </x:c>
      <x:c r="D18" s="73" t="n">
        <x:v>0.0241506812060008</x:v>
      </x:c>
      <x:c r="E18" s="73" t="n">
        <x:v>0.02342677695379686</x:v>
      </x:c>
      <x:c r="F18" s="73" t="n">
        <x:v>0.017840598007560216</x:v>
      </x:c>
      <x:c r="G18" s="73" t="n">
        <x:v>0.5951927947559785</x:v>
      </x:c>
      <x:c r="H18" s="73" t="n">
        <x:v>0.5773521967484183</x:v>
      </x:c>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ht="30" customHeight="1">
      <x:c r="A19" s="56" t="str">
        <x:v>Remesas</x:v>
      </x:c>
      <x:c r="B19" s="56" t="str">
        <x:v>Sector externo Colombia</x:v>
      </x:c>
      <x:c r="C19" s="73" t="n">
        <x:v>0.006062753990173583</x:v>
      </x:c>
      <x:c r="D19" s="73" t="n">
        <x:v>0.010500962885944353</x:v>
      </x:c>
      <x:c r="E19" s="73" t="n">
        <x:v>0.010186201922453102</x:v>
      </x:c>
      <x:c r="F19" s="73" t="n">
        <x:v>0.017840598007560216</x:v>
      </x:c>
      <x:c r="G19" s="73" t="n">
        <x:v>0.5951927947559785</x:v>
      </x:c>
      <x:c r="H19" s="73" t="n">
        <x:v>0.5773521967484183</x:v>
      </x:c>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ht="30" customHeight="1">
      <x:c r="A20" s="56" t="str">
        <x:v>Diferencial de inflación</x:v>
      </x:c>
      <x:c r="B20" s="56" t="str">
        <x:v>Política doméstica</x:v>
      </x:c>
      <x:c r="C20" s="73" t="n">
        <x:v>0.004802885648730411</x:v>
      </x:c>
      <x:c r="D20" s="73" t="n">
        <x:v>0.00831881419310382</x:v>
      </x:c>
      <x:c r="E20" s="73" t="n">
        <x:v>0.00806946201474017</x:v>
      </x:c>
      <x:c r="F20" s="73" t="n">
        <x:v>0.017840598007560216</x:v>
      </x:c>
      <x:c r="G20" s="73" t="n">
        <x:v>0.5951927947559785</x:v>
      </x:c>
      <x:c r="H20" s="73" t="n">
        <x:v>0.5773521967484183</x:v>
      </x:c>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ht="30" customHeight="1">
      <x:c r="A21" s="56" t="str">
        <x:v>Diferencial de tasas</x:v>
      </x:c>
      <x:c r="B21" s="56" t="str">
        <x:v>Política doméstica</x:v>
      </x:c>
      <x:c r="C21" s="73" t="n">
        <x:v>0.004759290057553499</x:v>
      </x:c>
      <x:c r="D21" s="73" t="n">
        <x:v>0.00824330466629776</x:v>
      </x:c>
      <x:c r="E21" s="73" t="n">
        <x:v>0.007996215847177295</x:v>
      </x:c>
      <x:c r="F21" s="73" t="n">
        <x:v>0.017840598007560216</x:v>
      </x:c>
      <x:c r="G21" s="73" t="n">
        <x:v>0.5951927947559785</x:v>
      </x:c>
      <x:c r="H21" s="73" t="n">
        <x:v>0.5773521967484183</x:v>
      </x:c>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ht="30" customHeight="1">
      <x:c r="A22" s="56" t="str">
        <x:v>Déficit fiscal</x:v>
      </x:c>
      <x:c r="B22" s="56" t="str">
        <x:v>Política doméstica</x:v>
      </x:c>
      <x:c r="C22" s="73" t="n">
        <x:v>0.0007266537975930515</x:v>
      </x:c>
      <x:c r="D22" s="73" t="n">
        <x:v>0.0012585970949543152</x:v>
      </x:c>
      <x:c r="E22" s="73" t="n">
        <x:v>0.0012208712941341473</x:v>
      </x:c>
      <x:c r="F22" s="73" t="n">
        <x:v>0.017840598007560216</x:v>
      </x:c>
      <x:c r="G22" s="73" t="n">
        <x:v>0.5951927947559785</x:v>
      </x:c>
      <x:c r="H22" s="73" t="n">
        <x:v>0.5773521967484183</x:v>
      </x:c>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ht="36" customHeight="1">
      <x:c r="A24" s="50" t="str">
        <x:v>Cómo leer: un peso de 25% indica que ese factor recibe una cuarta parte del R² incremental atribuible al conjunto de factores. Con variables correlacionadas, Shapley divide la explicación compartida al promediar todas las secuencias de inclusión.</x:v>
      </x:c>
      <x:c r="B24" s="50" t="str">
        <x:v>Cómo leer: un peso de 25% indica que ese factor recibe una cuarta parte del R² incremental atribuible al conjunto de factores. Con variables correlacionadas, Shapley divide la explicación compartida al promediar todas las secuencias de inclusión.</x:v>
      </x:c>
      <x:c r="C24" s="50" t="str">
        <x:v>Cómo leer: un peso de 25% indica que ese factor recibe una cuarta parte del R² incremental atribuible al conjunto de factores. Con variables correlacionadas, Shapley divide la explicación compartida al promediar todas las secuencias de inclusión.</x:v>
      </x:c>
      <x:c r="D24" s="50" t="str">
        <x:v>Cómo leer: un peso de 25% indica que ese factor recibe una cuarta parte del R² incremental atribuible al conjunto de factores. Con variables correlacionadas, Shapley divide la explicación compartida al promediar todas las secuencias de inclusión.</x:v>
      </x:c>
      <x:c r="E24" s="50" t="str">
        <x:v>Cómo leer: un peso de 25% indica que ese factor recibe una cuarta parte del R² incremental atribuible al conjunto de factores. Con variables correlacionadas, Shapley divide la explicación compartida al promediar todas las secuencias de inclusión.</x:v>
      </x:c>
      <x:c r="F24" s="50" t="str">
        <x:v>Cómo leer: un peso de 25% indica que ese factor recibe una cuarta parte del R² incremental atribuible al conjunto de factores. Con variables correlacionadas, Shapley divide la explicación compartida al promediar todas las secuencias de inclusión.</x:v>
      </x:c>
      <x:c r="G24" s="50" t="str">
        <x:v>Cómo leer: un peso de 25% indica que ese factor recibe una cuarta parte del R² incremental atribuible al conjunto de factores. Con variables correlacionadas, Shapley divide la explicación compartida al promediar todas las secuencias de inclusión.</x:v>
      </x:c>
      <x:c r="H24" s="50" t="str">
        <x:v>Cómo leer: un peso de 25% indica que ese factor recibe una cuarta parte del R² incremental atribuible al conjunto de factores. Con variables correlacionadas, Shapley divide la explicación compartida al promediar todas las secuencias de inclusión.</x:v>
      </x:c>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ht="36" customHeight="1">
      <x:c r="A25" s="50" t="str">
        <x:v>Cómo leer: un peso de 25% indica que ese factor recibe una cuarta parte del R² incremental atribuible al conjunto de factores. Con variables correlacionadas, Shapley divide la explicación compartida al promediar todas las secuencias de inclusión.</x:v>
      </x:c>
      <x:c r="B25" s="50" t="str">
        <x:v>Cómo leer: un peso de 25% indica que ese factor recibe una cuarta parte del R² incremental atribuible al conjunto de factores. Con variables correlacionadas, Shapley divide la explicación compartida al promediar todas las secuencias de inclusión.</x:v>
      </x:c>
      <x:c r="C25" s="50" t="str">
        <x:v>Cómo leer: un peso de 25% indica que ese factor recibe una cuarta parte del R² incremental atribuible al conjunto de factores. Con variables correlacionadas, Shapley divide la explicación compartida al promediar todas las secuencias de inclusión.</x:v>
      </x:c>
      <x:c r="D25" s="50" t="str">
        <x:v>Cómo leer: un peso de 25% indica que ese factor recibe una cuarta parte del R² incremental atribuible al conjunto de factores. Con variables correlacionadas, Shapley divide la explicación compartida al promediar todas las secuencias de inclusión.</x:v>
      </x:c>
      <x:c r="E25" s="50" t="str">
        <x:v>Cómo leer: un peso de 25% indica que ese factor recibe una cuarta parte del R² incremental atribuible al conjunto de factores. Con variables correlacionadas, Shapley divide la explicación compartida al promediar todas las secuencias de inclusión.</x:v>
      </x:c>
      <x:c r="F25" s="50" t="str">
        <x:v>Cómo leer: un peso de 25% indica que ese factor recibe una cuarta parte del R² incremental atribuible al conjunto de factores. Con variables correlacionadas, Shapley divide la explicación compartida al promediar todas las secuencias de inclusión.</x:v>
      </x:c>
      <x:c r="G25" s="50" t="str">
        <x:v>Cómo leer: un peso de 25% indica que ese factor recibe una cuarta parte del R² incremental atribuible al conjunto de factores. Con variables correlacionadas, Shapley divide la explicación compartida al promediar todas las secuencias de inclusión.</x:v>
      </x:c>
      <x:c r="H25" s="50" t="str">
        <x:v>Cómo leer: un peso de 25% indica que ese factor recibe una cuarta parte del R² incremental atribuible al conjunto de factores. Con variables correlacionadas, Shapley divide la explicación compartida al promediar todas las secuencias de inclusión.</x:v>
      </x:c>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ht="36" customHeight="1">
      <x:c r="A26" s="50" t="str">
        <x:v>Cómo leer: un peso de 25% indica que ese factor recibe una cuarta parte del R² incremental atribuible al conjunto de factores. Con variables correlacionadas, Shapley divide la explicación compartida al promediar todas las secuencias de inclusión.</x:v>
      </x:c>
      <x:c r="B26" s="50" t="str">
        <x:v>Cómo leer: un peso de 25% indica que ese factor recibe una cuarta parte del R² incremental atribuible al conjunto de factores. Con variables correlacionadas, Shapley divide la explicación compartida al promediar todas las secuencias de inclusión.</x:v>
      </x:c>
      <x:c r="C26" s="50" t="str">
        <x:v>Cómo leer: un peso de 25% indica que ese factor recibe una cuarta parte del R² incremental atribuible al conjunto de factores. Con variables correlacionadas, Shapley divide la explicación compartida al promediar todas las secuencias de inclusión.</x:v>
      </x:c>
      <x:c r="D26" s="50" t="str">
        <x:v>Cómo leer: un peso de 25% indica que ese factor recibe una cuarta parte del R² incremental atribuible al conjunto de factores. Con variables correlacionadas, Shapley divide la explicación compartida al promediar todas las secuencias de inclusión.</x:v>
      </x:c>
      <x:c r="E26" s="50" t="str">
        <x:v>Cómo leer: un peso de 25% indica que ese factor recibe una cuarta parte del R² incremental atribuible al conjunto de factores. Con variables correlacionadas, Shapley divide la explicación compartida al promediar todas las secuencias de inclusión.</x:v>
      </x:c>
      <x:c r="F26" s="50" t="str">
        <x:v>Cómo leer: un peso de 25% indica que ese factor recibe una cuarta parte del R² incremental atribuible al conjunto de factores. Con variables correlacionadas, Shapley divide la explicación compartida al promediar todas las secuencias de inclusión.</x:v>
      </x:c>
      <x:c r="G26" s="50" t="str">
        <x:v>Cómo leer: un peso de 25% indica que ese factor recibe una cuarta parte del R² incremental atribuible al conjunto de factores. Con variables correlacionadas, Shapley divide la explicación compartida al promediar todas las secuencias de inclusión.</x:v>
      </x:c>
      <x:c r="H26" s="50" t="str">
        <x:v>Cómo leer: un peso de 25% indica que ese factor recibe una cuarta parte del R² incremental atribuible al conjunto de factores. Con variables correlacionadas, Shapley divide la explicación compartida al promediar todas las secuencias de inclusión.</x:v>
      </x:c>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R1"/>
    <x:mergeCell ref="A2:R3"/>
    <x:mergeCell ref="A5:B5"/>
    <x:mergeCell ref="D5:E5"/>
    <x:mergeCell ref="G5:H5"/>
    <x:mergeCell ref="A24:H26"/>
  </x:mergeCells>
  <x:conditionalFormatting sqref="B8:B8">
    <x:cfRule type="cellIs" dxfId="3" priority="1" operator="between">
      <x:formula>-1e-8</x:formula>
      <x:formula>1e-8</x:formula>
    </x:cfRule>
  </x:conditionalFormatting>
  <x:conditionalFormatting sqref="E8:E8">
    <x:cfRule type="cellIs" dxfId="4" priority="2" operator="between">
      <x:formula>-1e-8</x:formula>
      <x:formula>1e-8</x:formula>
    </x:cfRule>
  </x:conditionalFormatting>
  <x:conditionalFormatting sqref="H8:H8">
    <x:cfRule type="cellIs" dxfId="5" priority="3" operator="between">
      <x:formula>-1e-8</x:formula>
      <x:formula>1e-8</x:formula>
    </x:cfRule>
  </x:conditionalFormatting>
  <x:pageMargins left="0.7" right="0.7" top="0.75" bottom="0.75" header="0.3" footer="0.3"/>
  <x:drawing xmlns:r="http://schemas.openxmlformats.org/officeDocument/2006/relationships" r:id="R68c455064179483a"/>
  <x:tableParts count="1">
    <x:tablePart xmlns:r="http://schemas.openxmlformats.org/officeDocument/2006/relationships" r:id="R99c34558939f43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0" hidden="0" customWidth="1"/>
    <x:col min="11" max="11" width="12" hidden="0" customWidth="1"/>
    <x:col min="12" max="12" width="17" hidden="0" customWidth="1"/>
    <x:col min="13" max="13" width="17" hidden="0" customWidth="1"/>
    <x:col min="14" max="14" width="17" hidden="0" customWidth="1"/>
    <x:col min="15" max="15" width="11" hidden="0" customWidth="1"/>
    <x:col min="16" max="16" width="11" hidden="0" customWidth="1"/>
    <x:col min="17" max="17" width="11" hidden="0" customWidth="1"/>
    <x:col min="18" max="18" width="11" hidden="0" customWidth="1"/>
  </x:cols>
  <x:sheetData>
    <x:row r="1" ht="30" customHeight="1">
      <x:c r="A1" s="4" t="str">
        <x:v>Validación condicional pseudo-fuera de muestra</x:v>
      </x:c>
      <x:c r="B1" s="4" t="str">
        <x:v>Validación condicional pseudo-fuera de muestra</x:v>
      </x:c>
      <x:c r="C1" s="4" t="str">
        <x:v>Validación condicional pseudo-fuera de muestra</x:v>
      </x:c>
      <x:c r="D1" s="4" t="str">
        <x:v>Validación condicional pseudo-fuera de muestra</x:v>
      </x:c>
      <x:c r="E1" s="4" t="str">
        <x:v>Validación condicional pseudo-fuera de muestra</x:v>
      </x:c>
      <x:c r="F1" s="4" t="str">
        <x:v>Validación condicional pseudo-fuera de muestra</x:v>
      </x:c>
      <x:c r="G1" s="4" t="str">
        <x:v>Validación condicional pseudo-fuera de muestra</x:v>
      </x:c>
      <x:c r="H1" s="4" t="str">
        <x:v>Validación condicional pseudo-fuera de muestra</x:v>
      </x:c>
      <x:c r="I1" s="4" t="str">
        <x:v>Validación condicional pseudo-fuera de muestra</x:v>
      </x:c>
      <x:c r="J1" s="4" t="str">
        <x:v>Validación condicional pseudo-fuera de muestra</x:v>
      </x:c>
      <x:c r="K1" s="4" t="str">
        <x:v>Validación condicional pseudo-fuera de muestra</x:v>
      </x:c>
      <x:c r="L1" s="4" t="str">
        <x:v>Validación condicional pseudo-fuera de muestra</x:v>
      </x:c>
      <x:c r="M1" s="4" t="str">
        <x:v>Validación condicional pseudo-fuera de muestra</x:v>
      </x:c>
      <x:c r="N1" s="4" t="str">
        <x:v>Validación condicional pseudo-fuera de muestra</x:v>
      </x:c>
      <x:c r="O1" s="4" t="str">
        <x:v>Validación condicional pseudo-fuera de muestra</x:v>
      </x:c>
      <x:c r="P1" s="4" t="str">
        <x:v>Validación condicional pseudo-fuera de muestra</x:v>
      </x:c>
      <x:c r="Q1" s="4" t="str">
        <x:v>Validación condicional pseudo-fuera de muestra</x:v>
      </x:c>
      <x:c r="R1" s="4" t="str">
        <x:v>Validación condicional pseudo-fuera de muestra</x:v>
      </x:c>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B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C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D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E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F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G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H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I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J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K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L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M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N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O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P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Q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R2"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B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C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D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E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F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G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H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I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J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K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L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M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N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O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P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Q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R3" s="107" t="str">
        <x:v>Ventana expansiva de 48 meses (mayo de 2022–abril de 2026). La evaluación es condicional: usa valores contemporáneos ya realizados de Brent, dólar amplio, VIX, spread TES−UST y monedas regionales. Es una prueba explicativa, no un pronóstico genuinamente disponible en tiempo real.</x:v>
      </x:c>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54" t="str">
        <x:v>Modelo</x:v>
      </x:c>
      <x:c r="B5" s="54" t="str">
        <x:v>Observaciones</x:v>
      </x:c>
      <x:c r="C5" s="54" t="str">
        <x:v>MAE (log)</x:v>
      </x:c>
      <x:c r="D5" s="54" t="str">
        <x:v>RMSE (log)</x:v>
      </x:c>
      <x:c r="E5" s="54" t="str">
        <x:v>MAPE</x:v>
      </x:c>
      <x:c r="F5" s="54" t="str">
        <x:v>Acierto dirección</x:v>
      </x:c>
      <x:c r="G5" s="1"/>
      <x:c r="H5" s="58" t="str">
        <x:v>Comparación</x:v>
      </x:c>
      <x:c r="I5" s="58" t="str">
        <x:v>Resultado</x:v>
      </x:c>
      <x:c r="J5" s="58" t="str">
        <x:v>Lectura</x:v>
      </x:c>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ht="38" customHeight="1">
      <x:c r="A6" s="5" t="str">
        <x:v>Modelo principal</x:v>
      </x:c>
      <x:c r="B6" s="5" t="n">
        <x:v>48</x:v>
      </x:c>
      <x:c r="C6" s="109" t="n">
        <x:v>0.020281066169505497</x:v>
      </x:c>
      <x:c r="D6" s="109" t="n">
        <x:v>0.026481453517380876</x:v>
      </x:c>
      <x:c r="E6" s="110" t="n">
        <x:v>0.020259524944389446</x:v>
      </x:c>
      <x:c r="F6" s="110" t="n">
        <x:v>0.7291666666666665</x:v>
      </x:c>
      <x:c r="G6" s="1"/>
      <x:c r="H6" s="59" t="str">
        <x:v>Reducción de MAE ampliado</x:v>
      </x:c>
      <x:c r="I6" s="99" t="n">
        <x:v>0.26359634847679825</x:v>
      </x:c>
      <x:c r="J6" s="59" t="str">
        <x:v>Mejora frente a la caminata aleatoria</x:v>
      </x:c>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ht="38" customHeight="1">
      <x:c r="A7" s="29" t="str">
        <x:v>Modelo ampliado</x:v>
      </x:c>
      <x:c r="B7" s="29" t="n">
        <x:v>48</x:v>
      </x:c>
      <x:c r="C7" s="111" t="n">
        <x:v>0.017694866784964496</x:v>
      </x:c>
      <x:c r="D7" s="111" t="n">
        <x:v>0.02260436753860631</x:v>
      </x:c>
      <x:c r="E7" s="112" t="n">
        <x:v>0.017703823757030515</x:v>
      </x:c>
      <x:c r="F7" s="112" t="n">
        <x:v>0.7291666666666665</x:v>
      </x:c>
      <x:c r="G7" s="1"/>
      <x:c r="H7" s="59" t="str">
        <x:v>Reducción de RMSE ampliado</x:v>
      </x:c>
      <x:c r="I7" s="99" t="n">
        <x:v>0.2983377863090182</x:v>
      </x:c>
      <x:c r="J7" s="59" t="str">
        <x:v>Mejora frente a la caminata aleatoria</x:v>
      </x:c>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ht="38" customHeight="1">
      <x:c r="A8" s="1" t="str">
        <x:v>Caminata aleatoria</x:v>
      </x:c>
      <x:c r="B8" s="1" t="n">
        <x:v>48</x:v>
      </x:c>
      <x:c r="C8" s="55" t="n">
        <x:v>0.024028760243602603</x:v>
      </x:c>
      <x:c r="D8" s="55" t="n">
        <x:v>0.03221545509726062</x:v>
      </x:c>
      <x:c r="E8" s="71" t="n">
        <x:v>0.02394031003568149</x:v>
      </x:c>
      <x:c r="F8" s="71"/>
      <x:c r="G8" s="1"/>
      <x:c r="H8" s="59" t="str">
        <x:v>Dirección correcta ampliado</x:v>
      </x:c>
      <x:c r="I8" s="99" t="n">
        <x:v>0.7291666666666665</x:v>
      </x:c>
      <x:c r="J8" s="59" t="str">
        <x:v>Signo mensual acertado</x:v>
      </x:c>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ht="38" customHeight="1">
      <x:c r="A9" s="1"/>
      <x:c r="B9" s="1"/>
      <x:c r="C9" s="1"/>
      <x:c r="D9" s="1"/>
      <x:c r="E9" s="1"/>
      <x:c r="F9" s="1"/>
      <x:c r="G9" s="1"/>
      <x:c r="H9" s="59" t="str">
        <x:v>Mejora de MAPE vs. principal (p.p.)</x:v>
      </x:c>
      <x:c r="I9" s="114" t="n">
        <x:v>0.2555701187358932</x:v>
      </x:c>
      <x:c r="J9" s="59" t="str">
        <x:v>Diferencia en puntos porcentuales; positivo indica mejora</x:v>
      </x:c>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36" customHeight="1">
      <x:c r="A11" s="54" t="str">
        <x:v>Mes</x:v>
      </x:c>
      <x:c r="B11" s="54" t="str">
        <x:v>ln TRM observada</x:v>
      </x:c>
      <x:c r="C11" s="54" t="str">
        <x:v>ln TRM modelo principal</x:v>
      </x:c>
      <x:c r="D11" s="54" t="str">
        <x:v>ln TRM caminata</x:v>
      </x:c>
      <x:c r="E11" s="54" t="str">
        <x:v>Δln observado</x:v>
      </x:c>
      <x:c r="F11" s="54" t="str">
        <x:v>Δln modelo principal</x:v>
      </x:c>
      <x:c r="G11" s="54" t="str">
        <x:v>TRM observada</x:v>
      </x:c>
      <x:c r="H11" s="54" t="str">
        <x:v>TRM modelo principal</x:v>
      </x:c>
      <x:c r="I11" s="54" t="str">
        <x:v>TRM caminata</x:v>
      </x:c>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 t="str">
        <x:v>2022-05</x:v>
      </x:c>
      <x:c r="B12" s="90" t="n">
        <x:v>8.298808139175573</x:v>
      </x:c>
      <x:c r="C12" s="90" t="n">
        <x:v>8.261837218975415</x:v>
      </x:c>
      <x:c r="D12" s="90" t="n">
        <x:v>8.240907796093667</x:v>
      </x:c>
      <x:c r="E12" s="90" t="n">
        <x:v>0.05790034308190606</x:v>
      </x:c>
      <x:c r="F12" s="90" t="n">
        <x:v>0.020929422881748157</x:v>
      </x:c>
      <x:c r="G12" s="86" t="n">
        <x:v>4019.079354838708</x:v>
      </x:c>
      <x:c r="H12" s="86" t="n">
        <x:v>3873.203490676747</x:v>
      </x:c>
      <x:c r="I12" s="86" t="n">
        <x:v>3792.9819999999972</x:v>
      </x:c>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 t="str">
        <x:v>2022-06</x:v>
      </x:c>
      <x:c r="B13" s="90" t="n">
        <x:v>8.276589766414325</x:v>
      </x:c>
      <x:c r="C13" s="90" t="n">
        <x:v>8.294699521214834</x:v>
      </x:c>
      <x:c r="D13" s="90" t="n">
        <x:v>8.298808139175573</x:v>
      </x:c>
      <x:c r="E13" s="90" t="n">
        <x:v>-0.022218372761248162</x:v>
      </x:c>
      <x:c r="F13" s="90" t="n">
        <x:v>-0.004108617960739223</x:v>
      </x:c>
      <x:c r="G13" s="86" t="n">
        <x:v>3930.766666666666</x:v>
      </x:c>
      <x:c r="H13" s="86" t="n">
        <x:v>4002.6003693251614</x:v>
      </x:c>
      <x:c r="I13" s="86" t="n">
        <x:v>4019.079354838708</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 t="str">
        <x:v>2022-07</x:v>
      </x:c>
      <x:c r="B14" s="90" t="n">
        <x:v>8.382016058206503</x:v>
      </x:c>
      <x:c r="C14" s="90" t="n">
        <x:v>8.31153751020807</x:v>
      </x:c>
      <x:c r="D14" s="90" t="n">
        <x:v>8.276589766414325</x:v>
      </x:c>
      <x:c r="E14" s="90" t="n">
        <x:v>0.10542629179217755</x:v>
      </x:c>
      <x:c r="F14" s="90" t="n">
        <x:v>0.034947743793745205</x:v>
      </x:c>
      <x:c r="G14" s="86" t="n">
        <x:v>4367.805806451614</x:v>
      </x:c>
      <x:c r="H14" s="86" t="n">
        <x:v>4070.5667127610163</x:v>
      </x:c>
      <x:c r="I14" s="86" t="n">
        <x:v>3930.766666666666</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 t="str">
        <x:v>2022-08</x:v>
      </x:c>
      <x:c r="B15" s="90" t="n">
        <x:v>8.371582127847805</x:v>
      </x:c>
      <x:c r="C15" s="90" t="n">
        <x:v>8.3693746272281</x:v>
      </x:c>
      <x:c r="D15" s="90" t="n">
        <x:v>8.382016058206503</x:v>
      </x:c>
      <x:c r="E15" s="90" t="n">
        <x:v>-0.010433930358697552</x:v>
      </x:c>
      <x:c r="F15" s="90" t="n">
        <x:v>-0.012641430978403615</x:v>
      </x:c>
      <x:c r="G15" s="86" t="n">
        <x:v>4322.469354838713</x:v>
      </x:c>
      <x:c r="H15" s="86" t="n">
        <x:v>4312.938025137917</x:v>
      </x:c>
      <x:c r="I15" s="86" t="n">
        <x:v>4367.805806451614</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t="str">
        <x:v>2022-09</x:v>
      </x:c>
      <x:c r="B16" s="90" t="n">
        <x:v>8.396978677110038</x:v>
      </x:c>
      <x:c r="C16" s="90" t="n">
        <x:v>8.414853005667668</x:v>
      </x:c>
      <x:c r="D16" s="90" t="n">
        <x:v>8.371582127847805</x:v>
      </x:c>
      <x:c r="E16" s="90" t="n">
        <x:v>0.02539654926223278</x:v>
      </x:c>
      <x:c r="F16" s="90" t="n">
        <x:v>0.04327087781986332</x:v>
      </x:c>
      <x:c r="G16" s="86" t="n">
        <x:v>4433.650999999996</x:v>
      </x:c>
      <x:c r="H16" s="86" t="n">
        <x:v>4513.612030655458</x:v>
      </x:c>
      <x:c r="I16" s="86" t="n">
        <x:v>4322.469354838713</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 t="str">
        <x:v>2022-10</x:v>
      </x:c>
      <x:c r="B17" s="90" t="n">
        <x:v>8.457831715043978</x:v>
      </x:c>
      <x:c r="C17" s="90" t="n">
        <x:v>8.42266238962143</x:v>
      </x:c>
      <x:c r="D17" s="90" t="n">
        <x:v>8.396978677110038</x:v>
      </x:c>
      <x:c r="E17" s="90" t="n">
        <x:v>0.06085303793394026</x:v>
      </x:c>
      <x:c r="F17" s="90" t="n">
        <x:v>0.025683712511390292</x:v>
      </x:c>
      <x:c r="G17" s="86" t="n">
        <x:v>4711.830322580648</x:v>
      </x:c>
      <x:c r="H17" s="86" t="n">
        <x:v>4548.998553652163</x:v>
      </x:c>
      <x:c r="I17" s="86" t="n">
        <x:v>4433.650999999996</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 t="str">
        <x:v>2022-11</x:v>
      </x:c>
      <x:c r="B18" s="90" t="n">
        <x:v>8.502416687971365</x:v>
      </x:c>
      <x:c r="C18" s="90" t="n">
        <x:v>8.419837604682261</x:v>
      </x:c>
      <x:c r="D18" s="90" t="n">
        <x:v>8.457831715043978</x:v>
      </x:c>
      <x:c r="E18" s="90" t="n">
        <x:v>0.044584972927387057</x:v>
      </x:c>
      <x:c r="F18" s="90" t="n">
        <x:v>-0.03799411036171699</x:v>
      </x:c>
      <x:c r="G18" s="86" t="n">
        <x:v>4926.660666666665</x:v>
      </x:c>
      <x:c r="H18" s="86" t="n">
        <x:v>4536.166743134576</x:v>
      </x:c>
      <x:c r="I18" s="86" t="n">
        <x:v>4711.830322580648</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t="str">
        <x:v>2022-12</x:v>
      </x:c>
      <x:c r="B19" s="90" t="n">
        <x:v>8.473970535354521</x:v>
      </x:c>
      <x:c r="C19" s="90" t="n">
        <x:v>8.475920809182897</x:v>
      </x:c>
      <x:c r="D19" s="90" t="n">
        <x:v>8.502416687971365</x:v>
      </x:c>
      <x:c r="E19" s="90" t="n">
        <x:v>-0.028446152616844245</x:v>
      </x:c>
      <x:c r="F19" s="90" t="n">
        <x:v>-0.026495878788467882</x:v>
      </x:c>
      <x:c r="G19" s="86" t="n">
        <x:v>4788.490645161287</x:v>
      </x:c>
      <x:c r="H19" s="86" t="n">
        <x:v>4797.8386257419315</x:v>
      </x:c>
      <x:c r="I19" s="86" t="n">
        <x:v>4926.660666666665</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v>2023-01</x:v>
      </x:c>
      <x:c r="B20" s="90" t="n">
        <x:v>8.458547432938246</x:v>
      </x:c>
      <x:c r="C20" s="90" t="n">
        <x:v>8.44549316861583</x:v>
      </x:c>
      <x:c r="D20" s="90" t="n">
        <x:v>8.473970535354521</x:v>
      </x:c>
      <x:c r="E20" s="90" t="n">
        <x:v>-0.015423102416274759</x:v>
      </x:c>
      <x:c r="F20" s="90" t="n">
        <x:v>-0.0284773667386917</x:v>
      </x:c>
      <x:c r="G20" s="86" t="n">
        <x:v>4715.203870967738</x:v>
      </x:c>
      <x:c r="H20" s="86" t="n">
        <x:v>4654.050378675888</x:v>
      </x:c>
      <x:c r="I20" s="86" t="n">
        <x:v>4788.490645161287</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v>2023-02</x:v>
      </x:c>
      <x:c r="B21" s="90" t="n">
        <x:v>8.477019424251225</x:v>
      </x:c>
      <x:c r="C21" s="90" t="n">
        <x:v>8.462706258459823</x:v>
      </x:c>
      <x:c r="D21" s="90" t="n">
        <x:v>8.458547432938246</x:v>
      </x:c>
      <x:c r="E21" s="90" t="n">
        <x:v>0.018471991312978275</x:v>
      </x:c>
      <x:c r="F21" s="90" t="n">
        <x:v>0.004158825521577144</x:v>
      </x:c>
      <x:c r="G21" s="86" t="n">
        <x:v>4803.112499999996</x:v>
      </x:c>
      <x:c r="H21" s="86" t="n">
        <x:v>4734.854414433899</x:v>
      </x:c>
      <x:c r="I21" s="86" t="n">
        <x:v>4715.203870967738</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v>2023-03</x:v>
      </x:c>
      <x:c r="B22" s="90" t="n">
        <x:v>8.469326819773904</x:v>
      </x:c>
      <x:c r="C22" s="90" t="n">
        <x:v>8.488176691915116</x:v>
      </x:c>
      <x:c r="D22" s="90" t="n">
        <x:v>8.477019424251225</x:v>
      </x:c>
      <x:c r="E22" s="90" t="n">
        <x:v>-0.007692604477320231</x:v>
      </x:c>
      <x:c r="F22" s="90" t="n">
        <x:v>0.011157267663891399</x:v>
      </x:c>
      <x:c r="G22" s="86" t="n">
        <x:v>4766.3058064516135</x:v>
      </x:c>
      <x:c r="H22" s="86" t="n">
        <x:v>4857.002183558929</x:v>
      </x:c>
      <x:c r="I22" s="86" t="n">
        <x:v>4803.112499999996</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t="str">
        <x:v>2023-04</x:v>
      </x:c>
      <x:c r="B23" s="90" t="n">
        <x:v>8.421271177813114</x:v>
      </x:c>
      <x:c r="C23" s="90" t="n">
        <x:v>8.447826685872661</x:v>
      </x:c>
      <x:c r="D23" s="90" t="n">
        <x:v>8.469326819773904</x:v>
      </x:c>
      <x:c r="E23" s="90" t="n">
        <x:v>-0.04805564196079004</x:v>
      </x:c>
      <x:c r="F23" s="90" t="n">
        <x:v>-0.021500133901243546</x:v>
      </x:c>
      <x:c r="G23" s="86" t="n">
        <x:v>4542.674333333336</x:v>
      </x:c>
      <x:c r="H23" s="86" t="n">
        <x:v>4664.923366767471</x:v>
      </x:c>
      <x:c r="I23" s="86" t="n">
        <x:v>4766.3058064516135</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t="str">
        <x:v>2023-05</x:v>
      </x:c>
      <x:c r="B24" s="90" t="n">
        <x:v>8.420701901472638</x:v>
      </x:c>
      <x:c r="C24" s="90" t="n">
        <x:v>8.429517258135206</x:v>
      </x:c>
      <x:c r="D24" s="90" t="n">
        <x:v>8.421271177813114</x:v>
      </x:c>
      <x:c r="E24" s="90" t="n">
        <x:v>-0.0005692763404763213</x:v>
      </x:c>
      <x:c r="F24" s="90" t="n">
        <x:v>0.008246080322092434</x:v>
      </x:c>
      <x:c r="G24" s="86" t="n">
        <x:v>4540.089032258067</x:v>
      </x:c>
      <x:c r="H24" s="86" t="n">
        <x:v>4580.288462187275</x:v>
      </x:c>
      <x:c r="I24" s="86" t="n">
        <x:v>4542.674333333336</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t="str">
        <x:v>2023-06</x:v>
      </x:c>
      <x:c r="B25" s="90" t="n">
        <x:v>8.345044039825018</x:v>
      </x:c>
      <x:c r="C25" s="90" t="n">
        <x:v>8.410409199462775</x:v>
      </x:c>
      <x:c r="D25" s="90" t="n">
        <x:v>8.420701901472638</x:v>
      </x:c>
      <x:c r="E25" s="90" t="n">
        <x:v>-0.07565786164762045</x:v>
      </x:c>
      <x:c r="F25" s="90" t="n">
        <x:v>-0.010292702009863677</x:v>
      </x:c>
      <x:c r="G25" s="86" t="n">
        <x:v>4209.267999999998</x:v>
      </x:c>
      <x:c r="H25" s="86" t="n">
        <x:v>4493.598913647849</x:v>
      </x:c>
      <x:c r="I25" s="86" t="n">
        <x:v>4540.089032258067</x:v>
      </x:c>
      <x:c r="J25" s="1"/>
      <x:c r="K25" s="54" t="str">
        <x:v>Mes</x:v>
      </x:c>
      <x:c r="L25" s="54" t="str">
        <x:v>TRM observada</x:v>
      </x:c>
      <x:c r="M25" s="54" t="str">
        <x:v>Modelo principal condicional</x:v>
      </x:c>
      <x:c r="N25" s="54" t="str">
        <x:v>Modelo ampliado condicional</x:v>
      </x:c>
      <x:c r="O25" s="54" t="str">
        <x:v>Caminata aleatoria</x:v>
      </x:c>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t="str">
        <x:v>2023-07</x:v>
      </x:c>
      <x:c r="B26" s="90" t="n">
        <x:v>8.311209943353095</x:v>
      </x:c>
      <x:c r="C26" s="90" t="n">
        <x:v>8.326897699268928</x:v>
      </x:c>
      <x:c r="D26" s="90" t="n">
        <x:v>8.345044039825018</x:v>
      </x:c>
      <x:c r="E26" s="90" t="n">
        <x:v>-0.03383409647192259</x:v>
      </x:c>
      <x:c r="F26" s="90" t="n">
        <x:v>-0.018146340556089654</x:v>
      </x:c>
      <x:c r="G26" s="86" t="n">
        <x:v>4069.2335483870993</x:v>
      </x:c>
      <x:c r="H26" s="86" t="n">
        <x:v>4133.574050564003</x:v>
      </x:c>
      <x:c r="I26" s="86" t="n">
        <x:v>4209.267999999998</x:v>
      </x:c>
      <x:c r="J26" s="1"/>
      <x:c r="K26" s="1" t="str">
        <x:f>A12</x:f>
        <x:v>2022-05</x:v>
      </x:c>
      <x:c r="L26" s="74" t="n">
        <x:f>G12</x:f>
        <x:v>4019.079354838708</x:v>
      </x:c>
      <x:c r="M26" s="74" t="n">
        <x:f>H12</x:f>
        <x:v>3873.203490676747</x:v>
      </x:c>
      <x:c r="N26" s="74" t="n">
        <x:f>H63</x:f>
        <x:v>3970.5963208225626</x:v>
      </x:c>
      <x:c r="O26" s="74" t="n">
        <x:f>I12</x:f>
        <x:v>3792.9819999999972</x:v>
      </x:c>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t="str">
        <x:v>2023-08</x:v>
      </x:c>
      <x:c r="B27" s="90" t="n">
        <x:v>8.311576434873045</x:v>
      </x:c>
      <x:c r="C27" s="90" t="n">
        <x:v>8.328544079749841</x:v>
      </x:c>
      <x:c r="D27" s="90" t="n">
        <x:v>8.311209943353095</x:v>
      </x:c>
      <x:c r="E27" s="90" t="n">
        <x:v>0.00036649151994971874</x:v>
      </x:c>
      <x:c r="F27" s="90" t="n">
        <x:v>0.01733413639674662</x:v>
      </x:c>
      <x:c r="G27" s="86" t="n">
        <x:v>4070.7251612903224</x:v>
      </x:c>
      <x:c r="H27" s="86" t="n">
        <x:v>4140.385091441157</x:v>
      </x:c>
      <x:c r="I27" s="86" t="n">
        <x:v>4069.2335483870993</x:v>
      </x:c>
      <x:c r="J27" s="1"/>
      <x:c r="K27" s="1" t="str">
        <x:f>A13</x:f>
        <x:v>2022-06</x:v>
      </x:c>
      <x:c r="L27" s="74" t="n">
        <x:f>G13</x:f>
        <x:v>3930.766666666666</x:v>
      </x:c>
      <x:c r="M27" s="74" t="n">
        <x:f>H13</x:f>
        <x:v>4002.6003693251614</x:v>
      </x:c>
      <x:c r="N27" s="74" t="n">
        <x:f>H64</x:f>
        <x:v>3966.717688092516</x:v>
      </x:c>
      <x:c r="O27" s="74" t="n">
        <x:f>I13</x:f>
        <x:v>4019.079354838708</x:v>
      </x:c>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t="str">
        <x:v>2023-09</x:v>
      </x:c>
      <x:c r="B28" s="90" t="n">
        <x:v>8.295179168611119</x:v>
      </x:c>
      <x:c r="C28" s="90" t="n">
        <x:v>8.32952511411849</x:v>
      </x:c>
      <x:c r="D28" s="90" t="n">
        <x:v>8.311576434873045</x:v>
      </x:c>
      <x:c r="E28" s="90" t="n">
        <x:v>-0.016397266261925836</x:v>
      </x:c>
      <x:c r="F28" s="90" t="n">
        <x:v>0.017948679245444972</x:v>
      </x:c>
      <x:c r="G28" s="86" t="n">
        <x:v>4004.52066666667</x:v>
      </x:c>
      <x:c r="H28" s="86" t="n">
        <x:v>4144.448944579166</x:v>
      </x:c>
      <x:c r="I28" s="86" t="n">
        <x:v>4070.7251612903224</x:v>
      </x:c>
      <x:c r="J28" s="1"/>
      <x:c r="K28" s="1" t="str">
        <x:f>A14</x:f>
        <x:v>2022-07</x:v>
      </x:c>
      <x:c r="L28" s="74" t="n">
        <x:f>G14</x:f>
        <x:v>4367.805806451614</x:v>
      </x:c>
      <x:c r="M28" s="74" t="n">
        <x:f>H14</x:f>
        <x:v>4070.5667127610163</x:v>
      </x:c>
      <x:c r="N28" s="74" t="n">
        <x:f>H65</x:f>
        <x:v>4170.332385965148</x:v>
      </x:c>
      <x:c r="O28" s="74" t="n">
        <x:f>I14</x:f>
        <x:v>3930.766666666666</x:v>
      </x:c>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t="str">
        <x:v>2023-10</x:v>
      </x:c>
      <x:c r="B29" s="90" t="n">
        <x:v>8.348166834656725</x:v>
      </x:c>
      <x:c r="C29" s="90" t="n">
        <x:v>8.329062142147897</x:v>
      </x:c>
      <x:c r="D29" s="90" t="n">
        <x:v>8.295179168611119</x:v>
      </x:c>
      <x:c r="E29" s="90" t="n">
        <x:v>0.05298766604560612</x:v>
      </x:c>
      <x:c r="F29" s="90" t="n">
        <x:v>0.03388297353677767</x:v>
      </x:c>
      <x:c r="G29" s="86" t="n">
        <x:v>4222.433225806451</x:v>
      </x:c>
      <x:c r="H29" s="86" t="n">
        <x:v>4142.5306249826435</x:v>
      </x:c>
      <x:c r="I29" s="86" t="n">
        <x:v>4004.52066666667</x:v>
      </x:c>
      <x:c r="J29" s="1"/>
      <x:c r="K29" s="1" t="str">
        <x:f>A15</x:f>
        <x:v>2022-08</x:v>
      </x:c>
      <x:c r="L29" s="74" t="n">
        <x:f>G15</x:f>
        <x:v>4322.469354838713</x:v>
      </x:c>
      <x:c r="M29" s="74" t="n">
        <x:f>H15</x:f>
        <x:v>4312.938025137917</x:v>
      </x:c>
      <x:c r="N29" s="74" t="n">
        <x:f>H66</x:f>
        <x:v>4234.871344849676</x:v>
      </x:c>
      <x:c r="O29" s="74" t="n">
        <x:f>I15</x:f>
        <x:v>4367.805806451614</x:v>
      </x:c>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t="str">
        <x:v>2023-11</x:v>
      </x:c>
      <x:c r="B30" s="90" t="n">
        <x:v>8.303704052588216</x:v>
      </x:c>
      <x:c r="C30" s="90" t="n">
        <x:v>8.319184713513879</x:v>
      </x:c>
      <x:c r="D30" s="90" t="n">
        <x:v>8.348166834656725</x:v>
      </x:c>
      <x:c r="E30" s="90" t="n">
        <x:v>-0.044462782068508844</x:v>
      </x:c>
      <x:c r="F30" s="90" t="n">
        <x:v>-0.028982121142845277</x:v>
      </x:c>
      <x:c r="G30" s="86" t="n">
        <x:v>4038.804666666669</x:v>
      </x:c>
      <x:c r="H30" s="86" t="n">
        <x:v>4101.814490759001</x:v>
      </x:c>
      <x:c r="I30" s="86" t="n">
        <x:v>4222.433225806451</x:v>
      </x:c>
      <x:c r="J30" s="1"/>
      <x:c r="K30" s="1" t="str">
        <x:f>A16</x:f>
        <x:v>2022-09</x:v>
      </x:c>
      <x:c r="L30" s="74" t="n">
        <x:f>G16</x:f>
        <x:v>4433.650999999996</x:v>
      </x:c>
      <x:c r="M30" s="74" t="n">
        <x:f>H16</x:f>
        <x:v>4513.612030655458</x:v>
      </x:c>
      <x:c r="N30" s="74" t="n">
        <x:f>H67</x:f>
        <x:v>4426.319002691983</x:v>
      </x:c>
      <x:c r="O30" s="74" t="n">
        <x:f>I16</x:f>
        <x:v>4322.469354838713</x:v>
      </x:c>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t="str">
        <x:v>2023-12</x:v>
      </x:c>
      <x:c r="B31" s="90" t="n">
        <x:v>8.281016773597672</x:v>
      </x:c>
      <x:c r="C31" s="90" t="n">
        <x:v>8.2926212337985</x:v>
      </x:c>
      <x:c r="D31" s="90" t="n">
        <x:v>8.303704052588216</x:v>
      </x:c>
      <x:c r="E31" s="90" t="n">
        <x:v>-0.022687278990543902</x:v>
      </x:c>
      <x:c r="F31" s="90" t="n">
        <x:v>-0.01108281878971715</x:v>
      </x:c>
      <x:c r="G31" s="86" t="n">
        <x:v>3948.2067741935466</x:v>
      </x:c>
      <x:c r="H31" s="86" t="n">
        <x:v>3994.2904535327552</x:v>
      </x:c>
      <x:c r="I31" s="86" t="n">
        <x:v>4038.804666666669</x:v>
      </x:c>
      <x:c r="J31" s="1"/>
      <x:c r="K31" s="1" t="str">
        <x:f>A17</x:f>
        <x:v>2022-10</x:v>
      </x:c>
      <x:c r="L31" s="74" t="n">
        <x:f>G17</x:f>
        <x:v>4711.830322580648</x:v>
      </x:c>
      <x:c r="M31" s="74" t="n">
        <x:f>H17</x:f>
        <x:v>4548.998553652163</x:v>
      </x:c>
      <x:c r="N31" s="74" t="n">
        <x:f>H68</x:f>
        <x:v>4587.58626290953</x:v>
      </x:c>
      <x:c r="O31" s="74" t="n">
        <x:f>I17</x:f>
        <x:v>4433.650999999996</x:v>
      </x:c>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t="str">
        <x:v>2024-01</x:v>
      </x:c>
      <x:c r="B32" s="90" t="n">
        <x:v>8.272621363120876</x:v>
      </x:c>
      <x:c r="C32" s="90" t="n">
        <x:v>8.288948820165507</x:v>
      </x:c>
      <x:c r="D32" s="90" t="n">
        <x:v>8.281016773597672</x:v>
      </x:c>
      <x:c r="E32" s="90" t="n">
        <x:v>-0.008395410476795817</x:v>
      </x:c>
      <x:c r="F32" s="90" t="n">
        <x:v>0.007932046567834358</x:v>
      </x:c>
      <x:c r="G32" s="86" t="n">
        <x:v>3915.1987096774164</x:v>
      </x:c>
      <x:c r="H32" s="86" t="n">
        <x:v>3979.6486686180165</x:v>
      </x:c>
      <x:c r="I32" s="86" t="n">
        <x:v>3948.2067741935466</x:v>
      </x:c>
      <x:c r="J32" s="1"/>
      <x:c r="K32" s="1" t="str">
        <x:f>A18</x:f>
        <x:v>2022-11</x:v>
      </x:c>
      <x:c r="L32" s="74" t="n">
        <x:f>G18</x:f>
        <x:v>4926.660666666665</x:v>
      </x:c>
      <x:c r="M32" s="74" t="n">
        <x:f>H18</x:f>
        <x:v>4536.166743134576</x:v>
      </x:c>
      <x:c r="N32" s="74" t="n">
        <x:f>H69</x:f>
        <x:v>4586.5792115100085</x:v>
      </x:c>
      <x:c r="O32" s="74" t="n">
        <x:f>I18</x:f>
        <x:v>4711.830322580648</x:v>
      </x:c>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t="str">
        <x:v>2024-02</x:v>
      </x:c>
      <x:c r="B33" s="90" t="n">
        <x:v>8.276760699123423</x:v>
      </x:c>
      <x:c r="C33" s="90" t="n">
        <x:v>8.28611203284962</x:v>
      </x:c>
      <x:c r="D33" s="90" t="n">
        <x:v>8.272621363120876</x:v>
      </x:c>
      <x:c r="E33" s="90" t="n">
        <x:v>0.004139336002547012</x:v>
      </x:c>
      <x:c r="F33" s="90" t="n">
        <x:v>0.013490669728742659</x:v>
      </x:c>
      <x:c r="G33" s="86" t="n">
        <x:v>3931.4386206896565</x:v>
      </x:c>
      <x:c r="H33" s="86" t="n">
        <x:v>3968.3752494595365</x:v>
      </x:c>
      <x:c r="I33" s="86" t="n">
        <x:v>3915.1987096774164</x:v>
      </x:c>
      <x:c r="J33" s="1"/>
      <x:c r="K33" s="1" t="str">
        <x:f>A19</x:f>
        <x:v>2022-12</x:v>
      </x:c>
      <x:c r="L33" s="74" t="n">
        <x:f>G19</x:f>
        <x:v>4788.490645161287</x:v>
      </x:c>
      <x:c r="M33" s="74" t="n">
        <x:f>H19</x:f>
        <x:v>4797.8386257419315</x:v>
      </x:c>
      <x:c r="N33" s="74" t="n">
        <x:f>H70</x:f>
        <x:v>4771.597166634897</x:v>
      </x:c>
      <x:c r="O33" s="74" t="n">
        <x:f>I19</x:f>
        <x:v>4926.660666666665</x:v>
      </x:c>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t="str">
        <x:v>2024-03</x:v>
      </x:c>
      <x:c r="B34" s="90" t="n">
        <x:v>8.268562917935254</x:v>
      </x:c>
      <x:c r="C34" s="90" t="n">
        <x:v>8.276227244088831</x:v>
      </x:c>
      <x:c r="D34" s="90" t="n">
        <x:v>8.276760699123423</x:v>
      </x:c>
      <x:c r="E34" s="90" t="n">
        <x:v>-0.008197781188169273</x:v>
      </x:c>
      <x:c r="F34" s="90" t="n">
        <x:v>-0.0005334550345920232</x:v>
      </x:c>
      <x:c r="G34" s="86" t="n">
        <x:v>3899.3412903225835</x:v>
      </x:c>
      <x:c r="H34" s="86" t="n">
        <x:v>3929.341934257948</x:v>
      </x:c>
      <x:c r="I34" s="86" t="n">
        <x:v>3931.4386206896565</x:v>
      </x:c>
      <x:c r="J34" s="1"/>
      <x:c r="K34" s="1" t="str">
        <x:f>A20</x:f>
        <x:v>2023-01</x:v>
      </x:c>
      <x:c r="L34" s="74" t="n">
        <x:f>G20</x:f>
        <x:v>4715.203870967738</x:v>
      </x:c>
      <x:c r="M34" s="74" t="n">
        <x:f>H20</x:f>
        <x:v>4654.050378675888</x:v>
      </x:c>
      <x:c r="N34" s="74" t="n">
        <x:f>H71</x:f>
        <x:v>4635.595820876406</x:v>
      </x:c>
      <x:c r="O34" s="74" t="n">
        <x:f>I20</x:f>
        <x:v>4788.490645161287</x:v>
      </x:c>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t="str">
        <x:v>2024-04</x:v>
      </x:c>
      <x:c r="B35" s="90" t="n">
        <x:v>8.26048647944151</x:v>
      </x:c>
      <x:c r="C35" s="90" t="n">
        <x:v>8.288732643884352</x:v>
      </x:c>
      <x:c r="D35" s="90" t="n">
        <x:v>8.268562917935254</x:v>
      </x:c>
      <x:c r="E35" s="90" t="n">
        <x:v>-0.00807643849374351</x:v>
      </x:c>
      <x:c r="F35" s="90" t="n">
        <x:v>0.020169725949098133</x:v>
      </x:c>
      <x:c r="G35" s="86" t="n">
        <x:v>3867.9753333333356</x:v>
      </x:c>
      <x:c r="H35" s="86" t="n">
        <x:v>3978.788455950669</x:v>
      </x:c>
      <x:c r="I35" s="86" t="n">
        <x:v>3899.3412903225835</x:v>
      </x:c>
      <x:c r="J35" s="1"/>
      <x:c r="K35" s="1" t="str">
        <x:f>A21</x:f>
        <x:v>2023-02</x:v>
      </x:c>
      <x:c r="L35" s="74" t="n">
        <x:f>G21</x:f>
        <x:v>4803.112499999996</x:v>
      </x:c>
      <x:c r="M35" s="74" t="n">
        <x:f>H21</x:f>
        <x:v>4734.854414433899</x:v>
      </x:c>
      <x:c r="N35" s="74" t="n">
        <x:f>H72</x:f>
        <x:v>4708.805389440704</x:v>
      </x:c>
      <x:c r="O35" s="74" t="n">
        <x:f>I21</x:f>
        <x:v>4715.203870967738</x:v>
      </x:c>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t="str">
        <x:v>2024-05</x:v>
      </x:c>
      <x:c r="B36" s="90" t="n">
        <x:v>8.260777367585563</x:v>
      </x:c>
      <x:c r="C36" s="90" t="n">
        <x:v>8.268098834611507</x:v>
      </x:c>
      <x:c r="D36" s="90" t="n">
        <x:v>8.26048647944151</x:v>
      </x:c>
      <x:c r="E36" s="90" t="n">
        <x:v>0.00029088814405220376</x:v>
      </x:c>
      <x:c r="F36" s="90" t="n">
        <x:v>0.007612355169996029</x:v>
      </x:c>
      <x:c r="G36" s="86" t="n">
        <x:v>3869.100645161288</x:v>
      </x:c>
      <x:c r="H36" s="86" t="n">
        <x:v>3897.532090898259</x:v>
      </x:c>
      <x:c r="I36" s="86" t="n">
        <x:v>3867.9753333333356</x:v>
      </x:c>
      <x:c r="J36" s="1"/>
      <x:c r="K36" s="1" t="str">
        <x:f>A22</x:f>
        <x:v>2023-03</x:v>
      </x:c>
      <x:c r="L36" s="74" t="n">
        <x:f>G22</x:f>
        <x:v>4766.3058064516135</x:v>
      </x:c>
      <x:c r="M36" s="74" t="n">
        <x:f>H22</x:f>
        <x:v>4857.002183558929</x:v>
      </x:c>
      <x:c r="N36" s="74" t="n">
        <x:f>H73</x:f>
        <x:v>4913.935407473924</x:v>
      </x:c>
      <x:c r="O36" s="74" t="n">
        <x:f>I22</x:f>
        <x:v>4803.112499999996</x:v>
      </x:c>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t="str">
        <x:v>2024-06</x:v>
      </x:c>
      <x:c r="B37" s="90" t="n">
        <x:v>8.304692058140274</x:v>
      </x:c>
      <x:c r="C37" s="90" t="n">
        <x:v>8.285575243337954</x:v>
      </x:c>
      <x:c r="D37" s="90" t="n">
        <x:v>8.260777367585563</x:v>
      </x:c>
      <x:c r="E37" s="90" t="n">
        <x:v>0.0439146905547112</x:v>
      </x:c>
      <x:c r="F37" s="90" t="n">
        <x:v>0.024797875752391188</x:v>
      </x:c>
      <x:c r="G37" s="86" t="n">
        <x:v>4042.7970000000014</x:v>
      </x:c>
      <x:c r="H37" s="86" t="n">
        <x:v>3966.2456388747237</x:v>
      </x:c>
      <x:c r="I37" s="86" t="n">
        <x:v>3869.100645161288</x:v>
      </x:c>
      <x:c r="J37" s="1"/>
      <x:c r="K37" s="1" t="str">
        <x:f>A23</x:f>
        <x:v>2023-04</x:v>
      </x:c>
      <x:c r="L37" s="74" t="n">
        <x:f>G23</x:f>
        <x:v>4542.674333333336</x:v>
      </x:c>
      <x:c r="M37" s="74" t="n">
        <x:f>H23</x:f>
        <x:v>4664.923366767471</x:v>
      </x:c>
      <x:c r="N37" s="74" t="n">
        <x:f>H74</x:f>
        <x:v>4637.247017842053</x:v>
      </x:c>
      <x:c r="O37" s="74" t="n">
        <x:f>I23</x:f>
        <x:v>4766.3058064516135</x:v>
      </x:c>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t="str">
        <x:v>2024-07</x:v>
      </x:c>
      <x:c r="B38" s="90" t="n">
        <x:v>8.30323778340659</x:v>
      </x:c>
      <x:c r="C38" s="90" t="n">
        <x:v>8.312678386827129</x:v>
      </x:c>
      <x:c r="D38" s="90" t="n">
        <x:v>8.304692058140274</x:v>
      </x:c>
      <x:c r="E38" s="90" t="n">
        <x:v>-0.001454274733683647</x:v>
      </x:c>
      <x:c r="F38" s="90" t="n">
        <x:v>0.007986328686853672</x:v>
      </x:c>
      <x:c r="G38" s="86" t="n">
        <x:v>4036.92193548387</x:v>
      </x:c>
      <x:c r="H38" s="86" t="n">
        <x:v>4075.213377281366</x:v>
      </x:c>
      <x:c r="I38" s="86" t="n">
        <x:v>4042.7970000000014</x:v>
      </x:c>
      <x:c r="J38" s="1"/>
      <x:c r="K38" s="1" t="str">
        <x:f>A24</x:f>
        <x:v>2023-05</x:v>
      </x:c>
      <x:c r="L38" s="74" t="n">
        <x:f>G24</x:f>
        <x:v>4540.089032258067</x:v>
      </x:c>
      <x:c r="M38" s="74" t="n">
        <x:f>H24</x:f>
        <x:v>4580.288462187275</x:v>
      </x:c>
      <x:c r="N38" s="74" t="n">
        <x:f>H75</x:f>
        <x:v>4545.626408579925</x:v>
      </x:c>
      <x:c r="O38" s="74" t="n">
        <x:f>I24</x:f>
        <x:v>4542.674333333336</x:v>
      </x:c>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t="str">
        <x:v>2024-08</x:v>
      </x:c>
      <x:c r="B39" s="90" t="n">
        <x:v>8.310303441388276</x:v>
      </x:c>
      <x:c r="C39" s="90" t="n">
        <x:v>8.321083809110311</x:v>
      </x:c>
      <x:c r="D39" s="90" t="n">
        <x:v>8.30323778340659</x:v>
      </x:c>
      <x:c r="E39" s="90" t="n">
        <x:v>0.007065657981685902</x:v>
      </x:c>
      <x:c r="F39" s="90" t="n">
        <x:v>0.017846025703720354</x:v>
      </x:c>
      <x:c r="G39" s="86" t="n">
        <x:v>4065.546451612903</x:v>
      </x:c>
      <x:c r="H39" s="86" t="n">
        <x:v>4109.611630008782</x:v>
      </x:c>
      <x:c r="I39" s="86" t="n">
        <x:v>4036.92193548387</x:v>
      </x:c>
      <x:c r="J39" s="1"/>
      <x:c r="K39" s="1" t="str">
        <x:f>A25</x:f>
        <x:v>2023-06</x:v>
      </x:c>
      <x:c r="L39" s="74" t="n">
        <x:f>G25</x:f>
        <x:v>4209.267999999998</x:v>
      </x:c>
      <x:c r="M39" s="74" t="n">
        <x:f>H25</x:f>
        <x:v>4493.598913647849</x:v>
      </x:c>
      <x:c r="N39" s="74" t="n">
        <x:f>H76</x:f>
        <x:v>4456.079193252815</x:v>
      </x:c>
      <x:c r="O39" s="74" t="n">
        <x:f>I25</x:f>
        <x:v>4540.089032258067</x:v>
      </x:c>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t="str">
        <x:v>2024-09</x:v>
      </x:c>
      <x:c r="B40" s="90" t="n">
        <x:v>8.338667381651211</x:v>
      </x:c>
      <x:c r="C40" s="90" t="n">
        <x:v>8.312314582418834</x:v>
      </x:c>
      <x:c r="D40" s="90" t="n">
        <x:v>8.310303441388276</x:v>
      </x:c>
      <x:c r="E40" s="90" t="n">
        <x:v>0.02836394026293476</x:v>
      </x:c>
      <x:c r="F40" s="90" t="n">
        <x:v>0.0020111410305581</x:v>
      </x:c>
      <x:c r="G40" s="86" t="n">
        <x:v>4182.5123333333295</x:v>
      </x:c>
      <x:c r="H40" s="86" t="n">
        <x:v>4073.7310663419453</x:v>
      </x:c>
      <x:c r="I40" s="86" t="n">
        <x:v>4065.546451612903</x:v>
      </x:c>
      <x:c r="J40" s="1"/>
      <x:c r="K40" s="1" t="str">
        <x:f>A26</x:f>
        <x:v>2023-07</x:v>
      </x:c>
      <x:c r="L40" s="74" t="n">
        <x:f>G26</x:f>
        <x:v>4069.2335483870993</x:v>
      </x:c>
      <x:c r="M40" s="74" t="n">
        <x:f>H26</x:f>
        <x:v>4133.574050564003</x:v>
      </x:c>
      <x:c r="N40" s="74" t="n">
        <x:f>H77</x:f>
        <x:v>4124.1023954543025</x:v>
      </x:c>
      <x:c r="O40" s="74" t="n">
        <x:f>I26</x:f>
        <x:v>4209.267999999998</x:v>
      </x:c>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t="str">
        <x:v>2024-10</x:v>
      </x:c>
      <x:c r="B41" s="90" t="n">
        <x:v>8.354549548259685</x:v>
      </x:c>
      <x:c r="C41" s="90" t="n">
        <x:v>8.360824174049228</x:v>
      </x:c>
      <x:c r="D41" s="90" t="n">
        <x:v>8.338667381651211</x:v>
      </x:c>
      <x:c r="E41" s="90" t="n">
        <x:v>0.01588216660847408</x:v>
      </x:c>
      <x:c r="F41" s="90" t="n">
        <x:v>0.022156792398016933</x:v>
      </x:c>
      <x:c r="G41" s="86" t="n">
        <x:v>4249.470000000003</x:v>
      </x:c>
      <x:c r="H41" s="86" t="n">
        <x:v>4276.217662082411</x:v>
      </x:c>
      <x:c r="I41" s="86" t="n">
        <x:v>4182.5123333333295</x:v>
      </x:c>
      <x:c r="J41" s="1"/>
      <x:c r="K41" s="1" t="str">
        <x:f>A27</x:f>
        <x:v>2023-08</x:v>
      </x:c>
      <x:c r="L41" s="74" t="n">
        <x:f>G27</x:f>
        <x:v>4070.7251612903224</x:v>
      </x:c>
      <x:c r="M41" s="74" t="n">
        <x:f>H27</x:f>
        <x:v>4140.385091441157</x:v>
      </x:c>
      <x:c r="N41" s="74" t="n">
        <x:f>H78</x:f>
        <x:v>4146.69286571661</x:v>
      </x:c>
      <x:c r="O41" s="74" t="n">
        <x:f>I27</x:f>
        <x:v>4069.2335483870993</x:v>
      </x:c>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t="str">
        <x:v>2024-11</x:v>
      </x:c>
      <x:c r="B42" s="90" t="n">
        <x:v>8.39132432838928</x:v>
      </x:c>
      <x:c r="C42" s="90" t="n">
        <x:v>8.379655375479233</x:v>
      </x:c>
      <x:c r="D42" s="90" t="n">
        <x:v>8.354549548259685</x:v>
      </x:c>
      <x:c r="E42" s="90" t="n">
        <x:v>0.03677478012959412</x:v>
      </x:c>
      <x:c r="F42" s="90" t="n">
        <x:v>0.025105827219547076</x:v>
      </x:c>
      <x:c r="G42" s="86" t="n">
        <x:v>4408.652333333335</x:v>
      </x:c>
      <x:c r="H42" s="86" t="n">
        <x:v>4357.506963661201</x:v>
      </x:c>
      <x:c r="I42" s="86" t="n">
        <x:v>4249.470000000003</x:v>
      </x:c>
      <x:c r="J42" s="1"/>
      <x:c r="K42" s="1" t="str">
        <x:f>A28</x:f>
        <x:v>2023-09</x:v>
      </x:c>
      <x:c r="L42" s="74" t="n">
        <x:f>G28</x:f>
        <x:v>4004.52066666667</x:v>
      </x:c>
      <x:c r="M42" s="74" t="n">
        <x:f>H28</x:f>
        <x:v>4144.448944579166</x:v>
      </x:c>
      <x:c r="N42" s="74" t="n">
        <x:f>H79</x:f>
        <x:v>4169.048377938901</x:v>
      </x:c>
      <x:c r="O42" s="74" t="n">
        <x:f>I28</x:f>
        <x:v>4070.7251612903224</x:v>
      </x:c>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t="str">
        <x:v>2024-12</x:v>
      </x:c>
      <x:c r="B43" s="90" t="n">
        <x:v>8.385978817498613</x:v>
      </x:c>
      <x:c r="C43" s="90" t="n">
        <x:v>8.411615229894613</x:v>
      </x:c>
      <x:c r="D43" s="90" t="n">
        <x:v>8.39132432838928</x:v>
      </x:c>
      <x:c r="E43" s="90" t="n">
        <x:v>-0.005345510890666816</x:v>
      </x:c>
      <x:c r="F43" s="90" t="n">
        <x:v>0.02029090150533329</x:v>
      </x:c>
      <x:c r="G43" s="86" t="n">
        <x:v>4385.148709677422</x:v>
      </x:c>
      <x:c r="H43" s="86" t="n">
        <x:v>4499.021599991281</x:v>
      </x:c>
      <x:c r="I43" s="86" t="n">
        <x:v>4408.652333333335</x:v>
      </x:c>
      <x:c r="J43" s="1"/>
      <x:c r="K43" s="1" t="str">
        <x:f>A29</x:f>
        <x:v>2023-10</x:v>
      </x:c>
      <x:c r="L43" s="74" t="n">
        <x:f>G29</x:f>
        <x:v>4222.433225806451</x:v>
      </x:c>
      <x:c r="M43" s="74" t="n">
        <x:f>H29</x:f>
        <x:v>4142.5306249826435</x:v>
      </x:c>
      <x:c r="N43" s="74" t="n">
        <x:f>H80</x:f>
        <x:v>4130.394254748319</x:v>
      </x:c>
      <x:c r="O43" s="74" t="n">
        <x:f>I29</x:f>
        <x:v>4004.52066666667</x:v>
      </x:c>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t="str">
        <x:v>2025-01</x:v>
      </x:c>
      <x:c r="B44" s="90" t="n">
        <x:v>8.368128619899991</x:v>
      </x:c>
      <x:c r="C44" s="90" t="n">
        <x:v>8.399076476675933</x:v>
      </x:c>
      <x:c r="D44" s="90" t="n">
        <x:v>8.385978817498613</x:v>
      </x:c>
      <x:c r="E44" s="90" t="n">
        <x:v>-0.017850197598621165</x:v>
      </x:c>
      <x:c r="F44" s="90" t="n">
        <x:v>0.013097659177320229</x:v>
      </x:c>
      <x:c r="G44" s="86" t="n">
        <x:v>4307.567419354838</x:v>
      </x:c>
      <x:c r="H44" s="86" t="n">
        <x:v>4442.961673692237</x:v>
      </x:c>
      <x:c r="I44" s="86" t="n">
        <x:v>4385.148709677422</x:v>
      </x:c>
      <x:c r="J44" s="1"/>
      <x:c r="K44" s="1" t="str">
        <x:f>A30</x:f>
        <x:v>2023-11</x:v>
      </x:c>
      <x:c r="L44" s="74" t="n">
        <x:f>G30</x:f>
        <x:v>4038.804666666669</x:v>
      </x:c>
      <x:c r="M44" s="74" t="n">
        <x:f>H30</x:f>
        <x:v>4101.814490759001</x:v>
      </x:c>
      <x:c r="N44" s="74" t="n">
        <x:f>H81</x:f>
        <x:v>4114.237186701473</x:v>
      </x:c>
      <x:c r="O44" s="74" t="n">
        <x:f>I30</x:f>
        <x:v>4222.433225806451</x:v>
      </x:c>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t="str">
        <x:v>2025-02</x:v>
      </x:c>
      <x:c r="B45" s="90" t="n">
        <x:v>8.325537146384832</x:v>
      </x:c>
      <x:c r="C45" s="90" t="n">
        <x:v>8.364479273831321</x:v>
      </x:c>
      <x:c r="D45" s="90" t="n">
        <x:v>8.368128619899991</x:v>
      </x:c>
      <x:c r="E45" s="90" t="n">
        <x:v>-0.04259147351515935</x:v>
      </x:c>
      <x:c r="F45" s="90" t="n">
        <x:v>-0.003649346068669953</x:v>
      </x:c>
      <x:c r="G45" s="86" t="n">
        <x:v>4127.95392857143</x:v>
      </x:c>
      <x:c r="H45" s="86" t="n">
        <x:v>4291.876263770165</x:v>
      </x:c>
      <x:c r="I45" s="86" t="n">
        <x:v>4307.567419354838</x:v>
      </x:c>
      <x:c r="J45" s="1"/>
      <x:c r="K45" s="1" t="str">
        <x:f>A31</x:f>
        <x:v>2023-12</x:v>
      </x:c>
      <x:c r="L45" s="74" t="n">
        <x:f>G31</x:f>
        <x:v>3948.2067741935466</x:v>
      </x:c>
      <x:c r="M45" s="74" t="n">
        <x:f>H31</x:f>
        <x:v>3994.2904535327552</x:v>
      </x:c>
      <x:c r="N45" s="74" t="n">
        <x:f>H82</x:f>
        <x:v>3971.6840002245326</x:v>
      </x:c>
      <x:c r="O45" s="74" t="n">
        <x:f>I31</x:f>
        <x:v>4038.804666666669</x:v>
      </x:c>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t="str">
        <x:v>2025-03</x:v>
      </x:c>
      <x:c r="B46" s="90" t="n">
        <x:v>8.327891614734215</x:v>
      </x:c>
      <x:c r="C46" s="90" t="n">
        <x:v>8.323869022250104</x:v>
      </x:c>
      <x:c r="D46" s="90" t="n">
        <x:v>8.325537146384832</x:v>
      </x:c>
      <x:c r="E46" s="90" t="n">
        <x:v>0.002354468349382799</x:v>
      </x:c>
      <x:c r="F46" s="90" t="n">
        <x:v>-0.0016681241347272485</x:v>
      </x:c>
      <x:c r="G46" s="86" t="n">
        <x:v>4137.684516129031</x:v>
      </x:c>
      <x:c r="H46" s="86" t="n">
        <x:v>4121.073729104952</x:v>
      </x:c>
      <x:c r="I46" s="86" t="n">
        <x:v>4127.95392857143</x:v>
      </x:c>
      <x:c r="J46" s="1"/>
      <x:c r="K46" s="1" t="str">
        <x:f>A32</x:f>
        <x:v>2024-01</x:v>
      </x:c>
      <x:c r="L46" s="74" t="n">
        <x:f>G32</x:f>
        <x:v>3915.1987096774164</x:v>
      </x:c>
      <x:c r="M46" s="74" t="n">
        <x:f>H32</x:f>
        <x:v>3979.6486686180165</x:v>
      </x:c>
      <x:c r="N46" s="74" t="n">
        <x:f>H83</x:f>
        <x:v>3908.8075186483143</x:v>
      </x:c>
      <x:c r="O46" s="74" t="n">
        <x:f>I32</x:f>
        <x:v>3948.2067741935466</x:v>
      </x:c>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t="str">
        <x:v>2025-04</x:v>
      </x:c>
      <x:c r="B47" s="90" t="n">
        <x:v>8.361768567132886</x:v>
      </x:c>
      <x:c r="C47" s="90" t="n">
        <x:v>8.329468068782152</x:v>
      </x:c>
      <x:c r="D47" s="90" t="n">
        <x:v>8.327891614734215</x:v>
      </x:c>
      <x:c r="E47" s="90" t="n">
        <x:v>0.03387695239867128</x:v>
      </x:c>
      <x:c r="F47" s="90" t="n">
        <x:v>0.0015764540479369996</x:v>
      </x:c>
      <x:c r="G47" s="86" t="n">
        <x:v>4280.2580000000025</x:v>
      </x:c>
      <x:c r="H47" s="86" t="n">
        <x:v>4144.212529838433</x:v>
      </x:c>
      <x:c r="I47" s="86" t="n">
        <x:v>4137.684516129031</x:v>
      </x:c>
      <x:c r="J47" s="1"/>
      <x:c r="K47" s="1" t="str">
        <x:f>A33</x:f>
        <x:v>2024-02</x:v>
      </x:c>
      <x:c r="L47" s="74" t="n">
        <x:f>G33</x:f>
        <x:v>3931.4386206896565</x:v>
      </x:c>
      <x:c r="M47" s="74" t="n">
        <x:f>H33</x:f>
        <x:v>3968.3752494595365</x:v>
      </x:c>
      <x:c r="N47" s="74" t="n">
        <x:f>H84</x:f>
        <x:v>3991.812940641357</x:v>
      </x:c>
      <x:c r="O47" s="74" t="n">
        <x:f>I33</x:f>
        <x:v>3915.1987096774164</x:v>
      </x:c>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t="str">
        <x:v>2025-05</x:v>
      </x:c>
      <x:c r="B48" s="90" t="n">
        <x:v>8.34364355184035</x:v>
      </x:c>
      <x:c r="C48" s="90" t="n">
        <x:v>8.331384325596842</x:v>
      </x:c>
      <x:c r="D48" s="90" t="n">
        <x:v>8.361768567132886</x:v>
      </x:c>
      <x:c r="E48" s="90" t="n">
        <x:v>-0.018125015292536517</x:v>
      </x:c>
      <x:c r="F48" s="90" t="n">
        <x:v>-0.03038424153604377</x:v>
      </x:c>
      <x:c r="G48" s="86" t="n">
        <x:v>4203.377096774196</x:v>
      </x:c>
      <x:c r="H48" s="86" t="n">
        <x:v>4152.161519060225</x:v>
      </x:c>
      <x:c r="I48" s="86" t="n">
        <x:v>4280.2580000000025</x:v>
      </x:c>
      <x:c r="J48" s="1"/>
      <x:c r="K48" s="1" t="str">
        <x:f>A34</x:f>
        <x:v>2024-03</x:v>
      </x:c>
      <x:c r="L48" s="74" t="n">
        <x:f>G34</x:f>
        <x:v>3899.3412903225835</x:v>
      </x:c>
      <x:c r="M48" s="74" t="n">
        <x:f>H34</x:f>
        <x:v>3929.341934257948</x:v>
      </x:c>
      <x:c r="N48" s="74" t="n">
        <x:f>H85</x:f>
        <x:v>3957.2813966636395</x:v>
      </x:c>
      <x:c r="O48" s="74" t="n">
        <x:f>I34</x:f>
        <x:v>3931.4386206896565</x:v>
      </x:c>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t="str">
        <x:v>2025-06</x:v>
      </x:c>
      <x:c r="B49" s="90" t="n">
        <x:v>8.322025880072617</x:v>
      </x:c>
      <x:c r="C49" s="90" t="n">
        <x:v>8.322100818665692</x:v>
      </x:c>
      <x:c r="D49" s="90" t="n">
        <x:v>8.34364355184035</x:v>
      </x:c>
      <x:c r="E49" s="90" t="n">
        <x:v>-0.021617671767732105</x:v>
      </x:c>
      <x:c r="F49" s="90" t="n">
        <x:v>-0.021542733174656707</x:v>
      </x:c>
      <x:c r="G49" s="86" t="n">
        <x:v>4113.4850000000015</x:v>
      </x:c>
      <x:c r="H49" s="86" t="n">
        <x:v>4113.793270329064</x:v>
      </x:c>
      <x:c r="I49" s="86" t="n">
        <x:v>4203.377096774196</x:v>
      </x:c>
      <x:c r="J49" s="1"/>
      <x:c r="K49" s="1" t="str">
        <x:f>A35</x:f>
        <x:v>2024-04</x:v>
      </x:c>
      <x:c r="L49" s="74" t="n">
        <x:f>G35</x:f>
        <x:v>3867.9753333333356</x:v>
      </x:c>
      <x:c r="M49" s="74" t="n">
        <x:f>H35</x:f>
        <x:v>3978.788455950669</x:v>
      </x:c>
      <x:c r="N49" s="74" t="n">
        <x:f>H86</x:f>
        <x:v>3943.193145493312</x:v>
      </x:c>
      <x:c r="O49" s="74" t="n">
        <x:f>I35</x:f>
        <x:v>3899.3412903225835</x:v>
      </x:c>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t="str">
        <x:v>2025-07</x:v>
      </x:c>
      <x:c r="B50" s="90" t="n">
        <x:v>8.304209945715085</x:v>
      </x:c>
      <x:c r="C50" s="90" t="n">
        <x:v>8.31347129718074</x:v>
      </x:c>
      <x:c r="D50" s="90" t="n">
        <x:v>8.322025880072617</x:v>
      </x:c>
      <x:c r="E50" s="90" t="n">
        <x:v>-0.01781593435753237</x:v>
      </x:c>
      <x:c r="F50" s="90" t="n">
        <x:v>-0.008554582891877252</x:v>
      </x:c>
      <x:c r="G50" s="86" t="n">
        <x:v>4040.8483870967743</x:v>
      </x:c>
      <x:c r="H50" s="86" t="n">
        <x:v>4078.4459375572837</x:v>
      </x:c>
      <x:c r="I50" s="86" t="n">
        <x:v>4113.4850000000015</x:v>
      </x:c>
      <x:c r="J50" s="1"/>
      <x:c r="K50" s="1" t="str">
        <x:f>A36</x:f>
        <x:v>2024-05</x:v>
      </x:c>
      <x:c r="L50" s="74" t="n">
        <x:f>G36</x:f>
        <x:v>3869.100645161288</x:v>
      </x:c>
      <x:c r="M50" s="74" t="n">
        <x:f>H36</x:f>
        <x:v>3897.532090898259</x:v>
      </x:c>
      <x:c r="N50" s="74" t="n">
        <x:f>H87</x:f>
        <x:v>3928.7138067141696</x:v>
      </x:c>
      <x:c r="O50" s="74" t="n">
        <x:f>I36</x:f>
        <x:v>3867.9753333333356</x:v>
      </x:c>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t="str">
        <x:v>2025-08</x:v>
      </x:c>
      <x:c r="B51" s="90" t="n">
        <x:v>8.305832847858927</x:v>
      </x:c>
      <x:c r="C51" s="90" t="n">
        <x:v>8.312575979755437</x:v>
      </x:c>
      <x:c r="D51" s="90" t="n">
        <x:v>8.304209945715085</x:v>
      </x:c>
      <x:c r="E51" s="90" t="n">
        <x:v>0.0016229021438416424</x:v>
      </x:c>
      <x:c r="F51" s="90" t="n">
        <x:v>0.008366034040350764</x:v>
      </x:c>
      <x:c r="G51" s="86" t="n">
        <x:v>4047.4116129032236</x:v>
      </x:c>
      <x:c r="H51" s="86" t="n">
        <x:v>4074.796067980955</x:v>
      </x:c>
      <x:c r="I51" s="86" t="n">
        <x:v>4040.8483870967743</x:v>
      </x:c>
      <x:c r="J51" s="1"/>
      <x:c r="K51" s="1" t="str">
        <x:f>A37</x:f>
        <x:v>2024-06</x:v>
      </x:c>
      <x:c r="L51" s="74" t="n">
        <x:f>G37</x:f>
        <x:v>4042.7970000000014</x:v>
      </x:c>
      <x:c r="M51" s="74" t="n">
        <x:f>H37</x:f>
        <x:v>3966.2456388747237</x:v>
      </x:c>
      <x:c r="N51" s="74" t="n">
        <x:f>H88</x:f>
        <x:v>3969.4243248171606</x:v>
      </x:c>
      <x:c r="O51" s="74" t="n">
        <x:f>I37</x:f>
        <x:v>3869.100645161288</x:v>
      </x:c>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t="str">
        <x:v>2025-09</x:v>
      </x:c>
      <x:c r="B52" s="90" t="n">
        <x:v>8.274411059349477</x:v>
      </x:c>
      <x:c r="C52" s="90" t="n">
        <x:v>8.300909115253537</x:v>
      </x:c>
      <x:c r="D52" s="90" t="n">
        <x:v>8.305832847858927</x:v>
      </x:c>
      <x:c r="E52" s="90" t="n">
        <x:v>-0.031421788509449655</x:v>
      </x:c>
      <x:c r="F52" s="90" t="n">
        <x:v>-0.004923732605389686</x:v>
      </x:c>
      <x:c r="G52" s="86" t="n">
        <x:v>3922.211999999997</x:v>
      </x:c>
      <x:c r="H52" s="86" t="n">
        <x:v>4027.532220944084</x:v>
      </x:c>
      <x:c r="I52" s="86" t="n">
        <x:v>4047.4116129032236</x:v>
      </x:c>
      <x:c r="J52" s="1"/>
      <x:c r="K52" s="1" t="str">
        <x:f>A38</x:f>
        <x:v>2024-07</x:v>
      </x:c>
      <x:c r="L52" s="74" t="n">
        <x:f>G38</x:f>
        <x:v>4036.92193548387</x:v>
      </x:c>
      <x:c r="M52" s="74" t="n">
        <x:f>H38</x:f>
        <x:v>4075.213377281366</x:v>
      </x:c>
      <x:c r="N52" s="74" t="n">
        <x:f>H89</x:f>
        <x:v>4089.091989658071</x:v>
      </x:c>
      <x:c r="O52" s="74" t="n">
        <x:f>I38</x:f>
        <x:v>4042.7970000000014</x:v>
      </x:c>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t="str">
        <x:v>2025-10</x:v>
      </x:c>
      <x:c r="B53" s="90" t="n">
        <x:v>8.263034824354826</x:v>
      </x:c>
      <x:c r="C53" s="90" t="n">
        <x:v>8.289047616794377</x:v>
      </x:c>
      <x:c r="D53" s="90" t="n">
        <x:v>8.274411059349477</x:v>
      </x:c>
      <x:c r="E53" s="90" t="n">
        <x:v>-0.011376234994651568</x:v>
      </x:c>
      <x:c r="F53" s="90" t="n">
        <x:v>0.014636557444900049</x:v>
      </x:c>
      <x:c r="G53" s="86" t="n">
        <x:v>3877.8448387096764</x:v>
      </x:c>
      <x:c r="H53" s="86" t="n">
        <x:v>3980.041863913431</x:v>
      </x:c>
      <x:c r="I53" s="86" t="n">
        <x:v>3922.211999999997</x:v>
      </x:c>
      <x:c r="J53" s="1"/>
      <x:c r="K53" s="1" t="str">
        <x:f>A39</x:f>
        <x:v>2024-08</x:v>
      </x:c>
      <x:c r="L53" s="74" t="n">
        <x:f>G39</x:f>
        <x:v>4065.546451612903</x:v>
      </x:c>
      <x:c r="M53" s="74" t="n">
        <x:f>H39</x:f>
        <x:v>4109.611630008782</x:v>
      </x:c>
      <x:c r="N53" s="74" t="n">
        <x:f>H90</x:f>
        <x:v>4034.702306473271</x:v>
      </x:c>
      <x:c r="O53" s="74" t="n">
        <x:f>I39</x:f>
        <x:v>4036.92193548387</x:v>
      </x:c>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t="str">
        <x:v>2025-11</x:v>
      </x:c>
      <x:c r="B54" s="90" t="n">
        <x:v>8.239113754615177</x:v>
      </x:c>
      <x:c r="C54" s="90" t="n">
        <x:v>8.272292230327755</x:v>
      </x:c>
      <x:c r="D54" s="90" t="n">
        <x:v>8.263034824354826</x:v>
      </x:c>
      <x:c r="E54" s="90" t="n">
        <x:v>-0.02392106973964836</x:v>
      </x:c>
      <x:c r="F54" s="90" t="n">
        <x:v>0.00925740597292977</x:v>
      </x:c>
      <x:c r="G54" s="86" t="n">
        <x:v>3786.1833333333366</x:v>
      </x:c>
      <x:c r="H54" s="86" t="n">
        <x:v>3913.910301430809</x:v>
      </x:c>
      <x:c r="I54" s="86" t="n">
        <x:v>3877.8448387096764</x:v>
      </x:c>
      <x:c r="J54" s="1"/>
      <x:c r="K54" s="1" t="str">
        <x:f>A40</x:f>
        <x:v>2024-09</x:v>
      </x:c>
      <x:c r="L54" s="74" t="n">
        <x:f>G40</x:f>
        <x:v>4182.5123333333295</x:v>
      </x:c>
      <x:c r="M54" s="74" t="n">
        <x:f>H40</x:f>
        <x:v>4073.7310663419453</x:v>
      </x:c>
      <x:c r="N54" s="74" t="n">
        <x:f>H91</x:f>
        <x:v>4061.138416273868</x:v>
      </x:c>
      <x:c r="O54" s="74" t="n">
        <x:f>I40</x:f>
        <x:v>4065.546451612903</x:v>
      </x:c>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t="str">
        <x:v>2025-12</x:v>
      </x:c>
      <x:c r="B55" s="90" t="n">
        <x:v>8.240509596157608</x:v>
      </x:c>
      <x:c r="C55" s="90" t="n">
        <x:v>8.218146994419579</x:v>
      </x:c>
      <x:c r="D55" s="90" t="n">
        <x:v>8.239113754615177</x:v>
      </x:c>
      <x:c r="E55" s="90" t="n">
        <x:v>0.0013958415424308868</x:v>
      </x:c>
      <x:c r="F55" s="90" t="n">
        <x:v>-0.020966760195597983</x:v>
      </x:c>
      <x:c r="G55" s="86" t="n">
        <x:v>3791.471935483873</x:v>
      </x:c>
      <x:c r="H55" s="86" t="n">
        <x:v>3707.6257620437123</x:v>
      </x:c>
      <x:c r="I55" s="86" t="n">
        <x:v>3786.1833333333366</x:v>
      </x:c>
      <x:c r="J55" s="1"/>
      <x:c r="K55" s="1" t="str">
        <x:f>A41</x:f>
        <x:v>2024-10</x:v>
      </x:c>
      <x:c r="L55" s="74" t="n">
        <x:f>G41</x:f>
        <x:v>4249.470000000003</x:v>
      </x:c>
      <x:c r="M55" s="74" t="n">
        <x:f>H41</x:f>
        <x:v>4276.217662082411</x:v>
      </x:c>
      <x:c r="N55" s="74" t="n">
        <x:f>H92</x:f>
        <x:v>4267.697207479882</x:v>
      </x:c>
      <x:c r="O55" s="74" t="n">
        <x:f>I41</x:f>
        <x:v>4182.5123333333295</x:v>
      </x:c>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t="str">
        <x:v>2026-01</x:v>
      </x:c>
      <x:c r="B56" s="90" t="n">
        <x:v>8.216898319573602</x:v>
      </x:c>
      <x:c r="C56" s="90" t="n">
        <x:v>8.227432462020413</x:v>
      </x:c>
      <x:c r="D56" s="90" t="n">
        <x:v>8.240509596157608</x:v>
      </x:c>
      <x:c r="E56" s="90" t="n">
        <x:v>-0.02361127658400619</x:v>
      </x:c>
      <x:c r="F56" s="90" t="n">
        <x:v>-0.013077134137195471</x:v>
      </x:c>
      <x:c r="G56" s="86" t="n">
        <x:v>3702.999032258066</x:v>
      </x:c>
      <x:c r="H56" s="86" t="n">
        <x:v>3742.2131323768676</x:v>
      </x:c>
      <x:c r="I56" s="86" t="n">
        <x:v>3791.471935483873</x:v>
      </x:c>
      <x:c r="J56" s="1"/>
      <x:c r="K56" s="1" t="str">
        <x:f>A42</x:f>
        <x:v>2024-11</x:v>
      </x:c>
      <x:c r="L56" s="74" t="n">
        <x:f>G42</x:f>
        <x:v>4408.652333333335</x:v>
      </x:c>
      <x:c r="M56" s="74" t="n">
        <x:f>H42</x:f>
        <x:v>4357.506963661201</x:v>
      </x:c>
      <x:c r="N56" s="74" t="n">
        <x:f>H93</x:f>
        <x:v>4381.545702688104</x:v>
      </x:c>
      <x:c r="O56" s="74" t="n">
        <x:f>I42</x:f>
        <x:v>4249.470000000003</x:v>
      </x:c>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t="str">
        <x:v>2026-02</x:v>
      </x:c>
      <x:c r="B57" s="90" t="n">
        <x:v>8.209482934803669</x:v>
      </x:c>
      <x:c r="C57" s="90" t="n">
        <x:v>8.20172711670195</x:v>
      </x:c>
      <x:c r="D57" s="90" t="n">
        <x:v>8.216898319573602</x:v>
      </x:c>
      <x:c r="E57" s="90" t="n">
        <x:v>-0.007415384769933198</x:v>
      </x:c>
      <x:c r="F57" s="90" t="n">
        <x:v>-0.01517120287165242</x:v>
      </x:c>
      <x:c r="G57" s="86" t="n">
        <x:v>3675.64142857143</x:v>
      </x:c>
      <x:c r="H57" s="86" t="n">
        <x:v>3647.2440869005286</x:v>
      </x:c>
      <x:c r="I57" s="86" t="n">
        <x:v>3702.999032258066</x:v>
      </x:c>
      <x:c r="J57" s="1"/>
      <x:c r="K57" s="1" t="str">
        <x:f>A43</x:f>
        <x:v>2024-12</x:v>
      </x:c>
      <x:c r="L57" s="74" t="n">
        <x:f>G43</x:f>
        <x:v>4385.148709677422</x:v>
      </x:c>
      <x:c r="M57" s="74" t="n">
        <x:f>H43</x:f>
        <x:v>4499.021599991281</x:v>
      </x:c>
      <x:c r="N57" s="74" t="n">
        <x:f>H94</x:f>
        <x:v>4489.828264871339</x:v>
      </x:c>
      <x:c r="O57" s="74" t="n">
        <x:f>I43</x:f>
        <x:v>4408.652333333335</x:v>
      </x:c>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t="str">
        <x:v>2026-03</x:v>
      </x:c>
      <x:c r="B58" s="90" t="n">
        <x:v>8.220822123905636</x:v>
      </x:c>
      <x:c r="C58" s="90" t="n">
        <x:v>8.214470705212477</x:v>
      </x:c>
      <x:c r="D58" s="90" t="n">
        <x:v>8.209482934803669</x:v>
      </x:c>
      <x:c r="E58" s="90" t="n">
        <x:v>0.011339189101967406</x:v>
      </x:c>
      <x:c r="F58" s="90" t="n">
        <x:v>0.004987770408809074</x:v>
      </x:c>
      <x:c r="G58" s="86" t="n">
        <x:v>3717.5574193548405</x:v>
      </x:c>
      <x:c r="H58" s="86" t="n">
        <x:v>3694.020481267239</x:v>
      </x:c>
      <x:c r="I58" s="86" t="n">
        <x:v>3675.64142857143</x:v>
      </x:c>
      <x:c r="J58" s="1"/>
      <x:c r="K58" s="1" t="str">
        <x:f>A44</x:f>
        <x:v>2025-01</x:v>
      </x:c>
      <x:c r="L58" s="74" t="n">
        <x:f>G44</x:f>
        <x:v>4307.567419354838</x:v>
      </x:c>
      <x:c r="M58" s="74" t="n">
        <x:f>H44</x:f>
        <x:v>4442.961673692237</x:v>
      </x:c>
      <x:c r="N58" s="74" t="n">
        <x:f>H95</x:f>
        <x:v>4410.210107394841</x:v>
      </x:c>
      <x:c r="O58" s="74" t="n">
        <x:f>I44</x:f>
        <x:v>4385.148709677422</x:v>
      </x:c>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t="str">
        <x:v>2026-04</x:v>
      </x:c>
      <x:c r="B59" s="90" t="n">
        <x:v>8.193543618593685</x:v>
      </x:c>
      <x:c r="C59" s="90" t="n">
        <x:v>8.196124220505284</x:v>
      </x:c>
      <x:c r="D59" s="90" t="n">
        <x:v>8.220822123905636</x:v>
      </x:c>
      <x:c r="E59" s="90" t="n">
        <x:v>-0.027278505311951307</x:v>
      </x:c>
      <x:c r="F59" s="90" t="n">
        <x:v>-0.024697903400351363</x:v>
      </x:c>
      <x:c r="G59" s="86" t="n">
        <x:v>3617.5186666666664</x:v>
      </x:c>
      <x:c r="H59" s="86" t="n">
        <x:v>3626.866098065343</x:v>
      </x:c>
      <x:c r="I59" s="86" t="n">
        <x:v>3717.5574193548405</x:v>
      </x:c>
      <x:c r="J59" s="1"/>
      <x:c r="K59" s="1" t="str">
        <x:f>A45</x:f>
        <x:v>2025-02</x:v>
      </x:c>
      <x:c r="L59" s="74" t="n">
        <x:f>G45</x:f>
        <x:v>4127.95392857143</x:v>
      </x:c>
      <x:c r="M59" s="74" t="n">
        <x:f>H45</x:f>
        <x:v>4291.876263770165</x:v>
      </x:c>
      <x:c r="N59" s="74" t="n">
        <x:f>H96</x:f>
        <x:v>4266.529081180852</x:v>
      </x:c>
      <x:c r="O59" s="74" t="n">
        <x:f>I45</x:f>
        <x:v>4307.567419354838</x:v>
      </x:c>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t="str">
        <x:f>A46</x:f>
        <x:v>2025-03</x:v>
      </x:c>
      <x:c r="L60" s="74" t="n">
        <x:f>G46</x:f>
        <x:v>4137.684516129031</x:v>
      </x:c>
      <x:c r="M60" s="74" t="n">
        <x:f>H46</x:f>
        <x:v>4121.073729104952</x:v>
      </x:c>
      <x:c r="N60" s="74" t="n">
        <x:f>H97</x:f>
        <x:v>4173.70808813851</x:v>
      </x:c>
      <x:c r="O60" s="74" t="n">
        <x:f>I46</x:f>
        <x:v>4127.95392857143</x:v>
      </x:c>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ht="22" customHeight="1">
      <x:c r="A61" s="47" t="str">
        <x:v>Predicciones condicionales del modelo ampliado</x:v>
      </x:c>
      <x:c r="B61" s="47" t="str">
        <x:v>Predicciones condicionales del modelo ampliado</x:v>
      </x:c>
      <x:c r="C61" s="47" t="str">
        <x:v>Predicciones condicionales del modelo ampliado</x:v>
      </x:c>
      <x:c r="D61" s="47" t="str">
        <x:v>Predicciones condicionales del modelo ampliado</x:v>
      </x:c>
      <x:c r="E61" s="47" t="str">
        <x:v>Predicciones condicionales del modelo ampliado</x:v>
      </x:c>
      <x:c r="F61" s="47" t="str">
        <x:v>Predicciones condicionales del modelo ampliado</x:v>
      </x:c>
      <x:c r="G61" s="47" t="str">
        <x:v>Predicciones condicionales del modelo ampliado</x:v>
      </x:c>
      <x:c r="H61" s="47" t="str">
        <x:v>Predicciones condicionales del modelo ampliado</x:v>
      </x:c>
      <x:c r="I61" s="47" t="str">
        <x:v>Predicciones condicionales del modelo ampliado</x:v>
      </x:c>
      <x:c r="J61" s="1"/>
      <x:c r="K61" s="1" t="str">
        <x:f>A47</x:f>
        <x:v>2025-04</x:v>
      </x:c>
      <x:c r="L61" s="74" t="n">
        <x:f>G47</x:f>
        <x:v>4280.2580000000025</x:v>
      </x:c>
      <x:c r="M61" s="74" t="n">
        <x:f>H47</x:f>
        <x:v>4144.212529838433</x:v>
      </x:c>
      <x:c r="N61" s="74" t="n">
        <x:f>H98</x:f>
        <x:v>4162.092080017569</x:v>
      </x:c>
      <x:c r="O61" s="74" t="n">
        <x:f>I47</x:f>
        <x:v>4137.684516129031</x:v>
      </x:c>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54" t="str">
        <x:v>Mes</x:v>
      </x:c>
      <x:c r="B62" s="54" t="str">
        <x:v>ln TRM observada</x:v>
      </x:c>
      <x:c r="C62" s="54" t="str">
        <x:v>ln TRM modelo ampliado</x:v>
      </x:c>
      <x:c r="D62" s="54" t="str">
        <x:v>ln TRM caminata</x:v>
      </x:c>
      <x:c r="E62" s="54" t="str">
        <x:v>Δln observado</x:v>
      </x:c>
      <x:c r="F62" s="54" t="str">
        <x:v>Δln modelo ampliado</x:v>
      </x:c>
      <x:c r="G62" s="54" t="str">
        <x:v>TRM observada</x:v>
      </x:c>
      <x:c r="H62" s="54" t="str">
        <x:v>TRM modelo ampliado</x:v>
      </x:c>
      <x:c r="I62" s="54" t="str">
        <x:v>TRM caminata</x:v>
      </x:c>
      <x:c r="J62" s="1"/>
      <x:c r="K62" s="1" t="str">
        <x:f>A48</x:f>
        <x:v>2025-05</x:v>
      </x:c>
      <x:c r="L62" s="74" t="n">
        <x:f>G48</x:f>
        <x:v>4203.377096774196</x:v>
      </x:c>
      <x:c r="M62" s="74" t="n">
        <x:f>H48</x:f>
        <x:v>4152.161519060225</x:v>
      </x:c>
      <x:c r="N62" s="74" t="n">
        <x:f>H99</x:f>
        <x:v>4154.848514586041</x:v>
      </x:c>
      <x:c r="O62" s="74" t="n">
        <x:f>I48</x:f>
        <x:v>4280.2580000000025</x:v>
      </x:c>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t="str">
        <x:v>2022-05</x:v>
      </x:c>
      <x:c r="B63" s="90" t="n">
        <x:v>8.298808139175573</x:v>
      </x:c>
      <x:c r="C63" s="90" t="n">
        <x:v>8.286671569157644</x:v>
      </x:c>
      <x:c r="D63" s="90" t="n">
        <x:v>8.240907796093667</x:v>
      </x:c>
      <x:c r="E63" s="90" t="n">
        <x:v>0.05790034308190606</x:v>
      </x:c>
      <x:c r="F63" s="90" t="n">
        <x:v>0.04576377306397571</x:v>
      </x:c>
      <x:c r="G63" s="86" t="n">
        <x:v>4019.079354838708</x:v>
      </x:c>
      <x:c r="H63" s="86" t="n">
        <x:v>3970.5963208225626</x:v>
      </x:c>
      <x:c r="I63" s="86" t="n">
        <x:v>3792.9819999999972</x:v>
      </x:c>
      <x:c r="J63" s="1"/>
      <x:c r="K63" s="1" t="str">
        <x:f>A49</x:f>
        <x:v>2025-06</x:v>
      </x:c>
      <x:c r="L63" s="74" t="n">
        <x:f>G49</x:f>
        <x:v>4113.4850000000015</x:v>
      </x:c>
      <x:c r="M63" s="74" t="n">
        <x:f>H49</x:f>
        <x:v>4113.793270329064</x:v>
      </x:c>
      <x:c r="N63" s="74" t="n">
        <x:f>H100</x:f>
        <x:v>4140.30957252289</x:v>
      </x:c>
      <x:c r="O63" s="74" t="n">
        <x:f>I49</x:f>
        <x:v>4203.377096774196</x:v>
      </x:c>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t="str">
        <x:v>2022-06</x:v>
      </x:c>
      <x:c r="B64" s="90" t="n">
        <x:v>8.276589766414325</x:v>
      </x:c>
      <x:c r="C64" s="90" t="n">
        <x:v>8.285694252893121</x:v>
      </x:c>
      <x:c r="D64" s="90" t="n">
        <x:v>8.298808139175573</x:v>
      </x:c>
      <x:c r="E64" s="90" t="n">
        <x:v>-0.022218372761248162</x:v>
      </x:c>
      <x:c r="F64" s="90" t="n">
        <x:v>-0.013113886282452098</x:v>
      </x:c>
      <x:c r="G64" s="86" t="n">
        <x:v>3930.766666666666</x:v>
      </x:c>
      <x:c r="H64" s="86" t="n">
        <x:v>3966.717688092516</x:v>
      </x:c>
      <x:c r="I64" s="86" t="n">
        <x:v>4019.079354838708</x:v>
      </x:c>
      <x:c r="J64" s="1"/>
      <x:c r="K64" s="1" t="str">
        <x:f>A50</x:f>
        <x:v>2025-07</x:v>
      </x:c>
      <x:c r="L64" s="74" t="n">
        <x:f>G50</x:f>
        <x:v>4040.8483870967743</x:v>
      </x:c>
      <x:c r="M64" s="74" t="n">
        <x:f>H50</x:f>
        <x:v>4078.4459375572837</x:v>
      </x:c>
      <x:c r="N64" s="74" t="n">
        <x:f>H101</x:f>
        <x:v>4074.4905123057147</x:v>
      </x:c>
      <x:c r="O64" s="74" t="n">
        <x:f>I50</x:f>
        <x:v>4113.4850000000015</x:v>
      </x:c>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t="str">
        <x:v>2022-07</x:v>
      </x:c>
      <x:c r="B65" s="90" t="n">
        <x:v>8.382016058206503</x:v>
      </x:c>
      <x:c r="C65" s="90" t="n">
        <x:v>8.335751020480808</x:v>
      </x:c>
      <x:c r="D65" s="90" t="n">
        <x:v>8.276589766414325</x:v>
      </x:c>
      <x:c r="E65" s="90" t="n">
        <x:v>0.10542629179217755</x:v>
      </x:c>
      <x:c r="F65" s="90" t="n">
        <x:v>0.059161254066482746</x:v>
      </x:c>
      <x:c r="G65" s="86" t="n">
        <x:v>4367.805806451614</x:v>
      </x:c>
      <x:c r="H65" s="86" t="n">
        <x:v>4170.332385965148</x:v>
      </x:c>
      <x:c r="I65" s="86" t="n">
        <x:v>3930.766666666666</x:v>
      </x:c>
      <x:c r="J65" s="1"/>
      <x:c r="K65" s="1" t="str">
        <x:f>A51</x:f>
        <x:v>2025-08</x:v>
      </x:c>
      <x:c r="L65" s="74" t="n">
        <x:f>G51</x:f>
        <x:v>4047.4116129032236</x:v>
      </x:c>
      <x:c r="M65" s="74" t="n">
        <x:f>H51</x:f>
        <x:v>4074.796067980955</x:v>
      </x:c>
      <x:c r="N65" s="74" t="n">
        <x:f>H102</x:f>
        <x:v>4062.616995467611</x:v>
      </x:c>
      <x:c r="O65" s="74" t="n">
        <x:f>I51</x:f>
        <x:v>4040.8483870967743</x:v>
      </x:c>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t="str">
        <x:v>2022-08</x:v>
      </x:c>
      <x:c r="B66" s="90" t="n">
        <x:v>8.371582127847805</x:v>
      </x:c>
      <x:c r="C66" s="90" t="n">
        <x:v>8.351108227604556</x:v>
      </x:c>
      <x:c r="D66" s="90" t="n">
        <x:v>8.382016058206503</x:v>
      </x:c>
      <x:c r="E66" s="90" t="n">
        <x:v>-0.010433930358697552</x:v>
      </x:c>
      <x:c r="F66" s="90" t="n">
        <x:v>-0.03090783060194676</x:v>
      </x:c>
      <x:c r="G66" s="86" t="n">
        <x:v>4322.469354838713</x:v>
      </x:c>
      <x:c r="H66" s="86" t="n">
        <x:v>4234.871344849676</x:v>
      </x:c>
      <x:c r="I66" s="86" t="n">
        <x:v>4367.805806451614</x:v>
      </x:c>
      <x:c r="J66" s="1"/>
      <x:c r="K66" s="1" t="str">
        <x:f>A52</x:f>
        <x:v>2025-09</x:v>
      </x:c>
      <x:c r="L66" s="74" t="n">
        <x:f>G52</x:f>
        <x:v>3922.211999999997</x:v>
      </x:c>
      <x:c r="M66" s="74" t="n">
        <x:f>H52</x:f>
        <x:v>4027.532220944084</x:v>
      </x:c>
      <x:c r="N66" s="74" t="n">
        <x:f>H103</x:f>
        <x:v>3986.44134247729</x:v>
      </x:c>
      <x:c r="O66" s="74" t="n">
        <x:f>I52</x:f>
        <x:v>4047.4116129032236</x:v>
      </x:c>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t="str">
        <x:v>2022-09</x:v>
      </x:c>
      <x:c r="B67" s="90" t="n">
        <x:v>8.396978677110038</x:v>
      </x:c>
      <x:c r="C67" s="90" t="n">
        <x:v>8.395323592729504</x:v>
      </x:c>
      <x:c r="D67" s="90" t="n">
        <x:v>8.371582127847805</x:v>
      </x:c>
      <x:c r="E67" s="90" t="n">
        <x:v>0.02539654926223278</x:v>
      </x:c>
      <x:c r="F67" s="90" t="n">
        <x:v>0.02374146488169842</x:v>
      </x:c>
      <x:c r="G67" s="86" t="n">
        <x:v>4433.650999999996</x:v>
      </x:c>
      <x:c r="H67" s="86" t="n">
        <x:v>4426.319002691983</x:v>
      </x:c>
      <x:c r="I67" s="86" t="n">
        <x:v>4322.469354838713</x:v>
      </x:c>
      <x:c r="J67" s="1"/>
      <x:c r="K67" s="1" t="str">
        <x:f>A53</x:f>
        <x:v>2025-10</x:v>
      </x:c>
      <x:c r="L67" s="74" t="n">
        <x:f>G53</x:f>
        <x:v>3877.8448387096764</x:v>
      </x:c>
      <x:c r="M67" s="74" t="n">
        <x:f>H53</x:f>
        <x:v>3980.041863913431</x:v>
      </x:c>
      <x:c r="N67" s="74" t="n">
        <x:f>H104</x:f>
        <x:v>3947.8510975960326</x:v>
      </x:c>
      <x:c r="O67" s="74" t="n">
        <x:f>I53</x:f>
        <x:v>3922.211999999997</x:v>
      </x:c>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t="str">
        <x:v>2022-10</x:v>
      </x:c>
      <x:c r="B68" s="90" t="n">
        <x:v>8.457831715043978</x:v>
      </x:c>
      <x:c r="C68" s="90" t="n">
        <x:v>8.43110929609002</x:v>
      </x:c>
      <x:c r="D68" s="90" t="n">
        <x:v>8.396978677110038</x:v>
      </x:c>
      <x:c r="E68" s="90" t="n">
        <x:v>0.06085303793394026</x:v>
      </x:c>
      <x:c r="F68" s="90" t="n">
        <x:v>0.03413061897998148</x:v>
      </x:c>
      <x:c r="G68" s="86" t="n">
        <x:v>4711.830322580648</x:v>
      </x:c>
      <x:c r="H68" s="86" t="n">
        <x:v>4587.58626290953</x:v>
      </x:c>
      <x:c r="I68" s="86" t="n">
        <x:v>4433.650999999996</x:v>
      </x:c>
      <x:c r="J68" s="1"/>
      <x:c r="K68" s="1" t="str">
        <x:f>A54</x:f>
        <x:v>2025-11</x:v>
      </x:c>
      <x:c r="L68" s="74" t="n">
        <x:f>G54</x:f>
        <x:v>3786.1833333333366</x:v>
      </x:c>
      <x:c r="M68" s="74" t="n">
        <x:f>H54</x:f>
        <x:v>3913.910301430809</x:v>
      </x:c>
      <x:c r="N68" s="74" t="n">
        <x:f>H105</x:f>
        <x:v>3875.29069019131</x:v>
      </x:c>
      <x:c r="O68" s="74" t="n">
        <x:f>I54</x:f>
        <x:v>3877.8448387096764</x:v>
      </x:c>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t="str">
        <x:v>2022-11</x:v>
      </x:c>
      <x:c r="B69" s="90" t="n">
        <x:v>8.502416687971365</x:v>
      </x:c>
      <x:c r="C69" s="90" t="n">
        <x:v>8.43088975537945</x:v>
      </x:c>
      <x:c r="D69" s="90" t="n">
        <x:v>8.457831715043978</x:v>
      </x:c>
      <x:c r="E69" s="90" t="n">
        <x:v>0.044584972927387057</x:v>
      </x:c>
      <x:c r="F69" s="90" t="n">
        <x:v>-0.026941959664528524</x:v>
      </x:c>
      <x:c r="G69" s="86" t="n">
        <x:v>4926.660666666665</x:v>
      </x:c>
      <x:c r="H69" s="86" t="n">
        <x:v>4586.5792115100085</x:v>
      </x:c>
      <x:c r="I69" s="86" t="n">
        <x:v>4711.830322580648</x:v>
      </x:c>
      <x:c r="J69" s="1"/>
      <x:c r="K69" s="1" t="str">
        <x:f>A55</x:f>
        <x:v>2025-12</x:v>
      </x:c>
      <x:c r="L69" s="74" t="n">
        <x:f>G55</x:f>
        <x:v>3791.471935483873</x:v>
      </x:c>
      <x:c r="M69" s="74" t="n">
        <x:f>H55</x:f>
        <x:v>3707.6257620437123</x:v>
      </x:c>
      <x:c r="N69" s="74" t="n">
        <x:f>H106</x:f>
        <x:v>3793.4650913376336</x:v>
      </x:c>
      <x:c r="O69" s="74" t="n">
        <x:f>I55</x:f>
        <x:v>3786.1833333333366</x:v>
      </x:c>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t="str">
        <x:v>2022-12</x:v>
      </x:c>
      <x:c r="B70" s="90" t="n">
        <x:v>8.473970535354521</x:v>
      </x:c>
      <x:c r="C70" s="90" t="n">
        <x:v>8.470436363609915</x:v>
      </x:c>
      <x:c r="D70" s="90" t="n">
        <x:v>8.502416687971365</x:v>
      </x:c>
      <x:c r="E70" s="90" t="n">
        <x:v>-0.028446152616844245</x:v>
      </x:c>
      <x:c r="F70" s="90" t="n">
        <x:v>-0.031980324361449944</x:v>
      </x:c>
      <x:c r="G70" s="86" t="n">
        <x:v>4788.490645161287</x:v>
      </x:c>
      <x:c r="H70" s="86" t="n">
        <x:v>4771.597166634897</x:v>
      </x:c>
      <x:c r="I70" s="86" t="n">
        <x:v>4926.660666666665</x:v>
      </x:c>
      <x:c r="J70" s="1"/>
      <x:c r="K70" s="1" t="str">
        <x:f>A56</x:f>
        <x:v>2026-01</x:v>
      </x:c>
      <x:c r="L70" s="74" t="n">
        <x:f>G56</x:f>
        <x:v>3702.999032258066</x:v>
      </x:c>
      <x:c r="M70" s="74" t="n">
        <x:f>H56</x:f>
        <x:v>3742.2131323768676</x:v>
      </x:c>
      <x:c r="N70" s="74" t="n">
        <x:f>H107</x:f>
        <x:v>3775.8536675728105</x:v>
      </x:c>
      <x:c r="O70" s="74" t="n">
        <x:f>I56</x:f>
        <x:v>3791.471935483873</x:v>
      </x:c>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t="str">
        <x:v>2023-01</x:v>
      </x:c>
      <x:c r="B71" s="90" t="n">
        <x:v>8.458547432938246</x:v>
      </x:c>
      <x:c r="C71" s="90" t="n">
        <x:v>8.441520017931744</x:v>
      </x:c>
      <x:c r="D71" s="90" t="n">
        <x:v>8.473970535354521</x:v>
      </x:c>
      <x:c r="E71" s="90" t="n">
        <x:v>-0.015423102416274759</x:v>
      </x:c>
      <x:c r="F71" s="90" t="n">
        <x:v>-0.03245051742277778</x:v>
      </x:c>
      <x:c r="G71" s="86" t="n">
        <x:v>4715.203870967738</x:v>
      </x:c>
      <x:c r="H71" s="86" t="n">
        <x:v>4635.595820876406</x:v>
      </x:c>
      <x:c r="I71" s="86" t="n">
        <x:v>4788.490645161287</x:v>
      </x:c>
      <x:c r="J71" s="1"/>
      <x:c r="K71" s="1" t="str">
        <x:f>A57</x:f>
        <x:v>2026-02</x:v>
      </x:c>
      <x:c r="L71" s="74" t="n">
        <x:f>G57</x:f>
        <x:v>3675.64142857143</x:v>
      </x:c>
      <x:c r="M71" s="74" t="n">
        <x:f>H57</x:f>
        <x:v>3647.2440869005286</x:v>
      </x:c>
      <x:c r="N71" s="74" t="n">
        <x:f>H108</x:f>
        <x:v>3654.292210729206</x:v>
      </x:c>
      <x:c r="O71" s="74" t="n">
        <x:f>I57</x:f>
        <x:v>3702.999032258066</x:v>
      </x:c>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t="str">
        <x:v>2023-02</x:v>
      </x:c>
      <x:c r="B72" s="90" t="n">
        <x:v>8.477019424251225</x:v>
      </x:c>
      <x:c r="C72" s="90" t="n">
        <x:v>8.457189522025084</x:v>
      </x:c>
      <x:c r="D72" s="90" t="n">
        <x:v>8.458547432938246</x:v>
      </x:c>
      <x:c r="E72" s="90" t="n">
        <x:v>0.018471991312978275</x:v>
      </x:c>
      <x:c r="F72" s="90" t="n">
        <x:v>-0.0013579109131614765</x:v>
      </x:c>
      <x:c r="G72" s="86" t="n">
        <x:v>4803.112499999996</x:v>
      </x:c>
      <x:c r="H72" s="86" t="n">
        <x:v>4708.805389440704</x:v>
      </x:c>
      <x:c r="I72" s="86" t="n">
        <x:v>4715.203870967738</x:v>
      </x:c>
      <x:c r="J72" s="1"/>
      <x:c r="K72" s="1" t="str">
        <x:f>A58</x:f>
        <x:v>2026-03</x:v>
      </x:c>
      <x:c r="L72" s="74" t="n">
        <x:f>G58</x:f>
        <x:v>3717.5574193548405</x:v>
      </x:c>
      <x:c r="M72" s="74" t="n">
        <x:f>H58</x:f>
        <x:v>3694.020481267239</x:v>
      </x:c>
      <x:c r="N72" s="74" t="n">
        <x:f>H109</x:f>
        <x:v>3767.4292952345227</x:v>
      </x:c>
      <x:c r="O72" s="74" t="n">
        <x:f>I58</x:f>
        <x:v>3675.64142857143</x:v>
      </x:c>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t="str">
        <x:v>2023-03</x:v>
      </x:c>
      <x:c r="B73" s="90" t="n">
        <x:v>8.469326819773904</x:v>
      </x:c>
      <x:c r="C73" s="90" t="n">
        <x:v>8.499830408402532</x:v>
      </x:c>
      <x:c r="D73" s="90" t="n">
        <x:v>8.477019424251225</x:v>
      </x:c>
      <x:c r="E73" s="90" t="n">
        <x:v>-0.007692604477320231</x:v>
      </x:c>
      <x:c r="F73" s="90" t="n">
        <x:v>0.022810984151307646</x:v>
      </x:c>
      <x:c r="G73" s="86" t="n">
        <x:v>4766.3058064516135</x:v>
      </x:c>
      <x:c r="H73" s="86" t="n">
        <x:v>4913.935407473924</x:v>
      </x:c>
      <x:c r="I73" s="86" t="n">
        <x:v>4803.112499999996</x:v>
      </x:c>
      <x:c r="J73" s="1"/>
      <x:c r="K73" s="1" t="str">
        <x:f>A59</x:f>
        <x:v>2026-04</x:v>
      </x:c>
      <x:c r="L73" s="74" t="n">
        <x:f>G59</x:f>
        <x:v>3617.5186666666664</x:v>
      </x:c>
      <x:c r="M73" s="74" t="n">
        <x:f>H59</x:f>
        <x:v>3626.866098065343</x:v>
      </x:c>
      <x:c r="N73" s="74" t="n">
        <x:f>H110</x:f>
        <x:v>3600.2841990809698</x:v>
      </x:c>
      <x:c r="O73" s="74" t="n">
        <x:f>I59</x:f>
        <x:v>3717.5574193548405</x:v>
      </x:c>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t="str">
        <x:v>2023-04</x:v>
      </x:c>
      <x:c r="B74" s="90" t="n">
        <x:v>8.421271177813114</x:v>
      </x:c>
      <x:c r="C74" s="90" t="n">
        <x:v>8.441876154018987</x:v>
      </x:c>
      <x:c r="D74" s="90" t="n">
        <x:v>8.469326819773904</x:v>
      </x:c>
      <x:c r="E74" s="90" t="n">
        <x:v>-0.04805564196079004</x:v>
      </x:c>
      <x:c r="F74" s="90" t="n">
        <x:v>-0.027450665754918488</x:v>
      </x:c>
      <x:c r="G74" s="86" t="n">
        <x:v>4542.674333333336</x:v>
      </x:c>
      <x:c r="H74" s="86" t="n">
        <x:v>4637.247017842053</x:v>
      </x:c>
      <x:c r="I74" s="86" t="n">
        <x:v>4766.3058064516135</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t="str">
        <x:v>2023-05</x:v>
      </x:c>
      <x:c r="B75" s="90" t="n">
        <x:v>8.420701901472638</x:v>
      </x:c>
      <x:c r="C75" s="90" t="n">
        <x:v>8.42192082078472</x:v>
      </x:c>
      <x:c r="D75" s="90" t="n">
        <x:v>8.421271177813114</x:v>
      </x:c>
      <x:c r="E75" s="90" t="n">
        <x:v>-0.0005692763404763213</x:v>
      </x:c>
      <x:c r="F75" s="90" t="n">
        <x:v>0.0006496429716054374</x:v>
      </x:c>
      <x:c r="G75" s="86" t="n">
        <x:v>4540.089032258067</x:v>
      </x:c>
      <x:c r="H75" s="86" t="n">
        <x:v>4545.626408579925</x:v>
      </x:c>
      <x:c r="I75" s="86" t="n">
        <x:v>4542.674333333336</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t="str">
        <x:v>2023-06</x:v>
      </x:c>
      <x:c r="B76" s="90" t="n">
        <x:v>8.345044039825018</x:v>
      </x:c>
      <x:c r="C76" s="90" t="n">
        <x:v>8.402024553723166</x:v>
      </x:c>
      <x:c r="D76" s="90" t="n">
        <x:v>8.420701901472638</x:v>
      </x:c>
      <x:c r="E76" s="90" t="n">
        <x:v>-0.07565786164762045</x:v>
      </x:c>
      <x:c r="F76" s="90" t="n">
        <x:v>-0.018677347749472537</x:v>
      </x:c>
      <x:c r="G76" s="86" t="n">
        <x:v>4209.267999999998</x:v>
      </x:c>
      <x:c r="H76" s="86" t="n">
        <x:v>4456.079193252815</x:v>
      </x:c>
      <x:c r="I76" s="86" t="n">
        <x:v>4540.089032258067</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t="str">
        <x:v>2023-07</x:v>
      </x:c>
      <x:c r="B77" s="90" t="n">
        <x:v>8.311209943353095</x:v>
      </x:c>
      <x:c r="C77" s="90" t="n">
        <x:v>8.32460367398824</x:v>
      </x:c>
      <x:c r="D77" s="90" t="n">
        <x:v>8.345044039825018</x:v>
      </x:c>
      <x:c r="E77" s="90" t="n">
        <x:v>-0.03383409647192259</x:v>
      </x:c>
      <x:c r="F77" s="90" t="n">
        <x:v>-0.020440365836778267</x:v>
      </x:c>
      <x:c r="G77" s="86" t="n">
        <x:v>4069.2335483870993</x:v>
      </x:c>
      <x:c r="H77" s="86" t="n">
        <x:v>4124.1023954543025</x:v>
      </x:c>
      <x:c r="I77" s="86" t="n">
        <x:v>4209.267999999998</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t="str">
        <x:v>2023-08</x:v>
      </x:c>
      <x:c r="B78" s="90" t="n">
        <x:v>8.311576434873045</x:v>
      </x:c>
      <x:c r="C78" s="90" t="n">
        <x:v>8.330066395703962</x:v>
      </x:c>
      <x:c r="D78" s="90" t="n">
        <x:v>8.311209943353095</x:v>
      </x:c>
      <x:c r="E78" s="90" t="n">
        <x:v>0.00036649151994971874</x:v>
      </x:c>
      <x:c r="F78" s="90" t="n">
        <x:v>0.018856452350867</x:v>
      </x:c>
      <x:c r="G78" s="86" t="n">
        <x:v>4070.7251612903224</x:v>
      </x:c>
      <x:c r="H78" s="86" t="n">
        <x:v>4146.69286571661</x:v>
      </x:c>
      <x:c r="I78" s="86" t="n">
        <x:v>4069.2335483870993</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t="str">
        <x:v>2023-09</x:v>
      </x:c>
      <x:c r="B79" s="90" t="n">
        <x:v>8.295179168611119</x:v>
      </x:c>
      <x:c r="C79" s="90" t="n">
        <x:v>8.335443082020449</x:v>
      </x:c>
      <x:c r="D79" s="90" t="n">
        <x:v>8.311576434873045</x:v>
      </x:c>
      <x:c r="E79" s="90" t="n">
        <x:v>-0.016397266261925836</x:v>
      </x:c>
      <x:c r="F79" s="90" t="n">
        <x:v>0.023866647147404146</x:v>
      </x:c>
      <x:c r="G79" s="86" t="n">
        <x:v>4004.52066666667</x:v>
      </x:c>
      <x:c r="H79" s="86" t="n">
        <x:v>4169.048377938901</x:v>
      </x:c>
      <x:c r="I79" s="86" t="n">
        <x:v>4070.7251612903224</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t="str">
        <x:v>2023-10</x:v>
      </x:c>
      <x:c r="B80" s="90" t="n">
        <x:v>8.348166834656725</x:v>
      </x:c>
      <x:c r="C80" s="90" t="n">
        <x:v>8.326128142597089</x:v>
      </x:c>
      <x:c r="D80" s="90" t="n">
        <x:v>8.295179168611119</x:v>
      </x:c>
      <x:c r="E80" s="90" t="n">
        <x:v>0.05298766604560612</x:v>
      </x:c>
      <x:c r="F80" s="90" t="n">
        <x:v>0.030948973985969058</x:v>
      </x:c>
      <x:c r="G80" s="86" t="n">
        <x:v>4222.433225806451</x:v>
      </x:c>
      <x:c r="H80" s="86" t="n">
        <x:v>4130.394254748319</x:v>
      </x:c>
      <x:c r="I80" s="86" t="n">
        <x:v>4004.52066666667</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t="str">
        <x:v>2023-11</x:v>
      </x:c>
      <x:c r="B81" s="90" t="n">
        <x:v>8.303704052588216</x:v>
      </x:c>
      <x:c r="C81" s="90" t="n">
        <x:v>8.322208722100216</x:v>
      </x:c>
      <x:c r="D81" s="90" t="n">
        <x:v>8.348166834656725</x:v>
      </x:c>
      <x:c r="E81" s="90" t="n">
        <x:v>-0.044462782068508844</x:v>
      </x:c>
      <x:c r="F81" s="90" t="n">
        <x:v>-0.02595811255650946</x:v>
      </x:c>
      <x:c r="G81" s="86" t="n">
        <x:v>4038.804666666669</x:v>
      </x:c>
      <x:c r="H81" s="86" t="n">
        <x:v>4114.237186701473</x:v>
      </x:c>
      <x:c r="I81" s="86" t="n">
        <x:v>4222.433225806451</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t="str">
        <x:v>2023-12</x:v>
      </x:c>
      <x:c r="B82" s="90" t="n">
        <x:v>8.281016773597672</x:v>
      </x:c>
      <x:c r="C82" s="90" t="n">
        <x:v>8.28694546515849</x:v>
      </x:c>
      <x:c r="D82" s="90" t="n">
        <x:v>8.303704052588216</x:v>
      </x:c>
      <x:c r="E82" s="90" t="n">
        <x:v>-0.022687278990543902</x:v>
      </x:c>
      <x:c r="F82" s="90" t="n">
        <x:v>-0.016758587429724803</x:v>
      </x:c>
      <x:c r="G82" s="86" t="n">
        <x:v>3948.2067741935466</x:v>
      </x:c>
      <x:c r="H82" s="86" t="n">
        <x:v>3971.6840002245326</x:v>
      </x:c>
      <x:c r="I82" s="86" t="n">
        <x:v>4038.804666666669</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t="str">
        <x:v>2024-01</x:v>
      </x:c>
      <x:c r="B83" s="90" t="n">
        <x:v>8.272621363120876</x:v>
      </x:c>
      <x:c r="C83" s="90" t="n">
        <x:v>8.270987624019922</x:v>
      </x:c>
      <x:c r="D83" s="90" t="n">
        <x:v>8.281016773597672</x:v>
      </x:c>
      <x:c r="E83" s="90" t="n">
        <x:v>-0.008395410476795817</x:v>
      </x:c>
      <x:c r="F83" s="90" t="n">
        <x:v>-0.010029149577749592</x:v>
      </x:c>
      <x:c r="G83" s="86" t="n">
        <x:v>3915.1987096774164</x:v>
      </x:c>
      <x:c r="H83" s="86" t="n">
        <x:v>3908.8075186483143</x:v>
      </x:c>
      <x:c r="I83" s="86" t="n">
        <x:v>3948.2067741935466</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t="str">
        <x:v>2024-02</x:v>
      </x:c>
      <x:c r="B84" s="90" t="n">
        <x:v>8.276760699123423</x:v>
      </x:c>
      <x:c r="C84" s="90" t="n">
        <x:v>8.292000777776684</x:v>
      </x:c>
      <x:c r="D84" s="90" t="n">
        <x:v>8.272621363120876</x:v>
      </x:c>
      <x:c r="E84" s="90" t="n">
        <x:v>0.004139336002547012</x:v>
      </x:c>
      <x:c r="F84" s="90" t="n">
        <x:v>0.019379414655807406</x:v>
      </x:c>
      <x:c r="G84" s="86" t="n">
        <x:v>3931.4386206896565</x:v>
      </x:c>
      <x:c r="H84" s="86" t="n">
        <x:v>3991.812940641357</x:v>
      </x:c>
      <x:c r="I84" s="86" t="n">
        <x:v>3915.1987096774164</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t="str">
        <x:v>2024-03</x:v>
      </x:c>
      <x:c r="B85" s="90" t="n">
        <x:v>8.268562917935254</x:v>
      </x:c>
      <x:c r="C85" s="90" t="n">
        <x:v>8.283312552494483</x:v>
      </x:c>
      <x:c r="D85" s="90" t="n">
        <x:v>8.276760699123423</x:v>
      </x:c>
      <x:c r="E85" s="90" t="n">
        <x:v>-0.008197781188169273</x:v>
      </x:c>
      <x:c r="F85" s="90" t="n">
        <x:v>0.006551853371058392</x:v>
      </x:c>
      <x:c r="G85" s="86" t="n">
        <x:v>3899.3412903225835</x:v>
      </x:c>
      <x:c r="H85" s="86" t="n">
        <x:v>3957.2813966636395</x:v>
      </x:c>
      <x:c r="I85" s="86" t="n">
        <x:v>3931.4386206896565</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t="str">
        <x:v>2024-04</x:v>
      </x:c>
      <x:c r="B86" s="90" t="n">
        <x:v>8.26048647944151</x:v>
      </x:c>
      <x:c r="C86" s="90" t="n">
        <x:v>8.279746117078973</x:v>
      </x:c>
      <x:c r="D86" s="90" t="n">
        <x:v>8.268562917935254</x:v>
      </x:c>
      <x:c r="E86" s="90" t="n">
        <x:v>-0.00807643849374351</x:v>
      </x:c>
      <x:c r="F86" s="90" t="n">
        <x:v>0.01118319914371911</x:v>
      </x:c>
      <x:c r="G86" s="86" t="n">
        <x:v>3867.9753333333356</x:v>
      </x:c>
      <x:c r="H86" s="86" t="n">
        <x:v>3943.193145493312</x:v>
      </x:c>
      <x:c r="I86" s="86" t="n">
        <x:v>3899.3412903225835</x:v>
      </x:c>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t="str">
        <x:v>2024-05</x:v>
      </x:c>
      <x:c r="B87" s="90" t="n">
        <x:v>8.260777367585563</x:v>
      </x:c>
      <x:c r="C87" s="90" t="n">
        <x:v>8.276067375651696</x:v>
      </x:c>
      <x:c r="D87" s="90" t="n">
        <x:v>8.26048647944151</x:v>
      </x:c>
      <x:c r="E87" s="90" t="n">
        <x:v>0.00029088814405220376</x:v>
      </x:c>
      <x:c r="F87" s="90" t="n">
        <x:v>0.015580896210185297</x:v>
      </x:c>
      <x:c r="G87" s="86" t="n">
        <x:v>3869.100645161288</x:v>
      </x:c>
      <x:c r="H87" s="86" t="n">
        <x:v>3928.7138067141696</x:v>
      </x:c>
      <x:c r="I87" s="86" t="n">
        <x:v>3867.9753333333356</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t="str">
        <x:v>2024-06</x:v>
      </x:c>
      <x:c r="B88" s="90" t="n">
        <x:v>8.304692058140274</x:v>
      </x:c>
      <x:c r="C88" s="90" t="n">
        <x:v>8.286376356823515</x:v>
      </x:c>
      <x:c r="D88" s="90" t="n">
        <x:v>8.260777367585563</x:v>
      </x:c>
      <x:c r="E88" s="90" t="n">
        <x:v>0.0439146905547112</x:v>
      </x:c>
      <x:c r="F88" s="90" t="n">
        <x:v>0.0255989892379517</x:v>
      </x:c>
      <x:c r="G88" s="86" t="n">
        <x:v>4042.7970000000014</x:v>
      </x:c>
      <x:c r="H88" s="86" t="n">
        <x:v>3969.4243248171606</x:v>
      </x:c>
      <x:c r="I88" s="86" t="n">
        <x:v>3869.100645161288</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t="str">
        <x:v>2024-07</x:v>
      </x:c>
      <x:c r="B89" s="90" t="n">
        <x:v>8.30323778340659</x:v>
      </x:c>
      <x:c r="C89" s="90" t="n">
        <x:v>8.316078216970988</x:v>
      </x:c>
      <x:c r="D89" s="90" t="n">
        <x:v>8.304692058140274</x:v>
      </x:c>
      <x:c r="E89" s="90" t="n">
        <x:v>-0.001454274733683647</x:v>
      </x:c>
      <x:c r="F89" s="90" t="n">
        <x:v>0.011386158830714673</x:v>
      </x:c>
      <x:c r="G89" s="86" t="n">
        <x:v>4036.92193548387</x:v>
      </x:c>
      <x:c r="H89" s="86" t="n">
        <x:v>4089.091989658071</x:v>
      </x:c>
      <x:c r="I89" s="86" t="n">
        <x:v>4042.7970000000014</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t="str">
        <x:v>2024-08</x:v>
      </x:c>
      <x:c r="B90" s="90" t="n">
        <x:v>8.310303441388276</x:v>
      </x:c>
      <x:c r="C90" s="90" t="n">
        <x:v>8.302687800156624</x:v>
      </x:c>
      <x:c r="D90" s="90" t="n">
        <x:v>8.30323778340659</x:v>
      </x:c>
      <x:c r="E90" s="90" t="n">
        <x:v>0.007065657981685902</x:v>
      </x:c>
      <x:c r="F90" s="90" t="n">
        <x:v>-0.0005499832499668896</x:v>
      </x:c>
      <x:c r="G90" s="86" t="n">
        <x:v>4065.546451612903</x:v>
      </x:c>
      <x:c r="H90" s="86" t="n">
        <x:v>4034.702306473271</x:v>
      </x:c>
      <x:c r="I90" s="86" t="n">
        <x:v>4036.92193548387</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t="str">
        <x:v>2024-09</x:v>
      </x:c>
      <x:c r="B91" s="90" t="n">
        <x:v>8.338667381651211</x:v>
      </x:c>
      <x:c r="C91" s="90" t="n">
        <x:v>8.30921861138859</x:v>
      </x:c>
      <x:c r="D91" s="90" t="n">
        <x:v>8.310303441388276</x:v>
      </x:c>
      <x:c r="E91" s="90" t="n">
        <x:v>0.02836394026293476</x:v>
      </x:c>
      <x:c r="F91" s="90" t="n">
        <x:v>-0.0010848299996852383</x:v>
      </x:c>
      <x:c r="G91" s="86" t="n">
        <x:v>4182.5123333333295</x:v>
      </x:c>
      <x:c r="H91" s="86" t="n">
        <x:v>4061.138416273868</x:v>
      </x:c>
      <x:c r="I91" s="86" t="n">
        <x:v>4065.546451612903</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t="str">
        <x:v>2024-10</x:v>
      </x:c>
      <x:c r="B92" s="90" t="n">
        <x:v>8.354549548259685</x:v>
      </x:c>
      <x:c r="C92" s="90" t="n">
        <x:v>8.358829665078297</x:v>
      </x:c>
      <x:c r="D92" s="90" t="n">
        <x:v>8.338667381651211</x:v>
      </x:c>
      <x:c r="E92" s="90" t="n">
        <x:v>0.01588216660847408</x:v>
      </x:c>
      <x:c r="F92" s="90" t="n">
        <x:v>0.020162283427085707</x:v>
      </x:c>
      <x:c r="G92" s="86" t="n">
        <x:v>4249.470000000003</x:v>
      </x:c>
      <x:c r="H92" s="86" t="n">
        <x:v>4267.697207479882</x:v>
      </x:c>
      <x:c r="I92" s="86" t="n">
        <x:v>4182.5123333333295</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t="str">
        <x:v>2024-11</x:v>
      </x:c>
      <x:c r="B93" s="90" t="n">
        <x:v>8.39132432838928</x:v>
      </x:c>
      <x:c r="C93" s="90" t="n">
        <x:v>8.385156841272979</x:v>
      </x:c>
      <x:c r="D93" s="90" t="n">
        <x:v>8.354549548259685</x:v>
      </x:c>
      <x:c r="E93" s="90" t="n">
        <x:v>0.03677478012959412</x:v>
      </x:c>
      <x:c r="F93" s="90" t="n">
        <x:v>0.03060729301329397</x:v>
      </x:c>
      <x:c r="G93" s="86" t="n">
        <x:v>4408.652333333335</x:v>
      </x:c>
      <x:c r="H93" s="86" t="n">
        <x:v>4381.545702688104</x:v>
      </x:c>
      <x:c r="I93" s="86" t="n">
        <x:v>4249.470000000003</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t="str">
        <x:v>2024-12</x:v>
      </x:c>
      <x:c r="B94" s="90" t="n">
        <x:v>8.385978817498613</x:v>
      </x:c>
      <x:c r="C94" s="90" t="n">
        <x:v>8.409569731646537</x:v>
      </x:c>
      <x:c r="D94" s="90" t="n">
        <x:v>8.39132432838928</x:v>
      </x:c>
      <x:c r="E94" s="90" t="n">
        <x:v>-0.005345510890666816</x:v>
      </x:c>
      <x:c r="F94" s="90" t="n">
        <x:v>0.018245403257256612</x:v>
      </x:c>
      <x:c r="G94" s="86" t="n">
        <x:v>4385.148709677422</x:v>
      </x:c>
      <x:c r="H94" s="86" t="n">
        <x:v>4489.828264871339</x:v>
      </x:c>
      <x:c r="I94" s="86" t="n">
        <x:v>4408.652333333335</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t="str">
        <x:v>2025-01</x:v>
      </x:c>
      <x:c r="B95" s="90" t="n">
        <x:v>8.368128619899991</x:v>
      </x:c>
      <x:c r="C95" s="90" t="n">
        <x:v>8.391677610706171</x:v>
      </x:c>
      <x:c r="D95" s="90" t="n">
        <x:v>8.385978817498613</x:v>
      </x:c>
      <x:c r="E95" s="90" t="n">
        <x:v>-0.017850197598621165</x:v>
      </x:c>
      <x:c r="F95" s="90" t="n">
        <x:v>0.005698793207558904</x:v>
      </x:c>
      <x:c r="G95" s="86" t="n">
        <x:v>4307.567419354838</x:v>
      </x:c>
      <x:c r="H95" s="86" t="n">
        <x:v>4410.210107394841</x:v>
      </x:c>
      <x:c r="I95" s="86" t="n">
        <x:v>4385.148709677422</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t="str">
        <x:v>2025-02</x:v>
      </x:c>
      <x:c r="B96" s="90" t="n">
        <x:v>8.325537146384832</x:v>
      </x:c>
      <x:c r="C96" s="90" t="n">
        <x:v>8.358555914121428</x:v>
      </x:c>
      <x:c r="D96" s="90" t="n">
        <x:v>8.368128619899991</x:v>
      </x:c>
      <x:c r="E96" s="90" t="n">
        <x:v>-0.04259147351515935</x:v>
      </x:c>
      <x:c r="F96" s="90" t="n">
        <x:v>-0.009572705778563385</x:v>
      </x:c>
      <x:c r="G96" s="86" t="n">
        <x:v>4127.95392857143</x:v>
      </x:c>
      <x:c r="H96" s="86" t="n">
        <x:v>4266.529081180852</x:v>
      </x:c>
      <x:c r="I96" s="86" t="n">
        <x:v>4307.567419354838</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t="str">
        <x:v>2025-03</x:v>
      </x:c>
      <x:c r="B97" s="90" t="n">
        <x:v>8.327891614734215</x:v>
      </x:c>
      <x:c r="C97" s="90" t="n">
        <x:v>8.336560149431707</x:v>
      </x:c>
      <x:c r="D97" s="90" t="n">
        <x:v>8.325537146384832</x:v>
      </x:c>
      <x:c r="E97" s="90" t="n">
        <x:v>0.002354468349382799</x:v>
      </x:c>
      <x:c r="F97" s="90" t="n">
        <x:v>0.011023003046874768</x:v>
      </x:c>
      <x:c r="G97" s="86" t="n">
        <x:v>4137.684516129031</x:v>
      </x:c>
      <x:c r="H97" s="86" t="n">
        <x:v>4173.70808813851</x:v>
      </x:c>
      <x:c r="I97" s="86" t="n">
        <x:v>4127.95392857143</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t="str">
        <x:v>2025-04</x:v>
      </x:c>
      <x:c r="B98" s="90" t="n">
        <x:v>8.361768567132886</x:v>
      </x:c>
      <x:c r="C98" s="90" t="n">
        <x:v>8.333773130691926</x:v>
      </x:c>
      <x:c r="D98" s="90" t="n">
        <x:v>8.327891614734215</x:v>
      </x:c>
      <x:c r="E98" s="90" t="n">
        <x:v>0.03387695239867128</x:v>
      </x:c>
      <x:c r="F98" s="90" t="n">
        <x:v>0.005881515957710947</x:v>
      </x:c>
      <x:c r="G98" s="86" t="n">
        <x:v>4280.2580000000025</x:v>
      </x:c>
      <x:c r="H98" s="86" t="n">
        <x:v>4162.092080017569</x:v>
      </x:c>
      <x:c r="I98" s="86" t="n">
        <x:v>4137.684516129031</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t="str">
        <x:v>2025-05</x:v>
      </x:c>
      <x:c r="B99" s="90" t="n">
        <x:v>8.34364355184035</x:v>
      </x:c>
      <x:c r="C99" s="90" t="n">
        <x:v>8.332031248041535</x:v>
      </x:c>
      <x:c r="D99" s="90" t="n">
        <x:v>8.361768567132886</x:v>
      </x:c>
      <x:c r="E99" s="90" t="n">
        <x:v>-0.018125015292536517</x:v>
      </x:c>
      <x:c r="F99" s="90" t="n">
        <x:v>-0.029737319091351473</x:v>
      </x:c>
      <x:c r="G99" s="86" t="n">
        <x:v>4203.377096774196</x:v>
      </x:c>
      <x:c r="H99" s="86" t="n">
        <x:v>4154.848514586041</x:v>
      </x:c>
      <x:c r="I99" s="86" t="n">
        <x:v>4280.2580000000025</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t="str">
        <x:v>2025-06</x:v>
      </x:c>
      <x:c r="B100" s="90" t="n">
        <x:v>8.322025880072617</x:v>
      </x:c>
      <x:c r="C100" s="90" t="n">
        <x:v>8.32852583999549</x:v>
      </x:c>
      <x:c r="D100" s="90" t="n">
        <x:v>8.34364355184035</x:v>
      </x:c>
      <x:c r="E100" s="90" t="n">
        <x:v>-0.021617671767732105</x:v>
      </x:c>
      <x:c r="F100" s="90" t="n">
        <x:v>-0.015117711844860061</x:v>
      </x:c>
      <x:c r="G100" s="86" t="n">
        <x:v>4113.4850000000015</x:v>
      </x:c>
      <x:c r="H100" s="86" t="n">
        <x:v>4140.30957252289</x:v>
      </x:c>
      <x:c r="I100" s="86" t="n">
        <x:v>4203.377096774196</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t="str">
        <x:v>2025-07</x:v>
      </x:c>
      <x:c r="B101" s="90" t="n">
        <x:v>8.304209945715085</x:v>
      </x:c>
      <x:c r="C101" s="90" t="n">
        <x:v>8.312500990203315</x:v>
      </x:c>
      <x:c r="D101" s="90" t="n">
        <x:v>8.322025880072617</x:v>
      </x:c>
      <x:c r="E101" s="90" t="n">
        <x:v>-0.01781593435753237</x:v>
      </x:c>
      <x:c r="F101" s="90" t="n">
        <x:v>-0.009524889869302963</x:v>
      </x:c>
      <x:c r="G101" s="86" t="n">
        <x:v>4040.8483870967743</x:v>
      </x:c>
      <x:c r="H101" s="86" t="n">
        <x:v>4074.4905123057147</x:v>
      </x:c>
      <x:c r="I101" s="86" t="n">
        <x:v>4113.4850000000015</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t="str">
        <x:v>2025-08</x:v>
      </x:c>
      <x:c r="B102" s="90" t="n">
        <x:v>8.305832847858927</x:v>
      </x:c>
      <x:c r="C102" s="90" t="n">
        <x:v>8.309582625107648</x:v>
      </x:c>
      <x:c r="D102" s="90" t="n">
        <x:v>8.304209945715085</x:v>
      </x:c>
      <x:c r="E102" s="90" t="n">
        <x:v>0.0016229021438416424</x:v>
      </x:c>
      <x:c r="F102" s="90" t="n">
        <x:v>0.005372679392562298</x:v>
      </x:c>
      <x:c r="G102" s="86" t="n">
        <x:v>4047.4116129032236</x:v>
      </x:c>
      <x:c r="H102" s="86" t="n">
        <x:v>4062.616995467611</x:v>
      </x:c>
      <x:c r="I102" s="86" t="n">
        <x:v>4040.8483870967743</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t="str">
        <x:v>2025-09</x:v>
      </x:c>
      <x:c r="B103" s="90" t="n">
        <x:v>8.274411059349477</x:v>
      </x:c>
      <x:c r="C103" s="90" t="n">
        <x:v>8.290654217793733</x:v>
      </x:c>
      <x:c r="D103" s="90" t="n">
        <x:v>8.305832847858927</x:v>
      </x:c>
      <x:c r="E103" s="90" t="n">
        <x:v>-0.031421788509449655</x:v>
      </x:c>
      <x:c r="F103" s="90" t="n">
        <x:v>-0.01517863006519325</x:v>
      </x:c>
      <x:c r="G103" s="86" t="n">
        <x:v>3922.211999999997</x:v>
      </x:c>
      <x:c r="H103" s="86" t="n">
        <x:v>3986.44134247729</x:v>
      </x:c>
      <x:c r="I103" s="86" t="n">
        <x:v>4047.4116129032236</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t="str">
        <x:v>2025-10</x:v>
      </x:c>
      <x:c r="B104" s="90" t="n">
        <x:v>8.263034824354826</x:v>
      </x:c>
      <x:c r="C104" s="90" t="n">
        <x:v>8.280926683934316</x:v>
      </x:c>
      <x:c r="D104" s="90" t="n">
        <x:v>8.274411059349477</x:v>
      </x:c>
      <x:c r="E104" s="90" t="n">
        <x:v>-0.011376234994651568</x:v>
      </x:c>
      <x:c r="F104" s="90" t="n">
        <x:v>0.006515624584840082</x:v>
      </x:c>
      <x:c r="G104" s="86" t="n">
        <x:v>3877.8448387096764</x:v>
      </x:c>
      <x:c r="H104" s="86" t="n">
        <x:v>3947.8510975960326</x:v>
      </x:c>
      <x:c r="I104" s="86" t="n">
        <x:v>3922.211999999997</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t="str">
        <x:v>2025-11</x:v>
      </x:c>
      <x:c r="B105" s="90" t="n">
        <x:v>8.239113754615177</x:v>
      </x:c>
      <x:c r="C105" s="90" t="n">
        <x:v>8.26237595579739</x:v>
      </x:c>
      <x:c r="D105" s="90" t="n">
        <x:v>8.263034824354826</x:v>
      </x:c>
      <x:c r="E105" s="90" t="n">
        <x:v>-0.02392106973964836</x:v>
      </x:c>
      <x:c r="F105" s="90" t="n">
        <x:v>-0.0006588685574352134</x:v>
      </x:c>
      <x:c r="G105" s="86" t="n">
        <x:v>3786.1833333333366</x:v>
      </x:c>
      <x:c r="H105" s="86" t="n">
        <x:v>3875.29069019131</x:v>
      </x:c>
      <x:c r="I105" s="86" t="n">
        <x:v>3877.8448387096764</x:v>
      </x:c>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t="str">
        <x:v>2025-12</x:v>
      </x:c>
      <x:c r="B106" s="90" t="n">
        <x:v>8.240509596157608</x:v>
      </x:c>
      <x:c r="C106" s="90" t="n">
        <x:v>8.241035152505034</x:v>
      </x:c>
      <x:c r="D106" s="90" t="n">
        <x:v>8.239113754615177</x:v>
      </x:c>
      <x:c r="E106" s="90" t="n">
        <x:v>0.0013958415424308868</x:v>
      </x:c>
      <x:c r="F106" s="90" t="n">
        <x:v>0.0019213978898565695</x:v>
      </x:c>
      <x:c r="G106" s="86" t="n">
        <x:v>3791.471935483873</x:v>
      </x:c>
      <x:c r="H106" s="86" t="n">
        <x:v>3793.4650913376336</x:v>
      </x:c>
      <x:c r="I106" s="86" t="n">
        <x:v>3786.1833333333366</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t="str">
        <x:v>2026-01</x:v>
      </x:c>
      <x:c r="B107" s="90" t="n">
        <x:v>8.216898319573602</x:v>
      </x:c>
      <x:c r="C107" s="90" t="n">
        <x:v>8.236381773223364</x:v>
      </x:c>
      <x:c r="D107" s="90" t="n">
        <x:v>8.240509596157608</x:v>
      </x:c>
      <x:c r="E107" s="90" t="n">
        <x:v>-0.02361127658400619</x:v>
      </x:c>
      <x:c r="F107" s="90" t="n">
        <x:v>-0.004127822934243234</x:v>
      </x:c>
      <x:c r="G107" s="86" t="n">
        <x:v>3702.999032258066</x:v>
      </x:c>
      <x:c r="H107" s="86" t="n">
        <x:v>3775.8536675728105</x:v>
      </x:c>
      <x:c r="I107" s="86" t="n">
        <x:v>3791.471935483873</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t="str">
        <x:v>2026-02</x:v>
      </x:c>
      <x:c r="B108" s="90" t="n">
        <x:v>8.209482934803669</x:v>
      </x:c>
      <x:c r="C108" s="90" t="n">
        <x:v>8.203657703836083</x:v>
      </x:c>
      <x:c r="D108" s="90" t="n">
        <x:v>8.216898319573602</x:v>
      </x:c>
      <x:c r="E108" s="90" t="n">
        <x:v>-0.007415384769933198</x:v>
      </x:c>
      <x:c r="F108" s="90" t="n">
        <x:v>-0.013240615737518925</x:v>
      </x:c>
      <x:c r="G108" s="86" t="n">
        <x:v>3675.64142857143</x:v>
      </x:c>
      <x:c r="H108" s="86" t="n">
        <x:v>3654.292210729206</x:v>
      </x:c>
      <x:c r="I108" s="86" t="n">
        <x:v>3702.999032258066</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t="str">
        <x:v>2026-03</x:v>
      </x:c>
      <x:c r="B109" s="90" t="n">
        <x:v>8.220822123905636</x:v>
      </x:c>
      <x:c r="C109" s="90" t="n">
        <x:v>8.234148163299869</x:v>
      </x:c>
      <x:c r="D109" s="90" t="n">
        <x:v>8.209482934803669</x:v>
      </x:c>
      <x:c r="E109" s="90" t="n">
        <x:v>0.011339189101967406</x:v>
      </x:c>
      <x:c r="F109" s="90" t="n">
        <x:v>0.024665228496201022</x:v>
      </x:c>
      <x:c r="G109" s="86" t="n">
        <x:v>3717.5574193548405</x:v>
      </x:c>
      <x:c r="H109" s="86" t="n">
        <x:v>3767.4292952345227</x:v>
      </x:c>
      <x:c r="I109" s="86" t="n">
        <x:v>3675.64142857143</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t="str">
        <x:v>2026-04</x:v>
      </x:c>
      <x:c r="B110" s="90" t="n">
        <x:v>8.193543618593685</x:v>
      </x:c>
      <x:c r="C110" s="90" t="n">
        <x:v>8.188768065517431</x:v>
      </x:c>
      <x:c r="D110" s="90" t="n">
        <x:v>8.220822123905636</x:v>
      </x:c>
      <x:c r="E110" s="90" t="n">
        <x:v>-0.027278505311951307</x:v>
      </x:c>
      <x:c r="F110" s="90" t="n">
        <x:v>-0.03205405838820515</x:v>
      </x:c>
      <x:c r="G110" s="86" t="n">
        <x:v>3617.5186666666664</x:v>
      </x:c>
      <x:c r="H110" s="86" t="n">
        <x:v>3600.2841990809698</x:v>
      </x:c>
      <x:c r="I110" s="86" t="n">
        <x:v>3717.5574193548405</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R1"/>
    <x:mergeCell ref="A2:R3"/>
    <x:mergeCell ref="A61:I61"/>
  </x:mergeCells>
  <x:pageMargins left="0.7" right="0.7" top="0.75" bottom="0.75" header="0.3" footer="0.3"/>
  <x:drawing xmlns:r="http://schemas.openxmlformats.org/officeDocument/2006/relationships" r:id="Rb6774a9e9d1c4007"/>
  <x:tableParts count="3">
    <x:tablePart xmlns:r="http://schemas.openxmlformats.org/officeDocument/2006/relationships" r:id="R910354c2de4c42e2"/>
    <x:tablePart xmlns:r="http://schemas.openxmlformats.org/officeDocument/2006/relationships" r:id="Rde164ec6fe6d4118"/>
    <x:tablePart xmlns:r="http://schemas.openxmlformats.org/officeDocument/2006/relationships" r:id="Rc7e23f2c336e477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s>
  <x:sheetData>
    <x:row r="1" ht="30" customHeight="1">
      <x:c r="A1" s="4" t="str">
        <x:v>ARDL–ECM exploratorio</x:v>
      </x:c>
      <x:c r="B1" s="4" t="str">
        <x:v>ARDL–ECM exploratorio</x:v>
      </x:c>
      <x:c r="C1" s="4" t="str">
        <x:v>ARDL–ECM exploratorio</x:v>
      </x:c>
      <x:c r="D1" s="4" t="str">
        <x:v>ARDL–ECM exploratorio</x:v>
      </x:c>
      <x:c r="E1" s="4" t="str">
        <x:v>ARDL–ECM exploratorio</x:v>
      </x:c>
      <x:c r="F1" s="4" t="str">
        <x:v>ARDL–ECM exploratorio</x:v>
      </x:c>
      <x:c r="G1" s="4" t="str">
        <x:v>ARDL–ECM exploratorio</x:v>
      </x:c>
      <x:c r="H1" s="4" t="str">
        <x:v>ARDL–ECM exploratorio</x:v>
      </x:c>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107" t="str">
        <x:v>La prueba bounds no confirma cointegración al 5%: F = 3,414 está por debajo del límite superior de 3,627 y el p-valor I(1) es 7,31%. Los coeficientes de largo plazo se muestran como contraste y no deben interpretarse como un equilibrio estable.</x:v>
      </x:c>
      <x:c r="B2" s="107" t="str">
        <x:v>La prueba bounds no confirma cointegración al 5%: F = 3,414 está por debajo del límite superior de 3,627 y el p-valor I(1) es 7,31%. Los coeficientes de largo plazo se muestran como contraste y no deben interpretarse como un equilibrio estable.</x:v>
      </x:c>
      <x:c r="C2" s="107" t="str">
        <x:v>La prueba bounds no confirma cointegración al 5%: F = 3,414 está por debajo del límite superior de 3,627 y el p-valor I(1) es 7,31%. Los coeficientes de largo plazo se muestran como contraste y no deben interpretarse como un equilibrio estable.</x:v>
      </x:c>
      <x:c r="D2" s="107" t="str">
        <x:v>La prueba bounds no confirma cointegración al 5%: F = 3,414 está por debajo del límite superior de 3,627 y el p-valor I(1) es 7,31%. Los coeficientes de largo plazo se muestran como contraste y no deben interpretarse como un equilibrio estable.</x:v>
      </x:c>
      <x:c r="E2" s="107" t="str">
        <x:v>La prueba bounds no confirma cointegración al 5%: F = 3,414 está por debajo del límite superior de 3,627 y el p-valor I(1) es 7,31%. Los coeficientes de largo plazo se muestran como contraste y no deben interpretarse como un equilibrio estable.</x:v>
      </x:c>
      <x:c r="F2" s="107" t="str">
        <x:v>La prueba bounds no confirma cointegración al 5%: F = 3,414 está por debajo del límite superior de 3,627 y el p-valor I(1) es 7,31%. Los coeficientes de largo plazo se muestran como contraste y no deben interpretarse como un equilibrio estable.</x:v>
      </x:c>
      <x:c r="G2" s="107" t="str">
        <x:v>La prueba bounds no confirma cointegración al 5%: F = 3,414 está por debajo del límite superior de 3,627 y el p-valor I(1) es 7,31%. Los coeficientes de largo plazo se muestran como contraste y no deben interpretarse como un equilibrio estable.</x:v>
      </x:c>
      <x:c r="H2" s="107" t="str">
        <x:v>La prueba bounds no confirma cointegración al 5%: F = 3,414 está por debajo del límite superior de 3,627 y el p-valor I(1) es 7,31%. Los coeficientes de largo plazo se muestran como contraste y no deben interpretarse como un equilibrio estable.</x:v>
      </x:c>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107" t="str">
        <x:v>La prueba bounds no confirma cointegración al 5%: F = 3,414 está por debajo del límite superior de 3,627 y el p-valor I(1) es 7,31%. Los coeficientes de largo plazo se muestran como contraste y no deben interpretarse como un equilibrio estable.</x:v>
      </x:c>
      <x:c r="B3" s="107" t="str">
        <x:v>La prueba bounds no confirma cointegración al 5%: F = 3,414 está por debajo del límite superior de 3,627 y el p-valor I(1) es 7,31%. Los coeficientes de largo plazo se muestran como contraste y no deben interpretarse como un equilibrio estable.</x:v>
      </x:c>
      <x:c r="C3" s="107" t="str">
        <x:v>La prueba bounds no confirma cointegración al 5%: F = 3,414 está por debajo del límite superior de 3,627 y el p-valor I(1) es 7,31%. Los coeficientes de largo plazo se muestran como contraste y no deben interpretarse como un equilibrio estable.</x:v>
      </x:c>
      <x:c r="D3" s="107" t="str">
        <x:v>La prueba bounds no confirma cointegración al 5%: F = 3,414 está por debajo del límite superior de 3,627 y el p-valor I(1) es 7,31%. Los coeficientes de largo plazo se muestran como contraste y no deben interpretarse como un equilibrio estable.</x:v>
      </x:c>
      <x:c r="E3" s="107" t="str">
        <x:v>La prueba bounds no confirma cointegración al 5%: F = 3,414 está por debajo del límite superior de 3,627 y el p-valor I(1) es 7,31%. Los coeficientes de largo plazo se muestran como contraste y no deben interpretarse como un equilibrio estable.</x:v>
      </x:c>
      <x:c r="F3" s="107" t="str">
        <x:v>La prueba bounds no confirma cointegración al 5%: F = 3,414 está por debajo del límite superior de 3,627 y el p-valor I(1) es 7,31%. Los coeficientes de largo plazo se muestran como contraste y no deben interpretarse como un equilibrio estable.</x:v>
      </x:c>
      <x:c r="G3" s="107" t="str">
        <x:v>La prueba bounds no confirma cointegración al 5%: F = 3,414 está por debajo del límite superior de 3,627 y el p-valor I(1) es 7,31%. Los coeficientes de largo plazo se muestran como contraste y no deben interpretarse como un equilibrio estable.</x:v>
      </x:c>
      <x:c r="H3" s="107" t="str">
        <x:v>La prueba bounds no confirma cointegración al 5%: F = 3,414 está por debajo del límite superior de 3,627 y el p-valor I(1) es 7,31%. Los coeficientes de largo plazo se muestran como contraste y no deben interpretarse como un equilibrio estable.</x:v>
      </x:c>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22" customHeight="1">
      <x:c r="A5" s="47" t="str">
        <x:v>Prueba bounds</x:v>
      </x:c>
      <x:c r="B5" s="47" t="str">
        <x:v>Prueba bounds</x:v>
      </x:c>
      <x:c r="C5" s="47" t="str">
        <x:v>Prueba bounds</x:v>
      </x:c>
      <x:c r="D5" s="47" t="str">
        <x:v>Prueba bounds</x:v>
      </x:c>
      <x:c r="E5" s="1"/>
      <x:c r="F5" s="47" t="str">
        <x:v>Dinámica de ajuste</x:v>
      </x:c>
      <x:c r="G5" s="47" t="str">
        <x:v>Dinámica de ajuste</x:v>
      </x:c>
      <x:c r="H5" s="47" t="str">
        <x:v>Dinámica de ajuste</x:v>
      </x:c>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58" t="str">
        <x:v>F</x:v>
      </x:c>
      <x:c r="B6" s="58" t="str">
        <x:v>p-valor I(0)</x:v>
      </x:c>
      <x:c r="C6" s="58" t="str">
        <x:v>p-valor I(1)</x:v>
      </x:c>
      <x:c r="D6" s="58" t="str">
        <x:v>Decisión al 5%</x:v>
      </x:c>
      <x:c r="E6" s="1"/>
      <x:c r="F6" s="58" t="str">
        <x:v>Parámetro</x:v>
      </x:c>
      <x:c r="G6" s="58" t="str">
        <x:v>Valor</x:v>
      </x:c>
      <x:c r="H6" s="58" t="str">
        <x:v>Lectura</x:v>
      </x:c>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15" t="n">
        <x:v>3.4136952748726745</x:v>
      </x:c>
      <x:c r="B7" s="115" t="n">
        <x:v>0.005325689761964569</x:v>
      </x:c>
      <x:c r="C7" s="115" t="n">
        <x:v>0.07310834171939762</x:v>
      </x:c>
      <x:c r="D7" s="116" t="str">
        <x:v>No concluyente</x:v>
      </x:c>
      <x:c r="E7" s="1"/>
      <x:c r="F7" s="59" t="str">
        <x:v>Velocidad de ajuste</x:v>
      </x:c>
      <x:c r="G7" s="60" t="n">
        <x:v>-0.08956950478903522</x:v>
      </x:c>
      <x:c r="H7" s="59" t="str">
        <x:v>Negativa y significativa en la ecuación auxiliar</x:v>
      </x:c>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
      <x:c r="B8" s="1"/>
      <x:c r="C8" s="1"/>
      <x:c r="D8" s="1"/>
      <x:c r="E8" s="1"/>
      <x:c r="F8" s="59" t="str">
        <x:v>ARDL seleccionado</x:v>
      </x:c>
      <x:c r="G8" s="59" t="str">
        <x:v>(1,1)</x:v>
      </x:c>
      <x:c r="H8" s="59" t="str">
        <x:v>Un rezago común</x:v>
      </x:c>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
      <x:c r="B9" s="1"/>
      <x:c r="C9" s="1"/>
      <x:c r="D9" s="1"/>
      <x:c r="E9" s="1"/>
      <x:c r="F9" s="59" t="str">
        <x:v>Uso recomendado</x:v>
      </x:c>
      <x:c r="G9" s="59" t="str">
        <x:v>Robustez</x:v>
      </x:c>
      <x:c r="H9" s="59" t="str">
        <x:v>No usar sus coeficientes como elasticidades firmes</x:v>
      </x:c>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ht="22" customHeight="1">
      <x:c r="A10" s="47" t="str">
        <x:v>Valores críticos bounds</x:v>
      </x:c>
      <x:c r="B10" s="47" t="str">
        <x:v>Valores críticos bounds</x:v>
      </x:c>
      <x:c r="C10" s="47" t="str">
        <x:v>Valores críticos bounds</x:v>
      </x:c>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54" t="str">
        <x:v>Percentil</x:v>
      </x:c>
      <x:c r="B11" s="54" t="str">
        <x:v>Límite inferior I(0)</x:v>
      </x:c>
      <x:c r="C11" s="54" t="str">
        <x:v>Límite superior I(1)</x:v>
      </x:c>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71" t="n">
        <x:v>0.9</x:v>
      </x:c>
      <x:c r="B12" s="117" t="n">
        <x:v>2.1343676</x:v>
      </x:c>
      <x:c r="C12" s="117" t="n">
        <x:v>3.2311014</x:v>
      </x:c>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71" t="n">
        <x:v>0.95</x:v>
      </x:c>
      <x:c r="B13" s="117" t="n">
        <x:v>2.4620175</x:v>
      </x:c>
      <x:c r="C13" s="117" t="n">
        <x:v>3.6271964</x:v>
      </x:c>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71" t="n">
        <x:v>0.99</x:v>
      </x:c>
      <x:c r="B14" s="117" t="n">
        <x:v>3.1585901</x:v>
      </x:c>
      <x:c r="C14" s="117" t="n">
        <x:v>4.4502999</x:v>
      </x:c>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71" t="n">
        <x:v>0.9990000000000001</x:v>
      </x:c>
      <x:c r="B15" s="117" t="n">
        <x:v>4.0720179</x:v>
      </x:c>
      <x:c r="C15" s="117" t="n">
        <x:v>5.5018575</x:v>
      </x:c>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ht="22" customHeight="1">
      <x:c r="A18" s="47" t="str">
        <x:v>Coeficientes de largo plazo (solo exploratorios)</x:v>
      </x:c>
      <x:c r="B18" s="47" t="str">
        <x:v>Coeficientes de largo plazo (solo exploratorios)</x:v>
      </x:c>
      <x:c r="C18" s="47" t="str">
        <x:v>Coeficientes de largo plazo (solo exploratorios)</x:v>
      </x:c>
      <x:c r="D18" s="47" t="str">
        <x:v>Coeficientes de largo plazo (solo exploratorios)</x:v>
      </x:c>
      <x:c r="E18" s="47" t="str">
        <x:v>Coeficientes de largo plazo (solo exploratorios)</x:v>
      </x:c>
      <x:c r="F18" s="47" t="str">
        <x:v>Coeficientes de largo plazo (solo exploratorios)</x:v>
      </x:c>
      <x:c r="G18" s="47" t="str">
        <x:v>Coeficientes de largo plazo (solo exploratorios)</x:v>
      </x:c>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54" t="str">
        <x:v>Variable</x:v>
      </x:c>
      <x:c r="B19" s="54" t="str">
        <x:v>Coeficiente</x:v>
      </x:c>
      <x:c r="C19" s="54" t="str">
        <x:v>EE</x:v>
      </x:c>
      <x:c r="D19" s="54" t="str">
        <x:v>t</x:v>
      </x:c>
      <x:c r="E19" s="54" t="str">
        <x:v>p-valor</x:v>
      </x:c>
      <x:c r="F19" s="54" t="str">
        <x:v>IC 95% inferior</x:v>
      </x:c>
      <x:c r="G19" s="54" t="str">
        <x:v>IC 95% superior</x:v>
      </x:c>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v>const</x:v>
      </x:c>
      <x:c r="B20" s="90" t="n">
        <x:v>3.3631572912663406</x:v>
      </x:c>
      <x:c r="C20" s="90" t="n">
        <x:v>2.20861868664025</x:v>
      </x:c>
      <x:c r="D20" s="90" t="n">
        <x:v>1.5227423871806385</x:v>
      </x:c>
      <x:c r="E20" s="90" t="n">
        <x:v>0.127823168855554</x:v>
      </x:c>
      <x:c r="F20" s="90" t="n">
        <x:v>-0.988654796419254</x:v>
      </x:c>
      <x:c r="G20" s="90" t="n">
        <x:v>7.714969378951935</x:v>
      </x:c>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v>ln_trm</x:v>
      </x:c>
      <x:c r="B21" s="90" t="n">
        <x:v>1</x:v>
      </x:c>
      <x:c r="C21" s="90" t="n">
        <x:v>0</x:v>
      </x:c>
      <x:c r="D21" s="90"/>
      <x:c r="E21" s="90"/>
      <x:c r="F21" s="90" t="n">
        <x:v>1</x:v>
      </x:c>
      <x:c r="G21" s="90" t="n">
        <x:v>1</x:v>
      </x:c>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v>ln_brent</x:v>
      </x:c>
      <x:c r="B22" s="90" t="n">
        <x:v>-0.05129833308499665</x:v>
      </x:c>
      <x:c r="C22" s="90" t="n">
        <x:v>0.12374165013509583</x:v>
      </x:c>
      <x:c r="D22" s="90" t="n">
        <x:v>-0.4145599564010285</x:v>
      </x:c>
      <x:c r="E22" s="90" t="n">
        <x:v>0.6784640672858511</x:v>
      </x:c>
      <x:c r="F22" s="90" t="n">
        <x:v>-0.2951160695124822</x:v>
      </x:c>
      <x:c r="G22" s="90" t="n">
        <x:v>0.1925194033424889</x:v>
      </x:c>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t="str">
        <x:v>ln_remesas_12m</x:v>
      </x:c>
      <x:c r="B23" s="90" t="n">
        <x:v>0.05864022201733626</x:v>
      </x:c>
      <x:c r="C23" s="90" t="n">
        <x:v>0.19828556064292568</x:v>
      </x:c>
      <x:c r="D23" s="90" t="n">
        <x:v>0.2957362191538297</x:v>
      </x:c>
      <x:c r="E23" s="90" t="n">
        <x:v>0.7674315348398528</x:v>
      </x:c>
      <x:c r="F23" s="90" t="n">
        <x:v>-0.33205714228507505</x:v>
      </x:c>
      <x:c r="G23" s="90" t="n">
        <x:v>0.4493375863197476</x:v>
      </x:c>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t="str">
        <x:v>diferencial_tasas_pp</x:v>
      </x:c>
      <x:c r="B24" s="90" t="n">
        <x:v>-0.002656468918412148</x:v>
      </x:c>
      <x:c r="C24" s="90" t="n">
        <x:v>0.011554926422597993</x:v>
      </x:c>
      <x:c r="D24" s="90" t="n">
        <x:v>-0.2298992500044731</x:v>
      </x:c>
      <x:c r="E24" s="90" t="n">
        <x:v>0.8181700591293983</x:v>
      </x:c>
      <x:c r="F24" s="90" t="n">
        <x:v>-0.025424033452004377</x:v>
      </x:c>
      <x:c r="G24" s="90" t="n">
        <x:v>0.020111095615180083</x:v>
      </x:c>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t="str">
        <x:v>deficit_fiscal_12m_pct_pib</x:v>
      </x:c>
      <x:c r="B25" s="90" t="n">
        <x:v>-0.02505878403862818</x:v>
      </x:c>
      <x:c r="C25" s="90" t="n">
        <x:v>0.016358908817771304</x:v>
      </x:c>
      <x:c r="D25" s="90" t="n">
        <x:v>-1.531812684927119</x:v>
      </x:c>
      <x:c r="E25" s="90" t="n">
        <x:v>0.12556866490665408</x:v>
      </x:c>
      <x:c r="F25" s="90" t="n">
        <x:v>-0.05729200635316867</x:v>
      </x:c>
      <x:c r="G25" s="90" t="n">
        <x:v>0.007174438275912309</x:v>
      </x:c>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t="str">
        <x:v>ln_dolar_amplio</x:v>
      </x:c>
      <x:c r="B26" s="90" t="n">
        <x:v>-2.4493465140499677</x:v>
      </x:c>
      <x:c r="C26" s="90" t="n">
        <x:v>0.6896509566116877</x:v>
      </x:c>
      <x:c r="D26" s="90" t="n">
        <x:v>-3.551574155836468</x:v>
      </x:c>
      <x:c r="E26" s="90" t="n">
        <x:v>0.00038293406876954705</x:v>
      </x:c>
      <x:c r="F26" s="90" t="n">
        <x:v>-3.8082190923817887</x:v>
      </x:c>
      <x:c r="G26" s="90" t="n">
        <x:v>-1.090473935718147</x:v>
      </x:c>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H1"/>
    <x:mergeCell ref="A2:H3"/>
    <x:mergeCell ref="A5:D5"/>
    <x:mergeCell ref="A10:C10"/>
    <x:mergeCell ref="A18:G18"/>
    <x:mergeCell ref="F5:H5"/>
  </x:mergeCells>
  <x:pageMargins left="0.7" right="0.7" top="0.75" bottom="0.75" header="0.3" footer="0.3"/>
  <x:tableParts count="2">
    <x:tablePart xmlns:r="http://schemas.openxmlformats.org/officeDocument/2006/relationships" r:id="R9a50e0ae1c754760"/>
    <x:tablePart xmlns:r="http://schemas.openxmlformats.org/officeDocument/2006/relationships" r:id="Re21561506c5a44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customHeight="1">
      <x:c r="A1" s="4" t="str">
        <x:v>Diagnósticos y selección del modelo</x:v>
      </x:c>
      <x:c r="B1" s="4" t="str">
        <x:v>Diagnósticos y selección del modelo</x:v>
      </x:c>
      <x:c r="C1" s="4" t="str">
        <x:v>Diagnósticos y selección del modelo</x:v>
      </x:c>
      <x:c r="D1" s="4" t="str">
        <x:v>Diagnósticos y selección del modelo</x:v>
      </x:c>
      <x:c r="E1" s="4" t="str">
        <x:v>Diagnósticos y selección del modelo</x:v>
      </x:c>
      <x:c r="F1" s="4" t="str">
        <x:v>Diagnósticos y selección del modelo</x:v>
      </x:c>
      <x:c r="G1" s="4" t="str">
        <x:v>Diagnósticos y selección del modelo</x:v>
      </x:c>
      <x:c r="H1" s="4" t="str">
        <x:v>Diagnósticos y selección del modelo</x:v>
      </x:c>
      <x:c r="I1" s="4" t="str">
        <x:v>Diagnósticos y selección del modelo</x:v>
      </x:c>
      <x:c r="J1" s="4" t="str">
        <x:v>Diagnósticos y selección del modelo</x:v>
      </x:c>
      <x:c r="K1" s="4" t="str">
        <x:v>Diagnósticos y selección del modelo</x:v>
      </x:c>
      <x:c r="L1" s="4" t="str">
        <x:v>Diagnósticos y selección del modelo</x:v>
      </x:c>
      <x:c r="M1" s="4" t="str">
        <x:v>Diagnósticos y selección del modelo</x:v>
      </x:c>
      <x:c r="N1" s="4" t="str">
        <x:v>Diagnósticos y selección del modelo</x:v>
      </x:c>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Las pruebas se interpretan al 5%. No se detecta autocorrelación residual. El modelo principal no muestra ARCH, pero el ampliado sí presenta volatilidad condicional; la no normalidad aconseja mantener inferencia HAC y cautela en episodios extremos.</x:v>
      </x:c>
      <x:c r="B2" s="7" t="str">
        <x:v>Las pruebas se interpretan al 5%. No se detecta autocorrelación residual. El modelo principal no muestra ARCH, pero el ampliado sí presenta volatilidad condicional; la no normalidad aconseja mantener inferencia HAC y cautela en episodios extremos.</x:v>
      </x:c>
      <x:c r="C2" s="7" t="str">
        <x:v>Las pruebas se interpretan al 5%. No se detecta autocorrelación residual. El modelo principal no muestra ARCH, pero el ampliado sí presenta volatilidad condicional; la no normalidad aconseja mantener inferencia HAC y cautela en episodios extremos.</x:v>
      </x:c>
      <x:c r="D2" s="7" t="str">
        <x:v>Las pruebas se interpretan al 5%. No se detecta autocorrelación residual. El modelo principal no muestra ARCH, pero el ampliado sí presenta volatilidad condicional; la no normalidad aconseja mantener inferencia HAC y cautela en episodios extremos.</x:v>
      </x:c>
      <x:c r="E2" s="7" t="str">
        <x:v>Las pruebas se interpretan al 5%. No se detecta autocorrelación residual. El modelo principal no muestra ARCH, pero el ampliado sí presenta volatilidad condicional; la no normalidad aconseja mantener inferencia HAC y cautela en episodios extremos.</x:v>
      </x:c>
      <x:c r="F2" s="7" t="str">
        <x:v>Las pruebas se interpretan al 5%. No se detecta autocorrelación residual. El modelo principal no muestra ARCH, pero el ampliado sí presenta volatilidad condicional; la no normalidad aconseja mantener inferencia HAC y cautela en episodios extremos.</x:v>
      </x:c>
      <x:c r="G2" s="7" t="str">
        <x:v>Las pruebas se interpretan al 5%. No se detecta autocorrelación residual. El modelo principal no muestra ARCH, pero el ampliado sí presenta volatilidad condicional; la no normalidad aconseja mantener inferencia HAC y cautela en episodios extremos.</x:v>
      </x:c>
      <x:c r="H2" s="7" t="str">
        <x:v>Las pruebas se interpretan al 5%. No se detecta autocorrelación residual. El modelo principal no muestra ARCH, pero el ampliado sí presenta volatilidad condicional; la no normalidad aconseja mantener inferencia HAC y cautela en episodios extremos.</x:v>
      </x:c>
      <x:c r="I2" s="7" t="str">
        <x:v>Las pruebas se interpretan al 5%. No se detecta autocorrelación residual. El modelo principal no muestra ARCH, pero el ampliado sí presenta volatilidad condicional; la no normalidad aconseja mantener inferencia HAC y cautela en episodios extremos.</x:v>
      </x:c>
      <x:c r="J2" s="7" t="str">
        <x:v>Las pruebas se interpretan al 5%. No se detecta autocorrelación residual. El modelo principal no muestra ARCH, pero el ampliado sí presenta volatilidad condicional; la no normalidad aconseja mantener inferencia HAC y cautela en episodios extremos.</x:v>
      </x:c>
      <x:c r="K2" s="7" t="str">
        <x:v>Las pruebas se interpretan al 5%. No se detecta autocorrelación residual. El modelo principal no muestra ARCH, pero el ampliado sí presenta volatilidad condicional; la no normalidad aconseja mantener inferencia HAC y cautela en episodios extremos.</x:v>
      </x:c>
      <x:c r="L2" s="7" t="str">
        <x:v>Las pruebas se interpretan al 5%. No se detecta autocorrelación residual. El modelo principal no muestra ARCH, pero el ampliado sí presenta volatilidad condicional; la no normalidad aconseja mantener inferencia HAC y cautela en episodios extremos.</x:v>
      </x:c>
      <x:c r="M2" s="7" t="str">
        <x:v>Las pruebas se interpretan al 5%. No se detecta autocorrelación residual. El modelo principal no muestra ARCH, pero el ampliado sí presenta volatilidad condicional; la no normalidad aconseja mantener inferencia HAC y cautela en episodios extremos.</x:v>
      </x:c>
      <x:c r="N2" s="7" t="str">
        <x:v>Las pruebas se interpretan al 5%. No se detecta autocorrelación residual. El modelo principal no muestra ARCH, pero el ampliado sí presenta volatilidad condicional; la no normalidad aconseja mantener inferencia HAC y cautela en episodios extremos.</x:v>
      </x:c>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Las pruebas se interpretan al 5%. No se detecta autocorrelación residual. El modelo principal no muestra ARCH, pero el ampliado sí presenta volatilidad condicional; la no normalidad aconseja mantener inferencia HAC y cautela en episodios extremos.</x:v>
      </x:c>
      <x:c r="B3" s="7" t="str">
        <x:v>Las pruebas se interpretan al 5%. No se detecta autocorrelación residual. El modelo principal no muestra ARCH, pero el ampliado sí presenta volatilidad condicional; la no normalidad aconseja mantener inferencia HAC y cautela en episodios extremos.</x:v>
      </x:c>
      <x:c r="C3" s="7" t="str">
        <x:v>Las pruebas se interpretan al 5%. No se detecta autocorrelación residual. El modelo principal no muestra ARCH, pero el ampliado sí presenta volatilidad condicional; la no normalidad aconseja mantener inferencia HAC y cautela en episodios extremos.</x:v>
      </x:c>
      <x:c r="D3" s="7" t="str">
        <x:v>Las pruebas se interpretan al 5%. No se detecta autocorrelación residual. El modelo principal no muestra ARCH, pero el ampliado sí presenta volatilidad condicional; la no normalidad aconseja mantener inferencia HAC y cautela en episodios extremos.</x:v>
      </x:c>
      <x:c r="E3" s="7" t="str">
        <x:v>Las pruebas se interpretan al 5%. No se detecta autocorrelación residual. El modelo principal no muestra ARCH, pero el ampliado sí presenta volatilidad condicional; la no normalidad aconseja mantener inferencia HAC y cautela en episodios extremos.</x:v>
      </x:c>
      <x:c r="F3" s="7" t="str">
        <x:v>Las pruebas se interpretan al 5%. No se detecta autocorrelación residual. El modelo principal no muestra ARCH, pero el ampliado sí presenta volatilidad condicional; la no normalidad aconseja mantener inferencia HAC y cautela en episodios extremos.</x:v>
      </x:c>
      <x:c r="G3" s="7" t="str">
        <x:v>Las pruebas se interpretan al 5%. No se detecta autocorrelación residual. El modelo principal no muestra ARCH, pero el ampliado sí presenta volatilidad condicional; la no normalidad aconseja mantener inferencia HAC y cautela en episodios extremos.</x:v>
      </x:c>
      <x:c r="H3" s="7" t="str">
        <x:v>Las pruebas se interpretan al 5%. No se detecta autocorrelación residual. El modelo principal no muestra ARCH, pero el ampliado sí presenta volatilidad condicional; la no normalidad aconseja mantener inferencia HAC y cautela en episodios extremos.</x:v>
      </x:c>
      <x:c r="I3" s="7" t="str">
        <x:v>Las pruebas se interpretan al 5%. No se detecta autocorrelación residual. El modelo principal no muestra ARCH, pero el ampliado sí presenta volatilidad condicional; la no normalidad aconseja mantener inferencia HAC y cautela en episodios extremos.</x:v>
      </x:c>
      <x:c r="J3" s="7" t="str">
        <x:v>Las pruebas se interpretan al 5%. No se detecta autocorrelación residual. El modelo principal no muestra ARCH, pero el ampliado sí presenta volatilidad condicional; la no normalidad aconseja mantener inferencia HAC y cautela en episodios extremos.</x:v>
      </x:c>
      <x:c r="K3" s="7" t="str">
        <x:v>Las pruebas se interpretan al 5%. No se detecta autocorrelación residual. El modelo principal no muestra ARCH, pero el ampliado sí presenta volatilidad condicional; la no normalidad aconseja mantener inferencia HAC y cautela en episodios extremos.</x:v>
      </x:c>
      <x:c r="L3" s="7" t="str">
        <x:v>Las pruebas se interpretan al 5%. No se detecta autocorrelación residual. El modelo principal no muestra ARCH, pero el ampliado sí presenta volatilidad condicional; la no normalidad aconseja mantener inferencia HAC y cautela en episodios extremos.</x:v>
      </x:c>
      <x:c r="M3" s="7" t="str">
        <x:v>Las pruebas se interpretan al 5%. No se detecta autocorrelación residual. El modelo principal no muestra ARCH, pero el ampliado sí presenta volatilidad condicional; la no normalidad aconseja mantener inferencia HAC y cautela en episodios extremos.</x:v>
      </x:c>
      <x:c r="N3" s="7" t="str">
        <x:v>Las pruebas se interpretan al 5%. No se detecta autocorrelación residual. El modelo principal no muestra ARCH, pero el ampliado sí presenta volatilidad condicional; la no normalidad aconseja mantener inferencia HAC y cautela en episodios extremos.</x:v>
      </x:c>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22" customHeight="1">
      <x:c r="A5" s="47" t="str">
        <x:v>Diagnósticos del modelo principal</x:v>
      </x:c>
      <x:c r="B5" s="47" t="str">
        <x:v>Diagnósticos del modelo principal</x:v>
      </x:c>
      <x:c r="C5" s="47" t="str">
        <x:v>Diagnósticos del modelo principal</x:v>
      </x:c>
      <x:c r="D5" s="47" t="str">
        <x:v>Diagnósticos del modelo principal</x:v>
      </x:c>
      <x:c r="E5" s="1"/>
      <x:c r="F5" s="47" t="str">
        <x:v>Selección de rezagos de Δln(TRM)</x:v>
      </x:c>
      <x:c r="G5" s="47" t="str">
        <x:v>Selección de rezagos de Δln(TRM)</x:v>
      </x:c>
      <x:c r="H5" s="47" t="str">
        <x:v>Selección de rezagos de Δln(TRM)</x:v>
      </x:c>
      <x:c r="I5" s="47" t="str">
        <x:v>Selección de rezagos de Δln(TRM)</x:v>
      </x:c>
      <x:c r="J5" s="47" t="str">
        <x:v>Criterios de decisión</x:v>
      </x:c>
      <x:c r="K5" s="47" t="str">
        <x:v>Criterios de decisión</x:v>
      </x:c>
      <x:c r="L5" s="47" t="str">
        <x:v>Criterios de decisión</x:v>
      </x:c>
      <x:c r="M5" s="47" t="str">
        <x:v>Criterios de decisión</x:v>
      </x:c>
      <x:c r="N5" s="47" t="str">
        <x:v>Criterios de decisión</x:v>
      </x:c>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54" t="str">
        <x:v>Prueba</x:v>
      </x:c>
      <x:c r="B6" s="54" t="str">
        <x:v>Estadístico</x:v>
      </x:c>
      <x:c r="C6" s="54" t="str">
        <x:v>p-valor</x:v>
      </x:c>
      <x:c r="D6" s="54" t="str">
        <x:v>Lectura</x:v>
      </x:c>
      <x:c r="E6" s="1"/>
      <x:c r="F6" s="54" t="str">
        <x:v>p</x:v>
      </x:c>
      <x:c r="G6" s="54" t="str">
        <x:v>AIC</x:v>
      </x:c>
      <x:c r="H6" s="54" t="str">
        <x:v>BIC</x:v>
      </x:c>
      <x:c r="I6" s="54" t="str">
        <x:v>R² ajustado</x:v>
      </x:c>
      <x:c r="J6" s="58" t="str">
        <x:v>Elemento</x:v>
      </x:c>
      <x:c r="K6" s="58" t="str">
        <x:v>Criterio</x:v>
      </x:c>
      <x:c r="L6" s="58" t="str">
        <x:v>Resultado</x:v>
      </x:c>
      <x:c r="M6" s="58" t="str">
        <x:v>Implicación</x:v>
      </x:c>
      <x:c r="N6" s="58" t="str">
        <x:v>Acción</x:v>
      </x:c>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ht="38" customHeight="1">
      <x:c r="A7" s="1" t="str">
        <x:v>Ljung-Box (6)</x:v>
      </x:c>
      <x:c r="B7" s="55" t="n">
        <x:v>2.889145452840921</x:v>
      </x:c>
      <x:c r="C7" s="55" t="n">
        <x:v>0.822626160662006</x:v>
      </x:c>
      <x:c r="D7" s="1" t="str">
        <x:v>Sin autocorrelación detectada</x:v>
      </x:c>
      <x:c r="E7" s="1"/>
      <x:c r="F7" s="29" t="n">
        <x:v>0</x:v>
      </x:c>
      <x:c r="G7" s="120" t="n">
        <x:v>-1106.246508405773</x:v>
      </x:c>
      <x:c r="H7" s="120" t="n">
        <x:v>-1078.4013970190372</x:v>
      </x:c>
      <x:c r="I7" s="112" t="n">
        <x:v>0.48554953959626557</x:v>
      </x:c>
      <x:c r="J7" s="59" t="str">
        <x:v>BIC</x:v>
      </x:c>
      <x:c r="K7" s="59" t="str">
        <x:v>Mínimo</x:v>
      </x:c>
      <x:c r="L7" s="59" t="str">
        <x:v>p=0</x:v>
      </x:c>
      <x:c r="M7" s="59" t="str">
        <x:v>Modelo parsimonioso</x:v>
      </x:c>
      <x:c r="N7" s="59" t="str">
        <x:v>No agregar rezagos de TRM</x:v>
      </x:c>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ht="38" customHeight="1">
      <x:c r="A8" s="1" t="str">
        <x:v>Ljung-Box (12)</x:v>
      </x:c>
      <x:c r="B8" s="55" t="n">
        <x:v>6.457047806228926</x:v>
      </x:c>
      <x:c r="C8" s="55" t="n">
        <x:v>0.891314752728422</x:v>
      </x:c>
      <x:c r="D8" s="1" t="str">
        <x:v>Sin autocorrelación detectada</x:v>
      </x:c>
      <x:c r="E8" s="1"/>
      <x:c r="F8" s="1" t="n">
        <x:v>1</x:v>
      </x:c>
      <x:c r="G8" s="72" t="n">
        <x:v>-1104.6689635065554</x:v>
      </x:c>
      <x:c r="H8" s="72" t="n">
        <x:v>-1073.3432131964776</x:v>
      </x:c>
      <x:c r="I8" s="71" t="n">
        <x:v>0.4842311524117332</x:v>
      </x:c>
      <x:c r="J8" s="59" t="str">
        <x:v>Autocorrelación</x:v>
      </x:c>
      <x:c r="K8" s="59" t="str">
        <x:v>p&gt;0,05</x:v>
      </x:c>
      <x:c r="L8" s="59" t="str">
        <x:v>Cumple</x:v>
      </x:c>
      <x:c r="M8" s="59" t="str">
        <x:v>Dinámica adecuada</x:v>
      </x:c>
      <x:c r="N8" s="59" t="str">
        <x:v>Mantener especificación</x:v>
      </x:c>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ht="38" customHeight="1">
      <x:c r="A9" s="1" t="str">
        <x:v>Breusch-Godfrey (12)</x:v>
      </x:c>
      <x:c r="B9" s="55" t="n">
        <x:v>6.251498578831149</x:v>
      </x:c>
      <x:c r="C9" s="55" t="n">
        <x:v>0.9028769240099259</x:v>
      </x:c>
      <x:c r="D9" s="1" t="str">
        <x:v>Sin autocorrelación detectada</x:v>
      </x:c>
      <x:c r="E9" s="1"/>
      <x:c r="F9" s="1" t="n">
        <x:v>2</x:v>
      </x:c>
      <x:c r="G9" s="72" t="n">
        <x:v>-1102.7353119875602</x:v>
      </x:c>
      <x:c r="H9" s="72" t="n">
        <x:v>-1067.9289227541403</x:v>
      </x:c>
      <x:c r="I9" s="71" t="n">
        <x:v>0.4821318646363185</x:v>
      </x:c>
      <x:c r="J9" s="59" t="str">
        <x:v>ARCH</x:v>
      </x:c>
      <x:c r="K9" s="59" t="str">
        <x:v>p&gt;0,05</x:v>
      </x:c>
      <x:c r="L9" s="59" t="str">
        <x:v>Cumple</x:v>
      </x:c>
      <x:c r="M9" s="59" t="str">
        <x:v>Sin ARCH detectado</x:v>
      </x:c>
      <x:c r="N9" s="59" t="str">
        <x:v>Mantener HAC</x:v>
      </x:c>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ht="38" customHeight="1">
      <x:c r="A10" s="1" t="str">
        <x:v>ARCH-LM (12)</x:v>
      </x:c>
      <x:c r="B10" s="55" t="n">
        <x:v>18.061393683448046</x:v>
      </x:c>
      <x:c r="C10" s="55" t="n">
        <x:v>0.11383907381794964</x:v>
      </x:c>
      <x:c r="D10" s="1" t="str">
        <x:v>Sin ARCH detectado</x:v>
      </x:c>
      <x:c r="E10" s="1"/>
      <x:c r="F10" s="1" t="n">
        <x:v>3</x:v>
      </x:c>
      <x:c r="G10" s="72" t="n">
        <x:v>-1100.8051082273637</x:v>
      </x:c>
      <x:c r="H10" s="72" t="n">
        <x:v>-1062.5180800706019</x:v>
      </x:c>
      <x:c r="I10" s="71" t="n">
        <x:v>0.48002167260495787</x:v>
      </x:c>
      <x:c r="J10" s="121" t="str">
        <x:v>Normalidad</x:v>
      </x:c>
      <x:c r="K10" s="121" t="str">
        <x:v>p&gt;0,05</x:v>
      </x:c>
      <x:c r="L10" s="121" t="str">
        <x:v>No cumple</x:v>
      </x:c>
      <x:c r="M10" s="121" t="str">
        <x:v>Colas extremas</x:v>
      </x:c>
      <x:c r="N10" s="121" t="str">
        <x:v>No basar conclusiones en normalidad</x:v>
      </x:c>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38" customHeight="1">
      <x:c r="A11" s="118" t="str">
        <x:v>Jarque-Bera</x:v>
      </x:c>
      <x:c r="B11" s="119" t="n">
        <x:v>20.967920365065147</x:v>
      </x:c>
      <x:c r="C11" s="119" t="n">
        <x:v>0.000027981690216367593</x:v>
      </x:c>
      <x:c r="D11" s="118" t="str">
        <x:v>Residuos no normales</x:v>
      </x:c>
      <x:c r="E11" s="1"/>
      <x:c r="F11" s="1"/>
      <x:c r="G11" s="1"/>
      <x:c r="H11" s="1"/>
      <x:c r="I11" s="1"/>
      <x:c r="J11" s="121" t="str">
        <x:v>Bounds</x:v>
      </x:c>
      <x:c r="K11" s="121" t="str">
        <x:v>p I(1)&lt;0,05</x:v>
      </x:c>
      <x:c r="L11" s="121" t="str">
        <x:v>No cumple</x:v>
      </x:c>
      <x:c r="M11" s="121" t="str">
        <x:v>Sin cointegración firme</x:v>
      </x:c>
      <x:c r="N11" s="121" t="str">
        <x:v>Usar diferencias como modelo principal</x:v>
      </x:c>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 t="str">
        <x:v>Ramsey RESET</x:v>
      </x:c>
      <x:c r="B12" s="55" t="n">
        <x:v>0.06965569706854342</x:v>
      </x:c>
      <x:c r="C12" s="55" t="n">
        <x:v>0.7920740423883201</x:v>
      </x:c>
      <x:c r="D12" s="1" t="str">
        <x:v>Sin evidencia de mala forma funcional</x:v>
      </x:c>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 t="str">
        <x:v>CUSUM estabilidad</x:v>
      </x:c>
      <x:c r="B13" s="55" t="n">
        <x:v>0.9157804260850073</x:v>
      </x:c>
      <x:c r="C13" s="55" t="n">
        <x:v>0.37131425024769465</x:v>
      </x:c>
      <x:c r="D13" s="1" t="str">
        <x:v>Sin inestabilidad detectada</x:v>
      </x:c>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ht="22" customHeight="1">
      <x:c r="A14" s="1" t="str">
        <x:v>Durbin-Watson</x:v>
      </x:c>
      <x:c r="B14" s="55" t="n">
        <x:v>1.9240784370936037</x:v>
      </x:c>
      <x:c r="C14" s="55"/>
      <x:c r="D14" s="1" t="str">
        <x:v>Cercano a 2</x:v>
      </x:c>
      <x:c r="E14" s="1"/>
      <x:c r="F14" s="1"/>
      <x:c r="G14" s="1"/>
      <x:c r="H14" s="1"/>
      <x:c r="I14" s="1"/>
      <x:c r="J14" s="47" t="str">
        <x:v>Diagnósticos del modelo ampliado</x:v>
      </x:c>
      <x:c r="K14" s="47" t="str">
        <x:v>Diagnósticos del modelo ampliado</x:v>
      </x:c>
      <x:c r="L14" s="47" t="str">
        <x:v>Diagnósticos del modelo ampliado</x:v>
      </x:c>
      <x:c r="M14" s="47" t="str">
        <x:v>Diagnósticos del modelo ampliado</x:v>
      </x:c>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
      <x:c r="B15" s="1"/>
      <x:c r="C15" s="1"/>
      <x:c r="D15" s="1"/>
      <x:c r="E15" s="1"/>
      <x:c r="F15" s="1"/>
      <x:c r="G15" s="1"/>
      <x:c r="H15" s="1"/>
      <x:c r="I15" s="1"/>
      <x:c r="J15" s="54" t="str">
        <x:v>Prueba</x:v>
      </x:c>
      <x:c r="K15" s="54" t="str">
        <x:v>Estadístico</x:v>
      </x:c>
      <x:c r="L15" s="54" t="str">
        <x:v>p-valor</x:v>
      </x:c>
      <x:c r="M15" s="54" t="str">
        <x:v>Lectura</x:v>
      </x:c>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x:c r="B16" s="1"/>
      <x:c r="C16" s="1"/>
      <x:c r="D16" s="1"/>
      <x:c r="E16" s="1"/>
      <x:c r="F16" s="1"/>
      <x:c r="G16" s="1"/>
      <x:c r="H16" s="1"/>
      <x:c r="I16" s="1"/>
      <x:c r="J16" s="1" t="str">
        <x:v>Ljung-Box (6)</x:v>
      </x:c>
      <x:c r="K16" s="55" t="n">
        <x:v>6.32586159580412</x:v>
      </x:c>
      <x:c r="L16" s="55" t="n">
        <x:v>0.38769384586586103</x:v>
      </x:c>
      <x:c r="M16" s="1" t="str">
        <x:v>Sin autocorrelación detectada</x:v>
      </x:c>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ht="22" customHeight="1">
      <x:c r="A17" s="47" t="str">
        <x:v>Pruebas de integración</x:v>
      </x:c>
      <x:c r="B17" s="47" t="str">
        <x:v>Pruebas de integración</x:v>
      </x:c>
      <x:c r="C17" s="47" t="str">
        <x:v>Pruebas de integración</x:v>
      </x:c>
      <x:c r="D17" s="47" t="str">
        <x:v>Pruebas de integración</x:v>
      </x:c>
      <x:c r="E17" s="47" t="str">
        <x:v>Pruebas de integración</x:v>
      </x:c>
      <x:c r="F17" s="47" t="str">
        <x:v>Pruebas de integración</x:v>
      </x:c>
      <x:c r="G17" s="47" t="str">
        <x:v>Pruebas de integración</x:v>
      </x:c>
      <x:c r="H17" s="47" t="str">
        <x:v>Pruebas de integración</x:v>
      </x:c>
      <x:c r="I17" s="1"/>
      <x:c r="J17" s="1" t="str">
        <x:v>Ljung-Box (12)</x:v>
      </x:c>
      <x:c r="K17" s="55" t="n">
        <x:v>9.551831505602339</x:v>
      </x:c>
      <x:c r="L17" s="55" t="n">
        <x:v>0.6552129042148429</x:v>
      </x:c>
      <x:c r="M17" s="1" t="str">
        <x:v>Sin autocorrelación detectada</x:v>
      </x:c>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54" t="str">
        <x:v>Variable</x:v>
      </x:c>
      <x:c r="B18" s="54" t="str">
        <x:v>Transformación</x:v>
      </x:c>
      <x:c r="C18" s="54" t="str">
        <x:v>n</x:v>
      </x:c>
      <x:c r="D18" s="54" t="str">
        <x:v>ADF</x:v>
      </x:c>
      <x:c r="E18" s="54" t="str">
        <x:v>p ADF</x:v>
      </x:c>
      <x:c r="F18" s="54" t="str">
        <x:v>Rezagos ADF</x:v>
      </x:c>
      <x:c r="G18" s="54" t="str">
        <x:v>KPSS</x:v>
      </x:c>
      <x:c r="H18" s="54" t="str">
        <x:v>p KPSS</x:v>
      </x:c>
      <x:c r="I18" s="1"/>
      <x:c r="J18" s="1" t="str">
        <x:v>Breusch-Godfrey (12)</x:v>
      </x:c>
      <x:c r="K18" s="55" t="n">
        <x:v>9.989322619488755</x:v>
      </x:c>
      <x:c r="L18" s="55" t="n">
        <x:v>0.6168974198797699</x:v>
      </x:c>
      <x:c r="M18" s="1" t="str">
        <x:v>Sin autocorrelación detectada</x:v>
      </x:c>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t="str">
        <x:v>ln_trm</x:v>
      </x:c>
      <x:c r="B19" s="1" t="str">
        <x:v>nivel</x:v>
      </x:c>
      <x:c r="C19" s="1" t="n">
        <x:v>244</x:v>
      </x:c>
      <x:c r="D19" s="55" t="n">
        <x:v>-0.9830678205378037</x:v>
      </x:c>
      <x:c r="E19" s="55" t="n">
        <x:v>0.7593897217357208</x:v>
      </x:c>
      <x:c r="F19" s="55" t="n">
        <x:v>1</x:v>
      </x:c>
      <x:c r="G19" s="55" t="n">
        <x:v>1.9742293566265932</x:v>
      </x:c>
      <x:c r="H19" s="55" t="n">
        <x:v>0.01</x:v>
      </x:c>
      <x:c r="I19" s="1"/>
      <x:c r="J19" s="118" t="str">
        <x:v>ARCH-LM (12)</x:v>
      </x:c>
      <x:c r="K19" s="119" t="n">
        <x:v>41.47537880462194</x:v>
      </x:c>
      <x:c r="L19" s="119" t="n">
        <x:v>0.0000407974722854756</x:v>
      </x:c>
      <x:c r="M19" s="118" t="str">
        <x:v>Volatilidad condicional pendiente</x:v>
      </x:c>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v>ln_trm</x:v>
      </x:c>
      <x:c r="B20" s="1" t="str">
        <x:v>primera_diferencia</x:v>
      </x:c>
      <x:c r="C20" s="1" t="n">
        <x:v>243</x:v>
      </x:c>
      <x:c r="D20" s="55" t="n">
        <x:v>-11.745300998776155</x:v>
      </x:c>
      <x:c r="E20" s="55" t="n">
        <x:v>1.2456149710377765e-21</x:v>
      </x:c>
      <x:c r="F20" s="55" t="n">
        <x:v>0</x:v>
      </x:c>
      <x:c r="G20" s="55" t="n">
        <x:v>0.129921498750035</x:v>
      </x:c>
      <x:c r="H20" s="55" t="n">
        <x:v>0.1</x:v>
      </x:c>
      <x:c r="I20" s="1"/>
      <x:c r="J20" s="118" t="str">
        <x:v>Jarque-Bera</x:v>
      </x:c>
      <x:c r="K20" s="119" t="n">
        <x:v>17.992309098258104</x:v>
      </x:c>
      <x:c r="L20" s="119" t="n">
        <x:v>0.00012388528405679128</x:v>
      </x:c>
      <x:c r="M20" s="118" t="str">
        <x:v>Residuos no normales</x:v>
      </x:c>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v>ln_brent</x:v>
      </x:c>
      <x:c r="B21" s="1" t="str">
        <x:v>nivel</x:v>
      </x:c>
      <x:c r="C21" s="1" t="n">
        <x:v>244</x:v>
      </x:c>
      <x:c r="D21" s="55" t="n">
        <x:v>-3.4858744433509514</x:v>
      </x:c>
      <x:c r="E21" s="55" t="n">
        <x:v>0.008357366092334135</x:v>
      </x:c>
      <x:c r="F21" s="55" t="n">
        <x:v>1</x:v>
      </x:c>
      <x:c r="G21" s="55" t="n">
        <x:v>0.23336123546258536</x:v>
      </x:c>
      <x:c r="H21" s="55" t="n">
        <x:v>0.1</x:v>
      </x:c>
      <x:c r="I21" s="1"/>
      <x:c r="J21" s="1" t="str">
        <x:v>Ramsey RESET</x:v>
      </x:c>
      <x:c r="K21" s="55" t="n">
        <x:v>0.05253080675132181</x:v>
      </x:c>
      <x:c r="L21" s="55" t="n">
        <x:v>0.8189247806488943</x:v>
      </x:c>
      <x:c r="M21" s="1" t="str">
        <x:v>Forma funcional aceptable</x:v>
      </x:c>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v>ln_brent</x:v>
      </x:c>
      <x:c r="B22" s="1" t="str">
        <x:v>primera_diferencia</x:v>
      </x:c>
      <x:c r="C22" s="1" t="n">
        <x:v>243</x:v>
      </x:c>
      <x:c r="D22" s="55" t="n">
        <x:v>-11.235073044096229</x:v>
      </x:c>
      <x:c r="E22" s="55" t="n">
        <x:v>1.8660765621639692e-20</x:v>
      </x:c>
      <x:c r="F22" s="55" t="n">
        <x:v>0</x:v>
      </x:c>
      <x:c r="G22" s="55" t="n">
        <x:v>0.046348440160746004</x:v>
      </x:c>
      <x:c r="H22" s="55" t="n">
        <x:v>0.1</x:v>
      </x:c>
      <x:c r="I22" s="1"/>
      <x:c r="J22" s="1" t="str">
        <x:v>CUSUM estabilidad</x:v>
      </x:c>
      <x:c r="K22" s="55" t="n">
        <x:v>0.8787617499259767</x:v>
      </x:c>
      <x:c r="L22" s="55" t="n">
        <x:v>0.4227125990263644</x:v>
      </x:c>
      <x:c r="M22" s="1" t="str">
        <x:v>Sin inestabilidad detectada</x:v>
      </x:c>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t="str">
        <x:v>ln_remesas_12m</x:v>
      </x:c>
      <x:c r="B23" s="1" t="str">
        <x:v>nivel</x:v>
      </x:c>
      <x:c r="C23" s="1" t="n">
        <x:v>244</x:v>
      </x:c>
      <x:c r="D23" s="55" t="n">
        <x:v>1.6448989717869995</x:v>
      </x:c>
      <x:c r="E23" s="55" t="n">
        <x:v>0.99798621626656</x:v>
      </x:c>
      <x:c r="F23" s="55" t="n">
        <x:v>13</x:v>
      </x:c>
      <x:c r="G23" s="55" t="n">
        <x:v>2.078890294373042</x:v>
      </x:c>
      <x:c r="H23" s="55" t="n">
        <x:v>0.01</x:v>
      </x:c>
      <x:c r="I23" s="1"/>
      <x:c r="J23" s="1" t="str">
        <x:v>Durbin-Watson</x:v>
      </x:c>
      <x:c r="K23" s="55" t="n">
        <x:v>1.7246650697071721</x:v>
      </x:c>
      <x:c r="L23" s="55"/>
      <x:c r="M23" s="1" t="str">
        <x:v>Cercano a 2</x:v>
      </x:c>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t="str">
        <x:v>ln_remesas_12m</x:v>
      </x:c>
      <x:c r="B24" s="1" t="str">
        <x:v>primera_diferencia</x:v>
      </x:c>
      <x:c r="C24" s="1" t="n">
        <x:v>243</x:v>
      </x:c>
      <x:c r="D24" s="55" t="n">
        <x:v>-4.631700848954859</x:v>
      </x:c>
      <x:c r="E24" s="55" t="n">
        <x:v>0.00011286285754458126</x:v>
      </x:c>
      <x:c r="F24" s="55" t="n">
        <x:v>2</x:v>
      </x:c>
      <x:c r="G24" s="55" t="n">
        <x:v>0.3213722223498939</x:v>
      </x:c>
      <x:c r="H24" s="55" t="n">
        <x:v>0.1</x:v>
      </x:c>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ht="36" customHeight="1">
      <x:c r="A25" s="1" t="str">
        <x:v>diferencial_tasas_pp</x:v>
      </x:c>
      <x:c r="B25" s="1" t="str">
        <x:v>nivel</x:v>
      </x:c>
      <x:c r="C25" s="1" t="n">
        <x:v>244</x:v>
      </x:c>
      <x:c r="D25" s="55" t="n">
        <x:v>-2.932782232352109</x:v>
      </x:c>
      <x:c r="E25" s="55" t="n">
        <x:v>0.041666525075246125</x:v>
      </x:c>
      <x:c r="F25" s="55" t="n">
        <x:v>4</x:v>
      </x:c>
      <x:c r="G25" s="55" t="n">
        <x:v>0.1499946175857981</x:v>
      </x:c>
      <x:c r="H25" s="55" t="n">
        <x:v>0.1</x:v>
      </x:c>
      <x:c r="I25" s="1"/>
      <x:c r="J25" s="107" t="str">
        <x:v>HAC protege la inferencia sobre la ecuación de media frente a heterocedasticidad y autocorrelación moderadas; no modela la dinámica de volatilidad detectada por ARCH-LM.</x:v>
      </x:c>
      <x:c r="K25" s="107" t="str">
        <x:v>HAC protege la inferencia sobre la ecuación de media frente a heterocedasticidad y autocorrelación moderadas; no modela la dinámica de volatilidad detectada por ARCH-LM.</x:v>
      </x:c>
      <x:c r="L25" s="107" t="str">
        <x:v>HAC protege la inferencia sobre la ecuación de media frente a heterocedasticidad y autocorrelación moderadas; no modela la dinámica de volatilidad detectada por ARCH-LM.</x:v>
      </x:c>
      <x:c r="M25" s="107" t="str">
        <x:v>HAC protege la inferencia sobre la ecuación de media frente a heterocedasticidad y autocorrelación moderadas; no modela la dinámica de volatilidad detectada por ARCH-LM.</x:v>
      </x:c>
      <x:c r="N25" s="107" t="str">
        <x:v>HAC protege la inferencia sobre la ecuación de media frente a heterocedasticidad y autocorrelación moderadas; no modela la dinámica de volatilidad detectada por ARCH-LM.</x:v>
      </x:c>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ht="36" customHeight="1">
      <x:c r="A26" s="1" t="str">
        <x:v>diferencial_tasas_pp</x:v>
      </x:c>
      <x:c r="B26" s="1" t="str">
        <x:v>primera_diferencia</x:v>
      </x:c>
      <x:c r="C26" s="1" t="n">
        <x:v>243</x:v>
      </x:c>
      <x:c r="D26" s="55" t="n">
        <x:v>-4.394716711033061</x:v>
      </x:c>
      <x:c r="E26" s="55" t="n">
        <x:v>0.00030328885120092374</x:v>
      </x:c>
      <x:c r="F26" s="55" t="n">
        <x:v>3</x:v>
      </x:c>
      <x:c r="G26" s="55" t="n">
        <x:v>0.058388526146108066</x:v>
      </x:c>
      <x:c r="H26" s="55" t="n">
        <x:v>0.1</x:v>
      </x:c>
      <x:c r="I26" s="1"/>
      <x:c r="J26" s="107" t="str">
        <x:v>HAC protege la inferencia sobre la ecuación de media frente a heterocedasticidad y autocorrelación moderadas; no modela la dinámica de volatilidad detectada por ARCH-LM.</x:v>
      </x:c>
      <x:c r="K26" s="107" t="str">
        <x:v>HAC protege la inferencia sobre la ecuación de media frente a heterocedasticidad y autocorrelación moderadas; no modela la dinámica de volatilidad detectada por ARCH-LM.</x:v>
      </x:c>
      <x:c r="L26" s="107" t="str">
        <x:v>HAC protege la inferencia sobre la ecuación de media frente a heterocedasticidad y autocorrelación moderadas; no modela la dinámica de volatilidad detectada por ARCH-LM.</x:v>
      </x:c>
      <x:c r="M26" s="107" t="str">
        <x:v>HAC protege la inferencia sobre la ecuación de media frente a heterocedasticidad y autocorrelación moderadas; no modela la dinámica de volatilidad detectada por ARCH-LM.</x:v>
      </x:c>
      <x:c r="N26" s="107" t="str">
        <x:v>HAC protege la inferencia sobre la ecuación de media frente a heterocedasticidad y autocorrelación moderadas; no modela la dinámica de volatilidad detectada por ARCH-LM.</x:v>
      </x:c>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ht="36" customHeight="1">
      <x:c r="A27" s="1" t="str">
        <x:v>deficit_fiscal_12m_pct_pib</x:v>
      </x:c>
      <x:c r="B27" s="1" t="str">
        <x:v>nivel</x:v>
      </x:c>
      <x:c r="C27" s="1" t="n">
        <x:v>244</x:v>
      </x:c>
      <x:c r="D27" s="55" t="n">
        <x:v>-1.955309330310248</x:v>
      </x:c>
      <x:c r="E27" s="55" t="n">
        <x:v>0.3065053946526129</x:v>
      </x:c>
      <x:c r="F27" s="55" t="n">
        <x:v>0</x:v>
      </x:c>
      <x:c r="G27" s="55" t="n">
        <x:v>1.3418922501227946</x:v>
      </x:c>
      <x:c r="H27" s="55" t="n">
        <x:v>0.01</x:v>
      </x:c>
      <x:c r="I27" s="1"/>
      <x:c r="J27" s="107" t="str">
        <x:v>HAC protege la inferencia sobre la ecuación de media frente a heterocedasticidad y autocorrelación moderadas; no modela la dinámica de volatilidad detectada por ARCH-LM.</x:v>
      </x:c>
      <x:c r="K27" s="107" t="str">
        <x:v>HAC protege la inferencia sobre la ecuación de media frente a heterocedasticidad y autocorrelación moderadas; no modela la dinámica de volatilidad detectada por ARCH-LM.</x:v>
      </x:c>
      <x:c r="L27" s="107" t="str">
        <x:v>HAC protege la inferencia sobre la ecuación de media frente a heterocedasticidad y autocorrelación moderadas; no modela la dinámica de volatilidad detectada por ARCH-LM.</x:v>
      </x:c>
      <x:c r="M27" s="107" t="str">
        <x:v>HAC protege la inferencia sobre la ecuación de media frente a heterocedasticidad y autocorrelación moderadas; no modela la dinámica de volatilidad detectada por ARCH-LM.</x:v>
      </x:c>
      <x:c r="N27" s="107" t="str">
        <x:v>HAC protege la inferencia sobre la ecuación de media frente a heterocedasticidad y autocorrelación moderadas; no modela la dinámica de volatilidad detectada por ARCH-LM.</x:v>
      </x:c>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t="str">
        <x:v>deficit_fiscal_12m_pct_pib</x:v>
      </x:c>
      <x:c r="B28" s="1" t="str">
        <x:v>primera_diferencia</x:v>
      </x:c>
      <x:c r="C28" s="1" t="n">
        <x:v>243</x:v>
      </x:c>
      <x:c r="D28" s="55" t="n">
        <x:v>-15.880955457887152</x:v>
      </x:c>
      <x:c r="E28" s="55" t="n">
        <x:v>8.759313860264154e-29</x:v>
      </x:c>
      <x:c r="F28" s="55" t="n">
        <x:v>0</x:v>
      </x:c>
      <x:c r="G28" s="55" t="n">
        <x:v>0.0525732780697349</x:v>
      </x:c>
      <x:c r="H28" s="55" t="n">
        <x:v>0.1</x:v>
      </x:c>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t="str">
        <x:v>ln_dolar_amplio</x:v>
      </x:c>
      <x:c r="B29" s="1" t="str">
        <x:v>nivel</x:v>
      </x:c>
      <x:c r="C29" s="1" t="n">
        <x:v>244</x:v>
      </x:c>
      <x:c r="D29" s="55" t="n">
        <x:v>-1.2000631753146107</x:v>
      </x:c>
      <x:c r="E29" s="55" t="n">
        <x:v>0.6735685349165561</x:v>
      </x:c>
      <x:c r="F29" s="55" t="n">
        <x:v>1</x:v>
      </x:c>
      <x:c r="G29" s="55" t="n">
        <x:v>1.9690196439627836</x:v>
      </x:c>
      <x:c r="H29" s="55" t="n">
        <x:v>0.01</x:v>
      </x:c>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t="str">
        <x:v>ln_dolar_amplio</x:v>
      </x:c>
      <x:c r="B30" s="1" t="str">
        <x:v>primera_diferencia</x:v>
      </x:c>
      <x:c r="C30" s="1" t="n">
        <x:v>243</x:v>
      </x:c>
      <x:c r="D30" s="55" t="n">
        <x:v>-10.166322841647677</x:v>
      </x:c>
      <x:c r="E30" s="55" t="n">
        <x:v>7.282951599038886e-18</x:v>
      </x:c>
      <x:c r="F30" s="55" t="n">
        <x:v>0</x:v>
      </x:c>
      <x:c r="G30" s="55" t="n">
        <x:v>0.09611315770471171</x:v>
      </x:c>
      <x:c r="H30" s="55" t="n">
        <x:v>0.1</x:v>
      </x:c>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t="str">
        <x:v>ln_vix</x:v>
      </x:c>
      <x:c r="B31" s="1" t="str">
        <x:v>nivel</x:v>
      </x:c>
      <x:c r="C31" s="1" t="n">
        <x:v>244</x:v>
      </x:c>
      <x:c r="D31" s="55" t="n">
        <x:v>-4.478194746429898</x:v>
      </x:c>
      <x:c r="E31" s="55" t="n">
        <x:v>0.00021527036972252152</x:v>
      </x:c>
      <x:c r="F31" s="55" t="n">
        <x:v>0</x:v>
      </x:c>
      <x:c r="G31" s="55" t="n">
        <x:v>0.17200899474705167</x:v>
      </x:c>
      <x:c r="H31" s="55" t="n">
        <x:v>0.1</x:v>
      </x:c>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t="str">
        <x:v>ln_vix</x:v>
      </x:c>
      <x:c r="B32" s="1" t="str">
        <x:v>primera_diferencia</x:v>
      </x:c>
      <x:c r="C32" s="1" t="n">
        <x:v>243</x:v>
      </x:c>
      <x:c r="D32" s="55" t="n">
        <x:v>-12.989838432765252</x:v>
      </x:c>
      <x:c r="E32" s="55" t="n">
        <x:v>2.8276229018666793e-24</x:v>
      </x:c>
      <x:c r="F32" s="55" t="n">
        <x:v>1</x:v>
      </x:c>
      <x:c r="G32" s="55" t="n">
        <x:v>0.05050536286365415</x:v>
      </x:c>
      <x:c r="H32" s="55" t="n">
        <x:v>0.1</x:v>
      </x:c>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t="str">
        <x:v>spread_tes_ust_10y_pp</x:v>
      </x:c>
      <x:c r="B33" s="1" t="str">
        <x:v>nivel</x:v>
      </x:c>
      <x:c r="C33" s="1" t="n">
        <x:v>244</x:v>
      </x:c>
      <x:c r="D33" s="55" t="n">
        <x:v>-1.814217539438637</x:v>
      </x:c>
      <x:c r="E33" s="55" t="n">
        <x:v>0.3734262744830804</x:v>
      </x:c>
      <x:c r="F33" s="55" t="n">
        <x:v>0</x:v>
      </x:c>
      <x:c r="G33" s="55" t="n">
        <x:v>0.6124383365425184</x:v>
      </x:c>
      <x:c r="H33" s="55" t="n">
        <x:v>0.021505605768861957</x:v>
      </x:c>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t="str">
        <x:v>spread_tes_ust_10y_pp</x:v>
      </x:c>
      <x:c r="B34" s="1" t="str">
        <x:v>primera_diferencia</x:v>
      </x:c>
      <x:c r="C34" s="1" t="n">
        <x:v>243</x:v>
      </x:c>
      <x:c r="D34" s="55" t="n">
        <x:v>-14.146628078739733</x:v>
      </x:c>
      <x:c r="E34" s="55" t="n">
        <x:v>2.198394312985563e-26</x:v>
      </x:c>
      <x:c r="F34" s="55" t="n">
        <x:v>0</x:v>
      </x:c>
      <x:c r="G34" s="55" t="n">
        <x:v>0.07026688974855921</x:v>
      </x:c>
      <x:c r="H34" s="55" t="n">
        <x:v>0.1</x:v>
      </x:c>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t="str">
        <x:v>ln_reservas_netas_sin_flar</x:v>
      </x:c>
      <x:c r="B35" s="1" t="str">
        <x:v>nivel</x:v>
      </x:c>
      <x:c r="C35" s="1" t="n">
        <x:v>244</x:v>
      </x:c>
      <x:c r="D35" s="55" t="n">
        <x:v>-3.2754732455295215</x:v>
      </x:c>
      <x:c r="E35" s="55" t="n">
        <x:v>0.016011057117075313</x:v>
      </x:c>
      <x:c r="F35" s="55" t="n">
        <x:v>1</x:v>
      </x:c>
      <x:c r="G35" s="55" t="n">
        <x:v>2.103662394457461</x:v>
      </x:c>
      <x:c r="H35" s="55" t="n">
        <x:v>0.01</x:v>
      </x:c>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t="str">
        <x:v>ln_reservas_netas_sin_flar</x:v>
      </x:c>
      <x:c r="B36" s="1" t="str">
        <x:v>primera_diferencia</x:v>
      </x:c>
      <x:c r="C36" s="1" t="n">
        <x:v>243</x:v>
      </x:c>
      <x:c r="D36" s="55" t="n">
        <x:v>-10.038389577273737</x:v>
      </x:c>
      <x:c r="E36" s="55" t="n">
        <x:v>1.5190819173480342e-17</x:v>
      </x:c>
      <x:c r="F36" s="55" t="n">
        <x:v>0</x:v>
      </x:c>
      <x:c r="G36" s="55" t="n">
        <x:v>0.8278384681596641</x:v>
      </x:c>
      <x:c r="H36" s="55" t="n">
        <x:v>0.01</x:v>
      </x:c>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t="str">
        <x:v>asinh_balanza_comercial</x:v>
      </x:c>
      <x:c r="B37" s="1" t="str">
        <x:v>nivel</x:v>
      </x:c>
      <x:c r="C37" s="1" t="n">
        <x:v>244</x:v>
      </x:c>
      <x:c r="D37" s="55" t="n">
        <x:v>-0.826333786735681</x:v>
      </x:c>
      <x:c r="E37" s="55" t="n">
        <x:v>0.811264081613728</x:v>
      </x:c>
      <x:c r="F37" s="55" t="n">
        <x:v>4</x:v>
      </x:c>
      <x:c r="G37" s="55" t="n">
        <x:v>2.029481510290614</x:v>
      </x:c>
      <x:c r="H37" s="55" t="n">
        <x:v>0.01</x:v>
      </x:c>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t="str">
        <x:v>asinh_balanza_comercial</x:v>
      </x:c>
      <x:c r="B38" s="1" t="str">
        <x:v>primera_diferencia</x:v>
      </x:c>
      <x:c r="C38" s="1" t="n">
        <x:v>243</x:v>
      </x:c>
      <x:c r="D38" s="55" t="n">
        <x:v>-12.236672338157181</x:v>
      </x:c>
      <x:c r="E38" s="55" t="n">
        <x:v>1.0244088265453673e-22</x:v>
      </x:c>
      <x:c r="F38" s="55" t="n">
        <x:v>3</x:v>
      </x:c>
      <x:c r="G38" s="55" t="n">
        <x:v>0.13831430190768174</x:v>
      </x:c>
      <x:c r="H38" s="55" t="n">
        <x:v>0.1</x:v>
      </x:c>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t="str">
        <x:v>asinh_flujos_capital</x:v>
      </x:c>
      <x:c r="B39" s="1" t="str">
        <x:v>nivel</x:v>
      </x:c>
      <x:c r="C39" s="1" t="n">
        <x:v>244</x:v>
      </x:c>
      <x:c r="D39" s="55" t="n">
        <x:v>-0.5111787624352627</x:v>
      </x:c>
      <x:c r="E39" s="55" t="n">
        <x:v>0.8898165130942963</x:v>
      </x:c>
      <x:c r="F39" s="55" t="n">
        <x:v>5</x:v>
      </x:c>
      <x:c r="G39" s="55" t="n">
        <x:v>2.180823721122012</x:v>
      </x:c>
      <x:c r="H39" s="55" t="n">
        <x:v>0.01</x:v>
      </x:c>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t="str">
        <x:v>asinh_flujos_capital</x:v>
      </x:c>
      <x:c r="B40" s="1" t="str">
        <x:v>primera_diferencia</x:v>
      </x:c>
      <x:c r="C40" s="1" t="n">
        <x:v>243</x:v>
      </x:c>
      <x:c r="D40" s="55" t="n">
        <x:v>-11.989406812348331</x:v>
      </x:c>
      <x:c r="E40" s="55" t="n">
        <x:v>3.5499930862600525e-22</x:v>
      </x:c>
      <x:c r="F40" s="55" t="n">
        <x:v>4</x:v>
      </x:c>
      <x:c r="G40" s="55" t="n">
        <x:v>0.5000000000000011</x:v>
      </x:c>
      <x:c r="H40" s="55" t="n">
        <x:v>0.04166666666666642</x:v>
      </x:c>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t="str">
        <x:v>diferencial_inflacion_pp</x:v>
      </x:c>
      <x:c r="B41" s="1" t="str">
        <x:v>nivel</x:v>
      </x:c>
      <x:c r="C41" s="1" t="n">
        <x:v>244</x:v>
      </x:c>
      <x:c r="D41" s="55" t="n">
        <x:v>-3.1987290336371244</x:v>
      </x:c>
      <x:c r="E41" s="55" t="n">
        <x:v>0.020058365713212317</x:v>
      </x:c>
      <x:c r="F41" s="55" t="n">
        <x:v>1</x:v>
      </x:c>
      <x:c r="G41" s="55" t="n">
        <x:v>0.11628381187772924</x:v>
      </x:c>
      <x:c r="H41" s="55" t="n">
        <x:v>0.1</x:v>
      </x:c>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t="str">
        <x:v>diferencial_inflacion_pp</x:v>
      </x:c>
      <x:c r="B42" s="1" t="str">
        <x:v>primera_diferencia</x:v>
      </x:c>
      <x:c r="C42" s="1" t="n">
        <x:v>243</x:v>
      </x:c>
      <x:c r="D42" s="55" t="n">
        <x:v>-5.204659889236486</x:v>
      </x:c>
      <x:c r="E42" s="55" t="n">
        <x:v>0.000008601517614479549</x:v>
      </x:c>
      <x:c r="F42" s="55" t="n">
        <x:v>12</x:v>
      </x:c>
      <x:c r="G42" s="55" t="n">
        <x:v>0.03984720139519228</x:v>
      </x:c>
      <x:c r="H42" s="55" t="n">
        <x:v>0.1</x:v>
      </x:c>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N1"/>
    <x:mergeCell ref="A2:N3"/>
    <x:mergeCell ref="A5:D5"/>
    <x:mergeCell ref="F5:I5"/>
    <x:mergeCell ref="A17:H17"/>
    <x:mergeCell ref="J5:N5"/>
    <x:mergeCell ref="J14:M14"/>
    <x:mergeCell ref="J25:N27"/>
  </x:mergeCells>
  <x:pageMargins left="0.7" right="0.7" top="0.75" bottom="0.75" header="0.3" footer="0.3"/>
  <x:tableParts count="4">
    <x:tablePart xmlns:r="http://schemas.openxmlformats.org/officeDocument/2006/relationships" r:id="R7e21b1e47e4a411c"/>
    <x:tablePart xmlns:r="http://schemas.openxmlformats.org/officeDocument/2006/relationships" r:id="Rd268e953880a4778"/>
    <x:tablePart xmlns:r="http://schemas.openxmlformats.org/officeDocument/2006/relationships" r:id="R1e9fb52d38cb41aa"/>
    <x:tablePart xmlns:r="http://schemas.openxmlformats.org/officeDocument/2006/relationships" r:id="R630845d124e64a7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16" hidden="0" customWidth="1"/>
    <x:col min="4" max="4" width="21" hidden="0" customWidth="1"/>
    <x:col min="5" max="5" width="21" hidden="0" customWidth="1"/>
    <x:col min="6" max="6" width="21" hidden="0" customWidth="1"/>
    <x:col min="7" max="7" width="21" hidden="0" customWidth="1"/>
    <x:col min="8" max="8" width="31" hidden="0" customWidth="1"/>
    <x:col min="9" max="9" width="31" hidden="0" customWidth="1"/>
  </x:cols>
  <x:sheetData>
    <x:row r="1" ht="30" customHeight="1">
      <x:c r="A1" s="4" t="str">
        <x:v>Mapa de variables: núcleo y extensiones</x:v>
      </x:c>
      <x:c r="B1" s="4" t="str">
        <x:v>Mapa de variables: núcleo y extensiones</x:v>
      </x:c>
      <x:c r="C1" s="4" t="str">
        <x:v>Mapa de variables: núcleo y extensiones</x:v>
      </x:c>
      <x:c r="D1" s="4" t="str">
        <x:v>Mapa de variables: núcleo y extensiones</x:v>
      </x:c>
      <x:c r="E1" s="4" t="str">
        <x:v>Mapa de variables: núcleo y extensiones</x:v>
      </x:c>
      <x:c r="F1" s="4" t="str">
        <x:v>Mapa de variables: núcleo y extensiones</x:v>
      </x:c>
      <x:c r="G1" s="4" t="str">
        <x:v>Mapa de variables: núcleo y extensiones</x:v>
      </x:c>
      <x:c r="H1" s="4" t="str">
        <x:v>Mapa de variables: núcleo y extensiones</x:v>
      </x:c>
      <x:c r="I1" s="4" t="str">
        <x:v>Mapa de variables: núcleo y extensiones</x:v>
      </x:c>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El modelo principal conserva el núcleo parsimonioso; el ampliado integra seis canales adicionales. La comparación y los pesos Shapley permiten evaluar cuánto añaden sin confundir asociación con causalidad.</x:v>
      </x:c>
      <x:c r="B2" s="7" t="str">
        <x:v>El modelo principal conserva el núcleo parsimonioso; el ampliado integra seis canales adicionales. La comparación y los pesos Shapley permiten evaluar cuánto añaden sin confundir asociación con causalidad.</x:v>
      </x:c>
      <x:c r="C2" s="7" t="str">
        <x:v>El modelo principal conserva el núcleo parsimonioso; el ampliado integra seis canales adicionales. La comparación y los pesos Shapley permiten evaluar cuánto añaden sin confundir asociación con causalidad.</x:v>
      </x:c>
      <x:c r="D2" s="7" t="str">
        <x:v>El modelo principal conserva el núcleo parsimonioso; el ampliado integra seis canales adicionales. La comparación y los pesos Shapley permiten evaluar cuánto añaden sin confundir asociación con causalidad.</x:v>
      </x:c>
      <x:c r="E2" s="7" t="str">
        <x:v>El modelo principal conserva el núcleo parsimonioso; el ampliado integra seis canales adicionales. La comparación y los pesos Shapley permiten evaluar cuánto añaden sin confundir asociación con causalidad.</x:v>
      </x:c>
      <x:c r="F2" s="7" t="str">
        <x:v>El modelo principal conserva el núcleo parsimonioso; el ampliado integra seis canales adicionales. La comparación y los pesos Shapley permiten evaluar cuánto añaden sin confundir asociación con causalidad.</x:v>
      </x:c>
      <x:c r="G2" s="7" t="str">
        <x:v>El modelo principal conserva el núcleo parsimonioso; el ampliado integra seis canales adicionales. La comparación y los pesos Shapley permiten evaluar cuánto añaden sin confundir asociación con causalidad.</x:v>
      </x:c>
      <x:c r="H2" s="7" t="str">
        <x:v>El modelo principal conserva el núcleo parsimonioso; el ampliado integra seis canales adicionales. La comparación y los pesos Shapley permiten evaluar cuánto añaden sin confundir asociación con causalidad.</x:v>
      </x:c>
      <x:c r="I2" s="7" t="str">
        <x:v>El modelo principal conserva el núcleo parsimonioso; el ampliado integra seis canales adicionales. La comparación y los pesos Shapley permiten evaluar cuánto añaden sin confundir asociación con causalidad.</x:v>
      </x:c>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El modelo principal conserva el núcleo parsimonioso; el ampliado integra seis canales adicionales. La comparación y los pesos Shapley permiten evaluar cuánto añaden sin confundir asociación con causalidad.</x:v>
      </x:c>
      <x:c r="B3" s="7" t="str">
        <x:v>El modelo principal conserva el núcleo parsimonioso; el ampliado integra seis canales adicionales. La comparación y los pesos Shapley permiten evaluar cuánto añaden sin confundir asociación con causalidad.</x:v>
      </x:c>
      <x:c r="C3" s="7" t="str">
        <x:v>El modelo principal conserva el núcleo parsimonioso; el ampliado integra seis canales adicionales. La comparación y los pesos Shapley permiten evaluar cuánto añaden sin confundir asociación con causalidad.</x:v>
      </x:c>
      <x:c r="D3" s="7" t="str">
        <x:v>El modelo principal conserva el núcleo parsimonioso; el ampliado integra seis canales adicionales. La comparación y los pesos Shapley permiten evaluar cuánto añaden sin confundir asociación con causalidad.</x:v>
      </x:c>
      <x:c r="E3" s="7" t="str">
        <x:v>El modelo principal conserva el núcleo parsimonioso; el ampliado integra seis canales adicionales. La comparación y los pesos Shapley permiten evaluar cuánto añaden sin confundir asociación con causalidad.</x:v>
      </x:c>
      <x:c r="F3" s="7" t="str">
        <x:v>El modelo principal conserva el núcleo parsimonioso; el ampliado integra seis canales adicionales. La comparación y los pesos Shapley permiten evaluar cuánto añaden sin confundir asociación con causalidad.</x:v>
      </x:c>
      <x:c r="G3" s="7" t="str">
        <x:v>El modelo principal conserva el núcleo parsimonioso; el ampliado integra seis canales adicionales. La comparación y los pesos Shapley permiten evaluar cuánto añaden sin confundir asociación con causalidad.</x:v>
      </x:c>
      <x:c r="H3" s="7" t="str">
        <x:v>El modelo principal conserva el núcleo parsimonioso; el ampliado integra seis canales adicionales. La comparación y los pesos Shapley permiten evaluar cuánto añaden sin confundir asociación con causalidad.</x:v>
      </x:c>
      <x:c r="I3" s="7" t="str">
        <x:v>El modelo principal conserva el núcleo parsimonioso; el ampliado integra seis canales adicionales. La comparación y los pesos Shapley permiten evaluar cuánto añaden sin confundir asociación con causalidad.</x:v>
      </x:c>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ht="40" customHeight="1">
      <x:c r="A5" s="54" t="str">
        <x:v>Bloque</x:v>
      </x:c>
      <x:c r="B5" s="54" t="str">
        <x:v>Variable</x:v>
      </x:c>
      <x:c r="C5" s="54" t="str">
        <x:v>Estatus</x:v>
      </x:c>
      <x:c r="D5" s="54" t="str">
        <x:v>Proxy/medición</x:v>
      </x:c>
      <x:c r="E5" s="54" t="str">
        <x:v>Transformación</x:v>
      </x:c>
      <x:c r="F5" s="54" t="str">
        <x:v>Signo sobre COP/USD</x:v>
      </x:c>
      <x:c r="G5" s="54" t="str">
        <x:v>Canal</x:v>
      </x:c>
      <x:c r="H5" s="54" t="str">
        <x:v>Justificación</x:v>
      </x:c>
      <x:c r="I5" s="54" t="str">
        <x:v>Cautela</x:v>
      </x:c>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ht="38" customHeight="1">
      <x:c r="A6" s="56" t="str">
        <x:v>Objetivo</x:v>
      </x:c>
      <x:c r="B6" s="56" t="str">
        <x:v>TRM promedio mensual</x:v>
      </x:c>
      <x:c r="C6" s="122" t="str">
        <x:v>Modelo principal</x:v>
      </x:c>
      <x:c r="D6" s="56" t="str">
        <x:v>COP por USD</x:v>
      </x:c>
      <x:c r="E6" s="56" t="str">
        <x:v>Δln</x:v>
      </x:c>
      <x:c r="F6" s="56" t="str">
        <x:v>+ = depreciación</x:v>
      </x:c>
      <x:c r="G6" s="56" t="str">
        <x:v>Variable dependiente</x:v>
      </x:c>
      <x:c r="H6" s="56" t="str">
        <x:v>Precio del dólar en Colombia</x:v>
      </x:c>
      <x:c r="I6" s="56" t="str">
        <x:v>Promedios mensuales ocultan movimientos diarios</x:v>
      </x:c>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ht="38" customHeight="1">
      <x:c r="A7" s="56" t="str">
        <x:v>Commodities</x:v>
      </x:c>
      <x:c r="B7" s="56" t="str">
        <x:v>Brent</x:v>
      </x:c>
      <x:c r="C7" s="122" t="str">
        <x:v>Modelo principal</x:v>
      </x:c>
      <x:c r="D7" s="56" t="str">
        <x:v>USD/barril</x:v>
      </x:c>
      <x:c r="E7" s="56" t="str">
        <x:v>Δln contemporáneo</x:v>
      </x:c>
      <x:c r="F7" s="56" t="str">
        <x:v>−</x:v>
      </x:c>
      <x:c r="G7" s="56" t="str">
        <x:v>Ingreso externo</x:v>
      </x:c>
      <x:c r="H7" s="56" t="str">
        <x:v>Exportaciones, IED e ingresos fiscales</x:v>
      </x:c>
      <x:c r="I7" s="56" t="str">
        <x:v>No acompañar con términos de intercambio en el núcleo</x:v>
      </x:c>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ht="38" customHeight="1">
      <x:c r="A8" s="56" t="str">
        <x:v>Divisas</x:v>
      </x:c>
      <x:c r="B8" s="56" t="str">
        <x:v>Remesas recibidas</x:v>
      </x:c>
      <x:c r="C8" s="122" t="str">
        <x:v>Modelo principal</x:v>
      </x:c>
      <x:c r="D8" s="56" t="str">
        <x:v>Acumulado 12m en USD</x:v>
      </x:c>
      <x:c r="E8" s="56" t="str">
        <x:v>Δln, rezago 1</x:v>
      </x:c>
      <x:c r="F8" s="56" t="str">
        <x:v>− esperado</x:v>
      </x:c>
      <x:c r="G8" s="56" t="str">
        <x:v>Oferta de divisas</x:v>
      </x:c>
      <x:c r="H8" s="56" t="str">
        <x:v>Flujo estable de dólares</x:v>
      </x:c>
      <x:c r="I8" s="56" t="str">
        <x:v>Puede responder a la propia depreciación</x:v>
      </x:c>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ht="38" customHeight="1">
      <x:c r="A9" s="56" t="str">
        <x:v>Monetario</x:v>
      </x:c>
      <x:c r="B9" s="56" t="str">
        <x:v>Diferencial tasas CO−EE. UU.</x:v>
      </x:c>
      <x:c r="C9" s="122" t="str">
        <x:v>Modelo principal</x:v>
      </x:c>
      <x:c r="D9" s="56" t="str">
        <x:v>Tasa política − Fed funds</x:v>
      </x:c>
      <x:c r="E9" s="56" t="str">
        <x:v>Δ pp, rezago 1</x:v>
      </x:c>
      <x:c r="F9" s="56" t="str">
        <x:v>−</x:v>
      </x:c>
      <x:c r="G9" s="56" t="str">
        <x:v>Retorno relativo</x:v>
      </x:c>
      <x:c r="H9" s="56" t="str">
        <x:v>Carry e ingreso de capital</x:v>
      </x:c>
      <x:c r="I9" s="56" t="str">
        <x:v>Tasas nominales; endógenas a inflación y TRM</x:v>
      </x:c>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ht="38" customHeight="1">
      <x:c r="A10" s="56" t="str">
        <x:v>Fiscal</x:v>
      </x:c>
      <x:c r="B10" s="56" t="str">
        <x:v>Déficit GNC</x:v>
      </x:c>
      <x:c r="C10" s="122" t="str">
        <x:v>Modelo principal</x:v>
      </x:c>
      <x:c r="D10" s="56" t="str">
        <x:v>Acumulado 12m / PIB</x:v>
      </x:c>
      <x:c r="E10" s="56" t="str">
        <x:v>Δ pp, rezago 1</x:v>
      </x:c>
      <x:c r="F10" s="56" t="str">
        <x:v>+</x:v>
      </x:c>
      <x:c r="G10" s="56" t="str">
        <x:v>Riesgo fiscal</x:v>
      </x:c>
      <x:c r="H10" s="56" t="str">
        <x:v>Financiación y prima de riesgo</x:v>
      </x:c>
      <x:c r="I10" s="56" t="str">
        <x:v>Dato observado no es un shock fiscal exógeno</x:v>
      </x:c>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38" customHeight="1">
      <x:c r="A11" s="56" t="str">
        <x:v>Global</x:v>
      </x:c>
      <x:c r="B11" s="56" t="str">
        <x:v>Índice amplio del dólar</x:v>
      </x:c>
      <x:c r="C11" s="122" t="str">
        <x:v>Modelo principal</x:v>
      </x:c>
      <x:c r="D11" s="56" t="str">
        <x:v>Fed DTWEXBGS</x:v>
      </x:c>
      <x:c r="E11" s="56" t="str">
        <x:v>Δln contemporáneo</x:v>
      </x:c>
      <x:c r="F11" s="56" t="str">
        <x:v>+</x:v>
      </x:c>
      <x:c r="G11" s="56" t="str">
        <x:v>Fortaleza global USD</x:v>
      </x:c>
      <x:c r="H11" s="56" t="str">
        <x:v>Factor global común</x:v>
      </x:c>
      <x:c r="I11" s="56" t="str">
        <x:v>No es el DXY comercial de ICE</x:v>
      </x:c>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ht="38" customHeight="1">
      <x:c r="A12" s="56" t="str">
        <x:v>Global</x:v>
      </x:c>
      <x:c r="B12" s="56" t="str">
        <x:v>VIX</x:v>
      </x:c>
      <x:c r="C12" s="122" t="str">
        <x:v>Modelo principal</x:v>
      </x:c>
      <x:c r="D12" s="56" t="str">
        <x:v>Promedio mensual</x:v>
      </x:c>
      <x:c r="E12" s="56" t="str">
        <x:v>Δln contemporáneo</x:v>
      </x:c>
      <x:c r="F12" s="56" t="str">
        <x:v>+</x:v>
      </x:c>
      <x:c r="G12" s="56" t="str">
        <x:v>Aversión al riesgo</x:v>
      </x:c>
      <x:c r="H12" s="56" t="str">
        <x:v>Risk-off y salida de emergentes</x:v>
      </x:c>
      <x:c r="I12" s="56" t="str">
        <x:v>Correlacionado con dólar global</x:v>
      </x:c>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ht="38" customHeight="1">
      <x:c r="A13" s="56" t="str">
        <x:v>Externo</x:v>
      </x:c>
      <x:c r="B13" s="56" t="str">
        <x:v>Términos de intercambio</x:v>
      </x:c>
      <x:c r="C13" s="6" t="str">
        <x:v>Robustez alta</x:v>
      </x:c>
      <x:c r="D13" s="56" t="str">
        <x:v>BanRep 15360</x:v>
      </x:c>
      <x:c r="E13" s="56" t="str">
        <x:v>Δln</x:v>
      </x:c>
      <x:c r="F13" s="56" t="str">
        <x:v>−</x:v>
      </x:c>
      <x:c r="G13" s="56" t="str">
        <x:v>Poder de compra externo</x:v>
      </x:c>
      <x:c r="H13" s="56" t="str">
        <x:v>Incluye más exportaciones que petróleo</x:v>
      </x:c>
      <x:c r="I13" s="56" t="str">
        <x:v>Sustituir a Brent, no sumarlo automáticamente</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ht="38" customHeight="1">
      <x:c r="A14" s="56" t="str">
        <x:v>Riesgo</x:v>
      </x:c>
      <x:c r="B14" s="56" t="str">
        <x:v>Spread TES−UST a 10 años</x:v>
      </x:c>
      <x:c r="C14" s="6" t="str">
        <x:v>Modelo ampliado</x:v>
      </x:c>
      <x:c r="D14" s="56" t="str">
        <x:v>BanRep 15274 − FRED DGS10</x:v>
      </x:c>
      <x:c r="E14" s="56" t="str">
        <x:v>Δ pp, contemporáneo</x:v>
      </x:c>
      <x:c r="F14" s="56" t="str">
        <x:v>+</x:v>
      </x:c>
      <x:c r="G14" s="56" t="str">
        <x:v>Prima local amplia</x:v>
      </x:c>
      <x:c r="H14" s="56" t="str">
        <x:v>Prima exigida a activos colombianos</x:v>
      </x:c>
      <x:c r="I14" s="56" t="str">
        <x:v>Combina riesgo país, duración y expectativas de tasas</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ht="38" customHeight="1">
      <x:c r="A15" s="56" t="str">
        <x:v>Reservas</x:v>
      </x:c>
      <x:c r="B15" s="56" t="str">
        <x:v>Reservas internacionales netas sin FLAR</x:v>
      </x:c>
      <x:c r="C15" s="6" t="str">
        <x:v>Modelo ampliado</x:v>
      </x:c>
      <x:c r="D15" s="56" t="str">
        <x:v>BanRep 15053</x:v>
      </x:c>
      <x:c r="E15" s="56" t="str">
        <x:v>Δln, rezago 1</x:v>
      </x:c>
      <x:c r="F15" s="56" t="str">
        <x:v>−</x:v>
      </x:c>
      <x:c r="G15" s="56" t="str">
        <x:v>Colchón externo</x:v>
      </x:c>
      <x:c r="H15" s="56" t="str">
        <x:v>Capacidad de intervención y liquidez</x:v>
      </x:c>
      <x:c r="I15" s="56" t="str">
        <x:v>La acumulación de reservas puede responder a la TRM</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ht="38" customHeight="1">
      <x:c r="A16" s="56" t="str">
        <x:v>Comercio</x:v>
      </x:c>
      <x:c r="B16" s="56" t="str">
        <x:v>Balanza comercial cambiaria</x:v>
      </x:c>
      <x:c r="C16" s="6" t="str">
        <x:v>Modelo ampliado</x:v>
      </x:c>
      <x:c r="D16" s="56" t="str">
        <x:v>BanRep 16702</x:v>
      </x:c>
      <x:c r="E16" s="56" t="str">
        <x:v>Δ asinh, rezago 1</x:v>
      </x:c>
      <x:c r="F16" s="56" t="str">
        <x:v>−</x:v>
      </x:c>
      <x:c r="G16" s="56" t="str">
        <x:v>Oferta neta de divisas</x:v>
      </x:c>
      <x:c r="H16" s="56" t="str">
        <x:v>Exportaciones menos importaciones canalizadas</x:v>
      </x:c>
      <x:c r="I16" s="56" t="str">
        <x:v>Es simultánea con la depreciación</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ht="38" customHeight="1">
      <x:c r="A17" s="56" t="str">
        <x:v>Precios</x:v>
      </x:c>
      <x:c r="B17" s="56" t="str">
        <x:v>Inflación observada CO−EE. UU.</x:v>
      </x:c>
      <x:c r="C17" s="6" t="str">
        <x:v>Modelo ampliado</x:v>
      </x:c>
      <x:c r="D17" s="56" t="str">
        <x:v>BanRep 15000 − FRED CPIAUCNS</x:v>
      </x:c>
      <x:c r="E17" s="56" t="str">
        <x:v>Diferencial interanual, rezago 1</x:v>
      </x:c>
      <x:c r="F17" s="56" t="str">
        <x:v>+</x:v>
      </x:c>
      <x:c r="G17" s="56" t="str">
        <x:v>Paridad de poder de compra</x:v>
      </x:c>
      <x:c r="H17" s="56" t="str">
        <x:v>Presiones relativas de precios</x:v>
      </x:c>
      <x:c r="I17" s="56" t="str">
        <x:v>Proxy observada, no expectativa de inflación</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ht="38" customHeight="1">
      <x:c r="A18" s="56" t="str">
        <x:v>Mercado</x:v>
      </x:c>
      <x:c r="B18" s="56" t="str">
        <x:v>Monedas regionales</x:v>
      </x:c>
      <x:c r="C18" s="6" t="str">
        <x:v>Modelo ampliado</x:v>
      </x:c>
      <x:c r="D18" s="56" t="str">
        <x:v>BRL, CLP y MXN por USD</x:v>
      </x:c>
      <x:c r="E18" s="56" t="str">
        <x:v>Promedio igual de z(Δln), base 2006–2019</x:v>
      </x:c>
      <x:c r="F18" s="56" t="str">
        <x:v>+</x:v>
      </x:c>
      <x:c r="G18" s="56" t="str">
        <x:v>Contagio regional</x:v>
      </x:c>
      <x:c r="H18" s="56" t="str">
        <x:v>Captura shocks latinoamericanos comunes</x:v>
      </x:c>
      <x:c r="I18" s="56" t="str">
        <x:v>Comparte información con VIX y dólar global</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ht="38" customHeight="1">
      <x:c r="A19" s="56" t="str">
        <x:v>Flujos</x:v>
      </x:c>
      <x:c r="B19" s="56" t="str">
        <x:v>Flujo neto total de capital</x:v>
      </x:c>
      <x:c r="C19" s="6" t="str">
        <x:v>Modelo ampliado</x:v>
      </x:c>
      <x:c r="D19" s="56" t="str">
        <x:v>BanRep 16706</x:v>
      </x:c>
      <x:c r="E19" s="56" t="str">
        <x:v>Δ asinh, rezago 1</x:v>
      </x:c>
      <x:c r="F19" s="56" t="str">
        <x:v>−</x:v>
      </x:c>
      <x:c r="G19" s="56" t="str">
        <x:v>Demanda de activos COP</x:v>
      </x:c>
      <x:c r="H19" s="56" t="str">
        <x:v>Resume entradas y salidas de capital</x:v>
      </x:c>
      <x:c r="I19" s="56" t="str">
        <x:v>Altamente endógeno y volátil</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ht="38" customHeight="1">
      <x:c r="A20" s="56" t="str">
        <x:v>Riesgo</x:v>
      </x:c>
      <x:c r="B20" s="56" t="str">
        <x:v>EMBI/CDS Colombia</x:v>
      </x:c>
      <x:c r="C20" s="106" t="str">
        <x:v>Extensión futura</x:v>
      </x:c>
      <x:c r="D20" s="56" t="str">
        <x:v>Spread soberano</x:v>
      </x:c>
      <x:c r="E20" s="56" t="str">
        <x:v>Nivel o Δ</x:v>
      </x:c>
      <x:c r="F20" s="56" t="str">
        <x:v>+</x:v>
      </x:c>
      <x:c r="G20" s="56" t="str">
        <x:v>Riesgo específico</x:v>
      </x:c>
      <x:c r="H20" s="56" t="str">
        <x:v>Fiscal, político y refinanciación</x:v>
      </x:c>
      <x:c r="I20" s="56" t="str">
        <x:v>Sin descarga oficial pública estable para toda la muestra</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ht="38" customHeight="1">
      <x:c r="A21" s="56" t="str">
        <x:v>Política</x:v>
      </x:c>
      <x:c r="B21" s="56" t="str">
        <x:v>Intervención cambiaria</x:v>
      </x:c>
      <x:c r="C21" s="106" t="str">
        <x:v>Extensión futura</x:v>
      </x:c>
      <x:c r="D21" s="56" t="str">
        <x:v>Compras/ventas BanRep</x:v>
      </x:c>
      <x:c r="E21" s="56" t="str">
        <x:v>USD, rezago</x:v>
      </x:c>
      <x:c r="F21" s="56" t="str">
        <x:v>+ compras</x:v>
      </x:c>
      <x:c r="G21" s="56" t="str">
        <x:v>Demanda oficial de USD</x:v>
      </x:c>
      <x:c r="H21" s="56" t="str">
        <x:v>Importante en episodios puntuales</x:v>
      </x:c>
      <x:c r="I21" s="56" t="str">
        <x:v>Respuesta de política, no shock puro</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I1"/>
    <x:mergeCell ref="A2:I3"/>
  </x:mergeCells>
  <x:pageMargins left="0.7" right="0.7" top="0.75" bottom="0.75" header="0.3" footer="0.3"/>
  <x:tableParts count="1">
    <x:tablePart xmlns:r="http://schemas.openxmlformats.org/officeDocument/2006/relationships" r:id="Ra46ca4c4ecbc46d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30" hidden="0" customWidth="1"/>
    <x:col min="3" max="3" width="20" hidden="0" customWidth="1"/>
    <x:col min="4" max="4" width="20" hidden="0" customWidth="1"/>
    <x:col min="5" max="5" width="20" hidden="0" customWidth="1"/>
    <x:col min="6" max="6" width="20" hidden="0" customWidth="1"/>
    <x:col min="7" max="7" width="72" hidden="0" customWidth="1"/>
  </x:cols>
  <x:sheetData>
    <x:row r="1" ht="30" customHeight="1">
      <x:c r="A1" s="4" t="str">
        <x:v>Fuentes y trazabilidad</x:v>
      </x:c>
      <x:c r="B1" s="4" t="str">
        <x:v>Fuentes y trazabilidad</x:v>
      </x:c>
      <x:c r="C1" s="4" t="str">
        <x:v>Fuentes y trazabilidad</x:v>
      </x:c>
      <x:c r="D1" s="4" t="str">
        <x:v>Fuentes y trazabilidad</x:v>
      </x:c>
      <x:c r="E1" s="4" t="str">
        <x:v>Fuentes y trazabilidad</x:v>
      </x:c>
      <x:c r="F1" s="4" t="str">
        <x:v>Fuentes y trazabilidad</x:v>
      </x:c>
      <x:c r="G1" s="4" t="str">
        <x:v>Fuentes y trazabilidad</x:v>
      </x:c>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6" customHeight="1">
      <x:c r="A2" s="7" t="str">
        <x:v>Enlaces oficiales o distribuidores públicos de las series. La columna Uso distingue el modelo principal, el ampliado, las pruebas de robustez y la documentación.</x:v>
      </x:c>
      <x:c r="B2" s="7" t="str">
        <x:v>Enlaces oficiales o distribuidores públicos de las series. La columna Uso distingue el modelo principal, el ampliado, las pruebas de robustez y la documentación.</x:v>
      </x:c>
      <x:c r="C2" s="7" t="str">
        <x:v>Enlaces oficiales o distribuidores públicos de las series. La columna Uso distingue el modelo principal, el ampliado, las pruebas de robustez y la documentación.</x:v>
      </x:c>
      <x:c r="D2" s="7" t="str">
        <x:v>Enlaces oficiales o distribuidores públicos de las series. La columna Uso distingue el modelo principal, el ampliado, las pruebas de robustez y la documentación.</x:v>
      </x:c>
      <x:c r="E2" s="7" t="str">
        <x:v>Enlaces oficiales o distribuidores públicos de las series. La columna Uso distingue el modelo principal, el ampliado, las pruebas de robustez y la documentación.</x:v>
      </x:c>
      <x:c r="F2" s="7" t="str">
        <x:v>Enlaces oficiales o distribuidores públicos de las series. La columna Uso distingue el modelo principal, el ampliado, las pruebas de robustez y la documentación.</x:v>
      </x:c>
      <x:c r="G2" s="7" t="str">
        <x:v>Enlaces oficiales o distribuidores públicos de las series. La columna Uso distingue el modelo principal, el ampliado, las pruebas de robustez y la documentación.</x:v>
      </x:c>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ht="36" customHeight="1">
      <x:c r="A3" s="7" t="str">
        <x:v>Enlaces oficiales o distribuidores públicos de las series. La columna Uso distingue el modelo principal, el ampliado, las pruebas de robustez y la documentación.</x:v>
      </x:c>
      <x:c r="B3" s="7" t="str">
        <x:v>Enlaces oficiales o distribuidores públicos de las series. La columna Uso distingue el modelo principal, el ampliado, las pruebas de robustez y la documentación.</x:v>
      </x:c>
      <x:c r="C3" s="7" t="str">
        <x:v>Enlaces oficiales o distribuidores públicos de las series. La columna Uso distingue el modelo principal, el ampliado, las pruebas de robustez y la documentación.</x:v>
      </x:c>
      <x:c r="D3" s="7" t="str">
        <x:v>Enlaces oficiales o distribuidores públicos de las series. La columna Uso distingue el modelo principal, el ampliado, las pruebas de robustez y la documentación.</x:v>
      </x:c>
      <x:c r="E3" s="7" t="str">
        <x:v>Enlaces oficiales o distribuidores públicos de las series. La columna Uso distingue el modelo principal, el ampliado, las pruebas de robustez y la documentación.</x:v>
      </x:c>
      <x:c r="F3" s="7" t="str">
        <x:v>Enlaces oficiales o distribuidores públicos de las series. La columna Uso distingue el modelo principal, el ampliado, las pruebas de robustez y la documentación.</x:v>
      </x:c>
      <x:c r="G3" s="7" t="str">
        <x:v>Enlaces oficiales o distribuidores públicos de las series. La columna Uso distingue el modelo principal, el ampliado, las pruebas de robustez y la documentación.</x:v>
      </x:c>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54" t="str">
        <x:v>Organismo</x:v>
      </x:c>
      <x:c r="B5" s="54" t="str">
        <x:v>Serie/código</x:v>
      </x:c>
      <x:c r="C5" s="54" t="str">
        <x:v>Frecuencia</x:v>
      </x:c>
      <x:c r="D5" s="54" t="str">
        <x:v>Cobertura</x:v>
      </x:c>
      <x:c r="E5" s="54" t="str">
        <x:v>Uso</x:v>
      </x:c>
      <x:c r="F5" s="54" t="str">
        <x:v>Tratamiento</x:v>
      </x:c>
      <x:c r="G5" s="54" t="str">
        <x:v>URL</x:v>
      </x:c>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ht="42" customHeight="1">
      <x:c r="A6" s="56" t="str">
        <x:v>Banco de la República</x:v>
      </x:c>
      <x:c r="B6" s="56" t="str">
        <x:v>TRM diaria, serie 1</x:v>
      </x:c>
      <x:c r="C6" s="56" t="str">
        <x:v>Diaria → mensual</x:v>
      </x:c>
      <x:c r="D6" s="56" t="str">
        <x:v>1991–2026</x:v>
      </x:c>
      <x:c r="E6" s="56" t="str">
        <x:v>Modelo principal</x:v>
      </x:c>
      <x:c r="F6" s="56" t="str">
        <x:v>Promedio mensual</x:v>
      </x:c>
      <x:c r="G6" s="56" t="str">
        <x:v>https://suameca.banrep.gov.co/graficador-series/rest/graficadorService/consultaSerieParaGraficar?idSerie=1</x:v>
      </x:c>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ht="42" customHeight="1">
      <x:c r="A7" s="56" t="str">
        <x:v>Banco de la República</x:v>
      </x:c>
      <x:c r="B7" s="56" t="str">
        <x:v>Tasa de política, serie 59</x:v>
      </x:c>
      <x:c r="C7" s="56" t="str">
        <x:v>Diaria → mensual</x:v>
      </x:c>
      <x:c r="D7" s="56" t="str">
        <x:v>1998–2026</x:v>
      </x:c>
      <x:c r="E7" s="56" t="str">
        <x:v>Modelo principal</x:v>
      </x:c>
      <x:c r="F7" s="56" t="str">
        <x:v>Promedio mensual</x:v>
      </x:c>
      <x:c r="G7" s="56" t="str">
        <x:v>https://suameca.banrep.gov.co/graficador-series/rest/graficadorService/consultaSerieParaGraficar?idSerie=59</x:v>
      </x:c>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ht="42" customHeight="1">
      <x:c r="A8" s="56" t="str">
        <x:v>Banco de la República</x:v>
      </x:c>
      <x:c r="B8" s="56" t="str">
        <x:v>Remesas, serie 15363</x:v>
      </x:c>
      <x:c r="C8" s="56" t="str">
        <x:v>Mensual</x:v>
      </x:c>
      <x:c r="D8" s="56" t="str">
        <x:v>2000–2026</x:v>
      </x:c>
      <x:c r="E8" s="56" t="str">
        <x:v>Modelo principal</x:v>
      </x:c>
      <x:c r="F8" s="56" t="str">
        <x:v>Acumulado móvil 12 meses</x:v>
      </x:c>
      <x:c r="G8" s="56" t="str">
        <x:v>https://suameca.banrep.gov.co/graficador-series/rest/graficadorService/consultaSerieParaGraficar?idSerie=15363</x:v>
      </x:c>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ht="42" customHeight="1">
      <x:c r="A9" s="56" t="str">
        <x:v>Ministerio de Hacienda</x:v>
      </x:c>
      <x:c r="B9" s="56" t="str">
        <x:v>Balance fiscal GNC</x:v>
      </x:c>
      <x:c r="C9" s="56" t="str">
        <x:v>Mensual</x:v>
      </x:c>
      <x:c r="D9" s="56" t="str">
        <x:v>2004–2026</x:v>
      </x:c>
      <x:c r="E9" s="56" t="str">
        <x:v>Modelo principal</x:v>
      </x:c>
      <x:c r="F9" s="56" t="str">
        <x:v>Balance de caja; déficit positivo tras cambiar signo</x:v>
      </x:c>
      <x:c r="G9" s="56" t="str">
        <x:v>https://www.minhacienda.gov.co/documents/d/portal/balance-fiscal-gnc-mensual-y-trimestral?download=true</x:v>
      </x:c>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ht="42" customHeight="1">
      <x:c r="A10" s="56" t="str">
        <x:v>U.S. EIA / FRED</x:v>
      </x:c>
      <x:c r="B10" s="56" t="str">
        <x:v>Brent DCOILBRENTEU</x:v>
      </x:c>
      <x:c r="C10" s="56" t="str">
        <x:v>Diaria → mensual</x:v>
      </x:c>
      <x:c r="D10" s="56" t="str">
        <x:v>1987–2026</x:v>
      </x:c>
      <x:c r="E10" s="56" t="str">
        <x:v>Modelo principal</x:v>
      </x:c>
      <x:c r="F10" s="56" t="str">
        <x:v>Promedio mensual, USD por barril</x:v>
      </x:c>
      <x:c r="G10" s="56" t="str">
        <x:v>https://fred.stlouisfed.org/series/DCOILBRENTEU</x:v>
      </x:c>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ht="42" customHeight="1">
      <x:c r="A11" s="56" t="str">
        <x:v>U.S. EIA</x:v>
      </x:c>
      <x:c r="B11" s="56" t="str">
        <x:v>Brent RBRTE</x:v>
      </x:c>
      <x:c r="C11" s="56" t="str">
        <x:v>Mensual</x:v>
      </x:c>
      <x:c r="D11" s="56" t="str">
        <x:v>1987–2026</x:v>
      </x:c>
      <x:c r="E11" s="56" t="str">
        <x:v>Verificación</x:v>
      </x:c>
      <x:c r="F11" s="56" t="str">
        <x:v>Referencia mensual equivalente</x:v>
      </x:c>
      <x:c r="G11" s="56" t="str">
        <x:v>https://www.eia.gov/dnav/pet/hist/LeafHandler.ashx?f=M&amp;n=PET&amp;s=RBRTE</x:v>
      </x:c>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ht="42" customHeight="1">
      <x:c r="A12" s="56" t="str">
        <x:v>Federal Reserve / FRED</x:v>
      </x:c>
      <x:c r="B12" s="56" t="str">
        <x:v>Federal funds FEDFUNDS</x:v>
      </x:c>
      <x:c r="C12" s="56" t="str">
        <x:v>Mensual</x:v>
      </x:c>
      <x:c r="D12" s="56" t="str">
        <x:v>1954–2026</x:v>
      </x:c>
      <x:c r="E12" s="56" t="str">
        <x:v>Modelo principal</x:v>
      </x:c>
      <x:c r="F12" s="56" t="str">
        <x:v>Promedio mensual</x:v>
      </x:c>
      <x:c r="G12" s="56" t="str">
        <x:v>https://fred.stlouisfed.org/series/FEDFUNDS</x:v>
      </x:c>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ht="42" customHeight="1">
      <x:c r="A13" s="56" t="str">
        <x:v>Federal Reserve / FRED</x:v>
      </x:c>
      <x:c r="B13" s="56" t="str">
        <x:v>Índice amplio USD DTWEXBGS</x:v>
      </x:c>
      <x:c r="C13" s="56" t="str">
        <x:v>Diaria → mensual</x:v>
      </x:c>
      <x:c r="D13" s="56" t="str">
        <x:v>2006–2026</x:v>
      </x:c>
      <x:c r="E13" s="56" t="str">
        <x:v>Modelo principal</x:v>
      </x:c>
      <x:c r="F13" s="56" t="str">
        <x:v>Índice nominal amplio</x:v>
      </x:c>
      <x:c r="G13" s="56" t="str">
        <x:v>https://fred.stlouisfed.org/series/DTWEXBGS</x:v>
      </x:c>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ht="42" customHeight="1">
      <x:c r="A14" s="56" t="str">
        <x:v>Cboe / FRED</x:v>
      </x:c>
      <x:c r="B14" s="56" t="str">
        <x:v>VIXCLS</x:v>
      </x:c>
      <x:c r="C14" s="56" t="str">
        <x:v>Diaria → mensual</x:v>
      </x:c>
      <x:c r="D14" s="56" t="str">
        <x:v>1990–2026</x:v>
      </x:c>
      <x:c r="E14" s="56" t="str">
        <x:v>Modelo principal</x:v>
      </x:c>
      <x:c r="F14" s="56" t="str">
        <x:v>Promedio mensual</x:v>
      </x:c>
      <x:c r="G14" s="56" t="str">
        <x:v>https://fred.stlouisfed.org/series/VIXCLS</x:v>
      </x:c>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ht="42" customHeight="1">
      <x:c r="A15" s="56" t="str">
        <x:v>Banco de la República</x:v>
      </x:c>
      <x:c r="B15" s="56" t="str">
        <x:v>Términos de intercambio 15360</x:v>
      </x:c>
      <x:c r="C15" s="56" t="str">
        <x:v>Mensual</x:v>
      </x:c>
      <x:c r="D15" s="56" t="str">
        <x:v>1995–2026</x:v>
      </x:c>
      <x:c r="E15" s="56" t="str">
        <x:v>Robustez</x:v>
      </x:c>
      <x:c r="F15" s="56" t="str">
        <x:v>Sustituto de Brent</x:v>
      </x:c>
      <x:c r="G15" s="56" t="str">
        <x:v>https://suameca.banrep.gov.co/graficador-series/rest/graficadorService/consultaSerieParaGraficar?idSerie=15360</x:v>
      </x:c>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ht="42" customHeight="1">
      <x:c r="A16" s="56" t="str">
        <x:v>Banco de la República</x:v>
      </x:c>
      <x:c r="B16" s="56" t="str">
        <x:v>Reservas netas sin FLAR 15053</x:v>
      </x:c>
      <x:c r="C16" s="56" t="str">
        <x:v>Mensual</x:v>
      </x:c>
      <x:c r="D16" s="56" t="str">
        <x:v>1960–2026</x:v>
      </x:c>
      <x:c r="E16" s="56" t="str">
        <x:v>Modelo ampliado</x:v>
      </x:c>
      <x:c r="F16" s="56" t="str">
        <x:v>Log y rezago</x:v>
      </x:c>
      <x:c r="G16" s="56" t="str">
        <x:v>https://suameca.banrep.gov.co/graficador-series/rest/graficadorService/consultaSerieParaGraficar?idSerie=15053</x:v>
      </x:c>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ht="42" customHeight="1">
      <x:c r="A17" s="56" t="str">
        <x:v>Banco de la República</x:v>
      </x:c>
      <x:c r="B17" s="56" t="str">
        <x:v>TES en pesos a 10 años 15274</x:v>
      </x:c>
      <x:c r="C17" s="56" t="str">
        <x:v>Diaria → mensual</x:v>
      </x:c>
      <x:c r="D17" s="56" t="str">
        <x:v>2003–2026</x:v>
      </x:c>
      <x:c r="E17" s="56" t="str">
        <x:v>Modelo ampliado</x:v>
      </x:c>
      <x:c r="F17" s="56" t="str">
        <x:v>Tasa cero cupón; promedio mensual</x:v>
      </x:c>
      <x:c r="G17" s="56" t="str">
        <x:v>https://suameca.banrep.gov.co/graficador-series/rest/graficadorService/consultaSerieParaGraficar?idSerie=15274</x:v>
      </x:c>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ht="42" customHeight="1">
      <x:c r="A18" s="56" t="str">
        <x:v>U.S. Treasury / FRED</x:v>
      </x:c>
      <x:c r="B18" s="56" t="str">
        <x:v>Treasury 10 años DGS10</x:v>
      </x:c>
      <x:c r="C18" s="56" t="str">
        <x:v>Diaria → mensual</x:v>
      </x:c>
      <x:c r="D18" s="56" t="str">
        <x:v>1962–2026</x:v>
      </x:c>
      <x:c r="E18" s="56" t="str">
        <x:v>Modelo ampliado</x:v>
      </x:c>
      <x:c r="F18" s="56" t="str">
        <x:v>Promedio mensual; se resta de TES 10 años</x:v>
      </x:c>
      <x:c r="G18" s="56" t="str">
        <x:v>https://fred.stlouisfed.org/series/DGS10</x:v>
      </x:c>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ht="42" customHeight="1">
      <x:c r="A19" s="56" t="str">
        <x:v>Banco de la República</x:v>
      </x:c>
      <x:c r="B19" s="56" t="str">
        <x:v>Balanza comercial cambiaria 16702</x:v>
      </x:c>
      <x:c r="C19" s="56" t="str">
        <x:v>Mensual</x:v>
      </x:c>
      <x:c r="D19" s="56" t="str">
        <x:v>2001–2026</x:v>
      </x:c>
      <x:c r="E19" s="56" t="str">
        <x:v>Modelo ampliado</x:v>
      </x:c>
      <x:c r="F19" s="56" t="str">
        <x:v>Δ asinh y rezago</x:v>
      </x:c>
      <x:c r="G19" s="56" t="str">
        <x:v>https://suameca.banrep.gov.co/graficador-series/rest/graficadorService/consultaSerieParaGraficar?idSerie=16702</x:v>
      </x:c>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ht="42" customHeight="1">
      <x:c r="A20" s="56" t="str">
        <x:v>Banco de la República</x:v>
      </x:c>
      <x:c r="B20" s="56" t="str">
        <x:v>Flujo neto total de capital 16706</x:v>
      </x:c>
      <x:c r="C20" s="56" t="str">
        <x:v>Mensual</x:v>
      </x:c>
      <x:c r="D20" s="56" t="str">
        <x:v>2001–2026</x:v>
      </x:c>
      <x:c r="E20" s="56" t="str">
        <x:v>Modelo ampliado</x:v>
      </x:c>
      <x:c r="F20" s="56" t="str">
        <x:v>Δ asinh y rezago</x:v>
      </x:c>
      <x:c r="G20" s="56" t="str">
        <x:v>https://suameca.banrep.gov.co/graficador-series/rest/graficadorService/consultaSerieParaGraficar?idSerie=16706</x:v>
      </x:c>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ht="42" customHeight="1">
      <x:c r="A21" s="56" t="str">
        <x:v>Banco de la República</x:v>
      </x:c>
      <x:c r="B21" s="56" t="str">
        <x:v>IPC total nacional 15000</x:v>
      </x:c>
      <x:c r="C21" s="56" t="str">
        <x:v>Mensual</x:v>
      </x:c>
      <x:c r="D21" s="56" t="str">
        <x:v>1954–2026</x:v>
      </x:c>
      <x:c r="E21" s="56" t="str">
        <x:v>Modelo ampliado</x:v>
      </x:c>
      <x:c r="F21" s="56" t="str">
        <x:v>Inflación interanual</x:v>
      </x:c>
      <x:c r="G21" s="56" t="str">
        <x:v>https://suameca.banrep.gov.co/graficador-series/rest/graficadorService/consultaSerieParaGraficar?idSerie=15000</x:v>
      </x:c>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ht="42" customHeight="1">
      <x:c r="A22" s="56" t="str">
        <x:v>U.S. BLS / FRED</x:v>
      </x:c>
      <x:c r="B22" s="56" t="str">
        <x:v>IPC urbano no ajustado CPIAUCNS</x:v>
      </x:c>
      <x:c r="C22" s="56" t="str">
        <x:v>Mensual</x:v>
      </x:c>
      <x:c r="D22" s="56" t="str">
        <x:v>1913–2026</x:v>
      </x:c>
      <x:c r="E22" s="56" t="str">
        <x:v>Modelo ampliado</x:v>
      </x:c>
      <x:c r="F22" s="56" t="str">
        <x:v>Inflación interanual; octubre de 2025 interpolado</x:v>
      </x:c>
      <x:c r="G22" s="56" t="str">
        <x:v>https://fred.stlouisfed.org/series/CPIAUCNS</x:v>
      </x:c>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ht="42" customHeight="1">
      <x:c r="A23" s="56" t="str">
        <x:v>OECD / FRED</x:v>
      </x:c>
      <x:c r="B23" s="56" t="str">
        <x:v>BRL por USD CCUSMA02BRM618N</x:v>
      </x:c>
      <x:c r="C23" s="56" t="str">
        <x:v>Mensual</x:v>
      </x:c>
      <x:c r="D23" s="56" t="str">
        <x:v>1994–2026</x:v>
      </x:c>
      <x:c r="E23" s="56" t="str">
        <x:v>Modelo ampliado</x:v>
      </x:c>
      <x:c r="F23" s="56" t="str">
        <x:v>Factor regional a partir de Δln</x:v>
      </x:c>
      <x:c r="G23" s="56" t="str">
        <x:v>https://fred.stlouisfed.org/series/CCUSMA02BRM618N</x:v>
      </x:c>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ht="42" customHeight="1">
      <x:c r="A24" s="56" t="str">
        <x:v>OECD / FRED</x:v>
      </x:c>
      <x:c r="B24" s="56" t="str">
        <x:v>CLP por USD CCUSMA02CLM618N</x:v>
      </x:c>
      <x:c r="C24" s="56" t="str">
        <x:v>Mensual</x:v>
      </x:c>
      <x:c r="D24" s="56" t="str">
        <x:v>1960–2026</x:v>
      </x:c>
      <x:c r="E24" s="56" t="str">
        <x:v>Modelo ampliado</x:v>
      </x:c>
      <x:c r="F24" s="56" t="str">
        <x:v>Factor regional a partir de Δln</x:v>
      </x:c>
      <x:c r="G24" s="56" t="str">
        <x:v>https://fred.stlouisfed.org/series/CCUSMA02CLM618N</x:v>
      </x:c>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ht="42" customHeight="1">
      <x:c r="A25" s="56" t="str">
        <x:v>OECD / FRED</x:v>
      </x:c>
      <x:c r="B25" s="56" t="str">
        <x:v>MXN por USD CCUSMA02MXM618N</x:v>
      </x:c>
      <x:c r="C25" s="56" t="str">
        <x:v>Mensual</x:v>
      </x:c>
      <x:c r="D25" s="56" t="str">
        <x:v>1957–2026</x:v>
      </x:c>
      <x:c r="E25" s="56" t="str">
        <x:v>Modelo ampliado</x:v>
      </x:c>
      <x:c r="F25" s="56" t="str">
        <x:v>Factor regional a partir de Δln</x:v>
      </x:c>
      <x:c r="G25" s="56" t="str">
        <x:v>https://fred.stlouisfed.org/series/CCUSMA02MXM618N</x:v>
      </x:c>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ht="42" customHeight="1">
      <x:c r="A26" s="56" t="str">
        <x:v>Cboe</x:v>
      </x:c>
      <x:c r="B26" s="56" t="str">
        <x:v>VIX histórico</x:v>
      </x:c>
      <x:c r="C26" s="56" t="str">
        <x:v>Diaria</x:v>
      </x:c>
      <x:c r="D26" s="56" t="str">
        <x:v>1990–2026</x:v>
      </x:c>
      <x:c r="E26" s="56" t="str">
        <x:v>Verificación</x:v>
      </x:c>
      <x:c r="F26" s="56" t="str">
        <x:v>Fuente primaria del VIX</x:v>
      </x:c>
      <x:c r="G26" s="56" t="str">
        <x:v>https://www.cboe.com/tradable_products/vix/vix_historical_data</x:v>
      </x:c>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ht="42" customHeight="1">
      <x:c r="A27" s="56" t="str">
        <x:v>Banco de la República</x:v>
      </x:c>
      <x:c r="B27" s="56" t="str">
        <x:v>Portal de sector externo</x:v>
      </x:c>
      <x:c r="C27" s="56" t="str">
        <x:v>Varias</x:v>
      </x:c>
      <x:c r="D27" s="56" t="str">
        <x:v>Histórico</x:v>
      </x:c>
      <x:c r="E27" s="56" t="str">
        <x:v>Documentación</x:v>
      </x:c>
      <x:c r="F27" s="56" t="str">
        <x:v>Metodologías de TRM, remesas y sector externo</x:v>
      </x:c>
      <x:c r="G27" s="56" t="str">
        <x:v>https://www.banrep.gov.co/es/estadisticas-economicas/series-historicas/tasas-cambio-sector-externo</x:v>
      </x:c>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sheetData>
  <x:mergeCells>
    <x:mergeCell ref="A1:G1"/>
    <x:mergeCell ref="A2:G3"/>
  </x:mergeCells>
  <x:pageMargins left="0.7" right="0.7" top="0.75" bottom="0.75" header="0.3" footer="0.3"/>
  <x:tableParts count="1">
    <x:tablePart xmlns:r="http://schemas.openxmlformats.org/officeDocument/2006/relationships" r:id="R5a8d718cd9de4439"/>
  </x:tableParts>
</x:worksheet>
</file>