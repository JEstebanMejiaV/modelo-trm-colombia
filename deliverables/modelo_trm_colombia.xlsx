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3.xml" ContentType="application/vnd.openxmlformats-officedocument.spreadsheetml.table+xml"/>
  <Override PartName="/xl/worksheets/sheet3.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tables/table4.xml" ContentType="application/vnd.openxmlformats-officedocument.spreadsheetml.table+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tables/table5.xml" ContentType="application/vnd.openxmlformats-officedocument.spreadsheetml.table+xml"/>
  <Override PartName="/xl/tables/table6.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drawings/charts/chart4.xml" ContentType="application/vnd.openxmlformats-officedocument.drawingml.chart+xml"/>
  <Override PartName="/xl/tables/table10.xml" ContentType="application/vnd.openxmlformats-officedocument.spreadsheetml.table+xml"/>
  <Override PartName="/xl/worksheets/sheet7.xml" ContentType="application/vnd.openxmlformats-officedocument.spreadsheetml.worksheet+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drawings/drawing5.xml" ContentType="application/vnd.openxmlformats-officedocument.drawing+xml"/>
  <Override PartName="/xl/drawings/charts/chart5.xml" ContentType="application/vnd.openxmlformats-officedocument.drawingml.chart+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worksheets/sheet9.xml" ContentType="application/vnd.openxmlformats-officedocument.spreadsheetml.worksheet+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worksheets/sheet10.xml" ContentType="application/vnd.openxmlformats-officedocument.spreadsheetml.worksheet+xml"/>
  <Override PartName="/xl/tables/table24.xml" ContentType="application/vnd.openxmlformats-officedocument.spreadsheetml.table+xml"/>
  <Override PartName="/xl/tables/table25.xml" ContentType="application/vnd.openxmlformats-officedocument.spreadsheetml.table+xml"/>
  <Override PartName="/xl/worksheets/sheet11.xml" ContentType="application/vnd.openxmlformats-officedocument.spreadsheetml.workshee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12.xml" ContentType="application/vnd.openxmlformats-officedocument.spreadsheetml.worksheet+xml"/>
  <Override PartName="/xl/tables/table30.xml" ContentType="application/vnd.openxmlformats-officedocument.spreadsheetml.table+xml"/>
  <Override PartName="/xl/worksheets/sheet13.xml" ContentType="application/vnd.openxmlformats-officedocument.spreadsheetml.worksheet+xml"/>
  <Override PartName="/xl/tables/table3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238ff4dca0d4015" /></Relationships>
</file>

<file path=xl/workbook.xml><?xml version="1.0" encoding="utf-8"?>
<x:workbook xmlns:x="http://schemas.openxmlformats.org/spreadsheetml/2006/main">
  <x:sheets>
    <x:sheet xmlns:r="http://schemas.openxmlformats.org/officeDocument/2006/relationships" name="Resumen" sheetId="1" r:id="R10b7d64a59b64db8"/>
    <x:sheet xmlns:r="http://schemas.openxmlformats.org/officeDocument/2006/relationships" name="Datos_fuente" sheetId="2" r:id="Rb6d2d2b0812d4b73"/>
    <x:sheet xmlns:r="http://schemas.openxmlformats.org/officeDocument/2006/relationships" name="Transformaciones" sheetId="3" r:id="Rb663103308ee467c"/>
    <x:sheet xmlns:r="http://schemas.openxmlformats.org/officeDocument/2006/relationships" name="Modelo_principal" sheetId="4" r:id="R0dd8553226d64fcf"/>
    <x:sheet xmlns:r="http://schemas.openxmlformats.org/officeDocument/2006/relationships" name="Modelo_ampliado" sheetId="5" r:id="Re2dbf386b9ef4ccd"/>
    <x:sheet xmlns:r="http://schemas.openxmlformats.org/officeDocument/2006/relationships" name="Pesos_explicativos" sheetId="6" r:id="R1af28a58f3554f4a"/>
    <x:sheet xmlns:r="http://schemas.openxmlformats.org/officeDocument/2006/relationships" name="Robustez" sheetId="7" r:id="R7ad9cb6c293f4a73"/>
    <x:sheet xmlns:r="http://schemas.openxmlformats.org/officeDocument/2006/relationships" name="Validacion" sheetId="8" r:id="R71c2be47751549dc"/>
    <x:sheet xmlns:r="http://schemas.openxmlformats.org/officeDocument/2006/relationships" name="Pronostico" sheetId="9" r:id="R641be36bb51b4248"/>
    <x:sheet xmlns:r="http://schemas.openxmlformats.org/officeDocument/2006/relationships" name="ECM_exploratorio" sheetId="10" r:id="R60edcfa049c242e0"/>
    <x:sheet xmlns:r="http://schemas.openxmlformats.org/officeDocument/2006/relationships" name="Diagnosticos" sheetId="11" r:id="R91392b45a52b4f6a"/>
    <x:sheet xmlns:r="http://schemas.openxmlformats.org/officeDocument/2006/relationships" name="Variables" sheetId="12" r:id="R551bbd684df1493f"/>
    <x:sheet xmlns:r="http://schemas.openxmlformats.org/officeDocument/2006/relationships" name="Fuentes" sheetId="13" r:id="R3c5d961a3c5243e0"/>
  </x:sheets>
</x:workbook>
</file>

<file path=xl/comments1.xml><?xml version="1.0" encoding="utf-8"?>
<x:comments xmlns:x="http://schemas.openxmlformats.org/spreadsheetml/2006/main">
  <x:authors>
    <x:author>tc={B8839A14-3D7C-4F8F-5763-9D606BE20513}</x:author>
    <x:author>tc={7E01D9E2-DDB8-AC18-89B3-A30A0894BE50}</x:author>
    <x:author>tc={75EF8F2D-050E-9205-AA15-5C9D50AA8F21}</x:author>
    <x:author>tc={47366B1A-D1B7-89BB-AB61-CB66A9BC72D7}</x:author>
    <x:author>tc={361036C5-157B-3889-B8C1-5AA3A3D2CA55}</x:author>
    <x:author>tc={E074B49C-3194-C9F7-3353-E6A317A9F123}</x:author>
    <x:author>tc={725DD449-DDBB-6541-4A64-AD67E08358D9}</x:author>
    <x:author>tc={15C49FD5-B183-E803-2E83-60E22B20884D}</x:author>
    <x:author>tc={FD21450B-C3F7-2787-4905-3A649CED30BF}</x:author>
    <x:author>tc={8138F316-A692-D380-C29B-4F805BC6B4F2}</x:author>
    <x:author>tc={B28F8E23-DF0E-402C-B185-EE96A1571E0C}</x:author>
    <x:author>tc={B47A2F88-8B13-8A96-9A0C-95AA71C08A07}</x:author>
    <x:author>tc={75DC5BEC-C4DC-A69E-61C4-FFEAA98B99FB}</x:author>
    <x:author>tc={FF04EF75-FD69-D912-014F-A023205E38C1}</x:author>
    <x:author>tc={0B9A1E9D-15B5-9003-084E-677CBEC62D82}</x:author>
    <x:author>tc={4039E079-D303-CFDA-BF10-890995EA76D2}</x:author>
    <x:author>tc={4CCC5144-4879-5929-7287-EED333877817}</x:author>
    <x:author>tc={856C1DC9-079A-F92D-B7A3-96022421A113}</x:author>
    <x:author>tc={901238E4-3938-5205-5096-6322666B0AC9}</x:author>
    <x:author>tc={E8B92488-E9B2-1D19-4A93-FA6DE3D89C72}</x:author>
    <x:author>tc={DAA84D71-33BC-54CE-198C-9F8D0554ED29}</x:author>
    <x:author>tc={1A033D5E-D8A0-5DFB-5F5F-4364D6A629B4}</x:author>
    <x:author>tc={F82C8FA4-2CF0-977B-896B-B4605D0BE4BB}</x:author>
    <x:author>tc={121D73AA-1BCF-8234-F2C9-3A4FA79307C1}</x:author>
  </x:authors>
  <x:commentList>
    <x:comment ref="B5" authorId="0">
      <x:text>
        <x:r>
          <x:t>[Threaded comment]
Your version of Excel allows you to read this threaded comment; however, any edits to it will get removed if the file is opened in a newer version of Excel. Learn more: https://go.microsoft.com/fwlink/?linkid=870924
Comment:
    Fuente: Banco de la República, serie diaria TRM 1; promedio mensual. https://suameca.banrep.gov.co/graficador-series/rest/graficadorService/consultaSerieParaGraficar?idSerie=1</x:t>
        </x:r>
      </x:text>
    </x:comment>
    <x:comment ref="C5" authorId="1">
      <x:text>
        <x:r>
          <x:t>[Threaded comment]
Your version of Excel allows you to read this threaded comment; however, any edits to it will get removed if the file is opened in a newer version of Excel. Learn more: https://go.microsoft.com/fwlink/?linkid=870924
Comment:
    Fuente: Banco de la República, índice de términos de intercambio según índices encadenados, serie mensual 15360.</x:t>
        </x:r>
      </x:text>
    </x:comment>
    <x:comment ref="D5" authorId="2">
      <x:text>
        <x:r>
          <x:t>[Threaded comment]
Your version of Excel allows you to read this threaded comment; however, any edits to it will get removed if the file is opened in a newer version of Excel. Learn more: https://go.microsoft.com/fwlink/?linkid=870924
Comment:
    Fuente: Banco de la República, remesas de trabajadores, serie 15363.</x:t>
        </x:r>
      </x:text>
    </x:comment>
    <x:comment ref="F5" authorId="3">
      <x:text>
        <x:r>
          <x:t>[Threaded comment]
Your version of Excel allows you to read this threaded comment; however, any edits to it will get removed if the file is opened in a newer version of Excel. Learn more: https://go.microsoft.com/fwlink/?linkid=870924
Comment:
    Fuente: Banco de la República, tasa de política, serie diaria 59; promedio mensual.</x:t>
        </x:r>
      </x:text>
    </x:comment>
    <x:comment ref="G5" authorId="4">
      <x:text>
        <x:r>
          <x:t>[Threaded comment]
Your version of Excel allows you to read this threaded comment; however, any edits to it will get removed if the file is opened in a newer version of Excel. Learn more: https://go.microsoft.com/fwlink/?linkid=870924
Comment:
    Fuente: Federal Reserve/FRED, FEDFUNDS, promedio mensual.</x:t>
        </x:r>
      </x:text>
    </x:comment>
    <x:comment ref="I5" authorId="5">
      <x:text>
        <x:r>
          <x:t>[Threaded comment]
Your version of Excel allows you to read this threaded comment; however, any edits to it will get removed if the file is opened in a newer version of Excel. Learn more: https://go.microsoft.com/fwlink/?linkid=870924
Comment:
    Fuente: Ministerio de Hacienda, balance fiscal del Gobierno Nacional Central, metodología de caja.</x:t>
        </x:r>
      </x:text>
    </x:comment>
    <x:comment ref="K5" authorId="6">
      <x:text>
        <x:r>
          <x:t>[Threaded comment]
Your version of Excel allows you to read this threaded comment; however, any edits to it will get removed if the file is opened in a newer version of Excel. Learn more: https://go.microsoft.com/fwlink/?linkid=870924
Comment:
    Fuente: Federal Reserve/FRED, índice nominal amplio del dólar DTWEXBGS; promedio mensual.</x:t>
        </x:r>
      </x:text>
    </x:comment>
    <x:comment ref="L5" authorId="7">
      <x:text>
        <x:r>
          <x:t>[Threaded comment]
Your version of Excel allows you to read this threaded comment; however, any edits to it will get removed if the file is opened in a newer version of Excel. Learn more: https://go.microsoft.com/fwlink/?linkid=870924
Comment:
    Fuente: Cboe vía FRED, VIXCLS; promedio mensual.</x:t>
        </x:r>
      </x:text>
    </x:comment>
    <x:comment ref="N5" authorId="8">
      <x:text>
        <x:r>
          <x:t>[Threaded comment]
Your version of Excel allows you to read this threaded comment; however, any edits to it will get removed if the file is opened in a newer version of Excel. Learn more: https://go.microsoft.com/fwlink/?linkid=870924
Comment:
    Fuente: Banco de la República, reservas internacionales netas sin FLAR, serie 15053.</x:t>
        </x:r>
      </x:text>
    </x:comment>
    <x:comment ref="O5" authorId="9">
      <x:text>
        <x:r>
          <x:t>[Threaded comment]
Your version of Excel allows you to read this threaded comment; however, any edits to it will get removed if the file is opened in a newer version of Excel. Learn more: https://go.microsoft.com/fwlink/?linkid=870924
Comment:
    Fuente: BCRPData, serie diaria PD04715XD; fuentes originales Reuters/J.P. Morgan. Promedio mensual de observaciones publicadas.</x:t>
        </x:r>
      </x:text>
    </x:comment>
    <x:comment ref="P5" authorId="10">
      <x:text>
        <x:r>
          <x:t>[Threaded comment]
Your version of Excel allows you to read this threaded comment; however, any edits to it will get removed if the file is opened in a newer version of Excel. Learn more: https://go.microsoft.com/fwlink/?linkid=870924
Comment:
    Construcción: EMBIG Colombia en puntos básicos dividido por 100; 100 pb = 1 pp.</x:t>
        </x:r>
      </x:text>
    </x:comment>
    <x:comment ref="Q5" authorId="11">
      <x:text>
        <x:r>
          <x:t>[Threaded comment]
Your version of Excel allows you to read this threaded comment; however, any edits to it will get removed if the file is opened in a newer version of Excel. Learn more: https://go.microsoft.com/fwlink/?linkid=870924
Comment:
    Fuente: Banco de la República, balanza comercial cambiaria, serie 16702.</x:t>
        </x:r>
      </x:text>
    </x:comment>
    <x:comment ref="R5" authorId="12">
      <x:text>
        <x:r>
          <x:t>[Threaded comment]
Your version of Excel allows you to read this threaded comment; however, any edits to it will get removed if the file is opened in a newer version of Excel. Learn more: https://go.microsoft.com/fwlink/?linkid=870924
Comment:
    Fuente: Banco de la República, flujo neto total de capital, serie 16706.</x:t>
        </x:r>
      </x:text>
    </x:comment>
    <x:comment ref="S5" authorId="13">
      <x:text>
        <x:r>
          <x:t>[Threaded comment]
Your version of Excel allows you to read this threaded comment; however, any edits to it will get removed if the file is opened in a newer version of Excel. Learn more: https://go.microsoft.com/fwlink/?linkid=870924
Comment:
    Fuente: Banco de la República, curva cero cupón TES en pesos a 5 años, serie 15273; promedio mensual.</x:t>
        </x:r>
      </x:text>
    </x:comment>
    <x:comment ref="T5" authorId="14">
      <x:text>
        <x:r>
          <x:t>[Threaded comment]
Your version of Excel allows you to read this threaded comment; however, any edits to it will get removed if the file is opened in a newer version of Excel. Learn more: https://go.microsoft.com/fwlink/?linkid=870924
Comment:
    Fuente: Banco de la República, curva cero cupón TES UVR a 5 años, serie 15276; promedio mensual.</x:t>
        </x:r>
      </x:text>
    </x:comment>
    <x:comment ref="U5" authorId="15">
      <x:text>
        <x:r>
          <x:t>[Threaded comment]
Your version of Excel allows you to read this threaded comment; however, any edits to it will get removed if the file is opened in a newer version of Excel. Learn more: https://go.microsoft.com/fwlink/?linkid=870924
Comment:
    Construcción: TES pesos 5 años menos TES UVR 5 años. Es compensación inflacionaria implícita, no una expectativa pura.</x:t>
        </x:r>
      </x:text>
    </x:comment>
    <x:comment ref="V5" authorId="16">
      <x:text>
        <x:r>
          <x:t>[Threaded comment]
Your version of Excel allows you to read this threaded comment; however, any edits to it will get removed if the file is opened in a newer version of Excel. Learn more: https://go.microsoft.com/fwlink/?linkid=870924
Comment:
    Fuente: Federal Reserve Board, curva Gürkaynak–Sack–Wright BKEVEN05, cero cupón a 5 años y capitalización continua; promedio mensual.</x:t>
        </x:r>
      </x:text>
    </x:comment>
    <x:comment ref="W5" authorId="17">
      <x:text>
        <x:r>
          <x:t>[Threaded comment]
Your version of Excel allows you to read this threaded comment; however, any edits to it will get removed if the file is opened in a newer version of Excel. Learn more: https://go.microsoft.com/fwlink/?linkid=870924
Comment:
    Construcción: BEI Colombia 5 años menos BEI EE. UU. 5 años. Las curvas se promedian por separado; incluye primas de riesgo inflacionario y liquidez.</x:t>
        </x:r>
      </x:text>
    </x:comment>
    <x:comment ref="X5" authorId="18">
      <x:text>
        <x:r>
          <x:t>[Threaded comment]
Your version of Excel allows you to read this threaded comment; however, any edits to it will get removed if the file is opened in a newer version of Excel. Learn more: https://go.microsoft.com/fwlink/?linkid=870924
Comment:
    Fuente: OECD vía FRED, CCUSMA02BRM618N; reales brasileños por dólar.</x:t>
        </x:r>
      </x:text>
    </x:comment>
    <x:comment ref="Y5" authorId="19">
      <x:text>
        <x:r>
          <x:t>[Threaded comment]
Your version of Excel allows you to read this threaded comment; however, any edits to it will get removed if the file is opened in a newer version of Excel. Learn more: https://go.microsoft.com/fwlink/?linkid=870924
Comment:
    Fuente: OECD vía FRED, CCUSMA02CLM618N; pesos chilenos por dólar.</x:t>
        </x:r>
      </x:text>
    </x:comment>
    <x:comment ref="Z5" authorId="20">
      <x:text>
        <x:r>
          <x:t>[Threaded comment]
Your version of Excel allows you to read this threaded comment; however, any edits to it will get removed if the file is opened in a newer version of Excel. Learn more: https://go.microsoft.com/fwlink/?linkid=870924
Comment:
    Fuente: OECD vía FRED, CCUSMA02MXM618N; pesos mexicanos por dólar.</x:t>
        </x:r>
      </x:text>
    </x:comment>
    <x:comment ref="AA5" authorId="21">
      <x:text>
        <x:r>
          <x:t>[Threaded comment]
Your version of Excel allows you to read this threaded comment; however, any edits to it will get removed if the file is opened in a newer version of Excel. Learn more: https://go.microsoft.com/fwlink/?linkid=870924
Comment:
    Fuente: BCRPData PN01207PM, tipo de cambio interbancario promedio; soles peruanos por dólar. https://estadisticas.bcrp.gob.pe/estadisticas/series/mensuales/resultados/PN01207PM/html</x:t>
        </x:r>
      </x:text>
    </x:comment>
    <x:comment ref="AB5" authorId="22">
      <x:text>
        <x:r>
          <x:t>[Threaded comment]
Your version of Excel allows you to read this threaded comment; however, any edits to it will get removed if the file is opened in a newer version of Excel. Learn more: https://go.microsoft.com/fwlink/?linkid=870924
Comment:
    Construcción: promedio igual ponderado de retornos mensuales estandarizados de BRL, CLP y MXN por USD. Medias y desviaciones calibradas con 2006–2019.</x:t>
        </x:r>
      </x:text>
    </x:comment>
    <x:comment ref="AC5" authorId="23">
      <x:text>
        <x:r>
          <x:t>[Threaded comment]
Your version of Excel allows you to read this threaded comment; however, any edits to it will get removed if the file is opened in a newer version of Excel. Learn more: https://go.microsoft.com/fwlink/?linkid=870924
Comment:
    Construcción activa de la explicación histórica: promedio igual ponderado de retornos mensuales estandarizados de BRL, CLP, MXN y PEN por USD. Medias y desviaciones calibradas con 2006–2019.</x:t>
        </x:r>
      </x:text>
    </x:comment>
  </x:commentList>
</x:comments>
</file>

<file path=xl/comments2.xml><?xml version="1.0" encoding="utf-8"?>
<x:comments xmlns:x="http://schemas.openxmlformats.org/spreadsheetml/2006/main">
  <x:authors>
    <x:author>tc={64A5137C-9C2A-F9EE-76F0-A99667AFEB5C}</x:author>
    <x:author>tc={A1898B3E-D97E-69C7-A6E0-5D1450893CA9}</x:author>
    <x:author>tc={AF4BFAFF-AA40-AFBB-9F29-F8C19E16E346}</x:author>
    <x:author>tc={29831D12-9906-336B-5D20-E7B110615076}</x:author>
  </x:authors>
  <x:commentList>
    <x:comment ref="U5" authorId="0">
      <x:text>
        <x:r>
          <x:t>[Threaded comment]
Your version of Excel allows you to read this threaded comment; however, any edits to it will get removed if the file is opened in a newer version of Excel. Learn more: https://go.microsoft.com/fwlink/?linkid=870924
Comment:
    Escala auditable: el flujo original en USD millones se divide por 1.000 antes de aplicar asinh, igual que en la estimación en Python.</x:t>
        </x:r>
      </x:text>
    </x:comment>
    <x:comment ref="W5" authorId="1">
      <x:text>
        <x:r>
          <x:t>[Threaded comment]
Your version of Excel allows you to read this threaded comment; however, any edits to it will get removed if the file is opened in a newer version of Excel. Learn more: https://go.microsoft.com/fwlink/?linkid=870924
Comment:
    Escala auditable: el flujo original en USD millones se divide por 1.000 antes de aplicar asinh, igual que en la estimación en Python.</x:t>
        </x:r>
      </x:text>
    </x:comment>
    <x:comment ref="AA5" authorId="2">
      <x:text>
        <x:r>
          <x:t>[Threaded comment]
Your version of Excel allows you to read this threaded comment; however, any edits to it will get removed if the file is opened in a newer version of Excel. Learn more: https://go.microsoft.com/fwlink/?linkid=870924
Comment:
    Promedio igual ponderado de retornos mensuales estandarizados de BRL, CLP y MXN por USD. Medias y desviaciones calibradas entre enero de 2006 y diciembre de 2019.</x:t>
        </x:r>
      </x:text>
    </x:comment>
    <x:comment ref="AB5" authorId="3">
      <x:text>
        <x:r>
          <x:t>[Threaded comment]
Your version of Excel allows you to read this threaded comment; however, any edits to it will get removed if the file is opened in a newer version of Excel. Learn more: https://go.microsoft.com/fwlink/?linkid=870924
Comment:
    Promedio igual ponderado de retornos mensuales estandarizados de BRL, CLP, MXN y PEN por USD. Es la composición activa de la explicación histórica.</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000"/>
    <x:numFmt numFmtId="201" formatCode="0.0%"/>
    <x:numFmt numFmtId="202" formatCode="0.00"/>
    <x:numFmt numFmtId="203" formatCode="#,##0"/>
    <x:numFmt numFmtId="204" formatCode="#,##0.00"/>
    <x:numFmt numFmtId="205" formatCode="#,##0.00;[Red]-#,##0.00"/>
    <x:numFmt numFmtId="206" formatCode="0"/>
    <x:numFmt numFmtId="207" formatCode="#,##0.0000"/>
    <x:numFmt numFmtId="208" formatCode="0.000000"/>
    <x:numFmt numFmtId="209" formatCode="0.0000%"/>
    <x:numFmt numFmtId="210" formatCode="0.00 &quot;p.p.&quot;"/>
    <x:numFmt numFmtId="211" formatCode="0.000"/>
  </x:numFmts>
  <x:fonts count="5">
    <x:font>
      <x:sz val="11"/>
      <x:name val="Carlito"/>
    </x:font>
    <x:font>
      <x:sz val="11"/>
      <x:color rgb="FF1F2937"/>
      <x:name val="Aptos"/>
    </x:font>
    <x:font>
      <x:b/>
      <x:sz val="11"/>
      <x:color rgb="FFFFFFFF"/>
      <x:name val="Aptos"/>
    </x:font>
    <x:font>
      <x:b/>
      <x:sz val="11"/>
      <x:color rgb="FF17365D"/>
      <x:name val="Aptos"/>
    </x:font>
    <x:font>
      <x:b/>
      <x:sz val="11"/>
      <x:color rgb="FF1F2937"/>
      <x:name val="Aptos"/>
    </x:font>
  </x:fonts>
  <x:fills count="10">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FFFFFF"/>
      </x:patternFill>
    </x:fill>
    <x:fill>
      <x:patternFill patternType="solid">
        <x:fgColor rgb="FFE2F0D9"/>
      </x:patternFill>
    </x:fill>
    <x:fill>
      <x:patternFill patternType="solid">
        <x:fgColor rgb="FFFFF2CC"/>
      </x:patternFill>
    </x:fill>
    <x:fill>
      <x:patternFill patternType="solid">
        <x:fgColor rgb="FFFCE4D6"/>
      </x:patternFill>
    </x:fill>
    <x:fill>
      <x:patternFill patternType="solid">
        <x:fgColor rgb="FF2F75B5"/>
      </x:patternFill>
    </x:fill>
    <x:fill>
      <x:patternFill patternType="solid">
        <x:fgColor rgb="FFF2F2F2"/>
      </x:patternFill>
    </x:fill>
  </x:fills>
  <x:borders count="10">
    <x:border/>
    <x:border>
      <x:left style="thin">
        <x:color rgb="FF2F75B5"/>
      </x:left>
      <x:top style="thin">
        <x:color rgb="FF2F75B5"/>
      </x:top>
      <x:bottom style="thin">
        <x:color rgb="FF2F75B5"/>
      </x:bottom>
    </x:border>
    <x:border>
      <x:right style="thin">
        <x:color rgb="FF2F75B5"/>
      </x:right>
      <x:top style="thin">
        <x:color rgb="FF2F75B5"/>
      </x:top>
      <x:bottom style="thin">
        <x:color rgb="FF2F75B5"/>
      </x:bottom>
    </x:border>
    <x:border>
      <x:left style="thin">
        <x:color rgb="FF2F75B5"/>
      </x:left>
      <x:top style="thin">
        <x:color rgb="FF2F75B5"/>
      </x:top>
    </x:border>
    <x:border>
      <x:right style="thin">
        <x:color rgb="FF2F75B5"/>
      </x:right>
      <x:top style="thin">
        <x:color rgb="FF2F75B5"/>
      </x:top>
    </x:border>
    <x:border>
      <x:left style="thin">
        <x:color rgb="FF2F75B5"/>
      </x:left>
      <x:bottom style="thin">
        <x:color rgb="FF2F75B5"/>
      </x:bottom>
    </x:border>
    <x:border>
      <x:right style="thin">
        <x:color rgb="FF2F75B5"/>
      </x:right>
      <x:bottom style="thin">
        <x:color rgb="FF2F75B5"/>
      </x:bottom>
    </x:border>
    <x:border>
      <x:left style="thin">
        <x:color rgb="FFB4C6E7"/>
      </x:left>
      <x:right style="thin">
        <x:color rgb="FFB4C6E7"/>
      </x:right>
      <x:top style="thin">
        <x:color rgb="FFB4C6E7"/>
      </x:top>
      <x:bottom style="thin">
        <x:color rgb="FFB4C6E7"/>
      </x:bottom>
    </x:border>
    <x:border>
      <x:left style="thin">
        <x:color rgb="FFD9E1F2"/>
      </x:left>
      <x:right style="thin">
        <x:color rgb="FFD9E1F2"/>
      </x:right>
      <x:top style="thin">
        <x:color rgb="FFD9E1F2"/>
      </x:top>
      <x:bottom style="thin">
        <x:color rgb="FFD9E1F2"/>
      </x:bottom>
    </x:border>
    <x:border>
      <x:left style="thin">
        <x:color rgb="FFE6B800"/>
      </x:left>
      <x:right style="thin">
        <x:color rgb="FFE6B800"/>
      </x:right>
      <x:top style="thin">
        <x:color rgb="FFE6B800"/>
      </x:top>
      <x:bottom style="thin">
        <x:color rgb="FFE6B800"/>
      </x:bottom>
    </x:border>
  </x:borders>
  <x:cellStyleXfs count="1">
    <x:xf numFmtId="0" fontId="0" fillId="0" borderId="0"/>
  </x:cellStyleXfs>
  <x:cellXfs count="133">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vertical="center" wrapText="1"/>
    </x:xf>
    <x:xf numFmtId="0" fontId="3" fillId="3" borderId="0" xfId="0" applyNumberFormat="1" applyFont="1" applyFill="1" applyBorder="1"/>
    <x:xf numFmtId="0" fontId="3" fillId="3" borderId="1" xfId="0" applyNumberFormat="1" applyFont="1" applyFill="1" applyBorder="1"/>
    <x:xf numFmtId="0" fontId="3" fillId="3" borderId="2" xfId="0" applyNumberFormat="1" applyFont="1" applyFill="1" applyBorder="1"/>
    <x:xf numFmtId="0" fontId="3" fillId="3" borderId="1" xfId="0" applyNumberFormat="1" applyFont="1" applyFill="1" applyBorder="1" applyAlignment="1">
      <x:alignment horizontal="center"/>
    </x:xf>
    <x:xf numFmtId="0" fontId="3" fillId="3" borderId="2" xfId="0" applyNumberFormat="1" applyFont="1" applyFill="1" applyBorder="1" applyAlignment="1">
      <x:alignment horizontal="center"/>
    </x:xf>
    <x:xf numFmtId="0" fontId="3" fillId="3" borderId="1" xfId="0" applyNumberFormat="1" applyFont="1" applyFill="1" applyBorder="1" applyAlignment="1">
      <x:alignment horizontal="center" vertical="center"/>
    </x:xf>
    <x:xf numFmtId="0" fontId="3" fillId="3" borderId="2" xfId="0" applyNumberFormat="1" applyFont="1" applyFill="1" applyBorder="1" applyAlignment="1">
      <x:alignment horizontal="center" vertical="center"/>
    </x:xf>
    <x:xf numFmtId="0" fontId="1" fillId="4" borderId="0" xfId="0" applyNumberFormat="1" applyFont="1" applyFill="1" applyBorder="1"/>
    <x:xf numFmtId="0" fontId="3" fillId="4" borderId="0"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3" xfId="0" applyNumberFormat="1" applyFont="1" applyFill="1" applyBorder="1" applyAlignment="1">
      <x:alignment horizontal="center"/>
    </x:xf>
    <x:xf numFmtId="0" fontId="3" fillId="4" borderId="4" xfId="0" applyNumberFormat="1" applyFont="1" applyFill="1" applyBorder="1" applyAlignment="1">
      <x:alignment horizontal="center"/>
    </x:xf>
    <x:xf numFmtId="0" fontId="3" fillId="4" borderId="5" xfId="0" applyNumberFormat="1" applyFont="1" applyFill="1" applyBorder="1" applyAlignment="1">
      <x:alignment horizontal="center"/>
    </x:xf>
    <x:xf numFmtId="0" fontId="3" fillId="4" borderId="6" xfId="0" applyNumberFormat="1" applyFont="1" applyFill="1" applyBorder="1" applyAlignment="1">
      <x:alignment horizontal="center"/>
    </x:xf>
    <x:xf numFmtId="0" fontId="3" fillId="4" borderId="3" xfId="0" applyNumberFormat="1" applyFont="1" applyFill="1" applyBorder="1" applyAlignment="1">
      <x:alignment horizontal="center" vertical="center"/>
    </x:xf>
    <x:xf numFmtId="0" fontId="3" fillId="4" borderId="4" xfId="0" applyNumberFormat="1" applyFont="1" applyFill="1" applyBorder="1" applyAlignment="1">
      <x:alignment horizontal="center" vertical="center"/>
    </x:xf>
    <x:xf numFmtId="0" fontId="3" fillId="4" borderId="5" xfId="0" applyNumberFormat="1" applyFont="1" applyFill="1" applyBorder="1" applyAlignment="1">
      <x:alignment horizontal="center" vertical="center"/>
    </x:xf>
    <x:xf numFmtId="0" fontId="3" fillId="4" borderId="6" xfId="0" applyNumberFormat="1" applyFont="1" applyFill="1" applyBorder="1" applyAlignment="1">
      <x:alignment horizontal="center" vertical="center"/>
    </x:xf>
    <x:xf numFmtId="0" fontId="1" fillId="5" borderId="0" xfId="0" applyNumberFormat="1" applyFont="1" applyFill="1" applyBorder="1"/>
    <x:xf numFmtId="0" fontId="3" fillId="5" borderId="0" xfId="0" applyNumberFormat="1" applyFont="1" applyFill="1" applyBorder="1"/>
    <x:xf numFmtId="0" fontId="3" fillId="5" borderId="1" xfId="0" applyNumberFormat="1" applyFont="1" applyFill="1" applyBorder="1"/>
    <x:xf numFmtId="0" fontId="3" fillId="5" borderId="2" xfId="0" applyNumberFormat="1" applyFont="1" applyFill="1" applyBorder="1"/>
    <x:xf numFmtId="0" fontId="3" fillId="5" borderId="1" xfId="0" applyNumberFormat="1" applyFont="1" applyFill="1" applyBorder="1" applyAlignment="1">
      <x:alignment horizontal="center"/>
    </x:xf>
    <x:xf numFmtId="0" fontId="3" fillId="5" borderId="2" xfId="0" applyNumberFormat="1" applyFont="1" applyFill="1" applyBorder="1" applyAlignment="1">
      <x:alignment horizontal="center"/>
    </x:xf>
    <x:xf numFmtId="0" fontId="3" fillId="5" borderId="1" xfId="0" applyNumberFormat="1" applyFont="1" applyFill="1" applyBorder="1" applyAlignment="1">
      <x:alignment horizontal="center" vertical="center"/>
    </x:xf>
    <x:xf numFmtId="0" fontId="3" fillId="5" borderId="2" xfId="0" applyNumberFormat="1" applyFont="1" applyFill="1" applyBorder="1" applyAlignment="1">
      <x:alignment horizontal="center" vertical="center"/>
    </x:xf>
    <x:xf numFmtId="0" fontId="1" fillId="6" borderId="0" xfId="0" applyNumberFormat="1" applyFont="1" applyFill="1" applyBorder="1"/>
    <x:xf numFmtId="0" fontId="3" fillId="6" borderId="0" xfId="0" applyNumberFormat="1" applyFont="1" applyFill="1" applyBorder="1"/>
    <x:xf numFmtId="0" fontId="3" fillId="6" borderId="1" xfId="0" applyNumberFormat="1" applyFont="1" applyFill="1" applyBorder="1"/>
    <x:xf numFmtId="0" fontId="3" fillId="6" borderId="2" xfId="0" applyNumberFormat="1" applyFont="1" applyFill="1" applyBorder="1"/>
    <x:xf numFmtId="0" fontId="3" fillId="6" borderId="1" xfId="0" applyNumberFormat="1" applyFont="1" applyFill="1" applyBorder="1" applyAlignment="1">
      <x:alignment horizontal="center"/>
    </x:xf>
    <x:xf numFmtId="0" fontId="3" fillId="6" borderId="2" xfId="0" applyNumberFormat="1" applyFont="1" applyFill="1" applyBorder="1" applyAlignment="1">
      <x:alignment horizontal="center"/>
    </x:xf>
    <x:xf numFmtId="0" fontId="3" fillId="6" borderId="1" xfId="0" applyNumberFormat="1" applyFont="1" applyFill="1" applyBorder="1" applyAlignment="1">
      <x:alignment horizontal="center" vertical="center"/>
    </x:xf>
    <x:xf numFmtId="0" fontId="3" fillId="6" borderId="2" xfId="0" applyNumberFormat="1" applyFont="1" applyFill="1" applyBorder="1" applyAlignment="1">
      <x:alignment horizontal="center" vertical="center"/>
    </x:xf>
    <x:xf numFmtId="0" fontId="1" fillId="7" borderId="0" xfId="0" applyNumberFormat="1" applyFont="1" applyFill="1" applyBorder="1"/>
    <x:xf numFmtId="0" fontId="3" fillId="7" borderId="0" xfId="0" applyNumberFormat="1" applyFont="1" applyFill="1" applyBorder="1"/>
    <x:xf numFmtId="0" fontId="3" fillId="7" borderId="1" xfId="0" applyNumberFormat="1" applyFont="1" applyFill="1" applyBorder="1"/>
    <x:xf numFmtId="0" fontId="3" fillId="7" borderId="2" xfId="0" applyNumberFormat="1" applyFont="1" applyFill="1" applyBorder="1"/>
    <x:xf numFmtId="0" fontId="3" fillId="7" borderId="1" xfId="0" applyNumberFormat="1" applyFont="1" applyFill="1" applyBorder="1" applyAlignment="1">
      <x:alignment horizontal="center"/>
    </x:xf>
    <x:xf numFmtId="0" fontId="3" fillId="7" borderId="2" xfId="0" applyNumberFormat="1" applyFont="1" applyFill="1" applyBorder="1" applyAlignment="1">
      <x:alignment horizontal="center"/>
    </x:xf>
    <x:xf numFmtId="0" fontId="3" fillId="7" borderId="1" xfId="0" applyNumberFormat="1" applyFont="1" applyFill="1" applyBorder="1" applyAlignment="1">
      <x:alignment horizontal="center" vertical="center"/>
    </x:xf>
    <x:xf numFmtId="0" fontId="3" fillId="7" borderId="2" xfId="0" applyNumberFormat="1" applyFont="1" applyFill="1" applyBorder="1" applyAlignment="1">
      <x:alignment horizontal="center" vertical="center"/>
    </x:xf>
    <x:xf numFmtId="0" fontId="1"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vertical="center"/>
    </x:xf>
    <x:xf numFmtId="0" fontId="1" fillId="9" borderId="0" xfId="0" applyNumberFormat="1" applyFont="1" applyFill="1" applyBorder="1"/>
    <x:xf numFmtId="0" fontId="1" fillId="9" borderId="0" xfId="0" applyNumberFormat="1" applyFont="1" applyFill="1" applyBorder="1" applyAlignment="1">
      <x:alignment wrapText="1"/>
    </x:xf>
    <x:xf numFmtId="0" fontId="1" fillId="9" borderId="0" xfId="0" applyNumberFormat="1" applyFont="1" applyFill="1" applyBorder="1" applyAlignment="1">
      <x:alignment vertical="center" wrapText="1"/>
    </x:xf>
    <x:xf numFmtId="0" fontId="2" fillId="2" borderId="7" xfId="0" applyNumberFormat="1" applyFont="1" applyFill="1" applyBorder="1"/>
    <x:xf numFmtId="0" fontId="2" fillId="2" borderId="7" xfId="0" applyNumberFormat="1" applyFont="1" applyFill="1" applyBorder="1" applyAlignment="1">
      <x:alignment wrapText="1"/>
    </x:xf>
    <x:xf numFmtId="0" fontId="2" fillId="2" borderId="7" xfId="0" applyNumberFormat="1" applyFont="1" applyFill="1" applyBorder="1" applyAlignment="1">
      <x:alignment horizontal="center" wrapText="1"/>
    </x:xf>
    <x:xf numFmtId="0" fontId="2" fillId="2" borderId="7" xfId="0" applyNumberFormat="1" applyFont="1" applyFill="1" applyBorder="1" applyAlignment="1">
      <x:alignment horizontal="center" vertical="center" wrapText="1"/>
    </x:xf>
    <x:xf numFmtId="200" fontId="1" fillId="0" borderId="0" xfId="0" applyNumberFormat="1" applyFont="1" applyFill="1" applyBorder="1"/>
    <x:xf numFmtId="0" fontId="1" fillId="0" borderId="0" xfId="0" applyNumberFormat="1" applyFont="1" applyFill="1" applyBorder="1" applyAlignment="1">
      <x:alignment wrapText="1"/>
    </x:xf>
    <x:xf numFmtId="200" fontId="1" fillId="0" borderId="0" xfId="0" applyNumberFormat="1" applyFont="1" applyFill="1" applyBorder="1" applyAlignment="1">
      <x:alignment wrapText="1"/>
    </x:xf>
    <x:xf numFmtId="0" fontId="2" fillId="2" borderId="8" xfId="0" applyNumberFormat="1" applyFont="1" applyFill="1" applyBorder="1" applyAlignment="1">
      <x:alignment horizontal="center" vertical="center" wrapText="1"/>
    </x:xf>
    <x:xf numFmtId="0" fontId="1" fillId="0" borderId="8" xfId="0" applyNumberFormat="1" applyFont="1" applyFill="1" applyBorder="1" applyAlignment="1">
      <x:alignment wrapText="1"/>
    </x:xf>
    <x:xf numFmtId="200" fontId="1" fillId="0" borderId="8" xfId="0" applyNumberFormat="1" applyFont="1" applyFill="1" applyBorder="1" applyAlignment="1">
      <x:alignment wrapText="1"/>
    </x:xf>
    <x:xf numFmtId="0" fontId="1" fillId="5" borderId="8" xfId="0" applyNumberFormat="1" applyFont="1" applyFill="1" applyBorder="1" applyAlignment="1">
      <x:alignment wrapText="1"/>
    </x:xf>
    <x:xf numFmtId="200" fontId="1" fillId="5" borderId="8" xfId="0" applyNumberFormat="1" applyFont="1" applyFill="1" applyBorder="1" applyAlignment="1">
      <x:alignment wrapText="1"/>
    </x:xf>
    <x:xf numFmtId="0" fontId="4" fillId="5" borderId="8" xfId="0" applyNumberFormat="1" applyFont="1" applyFill="1" applyBorder="1" applyAlignment="1">
      <x:alignment wrapText="1"/>
    </x:xf>
    <x:xf numFmtId="200" fontId="4" fillId="5" borderId="8" xfId="0" applyNumberFormat="1" applyFont="1" applyFill="1" applyBorder="1" applyAlignment="1">
      <x:alignment wrapText="1"/>
    </x:xf>
    <x:xf numFmtId="0" fontId="1" fillId="6" borderId="9" xfId="0" applyNumberFormat="1" applyFont="1" applyFill="1" applyBorder="1"/>
    <x:xf numFmtId="0" fontId="1" fillId="6" borderId="9" xfId="0" applyNumberFormat="1" applyFont="1" applyFill="1" applyBorder="1" applyAlignment="1">
      <x:alignment wrapText="1"/>
    </x:xf>
    <x:xf numFmtId="0" fontId="1" fillId="2" borderId="9" xfId="0" applyNumberFormat="1" applyFont="1" applyFill="1" applyBorder="1" applyAlignment="1">
      <x:alignment wrapText="1"/>
    </x:xf>
    <x:xf numFmtId="0" fontId="2" fillId="2" borderId="9" xfId="0" applyNumberFormat="1" applyFont="1" applyFill="1" applyBorder="1" applyAlignment="1">
      <x:alignment wrapText="1"/>
    </x:xf>
    <x:xf numFmtId="0" fontId="2" fillId="2" borderId="9" xfId="0" applyNumberFormat="1" applyFont="1" applyFill="1" applyBorder="1" applyAlignment="1">
      <x:alignment horizontal="center" wrapText="1"/>
    </x:xf>
    <x:xf numFmtId="0" fontId="2" fillId="2" borderId="9" xfId="0" applyNumberFormat="1" applyFont="1" applyFill="1" applyBorder="1" applyAlignment="1">
      <x:alignment horizontal="center" vertical="center" wrapText="1"/>
    </x:xf>
    <x:xf numFmtId="201" fontId="1" fillId="0" borderId="0" xfId="0" applyNumberFormat="1" applyFont="1" applyFill="1" applyBorder="1"/>
    <x:xf numFmtId="202" fontId="1" fillId="0" borderId="0" xfId="0" applyNumberFormat="1" applyFont="1" applyFill="1" applyBorder="1"/>
    <x:xf numFmtId="201" fontId="1" fillId="0" borderId="0" xfId="0" applyNumberFormat="1" applyFont="1" applyFill="1" applyBorder="1" applyAlignment="1">
      <x:alignment wrapText="1"/>
    </x:xf>
    <x:xf numFmtId="203" fontId="1" fillId="0" borderId="0" xfId="0" applyNumberFormat="1" applyFont="1" applyFill="1" applyBorder="1"/>
    <x:xf numFmtId="0" fontId="1" fillId="0" borderId="0" xfId="0" applyNumberFormat="1" applyFont="1" applyFill="1" applyBorder="1" applyAlignment="1">
      <x:alignment vertical="center"/>
    </x:xf>
    <x:xf numFmtId="0" fontId="1" fillId="0" borderId="8" xfId="0" applyNumberFormat="1" applyFont="1" applyFill="1" applyBorder="1" applyAlignment="1">
      <x:alignment vertical="center" wrapText="1"/>
    </x:xf>
    <x:xf numFmtId="200" fontId="1" fillId="0" borderId="8" xfId="0" applyNumberFormat="1" applyFont="1" applyFill="1" applyBorder="1" applyAlignment="1">
      <x:alignment vertical="center" wrapText="1"/>
    </x:xf>
    <x:xf numFmtId="0" fontId="4" fillId="5" borderId="8" xfId="0" applyNumberFormat="1" applyFont="1" applyFill="1" applyBorder="1" applyAlignment="1">
      <x:alignment vertical="center" wrapText="1"/>
    </x:xf>
    <x:xf numFmtId="200" fontId="4" fillId="5" borderId="8" xfId="0" applyNumberFormat="1" applyFont="1" applyFill="1" applyBorder="1" applyAlignment="1">
      <x:alignment vertical="center" wrapText="1"/>
    </x:xf>
    <x:xf numFmtId="0" fontId="1" fillId="6" borderId="9" xfId="0" applyNumberFormat="1" applyFont="1" applyFill="1" applyBorder="1" applyAlignment="1">
      <x:alignment vertical="center" wrapText="1"/>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203"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204" fontId="1" fillId="0" borderId="0" xfId="0" applyNumberFormat="1" applyFont="1" applyFill="1" applyBorder="1"/>
    <x:xf numFmtId="205" fontId="1" fillId="0" borderId="0" xfId="0" applyNumberFormat="1" applyFont="1" applyFill="1" applyBorder="1"/>
    <x:xf numFmtId="206" fontId="1" fillId="0" borderId="0" xfId="0" applyNumberFormat="1" applyFont="1" applyFill="1" applyBorder="1"/>
    <x:xf numFmtId="207" fontId="1" fillId="0" borderId="0" xfId="0" applyNumberFormat="1" applyFont="1" applyFill="1" applyBorder="1"/>
    <x:xf numFmtId="208" fontId="1" fillId="0" borderId="0" xfId="0" applyNumberFormat="1" applyFont="1" applyFill="1" applyBorder="1"/>
    <x:xf numFmtId="204" fontId="1" fillId="0" borderId="0" xfId="0" applyNumberFormat="1" applyFont="1" applyFill="1" applyBorder="1" applyAlignment="1">
      <x:alignment vertical="center"/>
    </x:xf>
    <x:xf numFmtId="205" fontId="1" fillId="0" borderId="0" xfId="0" applyNumberFormat="1" applyFont="1" applyFill="1" applyBorder="1" applyAlignment="1">
      <x:alignment vertical="center"/>
    </x:xf>
    <x:xf numFmtId="206" fontId="1" fillId="0" borderId="0" xfId="0" applyNumberFormat="1" applyFont="1" applyFill="1" applyBorder="1" applyAlignment="1">
      <x:alignment vertical="center"/>
    </x:xf>
    <x:xf numFmtId="207" fontId="1" fillId="0" borderId="0" xfId="0" applyNumberFormat="1" applyFont="1" applyFill="1" applyBorder="1" applyAlignment="1">
      <x:alignment vertical="center"/>
    </x:xf>
    <x:xf numFmtId="208" fontId="1" fillId="0" borderId="0" xfId="0" applyNumberFormat="1" applyFont="1" applyFill="1" applyBorder="1" applyAlignment="1">
      <x:alignment vertical="center"/>
    </x:xf>
    <x:xf numFmtId="0" fontId="1" fillId="0" borderId="8" xfId="0" applyNumberFormat="1" applyFont="1" applyFill="1" applyBorder="1"/>
    <x:xf numFmtId="201" fontId="1" fillId="0" borderId="8" xfId="0" applyNumberFormat="1" applyFont="1" applyFill="1" applyBorder="1"/>
    <x:xf numFmtId="202" fontId="1" fillId="0" borderId="8" xfId="0" applyNumberFormat="1" applyFont="1" applyFill="1" applyBorder="1"/>
    <x:xf numFmtId="201" fontId="1" fillId="0" borderId="8" xfId="0" applyNumberFormat="1" applyFont="1" applyFill="1" applyBorder="1" applyAlignment="1">
      <x:alignment wrapText="1"/>
    </x:xf>
    <x:xf numFmtId="202" fontId="1" fillId="0" borderId="8" xfId="0" applyNumberFormat="1" applyFont="1" applyFill="1" applyBorder="1" applyAlignment="1">
      <x:alignment wrapText="1"/>
    </x:xf>
    <x:xf numFmtId="208" fontId="1" fillId="3" borderId="0" xfId="0" applyNumberFormat="1" applyFont="1" applyFill="1" applyBorder="1"/>
    <x:xf numFmtId="208" fontId="1" fillId="0" borderId="0" xfId="0" applyNumberFormat="1" applyFont="1" applyFill="1" applyBorder="1" applyAlignment="1">
      <x:alignment wrapText="1"/>
    </x:xf>
    <x:xf numFmtId="0" fontId="2" fillId="8" borderId="0" xfId="0" applyNumberFormat="1" applyFont="1" applyFill="1" applyBorder="1" applyAlignment="1">
      <x:alignment vertical="center" wrapText="1"/>
    </x:xf>
    <x:xf numFmtId="204" fontId="1" fillId="0" borderId="0" xfId="0" applyNumberFormat="1" applyFont="1" applyFill="1" applyBorder="1" applyAlignment="1">
      <x:alignment wrapText="1"/>
    </x:xf>
    <x:xf numFmtId="208" fontId="1" fillId="3" borderId="0" xfId="0" applyNumberFormat="1" applyFont="1" applyFill="1" applyBorder="1" applyAlignment="1">
      <x:alignment wrapText="1"/>
    </x:xf>
    <x:xf numFmtId="0" fontId="1" fillId="6" borderId="0" xfId="0" applyNumberFormat="1" applyFont="1" applyFill="1" applyBorder="1" applyAlignment="1">
      <x:alignment wrapText="1"/>
    </x:xf>
    <x:xf numFmtId="0" fontId="1" fillId="6" borderId="0" xfId="0" applyNumberFormat="1" applyFont="1" applyFill="1" applyBorder="1" applyAlignment="1">
      <x:alignment vertical="center" wrapText="1"/>
    </x:xf>
    <x:xf numFmtId="209" fontId="1" fillId="0" borderId="8" xfId="0" applyNumberFormat="1" applyFont="1" applyFill="1" applyBorder="1" applyAlignment="1">
      <x:alignment wrapText="1"/>
    </x:xf>
    <x:xf numFmtId="201" fontId="1" fillId="6" borderId="0" xfId="0" applyNumberFormat="1" applyFont="1" applyFill="1" applyBorder="1"/>
    <x:xf numFmtId="201" fontId="1" fillId="6" borderId="0" xfId="0" applyNumberFormat="1" applyFont="1" applyFill="1" applyBorder="1" applyAlignment="1">
      <x:alignment wrapText="1"/>
    </x:xf>
    <x:xf numFmtId="200" fontId="1" fillId="3" borderId="0" xfId="0" applyNumberFormat="1" applyFont="1" applyFill="1" applyBorder="1"/>
    <x:xf numFmtId="201" fontId="1" fillId="3" borderId="0" xfId="0" applyNumberFormat="1" applyFont="1" applyFill="1" applyBorder="1"/>
    <x:xf numFmtId="200" fontId="1" fillId="5" borderId="0" xfId="0" applyNumberFormat="1" applyFont="1" applyFill="1" applyBorder="1"/>
    <x:xf numFmtId="201" fontId="1" fillId="5" borderId="0" xfId="0" applyNumberFormat="1" applyFont="1" applyFill="1" applyBorder="1"/>
    <x:xf numFmtId="210" fontId="1" fillId="0" borderId="8" xfId="0" applyNumberFormat="1" applyFont="1" applyFill="1" applyBorder="1"/>
    <x:xf numFmtId="210" fontId="1" fillId="0" borderId="8" xfId="0" applyNumberFormat="1" applyFont="1" applyFill="1" applyBorder="1" applyAlignment="1">
      <x:alignment wrapText="1"/>
    </x:xf>
    <x:xf numFmtId="200" fontId="1" fillId="6" borderId="0" xfId="0" applyNumberFormat="1" applyFont="1" applyFill="1" applyBorder="1"/>
    <x:xf numFmtId="200" fontId="1" fillId="0" borderId="8" xfId="0" applyNumberFormat="1" applyFont="1" applyFill="1" applyBorder="1"/>
    <x:xf numFmtId="0" fontId="1" fillId="6" borderId="8" xfId="0" applyNumberFormat="1" applyFont="1" applyFill="1" applyBorder="1"/>
    <x:xf numFmtId="211" fontId="1" fillId="0" borderId="0" xfId="0" applyNumberFormat="1" applyFont="1" applyFill="1" applyBorder="1"/>
    <x:xf numFmtId="200" fontId="1" fillId="7" borderId="0" xfId="0" applyNumberFormat="1" applyFont="1" applyFill="1" applyBorder="1"/>
    <x:xf numFmtId="202" fontId="1" fillId="5" borderId="0" xfId="0" applyNumberFormat="1" applyFont="1" applyFill="1" applyBorder="1"/>
    <x:xf numFmtId="0" fontId="1" fillId="6" borderId="8" xfId="0" applyNumberFormat="1" applyFont="1" applyFill="1" applyBorder="1" applyAlignment="1">
      <x:alignment wrapText="1"/>
    </x:xf>
    <x:xf numFmtId="0" fontId="1" fillId="5" borderId="0" xfId="0" applyNumberFormat="1" applyFont="1" applyFill="1" applyBorder="1" applyAlignment="1">
      <x:alignment wrapText="1"/>
    </x:xf>
  </x:cellXfs>
  <x:cellStyles count="1">
    <x:cellStyle name="Normal" xfId="0"/>
  </x:cellStyles>
  <x:dxfs count="6">
    <x:dxf>
      <x:font>
        <x:b/>
        <x:color rgb="FF006100"/>
      </x:font>
      <x:fill>
        <x:patternFill patternType="solid">
          <x:bgColor rgb="FFE2F0D9"/>
        </x:patternFill>
      </x:fill>
    </x:dxf>
    <x:dxf>
      <x:font>
        <x:b/>
        <x:color rgb="FF006100"/>
      </x:font>
      <x:fill>
        <x:patternFill patternType="solid">
          <x:bgColor rgb="FFE2F0D9"/>
        </x:patternFill>
      </x:fill>
    </x:dxf>
    <x:dxf>
      <x:font>
        <x:b/>
        <x:color rgb="FF006100"/>
      </x:font>
      <x:fill>
        <x:patternFill patternType="solid">
          <x:bgColor rgb="FFE2F0D9"/>
        </x:patternFill>
      </x:fill>
    </x:dxf>
    <x:dxf>
      <x:font>
        <x:b/>
        <x:color rgb="FF006100"/>
      </x:font>
      <x:fill>
        <x:patternFill patternType="solid">
          <x:bgColor rgb="FFE2F0D9"/>
        </x:patternFill>
      </x:fill>
    </x:dxf>
    <x:dxf>
      <x:font>
        <x:b/>
        <x:color rgb="FF006100"/>
      </x:font>
      <x:fill>
        <x:patternFill patternType="solid">
          <x:bgColor rgb="FFE2F0D9"/>
        </x:patternFill>
      </x:fill>
    </x:dxf>
    <x:dxf>
      <x:font>
        <x:b/>
        <x:color rgb="FF006100"/>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82fe085f19843b9" /><Relationship Type="http://schemas.openxmlformats.org/officeDocument/2006/relationships/theme" Target="/xl/theme/theme1.xml" Id="R01e249eff27e4eb3" /><Relationship Type="http://schemas.openxmlformats.org/officeDocument/2006/relationships/sharedStrings" Target="/xl/sharedStrings.xml" Id="Rfe24bad0859241af" /><Relationship Type="http://schemas.openxmlformats.org/officeDocument/2006/relationships/worksheet" Target="/xl/worksheets/sheet1.xml" Id="R10b7d64a59b64db8" /><Relationship Type="http://schemas.openxmlformats.org/officeDocument/2006/relationships/worksheet" Target="/xl/worksheets/sheet2.xml" Id="Rb6d2d2b0812d4b73" /><Relationship Type="http://schemas.openxmlformats.org/officeDocument/2006/relationships/worksheet" Target="/xl/worksheets/sheet3.xml" Id="Rb663103308ee467c" /><Relationship Type="http://schemas.openxmlformats.org/officeDocument/2006/relationships/worksheet" Target="/xl/worksheets/sheet4.xml" Id="R0dd8553226d64fcf" /><Relationship Type="http://schemas.openxmlformats.org/officeDocument/2006/relationships/worksheet" Target="/xl/worksheets/sheet5.xml" Id="Re2dbf386b9ef4ccd" /><Relationship Type="http://schemas.openxmlformats.org/officeDocument/2006/relationships/worksheet" Target="/xl/worksheets/sheet6.xml" Id="R1af28a58f3554f4a" /><Relationship Type="http://schemas.openxmlformats.org/officeDocument/2006/relationships/worksheet" Target="/xl/worksheets/sheet7.xml" Id="R7ad9cb6c293f4a73" /><Relationship Type="http://schemas.openxmlformats.org/officeDocument/2006/relationships/worksheet" Target="/xl/worksheets/sheet8.xml" Id="R71c2be47751549dc" /><Relationship Type="http://schemas.openxmlformats.org/officeDocument/2006/relationships/worksheet" Target="/xl/worksheets/sheet9.xml" Id="R641be36bb51b4248" /><Relationship Type="http://schemas.openxmlformats.org/officeDocument/2006/relationships/worksheet" Target="/xl/worksheets/sheet10.xml" Id="R60edcfa049c242e0" /><Relationship Type="http://schemas.openxmlformats.org/officeDocument/2006/relationships/worksheet" Target="/xl/worksheets/sheet11.xml" Id="R91392b45a52b4f6a" /><Relationship Type="http://schemas.openxmlformats.org/officeDocument/2006/relationships/worksheet" Target="/xl/worksheets/sheet12.xml" Id="R551bbd684df1493f" /><Relationship Type="http://schemas.openxmlformats.org/officeDocument/2006/relationships/worksheet" Target="/xl/worksheets/sheet13.xml" Id="R3c5d961a3c5243e0" /><Relationship Type="http://schemas.microsoft.com/office/2017/10/relationships/person" Target="/xl/persons/person.xml" Id="R8c174db528304679" /></Relationships>
</file>

<file path=xl/drawings/_rels/drawing1.xml.rels>&#65279;<?xml version="1.0" encoding="utf-8"?><Relationships xmlns="http://schemas.openxmlformats.org/package/2006/relationships"><Relationship Type="http://schemas.openxmlformats.org/officeDocument/2006/relationships/chart" Target="/xl/drawings/charts/chart1.xml" Id="R1c1fd3147bed451c" /></Relationships>
</file>

<file path=xl/drawings/_rels/drawing2.xml.rels>&#65279;<?xml version="1.0" encoding="utf-8"?><Relationships xmlns="http://schemas.openxmlformats.org/package/2006/relationships"><Relationship Type="http://schemas.openxmlformats.org/officeDocument/2006/relationships/chart" Target="/xl/drawings/charts/chart2.xml" Id="R52206601b612483f" /></Relationships>
</file>

<file path=xl/drawings/_rels/drawing3.xml.rels>&#65279;<?xml version="1.0" encoding="utf-8"?><Relationships xmlns="http://schemas.openxmlformats.org/package/2006/relationships"><Relationship Type="http://schemas.openxmlformats.org/officeDocument/2006/relationships/chart" Target="/xl/drawings/charts/chart3.xml" Id="Rb1678a8f0ee54478" /></Relationships>
</file>

<file path=xl/drawings/_rels/drawing4.xml.rels>&#65279;<?xml version="1.0" encoding="utf-8"?><Relationships xmlns="http://schemas.openxmlformats.org/package/2006/relationships"><Relationship Type="http://schemas.openxmlformats.org/officeDocument/2006/relationships/chart" Target="/xl/drawings/charts/chart4.xml" Id="Rf8de24a6c0004b2c" /></Relationships>
</file>

<file path=xl/drawings/_rels/drawing5.xml.rels>&#65279;<?xml version="1.0" encoding="utf-8"?><Relationships xmlns="http://schemas.openxmlformats.org/package/2006/relationships"><Relationship Type="http://schemas.openxmlformats.org/officeDocument/2006/relationships/chart" Target="/xl/drawings/charts/chart5.xml" Id="R771cdd4020f8466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El modelo reproduce parte importante de los giros de la TRM</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marker>
            <c:symbol val="none"/>
          </c:marker>
          <c:cat>
            <c:strRef>
              <c:f>'Resumen'!$H$38:$H$58</c:f>
              <c:strCache>
                <c:ptCount val="0"/>
              </c:strCache>
            </c:strRef>
          </c:cat>
          <c:val>
            <c:numRef>
              <c:f>'Resumen'!$I$38:$I$58</c:f>
              <c:numCache>
                <c:formatCode>#,##0</c:formatCode>
                <c:ptCount val="0"/>
              </c:numCache>
            </c:numRef>
          </c:val>
          <c:smooth val="0"/>
        </c:ser>
        <c:ser>
          <c:idx val="1"/>
          <c:order val="1"/>
          <c:tx>
            <c:v>TRM ajustada</c:v>
          </c:tx>
          <c:marker>
            <c:symbol val="none"/>
          </c:marker>
          <c:cat>
            <c:strRef>
              <c:f>'Resumen'!$H$38:$H$58</c:f>
              <c:strCache>
                <c:ptCount val="0"/>
              </c:strCache>
            </c:strRef>
          </c:cat>
          <c:val>
            <c:numRef>
              <c:f>'Resumen'!$J$38:$J$58</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Ajuste de un paso, muestra anual</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marker>
            <c:symbol val="none"/>
          </c:marker>
          <c:cat>
            <c:strRef>
              <c:f>'Modelo_principal'!$P$18:$P$38</c:f>
              <c:strCache>
                <c:ptCount val="0"/>
              </c:strCache>
            </c:strRef>
          </c:cat>
          <c:val>
            <c:numRef>
              <c:f>'Modelo_principal'!$Q$18:$Q$38</c:f>
              <c:numCache>
                <c:formatCode>#,##0</c:formatCode>
                <c:ptCount val="0"/>
              </c:numCache>
            </c:numRef>
          </c:val>
          <c:smooth val="0"/>
        </c:ser>
        <c:ser>
          <c:idx val="1"/>
          <c:order val="1"/>
          <c:tx>
            <c:v>TRM ajustada</c:v>
          </c:tx>
          <c:marker>
            <c:symbol val="none"/>
          </c:marker>
          <c:cat>
            <c:strRef>
              <c:f>'Modelo_principal'!$P$18:$P$38</c:f>
              <c:strCache>
                <c:ptCount val="0"/>
              </c:strCache>
            </c:strRef>
          </c:cat>
          <c:val>
            <c:numRef>
              <c:f>'Modelo_principal'!$R$18:$R$38</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TRM observada y ajuste ampliado</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spPr>
            <a:solidFill xmlns:a="http://schemas.openxmlformats.org/drawingml/2006/main">
              <a:srgbClr val="17365D"/>
            </a:solidFill>
          </c:spPr>
          <c:marker>
            <c:symbol val="none"/>
          </c:marker>
          <c:cat>
            <c:strRef>
              <c:f>'Modelo_ampliado'!$A$25:$A$264</c:f>
              <c:strCache>
                <c:ptCount val="0"/>
              </c:strCache>
            </c:strRef>
          </c:cat>
          <c:val>
            <c:numRef>
              <c:f>'Modelo_ampliado'!$E$25:$E$264</c:f>
              <c:numCache>
                <c:formatCode>#,##0</c:formatCode>
                <c:ptCount val="0"/>
              </c:numCache>
            </c:numRef>
          </c:val>
          <c:smooth val="0"/>
        </c:ser>
        <c:ser>
          <c:idx val="1"/>
          <c:order val="1"/>
          <c:tx>
            <c:v>TRM ajustada</c:v>
          </c:tx>
          <c:spPr>
            <a:solidFill xmlns:a="http://schemas.openxmlformats.org/drawingml/2006/main">
              <a:srgbClr val="0F766E"/>
            </a:solidFill>
          </c:spPr>
          <c:marker>
            <c:symbol val="none"/>
          </c:marker>
          <c:cat>
            <c:strRef>
              <c:f>'Modelo_ampliado'!$A$25:$A$264</c:f>
              <c:strCache>
                <c:ptCount val="0"/>
              </c:strCache>
            </c:strRef>
          </c:cat>
          <c:val>
            <c:numRef>
              <c:f>'Modelo_ampliado'!$F$25:$F$264</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00"/>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Participación de cada factor en la explicación incremental</a:t>
            </a:r>
          </a:p>
        </c:rich>
      </c:tx>
      <c:overlay val="0"/>
      <c:txPr>
        <a:bodyPr xmlns:a="http://schemas.openxmlformats.org/drawingml/2006/main" anchorCtr="1"/>
        <a:lstStyle xmlns:a="http://schemas.openxmlformats.org/drawingml/2006/main"/>
        <a:p xmlns:a="http://schemas.openxmlformats.org/drawingml/2006/main">
          <a:pPr>
            <a:defRPr sz="900"/>
          </a:pPr>
        </a:p>
      </c:txPr>
    </c:title>
    <c:plotArea>
      <c:barChart>
        <c:barDir val="col"/>
        <c:varyColors val="0"/>
        <c:ser>
          <c:idx val="0"/>
          <c:order val="0"/>
          <c:tx>
            <c:v>Peso entre factores</c:v>
          </c:tx>
          <c:spPr>
            <a:solidFill xmlns:a="http://schemas.openxmlformats.org/drawingml/2006/main">
              <a:srgbClr val="2F75B5"/>
            </a:solidFill>
          </c:spPr>
          <c:cat>
            <c:strRef>
              <c:f>'Pesos_explicativos'!$A$11:$A$22</c:f>
              <c:strCache>
                <c:ptCount val="0"/>
              </c:strCache>
            </c:strRef>
          </c:cat>
          <c:val>
            <c:numRef>
              <c:f>'Pesos_explicativos'!$D$11:$D$22</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Validación condicional: observada, modelos y caminata</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marker>
            <c:symbol val="none"/>
          </c:marker>
          <c:cat>
            <c:strRef>
              <c:f>'Validacion'!$K$26:$K$73</c:f>
              <c:strCache>
                <c:ptCount val="0"/>
              </c:strCache>
            </c:strRef>
          </c:cat>
          <c:val>
            <c:numRef>
              <c:f>'Validacion'!$L$26:$L$73</c:f>
              <c:numCache>
                <c:formatCode>#,##0</c:formatCode>
                <c:ptCount val="0"/>
              </c:numCache>
            </c:numRef>
          </c:val>
          <c:smooth val="0"/>
        </c:ser>
        <c:ser>
          <c:idx val="1"/>
          <c:order val="1"/>
          <c:tx>
            <c:v>Modelo principal condicional</c:v>
          </c:tx>
          <c:marker>
            <c:symbol val="none"/>
          </c:marker>
          <c:cat>
            <c:strRef>
              <c:f>'Validacion'!$K$26:$K$73</c:f>
              <c:strCache>
                <c:ptCount val="0"/>
              </c:strCache>
            </c:strRef>
          </c:cat>
          <c:val>
            <c:numRef>
              <c:f>'Validacion'!$M$26:$M$73</c:f>
              <c:numCache>
                <c:formatCode>#,##0</c:formatCode>
                <c:ptCount val="0"/>
              </c:numCache>
            </c:numRef>
          </c:val>
          <c:smooth val="0"/>
        </c:ser>
        <c:ser>
          <c:idx val="2"/>
          <c:order val="2"/>
          <c:tx>
            <c:v>Modelo ampliado condicional</c:v>
          </c:tx>
          <c:marker>
            <c:symbol val="none"/>
          </c:marker>
          <c:cat>
            <c:strRef>
              <c:f>'Validacion'!$K$26:$K$73</c:f>
              <c:strCache>
                <c:ptCount val="0"/>
              </c:strCache>
            </c:strRef>
          </c:cat>
          <c:val>
            <c:numRef>
              <c:f>'Validacion'!$N$26:$N$73</c:f>
              <c:numCache>
                <c:formatCode>#,##0</c:formatCode>
                <c:ptCount val="0"/>
              </c:numCache>
            </c:numRef>
          </c:val>
          <c:smooth val="0"/>
        </c:ser>
        <c:ser>
          <c:idx val="3"/>
          <c:order val="3"/>
          <c:tx>
            <c:v>Caminata aleatoria</c:v>
          </c:tx>
          <c:marker>
            <c:symbol val="none"/>
          </c:marker>
          <c:cat>
            <c:strRef>
              <c:f>'Validacion'!$K$26:$K$73</c:f>
              <c:strCache>
                <c:ptCount val="0"/>
              </c:strCache>
            </c:strRef>
          </c:cat>
          <c:val>
            <c:numRef>
              <c:f>'Validacion'!$O$26:$O$73</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00"/>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5</xdr:row>
      <xdr:rowOff>0</xdr:rowOff>
    </xdr:from>
    <xdr:to>
      <xdr:col>14</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c1fd3147bed451c"/>
        </a:graphicData>
      </a:graphic>
    </xdr:graphicFrame>
    <xdr:clientData/>
  </xdr:twoCellAnchor>
</xdr:wsDr>
</file>

<file path=xl/drawings/drawing2.xml><?xml version="1.0" encoding="utf-8"?>
<xdr:wsDr xmlns:xdr="http://schemas.openxmlformats.org/drawingml/2006/spreadsheetDrawing">
  <xdr:twoCellAnchor>
    <xdr:from>
      <xdr:col>15</xdr:col>
      <xdr:colOff>0</xdr:colOff>
      <xdr:row>1</xdr:row>
      <xdr:rowOff>0</xdr:rowOff>
    </xdr:from>
    <xdr:to>
      <xdr:col>23</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2206601b612483f"/>
        </a:graphicData>
      </a:graphic>
    </xdr:graphicFrame>
    <xdr:clientData/>
  </xdr:twoCellAnchor>
</xdr:wsDr>
</file>

<file path=xl/drawings/drawing3.xml><?xml version="1.0" encoding="utf-8"?>
<xdr:wsDr xmlns:xdr="http://schemas.openxmlformats.org/drawingml/2006/spreadsheetDrawing">
  <xdr:twoCellAnchor>
    <xdr:from>
      <xdr:col>14</xdr:col>
      <xdr:colOff>0</xdr:colOff>
      <xdr:row>4</xdr:row>
      <xdr:rowOff>0</xdr:rowOff>
    </xdr:from>
    <xdr:to>
      <xdr:col>23</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1678a8f0ee54478"/>
        </a:graphicData>
      </a:graphic>
    </xdr:graphicFrame>
    <xdr:clientData/>
  </xdr:twoCellAnchor>
</xdr:wsDr>
</file>

<file path=xl/drawings/drawing4.xml><?xml version="1.0" encoding="utf-8"?>
<xdr:wsDr xmlns:xdr="http://schemas.openxmlformats.org/drawingml/2006/spreadsheetDrawing">
  <xdr:twoCellAnchor>
    <xdr:from>
      <xdr:col>9</xdr:col>
      <xdr:colOff>0</xdr:colOff>
      <xdr:row>4</xdr:row>
      <xdr:rowOff>0</xdr:rowOff>
    </xdr:from>
    <xdr:to>
      <xdr:col>18</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8de24a6c0004b2c"/>
        </a:graphicData>
      </a:graphic>
    </xdr:graphicFrame>
    <xdr:clientData/>
  </xdr:twoCellAnchor>
</xdr:wsDr>
</file>

<file path=xl/drawings/drawing5.xml><?xml version="1.0" encoding="utf-8"?>
<xdr:wsDr xmlns:xdr="http://schemas.openxmlformats.org/drawingml/2006/spreadsheetDrawing">
  <xdr:twoCellAnchor>
    <xdr:from>
      <xdr:col>10</xdr:col>
      <xdr:colOff>0</xdr:colOff>
      <xdr:row>4</xdr:row>
      <xdr:rowOff>0</xdr:rowOff>
    </xdr:from>
    <xdr:to>
      <xdr:col>18</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71cdd4020f8466c"/>
        </a:graphicData>
      </a:graphic>
    </xdr:graphicFrame>
    <xdr:clientData/>
  </xdr:twoCellAnchor>
</xdr:wsDr>
</file>

<file path=xl/persons/person.xml><?xml version="1.0" encoding="utf-8"?>
<xltc:personList xmlns:xltc="http://schemas.microsoft.com/office/spreadsheetml/2018/threadedcomments">
  <xltc:person displayName="Equipo de análisis" id="{68BF7041-F80F-4CC6-97F3-B47ACB304A8A}"/>
</xltc:personList>
</file>

<file path=xl/tables/table1.xml><?xml version="1.0" encoding="utf-8"?>
<x:table xmlns:x="http://schemas.openxmlformats.org/spreadsheetml/2006/main" id="1" name="ComparacionModelosResumenTable" displayName="ComparacionModelosResumenTable" ref="H30:N33" headerRowCount="1" totalsRowCount="0" totalsRowShown="0">
  <x:autoFilter ref="H30:N33"/>
  <x:tableColumns count="7">
    <x:tableColumn id="1" name="Modelo"/>
    <x:tableColumn id="2" name="Obs."/>
    <x:tableColumn id="3" name="R² ajustado"/>
    <x:tableColumn id="4" name="AIC"/>
    <x:tableColumn id="5" name="BIC"/>
    <x:tableColumn id="6" name="MAPE"/>
    <x:tableColumn id="7" name="Dirección"/>
  </x:tableColumns>
  <x:tableStyleInfo name="TableStyleMedium2" showFirstColumn="0" showLastColumn="0" showRowStripes="1" showColumnStripes="0"/>
</x:table>
</file>

<file path=xl/tables/table2.xml><?xml version="1.0" encoding="utf-8"?>
<x:table xmlns:x="http://schemas.openxmlformats.org/spreadsheetml/2006/main" id="2" name="PesosResumenTable" displayName="PesosResumenTable" ref="A39:F47" headerRowCount="1" totalsRowCount="0" totalsRowShown="0">
  <x:autoFilter ref="A39:F47"/>
  <x:tableColumns count="6">
    <x:tableColumn id="1" name="Factor"/>
    <x:tableColumn id="2" name="Grupo"/>
    <x:tableColumn id="3" name="Contribución al R²"/>
    <x:tableColumn id="4" name="Peso entre factores"/>
    <x:tableColumn id="5" name="Peso del R² total"/>
    <x:tableColumn id="6" name="Lectura"/>
  </x:tableColumns>
  <x:tableStyleInfo name="TableStyleMedium2" showFirstColumn="0" showLastColumn="0" showRowStripes="1" showColumnStripes="0"/>
</x:table>
</file>

<file path=xl/tables/table3.xml><?xml version="1.0" encoding="utf-8"?>
<x:table xmlns:x="http://schemas.openxmlformats.org/spreadsheetml/2006/main" id="3" name="DatosFuenteTable" displayName="DatosFuenteTable" ref="A5:AC250" headerRowCount="1" totalsRowCount="0" totalsRowShown="0">
  <x:autoFilter ref="A5:AC250"/>
  <x:tableColumns count="29">
    <x:tableColumn id="1" name="Mes"/>
    <x:tableColumn id="2" name="TRM (COP/USD)"/>
    <x:tableColumn id="3" name="Términos de intercambio"/>
    <x:tableColumn id="4" name="Remesas (USD mill.)"/>
    <x:tableColumn id="5" name="Remesas 12m (USD mill.)"/>
    <x:tableColumn id="6" name="Tasa política Colombia (%)"/>
    <x:tableColumn id="7" name="Fed funds (%)"/>
    <x:tableColumn id="8" name="Diferencial tasas (pp)"/>
    <x:tableColumn id="9" name="Balance fiscal mensual (miles mill. COP)"/>
    <x:tableColumn id="10" name="Déficit fiscal 12m (% PIB)"/>
    <x:tableColumn id="11" name="Índice dólar amplio"/>
    <x:tableColumn id="12" name="VIX"/>
    <x:tableColumn id="13" name="Dummy pandemia"/>
    <x:tableColumn id="14" name="Reservas netas sin FLAR (USD mill.)"/>
    <x:tableColumn id="15" name="EMBIG Colombia (pb)"/>
    <x:tableColumn id="16" name="EMBIG Colombia (pp)"/>
    <x:tableColumn id="17" name="Balanza comercial cambiaria (USD mill.)"/>
    <x:tableColumn id="18" name="Flujo neto total de capital (USD mill.)"/>
    <x:tableColumn id="19" name="TES pesos cero cupón 5 años (%)"/>
    <x:tableColumn id="20" name="TES UVR cero cupón 5 años (%)"/>
    <x:tableColumn id="21" name="BEI Colombia 5 años (%)"/>
    <x:tableColumn id="22" name="BEI EE. UU. 5 años (%)"/>
    <x:tableColumn id="23" name="Diferencial BEI 5 años (pp)"/>
    <x:tableColumn id="24" name="BRL por USD"/>
    <x:tableColumn id="25" name="CLP por USD"/>
    <x:tableColumn id="26" name="MXN por USD"/>
    <x:tableColumn id="27" name="PEN por USD"/>
    <x:tableColumn id="28" name="Factor regional 3 monedas"/>
    <x:tableColumn id="29" name="Factor regional 4 monedas"/>
  </x:tableColumns>
  <x:tableStyleInfo name="TableStyleMedium2" showFirstColumn="0" showLastColumn="0" showRowStripes="1" showColumnStripes="0"/>
</x:table>
</file>

<file path=xl/tables/table4.xml><?xml version="1.0" encoding="utf-8"?>
<x:table xmlns:x="http://schemas.openxmlformats.org/spreadsheetml/2006/main" id="4" name="TransformacionesTable" displayName="TransformacionesTable" ref="A5:AB250" headerRowCount="1" totalsRowCount="0" totalsRowShown="0">
  <x:autoFilter ref="A5:AB250"/>
  <x:tableColumns count="28">
    <x:tableColumn id="1" name="Mes"/>
    <x:tableColumn id="2" name="ln TRM"/>
    <x:tableColumn id="3" name="Δln TRM"/>
    <x:tableColumn id="4" name="ln términos de intercambio"/>
    <x:tableColumn id="5" name="Δln términos de intercambio"/>
    <x:tableColumn id="6" name="ln remesas 12m"/>
    <x:tableColumn id="7" name="Δln remesas 12m"/>
    <x:tableColumn id="8" name="Diferencial tasas"/>
    <x:tableColumn id="9" name="Δ diferencial"/>
    <x:tableColumn id="10" name="Déficit 12m/PIB"/>
    <x:tableColumn id="11" name="Δ déficit"/>
    <x:tableColumn id="12" name="ln dólar amplio"/>
    <x:tableColumn id="13" name="Δln dólar amplio"/>
    <x:tableColumn id="14" name="ln VIX"/>
    <x:tableColumn id="15" name="Δln VIX"/>
    <x:tableColumn id="16" name="Pandemia"/>
    <x:tableColumn id="17" name="ln reservas netas sin FLAR"/>
    <x:tableColumn id="18" name="Δln reservas"/>
    <x:tableColumn id="19" name="EMBIG Colombia (pp)"/>
    <x:tableColumn id="20" name="Δ EMBIG Colombia"/>
    <x:tableColumn id="21" name="asinh balanza (USD miles de millones)"/>
    <x:tableColumn id="22" name="Δ asinh balanza"/>
    <x:tableColumn id="23" name="asinh flujos (USD miles de millones)"/>
    <x:tableColumn id="24" name="Δ asinh flujos"/>
    <x:tableColumn id="25" name="Diferencial BEI 5 años"/>
    <x:tableColumn id="26" name="Δ diferencial BEI"/>
    <x:tableColumn id="27" name="Factor regional 3 monedas"/>
    <x:tableColumn id="28" name="Factor regional 4 monedas"/>
  </x:tableColumns>
  <x:tableStyleInfo name="TableStyleMedium2" showFirstColumn="0" showLastColumn="0" showRowStripes="1" showColumnStripes="0"/>
</x:table>
</file>

<file path=xl/tables/table5.xml><?xml version="1.0" encoding="utf-8"?>
<x:table xmlns:x="http://schemas.openxmlformats.org/spreadsheetml/2006/main" id="5" name="CoeficientesModeloTable" displayName="CoeficientesModeloTable" ref="A5:G13" headerRowCount="1" totalsRowCount="0" totalsRowShown="0">
  <x:autoFilter ref="A5:G13"/>
  <x:tableColumns count="7">
    <x:tableColumn id="1" name="Variable"/>
    <x:tableColumn id="2" name="Coeficiente"/>
    <x:tableColumn id="3" name="EE HAC"/>
    <x:tableColumn id="4" name="t"/>
    <x:tableColumn id="5" name="p-valor"/>
    <x:tableColumn id="6" name="IC 95% inferior"/>
    <x:tableColumn id="7" name="IC 95% superior"/>
  </x:tableColumns>
  <x:tableStyleInfo name="TableStyleMedium2" showFirstColumn="0" showLastColumn="0" showRowStripes="1" showColumnStripes="0"/>
</x:table>
</file>

<file path=xl/tables/table6.xml><?xml version="1.0" encoding="utf-8"?>
<x:table xmlns:x="http://schemas.openxmlformats.org/spreadsheetml/2006/main" id="6" name="AjusteModeloTable" displayName="AjusteModeloTable" ref="A17:N257" headerRowCount="1" totalsRowCount="0" totalsRowShown="0">
  <x:autoFilter ref="A17:N257"/>
  <x:tableColumns count="14">
    <x:tableColumn id="1" name="Mes"/>
    <x:tableColumn id="2" name="Δln TRM observado"/>
    <x:tableColumn id="3" name="Constante"/>
    <x:tableColumn id="4" name="Términos de intercambio"/>
    <x:tableColumn id="5" name="Dólar amplio"/>
    <x:tableColumn id="6" name="VIX"/>
    <x:tableColumn id="7" name="Remesas t−1"/>
    <x:tableColumn id="8" name="Tasas t−1"/>
    <x:tableColumn id="9" name="Fiscal t−1"/>
    <x:tableColumn id="10" name="Pandemia"/>
    <x:tableColumn id="11" name="Δln TRM ajustado"/>
    <x:tableColumn id="12" name="Residuo"/>
    <x:tableColumn id="13" name="TRM observada"/>
    <x:tableColumn id="14" name="TRM ajustada 1 paso"/>
  </x:tableColumns>
  <x:tableStyleInfo name="TableStyleMedium2" showFirstColumn="0" showLastColumn="0" showRowStripes="1" showColumnStripes="0"/>
</x:table>
</file>

<file path=xl/tables/table7.xml><?xml version="1.0" encoding="utf-8"?>
<x:table xmlns:x="http://schemas.openxmlformats.org/spreadsheetml/2006/main" id="7" name="CoeficientesModeloAmpliadoTable" displayName="CoeficientesModeloAmpliadoTable" ref="A5:G19" headerRowCount="1" totalsRowCount="0" totalsRowShown="0">
  <x:autoFilter ref="A5:G19"/>
  <x:tableColumns count="7">
    <x:tableColumn id="1" name="Variable"/>
    <x:tableColumn id="2" name="Coeficiente"/>
    <x:tableColumn id="3" name="EE HAC"/>
    <x:tableColumn id="4" name="t"/>
    <x:tableColumn id="5" name="p-valor"/>
    <x:tableColumn id="6" name="IC 95% inferior"/>
    <x:tableColumn id="7" name="IC 95% superior"/>
  </x:tableColumns>
  <x:tableStyleInfo name="TableStyleMedium2" showFirstColumn="0" showLastColumn="0" showRowStripes="1" showColumnStripes="0"/>
</x:table>
</file>

<file path=xl/tables/table8.xml><?xml version="1.0" encoding="utf-8"?>
<x:table xmlns:x="http://schemas.openxmlformats.org/spreadsheetml/2006/main" id="8" name="DiagnosticosModeloAmpliadoTable" displayName="DiagnosticosModeloAmpliadoTable" ref="I13:L21" headerRowCount="1" totalsRowCount="0" totalsRowShown="0">
  <x:autoFilter ref="I13:L21"/>
  <x:tableColumns count="4">
    <x:tableColumn id="1" name="Prueba"/>
    <x:tableColumn id="2" name="Estadístico"/>
    <x:tableColumn id="3" name="p-valor"/>
    <x:tableColumn id="4" name="Lectura"/>
  </x:tableColumns>
  <x:tableStyleInfo name="TableStyleMedium2" showFirstColumn="0" showLastColumn="0" showRowStripes="1" showColumnStripes="0"/>
</x:table>
</file>

<file path=xl/tables/table9.xml><?xml version="1.0" encoding="utf-8"?>
<x:table xmlns:x="http://schemas.openxmlformats.org/spreadsheetml/2006/main" id="9" name="AjusteModeloAmpliadoTable" displayName="AjusteModeloAmpliadoTable" ref="A24:V264" headerRowCount="1" totalsRowCount="0" totalsRowShown="0">
  <x:autoFilter ref="A24:V264"/>
  <x:tableColumns count="22">
    <x:tableColumn id="1" name="Mes"/>
    <x:tableColumn id="2" name="Δln TRM observado"/>
    <x:tableColumn id="3" name="Δln TRM ajustado"/>
    <x:tableColumn id="4" name="Residuo"/>
    <x:tableColumn id="5" name="TRM observada"/>
    <x:tableColumn id="6" name="TRM ajustada 1 paso"/>
    <x:tableColumn id="7" name="Intercepto"/>
    <x:tableColumn id="8" name="Δ ln términos de intercambio (t)"/>
    <x:tableColumn id="9" name="Δ ln remesas 12m (t−1)"/>
    <x:tableColumn id="10" name="Δ diferencial tasas (t−1)"/>
    <x:tableColumn id="11" name="Δ déficit fiscal 12m/PIB (t−1)"/>
    <x:tableColumn id="12" name="Δ ln índice dólar amplio (t)"/>
    <x:tableColumn id="13" name="Δ ln VIX (t)"/>
    <x:tableColumn id="14" name="Δ EMBIG Colombia (t)"/>
    <x:tableColumn id="15" name="Δ ln reservas netas sin FLAR (t−1)"/>
    <x:tableColumn id="16" name="Δ asinh balanza comercial cambiaria (t−1)"/>
    <x:tableColumn id="17" name="Δ asinh flujo neto de capital (t−1)"/>
    <x:tableColumn id="18" name="Diferencial BEI 5 años (t−1)"/>
    <x:tableColumn id="19" name="Factor regional BRL, CLP, MXN y PEN (t)"/>
    <x:tableColumn id="20" name="Dummy pandemia 2020"/>
    <x:tableColumn id="21" name="Ajuste total de contribuciones"/>
    <x:tableColumn id="22" name="Diferencia de control"/>
  </x:tableColumns>
  <x:tableStyleInfo name="TableStyleMedium2" showFirstColumn="0" showLastColumn="0" showRowStripes="1" showColumnStripes="0"/>
</x:table>
</file>

<file path=xl/tables/table10.xml><?xml version="1.0" encoding="utf-8"?>
<x:table xmlns:x="http://schemas.openxmlformats.org/spreadsheetml/2006/main" id="10" name="PesosExplicativosTable" displayName="PesosExplicativosTable" ref="A10:H22" headerRowCount="1" totalsRowCount="0" totalsRowShown="0">
  <x:autoFilter ref="A10:H22"/>
  <x:tableColumns count="8">
    <x:tableColumn id="1" name="Factor"/>
    <x:tableColumn id="2" name="Grupo"/>
    <x:tableColumn id="3" name="Shapley R²"/>
    <x:tableColumn id="4" name="Peso entre factores"/>
    <x:tableColumn id="5" name="Peso del R² total"/>
    <x:tableColumn id="6" name="R² base"/>
    <x:tableColumn id="7" name="R² completo"/>
    <x:tableColumn id="8" name="R² incremental"/>
  </x:tableColumns>
  <x:tableStyleInfo name="TableStyleMedium2" showFirstColumn="0" showLastColumn="0" showRowStripes="1" showColumnStripes="0"/>
</x:table>
</file>

<file path=xl/tables/table11.xml><?xml version="1.0" encoding="utf-8"?>
<x:table xmlns:x="http://schemas.openxmlformats.org/spreadsheetml/2006/main" id="11" name="IntervalosShapleyTable" displayName="IntervalosShapleyTable" ref="A6:H18" headerRowCount="1" totalsRowCount="0" totalsRowShown="0">
  <x:autoFilter ref="A6:H18"/>
  <x:tableColumns count="8">
    <x:tableColumn id="1" name="Factor"/>
    <x:tableColumn id="2" name="Peso puntual"/>
    <x:tableColumn id="3" name="Mediana bootstrap"/>
    <x:tableColumn id="4" name="IC 95% inferior"/>
    <x:tableColumn id="5" name="IC 95% superior"/>
    <x:tableColumn id="6" name="Ancho IC"/>
    <x:tableColumn id="7" name="Prob. top 3"/>
    <x:tableColumn id="8" name="Réplicas"/>
  </x:tableColumns>
  <x:tableStyleInfo name="TableStyleMedium2" showFirstColumn="0" showLastColumn="0" showRowStripes="1" showColumnStripes="0"/>
</x:table>
</file>

<file path=xl/tables/table12.xml><?xml version="1.0" encoding="utf-8"?>
<x:table xmlns:x="http://schemas.openxmlformats.org/spreadsheetml/2006/main" id="12" name="EstabilidadResumenTable" displayName="EstabilidadResumenTable" ref="J6:P11" headerRowCount="1" totalsRowCount="0" totalsRowShown="0">
  <x:autoFilter ref="J6:P11"/>
  <x:tableColumns count="7">
    <x:tableColumn id="1" name="Submuestra"/>
    <x:tableColumn id="2" name="Obs."/>
    <x:tableColumn id="3" name="R² ajustado"/>
    <x:tableColumn id="4" name="Spearman rangos"/>
    <x:tableColumn id="5" name="Mediana |Δ peso|"/>
    <x:tableColumn id="6" name="Máx. |Δ peso|"/>
    <x:tableColumn id="7" name="Mismo signo / 12"/>
  </x:tableColumns>
  <x:tableStyleInfo name="TableStyleMedium2" showFirstColumn="0" showLastColumn="0" showRowStripes="1" showColumnStripes="0"/>
</x:table>
</file>

<file path=xl/tables/table13.xml><?xml version="1.0" encoding="utf-8"?>
<x:table xmlns:x="http://schemas.openxmlformats.org/spreadsheetml/2006/main" id="13" name="PesosSubmuestrasTable" displayName="PesosSubmuestrasTable" ref="A22:G34" headerRowCount="1" totalsRowCount="0" totalsRowShown="0">
  <x:autoFilter ref="A22:G34"/>
  <x:tableColumns count="7">
    <x:tableColumn id="1" name="Factor"/>
    <x:tableColumn id="2" name="Grupo"/>
    <x:tableColumn id="3" name="Muestra completa"/>
    <x:tableColumn id="4" name="Primera mitad"/>
    <x:tableColumn id="5" name="Segunda mitad"/>
    <x:tableColumn id="6" name="Prepandemia"/>
    <x:tableColumn id="7" name="2020 en adelante"/>
  </x:tableColumns>
  <x:tableStyleInfo name="TableStyleMedium2" showFirstColumn="0" showLastColumn="0" showRowStripes="1" showColumnStripes="0"/>
</x:table>
</file>

<file path=xl/tables/table14.xml><?xml version="1.0" encoding="utf-8"?>
<x:table xmlns:x="http://schemas.openxmlformats.org/spreadsheetml/2006/main" id="14" name="CoberturaVintagesTable" displayName="CoberturaVintagesTable" ref="I22:P34" headerRowCount="1" totalsRowCount="0" totalsRowShown="0">
  <x:autoFilter ref="I22:P34"/>
  <x:tableColumns count="8">
    <x:tableColumn id="1" name="Factor"/>
    <x:tableColumn id="2" name="Estado"/>
    <x:tableColumn id="3" name="Orígenes"/>
    <x:tableColumn id="4" name="Cobertura"/>
    <x:tableColumn id="5" name="Apto"/>
    <x:tableColumn id="6" name="Archivo desde"/>
    <x:tableColumn id="7" name="Fuentes"/>
    <x:tableColumn id="8" name="Detalle"/>
  </x:tableColumns>
  <x:tableStyleInfo name="TableStyleMedium2" showFirstColumn="0" showLastColumn="0" showRowStripes="1" showColumnStripes="0"/>
</x:table>
</file>

<file path=xl/tables/table15.xml><?xml version="1.0" encoding="utf-8"?>
<x:table xmlns:x="http://schemas.openxmlformats.org/spreadsheetml/2006/main" id="15" name="MetricasValidacionTable" displayName="MetricasValidacionTable" ref="A5:F8" headerRowCount="1" totalsRowCount="0" totalsRowShown="0">
  <x:autoFilter ref="A5:F8"/>
  <x:tableColumns count="6">
    <x:tableColumn id="1" name="Modelo"/>
    <x:tableColumn id="2" name="Observaciones"/>
    <x:tableColumn id="3" name="MAE (log)"/>
    <x:tableColumn id="4" name="RMSE (log)"/>
    <x:tableColumn id="5" name="MAPE"/>
    <x:tableColumn id="6" name="Acierto dirección"/>
  </x:tableColumns>
  <x:tableStyleInfo name="TableStyleMedium2" showFirstColumn="0" showLastColumn="0" showRowStripes="1" showColumnStripes="0"/>
</x:table>
</file>

<file path=xl/tables/table16.xml><?xml version="1.0" encoding="utf-8"?>
<x:table xmlns:x="http://schemas.openxmlformats.org/spreadsheetml/2006/main" id="16" name="PrediccionesValidacionTable" displayName="PrediccionesValidacionTable" ref="A11:I59" headerRowCount="1" totalsRowCount="0" totalsRowShown="0">
  <x:autoFilter ref="A11:I59"/>
  <x:tableColumns count="9">
    <x:tableColumn id="1" name="Mes"/>
    <x:tableColumn id="2" name="ln TRM observada"/>
    <x:tableColumn id="3" name="ln TRM modelo principal"/>
    <x:tableColumn id="4" name="ln TRM caminata"/>
    <x:tableColumn id="5" name="Δln observado"/>
    <x:tableColumn id="6" name="Δln modelo principal"/>
    <x:tableColumn id="7" name="TRM observada"/>
    <x:tableColumn id="8" name="TRM modelo principal"/>
    <x:tableColumn id="9" name="TRM caminata"/>
  </x:tableColumns>
  <x:tableStyleInfo name="TableStyleMedium2" showFirstColumn="0" showLastColumn="0" showRowStripes="1" showColumnStripes="0"/>
</x:table>
</file>

<file path=xl/tables/table17.xml><?xml version="1.0" encoding="utf-8"?>
<x:table xmlns:x="http://schemas.openxmlformats.org/spreadsheetml/2006/main" id="17" name="PrediccionesValidacionAmpliadaTable" displayName="PrediccionesValidacionAmpliadaTable" ref="A62:I110" headerRowCount="1" totalsRowCount="0" totalsRowShown="0">
  <x:autoFilter ref="A62:I110"/>
  <x:tableColumns count="9">
    <x:tableColumn id="1" name="Mes"/>
    <x:tableColumn id="2" name="ln TRM observada"/>
    <x:tableColumn id="3" name="ln TRM modelo ampliado"/>
    <x:tableColumn id="4" name="ln TRM caminata"/>
    <x:tableColumn id="5" name="Δln observado"/>
    <x:tableColumn id="6" name="Δln modelo ampliado"/>
    <x:tableColumn id="7" name="TRM observada"/>
    <x:tableColumn id="8" name="TRM modelo ampliado"/>
    <x:tableColumn id="9" name="TRM caminata"/>
  </x:tableColumns>
  <x:tableStyleInfo name="TableStyleMedium2" showFirstColumn="0" showLastColumn="0" showRowStripes="1" showColumnStripes="0"/>
</x:table>
</file>

<file path=xl/tables/table18.xml><?xml version="1.0" encoding="utf-8"?>
<x:table xmlns:x="http://schemas.openxmlformats.org/spreadsheetml/2006/main" id="18" name="MetricasPronosticoTable" displayName="MetricasPronosticoTable" ref="A6:F8" headerRowCount="1" totalsRowCount="0" totalsRowShown="0">
  <x:autoFilter ref="A6:F8"/>
  <x:tableColumns count="6">
    <x:tableColumn id="1" name="Modelo"/>
    <x:tableColumn id="2" name="Observaciones"/>
    <x:tableColumn id="3" name="MAE (log)"/>
    <x:tableColumn id="4" name="RMSE (log)"/>
    <x:tableColumn id="5" name="MAPE"/>
    <x:tableColumn id="6" name="Acierto dirección"/>
  </x:tableColumns>
  <x:tableStyleInfo name="TableStyleMedium2" showFirstColumn="0" showLastColumn="0" showRowStripes="1" showColumnStripes="0"/>
</x:table>
</file>

<file path=xl/tables/table19.xml><?xml version="1.0" encoding="utf-8"?>
<x:table xmlns:x="http://schemas.openxmlformats.org/spreadsheetml/2006/main" id="19" name="ComparacionFactorRegionalTable" displayName="ComparacionFactorRegionalTable" ref="A13:J17" headerRowCount="1" totalsRowCount="0" totalsRowShown="0">
  <x:autoFilter ref="A13:J17"/>
  <x:tableColumns count="10">
    <x:tableColumn id="1" name="Uso"/>
    <x:tableColumn id="2" name="Monedas"/>
    <x:tableColumn id="3" name="R² ajustado"/>
    <x:tableColumn id="4" name="BIC"/>
    <x:tableColumn id="5" name="MAPE"/>
    <x:tableColumn id="6" name="Dirección"/>
    <x:tableColumn id="7" name="R² vs. caminata"/>
    <x:tableColumn id="8" name="Coef. regional"/>
    <x:tableColumn id="9" name="p-valor HAC"/>
    <x:tableColumn id="10" name="Correlación 3–4"/>
  </x:tableColumns>
  <x:tableStyleInfo name="TableStyleMedium2" showFirstColumn="0" showLastColumn="0" showRowStripes="1" showColumnStripes="0"/>
</x:table>
</file>

<file path=xl/tables/table20.xml><?xml version="1.0" encoding="utf-8"?>
<x:table xmlns:x="http://schemas.openxmlformats.org/spreadsheetml/2006/main" id="20" name="CalendarioDisponibilidadTable" displayName="CalendarioDisponibilidadTable" ref="A20:D32" headerRowCount="1" totalsRowCount="0" totalsRowShown="0">
  <x:autoFilter ref="A20:D32"/>
  <x:tableColumns count="4">
    <x:tableColumn id="1" name="Factor"/>
    <x:tableColumn id="2" name="Rezago (meses)"/>
    <x:tableColumn id="3" name="Frecuencia/publicación"/>
    <x:tableColumn id="4" name="Regla utilizada"/>
  </x:tableColumns>
  <x:tableStyleInfo name="TableStyleMedium2" showFirstColumn="0" showLastColumn="0" showRowStripes="1" showColumnStripes="0"/>
</x:table>
</file>

<file path=xl/tables/table21.xml><?xml version="1.0" encoding="utf-8"?>
<x:table xmlns:x="http://schemas.openxmlformats.org/spreadsheetml/2006/main" id="21" name="CoeficientesPronosticoTable" displayName="CoeficientesPronosticoTable" ref="F20:L35" headerRowCount="1" totalsRowCount="0" totalsRowShown="0">
  <x:autoFilter ref="F20:L35"/>
  <x:tableColumns count="7">
    <x:tableColumn id="1" name="Variable"/>
    <x:tableColumn id="2" name="Coeficiente"/>
    <x:tableColumn id="3" name="EE HAC"/>
    <x:tableColumn id="4" name="t"/>
    <x:tableColumn id="5" name="p-valor"/>
    <x:tableColumn id="6" name="IC 95% inferior"/>
    <x:tableColumn id="7" name="IC 95% superior"/>
  </x:tableColumns>
  <x:tableStyleInfo name="TableStyleMedium2" showFirstColumn="0" showLastColumn="0" showRowStripes="1" showColumnStripes="0"/>
</x:table>
</file>

<file path=xl/tables/table22.xml><?xml version="1.0" encoding="utf-8"?>
<x:table xmlns:x="http://schemas.openxmlformats.org/spreadsheetml/2006/main" id="22" name="DiagnosticosPronosticoTable" displayName="DiagnosticosPronosticoTable" ref="N20:P28" headerRowCount="1" totalsRowCount="0" totalsRowShown="0">
  <x:autoFilter ref="N20:P28"/>
  <x:tableColumns count="3">
    <x:tableColumn id="1" name="Prueba"/>
    <x:tableColumn id="2" name="Estadístico"/>
    <x:tableColumn id="3" name="p-valor"/>
  </x:tableColumns>
  <x:tableStyleInfo name="TableStyleMedium2" showFirstColumn="0" showLastColumn="0" showRowStripes="1" showColumnStripes="0"/>
</x:table>
</file>

<file path=xl/tables/table23.xml><?xml version="1.0" encoding="utf-8"?>
<x:table xmlns:x="http://schemas.openxmlformats.org/spreadsheetml/2006/main" id="23" name="PrediccionesPronosticoTable" displayName="PrediccionesPronosticoTable" ref="A38:I86" headerRowCount="1" totalsRowCount="0" totalsRowShown="0">
  <x:autoFilter ref="A38:I86"/>
  <x:tableColumns count="9">
    <x:tableColumn id="1" name="Mes"/>
    <x:tableColumn id="2" name="ln TRM observada"/>
    <x:tableColumn id="3" name="ln TRM pronóstico"/>
    <x:tableColumn id="4" name="ln TRM caminata"/>
    <x:tableColumn id="5" name="Δln observado"/>
    <x:tableColumn id="6" name="Δln pronóstico"/>
    <x:tableColumn id="7" name="TRM observada"/>
    <x:tableColumn id="8" name="TRM pronóstico"/>
    <x:tableColumn id="9" name="TRM caminata"/>
  </x:tableColumns>
  <x:tableStyleInfo name="TableStyleMedium2" showFirstColumn="0" showLastColumn="0" showRowStripes="1" showColumnStripes="0"/>
</x:table>
</file>

<file path=xl/tables/table24.xml><?xml version="1.0" encoding="utf-8"?>
<x:table xmlns:x="http://schemas.openxmlformats.org/spreadsheetml/2006/main" id="24" name="BoundsCriticosTable" displayName="BoundsCriticosTable" ref="A11:C15" headerRowCount="1" totalsRowCount="0" totalsRowShown="0">
  <x:autoFilter ref="A11:C15"/>
  <x:tableColumns count="3">
    <x:tableColumn id="1" name="Percentil"/>
    <x:tableColumn id="2" name="Límite inferior I(0)"/>
    <x:tableColumn id="3" name="Límite superior I(1)"/>
  </x:tableColumns>
  <x:tableStyleInfo name="TableStyleMedium2" showFirstColumn="0" showLastColumn="0" showRowStripes="1" showColumnStripes="0"/>
</x:table>
</file>

<file path=xl/tables/table25.xml><?xml version="1.0" encoding="utf-8"?>
<x:table xmlns:x="http://schemas.openxmlformats.org/spreadsheetml/2006/main" id="25" name="ECMLargoPlazoTable" displayName="ECMLargoPlazoTable" ref="A19:G26" headerRowCount="1" totalsRowCount="0" totalsRowShown="0">
  <x:autoFilter ref="A19:G26"/>
  <x:tableColumns count="7">
    <x:tableColumn id="1" name="Variable"/>
    <x:tableColumn id="2" name="Coeficiente"/>
    <x:tableColumn id="3" name="EE"/>
    <x:tableColumn id="4" name="t"/>
    <x:tableColumn id="5" name="p-valor"/>
    <x:tableColumn id="6" name="IC 95% inferior"/>
    <x:tableColumn id="7" name="IC 95% superior"/>
  </x:tableColumns>
  <x:tableStyleInfo name="TableStyleMedium2" showFirstColumn="0" showLastColumn="0" showRowStripes="1" showColumnStripes="0"/>
</x:table>
</file>

<file path=xl/tables/table26.xml><?xml version="1.0" encoding="utf-8"?>
<x:table xmlns:x="http://schemas.openxmlformats.org/spreadsheetml/2006/main" id="26" name="DiagnosticosModeloTable" displayName="DiagnosticosModeloTable" ref="A6:D14" headerRowCount="1" totalsRowCount="0" totalsRowShown="0">
  <x:autoFilter ref="A6:D14"/>
  <x:tableColumns count="4">
    <x:tableColumn id="1" name="Prueba"/>
    <x:tableColumn id="2" name="Estadístico"/>
    <x:tableColumn id="3" name="p-valor"/>
    <x:tableColumn id="4" name="Lectura"/>
  </x:tableColumns>
  <x:tableStyleInfo name="TableStyleMedium2" showFirstColumn="0" showLastColumn="0" showRowStripes="1" showColumnStripes="0"/>
</x:table>
</file>

<file path=xl/tables/table27.xml><?xml version="1.0" encoding="utf-8"?>
<x:table xmlns:x="http://schemas.openxmlformats.org/spreadsheetml/2006/main" id="27" name="SeleccionRezagosTable" displayName="SeleccionRezagosTable" ref="F6:I10" headerRowCount="1" totalsRowCount="0" totalsRowShown="0">
  <x:autoFilter ref="F6:I10"/>
  <x:tableColumns count="4">
    <x:tableColumn id="1" name="p"/>
    <x:tableColumn id="2" name="AIC"/>
    <x:tableColumn id="3" name="BIC"/>
    <x:tableColumn id="4" name="R² ajustado"/>
  </x:tableColumns>
  <x:tableStyleInfo name="TableStyleMedium2" showFirstColumn="0" showLastColumn="0" showRowStripes="1" showColumnStripes="0"/>
</x:table>
</file>

<file path=xl/tables/table28.xml><?xml version="1.0" encoding="utf-8"?>
<x:table xmlns:x="http://schemas.openxmlformats.org/spreadsheetml/2006/main" id="28" name="IntegracionTable" displayName="IntegracionTable" ref="A18:H42" headerRowCount="1" totalsRowCount="0" totalsRowShown="0">
  <x:autoFilter ref="A18:H42"/>
  <x:tableColumns count="8">
    <x:tableColumn id="1" name="Variable"/>
    <x:tableColumn id="2" name="Transformación"/>
    <x:tableColumn id="3" name="n"/>
    <x:tableColumn id="4" name="ADF"/>
    <x:tableColumn id="5" name="p ADF"/>
    <x:tableColumn id="6" name="Rezagos ADF"/>
    <x:tableColumn id="7" name="KPSS"/>
    <x:tableColumn id="8" name="p KPSS"/>
  </x:tableColumns>
  <x:tableStyleInfo name="TableStyleMedium2" showFirstColumn="0" showLastColumn="0" showRowStripes="1" showColumnStripes="0"/>
</x:table>
</file>

<file path=xl/tables/table29.xml><?xml version="1.0" encoding="utf-8"?>
<x:table xmlns:x="http://schemas.openxmlformats.org/spreadsheetml/2006/main" id="29" name="DiagnosticosAmpliadosTable" displayName="DiagnosticosAmpliadosTable" ref="J15:M23" headerRowCount="1" totalsRowCount="0" totalsRowShown="0">
  <x:autoFilter ref="J15:M23"/>
  <x:tableColumns count="4">
    <x:tableColumn id="1" name="Prueba"/>
    <x:tableColumn id="2" name="Estadístico"/>
    <x:tableColumn id="3" name="p-valor"/>
    <x:tableColumn id="4" name="Lectura"/>
  </x:tableColumns>
  <x:tableStyleInfo name="TableStyleMedium2" showFirstColumn="0" showLastColumn="0" showRowStripes="1" showColumnStripes="0"/>
</x:table>
</file>

<file path=xl/tables/table30.xml><?xml version="1.0" encoding="utf-8"?>
<x:table xmlns:x="http://schemas.openxmlformats.org/spreadsheetml/2006/main" id="30" name="MapaVariablesTable" displayName="MapaVariablesTable" ref="A5:I20" headerRowCount="1" totalsRowCount="0" totalsRowShown="0">
  <x:autoFilter ref="A5:I20"/>
  <x:tableColumns count="9">
    <x:tableColumn id="1" name="Bloque"/>
    <x:tableColumn id="2" name="Variable"/>
    <x:tableColumn id="3" name="Estatus"/>
    <x:tableColumn id="4" name="Proxy/medición"/>
    <x:tableColumn id="5" name="Transformación"/>
    <x:tableColumn id="6" name="Signo sobre COP/USD"/>
    <x:tableColumn id="7" name="Canal"/>
    <x:tableColumn id="8" name="Justificación"/>
    <x:tableColumn id="9" name="Cautela"/>
  </x:tableColumns>
  <x:tableStyleInfo name="TableStyleMedium2" showFirstColumn="0" showLastColumn="0" showRowStripes="1" showColumnStripes="0"/>
</x:table>
</file>

<file path=xl/tables/table31.xml><?xml version="1.0" encoding="utf-8"?>
<x:table xmlns:x="http://schemas.openxmlformats.org/spreadsheetml/2006/main" id="31" name="FuentesTable" displayName="FuentesTable" ref="A5:G27" headerRowCount="1" totalsRowCount="0" totalsRowShown="0">
  <x:autoFilter ref="A5:G27"/>
  <x:tableColumns count="7">
    <x:tableColumn id="1" name="Organismo"/>
    <x:tableColumn id="2" name="Serie/código"/>
    <x:tableColumn id="3" name="Frecuencia"/>
    <x:tableColumn id="4" name="Cobertura"/>
    <x:tableColumn id="5" name="Uso"/>
    <x:tableColumn id="6" name="Tratamiento"/>
    <x:tableColumn id="7" name="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B5" dT="2026-08-23T13:49:32.879" personId="{68BF7041-F80F-4CC6-97F3-B47ACB304A8A}" id="{B8839A14-3D7C-4F8F-5763-9D606BE20513}">
    <xltc:text>Fuente: Banco de la República, serie diaria TRM 1; promedio mensual. https://suameca.banrep.gov.co/graficador-series/rest/graficadorService/consultaSerieParaGraficar?idSerie=1</xltc:text>
  </xltc:threadedComment>
  <xltc:threadedComment ref="C5" dT="2026-08-23T13:49:32.88" personId="{68BF7041-F80F-4CC6-97F3-B47ACB304A8A}" id="{7E01D9E2-DDB8-AC18-89B3-A30A0894BE50}">
    <xltc:text>Fuente: Banco de la República, índice de términos de intercambio según índices encadenados, serie mensual 15360.</xltc:text>
  </xltc:threadedComment>
  <xltc:threadedComment ref="D5" dT="2026-08-23T13:49:32.88" personId="{68BF7041-F80F-4CC6-97F3-B47ACB304A8A}" id="{75EF8F2D-050E-9205-AA15-5C9D50AA8F21}">
    <xltc:text>Fuente: Banco de la República, remesas de trabajadores, serie 15363.</xltc:text>
  </xltc:threadedComment>
  <xltc:threadedComment ref="F5" dT="2026-08-23T13:49:32.88" personId="{68BF7041-F80F-4CC6-97F3-B47ACB304A8A}" id="{47366B1A-D1B7-89BB-AB61-CB66A9BC72D7}">
    <xltc:text>Fuente: Banco de la República, tasa de política, serie diaria 59; promedio mensual.</xltc:text>
  </xltc:threadedComment>
  <xltc:threadedComment ref="G5" dT="2026-08-23T13:49:32.88" personId="{68BF7041-F80F-4CC6-97F3-B47ACB304A8A}" id="{361036C5-157B-3889-B8C1-5AA3A3D2CA55}">
    <xltc:text>Fuente: Federal Reserve/FRED, FEDFUNDS, promedio mensual.</xltc:text>
  </xltc:threadedComment>
  <xltc:threadedComment ref="I5" dT="2026-08-23T13:49:32.88" personId="{68BF7041-F80F-4CC6-97F3-B47ACB304A8A}" id="{E074B49C-3194-C9F7-3353-E6A317A9F123}">
    <xltc:text>Fuente: Ministerio de Hacienda, balance fiscal del Gobierno Nacional Central, metodología de caja.</xltc:text>
  </xltc:threadedComment>
  <xltc:threadedComment ref="K5" dT="2026-08-23T13:49:32.88" personId="{68BF7041-F80F-4CC6-97F3-B47ACB304A8A}" id="{725DD449-DDBB-6541-4A64-AD67E08358D9}">
    <xltc:text>Fuente: Federal Reserve/FRED, índice nominal amplio del dólar DTWEXBGS; promedio mensual.</xltc:text>
  </xltc:threadedComment>
  <xltc:threadedComment ref="L5" dT="2026-08-23T13:49:32.88" personId="{68BF7041-F80F-4CC6-97F3-B47ACB304A8A}" id="{15C49FD5-B183-E803-2E83-60E22B20884D}">
    <xltc:text>Fuente: Cboe vía FRED, VIXCLS; promedio mensual.</xltc:text>
  </xltc:threadedComment>
  <xltc:threadedComment ref="N5" dT="2026-08-23T13:49:32.88" personId="{68BF7041-F80F-4CC6-97F3-B47ACB304A8A}" id="{FD21450B-C3F7-2787-4905-3A649CED30BF}">
    <xltc:text>Fuente: Banco de la República, reservas internacionales netas sin FLAR, serie 15053.</xltc:text>
  </xltc:threadedComment>
  <xltc:threadedComment ref="O5" dT="2026-08-23T13:49:32.88" personId="{68BF7041-F80F-4CC6-97F3-B47ACB304A8A}" id="{8138F316-A692-D380-C29B-4F805BC6B4F2}">
    <xltc:text>Fuente: BCRPData, serie diaria PD04715XD; fuentes originales Reuters/J.P. Morgan. Promedio mensual de observaciones publicadas.</xltc:text>
  </xltc:threadedComment>
  <xltc:threadedComment ref="P5" dT="2026-08-23T13:49:32.88" personId="{68BF7041-F80F-4CC6-97F3-B47ACB304A8A}" id="{B28F8E23-DF0E-402C-B185-EE96A1571E0C}">
    <xltc:text>Construcción: EMBIG Colombia en puntos básicos dividido por 100; 100 pb = 1 pp.</xltc:text>
  </xltc:threadedComment>
  <xltc:threadedComment ref="Q5" dT="2026-08-23T13:49:32.88" personId="{68BF7041-F80F-4CC6-97F3-B47ACB304A8A}" id="{B47A2F88-8B13-8A96-9A0C-95AA71C08A07}">
    <xltc:text>Fuente: Banco de la República, balanza comercial cambiaria, serie 16702.</xltc:text>
  </xltc:threadedComment>
  <xltc:threadedComment ref="R5" dT="2026-08-23T13:49:32.88" personId="{68BF7041-F80F-4CC6-97F3-B47ACB304A8A}" id="{75DC5BEC-C4DC-A69E-61C4-FFEAA98B99FB}">
    <xltc:text>Fuente: Banco de la República, flujo neto total de capital, serie 16706.</xltc:text>
  </xltc:threadedComment>
  <xltc:threadedComment ref="S5" dT="2026-08-23T13:49:32.881" personId="{68BF7041-F80F-4CC6-97F3-B47ACB304A8A}" id="{FF04EF75-FD69-D912-014F-A023205E38C1}">
    <xltc:text>Fuente: Banco de la República, curva cero cupón TES en pesos a 5 años, serie 15273; promedio mensual.</xltc:text>
  </xltc:threadedComment>
  <xltc:threadedComment ref="T5" dT="2026-08-23T13:49:32.881" personId="{68BF7041-F80F-4CC6-97F3-B47ACB304A8A}" id="{0B9A1E9D-15B5-9003-084E-677CBEC62D82}">
    <xltc:text>Fuente: Banco de la República, curva cero cupón TES UVR a 5 años, serie 15276; promedio mensual.</xltc:text>
  </xltc:threadedComment>
  <xltc:threadedComment ref="U5" dT="2026-08-23T13:49:32.881" personId="{68BF7041-F80F-4CC6-97F3-B47ACB304A8A}" id="{4039E079-D303-CFDA-BF10-890995EA76D2}">
    <xltc:text>Construcción: TES pesos 5 años menos TES UVR 5 años. Es compensación inflacionaria implícita, no una expectativa pura.</xltc:text>
  </xltc:threadedComment>
  <xltc:threadedComment ref="V5" dT="2026-08-23T13:49:32.881" personId="{68BF7041-F80F-4CC6-97F3-B47ACB304A8A}" id="{4CCC5144-4879-5929-7287-EED333877817}">
    <xltc:text>Fuente: Federal Reserve Board, curva Gürkaynak–Sack–Wright BKEVEN05, cero cupón a 5 años y capitalización continua; promedio mensual.</xltc:text>
  </xltc:threadedComment>
  <xltc:threadedComment ref="W5" dT="2026-08-23T13:49:32.881" personId="{68BF7041-F80F-4CC6-97F3-B47ACB304A8A}" id="{856C1DC9-079A-F92D-B7A3-96022421A113}">
    <xltc:text>Construcción: BEI Colombia 5 años menos BEI EE. UU. 5 años. Las curvas se promedian por separado; incluye primas de riesgo inflacionario y liquidez.</xltc:text>
  </xltc:threadedComment>
  <xltc:threadedComment ref="X5" dT="2026-08-23T13:49:32.881" personId="{68BF7041-F80F-4CC6-97F3-B47ACB304A8A}" id="{901238E4-3938-5205-5096-6322666B0AC9}">
    <xltc:text>Fuente: OECD vía FRED, CCUSMA02BRM618N; reales brasileños por dólar.</xltc:text>
  </xltc:threadedComment>
  <xltc:threadedComment ref="Y5" dT="2026-08-23T13:49:32.881" personId="{68BF7041-F80F-4CC6-97F3-B47ACB304A8A}" id="{E8B92488-E9B2-1D19-4A93-FA6DE3D89C72}">
    <xltc:text>Fuente: OECD vía FRED, CCUSMA02CLM618N; pesos chilenos por dólar.</xltc:text>
  </xltc:threadedComment>
  <xltc:threadedComment ref="Z5" dT="2026-08-23T13:49:32.881" personId="{68BF7041-F80F-4CC6-97F3-B47ACB304A8A}" id="{DAA84D71-33BC-54CE-198C-9F8D0554ED29}">
    <xltc:text>Fuente: OECD vía FRED, CCUSMA02MXM618N; pesos mexicanos por dólar.</xltc:text>
  </xltc:threadedComment>
  <xltc:threadedComment ref="AA5" dT="2026-08-23T13:49:32.881" personId="{68BF7041-F80F-4CC6-97F3-B47ACB304A8A}" id="{1A033D5E-D8A0-5DFB-5F5F-4364D6A629B4}">
    <xltc:text>Fuente: BCRPData PN01207PM, tipo de cambio interbancario promedio; soles peruanos por dólar. https://estadisticas.bcrp.gob.pe/estadisticas/series/mensuales/resultados/PN01207PM/html</xltc:text>
  </xltc:threadedComment>
  <xltc:threadedComment ref="AB5" dT="2026-08-23T13:49:32.881" personId="{68BF7041-F80F-4CC6-97F3-B47ACB304A8A}" id="{F82C8FA4-2CF0-977B-896B-B4605D0BE4BB}">
    <xltc:text>Construcción: promedio igual ponderado de retornos mensuales estandarizados de BRL, CLP y MXN por USD. Medias y desviaciones calibradas con 2006–2019.</xltc:text>
  </xltc:threadedComment>
  <xltc:threadedComment ref="AC5" dT="2026-08-23T13:49:32.881" personId="{68BF7041-F80F-4CC6-97F3-B47ACB304A8A}" id="{121D73AA-1BCF-8234-F2C9-3A4FA79307C1}">
    <xltc:text>Construcción activa de la explicación histórica: promedio igual ponderado de retornos mensuales estandarizados de BRL, CLP, MXN y PEN por USD. Medias y desviaciones calibradas con 2006–2019.</xltc:text>
  </xltc:threadedComment>
</xltc:ThreadedComments>
</file>

<file path=xl/threadedcomments/threadedcomment2.xml><?xml version="1.0" encoding="utf-8"?>
<xltc:ThreadedComments xmlns:xltc="http://schemas.microsoft.com/office/spreadsheetml/2018/threadedcomments">
  <xltc:threadedComment ref="U5" dT="2026-08-23T13:49:33.282" personId="{68BF7041-F80F-4CC6-97F3-B47ACB304A8A}" id="{64A5137C-9C2A-F9EE-76F0-A99667AFEB5C}">
    <xltc:text>Escala auditable: el flujo original en USD millones se divide por 1.000 antes de aplicar asinh, igual que en la estimación en Python.</xltc:text>
  </xltc:threadedComment>
  <xltc:threadedComment ref="W5" dT="2026-08-23T13:49:33.282" personId="{68BF7041-F80F-4CC6-97F3-B47ACB304A8A}" id="{A1898B3E-D97E-69C7-A6E0-5D1450893CA9}">
    <xltc:text>Escala auditable: el flujo original en USD millones se divide por 1.000 antes de aplicar asinh, igual que en la estimación en Python.</xltc:text>
  </xltc:threadedComment>
  <xltc:threadedComment ref="AA5" dT="2026-08-23T13:49:33.282" personId="{68BF7041-F80F-4CC6-97F3-B47ACB304A8A}" id="{AF4BFAFF-AA40-AFBB-9F29-F8C19E16E346}">
    <xltc:text>Promedio igual ponderado de retornos mensuales estandarizados de BRL, CLP y MXN por USD. Medias y desviaciones calibradas entre enero de 2006 y diciembre de 2019.</xltc:text>
  </xltc:threadedComment>
  <xltc:threadedComment ref="AB5" dT="2026-08-23T13:49:33.282" personId="{68BF7041-F80F-4CC6-97F3-B47ACB304A8A}" id="{29831D12-9906-336B-5D20-E7B110615076}">
    <xltc:text>Promedio igual ponderado de retornos mensuales estandarizados de BRL, CLP, MXN y PEN por USD. Es la composición activa de la explicación histórica.</xltc:text>
  </xltc:threadedComment>
</xltc:ThreadedComments>
</file>

<file path=xl/worksheets/_rels/sheet1.xml.rels>&#65279;<?xml version="1.0" encoding="utf-8"?><Relationships xmlns="http://schemas.openxmlformats.org/package/2006/relationships"><Relationship Type="http://schemas.openxmlformats.org/officeDocument/2006/relationships/drawing" Target="/xl/drawings/drawing1.xml" Id="Rf1255de5b0c44b18" /><Relationship Type="http://schemas.openxmlformats.org/officeDocument/2006/relationships/table" Target="/xl/tables/table1.xml" Id="R106955d2bb734a0a" /><Relationship Type="http://schemas.openxmlformats.org/officeDocument/2006/relationships/table" Target="/xl/tables/table2.xml" Id="R3979ee1e2f6e478d" /></Relationships>
</file>

<file path=xl/worksheets/_rels/sheet2.xml.rels>&#65279;<?xml version="1.0" encoding="utf-8"?><Relationships xmlns="http://schemas.openxmlformats.org/package/2006/relationships"><Relationship Type="http://schemas.openxmlformats.org/officeDocument/2006/relationships/comments" Target="/xl/comments1.xml" Id="R00ef357cc2bd4be2" /><Relationship Type="http://schemas.openxmlformats.org/officeDocument/2006/relationships/vmlDrawing" Target="/xl/drawings/vmldrawing.vml" Id="R4fd245d60f7247fb" /><Relationship Type="http://schemas.microsoft.com/office/2017/10/relationships/threadedComment" Target="/xl/threadedcomments/threadedcomment.xml" Id="Re688ca737cd24a46" /><Relationship Type="http://schemas.openxmlformats.org/officeDocument/2006/relationships/table" Target="/xl/tables/table3.xml" Id="R56fbb8f4e39d409b" /></Relationships>
</file>

<file path=xl/worksheets/_rels/sheet3.xml.rels>&#65279;<?xml version="1.0" encoding="utf-8"?><Relationships xmlns="http://schemas.openxmlformats.org/package/2006/relationships"><Relationship Type="http://schemas.openxmlformats.org/officeDocument/2006/relationships/comments" Target="/xl/comments2.xml" Id="R078087deb6864418" /><Relationship Type="http://schemas.openxmlformats.org/officeDocument/2006/relationships/vmlDrawing" Target="/xl/drawings/vmldrawing2.vml" Id="R19e03cacdaf94efc" /><Relationship Type="http://schemas.microsoft.com/office/2017/10/relationships/threadedComment" Target="/xl/threadedcomments/threadedcomment2.xml" Id="R662fb502eb3e4246" /><Relationship Type="http://schemas.openxmlformats.org/officeDocument/2006/relationships/table" Target="/xl/tables/table4.xml" Id="R4b6c2a9548e843ef" /></Relationships>
</file>

<file path=xl/worksheets/_rels/sheet4.xml.rels>&#65279;<?xml version="1.0" encoding="utf-8"?><Relationships xmlns="http://schemas.openxmlformats.org/package/2006/relationships"><Relationship Type="http://schemas.openxmlformats.org/officeDocument/2006/relationships/drawing" Target="/xl/drawings/drawing2.xml" Id="R1d2c9412e00f42e6" /><Relationship Type="http://schemas.openxmlformats.org/officeDocument/2006/relationships/table" Target="/xl/tables/table5.xml" Id="R4be6732bab7f4129" /><Relationship Type="http://schemas.openxmlformats.org/officeDocument/2006/relationships/table" Target="/xl/tables/table6.xml" Id="Ra50a6d27059d4d89" /></Relationships>
</file>

<file path=xl/worksheets/_rels/sheet5.xml.rels>&#65279;<?xml version="1.0" encoding="utf-8"?><Relationships xmlns="http://schemas.openxmlformats.org/package/2006/relationships"><Relationship Type="http://schemas.openxmlformats.org/officeDocument/2006/relationships/drawing" Target="/xl/drawings/drawing3.xml" Id="R6892e123af4a41d4" /><Relationship Type="http://schemas.openxmlformats.org/officeDocument/2006/relationships/table" Target="/xl/tables/table7.xml" Id="Rdf6cc3825e2f41e7" /><Relationship Type="http://schemas.openxmlformats.org/officeDocument/2006/relationships/table" Target="/xl/tables/table8.xml" Id="R9a2fe586340249cc" /><Relationship Type="http://schemas.openxmlformats.org/officeDocument/2006/relationships/table" Target="/xl/tables/table9.xml" Id="Rd855b6a79c2b48b0" /></Relationships>
</file>

<file path=xl/worksheets/_rels/sheet6.xml.rels>&#65279;<?xml version="1.0" encoding="utf-8"?><Relationships xmlns="http://schemas.openxmlformats.org/package/2006/relationships"><Relationship Type="http://schemas.openxmlformats.org/officeDocument/2006/relationships/drawing" Target="/xl/drawings/drawing4.xml" Id="R99f5c101160f4010" /><Relationship Type="http://schemas.openxmlformats.org/officeDocument/2006/relationships/table" Target="/xl/tables/table10.xml" Id="Rda1d463515574173" /></Relationships>
</file>

<file path=xl/worksheets/_rels/sheet7.xml.rels>&#65279;<?xml version="1.0" encoding="utf-8"?><Relationships xmlns="http://schemas.openxmlformats.org/package/2006/relationships"><Relationship Type="http://schemas.openxmlformats.org/officeDocument/2006/relationships/table" Target="/xl/tables/table11.xml" Id="R965760f5391f47a5" /><Relationship Type="http://schemas.openxmlformats.org/officeDocument/2006/relationships/table" Target="/xl/tables/table12.xml" Id="R76d4a523046e4aa2" /><Relationship Type="http://schemas.openxmlformats.org/officeDocument/2006/relationships/table" Target="/xl/tables/table13.xml" Id="R58ee0209087942f7" /><Relationship Type="http://schemas.openxmlformats.org/officeDocument/2006/relationships/table" Target="/xl/tables/table14.xml" Id="Ra64572e517104d22" /></Relationships>
</file>

<file path=xl/worksheets/_rels/sheet8.xml.rels>&#65279;<?xml version="1.0" encoding="utf-8"?><Relationships xmlns="http://schemas.openxmlformats.org/package/2006/relationships"><Relationship Type="http://schemas.openxmlformats.org/officeDocument/2006/relationships/drawing" Target="/xl/drawings/drawing5.xml" Id="Ra93958c4ab7f4615" /><Relationship Type="http://schemas.openxmlformats.org/officeDocument/2006/relationships/table" Target="/xl/tables/table15.xml" Id="R60e9489de3b14986" /><Relationship Type="http://schemas.openxmlformats.org/officeDocument/2006/relationships/table" Target="/xl/tables/table16.xml" Id="R2c574f3379664b3c" /><Relationship Type="http://schemas.openxmlformats.org/officeDocument/2006/relationships/table" Target="/xl/tables/table17.xml" Id="Rdb75572b3dbd4f96" /></Relationships>
</file>

<file path=xl/worksheets/_rels/sheet9.xml.rels>&#65279;<?xml version="1.0" encoding="utf-8"?><Relationships xmlns="http://schemas.openxmlformats.org/package/2006/relationships"><Relationship Type="http://schemas.openxmlformats.org/officeDocument/2006/relationships/table" Target="/xl/tables/table18.xml" Id="R01029b4631c54f89" /><Relationship Type="http://schemas.openxmlformats.org/officeDocument/2006/relationships/table" Target="/xl/tables/table19.xml" Id="R5fa59349a624439b" /><Relationship Type="http://schemas.openxmlformats.org/officeDocument/2006/relationships/table" Target="/xl/tables/table20.xml" Id="Re5c5d03bf5f345c5" /><Relationship Type="http://schemas.openxmlformats.org/officeDocument/2006/relationships/table" Target="/xl/tables/table21.xml" Id="Rb207a6a956514521" /><Relationship Type="http://schemas.openxmlformats.org/officeDocument/2006/relationships/table" Target="/xl/tables/table22.xml" Id="Re030ecebf02c4a00" /><Relationship Type="http://schemas.openxmlformats.org/officeDocument/2006/relationships/table" Target="/xl/tables/table23.xml" Id="R054aeaa00e694fe2" /></Relationships>
</file>

<file path=xl/worksheets/_rels/sheet10.xml.rels>&#65279;<?xml version="1.0" encoding="utf-8"?><Relationships xmlns="http://schemas.openxmlformats.org/package/2006/relationships"><Relationship Type="http://schemas.openxmlformats.org/officeDocument/2006/relationships/table" Target="/xl/tables/table24.xml" Id="Rb3d0388ff4954097" /><Relationship Type="http://schemas.openxmlformats.org/officeDocument/2006/relationships/table" Target="/xl/tables/table25.xml" Id="R77a39332e9a34d55" /></Relationships>
</file>

<file path=xl/worksheets/_rels/sheet11.xml.rels>&#65279;<?xml version="1.0" encoding="utf-8"?><Relationships xmlns="http://schemas.openxmlformats.org/package/2006/relationships"><Relationship Type="http://schemas.openxmlformats.org/officeDocument/2006/relationships/table" Target="/xl/tables/table26.xml" Id="Rf1f282c90d724e0e" /><Relationship Type="http://schemas.openxmlformats.org/officeDocument/2006/relationships/table" Target="/xl/tables/table27.xml" Id="R51014b92049a4ae9" /><Relationship Type="http://schemas.openxmlformats.org/officeDocument/2006/relationships/table" Target="/xl/tables/table28.xml" Id="R47f3b4946e4f4248" /><Relationship Type="http://schemas.openxmlformats.org/officeDocument/2006/relationships/table" Target="/xl/tables/table29.xml" Id="Rf424c9b814ee4f36" /></Relationships>
</file>

<file path=xl/worksheets/_rels/sheet12.xml.rels>&#65279;<?xml version="1.0" encoding="utf-8"?><Relationships xmlns="http://schemas.openxmlformats.org/package/2006/relationships"><Relationship Type="http://schemas.openxmlformats.org/officeDocument/2006/relationships/table" Target="/xl/tables/table30.xml" Id="R6f204385ed5b4a07" /></Relationships>
</file>

<file path=xl/worksheets/_rels/sheet13.xml.rels>&#65279;<?xml version="1.0" encoding="utf-8"?><Relationships xmlns="http://schemas.openxmlformats.org/package/2006/relationships"><Relationship Type="http://schemas.openxmlformats.org/officeDocument/2006/relationships/table" Target="/xl/tables/table31.xml" Id="R89d34c6501754f70"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24" hidden="0" customWidth="1"/>
    <x:col min="3" max="3" width="17" hidden="0" customWidth="1"/>
    <x:col min="4" max="4" width="17" hidden="0" customWidth="1"/>
    <x:col min="5" max="5" width="14" hidden="0" customWidth="1"/>
    <x:col min="6" max="6" width="34" hidden="0" customWidth="1"/>
    <x:col min="7" max="7" width="3" hidden="0" customWidth="1"/>
    <x:col min="8" max="8" width="20" hidden="0" customWidth="1"/>
    <x:col min="9" max="9" width="16" hidden="0" customWidth="1"/>
    <x:col min="10" max="10" width="16" hidden="0" customWidth="1"/>
    <x:col min="11" max="11" width="12" hidden="0" customWidth="1"/>
    <x:col min="12" max="12" width="12" hidden="0" customWidth="1"/>
    <x:col min="13" max="13" width="12" hidden="0" customWidth="1"/>
    <x:col min="14" max="14" width="12" hidden="0" customWidth="1"/>
  </x:cols>
  <x:sheetData>
    <x:row r="1" ht="30" customHeight="1">
      <x:c r="A1" s="4" t="str">
        <x:v>Modelo econométrico de la TRM en Colombia</x:v>
      </x:c>
      <x:c r="B1" s="4" t="str">
        <x:v>Modelo econométrico de la TRM en Colombia</x:v>
      </x:c>
      <x:c r="C1" s="4" t="str">
        <x:v>Modelo econométrico de la TRM en Colombia</x:v>
      </x:c>
      <x:c r="D1" s="4" t="str">
        <x:v>Modelo econométrico de la TRM en Colombia</x:v>
      </x:c>
      <x:c r="E1" s="4" t="str">
        <x:v>Modelo econométrico de la TRM en Colombia</x:v>
      </x:c>
      <x:c r="F1" s="4" t="str">
        <x:v>Modelo econométrico de la TRM en Colombia</x:v>
      </x:c>
      <x:c r="G1" s="4" t="str">
        <x:v>Modelo econométrico de la TRM en Colombia</x:v>
      </x:c>
      <x:c r="H1" s="4" t="str">
        <x:v>Modelo econométrico de la TRM en Colombia</x:v>
      </x:c>
      <x:c r="I1" s="4" t="str">
        <x:v>Modelo econométrico de la TRM en Colombia</x:v>
      </x:c>
      <x:c r="J1" s="4" t="str">
        <x:v>Modelo econométrico de la TRM en Colombia</x:v>
      </x:c>
      <x:c r="K1" s="4" t="str">
        <x:v>Modelo econométrico de la TRM en Colombia</x:v>
      </x:c>
      <x:c r="L1" s="4" t="str">
        <x:v>Modelo econométrico de la TRM en Colombia</x:v>
      </x:c>
      <x:c r="M1" s="4" t="str">
        <x:v>Modelo econométrico de la TRM en Colombia</x:v>
      </x:c>
      <x:c r="N1" s="4" t="str">
        <x:v>Modelo econométrico de la TRM en Colombia</x:v>
      </x:c>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0" customHeight="1">
      <x:c r="A2" s="4" t="str">
        <x:v>Modelo econométrico de la TRM en Colombia</x:v>
      </x:c>
      <x:c r="B2" s="4" t="str">
        <x:v>Modelo econométrico de la TRM en Colombia</x:v>
      </x:c>
      <x:c r="C2" s="4" t="str">
        <x:v>Modelo econométrico de la TRM en Colombia</x:v>
      </x:c>
      <x:c r="D2" s="4" t="str">
        <x:v>Modelo econométrico de la TRM en Colombia</x:v>
      </x:c>
      <x:c r="E2" s="4" t="str">
        <x:v>Modelo econométrico de la TRM en Colombia</x:v>
      </x:c>
      <x:c r="F2" s="4" t="str">
        <x:v>Modelo econométrico de la TRM en Colombia</x:v>
      </x:c>
      <x:c r="G2" s="4" t="str">
        <x:v>Modelo econométrico de la TRM en Colombia</x:v>
      </x:c>
      <x:c r="H2" s="4" t="str">
        <x:v>Modelo econométrico de la TRM en Colombia</x:v>
      </x:c>
      <x:c r="I2" s="4" t="str">
        <x:v>Modelo econométrico de la TRM en Colombia</x:v>
      </x:c>
      <x:c r="J2" s="4" t="str">
        <x:v>Modelo econométrico de la TRM en Colombia</x:v>
      </x:c>
      <x:c r="K2" s="4" t="str">
        <x:v>Modelo econométrico de la TRM en Colombia</x:v>
      </x:c>
      <x:c r="L2" s="4" t="str">
        <x:v>Modelo econométrico de la TRM en Colombia</x:v>
      </x:c>
      <x:c r="M2" s="4" t="str">
        <x:v>Modelo econométrico de la TRM en Colombia</x:v>
      </x:c>
      <x:c r="N2" s="4" t="str">
        <x:v>Modelo econométrico de la TRM en Colombia</x:v>
      </x:c>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Se separan dos usos: explicación histórica con información contemporánea y pronóstico de un mes con rezagos de publicación. Muestra común: enero de 2006 a abril de 2026.</x:v>
      </x:c>
      <x:c r="B3" s="7" t="str">
        <x:v>Se separan dos usos: explicación histórica con información contemporánea y pronóstico de un mes con rezagos de publicación. Muestra común: enero de 2006 a abril de 2026.</x:v>
      </x:c>
      <x:c r="C3" s="7" t="str">
        <x:v>Se separan dos usos: explicación histórica con información contemporánea y pronóstico de un mes con rezagos de publicación. Muestra común: enero de 2006 a abril de 2026.</x:v>
      </x:c>
      <x:c r="D3" s="7" t="str">
        <x:v>Se separan dos usos: explicación histórica con información contemporánea y pronóstico de un mes con rezagos de publicación. Muestra común: enero de 2006 a abril de 2026.</x:v>
      </x:c>
      <x:c r="E3" s="7" t="str">
        <x:v>Se separan dos usos: explicación histórica con información contemporánea y pronóstico de un mes con rezagos de publicación. Muestra común: enero de 2006 a abril de 2026.</x:v>
      </x:c>
      <x:c r="F3" s="7" t="str">
        <x:v>Se separan dos usos: explicación histórica con información contemporánea y pronóstico de un mes con rezagos de publicación. Muestra común: enero de 2006 a abril de 2026.</x:v>
      </x:c>
      <x:c r="G3" s="7" t="str">
        <x:v>Se separan dos usos: explicación histórica con información contemporánea y pronóstico de un mes con rezagos de publicación. Muestra común: enero de 2006 a abril de 2026.</x:v>
      </x:c>
      <x:c r="H3" s="7" t="str">
        <x:v>Se separan dos usos: explicación histórica con información contemporánea y pronóstico de un mes con rezagos de publicación. Muestra común: enero de 2006 a abril de 2026.</x:v>
      </x:c>
      <x:c r="I3" s="7" t="str">
        <x:v>Se separan dos usos: explicación histórica con información contemporánea y pronóstico de un mes con rezagos de publicación. Muestra común: enero de 2006 a abril de 2026.</x:v>
      </x:c>
      <x:c r="J3" s="7" t="str">
        <x:v>Se separan dos usos: explicación histórica con información contemporánea y pronóstico de un mes con rezagos de publicación. Muestra común: enero de 2006 a abril de 2026.</x:v>
      </x:c>
      <x:c r="K3" s="7" t="str">
        <x:v>Se separan dos usos: explicación histórica con información contemporánea y pronóstico de un mes con rezagos de publicación. Muestra común: enero de 2006 a abril de 2026.</x:v>
      </x:c>
      <x:c r="L3" s="7" t="str">
        <x:v>Se separan dos usos: explicación histórica con información contemporánea y pronóstico de un mes con rezagos de publicación. Muestra común: enero de 2006 a abril de 2026.</x:v>
      </x:c>
      <x:c r="M3" s="7" t="str">
        <x:v>Se separan dos usos: explicación histórica con información contemporánea y pronóstico de un mes con rezagos de publicación. Muestra común: enero de 2006 a abril de 2026.</x:v>
      </x:c>
      <x:c r="N3" s="7" t="str">
        <x:v>Se separan dos usos: explicación histórica con información contemporánea y pronóstico de un mes con rezagos de publicación. Muestra común: enero de 2006 a abril de 2026.</x:v>
      </x:c>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83"/>
      <x:c r="B4" s="83"/>
      <x:c r="C4" s="83"/>
      <x:c r="D4" s="83"/>
      <x:c r="E4" s="83"/>
      <x:c r="F4" s="83"/>
      <x:c r="G4" s="83"/>
      <x:c r="H4" s="83"/>
      <x:c r="I4" s="83"/>
      <x:c r="J4" s="83"/>
      <x:c r="K4" s="83"/>
      <x:c r="L4" s="83"/>
      <x:c r="M4" s="83"/>
      <x:c r="N4" s="83"/>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13" t="str">
        <x:v>Observaciones modelo ampliado</x:v>
      </x:c>
      <x:c r="B5" s="14" t="str">
        <x:v>Observaciones modelo ampliado</x:v>
      </x:c>
      <x:c r="C5" s="13" t="str">
        <x:v>R² ajustado principal</x:v>
      </x:c>
      <x:c r="D5" s="14" t="str">
        <x:v>R² ajustado principal</x:v>
      </x:c>
      <x:c r="E5" s="35" t="str">
        <x:v>R² ajustado ampliado</x:v>
      </x:c>
      <x:c r="F5" s="36" t="str">
        <x:v>R² ajustado ampliado</x:v>
      </x:c>
      <x:c r="G5" s="83"/>
      <x:c r="H5" s="55" t="str">
        <x:v>TRM observada y ajuste de un paso (muestra anual)</x:v>
      </x:c>
      <x:c r="I5" s="55" t="str">
        <x:v>TRM observada y ajuste de un paso (muestra anual)</x:v>
      </x:c>
      <x:c r="J5" s="55" t="str">
        <x:v>TRM observada y ajuste de un paso (muestra anual)</x:v>
      </x:c>
      <x:c r="K5" s="55" t="str">
        <x:v>TRM observada y ajuste de un paso (muestra anual)</x:v>
      </x:c>
      <x:c r="L5" s="55" t="str">
        <x:v>TRM observada y ajuste de un paso (muestra anual)</x:v>
      </x:c>
      <x:c r="M5" s="55" t="str">
        <x:v>TRM observada y ajuste de un paso (muestra anual)</x:v>
      </x:c>
      <x:c r="N5" s="55" t="str">
        <x:v>TRM observada y ajuste de un paso (muestra anual)</x:v>
      </x:c>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30" customHeight="1">
      <x:c r="A6" s="25" t="n">
        <x:v>240</x:v>
      </x:c>
      <x:c r="B6" s="26" t="n">
        <x:v>240</x:v>
      </x:c>
      <x:c r="C6" s="25" t="str">
        <x:v>47.9%</x:v>
      </x:c>
      <x:c r="D6" s="26" t="str">
        <x:v>47.9%</x:v>
      </x:c>
      <x:c r="E6" s="25" t="str">
        <x:v>58.1%</x:v>
      </x:c>
      <x:c r="F6" s="26" t="str">
        <x:v>58.1%</x:v>
      </x:c>
      <x:c r="G6" s="83"/>
      <x:c r="H6" s="83"/>
      <x:c r="I6" s="83"/>
      <x:c r="J6" s="83"/>
      <x:c r="K6" s="83"/>
      <x:c r="L6" s="83"/>
      <x:c r="M6" s="83"/>
      <x:c r="N6" s="83"/>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0" customHeight="1">
      <x:c r="A7" s="27" t="n">
        <x:v>240</x:v>
      </x:c>
      <x:c r="B7" s="28" t="n">
        <x:v>240</x:v>
      </x:c>
      <x:c r="C7" s="27" t="str">
        <x:v>47.9%</x:v>
      </x:c>
      <x:c r="D7" s="28" t="str">
        <x:v>47.9%</x:v>
      </x:c>
      <x:c r="E7" s="27" t="str">
        <x:v>58.1%</x:v>
      </x:c>
      <x:c r="F7" s="28" t="str">
        <x:v>58.1%</x:v>
      </x:c>
      <x:c r="G7" s="83"/>
      <x:c r="H7" s="83"/>
      <x:c r="I7" s="83"/>
      <x:c r="J7" s="83"/>
      <x:c r="K7" s="83"/>
      <x:c r="L7" s="83"/>
      <x:c r="M7" s="83"/>
      <x:c r="N7" s="83"/>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83"/>
      <x:c r="B8" s="83"/>
      <x:c r="C8" s="83"/>
      <x:c r="D8" s="83"/>
      <x:c r="E8" s="83"/>
      <x:c r="F8" s="83"/>
      <x:c r="G8" s="83"/>
      <x:c r="H8" s="83"/>
      <x:c r="I8" s="83"/>
      <x:c r="J8" s="83"/>
      <x:c r="K8" s="83"/>
      <x:c r="L8" s="83"/>
      <x:c r="M8" s="83"/>
      <x:c r="N8" s="83"/>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22" customHeight="1">
      <x:c r="A9" s="35" t="str">
        <x:v>MAPE explicación histórica</x:v>
      </x:c>
      <x:c r="B9" s="36" t="str">
        <x:v>MAPE explicación histórica</x:v>
      </x:c>
      <x:c r="C9" s="43" t="str">
        <x:v>MAPE pronóstico publicado</x:v>
      </x:c>
      <x:c r="D9" s="44" t="str">
        <x:v>MAPE pronóstico publicado</x:v>
      </x:c>
      <x:c r="E9" s="51" t="str">
        <x:v>R² pronóstico vs. caminata</x:v>
      </x:c>
      <x:c r="F9" s="52" t="str">
        <x:v>R² pronóstico vs. caminata</x:v>
      </x:c>
      <x:c r="G9" s="83"/>
      <x:c r="H9" s="83"/>
      <x:c r="I9" s="83"/>
      <x:c r="J9" s="83"/>
      <x:c r="K9" s="83"/>
      <x:c r="L9" s="83"/>
      <x:c r="M9" s="83"/>
      <x:c r="N9" s="83"/>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0" customHeight="1">
      <x:c r="A10" s="25" t="str">
        <x:v>1.69%</x:v>
      </x:c>
      <x:c r="B10" s="26" t="str">
        <x:v>1.69%</x:v>
      </x:c>
      <x:c r="C10" s="25" t="str">
        <x:v>2.63%</x:v>
      </x:c>
      <x:c r="D10" s="26" t="str">
        <x:v>2.63%</x:v>
      </x:c>
      <x:c r="E10" s="25" t="str">
        <x:v>-11.5%</x:v>
      </x:c>
      <x:c r="F10" s="26" t="str">
        <x:v>-11.5%</x:v>
      </x:c>
      <x:c r="G10" s="83"/>
      <x:c r="H10" s="83"/>
      <x:c r="I10" s="83"/>
      <x:c r="J10" s="83"/>
      <x:c r="K10" s="83"/>
      <x:c r="L10" s="83"/>
      <x:c r="M10" s="83"/>
      <x:c r="N10" s="83"/>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0" customHeight="1">
      <x:c r="A11" s="27" t="str">
        <x:v>1.69%</x:v>
      </x:c>
      <x:c r="B11" s="28" t="str">
        <x:v>1.69%</x:v>
      </x:c>
      <x:c r="C11" s="27" t="str">
        <x:v>2.63%</x:v>
      </x:c>
      <x:c r="D11" s="28" t="str">
        <x:v>2.63%</x:v>
      </x:c>
      <x:c r="E11" s="27" t="str">
        <x:v>-11.5%</x:v>
      </x:c>
      <x:c r="F11" s="28" t="str">
        <x:v>-11.5%</x:v>
      </x:c>
      <x:c r="G11" s="83"/>
      <x:c r="H11" s="83"/>
      <x:c r="I11" s="83"/>
      <x:c r="J11" s="83"/>
      <x:c r="K11" s="83"/>
      <x:c r="L11" s="83"/>
      <x:c r="M11" s="83"/>
      <x:c r="N11" s="83"/>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83"/>
      <x:c r="B12" s="83"/>
      <x:c r="C12" s="83"/>
      <x:c r="D12" s="83"/>
      <x:c r="E12" s="83"/>
      <x:c r="F12" s="83"/>
      <x:c r="G12" s="83"/>
      <x:c r="H12" s="83"/>
      <x:c r="I12" s="83"/>
      <x:c r="J12" s="83"/>
      <x:c r="K12" s="83"/>
      <x:c r="L12" s="83"/>
      <x:c r="M12" s="83"/>
      <x:c r="N12" s="83"/>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22" customHeight="1">
      <x:c r="A13" s="55" t="str">
        <x:v>Especificación principal</x:v>
      </x:c>
      <x:c r="B13" s="55" t="str">
        <x:v>Especificación principal</x:v>
      </x:c>
      <x:c r="C13" s="55" t="str">
        <x:v>Especificación principal</x:v>
      </x:c>
      <x:c r="D13" s="55" t="str">
        <x:v>Especificación principal</x:v>
      </x:c>
      <x:c r="E13" s="55" t="str">
        <x:v>Especificación principal</x:v>
      </x:c>
      <x:c r="F13" s="55" t="str">
        <x:v>Especificación principal</x:v>
      </x:c>
      <x:c r="G13" s="83"/>
      <x:c r="H13" s="83"/>
      <x:c r="I13" s="83"/>
      <x:c r="J13" s="83"/>
      <x:c r="K13" s="83"/>
      <x:c r="L13" s="83"/>
      <x:c r="M13" s="83"/>
      <x:c r="N13" s="83"/>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36" customHeight="1">
      <x:c r="A14" s="58" t="str">
        <x:v>Δln(TRM)t = c + β1Δln(términos de intercambio)t + β2Δln(dólar amplio)t + β3Δln(VIX)t + β4Δln(remesas 12m)t−1 + β5Δ(diferencial de tasas)t−1 + β6Δ(déficit 12m/PIB)t−1 + β7 pandemia + ut</x:v>
      </x:c>
      <x:c r="B14" s="58" t="str">
        <x:v>Δln(TRM)t = c + β1Δln(términos de intercambio)t + β2Δln(dólar amplio)t + β3Δln(VIX)t + β4Δln(remesas 12m)t−1 + β5Δ(diferencial de tasas)t−1 + β6Δ(déficit 12m/PIB)t−1 + β7 pandemia + ut</x:v>
      </x:c>
      <x:c r="C14" s="58" t="str">
        <x:v>Δln(TRM)t = c + β1Δln(términos de intercambio)t + β2Δln(dólar amplio)t + β3Δln(VIX)t + β4Δln(remesas 12m)t−1 + β5Δ(diferencial de tasas)t−1 + β6Δ(déficit 12m/PIB)t−1 + β7 pandemia + ut</x:v>
      </x:c>
      <x:c r="D14" s="58" t="str">
        <x:v>Δln(TRM)t = c + β1Δln(términos de intercambio)t + β2Δln(dólar amplio)t + β3Δln(VIX)t + β4Δln(remesas 12m)t−1 + β5Δ(diferencial de tasas)t−1 + β6Δ(déficit 12m/PIB)t−1 + β7 pandemia + ut</x:v>
      </x:c>
      <x:c r="E14" s="58" t="str">
        <x:v>Δln(TRM)t = c + β1Δln(términos de intercambio)t + β2Δln(dólar amplio)t + β3Δln(VIX)t + β4Δln(remesas 12m)t−1 + β5Δ(diferencial de tasas)t−1 + β6Δ(déficit 12m/PIB)t−1 + β7 pandemia + ut</x:v>
      </x:c>
      <x:c r="F14" s="58" t="str">
        <x:v>Δln(TRM)t = c + β1Δln(términos de intercambio)t + β2Δln(dólar amplio)t + β3Δln(VIX)t + β4Δln(remesas 12m)t−1 + β5Δ(diferencial de tasas)t−1 + β6Δ(déficit 12m/PIB)t−1 + β7 pandemia + ut</x:v>
      </x:c>
      <x:c r="G14" s="83"/>
      <x:c r="H14" s="83"/>
      <x:c r="I14" s="83"/>
      <x:c r="J14" s="83"/>
      <x:c r="K14" s="83"/>
      <x:c r="L14" s="83"/>
      <x:c r="M14" s="83"/>
      <x:c r="N14" s="83"/>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36" customHeight="1">
      <x:c r="A15" s="58" t="str">
        <x:v>Δln(TRM)t = c + β1Δln(términos de intercambio)t + β2Δln(dólar amplio)t + β3Δln(VIX)t + β4Δln(remesas 12m)t−1 + β5Δ(diferencial de tasas)t−1 + β6Δ(déficit 12m/PIB)t−1 + β7 pandemia + ut</x:v>
      </x:c>
      <x:c r="B15" s="58" t="str">
        <x:v>Δln(TRM)t = c + β1Δln(términos de intercambio)t + β2Δln(dólar amplio)t + β3Δln(VIX)t + β4Δln(remesas 12m)t−1 + β5Δ(diferencial de tasas)t−1 + β6Δ(déficit 12m/PIB)t−1 + β7 pandemia + ut</x:v>
      </x:c>
      <x:c r="C15" s="58" t="str">
        <x:v>Δln(TRM)t = c + β1Δln(términos de intercambio)t + β2Δln(dólar amplio)t + β3Δln(VIX)t + β4Δln(remesas 12m)t−1 + β5Δ(diferencial de tasas)t−1 + β6Δ(déficit 12m/PIB)t−1 + β7 pandemia + ut</x:v>
      </x:c>
      <x:c r="D15" s="58" t="str">
        <x:v>Δln(TRM)t = c + β1Δln(términos de intercambio)t + β2Δln(dólar amplio)t + β3Δln(VIX)t + β4Δln(remesas 12m)t−1 + β5Δ(diferencial de tasas)t−1 + β6Δ(déficit 12m/PIB)t−1 + β7 pandemia + ut</x:v>
      </x:c>
      <x:c r="E15" s="58" t="str">
        <x:v>Δln(TRM)t = c + β1Δln(términos de intercambio)t + β2Δln(dólar amplio)t + β3Δln(VIX)t + β4Δln(remesas 12m)t−1 + β5Δ(diferencial de tasas)t−1 + β6Δ(déficit 12m/PIB)t−1 + β7 pandemia + ut</x:v>
      </x:c>
      <x:c r="F15" s="58" t="str">
        <x:v>Δln(TRM)t = c + β1Δln(términos de intercambio)t + β2Δln(dólar amplio)t + β3Δln(VIX)t + β4Δln(remesas 12m)t−1 + β5Δ(diferencial de tasas)t−1 + β6Δ(déficit 12m/PIB)t−1 + β7 pandemia + ut</x:v>
      </x:c>
      <x:c r="G15" s="83"/>
      <x:c r="H15" s="83"/>
      <x:c r="I15" s="83"/>
      <x:c r="J15" s="83"/>
      <x:c r="K15" s="83"/>
      <x:c r="L15" s="83"/>
      <x:c r="M15" s="83"/>
      <x:c r="N15" s="83"/>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36" customHeight="1">
      <x:c r="A16" s="58" t="str">
        <x:v>Δln(TRM)t = c + β1Δln(términos de intercambio)t + β2Δln(dólar amplio)t + β3Δln(VIX)t + β4Δln(remesas 12m)t−1 + β5Δ(diferencial de tasas)t−1 + β6Δ(déficit 12m/PIB)t−1 + β7 pandemia + ut</x:v>
      </x:c>
      <x:c r="B16" s="58" t="str">
        <x:v>Δln(TRM)t = c + β1Δln(términos de intercambio)t + β2Δln(dólar amplio)t + β3Δln(VIX)t + β4Δln(remesas 12m)t−1 + β5Δ(diferencial de tasas)t−1 + β6Δ(déficit 12m/PIB)t−1 + β7 pandemia + ut</x:v>
      </x:c>
      <x:c r="C16" s="58" t="str">
        <x:v>Δln(TRM)t = c + β1Δln(términos de intercambio)t + β2Δln(dólar amplio)t + β3Δln(VIX)t + β4Δln(remesas 12m)t−1 + β5Δ(diferencial de tasas)t−1 + β6Δ(déficit 12m/PIB)t−1 + β7 pandemia + ut</x:v>
      </x:c>
      <x:c r="D16" s="58" t="str">
        <x:v>Δln(TRM)t = c + β1Δln(términos de intercambio)t + β2Δln(dólar amplio)t + β3Δln(VIX)t + β4Δln(remesas 12m)t−1 + β5Δ(diferencial de tasas)t−1 + β6Δ(déficit 12m/PIB)t−1 + β7 pandemia + ut</x:v>
      </x:c>
      <x:c r="E16" s="58" t="str">
        <x:v>Δln(TRM)t = c + β1Δln(términos de intercambio)t + β2Δln(dólar amplio)t + β3Δln(VIX)t + β4Δln(remesas 12m)t−1 + β5Δ(diferencial de tasas)t−1 + β6Δ(déficit 12m/PIB)t−1 + β7 pandemia + ut</x:v>
      </x:c>
      <x:c r="F16" s="58" t="str">
        <x:v>Δln(TRM)t = c + β1Δln(términos de intercambio)t + β2Δln(dólar amplio)t + β3Δln(VIX)t + β4Δln(remesas 12m)t−1 + β5Δ(diferencial de tasas)t−1 + β6Δ(déficit 12m/PIB)t−1 + β7 pandemia + ut</x:v>
      </x:c>
      <x:c r="G16" s="83"/>
      <x:c r="H16" s="83"/>
      <x:c r="I16" s="83"/>
      <x:c r="J16" s="83"/>
      <x:c r="K16" s="83"/>
      <x:c r="L16" s="83"/>
      <x:c r="M16" s="83"/>
      <x:c r="N16" s="83"/>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83"/>
      <x:c r="B17" s="83"/>
      <x:c r="C17" s="83"/>
      <x:c r="D17" s="83"/>
      <x:c r="E17" s="83"/>
      <x:c r="F17" s="83"/>
      <x:c r="G17" s="83"/>
      <x:c r="H17" s="83"/>
      <x:c r="I17" s="83"/>
      <x:c r="J17" s="83"/>
      <x:c r="K17" s="83"/>
      <x:c r="L17" s="83"/>
      <x:c r="M17" s="83"/>
      <x:c r="N17" s="83"/>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22" customHeight="1">
      <x:c r="A18" s="55" t="str">
        <x:v>Lectura de los resultados (asociaciones, no efectos causales)</x:v>
      </x:c>
      <x:c r="B18" s="55" t="str">
        <x:v>Lectura de los resultados (asociaciones, no efectos causales)</x:v>
      </x:c>
      <x:c r="C18" s="55" t="str">
        <x:v>Lectura de los resultados (asociaciones, no efectos causales)</x:v>
      </x:c>
      <x:c r="D18" s="55" t="str">
        <x:v>Lectura de los resultados (asociaciones, no efectos causales)</x:v>
      </x:c>
      <x:c r="E18" s="55" t="str">
        <x:v>Lectura de los resultados (asociaciones, no efectos causales)</x:v>
      </x:c>
      <x:c r="F18" s="55" t="str">
        <x:v>Lectura de los resultados (asociaciones, no efectos causales)</x:v>
      </x:c>
      <x:c r="G18" s="83"/>
      <x:c r="H18" s="83"/>
      <x:c r="I18" s="83"/>
      <x:c r="J18" s="83"/>
      <x:c r="K18" s="83"/>
      <x:c r="L18" s="83"/>
      <x:c r="M18" s="83"/>
      <x:c r="N18" s="83"/>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66" t="str">
        <x:v>Variable</x:v>
      </x:c>
      <x:c r="B19" s="66" t="str">
        <x:v>Movimiento ilustrativo</x:v>
      </x:c>
      <x:c r="C19" s="66" t="str">
        <x:v>Efecto aproximado en TRM</x:v>
      </x:c>
      <x:c r="D19" s="66" t="str">
        <x:v>Signo</x:v>
      </x:c>
      <x:c r="E19" s="66" t="str">
        <x:v>p-valor</x:v>
      </x:c>
      <x:c r="F19" s="66" t="str">
        <x:v>Lectura</x:v>
      </x:c>
      <x:c r="G19" s="83"/>
      <x:c r="H19" s="83"/>
      <x:c r="I19" s="83"/>
      <x:c r="J19" s="83"/>
      <x:c r="K19" s="83"/>
      <x:c r="L19" s="83"/>
      <x:c r="M19" s="83"/>
      <x:c r="N19" s="83"/>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84" t="str">
        <x:v>Términos de intercambio</x:v>
      </x:c>
      <x:c r="B20" s="84" t="str">
        <x:v>+10%</x:v>
      </x:c>
      <x:c r="C20" s="84" t="str">
        <x:v>−0,95%</x:v>
      </x:c>
      <x:c r="D20" s="84" t="str">
        <x:v>Aprecia el COP</x:v>
      </x:c>
      <x:c r="E20" s="85" t="n">
        <x:v>0.0007166782361943295</x:v>
      </x:c>
      <x:c r="F20" s="84" t="str">
        <x:v>Poder de compra externo; el dato se publica con rezago</x:v>
      </x:c>
      <x:c r="G20" s="83"/>
      <x:c r="H20" s="83"/>
      <x:c r="I20" s="83"/>
      <x:c r="J20" s="83"/>
      <x:c r="K20" s="83"/>
      <x:c r="L20" s="83"/>
      <x:c r="M20" s="83"/>
      <x:c r="N20" s="83"/>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84" t="str">
        <x:v>Índice amplio del dólar</x:v>
      </x:c>
      <x:c r="B21" s="84" t="str">
        <x:v>+1%</x:v>
      </x:c>
      <x:c r="C21" s="84" t="str">
        <x:v>+1,28%</x:v>
      </x:c>
      <x:c r="D21" s="84" t="str">
        <x:v>Deprecia el COP</x:v>
      </x:c>
      <x:c r="E21" s="85" t="n">
        <x:v>3.3533083583167877e-15</x:v>
      </x:c>
      <x:c r="F21" s="84" t="str">
        <x:v>Fortaleza global del dólar</x:v>
      </x:c>
      <x:c r="G21" s="83"/>
      <x:c r="H21" s="83"/>
      <x:c r="I21" s="83"/>
      <x:c r="J21" s="83"/>
      <x:c r="K21" s="83"/>
      <x:c r="L21" s="83"/>
      <x:c r="M21" s="83"/>
      <x:c r="N21" s="83"/>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84" t="str">
        <x:v>VIX</x:v>
      </x:c>
      <x:c r="B22" s="84" t="str">
        <x:v>+10%</x:v>
      </x:c>
      <x:c r="C22" s="84" t="str">
        <x:v>+0,37%</x:v>
      </x:c>
      <x:c r="D22" s="84" t="str">
        <x:v>Deprecia el COP</x:v>
      </x:c>
      <x:c r="E22" s="85" t="n">
        <x:v>0.00003530123227255144</x:v>
      </x:c>
      <x:c r="F22" s="84" t="str">
        <x:v>Captura episodios globales de aversión al riesgo</x:v>
      </x:c>
      <x:c r="G22" s="83"/>
      <x:c r="H22" s="83"/>
      <x:c r="I22" s="83"/>
      <x:c r="J22" s="83"/>
      <x:c r="K22" s="83"/>
      <x:c r="L22" s="83"/>
      <x:c r="M22" s="83"/>
      <x:c r="N22" s="83"/>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84" t="str">
        <x:v>Remesas, acumulado 12m (t−1)</x:v>
      </x:c>
      <x:c r="B23" s="84" t="str">
        <x:v>+10%</x:v>
      </x:c>
      <x:c r="C23" s="84" t="str">
        <x:v>+2,67%</x:v>
      </x:c>
      <x:c r="D23" s="84" t="str">
        <x:v>Deprecia el COP</x:v>
      </x:c>
      <x:c r="E23" s="85" t="n">
        <x:v>0.02427012879939084</x:v>
      </x:c>
      <x:c r="F23" s="84" t="str">
        <x:v>Puede reflejar endogeneidad y shocks simultáneos</x:v>
      </x:c>
      <x:c r="G23" s="83"/>
      <x:c r="H23" s="83"/>
      <x:c r="I23" s="83"/>
      <x:c r="J23" s="83"/>
      <x:c r="K23" s="83"/>
      <x:c r="L23" s="83"/>
      <x:c r="M23" s="83"/>
      <x:c r="N23" s="83"/>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84" t="str">
        <x:v>Diferencial tasas CO−EE. UU. (t−1)</x:v>
      </x:c>
      <x:c r="B24" s="84" t="str">
        <x:v>+1 pp</x:v>
      </x:c>
      <x:c r="C24" s="84" t="str">
        <x:v>−0,98%</x:v>
      </x:c>
      <x:c r="D24" s="84" t="str">
        <x:v>Aprecia el COP</x:v>
      </x:c>
      <x:c r="E24" s="85" t="n">
        <x:v>0.04360863803696154</x:v>
      </x:c>
      <x:c r="F24" s="84" t="str">
        <x:v>Retorno nominal relativo; no es un shock exógeno</x:v>
      </x:c>
      <x:c r="G24" s="83"/>
      <x:c r="H24" s="83"/>
      <x:c r="I24" s="83"/>
      <x:c r="J24" s="83"/>
      <x:c r="K24" s="83"/>
      <x:c r="L24" s="83"/>
      <x:c r="M24" s="83"/>
      <x:c r="N24" s="83"/>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84" t="str">
        <x:v>Déficit fiscal 12m/PIB (t−1)</x:v>
      </x:c>
      <x:c r="B25" s="84" t="str">
        <x:v>+1 pp</x:v>
      </x:c>
      <x:c r="C25" s="84" t="str">
        <x:v>+0,49%</x:v>
      </x:c>
      <x:c r="D25" s="84" t="str">
        <x:v>Deprecia el COP</x:v>
      </x:c>
      <x:c r="E25" s="85" t="n">
        <x:v>0.14467777182955746</x:v>
      </x:c>
      <x:c r="F25" s="84" t="str">
        <x:v>Prima fiscal; revise el intervalo antes de concluir</x:v>
      </x:c>
      <x:c r="G25" s="83"/>
      <x:c r="H25" s="83"/>
      <x:c r="I25" s="83"/>
      <x:c r="J25" s="83"/>
      <x:c r="K25" s="83"/>
      <x:c r="L25" s="83"/>
      <x:c r="M25" s="83"/>
      <x:c r="N25" s="83"/>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84" t="str">
        <x:v>Pandemia, mar–may 2020</x:v>
      </x:c>
      <x:c r="B26" s="84" t="str">
        <x:v>Dummy = 1</x:v>
      </x:c>
      <x:c r="C26" s="84" t="str">
        <x:v>+1,09%</x:v>
      </x:c>
      <x:c r="D26" s="84" t="str">
        <x:v>Deprecia el COP</x:v>
      </x:c>
      <x:c r="E26" s="85" t="n">
        <x:v>0.019969238756193084</x:v>
      </x:c>
      <x:c r="F26" s="84" t="str">
        <x:v>Control de episodio extraordinario</x:v>
      </x:c>
      <x:c r="G26" s="83"/>
      <x:c r="H26" s="83"/>
      <x:c r="I26" s="83"/>
      <x:c r="J26" s="83"/>
      <x:c r="K26" s="83"/>
      <x:c r="L26" s="83"/>
      <x:c r="M26" s="83"/>
      <x:c r="N26" s="83"/>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86" t="str">
        <x:v>Conclusión</x:v>
      </x:c>
      <x:c r="B27" s="86" t="str">
        <x:v>—</x:v>
      </x:c>
      <x:c r="C27" s="86" t="str">
        <x:v>—</x:v>
      </x:c>
      <x:c r="D27" s="86" t="str">
        <x:v>—</x:v>
      </x:c>
      <x:c r="E27" s="87"/>
      <x:c r="F27" s="86" t="str">
        <x:v>La magnitud, la precisión y el peso Shapley responden preguntas distintas</x:v>
      </x:c>
      <x:c r="G27" s="83"/>
      <x:c r="H27" s="83"/>
      <x:c r="I27" s="83"/>
      <x:c r="J27" s="83"/>
      <x:c r="K27" s="83"/>
      <x:c r="L27" s="83"/>
      <x:c r="M27" s="83"/>
      <x:c r="N27" s="83"/>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83"/>
      <x:c r="B28" s="83"/>
      <x:c r="C28" s="83"/>
      <x:c r="D28" s="83"/>
      <x:c r="E28" s="83"/>
      <x:c r="F28" s="83"/>
      <x:c r="G28" s="83"/>
      <x:c r="H28" s="83"/>
      <x:c r="I28" s="83"/>
      <x:c r="J28" s="83"/>
      <x:c r="K28" s="83"/>
      <x:c r="L28" s="83"/>
      <x:c r="M28" s="83"/>
      <x:c r="N28" s="83"/>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ht="22" customHeight="1">
      <x:c r="A29" s="55" t="str">
        <x:v>Alcance y cautelas</x:v>
      </x:c>
      <x:c r="B29" s="55" t="str">
        <x:v>Alcance y cautelas</x:v>
      </x:c>
      <x:c r="C29" s="55" t="str">
        <x:v>Alcance y cautelas</x:v>
      </x:c>
      <x:c r="D29" s="55" t="str">
        <x:v>Alcance y cautelas</x:v>
      </x:c>
      <x:c r="E29" s="55" t="str">
        <x:v>Alcance y cautelas</x:v>
      </x:c>
      <x:c r="F29" s="55" t="str">
        <x:v>Alcance y cautelas</x:v>
      </x:c>
      <x:c r="G29" s="83"/>
      <x:c r="H29" s="55" t="str">
        <x:v>Explicación histórica frente a pronóstico publicado</x:v>
      </x:c>
      <x:c r="I29" s="55" t="str">
        <x:v>Explicación histórica frente a pronóstico publicado</x:v>
      </x:c>
      <x:c r="J29" s="55" t="str">
        <x:v>Explicación histórica frente a pronóstico publicado</x:v>
      </x:c>
      <x:c r="K29" s="55" t="str">
        <x:v>Explicación histórica frente a pronóstico publicado</x:v>
      </x:c>
      <x:c r="L29" s="55" t="str">
        <x:v>Explicación histórica frente a pronóstico publicado</x:v>
      </x:c>
      <x:c r="M29" s="55" t="str">
        <x:v>Explicación histórica frente a pronóstico publicado</x:v>
      </x:c>
      <x:c r="N29" s="55" t="str">
        <x:v>Explicación histórica frente a pronóstico publicado</x:v>
      </x:c>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78" t="str">
        <x:v>1</x:v>
      </x:c>
      <x:c r="B30" s="88" t="str">
        <x:v>La regresión identifica asociaciones dinámicas; no demuestra causalidad.</x:v>
      </x:c>
      <x:c r="C30" s="88"/>
      <x:c r="D30" s="88"/>
      <x:c r="E30" s="88"/>
      <x:c r="F30" s="88"/>
      <x:c r="G30" s="83"/>
      <x:c r="H30" s="62" t="str">
        <x:v>Modelo</x:v>
      </x:c>
      <x:c r="I30" s="62" t="str">
        <x:v>Obs.</x:v>
      </x:c>
      <x:c r="J30" s="62" t="str">
        <x:v>R² ajustado</x:v>
      </x:c>
      <x:c r="K30" s="62" t="str">
        <x:v>AIC</x:v>
      </x:c>
      <x:c r="L30" s="62" t="str">
        <x:v>BIC</x:v>
      </x:c>
      <x:c r="M30" s="62" t="str">
        <x:v>MAPE</x:v>
      </x:c>
      <x:c r="N30" s="62" t="str">
        <x:v>Dirección</x:v>
      </x:c>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78" t="str">
        <x:v>2</x:v>
      </x:c>
      <x:c r="B31" s="88" t="str">
        <x:v>La hoja Validacion mide explicación condicional con realizaciones contemporáneas; la hoja Pronostico usa únicamente datos rezagados según su calendario de publicación.</x:v>
      </x:c>
      <x:c r="C31" s="88"/>
      <x:c r="D31" s="88"/>
      <x:c r="E31" s="88"/>
      <x:c r="F31" s="88"/>
      <x:c r="G31" s="83"/>
      <x:c r="H31" s="83" t="str">
        <x:v>Base</x:v>
      </x:c>
      <x:c r="I31" s="83" t="n">
        <x:v>240</x:v>
      </x:c>
      <x:c r="J31" s="89" t="n">
        <x:v>0.4792107613916473</x:v>
      </x:c>
      <x:c r="K31" s="90" t="n">
        <x:v>-1103.3074291126252</x:v>
      </x:c>
      <x:c r="L31" s="90" t="n">
        <x:v>-1075.4623177258893</x:v>
      </x:c>
      <x:c r="M31" s="89" t="n">
        <x:v>0.020066091264301547</x:v>
      </x:c>
      <x:c r="N31" s="89" t="n">
        <x:v>0.6875</x:v>
      </x:c>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78" t="str">
        <x:v>3</x:v>
      </x:c>
      <x:c r="B32" s="88" t="str">
        <x:v>Los residuos presentan colas no normales; para inferencia se reportan errores HAC.</x:v>
      </x:c>
      <x:c r="C32" s="88"/>
      <x:c r="D32" s="88"/>
      <x:c r="E32" s="88"/>
      <x:c r="F32" s="88"/>
      <x:c r="G32" s="83"/>
      <x:c r="H32" s="83" t="str">
        <x:v>Ampliado historico</x:v>
      </x:c>
      <x:c r="I32" s="83" t="n">
        <x:v>240</x:v>
      </x:c>
      <x:c r="J32" s="89" t="n">
        <x:v>0.581395953543143</x:v>
      </x:c>
      <x:c r="K32" s="90" t="n">
        <x:v>-1150.0167866979243</x:v>
      </x:c>
      <x:c r="L32" s="90" t="n">
        <x:v>-1101.2878417711365</x:v>
      </x:c>
      <x:c r="M32" s="89" t="n">
        <x:v>0.01691434493778879</x:v>
      </x:c>
      <x:c r="N32" s="89" t="n">
        <x:v>0.8125</x:v>
      </x:c>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78" t="str">
        <x:v>4</x:v>
      </x:c>
      <x:c r="B33" s="88" t="str">
        <x:v>El resultado positivo de remesas puede reflejar respuesta de los hogares a depreciaciones u otros shocks simultáneos.</x:v>
      </x:c>
      <x:c r="C33" s="88"/>
      <x:c r="D33" s="88"/>
      <x:c r="E33" s="88"/>
      <x:c r="F33" s="88"/>
      <x:c r="G33" s="83"/>
      <x:c r="H33" s="83" t="str">
        <x:v>Pronóstico publicación</x:v>
      </x:c>
      <x:c r="I33" s="83" t="n">
        <x:v>240</x:v>
      </x:c>
      <x:c r="J33" s="89" t="n">
        <x:v>0.10421666090633763</x:v>
      </x:c>
      <x:c r="K33" s="90" t="n">
        <x:v>-966.4955464553129</x:v>
      </x:c>
      <x:c r="L33" s="90" t="n">
        <x:v>-914.285962605183</x:v>
      </x:c>
      <x:c r="M33" s="89" t="n">
        <x:v>0.026260286905604783</x:v>
      </x:c>
      <x:c r="N33" s="89" t="n">
        <x:v>0.47916666666666674</x:v>
      </x:c>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78" t="str">
        <x:v>5</x:v>
      </x:c>
      <x:c r="B34" s="88" t="str">
        <x:v>La prueba bounds no confirma cointegración al 5%; el ECM se muestra solo como contraste exploratorio.</x:v>
      </x:c>
      <x:c r="C34" s="88"/>
      <x:c r="D34" s="88"/>
      <x:c r="E34" s="88"/>
      <x:c r="F34" s="88"/>
      <x:c r="G34" s="83"/>
      <x:c r="H34" s="83"/>
      <x:c r="I34" s="83"/>
      <x:c r="J34" s="83"/>
      <x:c r="K34" s="83"/>
      <x:c r="L34" s="83"/>
      <x:c r="M34" s="83"/>
      <x:c r="N34" s="83"/>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78" t="str">
        <x:v>6</x:v>
      </x:c>
      <x:c r="B35" s="88" t="str">
        <x:v>El déficit fiscal y los demás factores deben interpretarse con sus intervalos de confianza; el signo aislado no basta.</x:v>
      </x:c>
      <x:c r="C35" s="88"/>
      <x:c r="D35" s="88"/>
      <x:c r="E35" s="88"/>
      <x:c r="F35" s="88"/>
      <x:c r="G35" s="83"/>
      <x:c r="H35" s="83"/>
      <x:c r="I35" s="83"/>
      <x:c r="J35" s="83"/>
      <x:c r="K35" s="83"/>
      <x:c r="L35" s="83"/>
      <x:c r="M35" s="83"/>
      <x:c r="N35" s="83"/>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78" t="str">
        <x:v>7</x:v>
      </x:c>
      <x:c r="B36" s="88" t="str">
        <x:v>En el ampliado, ARCH-LM y Jarque–Bera rechazan al 5%; RESET no rechaza la forma funcional.</x:v>
      </x:c>
      <x:c r="C36" s="88"/>
      <x:c r="D36" s="88"/>
      <x:c r="E36" s="88"/>
      <x:c r="F36" s="88"/>
      <x:c r="G36" s="83"/>
      <x:c r="H36" s="83"/>
      <x:c r="I36" s="83"/>
      <x:c r="J36" s="83"/>
      <x:c r="K36" s="83"/>
      <x:c r="L36" s="83"/>
      <x:c r="M36" s="83"/>
      <x:c r="N36" s="83"/>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78" t="str">
        <x:v>8</x:v>
      </x:c>
      <x:c r="B37" s="88" t="str">
        <x:v>El backtest del pronóstico usa el último vintage disponible: respeta rezagos, pero sigue siendo pseudo-tiempo-real hasta archivar versiones históricas de cada publicación.</x:v>
      </x:c>
      <x:c r="C37" s="88"/>
      <x:c r="D37" s="88"/>
      <x:c r="E37" s="88"/>
      <x:c r="F37" s="88"/>
      <x:c r="G37" s="83"/>
      <x:c r="H37" s="62" t="str">
        <x:v>Mes</x:v>
      </x:c>
      <x:c r="I37" s="62" t="str">
        <x:v>TRM observada</x:v>
      </x:c>
      <x:c r="J37" s="62" t="str">
        <x:v>TRM ajustada</x:v>
      </x:c>
      <x:c r="K37" s="83"/>
      <x:c r="L37" s="83"/>
      <x:c r="M37" s="83"/>
      <x:c r="N37" s="83"/>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ht="22" customHeight="1">
      <x:c r="A38" s="55" t="str">
        <x:v>Peso explicativo Shapley del modelo ampliado</x:v>
      </x:c>
      <x:c r="B38" s="55" t="str">
        <x:v>Peso explicativo Shapley del modelo ampliado</x:v>
      </x:c>
      <x:c r="C38" s="55" t="str">
        <x:v>Peso explicativo Shapley del modelo ampliado</x:v>
      </x:c>
      <x:c r="D38" s="55" t="str">
        <x:v>Peso explicativo Shapley del modelo ampliado</x:v>
      </x:c>
      <x:c r="E38" s="55" t="str">
        <x:v>Peso explicativo Shapley del modelo ampliado</x:v>
      </x:c>
      <x:c r="F38" s="55" t="str">
        <x:v>Peso explicativo Shapley del modelo ampliado</x:v>
      </x:c>
      <x:c r="G38" s="83"/>
      <x:c r="H38" s="83" t="str">
        <x:f>'Modelo_principal'!A18</x:f>
        <x:v>2006-05</x:v>
      </x:c>
      <x:c r="I38" s="91" t="n">
        <x:f>'Modelo_principal'!M18</x:f>
        <x:v>2418.649355</x:v>
      </x:c>
      <x:c r="J38" s="91" t="n">
        <x:f>'Modelo_principal'!N18</x:f>
        <x:v>2302.899328104417</x:v>
      </x:c>
      <x:c r="K38" s="83"/>
      <x:c r="L38" s="83"/>
      <x:c r="M38" s="83"/>
      <x:c r="N38" s="83"/>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62" t="str">
        <x:v>Factor</x:v>
      </x:c>
      <x:c r="B39" s="62" t="str">
        <x:v>Grupo</x:v>
      </x:c>
      <x:c r="C39" s="62" t="str">
        <x:v>Contribución al R²</x:v>
      </x:c>
      <x:c r="D39" s="62" t="str">
        <x:v>Peso entre factores</x:v>
      </x:c>
      <x:c r="E39" s="62" t="str">
        <x:v>Peso del R² total</x:v>
      </x:c>
      <x:c r="F39" s="62" t="str">
        <x:v>Lectura</x:v>
      </x:c>
      <x:c r="G39" s="83"/>
      <x:c r="H39" s="83" t="str">
        <x:f>'Modelo_principal'!A30</x:f>
        <x:v>2007-05</x:v>
      </x:c>
      <x:c r="I39" s="91" t="n">
        <x:f>'Modelo_principal'!M30</x:f>
        <x:v>2009.415484</x:v>
      </x:c>
      <x:c r="J39" s="91" t="n">
        <x:f>'Modelo_principal'!N30</x:f>
        <x:v>2111.986207743402</x:v>
      </x:c>
      <x:c r="K39" s="83"/>
      <x:c r="L39" s="83"/>
      <x:c r="M39" s="83"/>
      <x:c r="N39" s="83"/>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ht="30" customHeight="1">
      <x:c r="A40" s="92" t="str">
        <x:v>Monedas regionales</x:v>
      </x:c>
      <x:c r="B40" s="92" t="str">
        <x:v>Regional</x:v>
      </x:c>
      <x:c r="C40" s="93" t="n">
        <x:v>0.17638902135984608</x:v>
      </x:c>
      <x:c r="D40" s="93" t="n">
        <x:v>0.3008385071356464</x:v>
      </x:c>
      <x:c r="E40" s="93" t="n">
        <x:v>0.2919549455359126</x:v>
      </x:c>
      <x:c r="F40" s="92" t="str">
        <x:v>Participación explicativa, no efecto causal</x:v>
      </x:c>
      <x:c r="G40" s="83"/>
      <x:c r="H40" s="83" t="str">
        <x:f>'Modelo_principal'!A42</x:f>
        <x:v>2008-05</x:v>
      </x:c>
      <x:c r="I40" s="91" t="n">
        <x:f>'Modelo_principal'!M42</x:f>
        <x:v>1775.156129</x:v>
      </x:c>
      <x:c r="J40" s="91" t="n">
        <x:f>'Modelo_principal'!N42</x:f>
        <x:v>1781.6189955966352</x:v>
      </x:c>
      <x:c r="K40" s="83"/>
      <x:c r="L40" s="83"/>
      <x:c r="M40" s="83"/>
      <x:c r="N40" s="83"/>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ht="30" customHeight="1">
      <x:c r="A41" s="92" t="str">
        <x:v>Dólar amplio</x:v>
      </x:c>
      <x:c r="B41" s="92" t="str">
        <x:v>Global</x:v>
      </x:c>
      <x:c r="C41" s="93" t="n">
        <x:v>0.11879066732294251</x:v>
      </x:c>
      <x:c r="D41" s="93" t="n">
        <x:v>0.20260221834427902</x:v>
      </x:c>
      <x:c r="E41" s="93" t="n">
        <x:v>0.1966195092022855</x:v>
      </x:c>
      <x:c r="F41" s="92" t="str">
        <x:v>Participación explicativa, no efecto causal</x:v>
      </x:c>
      <x:c r="G41" s="83"/>
      <x:c r="H41" s="83" t="str">
        <x:f>'Modelo_principal'!A54</x:f>
        <x:v>2009-05</x:v>
      </x:c>
      <x:c r="I41" s="91" t="n">
        <x:f>'Modelo_principal'!M54</x:f>
        <x:v>2227.317742</x:v>
      </x:c>
      <x:c r="J41" s="91" t="n">
        <x:f>'Modelo_principal'!N54</x:f>
        <x:v>2246.761772852616</x:v>
      </x:c>
      <x:c r="K41" s="83"/>
      <x:c r="L41" s="83"/>
      <x:c r="M41" s="83"/>
      <x:c r="N41" s="83"/>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ht="30" customHeight="1">
      <x:c r="A42" s="92" t="str">
        <x:v>Riesgo soberano EMBIG Colombia</x:v>
      </x:c>
      <x:c r="B42" s="92" t="str">
        <x:v>Riesgo local</x:v>
      </x:c>
      <x:c r="C42" s="93" t="n">
        <x:v>0.10567905691202005</x:v>
      </x:c>
      <x:c r="D42" s="93" t="n">
        <x:v>0.18023984413438365</x:v>
      </x:c>
      <x:c r="E42" s="93" t="n">
        <x:v>0.17491748107209037</x:v>
      </x:c>
      <x:c r="F42" s="92" t="str">
        <x:v>Participación explicativa, no efecto causal</x:v>
      </x:c>
      <x:c r="G42" s="83"/>
      <x:c r="H42" s="83" t="str">
        <x:f>'Modelo_principal'!A66</x:f>
        <x:v>2010-05</x:v>
      </x:c>
      <x:c r="I42" s="91" t="n">
        <x:f>'Modelo_principal'!M66</x:f>
        <x:v>1983.593226</x:v>
      </x:c>
      <x:c r="J42" s="91" t="n">
        <x:f>'Modelo_principal'!N66</x:f>
        <x:v>2075.1696398551644</x:v>
      </x:c>
      <x:c r="K42" s="83"/>
      <x:c r="L42" s="83"/>
      <x:c r="M42" s="83"/>
      <x:c r="N42" s="83"/>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ht="30" customHeight="1">
      <x:c r="A43" s="92" t="str">
        <x:v>VIX</x:v>
      </x:c>
      <x:c r="B43" s="92" t="str">
        <x:v>Global</x:v>
      </x:c>
      <x:c r="C43" s="93" t="n">
        <x:v>0.049368343932821586</x:v>
      </x:c>
      <x:c r="D43" s="93" t="n">
        <x:v>0.0841996784947872</x:v>
      </x:c>
      <x:c r="E43" s="93" t="n">
        <x:v>0.08171331783003043</x:v>
      </x:c>
      <x:c r="F43" s="92" t="str">
        <x:v>Participación explicativa, no efecto causal</x:v>
      </x:c>
      <x:c r="G43" s="83"/>
      <x:c r="H43" s="83" t="str">
        <x:f>'Modelo_principal'!A78</x:f>
        <x:v>2011-05</x:v>
      </x:c>
      <x:c r="I43" s="91" t="n">
        <x:f>'Modelo_principal'!M78</x:f>
        <x:v>1800.50871</x:v>
      </x:c>
      <x:c r="J43" s="91" t="n">
        <x:f>'Modelo_principal'!N78</x:f>
        <x:v>1806.4470432612452</x:v>
      </x:c>
      <x:c r="K43" s="83"/>
      <x:c r="L43" s="83"/>
      <x:c r="M43" s="83"/>
      <x:c r="N43" s="83"/>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ht="30" customHeight="1">
      <x:c r="A44" s="92" t="str">
        <x:v>Balanza comercial cambiaria</x:v>
      </x:c>
      <x:c r="B44" s="92" t="str">
        <x:v>Sector externo Colombia</x:v>
      </x:c>
      <x:c r="C44" s="93" t="n">
        <x:v>0.04417243187371627</x:v>
      </x:c>
      <x:c r="D44" s="93" t="n">
        <x:v>0.07533784335891187</x:v>
      </x:c>
      <x:c r="E44" s="93" t="n">
        <x:v>0.07311316680855186</x:v>
      </x:c>
      <x:c r="F44" s="92" t="str">
        <x:v>Participación explicativa, no efecto causal</x:v>
      </x:c>
      <x:c r="G44" s="83"/>
      <x:c r="H44" s="83" t="str">
        <x:f>'Modelo_principal'!A90</x:f>
        <x:v>2012-05</x:v>
      </x:c>
      <x:c r="I44" s="91" t="n">
        <x:f>'Modelo_principal'!M90</x:f>
        <x:v>1793.276774</x:v>
      </x:c>
      <x:c r="J44" s="91" t="n">
        <x:f>'Modelo_principal'!N90</x:f>
        <x:v>1839.13095305401</x:v>
      </x:c>
      <x:c r="K44" s="83"/>
      <x:c r="L44" s="83"/>
      <x:c r="M44" s="83"/>
      <x:c r="N44" s="83"/>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ht="30" customHeight="1">
      <x:c r="A45" s="92" t="str">
        <x:v>Términos de intercambio</x:v>
      </x:c>
      <x:c r="B45" s="92" t="str">
        <x:v>Sector externo Colombia</x:v>
      </x:c>
      <x:c r="C45" s="93" t="n">
        <x:v>0.038942246180579586</x:v>
      </x:c>
      <x:c r="D45" s="93" t="n">
        <x:v>0.06641755317398294</x:v>
      </x:c>
      <x:c r="E45" s="93" t="n">
        <x:v>0.06445628687685086</x:v>
      </x:c>
      <x:c r="F45" s="92" t="str">
        <x:v>Participación explicativa, no efecto causal</x:v>
      </x:c>
      <x:c r="G45" s="83"/>
      <x:c r="H45" s="83" t="str">
        <x:f>'Modelo_principal'!A102</x:f>
        <x:v>2013-05</x:v>
      </x:c>
      <x:c r="I45" s="91" t="n">
        <x:f>'Modelo_principal'!M102</x:f>
        <x:v>1847.92129</x:v>
      </x:c>
      <x:c r="J45" s="91" t="n">
        <x:f>'Modelo_principal'!N102</x:f>
        <x:v>1861.3487273893688</x:v>
      </x:c>
      <x:c r="K45" s="83"/>
      <x:c r="L45" s="83"/>
      <x:c r="M45" s="83"/>
      <x:c r="N45" s="83"/>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ht="30" customHeight="1">
      <x:c r="A46" s="92" t="str">
        <x:v>Flujos netos de capital</x:v>
      </x:c>
      <x:c r="B46" s="92" t="str">
        <x:v>Sector externo Colombia</x:v>
      </x:c>
      <x:c r="C46" s="93" t="n">
        <x:v>0.024805224618820933</x:v>
      </x:c>
      <x:c r="D46" s="93" t="n">
        <x:v>0.04230629937147118</x:v>
      </x:c>
      <x:c r="E46" s="93" t="n">
        <x:v>0.04105702240855305</x:v>
      </x:c>
      <x:c r="F46" s="92" t="str">
        <x:v>Participación explicativa, no efecto causal</x:v>
      </x:c>
      <x:c r="G46" s="83"/>
      <x:c r="H46" s="83" t="str">
        <x:f>'Modelo_principal'!A114</x:f>
        <x:v>2014-05</x:v>
      </x:c>
      <x:c r="I46" s="91" t="n">
        <x:f>'Modelo_principal'!M114</x:f>
        <x:v>1915.360968</x:v>
      </x:c>
      <x:c r="J46" s="91" t="n">
        <x:f>'Modelo_principal'!N114</x:f>
        <x:v>1919.3242420024533</x:v>
      </x:c>
      <x:c r="K46" s="83"/>
      <x:c r="L46" s="83"/>
      <x:c r="M46" s="83"/>
      <x:c r="N46" s="83"/>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ht="30" customHeight="1">
      <x:c r="A47" s="92" t="str">
        <x:v>Reservas internacionales</x:v>
      </x:c>
      <x:c r="B47" s="92" t="str">
        <x:v>Sector externo Colombia</x:v>
      </x:c>
      <x:c r="C47" s="93" t="n">
        <x:v>0.015123678694806103</x:v>
      </x:c>
      <x:c r="D47" s="93" t="n">
        <x:v>0.02579403687297956</x:v>
      </x:c>
      <x:c r="E47" s="93" t="n">
        <x:v>0.025032356070715776</x:v>
      </x:c>
      <x:c r="F47" s="92" t="str">
        <x:v>Participación explicativa, no efecto causal</x:v>
      </x:c>
      <x:c r="G47" s="83"/>
      <x:c r="H47" s="83" t="str">
        <x:f>'Modelo_principal'!A126</x:f>
        <x:v>2015-05</x:v>
      </x:c>
      <x:c r="I47" s="91" t="n">
        <x:f>'Modelo_principal'!M126</x:f>
        <x:v>2437.535161</x:v>
      </x:c>
      <x:c r="J47" s="91" t="n">
        <x:f>'Modelo_principal'!N126</x:f>
        <x:v>2470.6891995822007</x:v>
      </x:c>
      <x:c r="K47" s="83"/>
      <x:c r="L47" s="83"/>
      <x:c r="M47" s="83"/>
      <x:c r="N47" s="83"/>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83"/>
      <x:c r="B48" s="83"/>
      <x:c r="C48" s="83"/>
      <x:c r="D48" s="83"/>
      <x:c r="E48" s="83"/>
      <x:c r="F48" s="83"/>
      <x:c r="G48" s="83"/>
      <x:c r="H48" s="83" t="str">
        <x:f>'Modelo_principal'!A138</x:f>
        <x:v>2016-05</x:v>
      </x:c>
      <x:c r="I48" s="91" t="n">
        <x:f>'Modelo_principal'!M138</x:f>
        <x:v>2993.508387</x:v>
      </x:c>
      <x:c r="J48" s="91" t="n">
        <x:f>'Modelo_principal'!N138</x:f>
        <x:v>3028.049392284136</x:v>
      </x:c>
      <x:c r="K48" s="83"/>
      <x:c r="L48" s="83"/>
      <x:c r="M48" s="83"/>
      <x:c r="N48" s="83"/>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83"/>
      <x:c r="B49" s="83"/>
      <x:c r="C49" s="83"/>
      <x:c r="D49" s="83"/>
      <x:c r="E49" s="83"/>
      <x:c r="F49" s="83"/>
      <x:c r="G49" s="83"/>
      <x:c r="H49" s="83" t="str">
        <x:f>'Modelo_principal'!A150</x:f>
        <x:v>2017-05</x:v>
      </x:c>
      <x:c r="I49" s="91" t="n">
        <x:f>'Modelo_principal'!M150</x:f>
        <x:v>2923.612903</x:v>
      </x:c>
      <x:c r="J49" s="91" t="n">
        <x:f>'Modelo_principal'!N150</x:f>
        <x:v>2848.145660622754</x:v>
      </x:c>
      <x:c r="K49" s="83"/>
      <x:c r="L49" s="83"/>
      <x:c r="M49" s="83"/>
      <x:c r="N49" s="83"/>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83"/>
      <x:c r="B50" s="83"/>
      <x:c r="C50" s="83"/>
      <x:c r="D50" s="83"/>
      <x:c r="E50" s="83"/>
      <x:c r="F50" s="83"/>
      <x:c r="G50" s="83"/>
      <x:c r="H50" s="83" t="str">
        <x:f>'Modelo_principal'!A162</x:f>
        <x:v>2018-05</x:v>
      </x:c>
      <x:c r="I50" s="91" t="n">
        <x:f>'Modelo_principal'!M162</x:f>
        <x:v>2861.825806</x:v>
      </x:c>
      <x:c r="J50" s="91" t="n">
        <x:f>'Modelo_principal'!N162</x:f>
        <x:v>2858.265802065992</x:v>
      </x:c>
      <x:c r="K50" s="83"/>
      <x:c r="L50" s="83"/>
      <x:c r="M50" s="83"/>
      <x:c r="N50" s="83"/>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83"/>
      <x:c r="B51" s="83"/>
      <x:c r="C51" s="83"/>
      <x:c r="D51" s="83"/>
      <x:c r="E51" s="83"/>
      <x:c r="F51" s="83"/>
      <x:c r="G51" s="83"/>
      <x:c r="H51" s="83" t="str">
        <x:f>'Modelo_principal'!A174</x:f>
        <x:v>2019-05</x:v>
      </x:c>
      <x:c r="I51" s="91" t="n">
        <x:f>'Modelo_principal'!M174</x:f>
        <x:v>3304.494516</x:v>
      </x:c>
      <x:c r="J51" s="91" t="n">
        <x:f>'Modelo_principal'!N174</x:f>
        <x:v>3232.6682902247</x:v>
      </x:c>
      <x:c r="K51" s="83"/>
      <x:c r="L51" s="83"/>
      <x:c r="M51" s="83"/>
      <x:c r="N51" s="83"/>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83"/>
      <x:c r="B52" s="83"/>
      <x:c r="C52" s="83"/>
      <x:c r="D52" s="83"/>
      <x:c r="E52" s="83"/>
      <x:c r="F52" s="83"/>
      <x:c r="G52" s="83"/>
      <x:c r="H52" s="83" t="str">
        <x:f>'Modelo_principal'!A186</x:f>
        <x:v>2020-05</x:v>
      </x:c>
      <x:c r="I52" s="91" t="n">
        <x:f>'Modelo_principal'!M186</x:f>
        <x:v>3858.191613</x:v>
      </x:c>
      <x:c r="J52" s="91" t="n">
        <x:f>'Modelo_principal'!N186</x:f>
        <x:v>3907.4882359802405</x:v>
      </x:c>
      <x:c r="K52" s="83"/>
      <x:c r="L52" s="83"/>
      <x:c r="M52" s="83"/>
      <x:c r="N52" s="83"/>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83"/>
      <x:c r="B53" s="83"/>
      <x:c r="C53" s="83"/>
      <x:c r="D53" s="83"/>
      <x:c r="E53" s="83"/>
      <x:c r="F53" s="83"/>
      <x:c r="G53" s="83"/>
      <x:c r="H53" s="83" t="str">
        <x:f>'Modelo_principal'!A198</x:f>
        <x:v>2021-05</x:v>
      </x:c>
      <x:c r="I53" s="91" t="n">
        <x:f>'Modelo_principal'!M198</x:f>
        <x:v>3735.666129</x:v>
      </x:c>
      <x:c r="J53" s="91" t="n">
        <x:f>'Modelo_principal'!N198</x:f>
        <x:v>3647.44312883716</x:v>
      </x:c>
      <x:c r="K53" s="83"/>
      <x:c r="L53" s="83"/>
      <x:c r="M53" s="83"/>
      <x:c r="N53" s="83"/>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83"/>
      <x:c r="B54" s="83"/>
      <x:c r="C54" s="83"/>
      <x:c r="D54" s="83"/>
      <x:c r="E54" s="83"/>
      <x:c r="F54" s="83"/>
      <x:c r="G54" s="83"/>
      <x:c r="H54" s="83" t="str">
        <x:f>'Modelo_principal'!A210</x:f>
        <x:v>2022-05</x:v>
      </x:c>
      <x:c r="I54" s="91" t="n">
        <x:f>'Modelo_principal'!M210</x:f>
        <x:v>4019.079355</x:v>
      </x:c>
      <x:c r="J54" s="91" t="n">
        <x:f>'Modelo_principal'!N210</x:f>
        <x:v>3910.9988036094855</x:v>
      </x:c>
      <x:c r="K54" s="83"/>
      <x:c r="L54" s="83"/>
      <x:c r="M54" s="83"/>
      <x:c r="N54" s="83"/>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83"/>
      <x:c r="B55" s="83"/>
      <x:c r="C55" s="83"/>
      <x:c r="D55" s="83"/>
      <x:c r="E55" s="83"/>
      <x:c r="F55" s="83"/>
      <x:c r="G55" s="83"/>
      <x:c r="H55" s="83" t="str">
        <x:f>'Modelo_principal'!A222</x:f>
        <x:v>2023-05</x:v>
      </x:c>
      <x:c r="I55" s="91" t="n">
        <x:f>'Modelo_principal'!M222</x:f>
        <x:v>4540.089032</x:v>
      </x:c>
      <x:c r="J55" s="91" t="n">
        <x:f>'Modelo_principal'!N222</x:f>
        <x:v>4552.168500631311</x:v>
      </x:c>
      <x:c r="K55" s="83"/>
      <x:c r="L55" s="83"/>
      <x:c r="M55" s="83"/>
      <x:c r="N55" s="83"/>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83"/>
      <x:c r="B56" s="83"/>
      <x:c r="C56" s="83"/>
      <x:c r="D56" s="83"/>
      <x:c r="E56" s="83"/>
      <x:c r="F56" s="83"/>
      <x:c r="G56" s="83"/>
      <x:c r="H56" s="83" t="str">
        <x:f>'Modelo_principal'!A234</x:f>
        <x:v>2024-05</x:v>
      </x:c>
      <x:c r="I56" s="91" t="n">
        <x:f>'Modelo_principal'!M234</x:f>
        <x:v>3869.100645</x:v>
      </x:c>
      <x:c r="J56" s="91" t="n">
        <x:f>'Modelo_principal'!N234</x:f>
        <x:v>3901.5272096688805</x:v>
      </x:c>
      <x:c r="K56" s="83"/>
      <x:c r="L56" s="83"/>
      <x:c r="M56" s="83"/>
      <x:c r="N56" s="83"/>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83"/>
      <x:c r="B57" s="83"/>
      <x:c r="C57" s="83"/>
      <x:c r="D57" s="83"/>
      <x:c r="E57" s="83"/>
      <x:c r="F57" s="83"/>
      <x:c r="G57" s="83"/>
      <x:c r="H57" s="83" t="str">
        <x:f>'Modelo_principal'!A246</x:f>
        <x:v>2025-05</x:v>
      </x:c>
      <x:c r="I57" s="91" t="n">
        <x:f>'Modelo_principal'!M246</x:f>
        <x:v>4203.377097</x:v>
      </x:c>
      <x:c r="J57" s="91" t="n">
        <x:f>'Modelo_principal'!N246</x:f>
        <x:v>4149.356215432614</x:v>
      </x:c>
      <x:c r="K57" s="83"/>
      <x:c r="L57" s="83"/>
      <x:c r="M57" s="83"/>
      <x:c r="N57" s="83"/>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83"/>
      <x:c r="B58" s="83"/>
      <x:c r="C58" s="83"/>
      <x:c r="D58" s="83"/>
      <x:c r="E58" s="83"/>
      <x:c r="F58" s="83"/>
      <x:c r="G58" s="83"/>
      <x:c r="H58" s="83" t="str">
        <x:f>'Modelo_principal'!A257</x:f>
        <x:v>2026-04</x:v>
      </x:c>
      <x:c r="I58" s="91" t="n">
        <x:f>'Modelo_principal'!M257</x:f>
        <x:v>3617.518667</x:v>
      </x:c>
      <x:c r="J58" s="91" t="n">
        <x:f>'Modelo_principal'!N257</x:f>
        <x:v>3639.017217731426</x:v>
      </x:c>
      <x:c r="K58" s="83"/>
      <x:c r="L58" s="83"/>
      <x:c r="M58" s="83"/>
      <x:c r="N58" s="83"/>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N2"/>
    <x:mergeCell ref="A3:N3"/>
    <x:mergeCell ref="A5:B5"/>
    <x:mergeCell ref="A6:B7"/>
    <x:mergeCell ref="C5:D5"/>
    <x:mergeCell ref="C6:D7"/>
    <x:mergeCell ref="E5:F5"/>
    <x:mergeCell ref="E6:F7"/>
    <x:mergeCell ref="A9:B9"/>
    <x:mergeCell ref="A10:B11"/>
    <x:mergeCell ref="C9:D9"/>
    <x:mergeCell ref="C10:D11"/>
    <x:mergeCell ref="E9:F9"/>
    <x:mergeCell ref="E10:F11"/>
    <x:mergeCell ref="A13:F13"/>
    <x:mergeCell ref="A14:F16"/>
    <x:mergeCell ref="A18:F18"/>
    <x:mergeCell ref="A29:F29"/>
    <x:mergeCell ref="B30:F30"/>
    <x:mergeCell ref="B31:F31"/>
    <x:mergeCell ref="B32:F32"/>
    <x:mergeCell ref="B33:F33"/>
    <x:mergeCell ref="B34:F34"/>
    <x:mergeCell ref="B35:F35"/>
    <x:mergeCell ref="B36:F36"/>
    <x:mergeCell ref="B37:F37"/>
    <x:mergeCell ref="H29:N29"/>
    <x:mergeCell ref="A38:F38"/>
    <x:mergeCell ref="H5:N5"/>
  </x:mergeCells>
  <x:pageMargins left="0.7" right="0.7" top="0.75" bottom="0.75" header="0.3" footer="0.3"/>
  <x:drawing xmlns:r="http://schemas.openxmlformats.org/officeDocument/2006/relationships" r:id="Rf1255de5b0c44b18"/>
  <x:tableParts count="2">
    <x:tablePart xmlns:r="http://schemas.openxmlformats.org/officeDocument/2006/relationships" r:id="R106955d2bb734a0a"/>
    <x:tablePart xmlns:r="http://schemas.openxmlformats.org/officeDocument/2006/relationships" r:id="R3979ee1e2f6e478d"/>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6" hidden="0" customWidth="1"/>
    <x:col min="3" max="3" width="16" hidden="0" customWidth="1"/>
    <x:col min="4" max="4" width="18" hidden="0" customWidth="1"/>
    <x:col min="5" max="5" width="18" hidden="0" customWidth="1"/>
    <x:col min="6" max="6" width="16" hidden="0" customWidth="1"/>
    <x:col min="7" max="7" width="16" hidden="0" customWidth="1"/>
    <x:col min="8" max="8" width="16" hidden="0" customWidth="1"/>
    <x:col min="9" max="9" width="24" hidden="0" customWidth="1"/>
    <x:col min="10" max="10" width="18" hidden="0" customWidth="1"/>
    <x:col min="11" max="11" width="18" hidden="0" customWidth="1"/>
    <x:col min="12" max="12" width="18" hidden="0" customWidth="1"/>
    <x:col min="13" max="13" width="18" hidden="0" customWidth="1"/>
    <x:col min="14" max="14" width="18" hidden="0" customWidth="1"/>
    <x:col min="15" max="15" width="21" hidden="0" customWidth="1"/>
    <x:col min="16" max="16" width="21" hidden="0" customWidth="1"/>
    <x:col min="17" max="17" width="21" hidden="0" customWidth="1"/>
    <x:col min="18" max="18" width="21" hidden="0" customWidth="1"/>
    <x:col min="19" max="19" width="21" hidden="0" customWidth="1"/>
    <x:col min="20" max="20" width="21" hidden="0" customWidth="1"/>
    <x:col min="21" max="21" width="21" hidden="0" customWidth="1"/>
    <x:col min="22" max="22" width="21" hidden="0" customWidth="1"/>
    <x:col min="23" max="23" width="21" hidden="0" customWidth="1"/>
    <x:col min="24" max="24" width="18" hidden="0" customWidth="1"/>
    <x:col min="25" max="25" width="18" hidden="0" customWidth="1"/>
    <x:col min="26" max="26" width="18" hidden="0" customWidth="1"/>
    <x:col min="27" max="27" width="18" hidden="0" customWidth="1"/>
    <x:col min="28" max="28" width="18" hidden="0" customWidth="1"/>
    <x:col min="29" max="29" width="18" hidden="0" customWidth="1"/>
  </x:cols>
  <x:sheetData>
    <x:row r="1" ht="30" customHeight="1">
      <x:c r="A1" s="4" t="str">
        <x:v>Datos fuente mensuales</x:v>
      </x:c>
      <x:c r="B1" s="4" t="str">
        <x:v>Datos fuente mensuales</x:v>
      </x:c>
      <x:c r="C1" s="4" t="str">
        <x:v>Datos fuente mensuales</x:v>
      </x:c>
      <x:c r="D1" s="4" t="str">
        <x:v>Datos fuente mensuales</x:v>
      </x:c>
      <x:c r="E1" s="4" t="str">
        <x:v>Datos fuente mensuales</x:v>
      </x:c>
      <x:c r="F1" s="4" t="str">
        <x:v>Datos fuente mensuales</x:v>
      </x:c>
      <x:c r="G1" s="4" t="str">
        <x:v>Datos fuente mensuales</x:v>
      </x:c>
      <x:c r="H1" s="4" t="str">
        <x:v>Datos fuente mensuales</x:v>
      </x:c>
      <x:c r="I1" s="4" t="str">
        <x:v>Datos fuente mensuales</x:v>
      </x:c>
      <x:c r="J1" s="4" t="str">
        <x:v>Datos fuente mensuales</x:v>
      </x:c>
      <x:c r="K1" s="4" t="str">
        <x:v>Datos fuente mensuales</x:v>
      </x:c>
      <x:c r="L1" s="4" t="str">
        <x:v>Datos fuente mensuales</x:v>
      </x:c>
      <x:c r="M1" s="4" t="str">
        <x:v>Datos fuente mensuales</x:v>
      </x:c>
      <x:c r="N1" s="4" t="str">
        <x:v>Datos fuente mensuales</x:v>
      </x:c>
      <x:c r="O1" s="4" t="str">
        <x:v>Datos fuente mensuales</x:v>
      </x:c>
      <x:c r="P1" s="4" t="str">
        <x:v>Datos fuente mensuales</x:v>
      </x:c>
      <x:c r="Q1" s="4" t="str">
        <x:v>Datos fuente mensuales</x:v>
      </x:c>
      <x:c r="R1" s="4" t="str">
        <x:v>Datos fuente mensuales</x:v>
      </x:c>
      <x:c r="S1" s="4" t="str">
        <x:v>Datos fuente mensuales</x:v>
      </x:c>
      <x:c r="T1" s="4" t="str">
        <x:v>Datos fuente mensuales</x:v>
      </x:c>
      <x:c r="U1" s="4" t="str">
        <x:v>Datos fuente mensuales</x:v>
      </x:c>
      <x:c r="V1" s="4" t="str">
        <x:v>Datos fuente mensuales</x:v>
      </x:c>
      <x:c r="W1" s="4" t="str">
        <x:v>Datos fuente mensuales</x:v>
      </x:c>
      <x:c r="X1" s="4" t="str">
        <x:v>Datos fuente mensuales</x:v>
      </x:c>
      <x:c r="Y1" s="4" t="str">
        <x:v>Datos fuente mensuales</x:v>
      </x:c>
      <x:c r="Z1" s="4" t="str">
        <x:v>Datos fuente mensuales</x:v>
      </x:c>
      <x:c r="AA1" s="4" t="str">
        <x:v>Datos fuente mensuales</x:v>
      </x:c>
      <x:c r="AB1" s="4" t="str">
        <x:v>Datos fuente mensuales</x:v>
      </x:c>
      <x:c r="AC1" s="4" t="str">
        <x:v>Datos fuente mensuales</x:v>
      </x:c>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B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C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D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E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F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G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H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I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J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K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L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M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N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O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P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Q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R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S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T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U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V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W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X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Y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Z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A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B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C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B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C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D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E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F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G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H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I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J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K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L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M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N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O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P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Q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R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S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T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U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V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W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X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Y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Z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A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B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C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54" customHeight="1">
      <x:c r="A5" s="62" t="str">
        <x:v>Mes</x:v>
      </x:c>
      <x:c r="B5" s="62" t="str">
        <x:v>TRM (COP/USD)</x:v>
      </x:c>
      <x:c r="C5" s="62" t="str">
        <x:v>Términos de intercambio</x:v>
      </x:c>
      <x:c r="D5" s="62" t="str">
        <x:v>Remesas (USD mill.)</x:v>
      </x:c>
      <x:c r="E5" s="62" t="str">
        <x:v>Remesas 12m (USD mill.)</x:v>
      </x:c>
      <x:c r="F5" s="62" t="str">
        <x:v>Tasa política Colombia (%)</x:v>
      </x:c>
      <x:c r="G5" s="62" t="str">
        <x:v>Fed funds (%)</x:v>
      </x:c>
      <x:c r="H5" s="62" t="str">
        <x:v>Diferencial tasas (pp)</x:v>
      </x:c>
      <x:c r="I5" s="62" t="str">
        <x:v>Balance fiscal mensual (miles mill. COP)</x:v>
      </x:c>
      <x:c r="J5" s="62" t="str">
        <x:v>Déficit fiscal 12m (% PIB)</x:v>
      </x:c>
      <x:c r="K5" s="62" t="str">
        <x:v>Índice dólar amplio</x:v>
      </x:c>
      <x:c r="L5" s="62" t="str">
        <x:v>VIX</x:v>
      </x:c>
      <x:c r="M5" s="62" t="str">
        <x:v>Dummy pandemia</x:v>
      </x:c>
      <x:c r="N5" s="62" t="str">
        <x:v>Reservas netas sin FLAR (USD mill.)</x:v>
      </x:c>
      <x:c r="O5" s="62" t="str">
        <x:v>EMBIG Colombia (pb)</x:v>
      </x:c>
      <x:c r="P5" s="62" t="str">
        <x:v>EMBIG Colombia (pp)</x:v>
      </x:c>
      <x:c r="Q5" s="62" t="str">
        <x:v>Balanza comercial cambiaria (USD mill.)</x:v>
      </x:c>
      <x:c r="R5" s="62" t="str">
        <x:v>Flujo neto total de capital (USD mill.)</x:v>
      </x:c>
      <x:c r="S5" s="62" t="str">
        <x:v>TES pesos cero cupón 5 años (%)</x:v>
      </x:c>
      <x:c r="T5" s="62" t="str">
        <x:v>TES UVR cero cupón 5 años (%)</x:v>
      </x:c>
      <x:c r="U5" s="62" t="str">
        <x:v>BEI Colombia 5 años (%)</x:v>
      </x:c>
      <x:c r="V5" s="62" t="str">
        <x:v>BEI EE. UU. 5 años (%)</x:v>
      </x:c>
      <x:c r="W5" s="62" t="str">
        <x:v>Diferencial BEI 5 años (pp)</x:v>
      </x:c>
      <x:c r="X5" s="62" t="str">
        <x:v>BRL por USD</x:v>
      </x:c>
      <x:c r="Y5" s="62" t="str">
        <x:v>CLP por USD</x:v>
      </x:c>
      <x:c r="Z5" s="62" t="str">
        <x:v>MXN por USD</x:v>
      </x:c>
      <x:c r="AA5" s="62" t="str">
        <x:v>PEN por USD</x:v>
      </x:c>
      <x:c r="AB5" s="62" t="str">
        <x:v>Factor regional 3 monedas</x:v>
      </x:c>
      <x:c r="AC5" s="62" t="str">
        <x:v>Factor regional 4 monedas</x:v>
      </x:c>
      <x:c r="AD5" s="1"/>
      <x:c r="AE5" s="1"/>
      <x:c r="AF5" s="1"/>
      <x:c r="AG5" s="1"/>
      <x:c r="AH5" s="1"/>
      <x:c r="AI5" s="1"/>
      <x:c r="AJ5" s="1"/>
      <x:c r="AK5" s="1"/>
      <x:c r="AL5" s="1"/>
      <x:c r="AM5" s="1"/>
      <x:c r="AN5" s="1"/>
      <x:c r="AO5" s="1"/>
      <x:c r="AP5" s="1"/>
      <x:c r="AQ5" s="1"/>
      <x:c r="AR5" s="1"/>
      <x:c r="AS5" s="1"/>
      <x:c r="AT5" s="1"/>
      <x:c r="AU5" s="1"/>
      <x:c r="AV5" s="1"/>
      <x:c r="AW5" s="1"/>
      <x:c r="AX5" s="1"/>
      <x:c r="AY5" s="1"/>
      <x:c r="AZ5" s="1"/>
    </x:row>
    <x:row r="6">
      <x:c r="A6" s="83" t="str">
        <x:v>2005-12</x:v>
      </x:c>
      <x:c r="B6" s="99" t="n">
        <x:v>2278.539355</x:v>
      </x:c>
      <x:c r="C6" s="99" t="n">
        <x:v>122.69</x:v>
      </x:c>
      <x:c r="D6" s="99" t="n">
        <x:v>348.03</x:v>
      </x:c>
      <x:c r="E6" s="99" t="n">
        <x:v>3313.73</x:v>
      </x:c>
      <x:c r="F6" s="90" t="n">
        <x:v>6</x:v>
      </x:c>
      <x:c r="G6" s="90" t="n">
        <x:v>4.16</x:v>
      </x:c>
      <x:c r="H6" s="90" t="n">
        <x:v>1.84</x:v>
      </x:c>
      <x:c r="I6" s="100" t="n">
        <x:v>-2824.564673</x:v>
      </x:c>
      <x:c r="J6" s="90" t="n">
        <x:v>3.997397732</x:v>
      </x:c>
      <x:c r="K6" s="90"/>
      <x:c r="L6" s="90" t="n">
        <x:v>11.26</x:v>
      </x:c>
      <x:c r="M6" s="101" t="n">
        <x:v>0</x:v>
      </x:c>
      <x:c r="N6" s="99" t="n">
        <x:v>14947.31</x:v>
      </x:c>
      <x:c r="O6" s="90"/>
      <x:c r="P6" s="90"/>
      <x:c r="Q6" s="100" t="n">
        <x:v>-449.16</x:v>
      </x:c>
      <x:c r="R6" s="100" t="n">
        <x:v>275.02</x:v>
      </x:c>
      <x:c r="S6" s="90" t="n">
        <x:v>8.228</x:v>
      </x:c>
      <x:c r="T6" s="90" t="n">
        <x:v>2.719230769</x:v>
      </x:c>
      <x:c r="U6" s="90" t="n">
        <x:v>5.508769231</x:v>
      </x:c>
      <x:c r="V6" s="90" t="n">
        <x:v>2.286352385</x:v>
      </x:c>
      <x:c r="W6" s="90" t="n">
        <x:v>3.222416846</x:v>
      </x:c>
      <x:c r="X6" s="102" t="n">
        <x:v>2.284454541</x:v>
      </x:c>
      <x:c r="Y6" s="102" t="n">
        <x:v>514.285</x:v>
      </x:c>
      <x:c r="Z6" s="102" t="n">
        <x:v>10.6285</x:v>
      </x:c>
      <x:c r="AA6" s="102" t="n">
        <x:v>3.424490476</x:v>
      </x:c>
      <x:c r="AB6" s="103" t="n">
        <x:v>-0.2144618765</x:v>
      </x:c>
      <x:c r="AC6" s="103"/>
      <x:c r="AD6" s="1"/>
      <x:c r="AE6" s="1"/>
      <x:c r="AF6" s="1"/>
      <x:c r="AG6" s="1"/>
      <x:c r="AH6" s="1"/>
      <x:c r="AI6" s="1"/>
      <x:c r="AJ6" s="1"/>
      <x:c r="AK6" s="1"/>
      <x:c r="AL6" s="1"/>
      <x:c r="AM6" s="1"/>
      <x:c r="AN6" s="1"/>
      <x:c r="AO6" s="1"/>
      <x:c r="AP6" s="1"/>
      <x:c r="AQ6" s="1"/>
      <x:c r="AR6" s="1"/>
      <x:c r="AS6" s="1"/>
      <x:c r="AT6" s="1"/>
      <x:c r="AU6" s="1"/>
      <x:c r="AV6" s="1"/>
      <x:c r="AW6" s="1"/>
      <x:c r="AX6" s="1"/>
      <x:c r="AY6" s="1"/>
      <x:c r="AZ6" s="1"/>
    </x:row>
    <x:row r="7">
      <x:c r="A7" s="83" t="str">
        <x:v>2006-01</x:v>
      </x:c>
      <x:c r="B7" s="99" t="n">
        <x:v>2273.710968</x:v>
      </x:c>
      <x:c r="C7" s="99" t="n">
        <x:v>128.63</x:v>
      </x:c>
      <x:c r="D7" s="99" t="n">
        <x:v>266.88</x:v>
      </x:c>
      <x:c r="E7" s="99" t="n">
        <x:v>3356.38</x:v>
      </x:c>
      <x:c r="F7" s="90" t="n">
        <x:v>6</x:v>
      </x:c>
      <x:c r="G7" s="90" t="n">
        <x:v>4.29</x:v>
      </x:c>
      <x:c r="H7" s="90" t="n">
        <x:v>1.71</x:v>
      </x:c>
      <x:c r="I7" s="100" t="n">
        <x:v>-2383.791927</x:v>
      </x:c>
      <x:c r="J7" s="90" t="n">
        <x:v>3.697683412</x:v>
      </x:c>
      <x:c r="K7" s="90" t="n">
        <x:v>100.0000045</x:v>
      </x:c>
      <x:c r="L7" s="90" t="n">
        <x:v>12.036</x:v>
      </x:c>
      <x:c r="M7" s="101" t="n">
        <x:v>0</x:v>
      </x:c>
      <x:c r="N7" s="99" t="n">
        <x:v>14741.24</x:v>
      </x:c>
      <x:c r="O7" s="90" t="n">
        <x:v>214.2727273</x:v>
      </x:c>
      <x:c r="P7" s="90" t="n">
        <x:v>2.142727273</x:v>
      </x:c>
      <x:c r="Q7" s="100" t="n">
        <x:v>-442.48</x:v>
      </x:c>
      <x:c r="R7" s="100" t="n">
        <x:v>-7.88</x:v>
      </x:c>
      <x:c r="S7" s="90" t="n">
        <x:v>7.71047619</x:v>
      </x:c>
      <x:c r="T7" s="90" t="n">
        <x:v>2.603333333</x:v>
      </x:c>
      <x:c r="U7" s="90" t="n">
        <x:v>5.107142857</x:v>
      </x:c>
      <x:c r="V7" s="90" t="n">
        <x:v>2.380690026</x:v>
      </x:c>
      <x:c r="W7" s="90" t="n">
        <x:v>2.726452831</x:v>
      </x:c>
      <x:c r="X7" s="102" t="n">
        <x:v>2.272227266</x:v>
      </x:c>
      <x:c r="Y7" s="102" t="n">
        <x:v>524.4768182</x:v>
      </x:c>
      <x:c r="Z7" s="102" t="n">
        <x:v>10.55181818</x:v>
      </x:c>
      <x:c r="AA7" s="102" t="n">
        <x:v>3.393195455</x:v>
      </x:c>
      <x:c r="AB7" s="103" t="n">
        <x:v>0.006506135375</x:v>
      </x:c>
      <x:c r="AC7" s="103" t="n">
        <x:v>-0.1773078362</x:v>
      </x:c>
      <x:c r="AD7" s="1"/>
      <x:c r="AE7" s="1"/>
      <x:c r="AF7" s="1"/>
      <x:c r="AG7" s="1"/>
      <x:c r="AH7" s="1"/>
      <x:c r="AI7" s="1"/>
      <x:c r="AJ7" s="1"/>
      <x:c r="AK7" s="1"/>
      <x:c r="AL7" s="1"/>
      <x:c r="AM7" s="1"/>
      <x:c r="AN7" s="1"/>
      <x:c r="AO7" s="1"/>
      <x:c r="AP7" s="1"/>
      <x:c r="AQ7" s="1"/>
      <x:c r="AR7" s="1"/>
      <x:c r="AS7" s="1"/>
      <x:c r="AT7" s="1"/>
      <x:c r="AU7" s="1"/>
      <x:c r="AV7" s="1"/>
      <x:c r="AW7" s="1"/>
      <x:c r="AX7" s="1"/>
      <x:c r="AY7" s="1"/>
      <x:c r="AZ7" s="1"/>
    </x:row>
    <x:row r="8">
      <x:c r="A8" s="83" t="str">
        <x:v>2006-02</x:v>
      </x:c>
      <x:c r="B8" s="99" t="n">
        <x:v>2255.771429</x:v>
      </x:c>
      <x:c r="C8" s="99" t="n">
        <x:v>128.04</x:v>
      </x:c>
      <x:c r="D8" s="99" t="n">
        <x:v>264.75</x:v>
      </x:c>
      <x:c r="E8" s="99" t="n">
        <x:v>3385.22</x:v>
      </x:c>
      <x:c r="F8" s="90" t="n">
        <x:v>6</x:v>
      </x:c>
      <x:c r="G8" s="90" t="n">
        <x:v>4.49</x:v>
      </x:c>
      <x:c r="H8" s="90" t="n">
        <x:v>1.51</x:v>
      </x:c>
      <x:c r="I8" s="100" t="n">
        <x:v>-3256.28879</x:v>
      </x:c>
      <x:c r="J8" s="90" t="n">
        <x:v>3.95151495</x:v>
      </x:c>
      <x:c r="K8" s="90" t="n">
        <x:v>100.21117</x:v>
      </x:c>
      <x:c r="L8" s="90" t="n">
        <x:v>12.47105263</x:v>
      </x:c>
      <x:c r="M8" s="101" t="n">
        <x:v>0</x:v>
      </x:c>
      <x:c r="N8" s="99" t="n">
        <x:v>15103.27</x:v>
      </x:c>
      <x:c r="O8" s="90" t="n">
        <x:v>174</x:v>
      </x:c>
      <x:c r="P8" s="90" t="n">
        <x:v>1.74</x:v>
      </x:c>
      <x:c r="Q8" s="100" t="n">
        <x:v>-504.99</x:v>
      </x:c>
      <x:c r="R8" s="100" t="n">
        <x:v>646.81</x:v>
      </x:c>
      <x:c r="S8" s="90" t="n">
        <x:v>7.097894737</x:v>
      </x:c>
      <x:c r="T8" s="90" t="n">
        <x:v>2.285</x:v>
      </x:c>
      <x:c r="U8" s="90" t="n">
        <x:v>4.812894737</x:v>
      </x:c>
      <x:c r="V8" s="90" t="n">
        <x:v>2.562715794</x:v>
      </x:c>
      <x:c r="W8" s="90" t="n">
        <x:v>2.250178943</x:v>
      </x:c>
      <x:c r="X8" s="102" t="n">
        <x:v>2.15720005</x:v>
      </x:c>
      <x:c r="Y8" s="102" t="n">
        <x:v>525.8985</x:v>
      </x:c>
      <x:c r="Z8" s="102" t="n">
        <x:v>10.4855</x:v>
      </x:c>
      <x:c r="AA8" s="102" t="n">
        <x:v>3.288465</x:v>
      </x:c>
      <x:c r="AB8" s="103" t="n">
        <x:v>-0.616990728</x:v>
      </x:c>
      <x:c r="AC8" s="103" t="n">
        <x:v>-1.090851665</x:v>
      </x:c>
      <x:c r="AD8" s="1"/>
      <x:c r="AE8" s="1"/>
      <x:c r="AF8" s="1"/>
      <x:c r="AG8" s="1"/>
      <x:c r="AH8" s="1"/>
      <x:c r="AI8" s="1"/>
      <x:c r="AJ8" s="1"/>
      <x:c r="AK8" s="1"/>
      <x:c r="AL8" s="1"/>
      <x:c r="AM8" s="1"/>
      <x:c r="AN8" s="1"/>
      <x:c r="AO8" s="1"/>
      <x:c r="AP8" s="1"/>
      <x:c r="AQ8" s="1"/>
      <x:c r="AR8" s="1"/>
      <x:c r="AS8" s="1"/>
      <x:c r="AT8" s="1"/>
      <x:c r="AU8" s="1"/>
      <x:c r="AV8" s="1"/>
      <x:c r="AW8" s="1"/>
      <x:c r="AX8" s="1"/>
      <x:c r="AY8" s="1"/>
      <x:c r="AZ8" s="1"/>
    </x:row>
    <x:row r="9">
      <x:c r="A9" s="83" t="str">
        <x:v>2006-03</x:v>
      </x:c>
      <x:c r="B9" s="99" t="n">
        <x:v>2261.91871</x:v>
      </x:c>
      <x:c r="C9" s="99" t="n">
        <x:v>130.99</x:v>
      </x:c>
      <x:c r="D9" s="99" t="n">
        <x:v>324.26</x:v>
      </x:c>
      <x:c r="E9" s="99" t="n">
        <x:v>3438.49</x:v>
      </x:c>
      <x:c r="F9" s="90" t="n">
        <x:v>6</x:v>
      </x:c>
      <x:c r="G9" s="90" t="n">
        <x:v>4.59</x:v>
      </x:c>
      <x:c r="H9" s="90" t="n">
        <x:v>1.41</x:v>
      </x:c>
      <x:c r="I9" s="100" t="n">
        <x:v>-855.8288329</x:v>
      </x:c>
      <x:c r="J9" s="90" t="n">
        <x:v>3.6276424</x:v>
      </x:c>
      <x:c r="K9" s="90" t="n">
        <x:v>100.428087</x:v>
      </x:c>
      <x:c r="L9" s="90" t="n">
        <x:v>11.69391304</x:v>
      </x:c>
      <x:c r="M9" s="101" t="n">
        <x:v>0</x:v>
      </x:c>
      <x:c r="N9" s="99" t="n">
        <x:v>15153.2</x:v>
      </x:c>
      <x:c r="O9" s="90" t="n">
        <x:v>167.5652174</x:v>
      </x:c>
      <x:c r="P9" s="90" t="n">
        <x:v>1.675652174</x:v>
      </x:c>
      <x:c r="Q9" s="100" t="n">
        <x:v>-418.94</x:v>
      </x:c>
      <x:c r="R9" s="100" t="n">
        <x:v>31.86</x:v>
      </x:c>
      <x:c r="S9" s="90" t="n">
        <x:v>7.187727273</x:v>
      </x:c>
      <x:c r="T9" s="90" t="n">
        <x:v>3.196923077</x:v>
      </x:c>
      <x:c r="U9" s="90" t="n">
        <x:v>3.990804196</x:v>
      </x:c>
      <x:c r="V9" s="90" t="n">
        <x:v>2.568847822</x:v>
      </x:c>
      <x:c r="W9" s="90" t="n">
        <x:v>1.421956374</x:v>
      </x:c>
      <x:c r="X9" s="102" t="n">
        <x:v>2.153695646</x:v>
      </x:c>
      <x:c r="Y9" s="102" t="n">
        <x:v>528.6352174</x:v>
      </x:c>
      <x:c r="Z9" s="102" t="n">
        <x:v>10.75530435</x:v>
      </x:c>
      <x:c r="AA9" s="102" t="n">
        <x:v>3.340017391</x:v>
      </x:c>
      <x:c r="AB9" s="103" t="n">
        <x:v>0.2511489501</x:v>
      </x:c>
      <x:c r="AC9" s="103" t="n">
        <x:v>0.503688482</x:v>
      </x:c>
      <x:c r="AD9" s="1"/>
      <x:c r="AE9" s="1"/>
      <x:c r="AF9" s="1"/>
      <x:c r="AG9" s="1"/>
      <x:c r="AH9" s="1"/>
      <x:c r="AI9" s="1"/>
      <x:c r="AJ9" s="1"/>
      <x:c r="AK9" s="1"/>
      <x:c r="AL9" s="1"/>
      <x:c r="AM9" s="1"/>
      <x:c r="AN9" s="1"/>
      <x:c r="AO9" s="1"/>
      <x:c r="AP9" s="1"/>
      <x:c r="AQ9" s="1"/>
      <x:c r="AR9" s="1"/>
      <x:c r="AS9" s="1"/>
      <x:c r="AT9" s="1"/>
      <x:c r="AU9" s="1"/>
      <x:c r="AV9" s="1"/>
      <x:c r="AW9" s="1"/>
      <x:c r="AX9" s="1"/>
      <x:c r="AY9" s="1"/>
      <x:c r="AZ9" s="1"/>
    </x:row>
    <x:row r="10">
      <x:c r="A10" s="83" t="str">
        <x:v>2006-04</x:v>
      </x:c>
      <x:c r="B10" s="99" t="n">
        <x:v>2335.137667</x:v>
      </x:c>
      <x:c r="C10" s="99" t="n">
        <x:v>136.46</x:v>
      </x:c>
      <x:c r="D10" s="99" t="n">
        <x:v>283.26</x:v>
      </x:c>
      <x:c r="E10" s="99" t="n">
        <x:v>3460.06</x:v>
      </x:c>
      <x:c r="F10" s="90" t="n">
        <x:v>6</x:v>
      </x:c>
      <x:c r="G10" s="90" t="n">
        <x:v>4.79</x:v>
      </x:c>
      <x:c r="H10" s="90" t="n">
        <x:v>1.21</x:v>
      </x:c>
      <x:c r="I10" s="100" t="n">
        <x:v>-3018.330331</x:v>
      </x:c>
      <x:c r="J10" s="90" t="n">
        <x:v>4.354903969</x:v>
      </x:c>
      <x:c r="K10" s="90" t="n">
        <x:v>99.74348</x:v>
      </x:c>
      <x:c r="L10" s="90" t="n">
        <x:v>11.84736842</x:v>
      </x:c>
      <x:c r="M10" s="101" t="n">
        <x:v>0</x:v>
      </x:c>
      <x:c r="N10" s="99" t="n">
        <x:v>15106.38</x:v>
      </x:c>
      <x:c r="O10" s="90" t="n">
        <x:v>173.75</x:v>
      </x:c>
      <x:c r="P10" s="90" t="n">
        <x:v>1.7375</x:v>
      </x:c>
      <x:c r="Q10" s="100" t="n">
        <x:v>-374.76</x:v>
      </x:c>
      <x:c r="R10" s="100" t="n">
        <x:v>-77.23</x:v>
      </x:c>
      <x:c r="S10" s="90" t="n">
        <x:v>8.017058824</x:v>
      </x:c>
      <x:c r="T10" s="90" t="n">
        <x:v>3.891111111</x:v>
      </x:c>
      <x:c r="U10" s="90" t="n">
        <x:v>4.125947712</x:v>
      </x:c>
      <x:c r="V10" s="90" t="n">
        <x:v>2.576700035</x:v>
      </x:c>
      <x:c r="W10" s="90" t="n">
        <x:v>1.549247678</x:v>
      </x:c>
      <x:c r="X10" s="102" t="n">
        <x:v>2.129249978</x:v>
      </x:c>
      <x:c r="Y10" s="102" t="n">
        <x:v>516.9625</x:v>
      </x:c>
      <x:c r="Z10" s="102" t="n">
        <x:v>11.0514</x:v>
      </x:c>
      <x:c r="AA10" s="102" t="n">
        <x:v>3.3313</x:v>
      </x:c>
      <x:c r="AB10" s="103" t="n">
        <x:v>-0.1603891615</x:v>
      </x:c>
      <x:c r="AC10" s="103" t="n">
        <x:v>-0.1703918311</x:v>
      </x:c>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83" t="str">
        <x:v>2006-05</x:v>
      </x:c>
      <x:c r="B11" s="99" t="n">
        <x:v>2418.649355</x:v>
      </x:c>
      <x:c r="C11" s="99" t="n">
        <x:v>135.55</x:v>
      </x:c>
      <x:c r="D11" s="99" t="n">
        <x:v>366.98</x:v>
      </x:c>
      <x:c r="E11" s="99" t="n">
        <x:v>3556.98</x:v>
      </x:c>
      <x:c r="F11" s="90" t="n">
        <x:v>6.241935484</x:v>
      </x:c>
      <x:c r="G11" s="90" t="n">
        <x:v>4.94</x:v>
      </x:c>
      <x:c r="H11" s="90" t="n">
        <x:v>1.301935484</x:v>
      </x:c>
      <x:c r="I11" s="100" t="n">
        <x:v>2052.972861</x:v>
      </x:c>
      <x:c r="J11" s="90" t="n">
        <x:v>3.865752534</x:v>
      </x:c>
      <x:c r="K11" s="90" t="n">
        <x:v>97.51177391</x:v>
      </x:c>
      <x:c r="L11" s="90" t="n">
        <x:v>14.45454545</x:v>
      </x:c>
      <x:c r="M11" s="101" t="n">
        <x:v>0</x:v>
      </x:c>
      <x:c r="N11" s="99" t="n">
        <x:v>14595.41</x:v>
      </x:c>
      <x:c r="O11" s="90" t="n">
        <x:v>188.6086957</x:v>
      </x:c>
      <x:c r="P11" s="90" t="n">
        <x:v>1.886086957</x:v>
      </x:c>
      <x:c r="Q11" s="100" t="n">
        <x:v>-439.47</x:v>
      </x:c>
      <x:c r="R11" s="100" t="n">
        <x:v>-612.47</x:v>
      </x:c>
      <x:c r="S11" s="90" t="n">
        <x:v>9.197142857</x:v>
      </x:c>
      <x:c r="T11" s="90" t="n">
        <x:v>4.589285714</x:v>
      </x:c>
      <x:c r="U11" s="90" t="n">
        <x:v>4.607857143</x:v>
      </x:c>
      <x:c r="V11" s="90" t="n">
        <x:v>2.653745445</x:v>
      </x:c>
      <x:c r="W11" s="90" t="n">
        <x:v>1.954111698</x:v>
      </x:c>
      <x:c r="X11" s="102" t="n">
        <x:v>2.173347815</x:v>
      </x:c>
      <x:c r="Y11" s="102" t="n">
        <x:v>520.5582609</x:v>
      </x:c>
      <x:c r="Z11" s="102" t="n">
        <x:v>11.08821739</x:v>
      </x:c>
      <x:c r="AA11" s="102" t="n">
        <x:v>3.278536364</x:v>
      </x:c>
      <x:c r="AB11" s="103" t="n">
        <x:v>0.2097398252</x:v>
      </x:c>
      <x:c r="AC11" s="103" t="n">
        <x:v>-0.1613489145</x:v>
      </x:c>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83" t="str">
        <x:v>2006-06</x:v>
      </x:c>
      <x:c r="B12" s="99" t="n">
        <x:v>2542.22</x:v>
      </x:c>
      <x:c r="C12" s="99" t="n">
        <x:v>135.31</x:v>
      </x:c>
      <x:c r="D12" s="99" t="n">
        <x:v>342.37</x:v>
      </x:c>
      <x:c r="E12" s="99" t="n">
        <x:v>3627.84</x:v>
      </x:c>
      <x:c r="F12" s="90" t="n">
        <x:v>6.333333333</x:v>
      </x:c>
      <x:c r="G12" s="90" t="n">
        <x:v>4.99</x:v>
      </x:c>
      <x:c r="H12" s="90" t="n">
        <x:v>1.343333333</x:v>
      </x:c>
      <x:c r="I12" s="100" t="n">
        <x:v>-539.8959368</x:v>
      </x:c>
      <x:c r="J12" s="90" t="n">
        <x:v>4.000523343</x:v>
      </x:c>
      <x:c r="K12" s="90" t="n">
        <x:v>98.69272273</x:v>
      </x:c>
      <x:c r="L12" s="90" t="n">
        <x:v>16.91863636</x:v>
      </x:c>
      <x:c r="M12" s="101" t="n">
        <x:v>0</x:v>
      </x:c>
      <x:c r="N12" s="99" t="n">
        <x:v>14461.24</x:v>
      </x:c>
      <x:c r="O12" s="90" t="n">
        <x:v>231.3181818</x:v>
      </x:c>
      <x:c r="P12" s="90" t="n">
        <x:v>2.313181818</x:v>
      </x:c>
      <x:c r="Q12" s="100" t="n">
        <x:v>-479.87</x:v>
      </x:c>
      <x:c r="R12" s="100" t="n">
        <x:v>-145.63</x:v>
      </x:c>
      <x:c r="S12" s="90" t="n">
        <x:v>10.46277778</x:v>
      </x:c>
      <x:c r="T12" s="90" t="n">
        <x:v>5.985</x:v>
      </x:c>
      <x:c r="U12" s="90" t="n">
        <x:v>4.477777778</x:v>
      </x:c>
      <x:c r="V12" s="90" t="n">
        <x:v>2.566595468</x:v>
      </x:c>
      <x:c r="W12" s="90" t="n">
        <x:v>1.91118231</x:v>
      </x:c>
      <x:c r="X12" s="102" t="n">
        <x:v>2.249545466</x:v>
      </x:c>
      <x:c r="Y12" s="102" t="n">
        <x:v>542.7163636</x:v>
      </x:c>
      <x:c r="Z12" s="102" t="n">
        <x:v>11.39377273</x:v>
      </x:c>
      <x:c r="AA12" s="102" t="n">
        <x:v>3.263909524</x:v>
      </x:c>
      <x:c r="AB12" s="103" t="n">
        <x:v>1.056077012</x:v>
      </x:c>
      <x:c r="AC12" s="103" t="n">
        <x:v>0.7045879266</x:v>
      </x:c>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83" t="str">
        <x:v>2006-07</x:v>
      </x:c>
      <x:c r="B13" s="99" t="n">
        <x:v>2513.698387</x:v>
      </x:c>
      <x:c r="C13" s="99" t="n">
        <x:v>137.8</x:v>
      </x:c>
      <x:c r="D13" s="99" t="n">
        <x:v>313.73</x:v>
      </x:c>
      <x:c r="E13" s="99" t="n">
        <x:v>3678.77</x:v>
      </x:c>
      <x:c r="F13" s="90" t="n">
        <x:v>6.5</x:v>
      </x:c>
      <x:c r="G13" s="90" t="n">
        <x:v>5.24</x:v>
      </x:c>
      <x:c r="H13" s="90" t="n">
        <x:v>1.26</x:v>
      </x:c>
      <x:c r="I13" s="100" t="n">
        <x:v>-626.3574207</x:v>
      </x:c>
      <x:c r="J13" s="90" t="n">
        <x:v>3.866772925</x:v>
      </x:c>
      <x:c r="K13" s="90" t="n">
        <x:v>98.43871429</x:v>
      </x:c>
      <x:c r="L13" s="90" t="n">
        <x:v>15.326</x:v>
      </x:c>
      <x:c r="M13" s="101" t="n">
        <x:v>0</x:v>
      </x:c>
      <x:c r="N13" s="99" t="n">
        <x:v>14688.43</x:v>
      </x:c>
      <x:c r="O13" s="90" t="n">
        <x:v>228.2857143</x:v>
      </x:c>
      <x:c r="P13" s="90" t="n">
        <x:v>2.282857143</x:v>
      </x:c>
      <x:c r="Q13" s="100" t="n">
        <x:v>-655.97</x:v>
      </x:c>
      <x:c r="R13" s="100" t="n">
        <x:v>524.77</x:v>
      </x:c>
      <x:c r="S13" s="90" t="n">
        <x:v>10.46333333</x:v>
      </x:c>
      <x:c r="T13" s="90" t="n">
        <x:v>6.074285714</x:v>
      </x:c>
      <x:c r="U13" s="90" t="n">
        <x:v>4.389047619</x:v>
      </x:c>
      <x:c r="V13" s="90" t="n">
        <x:v>2.539475</x:v>
      </x:c>
      <x:c r="W13" s="90" t="n">
        <x:v>1.849572619</x:v>
      </x:c>
      <x:c r="X13" s="102" t="n">
        <x:v>2.189142863</x:v>
      </x:c>
      <x:c r="Y13" s="102" t="n">
        <x:v>540.6552381</x:v>
      </x:c>
      <x:c r="Z13" s="102" t="n">
        <x:v>10.98671429</x:v>
      </x:c>
      <x:c r="AA13" s="102" t="n">
        <x:v>3.243425</x:v>
      </x:c>
      <x:c r="AB13" s="103" t="n">
        <x:v>-0.8334321008</x:v>
      </x:c>
      <x:c r="AC13" s="103" t="n">
        <x:v>-0.7492398484</x:v>
      </x:c>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83" t="str">
        <x:v>2006-08</x:v>
      </x:c>
      <x:c r="B14" s="99" t="n">
        <x:v>2388.983548</x:v>
      </x:c>
      <x:c r="C14" s="99" t="n">
        <x:v>134.31</x:v>
      </x:c>
      <x:c r="D14" s="99" t="n">
        <x:v>334.72</x:v>
      </x:c>
      <x:c r="E14" s="99" t="n">
        <x:v>3713.6</x:v>
      </x:c>
      <x:c r="F14" s="90" t="n">
        <x:v>6.580645161</x:v>
      </x:c>
      <x:c r="G14" s="90" t="n">
        <x:v>5.25</x:v>
      </x:c>
      <x:c r="H14" s="90" t="n">
        <x:v>1.330645161</x:v>
      </x:c>
      <x:c r="I14" s="100" t="n">
        <x:v>641.5375862</x:v>
      </x:c>
      <x:c r="J14" s="90" t="n">
        <x:v>3.885340436</x:v>
      </x:c>
      <x:c r="K14" s="90" t="n">
        <x:v>97.71376522</x:v>
      </x:c>
      <x:c r="L14" s="90" t="n">
        <x:v>13.35173913</x:v>
      </x:c>
      <x:c r="M14" s="101" t="n">
        <x:v>0</x:v>
      </x:c>
      <x:c r="N14" s="99" t="n">
        <x:v>14982.42</x:v>
      </x:c>
      <x:c r="O14" s="90" t="n">
        <x:v>196.4782609</x:v>
      </x:c>
      <x:c r="P14" s="90" t="n">
        <x:v>1.964782609</x:v>
      </x:c>
      <x:c r="Q14" s="100" t="n">
        <x:v>-530.34</x:v>
      </x:c>
      <x:c r="R14" s="100" t="n">
        <x:v>384.09</x:v>
      </x:c>
      <x:c r="S14" s="90" t="n">
        <x:v>9.539047619</x:v>
      </x:c>
      <x:c r="T14" s="90" t="n">
        <x:v>4.792</x:v>
      </x:c>
      <x:c r="U14" s="90" t="n">
        <x:v>4.747047619</x:v>
      </x:c>
      <x:c r="V14" s="90" t="n">
        <x:v>2.495491308</x:v>
      </x:c>
      <x:c r="W14" s="90" t="n">
        <x:v>2.251556311</x:v>
      </x:c>
      <x:c r="X14" s="102" t="n">
        <x:v>2.156304349</x:v>
      </x:c>
      <x:c r="Y14" s="102" t="n">
        <x:v>538.7847826</x:v>
      </x:c>
      <x:c r="Z14" s="102" t="n">
        <x:v>10.87452174</x:v>
      </x:c>
      <x:c r="AA14" s="102" t="n">
        <x:v>3.234790909</x:v>
      </x:c>
      <x:c r="AB14" s="103" t="n">
        <x:v>-0.4065242495</x:v>
      </x:c>
      <x:c r="AC14" s="103" t="n">
        <x:v>-0.3560427051</x:v>
      </x:c>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83" t="str">
        <x:v>2006-09</x:v>
      </x:c>
      <x:c r="B15" s="99" t="n">
        <x:v>2398.708667</x:v>
      </x:c>
      <x:c r="C15" s="99" t="n">
        <x:v>127.86</x:v>
      </x:c>
      <x:c r="D15" s="99" t="n">
        <x:v>324.12</x:v>
      </x:c>
      <x:c r="E15" s="99" t="n">
        <x:v>3748.93</x:v>
      </x:c>
      <x:c r="F15" s="90" t="n">
        <x:v>6.75</x:v>
      </x:c>
      <x:c r="G15" s="90" t="n">
        <x:v>5.25</x:v>
      </x:c>
      <x:c r="H15" s="90" t="n">
        <x:v>1.5</x:v>
      </x:c>
      <x:c r="I15" s="100" t="n">
        <x:v>-100.4314416</x:v>
      </x:c>
      <x:c r="J15" s="90" t="n">
        <x:v>3.654184295</x:v>
      </x:c>
      <x:c r="K15" s="90" t="n">
        <x:v>97.9813619</x:v>
      </x:c>
      <x:c r="L15" s="90" t="n">
        <x:v>12.1845</x:v>
      </x:c>
      <x:c r="M15" s="101" t="n">
        <x:v>0</x:v>
      </x:c>
      <x:c r="N15" s="99" t="n">
        <x:v>15013.29</x:v>
      </x:c>
      <x:c r="O15" s="90" t="n">
        <x:v>206.3333333</x:v>
      </x:c>
      <x:c r="P15" s="90" t="n">
        <x:v>2.063333333</x:v>
      </x:c>
      <x:c r="Q15" s="100" t="n">
        <x:v>-560.04</x:v>
      </x:c>
      <x:c r="R15" s="100" t="n">
        <x:v>126.98</x:v>
      </x:c>
      <x:c r="S15" s="90" t="n">
        <x:v>9.602380952</x:v>
      </x:c>
      <x:c r="T15" s="90" t="n">
        <x:v>4.6425</x:v>
      </x:c>
      <x:c r="U15" s="90" t="n">
        <x:v>4.959880952</x:v>
      </x:c>
      <x:c r="V15" s="90" t="n">
        <x:v>2.24733001</x:v>
      </x:c>
      <x:c r="W15" s="90" t="n">
        <x:v>2.712550942</x:v>
      </x:c>
      <x:c r="X15" s="102" t="n">
        <x:v>2.167666674</x:v>
      </x:c>
      <x:c r="Y15" s="102" t="n">
        <x:v>538.5285714</x:v>
      </x:c>
      <x:c r="Z15" s="102" t="n">
        <x:v>10.982</x:v>
      </x:c>
      <x:c r="AA15" s="102" t="n">
        <x:v>3.247914286</x:v>
      </x:c>
      <x:c r="AB15" s="103" t="n">
        <x:v>0.05659956747</x:v>
      </x:c>
      <x:c r="AC15" s="103" t="n">
        <x:v>0.1263464674</x:v>
      </x:c>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83" t="str">
        <x:v>2006-10</x:v>
      </x:c>
      <x:c r="B16" s="99" t="n">
        <x:v>2361.796452</x:v>
      </x:c>
      <x:c r="C16" s="99" t="n">
        <x:v>127.38</x:v>
      </x:c>
      <x:c r="D16" s="99" t="n">
        <x:v>331.6</x:v>
      </x:c>
      <x:c r="E16" s="99" t="n">
        <x:v>3795.01</x:v>
      </x:c>
      <x:c r="F16" s="90" t="n">
        <x:v>7.008064516</x:v>
      </x:c>
      <x:c r="G16" s="90" t="n">
        <x:v>5.25</x:v>
      </x:c>
      <x:c r="H16" s="90" t="n">
        <x:v>1.758064516</x:v>
      </x:c>
      <x:c r="I16" s="100" t="n">
        <x:v>-1093.300195</x:v>
      </x:c>
      <x:c r="J16" s="90" t="n">
        <x:v>3.895828134</x:v>
      </x:c>
      <x:c r="K16" s="90" t="n">
        <x:v>98.31565455</x:v>
      </x:c>
      <x:c r="L16" s="90" t="n">
        <x:v>11.30636364</x:v>
      </x:c>
      <x:c r="M16" s="101" t="n">
        <x:v>0</x:v>
      </x:c>
      <x:c r="N16" s="99" t="n">
        <x:v>15135.6</x:v>
      </x:c>
      <x:c r="O16" s="90" t="n">
        <x:v>181.0454545</x:v>
      </x:c>
      <x:c r="P16" s="90" t="n">
        <x:v>1.810454545</x:v>
      </x:c>
      <x:c r="Q16" s="100" t="n">
        <x:v>-653.95</x:v>
      </x:c>
      <x:c r="R16" s="100" t="n">
        <x:v>499.03</x:v>
      </x:c>
      <x:c r="S16" s="90" t="n">
        <x:v>9.5</x:v>
      </x:c>
      <x:c r="T16" s="90" t="n">
        <x:v>4.511111111</x:v>
      </x:c>
      <x:c r="U16" s="90" t="n">
        <x:v>4.988888889</x:v>
      </x:c>
      <x:c r="V16" s="90" t="n">
        <x:v>2.136961892</x:v>
      </x:c>
      <x:c r="W16" s="90" t="n">
        <x:v>2.851926997</x:v>
      </x:c>
      <x:c r="X16" s="102" t="n">
        <x:v>2.148045431</x:v>
      </x:c>
      <x:c r="Y16" s="102" t="n">
        <x:v>530.855</x:v>
      </x:c>
      <x:c r="Z16" s="102" t="n">
        <x:v>10.8965</x:v>
      </x:c>
      <x:c r="AA16" s="102" t="n">
        <x:v>3.237409091</x:v>
      </x:c>
      <x:c r="AB16" s="103" t="n">
        <x:v>-0.4583576676</x:v>
      </x:c>
      <x:c r="AC16" s="103" t="n">
        <x:v>-0.4064648899</x:v>
      </x:c>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83" t="str">
        <x:v>2006-11</x:v>
      </x:c>
      <x:c r="B17" s="99" t="n">
        <x:v>2290.438</x:v>
      </x:c>
      <x:c r="C17" s="99" t="n">
        <x:v>127.06</x:v>
      </x:c>
      <x:c r="D17" s="99" t="n">
        <x:v>332.93</x:v>
      </x:c>
      <x:c r="E17" s="99" t="n">
        <x:v>3833.63</x:v>
      </x:c>
      <x:c r="F17" s="90" t="n">
        <x:v>7.25</x:v>
      </x:c>
      <x:c r="G17" s="90" t="n">
        <x:v>5.25</x:v>
      </x:c>
      <x:c r="H17" s="90" t="n">
        <x:v>2</x:v>
      </x:c>
      <x:c r="I17" s="100" t="n">
        <x:v>-1369.838992</x:v>
      </x:c>
      <x:c r="J17" s="90" t="n">
        <x:v>3.504711191</x:v>
      </x:c>
      <x:c r="K17" s="90" t="n">
        <x:v>97.51328182</x:v>
      </x:c>
      <x:c r="L17" s="90" t="n">
        <x:v>10.81761905</x:v>
      </x:c>
      <x:c r="M17" s="101" t="n">
        <x:v>0</x:v>
      </x:c>
      <x:c r="N17" s="99" t="n">
        <x:v>15452.62</x:v>
      </x:c>
      <x:c r="O17" s="90" t="n">
        <x:v>189.4545455</x:v>
      </x:c>
      <x:c r="P17" s="90" t="n">
        <x:v>1.894545455</x:v>
      </x:c>
      <x:c r="Q17" s="100" t="n">
        <x:v>-563.44</x:v>
      </x:c>
      <x:c r="R17" s="100" t="n">
        <x:v>509.33</x:v>
      </x:c>
      <x:c r="S17" s="90" t="n">
        <x:v>9.1295</x:v>
      </x:c>
      <x:c r="T17" s="90" t="n">
        <x:v>4.55</x:v>
      </x:c>
      <x:c r="U17" s="90" t="n">
        <x:v>4.5795</x:v>
      </x:c>
      <x:c r="V17" s="90" t="n">
        <x:v>2.115390471</x:v>
      </x:c>
      <x:c r="W17" s="90" t="n">
        <x:v>2.464109529</x:v>
      </x:c>
      <x:c r="X17" s="102" t="n">
        <x:v>2.157</x:v>
      </x:c>
      <x:c r="Y17" s="102" t="n">
        <x:v>527.4486364</x:v>
      </x:c>
      <x:c r="Z17" s="102" t="n">
        <x:v>10.91604545</x:v>
      </x:c>
      <x:c r="AA17" s="102" t="n">
        <x:v>3.222490476</x:v>
      </x:c>
      <x:c r="AB17" s="103" t="n">
        <x:v>-0.1240557433</x:v>
      </x:c>
      <x:c r="AC17" s="103" t="n">
        <x:v>-0.1834777567</x:v>
      </x:c>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83" t="str">
        <x:v>2006-12</x:v>
      </x:c>
      <x:c r="B18" s="99" t="n">
        <x:v>2260.705484</x:v>
      </x:c>
      <x:c r="C18" s="99" t="n">
        <x:v>130.84</x:v>
      </x:c>
      <x:c r="D18" s="99" t="n">
        <x:v>375.34</x:v>
      </x:c>
      <x:c r="E18" s="99" t="n">
        <x:v>3860.94</x:v>
      </x:c>
      <x:c r="F18" s="90" t="n">
        <x:v>7.362903226</x:v>
      </x:c>
      <x:c r="G18" s="90" t="n">
        <x:v>5.24</x:v>
      </x:c>
      <x:c r="H18" s="90" t="n">
        <x:v>2.122903226</x:v>
      </x:c>
      <x:c r="I18" s="100" t="n">
        <x:v>-2522.391247</x:v>
      </x:c>
      <x:c r="J18" s="90" t="n">
        <x:v>3.425526113</x:v>
      </x:c>
      <x:c r="K18" s="90" t="n">
        <x:v>96.79507143</x:v>
      </x:c>
      <x:c r="L18" s="90" t="n">
        <x:v>10.9645</x:v>
      </x:c>
      <x:c r="M18" s="101" t="n">
        <x:v>0</x:v>
      </x:c>
      <x:c r="N18" s="99" t="n">
        <x:v>15435.49</x:v>
      </x:c>
      <x:c r="O18" s="90" t="n">
        <x:v>181.0952381</x:v>
      </x:c>
      <x:c r="P18" s="90" t="n">
        <x:v>1.810952381</x:v>
      </x:c>
      <x:c r="Q18" s="100" t="n">
        <x:v>-750.87</x:v>
      </x:c>
      <x:c r="R18" s="100" t="n">
        <x:v>439.64</x:v>
      </x:c>
      <x:c r="S18" s="90" t="n">
        <x:v>9.043888889</x:v>
      </x:c>
      <x:c r="T18" s="90" t="n">
        <x:v>4.337142857</x:v>
      </x:c>
      <x:c r="U18" s="90" t="n">
        <x:v>4.706746032</x:v>
      </x:c>
      <x:c r="V18" s="90" t="n">
        <x:v>2.183465028</x:v>
      </x:c>
      <x:c r="W18" s="90" t="n">
        <x:v>2.523281004</x:v>
      </x:c>
      <x:c r="X18" s="102" t="n">
        <x:v>2.148142826</x:v>
      </x:c>
      <x:c r="Y18" s="102" t="n">
        <x:v>527.8133333</x:v>
      </x:c>
      <x:c r="Z18" s="102" t="n">
        <x:v>10.8557619</x:v>
      </x:c>
      <x:c r="AA18" s="102" t="n">
        <x:v>3.205089474</x:v>
      </x:c>
      <x:c r="AB18" s="103" t="n">
        <x:v>-0.1980495202</x:v>
      </x:c>
      <x:c r="AC18" s="103" t="n">
        <x:v>-0.254976089</x:v>
      </x:c>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83" t="str">
        <x:v>2007-01</x:v>
      </x:c>
      <x:c r="B19" s="99" t="n">
        <x:v>2236.202258</x:v>
      </x:c>
      <x:c r="C19" s="99" t="n">
        <x:v>125.16</x:v>
      </x:c>
      <x:c r="D19" s="99" t="n">
        <x:v>305.28</x:v>
      </x:c>
      <x:c r="E19" s="99" t="n">
        <x:v>3899.34</x:v>
      </x:c>
      <x:c r="F19" s="90" t="n">
        <x:v>7.524193548</x:v>
      </x:c>
      <x:c r="G19" s="90" t="n">
        <x:v>5.25</x:v>
      </x:c>
      <x:c r="H19" s="90" t="n">
        <x:v>2.274193548</x:v>
      </x:c>
      <x:c r="I19" s="100" t="n">
        <x:v>-994.5023411</x:v>
      </x:c>
      <x:c r="J19" s="90" t="n">
        <x:v>2.726369078</x:v>
      </x:c>
      <x:c r="K19" s="90" t="n">
        <x:v>97.83377727</x:v>
      </x:c>
      <x:c r="L19" s="90" t="n">
        <x:v>11.0425</x:v>
      </x:c>
      <x:c r="M19" s="101" t="n">
        <x:v>0</x:v>
      </x:c>
      <x:c r="N19" s="99" t="n">
        <x:v>16446.58</x:v>
      </x:c>
      <x:c r="O19" s="90" t="n">
        <x:v>164.7826087</x:v>
      </x:c>
      <x:c r="P19" s="90" t="n">
        <x:v>1.647826087</x:v>
      </x:c>
      <x:c r="Q19" s="100" t="n">
        <x:v>-521.75</x:v>
      </x:c>
      <x:c r="R19" s="100" t="n">
        <x:v>1246.63</x:v>
      </x:c>
      <x:c r="S19" s="90" t="n">
        <x:v>9.23952381</x:v>
      </x:c>
      <x:c r="T19" s="90" t="n">
        <x:v>4.544444444</x:v>
      </x:c>
      <x:c r="U19" s="90" t="n">
        <x:v>4.695079365</x:v>
      </x:c>
      <x:c r="V19" s="90" t="n">
        <x:v>2.208919037</x:v>
      </x:c>
      <x:c r="W19" s="90" t="n">
        <x:v>2.486160328</x:v>
      </x:c>
      <x:c r="X19" s="102" t="n">
        <x:v>2.13782608</x:v>
      </x:c>
      <x:c r="Y19" s="102" t="n">
        <x:v>540.6830435</x:v>
      </x:c>
      <x:c r="Z19" s="102" t="n">
        <x:v>10.94882609</x:v>
      </x:c>
      <x:c r="AA19" s="102" t="n">
        <x:v>3.192663636</x:v>
      </x:c>
      <x:c r="AB19" s="103" t="n">
        <x:v>0.2561482614</x:v>
      </x:c>
      <x:c r="AC19" s="103" t="n">
        <x:v>0.1164464361</x:v>
      </x:c>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83" t="str">
        <x:v>2007-02</x:v>
      </x:c>
      <x:c r="B20" s="99" t="n">
        <x:v>2227.569643</x:v>
      </x:c>
      <x:c r="C20" s="99" t="n">
        <x:v>129.93</x:v>
      </x:c>
      <x:c r="D20" s="99" t="n">
        <x:v>299.97</x:v>
      </x:c>
      <x:c r="E20" s="99" t="n">
        <x:v>3934.56</x:v>
      </x:c>
      <x:c r="F20" s="90" t="n">
        <x:v>7.776785714</x:v>
      </x:c>
      <x:c r="G20" s="90" t="n">
        <x:v>5.26</x:v>
      </x:c>
      <x:c r="H20" s="90" t="n">
        <x:v>2.516785714</x:v>
      </x:c>
      <x:c r="I20" s="100" t="n">
        <x:v>-3259.482586</x:v>
      </x:c>
      <x:c r="J20" s="90" t="n">
        <x:v>2.727114411</x:v>
      </x:c>
      <x:c r="K20" s="90" t="n">
        <x:v>97.476425</x:v>
      </x:c>
      <x:c r="L20" s="90" t="n">
        <x:v>11.15526316</x:v>
      </x:c>
      <x:c r="M20" s="101" t="n">
        <x:v>0</x:v>
      </x:c>
      <x:c r="N20" s="99" t="n">
        <x:v>17590.77</x:v>
      </x:c>
      <x:c r="O20" s="90" t="n">
        <x:v>163.25</x:v>
      </x:c>
      <x:c r="P20" s="90" t="n">
        <x:v>1.6325</x:v>
      </x:c>
      <x:c r="Q20" s="100" t="n">
        <x:v>-625.81</x:v>
      </x:c>
      <x:c r="R20" s="100" t="n">
        <x:v>1479.84</x:v>
      </x:c>
      <x:c r="S20" s="90" t="n">
        <x:v>9.5115</x:v>
      </x:c>
      <x:c r="T20" s="90" t="n">
        <x:v>4.451666667</x:v>
      </x:c>
      <x:c r="U20" s="90" t="n">
        <x:v>5.059833333</x:v>
      </x:c>
      <x:c r="V20" s="90" t="n">
        <x:v>2.290415776</x:v>
      </x:c>
      <x:c r="W20" s="90" t="n">
        <x:v>2.769417557</x:v>
      </x:c>
      <x:c r="X20" s="102" t="n">
        <x:v>2.096299994</x:v>
      </x:c>
      <x:c r="Y20" s="102" t="n">
        <x:v>542.0455</x:v>
      </x:c>
      <x:c r="Z20" s="102" t="n">
        <x:v>10.9944</x:v>
      </x:c>
      <x:c r="AA20" s="102" t="n">
        <x:v>3.19029</x:v>
      </x:c>
      <x:c r="AB20" s="103" t="n">
        <x:v>-0.2001864049</x:v>
      </x:c>
      <x:c r="AC20" s="103" t="n">
        <x:v>-0.1626350848</x:v>
      </x:c>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83" t="str">
        <x:v>2007-03</x:v>
      </x:c>
      <x:c r="B21" s="99" t="n">
        <x:v>2202.844516</x:v>
      </x:c>
      <x:c r="C21" s="99" t="n">
        <x:v>130.28</x:v>
      </x:c>
      <x:c r="D21" s="99" t="n">
        <x:v>338.83</x:v>
      </x:c>
      <x:c r="E21" s="99" t="n">
        <x:v>3949.13</x:v>
      </x:c>
      <x:c r="F21" s="90" t="n">
        <x:v>8.048387097</x:v>
      </x:c>
      <x:c r="G21" s="90" t="n">
        <x:v>5.26</x:v>
      </x:c>
      <x:c r="H21" s="90" t="n">
        <x:v>2.788387097</x:v>
      </x:c>
      <x:c r="I21" s="100" t="n">
        <x:v>-1554.130205</x:v>
      </x:c>
      <x:c r="J21" s="90" t="n">
        <x:v>2.890076276</x:v>
      </x:c>
      <x:c r="K21" s="90" t="n">
        <x:v>97.01175455</x:v>
      </x:c>
      <x:c r="L21" s="90" t="n">
        <x:v>15.16272727</x:v>
      </x:c>
      <x:c r="M21" s="101" t="n">
        <x:v>0</x:v>
      </x:c>
      <x:c r="N21" s="99" t="n">
        <x:v>18993.18</x:v>
      </x:c>
      <x:c r="O21" s="90" t="n">
        <x:v>171.0909091</x:v>
      </x:c>
      <x:c r="P21" s="90" t="n">
        <x:v>1.710909091</x:v>
      </x:c>
      <x:c r="Q21" s="100" t="n">
        <x:v>-698.04</x:v>
      </x:c>
      <x:c r="R21" s="100" t="n">
        <x:v>1811.86</x:v>
      </x:c>
      <x:c r="S21" s="90" t="n">
        <x:v>9.91047619</x:v>
      </x:c>
      <x:c r="T21" s="90" t="n">
        <x:v>4.776153846</x:v>
      </x:c>
      <x:c r="U21" s="90" t="n">
        <x:v>5.134322344</x:v>
      </x:c>
      <x:c r="V21" s="90" t="n">
        <x:v>2.360368187</x:v>
      </x:c>
      <x:c r="W21" s="90" t="n">
        <x:v>2.773954158</x:v>
      </x:c>
      <x:c r="X21" s="102" t="n">
        <x:v>2.088090929</x:v>
      </x:c>
      <x:c r="Y21" s="102" t="n">
        <x:v>538.4486364</x:v>
      </x:c>
      <x:c r="Z21" s="102" t="n">
        <x:v>11.11627273</x:v>
      </x:c>
      <x:c r="AA21" s="102" t="n">
        <x:v>3.185577273</x:v>
      </x:c>
      <x:c r="AB21" s="103" t="n">
        <x:v>-0.08979596971</x:v>
      </x:c>
      <x:c r="AC21" s="103" t="n">
        <x:v>-0.09461658682</x:v>
      </x:c>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83" t="str">
        <x:v>2007-04</x:v>
      </x:c>
      <x:c r="B22" s="99" t="n">
        <x:v>2144.900667</x:v>
      </x:c>
      <x:c r="C22" s="99" t="n">
        <x:v>134.8</x:v>
      </x:c>
      <x:c r="D22" s="99" t="n">
        <x:v>317.74</x:v>
      </x:c>
      <x:c r="E22" s="99" t="n">
        <x:v>3983.61</x:v>
      </x:c>
      <x:c r="F22" s="90" t="n">
        <x:v>8.25</x:v>
      </x:c>
      <x:c r="G22" s="90" t="n">
        <x:v>5.25</x:v>
      </x:c>
      <x:c r="H22" s="90" t="n">
        <x:v>3</x:v>
      </x:c>
      <x:c r="I22" s="100" t="n">
        <x:v>-1980.651221</x:v>
      </x:c>
      <x:c r="J22" s="90" t="n">
        <x:v>2.647914181</x:v>
      </x:c>
      <x:c r="K22" s="90" t="n">
        <x:v>95.6322</x:v>
      </x:c>
      <x:c r="L22" s="90" t="n">
        <x:v>12.933</x:v>
      </x:c>
      <x:c r="M22" s="101" t="n">
        <x:v>0</x:v>
      </x:c>
      <x:c r="N22" s="99" t="n">
        <x:v>19775.82</x:v>
      </x:c>
      <x:c r="O22" s="90" t="n">
        <x:v>142.4285714</x:v>
      </x:c>
      <x:c r="P22" s="90" t="n">
        <x:v>1.424285714</x:v>
      </x:c>
      <x:c r="Q22" s="100" t="n">
        <x:v>-597.72</x:v>
      </x:c>
      <x:c r="R22" s="100" t="n">
        <x:v>1045.44</x:v>
      </x:c>
      <x:c r="S22" s="90" t="n">
        <x:v>10.14789474</x:v>
      </x:c>
      <x:c r="T22" s="90" t="n">
        <x:v>5.026923077</x:v>
      </x:c>
      <x:c r="U22" s="90" t="n">
        <x:v>5.12097166</x:v>
      </x:c>
      <x:c r="V22" s="90" t="n">
        <x:v>2.403528543</x:v>
      </x:c>
      <x:c r="W22" s="90" t="n">
        <x:v>2.717443117</x:v>
      </x:c>
      <x:c r="X22" s="102" t="n">
        <x:v>2.03090477</x:v>
      </x:c>
      <x:c r="Y22" s="102" t="n">
        <x:v>531.8847619</x:v>
      </x:c>
      <x:c r="Z22" s="102" t="n">
        <x:v>10.98066667</x:v>
      </x:c>
      <x:c r="AA22" s="102" t="n">
        <x:v>3.178242105</x:v>
      </x:c>
      <x:c r="AB22" s="103" t="n">
        <x:v>-0.6554819</x:v>
      </x:c>
      <x:c r="AC22" s="103" t="n">
        <x:v>-0.5355140574</x:v>
      </x:c>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83" t="str">
        <x:v>2007-05</x:v>
      </x:c>
      <x:c r="B23" s="99" t="n">
        <x:v>2009.415484</x:v>
      </x:c>
      <x:c r="C23" s="99" t="n">
        <x:v>138.75</x:v>
      </x:c>
      <x:c r="D23" s="99" t="n">
        <x:v>339.88</x:v>
      </x:c>
      <x:c r="E23" s="99" t="n">
        <x:v>3956.51</x:v>
      </x:c>
      <x:c r="F23" s="90" t="n">
        <x:v>8.572580645</x:v>
      </x:c>
      <x:c r="G23" s="90" t="n">
        <x:v>5.25</x:v>
      </x:c>
      <x:c r="H23" s="90" t="n">
        <x:v>3.322580645</x:v>
      </x:c>
      <x:c r="I23" s="100" t="n">
        <x:v>4532.533269</x:v>
      </x:c>
      <x:c r="J23" s="90" t="n">
        <x:v>2.069261745</x:v>
      </x:c>
      <x:c r="K23" s="90" t="n">
        <x:v>94.72254783</x:v>
      </x:c>
      <x:c r="L23" s="90" t="n">
        <x:v>13.29772727</x:v>
      </x:c>
      <x:c r="M23" s="101" t="n">
        <x:v>0</x:v>
      </x:c>
      <x:c r="N23" s="99" t="n">
        <x:v>20409.35</x:v>
      </x:c>
      <x:c r="O23" s="90" t="n">
        <x:v>130</x:v>
      </x:c>
      <x:c r="P23" s="90" t="n">
        <x:v>1.3</x:v>
      </x:c>
      <x:c r="Q23" s="100" t="n">
        <x:v>-656.01</x:v>
      </x:c>
      <x:c r="R23" s="100" t="n">
        <x:v>1052.75</x:v>
      </x:c>
      <x:c r="S23" s="90" t="n">
        <x:v>10.15095238</x:v>
      </x:c>
      <x:c r="T23" s="90" t="n">
        <x:v>5.073333333</x:v>
      </x:c>
      <x:c r="U23" s="90" t="n">
        <x:v>5.077619048</x:v>
      </x:c>
      <x:c r="V23" s="90" t="n">
        <x:v>2.328095447</x:v>
      </x:c>
      <x:c r="W23" s="90" t="n">
        <x:v>2.749523601</x:v>
      </x:c>
      <x:c r="X23" s="102" t="n">
        <x:v>1.983695668</x:v>
      </x:c>
      <x:c r="Y23" s="102" t="n">
        <x:v>522.1469565</x:v>
      </x:c>
      <x:c r="Z23" s="102" t="n">
        <x:v>10.82347826</x:v>
      </x:c>
      <x:c r="AA23" s="102" t="n">
        <x:v>3.167618182</x:v>
      </x:c>
      <x:c r="AB23" s="103" t="n">
        <x:v>-0.7200689434</x:v>
      </x:c>
      <x:c r="AC23" s="103" t="n">
        <x:v>-0.6049330023</x:v>
      </x:c>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83" t="str">
        <x:v>2007-06</x:v>
      </x:c>
      <x:c r="B24" s="99" t="n">
        <x:v>1923.534333</x:v>
      </x:c>
      <x:c r="C24" s="99" t="n">
        <x:v>139.13</x:v>
      </x:c>
      <x:c r="D24" s="99" t="n">
        <x:v>334.95</x:v>
      </x:c>
      <x:c r="E24" s="99" t="n">
        <x:v>3949.09</x:v>
      </x:c>
      <x:c r="F24" s="90" t="n">
        <x:v>8.85</x:v>
      </x:c>
      <x:c r="G24" s="90" t="n">
        <x:v>5.25</x:v>
      </x:c>
      <x:c r="H24" s="90" t="n">
        <x:v>3.6</x:v>
      </x:c>
      <x:c r="I24" s="100" t="n">
        <x:v>-1488.785889</x:v>
      </x:c>
      <x:c r="J24" s="90" t="n">
        <x:v>2.290703207</x:v>
      </x:c>
      <x:c r="K24" s="90" t="n">
        <x:v>94.44490952</x:v>
      </x:c>
      <x:c r="L24" s="90" t="n">
        <x:v>14.94761905</x:v>
      </x:c>
      <x:c r="M24" s="101" t="n">
        <x:v>0</x:v>
      </x:c>
      <x:c r="N24" s="99" t="n">
        <x:v>19994.41</x:v>
      </x:c>
      <x:c r="O24" s="90" t="n">
        <x:v>108.3809524</x:v>
      </x:c>
      <x:c r="P24" s="90" t="n">
        <x:v>1.083809524</x:v>
      </x:c>
      <x:c r="Q24" s="100" t="n">
        <x:v>-568.67</x:v>
      </x:c>
      <x:c r="R24" s="100" t="n">
        <x:v>-155.07</x:v>
      </x:c>
      <x:c r="S24" s="90" t="n">
        <x:v>9.940526316</x:v>
      </x:c>
      <x:c r="T24" s="90" t="n">
        <x:v>5.558333333</x:v>
      </x:c>
      <x:c r="U24" s="90" t="n">
        <x:v>4.382192982</x:v>
      </x:c>
      <x:c r="V24" s="90" t="n">
        <x:v>2.29662382</x:v>
      </x:c>
      <x:c r="W24" s="90" t="n">
        <x:v>2.085569162</x:v>
      </x:c>
      <x:c r="X24" s="102" t="n">
        <x:v>1.932857144</x:v>
      </x:c>
      <x:c r="Y24" s="102" t="n">
        <x:v>526.8028571</x:v>
      </x:c>
      <x:c r="Z24" s="102" t="n">
        <x:v>10.83852381</x:v>
      </x:c>
      <x:c r="AA24" s="102" t="n">
        <x:v>3.170315</x:v>
      </x:c>
      <x:c r="AB24" s="103" t="n">
        <x:v>-0.2115894945</x:v>
      </x:c>
      <x:c r="AC24" s="103" t="n">
        <x:v>-0.1391118828</x:v>
      </x:c>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83" t="str">
        <x:v>2007-07</x:v>
      </x:c>
      <x:c r="B25" s="99" t="n">
        <x:v>1951.843548</x:v>
      </x:c>
      <x:c r="C25" s="99" t="n">
        <x:v>140.76</x:v>
      </x:c>
      <x:c r="D25" s="99" t="n">
        <x:v>368.63</x:v>
      </x:c>
      <x:c r="E25" s="99" t="n">
        <x:v>4003.99</x:v>
      </x:c>
      <x:c r="F25" s="90" t="n">
        <x:v>9.016129032</x:v>
      </x:c>
      <x:c r="G25" s="90" t="n">
        <x:v>5.26</x:v>
      </x:c>
      <x:c r="H25" s="90" t="n">
        <x:v>3.756129032</x:v>
      </x:c>
      <x:c r="I25" s="100" t="n">
        <x:v>-1624.422056</x:v>
      </x:c>
      <x:c r="J25" s="90" t="n">
        <x:v>2.523620514</x:v>
      </x:c>
      <x:c r="K25" s="90" t="n">
        <x:v>93.20591364</x:v>
      </x:c>
      <x:c r="L25" s="90" t="n">
        <x:v>17.27333333</x:v>
      </x:c>
      <x:c r="M25" s="101" t="n">
        <x:v>0</x:v>
      </x:c>
      <x:c r="N25" s="99" t="n">
        <x:v>20195.71</x:v>
      </x:c>
      <x:c r="O25" s="90" t="n">
        <x:v>135.4545455</x:v>
      </x:c>
      <x:c r="P25" s="90" t="n">
        <x:v>1.354545455</x:v>
      </x:c>
      <x:c r="Q25" s="100" t="n">
        <x:v>-673.35</x:v>
      </x:c>
      <x:c r="R25" s="100" t="n">
        <x:v>661.84</x:v>
      </x:c>
      <x:c r="S25" s="90" t="n">
        <x:v>10.001</x:v>
      </x:c>
      <x:c r="T25" s="90" t="n">
        <x:v>5.778888889</x:v>
      </x:c>
      <x:c r="U25" s="90" t="n">
        <x:v>4.222111111</x:v>
      </x:c>
      <x:c r="V25" s="90" t="n">
        <x:v>2.198047638</x:v>
      </x:c>
      <x:c r="W25" s="90" t="n">
        <x:v>2.024063473</x:v>
      </x:c>
      <x:c r="X25" s="102" t="n">
        <x:v>1.883045462</x:v>
      </x:c>
      <x:c r="Y25" s="102" t="n">
        <x:v>519.6877273</x:v>
      </x:c>
      <x:c r="Z25" s="102" t="n">
        <x:v>10.80995455</x:v>
      </x:c>
      <x:c r="AA25" s="102" t="n">
        <x:v>3.160922727</x:v>
      </x:c>
      <x:c r="AB25" s="103" t="n">
        <x:v>-0.5416998111</x:v>
      </x:c>
      <x:c r="AC25" s="103" t="n">
        <x:v>-0.4634862161</x:v>
      </x:c>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83" t="str">
        <x:v>2007-08</x:v>
      </x:c>
      <x:c r="B26" s="99" t="n">
        <x:v>2056.086774</x:v>
      </x:c>
      <x:c r="C26" s="99" t="n">
        <x:v>136.63</x:v>
      </x:c>
      <x:c r="D26" s="99" t="n">
        <x:v>412.73</x:v>
      </x:c>
      <x:c r="E26" s="99" t="n">
        <x:v>4082</x:v>
      </x:c>
      <x:c r="F26" s="90" t="n">
        <x:v>9.25</x:v>
      </x:c>
      <x:c r="G26" s="90" t="n">
        <x:v>5.02</x:v>
      </x:c>
      <x:c r="H26" s="90" t="n">
        <x:v>4.23</x:v>
      </x:c>
      <x:c r="I26" s="100" t="n">
        <x:v>1151.787206</x:v>
      </x:c>
      <x:c r="J26" s="90" t="n">
        <x:v>2.40454409</x:v>
      </x:c>
      <x:c r="K26" s="90" t="n">
        <x:v>93.76029565</x:v>
      </x:c>
      <x:c r="L26" s="90" t="n">
        <x:v>25.02608696</x:v>
      </x:c>
      <x:c r="M26" s="101" t="n">
        <x:v>0</x:v>
      </x:c>
      <x:c r="N26" s="99" t="n">
        <x:v>20110.68</x:v>
      </x:c>
      <x:c r="O26" s="90" t="n">
        <x:v>186.4347826</x:v>
      </x:c>
      <x:c r="P26" s="90" t="n">
        <x:v>1.864347826</x:v>
      </x:c>
      <x:c r="Q26" s="100" t="n">
        <x:v>-578.53</x:v>
      </x:c>
      <x:c r="R26" s="100" t="n">
        <x:v>104.03</x:v>
      </x:c>
      <x:c r="S26" s="90" t="n">
        <x:v>10.44714286</x:v>
      </x:c>
      <x:c r="T26" s="90" t="n">
        <x:v>5.996153846</x:v>
      </x:c>
      <x:c r="U26" s="90" t="n">
        <x:v>4.450989011</x:v>
      </x:c>
      <x:c r="V26" s="90" t="n">
        <x:v>1.984443478</x:v>
      </x:c>
      <x:c r="W26" s="90" t="n">
        <x:v>2.466545533</x:v>
      </x:c>
      <x:c r="X26" s="102" t="n">
        <x:v>1.961565199</x:v>
      </x:c>
      <x:c r="Y26" s="102" t="n">
        <x:v>522.9391304</x:v>
      </x:c>
      <x:c r="Z26" s="102" t="n">
        <x:v>11.04708696</x:v>
      </x:c>
      <x:c r="AA26" s="102" t="n">
        <x:v>3.157472727</x:v>
      </x:c>
      <x:c r="AB26" s="103" t="n">
        <x:v>0.6060650072</x:v>
      </x:c>
      <x:c r="AC26" s="103" t="n">
        <x:v>0.4350479089</x:v>
      </x:c>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83" t="str">
        <x:v>2007-09</x:v>
      </x:c>
      <x:c r="B27" s="99" t="n">
        <x:v>2113.369667</x:v>
      </x:c>
      <x:c r="C27" s="99" t="n">
        <x:v>142.31</x:v>
      </x:c>
      <x:c r="D27" s="99" t="n">
        <x:v>400.52</x:v>
      </x:c>
      <x:c r="E27" s="99" t="n">
        <x:v>4158.4</x:v>
      </x:c>
      <x:c r="F27" s="90" t="n">
        <x:v>9.25</x:v>
      </x:c>
      <x:c r="G27" s="90" t="n">
        <x:v>4.94</x:v>
      </x:c>
      <x:c r="H27" s="90" t="n">
        <x:v>4.31</x:v>
      </x:c>
      <x:c r="I27" s="100" t="n">
        <x:v>-1130.152235</x:v>
      </x:c>
      <x:c r="J27" s="90" t="n">
        <x:v>2.644848962</x:v>
      </x:c>
      <x:c r="K27" s="90" t="n">
        <x:v>92.436595</x:v>
      </x:c>
      <x:c r="L27" s="90" t="n">
        <x:v>22.19894737</x:v>
      </x:c>
      <x:c r="M27" s="101" t="n">
        <x:v>0</x:v>
      </x:c>
      <x:c r="N27" s="99" t="n">
        <x:v>20547.95</x:v>
      </x:c>
      <x:c r="O27" s="90" t="n">
        <x:v>180.6</x:v>
      </x:c>
      <x:c r="P27" s="90" t="n">
        <x:v>1.806</x:v>
      </x:c>
      <x:c r="Q27" s="100" t="n">
        <x:v>-685.35</x:v>
      </x:c>
      <x:c r="R27" s="100" t="n">
        <x:v>890.7</x:v>
      </x:c>
      <x:c r="S27" s="90" t="n">
        <x:v>10.629</x:v>
      </x:c>
      <x:c r="T27" s="90" t="n">
        <x:v>5.976666667</x:v>
      </x:c>
      <x:c r="U27" s="90" t="n">
        <x:v>4.652333333</x:v>
      </x:c>
      <x:c r="V27" s="90" t="n">
        <x:v>1.964099991</x:v>
      </x:c>
      <x:c r="W27" s="90" t="n">
        <x:v>2.688233343</x:v>
      </x:c>
      <x:c r="X27" s="102" t="n">
        <x:v>1.902250004</x:v>
      </x:c>
      <x:c r="Y27" s="102" t="n">
        <x:v>515.917</x:v>
      </x:c>
      <x:c r="Z27" s="102" t="n">
        <x:v>11.03135</x:v>
      </x:c>
      <x:c r="AA27" s="102" t="n">
        <x:v>3.135545</x:v>
      </x:c>
      <x:c r="AB27" s="103" t="n">
        <x:v>-0.5679736805</x:v>
      </x:c>
      <x:c r="AC27" s="103" t="n">
        <x:v>-0.563683975</x:v>
      </x:c>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83" t="str">
        <x:v>2007-10</x:v>
      </x:c>
      <x:c r="B28" s="99" t="n">
        <x:v>2001.086129</x:v>
      </x:c>
      <x:c r="C28" s="99" t="n">
        <x:v>146.6</x:v>
      </x:c>
      <x:c r="D28" s="99" t="n">
        <x:v>427.78</x:v>
      </x:c>
      <x:c r="E28" s="99" t="n">
        <x:v>4254.58</x:v>
      </x:c>
      <x:c r="F28" s="90" t="n">
        <x:v>9.25</x:v>
      </x:c>
      <x:c r="G28" s="90" t="n">
        <x:v>4.76</x:v>
      </x:c>
      <x:c r="H28" s="90" t="n">
        <x:v>4.49</x:v>
      </x:c>
      <x:c r="I28" s="100" t="n">
        <x:v>-1390.805457</x:v>
      </x:c>
      <x:c r="J28" s="90" t="n">
        <x:v>2.714277456</x:v>
      </x:c>
      <x:c r="K28" s="90" t="n">
        <x:v>90.40017826</x:v>
      </x:c>
      <x:c r="L28" s="90" t="n">
        <x:v>19.11565217</x:v>
      </x:c>
      <x:c r="M28" s="101" t="n">
        <x:v>0</x:v>
      </x:c>
      <x:c r="N28" s="99" t="n">
        <x:v>20661.24</x:v>
      </x:c>
      <x:c r="O28" s="90" t="n">
        <x:v>160.6086957</x:v>
      </x:c>
      <x:c r="P28" s="90" t="n">
        <x:v>1.606086957</x:v>
      </x:c>
      <x:c r="Q28" s="100" t="n">
        <x:v>-716.06</x:v>
      </x:c>
      <x:c r="R28" s="100" t="n">
        <x:v>579.21</x:v>
      </x:c>
      <x:c r="S28" s="90" t="n">
        <x:v>10.35954545</x:v>
      </x:c>
      <x:c r="T28" s="90" t="n">
        <x:v>5.617</x:v>
      </x:c>
      <x:c r="U28" s="90" t="n">
        <x:v>4.742545455</x:v>
      </x:c>
      <x:c r="V28" s="90" t="n">
        <x:v>2.07450456</x:v>
      </x:c>
      <x:c r="W28" s="90" t="n">
        <x:v>2.668040895</x:v>
      </x:c>
      <x:c r="X28" s="102" t="n">
        <x:v>1.800999994</x:v>
      </x:c>
      <x:c r="Y28" s="102" t="n">
        <x:v>500.4286957</x:v>
      </x:c>
      <x:c r="Z28" s="102" t="n">
        <x:v>10.82617391</x:v>
      </x:c>
      <x:c r="AA28" s="102" t="n">
        <x:v>3.019427273</x:v>
      </x:c>
      <x:c r="AB28" s="103" t="n">
        <x:v>-1.20549523</x:v>
      </x:c>
      <x:c r="AC28" s="103" t="n">
        <x:v>-1.660645371</x:v>
      </x:c>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83" t="str">
        <x:v>2007-11</x:v>
      </x:c>
      <x:c r="B29" s="99" t="n">
        <x:v>2046.357</x:v>
      </x:c>
      <x:c r="C29" s="99" t="n">
        <x:v>145.74</x:v>
      </x:c>
      <x:c r="D29" s="99" t="n">
        <x:v>456.17</x:v>
      </x:c>
      <x:c r="E29" s="99" t="n">
        <x:v>4377.82</x:v>
      </x:c>
      <x:c r="F29" s="90" t="n">
        <x:v>9.291666667</x:v>
      </x:c>
      <x:c r="G29" s="90" t="n">
        <x:v>4.49</x:v>
      </x:c>
      <x:c r="H29" s="90" t="n">
        <x:v>4.801666667</x:v>
      </x:c>
      <x:c r="I29" s="100" t="n">
        <x:v>-1697.946855</x:v>
      </x:c>
      <x:c r="J29" s="90" t="n">
        <x:v>2.790847647</x:v>
      </x:c>
      <x:c r="K29" s="90" t="n">
        <x:v>89.05299545</x:v>
      </x:c>
      <x:c r="L29" s="90" t="n">
        <x:v>25.58238095</x:v>
      </x:c>
      <x:c r="M29" s="101" t="n">
        <x:v>0</x:v>
      </x:c>
      <x:c r="N29" s="99" t="n">
        <x:v>20882.4</x:v>
      </x:c>
      <x:c r="O29" s="90" t="n">
        <x:v>196.8636364</x:v>
      </x:c>
      <x:c r="P29" s="90" t="n">
        <x:v>1.968636364</x:v>
      </x:c>
      <x:c r="Q29" s="100" t="n">
        <x:v>-563.97</x:v>
      </x:c>
      <x:c r="R29" s="100" t="n">
        <x:v>408.26</x:v>
      </x:c>
      <x:c r="S29" s="90" t="n">
        <x:v>10.2685</x:v>
      </x:c>
      <x:c r="T29" s="90" t="n">
        <x:v>5.357142857</x:v>
      </x:c>
      <x:c r="U29" s="90" t="n">
        <x:v>4.911357143</x:v>
      </x:c>
      <x:c r="V29" s="90" t="n">
        <x:v>2.231260014</x:v>
      </x:c>
      <x:c r="W29" s="90" t="n">
        <x:v>2.680097129</x:v>
      </x:c>
      <x:c r="X29" s="102" t="n">
        <x:v>1.767590918</x:v>
      </x:c>
      <x:c r="Y29" s="102" t="n">
        <x:v>506.88</x:v>
      </x:c>
      <x:c r="Z29" s="102" t="n">
        <x:v>10.88077273</x:v>
      </x:c>
      <x:c r="AA29" s="102" t="n">
        <x:v>3.000890476</x:v>
      </x:c>
      <x:c r="AB29" s="103" t="n">
        <x:v>-0.05311277896</x:v>
      </x:c>
      <x:c r="AC29" s="103" t="n">
        <x:v>-0.1612297969</x:v>
      </x:c>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83" t="str">
        <x:v>2007-12</x:v>
      </x:c>
      <x:c r="B30" s="99" t="n">
        <x:v>2013.834516</x:v>
      </x:c>
      <x:c r="C30" s="99" t="n">
        <x:v>147.1</x:v>
      </x:c>
      <x:c r="D30" s="99" t="n">
        <x:v>427.25</x:v>
      </x:c>
      <x:c r="E30" s="99" t="n">
        <x:v>4429.73</x:v>
      </x:c>
      <x:c r="F30" s="90" t="n">
        <x:v>9.5</x:v>
      </x:c>
      <x:c r="G30" s="90" t="n">
        <x:v>4.24</x:v>
      </x:c>
      <x:c r="H30" s="90" t="n">
        <x:v>5.26</x:v>
      </x:c>
      <x:c r="I30" s="100" t="n">
        <x:v>-2177.068846</x:v>
      </x:c>
      <x:c r="J30" s="90" t="n">
        <x:v>2.710260117</x:v>
      </x:c>
      <x:c r="K30" s="90" t="n">
        <x:v>90.00495714</x:v>
      </x:c>
      <x:c r="L30" s="90" t="n">
        <x:v>21.651</x:v>
      </x:c>
      <x:c r="M30" s="101" t="n">
        <x:v>0</x:v>
      </x:c>
      <x:c r="N30" s="99" t="n">
        <x:v>20948.68</x:v>
      </x:c>
      <x:c r="O30" s="90" t="n">
        <x:v>187.7619048</x:v>
      </x:c>
      <x:c r="P30" s="90" t="n">
        <x:v>1.877619048</x:v>
      </x:c>
      <x:c r="Q30" s="100" t="n">
        <x:v>-781.75</x:v>
      </x:c>
      <x:c r="R30" s="100" t="n">
        <x:v>564.81</x:v>
      </x:c>
      <x:c r="S30" s="90" t="n">
        <x:v>10.22277778</x:v>
      </x:c>
      <x:c r="T30" s="90" t="n">
        <x:v>5.34</x:v>
      </x:c>
      <x:c r="U30" s="90" t="n">
        <x:v>4.882777778</x:v>
      </x:c>
      <x:c r="V30" s="90" t="n">
        <x:v>2.156349981</x:v>
      </x:c>
      <x:c r="W30" s="90" t="n">
        <x:v>2.726427797</x:v>
      </x:c>
      <x:c r="X30" s="102" t="n">
        <x:v>1.783350009</x:v>
      </x:c>
      <x:c r="Y30" s="102" t="n">
        <x:v>498.8742857</x:v>
      </x:c>
      <x:c r="Z30" s="102" t="n">
        <x:v>10.8462</x:v>
      </x:c>
      <x:c r="AA30" s="102" t="n">
        <x:v>2.98104</x:v>
      </x:c>
      <x:c r="AB30" s="103" t="n">
        <x:v>-0.2590944229</x:v>
      </x:c>
      <x:c r="AC30" s="103" t="n">
        <x:v>-0.3253449846</x:v>
      </x:c>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83" t="str">
        <x:v>2008-01</x:v>
      </x:c>
      <x:c r="B31" s="99" t="n">
        <x:v>1983.184194</x:v>
      </x:c>
      <x:c r="C31" s="99" t="n">
        <x:v>145.36</x:v>
      </x:c>
      <x:c r="D31" s="99" t="n">
        <x:v>380.82</x:v>
      </x:c>
      <x:c r="E31" s="99" t="n">
        <x:v>4505.27</x:v>
      </x:c>
      <x:c r="F31" s="90" t="n">
        <x:v>9.5</x:v>
      </x:c>
      <x:c r="G31" s="90" t="n">
        <x:v>3.94</x:v>
      </x:c>
      <x:c r="H31" s="90" t="n">
        <x:v>5.56</x:v>
      </x:c>
      <x:c r="I31" s="100" t="n">
        <x:v>-1131.468567</x:v>
      </x:c>
      <x:c r="J31" s="90" t="n">
        <x:v>2.465742275</x:v>
      </x:c>
      <x:c r="K31" s="90" t="n">
        <x:v>89.39711739</x:v>
      </x:c>
      <x:c r="L31" s="90" t="n">
        <x:v>25.81619048</x:v>
      </x:c>
      <x:c r="M31" s="101" t="n">
        <x:v>0</x:v>
      </x:c>
      <x:c r="N31" s="99" t="n">
        <x:v>21367.99</x:v>
      </x:c>
      <x:c r="O31" s="90" t="n">
        <x:v>239.5652174</x:v>
      </x:c>
      <x:c r="P31" s="90" t="n">
        <x:v>2.395652174</x:v>
      </x:c>
      <x:c r="Q31" s="100" t="n">
        <x:v>-729.85</x:v>
      </x:c>
      <x:c r="R31" s="100" t="n">
        <x:v>892.37</x:v>
      </x:c>
      <x:c r="S31" s="90" t="n">
        <x:v>10.76571429</x:v>
      </x:c>
      <x:c r="T31" s="90" t="n">
        <x:v>5.454444444</x:v>
      </x:c>
      <x:c r="U31" s="90" t="n">
        <x:v>5.311269841</x:v>
      </x:c>
      <x:c r="V31" s="90" t="n">
        <x:v>2.090871448</x:v>
      </x:c>
      <x:c r="W31" s="90" t="n">
        <x:v>3.220398394</x:v>
      </x:c>
      <x:c r="X31" s="102" t="n">
        <x:v>1.773130432</x:v>
      </x:c>
      <x:c r="Y31" s="102" t="n">
        <x:v>480.8963636</x:v>
      </x:c>
      <x:c r="Z31" s="102" t="n">
        <x:v>10.91004348</x:v>
      </x:c>
      <x:c r="AA31" s="102" t="n">
        <x:v>2.950168182</x:v>
      </x:c>
      <x:c r="AB31" s="103" t="n">
        <x:v>-0.5431162688</x:v>
      </x:c>
      <x:c r="AC31" s="103" t="n">
        <x:v>-0.6142527548</x:v>
      </x:c>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83" t="str">
        <x:v>2008-02</x:v>
      </x:c>
      <x:c r="B32" s="99" t="n">
        <x:v>1905.294138</x:v>
      </x:c>
      <x:c r="C32" s="99" t="n">
        <x:v>150.3</x:v>
      </x:c>
      <x:c r="D32" s="99" t="n">
        <x:v>357.81</x:v>
      </x:c>
      <x:c r="E32" s="99" t="n">
        <x:v>4563.11</x:v>
      </x:c>
      <x:c r="F32" s="90" t="n">
        <x:v>9.543103448</x:v>
      </x:c>
      <x:c r="G32" s="90" t="n">
        <x:v>2.98</x:v>
      </x:c>
      <x:c r="H32" s="90" t="n">
        <x:v>6.563103448</x:v>
      </x:c>
      <x:c r="I32" s="100" t="n">
        <x:v>-3897.160203</x:v>
      </x:c>
      <x:c r="J32" s="90" t="n">
        <x:v>2.599552424</x:v>
      </x:c>
      <x:c r="K32" s="90" t="n">
        <x:v>88.6434381</x:v>
      </x:c>
      <x:c r="L32" s="90" t="n">
        <x:v>25.456</x:v>
      </x:c>
      <x:c r="M32" s="101" t="n">
        <x:v>0</x:v>
      </x:c>
      <x:c r="N32" s="99" t="n">
        <x:v>21843.11</x:v>
      </x:c>
      <x:c r="O32" s="90" t="n">
        <x:v>249.6666667</x:v>
      </x:c>
      <x:c r="P32" s="90" t="n">
        <x:v>2.496666667</x:v>
      </x:c>
      <x:c r="Q32" s="100" t="n">
        <x:v>-726.68</x:v>
      </x:c>
      <x:c r="R32" s="100" t="n">
        <x:v>1007.79</x:v>
      </x:c>
      <x:c r="S32" s="90" t="n">
        <x:v>11.31</x:v>
      </x:c>
      <x:c r="T32" s="90" t="n">
        <x:v>5.615454545</x:v>
      </x:c>
      <x:c r="U32" s="90" t="n">
        <x:v>5.694545455</x:v>
      </x:c>
      <x:c r="V32" s="90" t="n">
        <x:v>2.151049995</x:v>
      </x:c>
      <x:c r="W32" s="90" t="n">
        <x:v>3.543495459</x:v>
      </x:c>
      <x:c r="X32" s="102" t="n">
        <x:v>1.731571442</x:v>
      </x:c>
      <x:c r="Y32" s="102" t="n">
        <x:v>467.2171429</x:v>
      </x:c>
      <x:c r="Z32" s="102" t="n">
        <x:v>10.76861905</x:v>
      </x:c>
      <x:c r="AA32" s="102" t="n">
        <x:v>2.905057143</x:v>
      </x:c>
      <x:c r="AB32" s="103" t="n">
        <x:v>-0.8350216922</x:v>
      </x:c>
      <x:c r="AC32" s="103" t="n">
        <x:v>-0.9337289352</x:v>
      </x:c>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83" t="str">
        <x:v>2008-03</x:v>
      </x:c>
      <x:c r="B33" s="99" t="n">
        <x:v>1843.493226</x:v>
      </x:c>
      <x:c r="C33" s="99" t="n">
        <x:v>156.16</x:v>
      </x:c>
      <x:c r="D33" s="99" t="n">
        <x:v>389.47</x:v>
      </x:c>
      <x:c r="E33" s="99" t="n">
        <x:v>4613.75</x:v>
      </x:c>
      <x:c r="F33" s="90" t="n">
        <x:v>9.75</x:v>
      </x:c>
      <x:c r="G33" s="90" t="n">
        <x:v>2.61</x:v>
      </x:c>
      <x:c r="H33" s="90" t="n">
        <x:v>7.14</x:v>
      </x:c>
      <x:c r="I33" s="100" t="n">
        <x:v>-487.437149</x:v>
      </x:c>
      <x:c r="J33" s="90" t="n">
        <x:v>2.375717758</x:v>
      </x:c>
      <x:c r="K33" s="90" t="n">
        <x:v>86.83986667</x:v>
      </x:c>
      <x:c r="L33" s="90" t="n">
        <x:v>27.1035</x:v>
      </x:c>
      <x:c r="M33" s="101" t="n">
        <x:v>0</x:v>
      </x:c>
      <x:c r="N33" s="99" t="n">
        <x:v>22130.06</x:v>
      </x:c>
      <x:c r="O33" s="90" t="n">
        <x:v>263.7142857</x:v>
      </x:c>
      <x:c r="P33" s="90" t="n">
        <x:v>2.637142857</x:v>
      </x:c>
      <x:c r="Q33" s="100" t="n">
        <x:v>-491.61</x:v>
      </x:c>
      <x:c r="R33" s="100" t="n">
        <x:v>626.16</x:v>
      </x:c>
      <x:c r="S33" s="90" t="n">
        <x:v>11.63055556</x:v>
      </x:c>
      <x:c r="T33" s="90" t="n">
        <x:v>5.805454545</x:v>
      </x:c>
      <x:c r="U33" s="90" t="n">
        <x:v>5.82510101</x:v>
      </x:c>
      <x:c r="V33" s="90" t="n">
        <x:v>2.209690469</x:v>
      </x:c>
      <x:c r="W33" s="90" t="n">
        <x:v>3.615410541</x:v>
      </x:c>
      <x:c r="X33" s="102" t="n">
        <x:v>1.709714282</x:v>
      </x:c>
      <x:c r="Y33" s="102" t="n">
        <x:v>442.942</x:v>
      </x:c>
      <x:c r="Z33" s="102" t="n">
        <x:v>10.7342381</x:v>
      </x:c>
      <x:c r="AA33" s="102" t="n">
        <x:v>2.810294737</x:v>
      </x:c>
      <x:c r="AB33" s="103" t="n">
        <x:v>-0.9227679547</x:v>
      </x:c>
      <x:c r="AC33" s="103" t="n">
        <x:v>-1.356639634</x:v>
      </x:c>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83" t="str">
        <x:v>2008-04</x:v>
      </x:c>
      <x:c r="B34" s="99" t="n">
        <x:v>1795.103</x:v>
      </x:c>
      <x:c r="C34" s="99" t="n">
        <x:v>154.39</x:v>
      </x:c>
      <x:c r="D34" s="99" t="n">
        <x:v>405.98</x:v>
      </x:c>
      <x:c r="E34" s="99" t="n">
        <x:v>4701.99</x:v>
      </x:c>
      <x:c r="F34" s="90" t="n">
        <x:v>9.75</x:v>
      </x:c>
      <x:c r="G34" s="90" t="n">
        <x:v>2.28</x:v>
      </x:c>
      <x:c r="H34" s="90" t="n">
        <x:v>7.47</x:v>
      </x:c>
      <x:c r="I34" s="100" t="n">
        <x:v>1170.9732</x:v>
      </x:c>
      <x:c r="J34" s="90" t="n">
        <x:v>1.714381493</x:v>
      </x:c>
      <x:c r="K34" s="90" t="n">
        <x:v>86.54753636</x:v>
      </x:c>
      <x:c r="L34" s="90" t="n">
        <x:v>21.56272727</x:v>
      </x:c>
      <x:c r="M34" s="101" t="n">
        <x:v>0</x:v>
      </x:c>
      <x:c r="N34" s="99" t="n">
        <x:v>22209.35</x:v>
      </x:c>
      <x:c r="O34" s="90" t="n">
        <x:v>215.7727273</x:v>
      </x:c>
      <x:c r="P34" s="90" t="n">
        <x:v>2.157727273</x:v>
      </x:c>
      <x:c r="Q34" s="100" t="n">
        <x:v>-656.44</x:v>
      </x:c>
      <x:c r="R34" s="100" t="n">
        <x:v>734.35</x:v>
      </x:c>
      <x:c r="S34" s="90" t="n">
        <x:v>11.28681818</x:v>
      </x:c>
      <x:c r="T34" s="90" t="n">
        <x:v>6.137142857</x:v>
      </x:c>
      <x:c r="U34" s="90" t="n">
        <x:v>5.149675325</x:v>
      </x:c>
      <x:c r="V34" s="90" t="n">
        <x:v>2.186009082</x:v>
      </x:c>
      <x:c r="W34" s="90" t="n">
        <x:v>2.963666243</x:v>
      </x:c>
      <x:c r="X34" s="102" t="n">
        <x:v>1.686500002</x:v>
      </x:c>
      <x:c r="Y34" s="102" t="n">
        <x:v>446.4336364</x:v>
      </x:c>
      <x:c r="Z34" s="102" t="n">
        <x:v>10.51513636</x:v>
      </x:c>
      <x:c r="AA34" s="102" t="n">
        <x:v>2.747650113</x:v>
      </x:c>
      <x:c r="AB34" s="103" t="n">
        <x:v>-0.3761245279</x:v>
      </x:c>
      <x:c r="AC34" s="103" t="n">
        <x:v>-0.7330476342</x:v>
      </x:c>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83" t="str">
        <x:v>2008-05</x:v>
      </x:c>
      <x:c r="B35" s="99" t="n">
        <x:v>1775.156129</x:v>
      </x:c>
      <x:c r="C35" s="99" t="n">
        <x:v>159.88</x:v>
      </x:c>
      <x:c r="D35" s="99" t="n">
        <x:v>405.55</x:v>
      </x:c>
      <x:c r="E35" s="99" t="n">
        <x:v>4767.66</x:v>
      </x:c>
      <x:c r="F35" s="90" t="n">
        <x:v>9.75</x:v>
      </x:c>
      <x:c r="G35" s="90" t="n">
        <x:v>1.98</x:v>
      </x:c>
      <x:c r="H35" s="90" t="n">
        <x:v>7.77</x:v>
      </x:c>
      <x:c r="I35" s="100" t="n">
        <x:v>2254.996348</x:v>
      </x:c>
      <x:c r="J35" s="90" t="n">
        <x:v>2.192299404</x:v>
      </x:c>
      <x:c r="K35" s="90" t="n">
        <x:v>86.82446364</x:v>
      </x:c>
      <x:c r="L35" s="90" t="n">
        <x:v>18.30333333</x:v>
      </x:c>
      <x:c r="M35" s="101" t="n">
        <x:v>0</x:v>
      </x:c>
      <x:c r="N35" s="99" t="n">
        <x:v>22377.81</x:v>
      </x:c>
      <x:c r="O35" s="90" t="n">
        <x:v>179.0454545</x:v>
      </x:c>
      <x:c r="P35" s="90" t="n">
        <x:v>1.790454545</x:v>
      </x:c>
      <x:c r="Q35" s="100" t="n">
        <x:v>-616.81</x:v>
      </x:c>
      <x:c r="R35" s="100" t="n">
        <x:v>481.67</x:v>
      </x:c>
      <x:c r="S35" s="90" t="n">
        <x:v>11.35</x:v>
      </x:c>
      <x:c r="T35" s="90" t="n">
        <x:v>5.781818182</x:v>
      </x:c>
      <x:c r="U35" s="90" t="n">
        <x:v>5.568181818</x:v>
      </x:c>
      <x:c r="V35" s="90" t="n">
        <x:v>2.369638114</x:v>
      </x:c>
      <x:c r="W35" s="90" t="n">
        <x:v>3.198543704</x:v>
      </x:c>
      <x:c r="X35" s="102" t="n">
        <x:v>1.659409084</x:v>
      </x:c>
      <x:c r="Y35" s="102" t="n">
        <x:v>470.1</x:v>
      </x:c>
      <x:c r="Z35" s="102" t="n">
        <x:v>10.44022727</x:v>
      </x:c>
      <x:c r="AA35" s="102" t="n">
        <x:v>2.8045</x:v>
      </x:c>
      <x:c r="AB35" s="103" t="n">
        <x:v>0.3089908804</x:v>
      </x:c>
      <x:c r="AC35" s="103" t="n">
        <x:v>0.6461093397</x:v>
      </x:c>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83" t="str">
        <x:v>2008-06</x:v>
      </x:c>
      <x:c r="B36" s="99" t="n">
        <x:v>1732.286333</x:v>
      </x:c>
      <x:c r="C36" s="99" t="n">
        <x:v>162.14</x:v>
      </x:c>
      <x:c r="D36" s="99" t="n">
        <x:v>362.75</x:v>
      </x:c>
      <x:c r="E36" s="99" t="n">
        <x:v>4795.46</x:v>
      </x:c>
      <x:c r="F36" s="90" t="n">
        <x:v>9.75</x:v>
      </x:c>
      <x:c r="G36" s="90" t="n">
        <x:v>2</x:v>
      </x:c>
      <x:c r="H36" s="90" t="n">
        <x:v>7.75</x:v>
      </x:c>
      <x:c r="I36" s="100" t="n">
        <x:v>1772.505974</x:v>
      </x:c>
      <x:c r="J36" s="90" t="n">
        <x:v>1.507950545</x:v>
      </x:c>
      <x:c r="K36" s="90" t="n">
        <x:v>87.07280476</x:v>
      </x:c>
      <x:c r="L36" s="90" t="n">
        <x:v>22.11047619</x:v>
      </x:c>
      <x:c r="M36" s="101" t="n">
        <x:v>0</x:v>
      </x:c>
      <x:c r="N36" s="99" t="n">
        <x:v>22847.51</x:v>
      </x:c>
      <x:c r="O36" s="90" t="n">
        <x:v>180.6190476</x:v>
      </x:c>
      <x:c r="P36" s="90" t="n">
        <x:v>1.806190476</x:v>
      </x:c>
      <x:c r="Q36" s="100" t="n">
        <x:v>-712.03</x:v>
      </x:c>
      <x:c r="R36" s="100" t="n">
        <x:v>1179.02</x:v>
      </x:c>
      <x:c r="S36" s="90" t="n">
        <x:v>12.18894737</x:v>
      </x:c>
      <x:c r="T36" s="90" t="n">
        <x:v>5.945333333</x:v>
      </x:c>
      <x:c r="U36" s="90" t="n">
        <x:v>6.243614035</x:v>
      </x:c>
      <x:c r="V36" s="90" t="n">
        <x:v>2.493171465</x:v>
      </x:c>
      <x:c r="W36" s="90" t="n">
        <x:v>3.75044257</x:v>
      </x:c>
      <x:c r="X36" s="102" t="n">
        <x:v>1.618904761</x:v>
      </x:c>
      <x:c r="Y36" s="102" t="n">
        <x:v>497.0119048</x:v>
      </x:c>
      <x:c r="Z36" s="102" t="n">
        <x:v>10.32814286</x:v>
      </x:c>
      <x:c r="AA36" s="102" t="n">
        <x:v>2.89227619</x:v>
      </x:c>
      <x:c r="AB36" s="103" t="n">
        <x:v>0.2380224945</x:v>
      </x:c>
      <x:c r="AC36" s="103" t="n">
        <x:v>0.8008393393</x:v>
      </x:c>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83" t="str">
        <x:v>2008-07</x:v>
      </x:c>
      <x:c r="B37" s="99" t="n">
        <x:v>1781.045161</x:v>
      </x:c>
      <x:c r="C37" s="99" t="n">
        <x:v>159.92</x:v>
      </x:c>
      <x:c r="D37" s="99" t="n">
        <x:v>465.82</x:v>
      </x:c>
      <x:c r="E37" s="99" t="n">
        <x:v>4892.65</x:v>
      </x:c>
      <x:c r="F37" s="90" t="n">
        <x:v>9.782258065</x:v>
      </x:c>
      <x:c r="G37" s="90" t="n">
        <x:v>2.01</x:v>
      </x:c>
      <x:c r="H37" s="90" t="n">
        <x:v>7.772258065</x:v>
      </x:c>
      <x:c r="I37" s="100" t="n">
        <x:v>-1018.414518</x:v>
      </x:c>
      <x:c r="J37" s="90" t="n">
        <x:v>1.38078604</x:v>
      </x:c>
      <x:c r="K37" s="90" t="n">
        <x:v>86.45375652</x:v>
      </x:c>
      <x:c r="L37" s="90" t="n">
        <x:v>24.32181818</x:v>
      </x:c>
      <x:c r="M37" s="101" t="n">
        <x:v>0</x:v>
      </x:c>
      <x:c r="N37" s="99" t="n">
        <x:v>23345.58</x:v>
      </x:c>
      <x:c r="O37" s="90" t="n">
        <x:v>217.5217391</x:v>
      </x:c>
      <x:c r="P37" s="90" t="n">
        <x:v>2.175217391</x:v>
      </x:c>
      <x:c r="Q37" s="100" t="n">
        <x:v>-764.68</x:v>
      </x:c>
      <x:c r="R37" s="100" t="n">
        <x:v>998.73</x:v>
      </x:c>
      <x:c r="S37" s="90" t="n">
        <x:v>13.07869565</x:v>
      </x:c>
      <x:c r="T37" s="90" t="n">
        <x:v>6.157857143</x:v>
      </x:c>
      <x:c r="U37" s="90" t="n">
        <x:v>6.920838509</x:v>
      </x:c>
      <x:c r="V37" s="90" t="n">
        <x:v>2.420181805</x:v>
      </x:c>
      <x:c r="W37" s="90" t="n">
        <x:v>4.500656704</x:v>
      </x:c>
      <x:c r="X37" s="102" t="n">
        <x:v>1.591434769</x:v>
      </x:c>
      <x:c r="Y37" s="102" t="n">
        <x:v>499.8806522</x:v>
      </x:c>
      <x:c r="Z37" s="102" t="n">
        <x:v>10.21717391</x:v>
      </x:c>
      <x:c r="AA37" s="102" t="n">
        <x:v>2.84752381</x:v>
      </x:c>
      <x:c r="AB37" s="103" t="n">
        <x:v>-0.3160464393</x:v>
      </x:c>
      <x:c r="AC37" s="103" t="n">
        <x:v>-0.5482165142</x:v>
      </x:c>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83" t="str">
        <x:v>2008-08</x:v>
      </x:c>
      <x:c r="B38" s="99" t="n">
        <x:v>1847.477419</x:v>
      </x:c>
      <x:c r="C38" s="99" t="n">
        <x:v>147.49</x:v>
      </x:c>
      <x:c r="D38" s="99" t="n">
        <x:v>369.55</x:v>
      </x:c>
      <x:c r="E38" s="99" t="n">
        <x:v>4849.47</x:v>
      </x:c>
      <x:c r="F38" s="90" t="n">
        <x:v>10</x:v>
      </x:c>
      <x:c r="G38" s="90" t="n">
        <x:v>2</x:v>
      </x:c>
      <x:c r="H38" s="90" t="n">
        <x:v>8</x:v>
      </x:c>
      <x:c r="I38" s="100" t="n">
        <x:v>-1108.479733</x:v>
      </x:c>
      <x:c r="J38" s="90" t="n">
        <x:v>1.855080021</x:v>
      </x:c>
      <x:c r="K38" s="90" t="n">
        <x:v>88.94499524</x:v>
      </x:c>
      <x:c r="L38" s="90" t="n">
        <x:v>20.69571429</x:v>
      </x:c>
      <x:c r="M38" s="101" t="n">
        <x:v>0</x:v>
      </x:c>
      <x:c r="N38" s="99" t="n">
        <x:v>23638.88</x:v>
      </x:c>
      <x:c r="O38" s="90" t="n">
        <x:v>221.952381</x:v>
      </x:c>
      <x:c r="P38" s="90" t="n">
        <x:v>2.21952381</x:v>
      </x:c>
      <x:c r="Q38" s="100" t="n">
        <x:v>-735.95</x:v>
      </x:c>
      <x:c r="R38" s="100" t="n">
        <x:v>695.09</x:v>
      </x:c>
      <x:c r="S38" s="90" t="n">
        <x:v>12.01526316</x:v>
      </x:c>
      <x:c r="T38" s="90" t="n">
        <x:v>5.994545455</x:v>
      </x:c>
      <x:c r="U38" s="90" t="n">
        <x:v>6.020717703</x:v>
      </x:c>
      <x:c r="V38" s="90" t="n">
        <x:v>1.932185724</x:v>
      </x:c>
      <x:c r="W38" s="90" t="n">
        <x:v>4.08853198</x:v>
      </x:c>
      <x:c r="X38" s="102" t="n">
        <x:v>1.612666664</x:v>
      </x:c>
      <x:c r="Y38" s="102" t="n">
        <x:v>516.51</x:v>
      </x:c>
      <x:c r="Z38" s="102" t="n">
        <x:v>10.10866667</x:v>
      </x:c>
      <x:c r="AA38" s="102" t="n">
        <x:v>2.893338095</x:v>
      </x:c>
      <x:c r="AB38" s="103" t="n">
        <x:v>0.2982139333</x:v>
      </x:c>
      <x:c r="AC38" s="103" t="n">
        <x:v>0.5471528608</x:v>
      </x:c>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83" t="str">
        <x:v>2008-09</x:v>
      </x:c>
      <x:c r="B39" s="99" t="n">
        <x:v>2066.187</x:v>
      </x:c>
      <x:c r="C39" s="99" t="n">
        <x:v>144.57</x:v>
      </x:c>
      <x:c r="D39" s="99" t="n">
        <x:v>476.54</x:v>
      </x:c>
      <x:c r="E39" s="99" t="n">
        <x:v>4925.49</x:v>
      </x:c>
      <x:c r="F39" s="90" t="n">
        <x:v>10</x:v>
      </x:c>
      <x:c r="G39" s="90" t="n">
        <x:v>1.81</x:v>
      </x:c>
      <x:c r="H39" s="90" t="n">
        <x:v>8.19</x:v>
      </x:c>
      <x:c r="I39" s="100" t="n">
        <x:v>-692.0362976</x:v>
      </x:c>
      <x:c r="J39" s="90" t="n">
        <x:v>1.763145856</x:v>
      </x:c>
      <x:c r="K39" s="90" t="n">
        <x:v>91.26510909</x:v>
      </x:c>
      <x:c r="L39" s="90" t="n">
        <x:v>30.23857143</x:v>
      </x:c>
      <x:c r="M39" s="101" t="n">
        <x:v>0</x:v>
      </x:c>
      <x:c r="N39" s="99" t="n">
        <x:v>24082.29</x:v>
      </x:c>
      <x:c r="O39" s="90" t="n">
        <x:v>270.4545455</x:v>
      </x:c>
      <x:c r="P39" s="90" t="n">
        <x:v>2.704545455</x:v>
      </x:c>
      <x:c r="Q39" s="100" t="n">
        <x:v>-713.33</x:v>
      </x:c>
      <x:c r="R39" s="100" t="n">
        <x:v>812.95</x:v>
      </x:c>
      <x:c r="S39" s="90" t="n">
        <x:v>11.93681818</x:v>
      </x:c>
      <x:c r="T39" s="90" t="n">
        <x:v>6.006428571</x:v>
      </x:c>
      <x:c r="U39" s="90" t="n">
        <x:v>5.93038961</x:v>
      </x:c>
      <x:c r="V39" s="90" t="n">
        <x:v>1.333100007</x:v>
      </x:c>
      <x:c r="W39" s="90" t="n">
        <x:v>4.597289604</x:v>
      </x:c>
      <x:c r="X39" s="102" t="n">
        <x:v>1.794590907</x:v>
      </x:c>
      <x:c r="Y39" s="102" t="n">
        <x:v>533.3625</x:v>
      </x:c>
      <x:c r="Z39" s="102" t="n">
        <x:v>10.64740909</x:v>
      </x:c>
      <x:c r="AA39" s="102" t="n">
        <x:v>2.966263636</x:v>
      </x:c>
      <x:c r="AB39" s="103" t="n">
        <x:v>1.891190367</x:v>
      </x:c>
      <x:c r="AC39" s="103" t="n">
        <x:v>1.921518671</x:v>
      </x:c>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83" t="str">
        <x:v>2008-10</x:v>
      </x:c>
      <x:c r="B40" s="99" t="n">
        <x:v>2288.858065</x:v>
      </x:c>
      <x:c r="C40" s="99" t="n">
        <x:v>132.19</x:v>
      </x:c>
      <x:c r="D40" s="99" t="n">
        <x:v>421.17</x:v>
      </x:c>
      <x:c r="E40" s="99" t="n">
        <x:v>4918.88</x:v>
      </x:c>
      <x:c r="F40" s="90" t="n">
        <x:v>10</x:v>
      </x:c>
      <x:c r="G40" s="90" t="n">
        <x:v>0.97</x:v>
      </x:c>
      <x:c r="H40" s="90" t="n">
        <x:v>9.03</x:v>
      </x:c>
      <x:c r="I40" s="100" t="n">
        <x:v>-1086.107683</x:v>
      </x:c>
      <x:c r="J40" s="90" t="n">
        <x:v>1.699208134</x:v>
      </x:c>
      <x:c r="K40" s="90" t="n">
        <x:v>98.04</x:v>
      </x:c>
      <x:c r="L40" s="90" t="n">
        <x:v>61.1773913</x:v>
      </x:c>
      <x:c r="M40" s="101" t="n">
        <x:v>0</x:v>
      </x:c>
      <x:c r="N40" s="99" t="n">
        <x:v>23407.49</x:v>
      </x:c>
      <x:c r="O40" s="90" t="n">
        <x:v>534.3478261</x:v>
      </x:c>
      <x:c r="P40" s="90" t="n">
        <x:v>5.343478261</x:v>
      </x:c>
      <x:c r="Q40" s="100" t="n">
        <x:v>-644.2</x:v>
      </x:c>
      <x:c r="R40" s="100" t="n">
        <x:v>-219.71</x:v>
      </x:c>
      <x:c r="S40" s="90" t="n">
        <x:v>12.65863636</x:v>
      </x:c>
      <x:c r="T40" s="90" t="n">
        <x:v>6.652</x:v>
      </x:c>
      <x:c r="U40" s="90" t="n">
        <x:v>6.006636364</x:v>
      </x:c>
      <x:c r="V40" s="90" t="n">
        <x:v>0.0598090904</x:v>
      </x:c>
      <x:c r="W40" s="90" t="n">
        <x:v>5.946827273</x:v>
      </x:c>
      <x:c r="X40" s="102" t="n">
        <x:v>2.176434776</x:v>
      </x:c>
      <x:c r="Y40" s="102" t="n">
        <x:v>627.3641304</x:v>
      </x:c>
      <x:c r="Z40" s="102" t="n">
        <x:v>12.64386957</x:v>
      </x:c>
      <x:c r="AA40" s="102" t="n">
        <x:v>3.073586364</x:v>
      </x:c>
      <x:c r="AB40" s="103" t="n">
        <x:v>5.734449444</x:v>
      </x:c>
      <x:c r="AC40" s="103" t="n">
        <x:v>5.01816254</x:v>
      </x:c>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83" t="str">
        <x:v>2008-11</x:v>
      </x:c>
      <x:c r="B41" s="99" t="n">
        <x:v>2333.660333</x:v>
      </x:c>
      <x:c r="C41" s="99" t="n">
        <x:v>117.74</x:v>
      </x:c>
      <x:c r="D41" s="99" t="n">
        <x:v>317.42</x:v>
      </x:c>
      <x:c r="E41" s="99" t="n">
        <x:v>4780.13</x:v>
      </x:c>
      <x:c r="F41" s="90" t="n">
        <x:v>10</x:v>
      </x:c>
      <x:c r="G41" s="90" t="n">
        <x:v>0.39</x:v>
      </x:c>
      <x:c r="H41" s="90" t="n">
        <x:v>9.61</x:v>
      </x:c>
      <x:c r="I41" s="100" t="n">
        <x:v>-4714.333891</x:v>
      </x:c>
      <x:c r="J41" s="90" t="n">
        <x:v>2.332166211</x:v>
      </x:c>
      <x:c r="K41" s="90" t="n">
        <x:v>100.76666</x:v>
      </x:c>
      <x:c r="L41" s="90" t="n">
        <x:v>62.66894737</x:v>
      </x:c>
      <x:c r="M41" s="101" t="n">
        <x:v>0</x:v>
      </x:c>
      <x:c r="N41" s="99" t="n">
        <x:v>23604.5</x:v>
      </x:c>
      <x:c r="O41" s="90" t="n">
        <x:v>549.6</x:v>
      </x:c>
      <x:c r="P41" s="90" t="n">
        <x:v>5.496</x:v>
      </x:c>
      <x:c r="Q41" s="100" t="n">
        <x:v>-663.52</x:v>
      </x:c>
      <x:c r="R41" s="100" t="n">
        <x:v>550.88</x:v>
      </x:c>
      <x:c r="S41" s="90" t="n">
        <x:v>12.2775</x:v>
      </x:c>
      <x:c r="T41" s="90" t="n">
        <x:v>6.116363636</x:v>
      </x:c>
      <x:c r="U41" s="90" t="n">
        <x:v>6.161136364</x:v>
      </x:c>
      <x:c r="V41" s="90" t="n">
        <x:v>-1.110811108</x:v>
      </x:c>
      <x:c r="W41" s="90" t="n">
        <x:v>7.271947471</x:v>
      </x:c>
      <x:c r="X41" s="102" t="n">
        <x:v>2.267949998</x:v>
      </x:c>
      <x:c r="Y41" s="102" t="n">
        <x:v>650.734</x:v>
      </x:c>
      <x:c r="Z41" s="102" t="n">
        <x:v>13.1082</x:v>
      </x:c>
      <x:c r="AA41" s="102" t="n">
        <x:v>3.092088889</x:v>
      </x:c>
      <x:c r="AB41" s="103" t="n">
        <x:v>1.159772216</x:v>
      </x:c>
      <x:c r="AC41" s="103" t="n">
        <x:v>0.9930082398</x:v>
      </x:c>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83" t="str">
        <x:v>2008-12</x:v>
      </x:c>
      <x:c r="B42" s="99" t="n">
        <x:v>2251.510323</x:v>
      </x:c>
      <x:c r="C42" s="99" t="n">
        <x:v>127.1</x:v>
      </x:c>
      <x:c r="D42" s="99" t="n">
        <x:v>432.04</x:v>
      </x:c>
      <x:c r="E42" s="99" t="n">
        <x:v>4784.92</x:v>
      </x:c>
      <x:c r="F42" s="90" t="n">
        <x:v>9.838709677</x:v>
      </x:c>
      <x:c r="G42" s="90" t="n">
        <x:v>0.16</x:v>
      </x:c>
      <x:c r="H42" s="90" t="n">
        <x:v>9.678709677</x:v>
      </x:c>
      <x:c r="I42" s="100" t="n">
        <x:v>-2130.803741</x:v>
      </x:c>
      <x:c r="J42" s="90" t="n">
        <x:v>2.32245795</x:v>
      </x:c>
      <x:c r="K42" s="90" t="n">
        <x:v>99.66224783</x:v>
      </x:c>
      <x:c r="L42" s="90" t="n">
        <x:v>52.405</x:v>
      </x:c>
      <x:c r="M42" s="101" t="n">
        <x:v>0</x:v>
      </x:c>
      <x:c r="N42" s="99" t="n">
        <x:v>24029.69</x:v>
      </x:c>
      <x:c r="O42" s="90" t="n">
        <x:v>536.2608696</x:v>
      </x:c>
      <x:c r="P42" s="90" t="n">
        <x:v>5.362608696</x:v>
      </x:c>
      <x:c r="Q42" s="100" t="n">
        <x:v>-907.69</x:v>
      </x:c>
      <x:c r="R42" s="100" t="n">
        <x:v>911.98</x:v>
      </x:c>
      <x:c r="S42" s="90" t="n">
        <x:v>10.842</x:v>
      </x:c>
      <x:c r="T42" s="90" t="n">
        <x:v>5.477272727</x:v>
      </x:c>
      <x:c r="U42" s="90" t="n">
        <x:v>5.364727273</x:v>
      </x:c>
      <x:c r="V42" s="90" t="n">
        <x:v>-1.385790901</x:v>
      </x:c>
      <x:c r="W42" s="90" t="n">
        <x:v>6.750518173</x:v>
      </x:c>
      <x:c r="X42" s="102" t="n">
        <x:v>2.398400009</x:v>
      </x:c>
      <x:c r="Y42" s="102" t="n">
        <x:v>650.0565</x:v>
      </x:c>
      <x:c r="Z42" s="102" t="n">
        <x:v>13.4171</x:v>
      </x:c>
      <x:c r="AA42" s="102" t="n">
        <x:v>3.11397</x:v>
      </x:c>
      <x:c r="AB42" s="103" t="n">
        <x:v>0.6713216209</x:v>
      </x:c>
      <x:c r="AC42" s="103" t="n">
        <x:v>0.6477842907</x:v>
      </x:c>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83" t="str">
        <x:v>2009-01</x:v>
      </x:c>
      <x:c r="B43" s="99" t="n">
        <x:v>2253.506129</x:v>
      </x:c>
      <x:c r="C43" s="99" t="n">
        <x:v>114.11</x:v>
      </x:c>
      <x:c r="D43" s="99" t="n">
        <x:v>319.24</x:v>
      </x:c>
      <x:c r="E43" s="99" t="n">
        <x:v>4723.34</x:v>
      </x:c>
      <x:c r="F43" s="90" t="n">
        <x:v>9.5</x:v>
      </x:c>
      <x:c r="G43" s="90" t="n">
        <x:v>0.15</x:v>
      </x:c>
      <x:c r="H43" s="90" t="n">
        <x:v>9.35</x:v>
      </x:c>
      <x:c r="I43" s="100" t="n">
        <x:v>1131.622516</x:v>
      </x:c>
      <x:c r="J43" s="90" t="n">
        <x:v>1.755409008</x:v>
      </x:c>
      <x:c r="K43" s="90" t="n">
        <x:v>100.3520842</x:v>
      </x:c>
      <x:c r="L43" s="90" t="n">
        <x:v>44.683</x:v>
      </x:c>
      <x:c r="M43" s="101" t="n">
        <x:v>0</x:v>
      </x:c>
      <x:c r="N43" s="99" t="n">
        <x:v>23621.15</x:v>
      </x:c>
      <x:c r="O43" s="90" t="n">
        <x:v>502.9545455</x:v>
      </x:c>
      <x:c r="P43" s="90" t="n">
        <x:v>5.029545455</x:v>
      </x:c>
      <x:c r="Q43" s="100" t="n">
        <x:v>-495.03</x:v>
      </x:c>
      <x:c r="R43" s="100" t="n">
        <x:v>-95.91</x:v>
      </x:c>
      <x:c r="S43" s="90" t="n">
        <x:v>9.8715</x:v>
      </x:c>
      <x:c r="T43" s="90" t="n">
        <x:v>4.736666667</x:v>
      </x:c>
      <x:c r="U43" s="90" t="n">
        <x:v>5.134833333</x:v>
      </x:c>
      <x:c r="V43" s="90" t="n">
        <x:v>-0.5874400007</x:v>
      </x:c>
      <x:c r="W43" s="90" t="n">
        <x:v>5.722273334</x:v>
      </x:c>
      <x:c r="X43" s="102" t="n">
        <x:v>2.314149988</x:v>
      </x:c>
      <x:c r="Y43" s="102" t="n">
        <x:v>621.865</x:v>
      </x:c>
      <x:c r="Z43" s="102" t="n">
        <x:v>13.91065</x:v>
      </x:c>
      <x:c r="AA43" s="102" t="n">
        <x:v>3.151542105</x:v>
      </x:c>
      <x:c r="AB43" s="103" t="n">
        <x:v>-0.5491106589</x:v>
      </x:c>
      <x:c r="AC43" s="103" t="n">
        <x:v>-0.168142793</x:v>
      </x:c>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83" t="str">
        <x:v>2009-02</x:v>
      </x:c>
      <x:c r="B44" s="99" t="n">
        <x:v>2512.344286</x:v>
      </x:c>
      <x:c r="C44" s="99" t="n">
        <x:v>114.79</x:v>
      </x:c>
      <x:c r="D44" s="99" t="n">
        <x:v>374.71</x:v>
      </x:c>
      <x:c r="E44" s="99" t="n">
        <x:v>4740.24</x:v>
      </x:c>
      <x:c r="F44" s="90" t="n">
        <x:v>9.017857143</x:v>
      </x:c>
      <x:c r="G44" s="90" t="n">
        <x:v>0.22</x:v>
      </x:c>
      <x:c r="H44" s="90" t="n">
        <x:v>8.797857143</x:v>
      </x:c>
      <x:c r="I44" s="100" t="n">
        <x:v>-3211.483497</x:v>
      </x:c>
      <x:c r="J44" s="90" t="n">
        <x:v>1.618704014</x:v>
      </x:c>
      <x:c r="K44" s="90" t="n">
        <x:v>102.9737263</x:v>
      </x:c>
      <x:c r="L44" s="90" t="n">
        <x:v>45.57052632</x:v>
      </x:c>
      <x:c r="M44" s="101" t="n">
        <x:v>0</x:v>
      </x:c>
      <x:c r="N44" s="99" t="n">
        <x:v>23341.55</x:v>
      </x:c>
      <x:c r="O44" s="90" t="n">
        <x:v>477.75</x:v>
      </x:c>
      <x:c r="P44" s="90" t="n">
        <x:v>4.7775</x:v>
      </x:c>
      <x:c r="Q44" s="100" t="n">
        <x:v>-616.8</x:v>
      </x:c>
      <x:c r="R44" s="100" t="n">
        <x:v>1.28</x:v>
      </x:c>
      <x:c r="S44" s="90" t="n">
        <x:v>9.644444444</x:v>
      </x:c>
      <x:c r="T44" s="90" t="n">
        <x:v>4.836666667</x:v>
      </x:c>
      <x:c r="U44" s="90" t="n">
        <x:v>4.807777778</x:v>
      </x:c>
      <x:c r="V44" s="90" t="n">
        <x:v>0.2000052623</x:v>
      </x:c>
      <x:c r="W44" s="90" t="n">
        <x:v>4.607772515</x:v>
      </x:c>
      <x:c r="X44" s="102" t="n">
        <x:v>2.320700002</x:v>
      </x:c>
      <x:c r="Y44" s="102" t="n">
        <x:v>605.1975</x:v>
      </x:c>
      <x:c r="Z44" s="102" t="n">
        <x:v>14.6087</x:v>
      </x:c>
      <x:c r="AA44" s="102" t="n">
        <x:v>3.236695</x:v>
      </x:c>
      <x:c r="AB44" s="103" t="n">
        <x:v>0.1696952617</x:v>
      </x:c>
      <x:c r="AC44" s="103" t="n">
        <x:v>0.6659698589</x:v>
      </x:c>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83" t="str">
        <x:v>2009-03</x:v>
      </x:c>
      <x:c r="B45" s="99" t="n">
        <x:v>2469.634839</x:v>
      </x:c>
      <x:c r="C45" s="99" t="n">
        <x:v>129.27</x:v>
      </x:c>
      <x:c r="D45" s="99" t="n">
        <x:v>385.91</x:v>
      </x:c>
      <x:c r="E45" s="99" t="n">
        <x:v>4736.68</x:v>
      </x:c>
      <x:c r="F45" s="90" t="n">
        <x:v>7.774193548</x:v>
      </x:c>
      <x:c r="G45" s="90" t="n">
        <x:v>0.18</x:v>
      </x:c>
      <x:c r="H45" s="90" t="n">
        <x:v>7.594193548</x:v>
      </x:c>
      <x:c r="I45" s="100" t="n">
        <x:v>-1171.186926</x:v>
      </x:c>
      <x:c r="J45" s="90" t="n">
        <x:v>1.755024832</x:v>
      </x:c>
      <x:c r="K45" s="90" t="n">
        <x:v>103.4397455</x:v>
      </x:c>
      <x:c r="L45" s="90" t="n">
        <x:v>44.79545455</x:v>
      </x:c>
      <x:c r="M45" s="101" t="n">
        <x:v>0</x:v>
      </x:c>
      <x:c r="N45" s="99" t="n">
        <x:v>23840.96</x:v>
      </x:c>
      <x:c r="O45" s="90" t="n">
        <x:v>483.4090909</x:v>
      </x:c>
      <x:c r="P45" s="90" t="n">
        <x:v>4.834090909</x:v>
      </x:c>
      <x:c r="Q45" s="100" t="n">
        <x:v>-536.61</x:v>
      </x:c>
      <x:c r="R45" s="100" t="n">
        <x:v>808.55</x:v>
      </x:c>
      <x:c r="S45" s="90" t="n">
        <x:v>9.003333333</x:v>
      </x:c>
      <x:c r="T45" s="90" t="n">
        <x:v>4.991538462</x:v>
      </x:c>
      <x:c r="U45" s="90" t="n">
        <x:v>4.011794872</x:v>
      </x:c>
      <x:c r="V45" s="90" t="n">
        <x:v>0.2514045435</x:v>
      </x:c>
      <x:c r="W45" s="90" t="n">
        <x:v>3.760390328</x:v>
      </x:c>
      <x:c r="X45" s="102" t="n">
        <x:v>2.314863628</x:v>
      </x:c>
      <x:c r="Y45" s="102" t="n">
        <x:v>592.2181818</x:v>
      </x:c>
      <x:c r="Z45" s="102" t="n">
        <x:v>14.641</x:v>
      </x:c>
      <x:c r="AA45" s="102" t="n">
        <x:v>3.174786364</x:v>
      </x:c>
      <x:c r="AB45" s="103" t="n">
        <x:v>-0.3700534773</x:v>
      </x:c>
      <x:c r="AC45" s="103" t="n">
        <x:v>-0.6635102659</x:v>
      </x:c>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83" t="str">
        <x:v>2009-04</x:v>
      </x:c>
      <x:c r="B46" s="99" t="n">
        <x:v>2374.607667</x:v>
      </x:c>
      <x:c r="C46" s="99" t="n">
        <x:v>127.57</x:v>
      </x:c>
      <x:c r="D46" s="99" t="n">
        <x:v>340.08</x:v>
      </x:c>
      <x:c r="E46" s="99" t="n">
        <x:v>4670.78</x:v>
      </x:c>
      <x:c r="F46" s="90" t="n">
        <x:v>7</x:v>
      </x:c>
      <x:c r="G46" s="90" t="n">
        <x:v>0.15</x:v>
      </x:c>
      <x:c r="H46" s="90" t="n">
        <x:v>6.85</x:v>
      </x:c>
      <x:c r="I46" s="100" t="n">
        <x:v>2912.885466</x:v>
      </x:c>
      <x:c r="J46" s="90" t="n">
        <x:v>1.407735645</x:v>
      </x:c>
      <x:c r="K46" s="90" t="n">
        <x:v>100.7161864</x:v>
      </x:c>
      <x:c r="L46" s="90" t="n">
        <x:v>38.06380952</x:v>
      </x:c>
      <x:c r="M46" s="101" t="n">
        <x:v>0</x:v>
      </x:c>
      <x:c r="N46" s="99" t="n">
        <x:v>23413.66</x:v>
      </x:c>
      <x:c r="O46" s="90" t="n">
        <x:v>417.5454545</x:v>
      </x:c>
      <x:c r="P46" s="90" t="n">
        <x:v>4.175454545</x:v>
      </x:c>
      <x:c r="Q46" s="100" t="n">
        <x:v>-702.1</x:v>
      </x:c>
      <x:c r="R46" s="100" t="n">
        <x:v>387.22</x:v>
      </x:c>
      <x:c r="S46" s="90" t="n">
        <x:v>8.4125</x:v>
      </x:c>
      <x:c r="T46" s="90" t="n">
        <x:v>4.679333333</x:v>
      </x:c>
      <x:c r="U46" s="90" t="n">
        <x:v>3.733166667</x:v>
      </x:c>
      <x:c r="V46" s="90" t="n">
        <x:v>0.6342142849</x:v>
      </x:c>
      <x:c r="W46" s="90" t="n">
        <x:v>3.098952382</x:v>
      </x:c>
      <x:c r="X46" s="102" t="n">
        <x:v>2.202636361</x:v>
      </x:c>
      <x:c r="Y46" s="102" t="n">
        <x:v>582.4590909</x:v>
      </x:c>
      <x:c r="Z46" s="102" t="n">
        <x:v>13.409</x:v>
      </x:c>
      <x:c r="AA46" s="102" t="n">
        <x:v>3.084215</x:v>
      </x:c>
      <x:c r="AB46" s="103" t="n">
        <x:v>-1.814431296</x:v>
      </x:c>
      <x:c r="AC46" s="103" t="n">
        <x:v>-1.940499072</x:v>
      </x:c>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83" t="str">
        <x:v>2009-05</x:v>
      </x:c>
      <x:c r="B47" s="99" t="n">
        <x:v>2227.317742</x:v>
      </x:c>
      <x:c r="C47" s="99" t="n">
        <x:v>139.83</x:v>
      </x:c>
      <x:c r="D47" s="99" t="n">
        <x:v>341.62</x:v>
      </x:c>
      <x:c r="E47" s="99" t="n">
        <x:v>4606.85</x:v>
      </x:c>
      <x:c r="F47" s="90" t="n">
        <x:v>6.096774194</x:v>
      </x:c>
      <x:c r="G47" s="90" t="n">
        <x:v>0.18</x:v>
      </x:c>
      <x:c r="H47" s="90" t="n">
        <x:v>5.916774194</x:v>
      </x:c>
      <x:c r="I47" s="100" t="n">
        <x:v>-1876.659441</x:v>
      </x:c>
      <x:c r="J47" s="90" t="n">
        <x:v>2.231473675</x:v>
      </x:c>
      <x:c r="K47" s="90" t="n">
        <x:v>97.55188</x:v>
      </x:c>
      <x:c r="L47" s="90" t="n">
        <x:v>31.978</x:v>
      </x:c>
      <x:c r="M47" s="101" t="n">
        <x:v>0</x:v>
      </x:c>
      <x:c r="N47" s="99" t="n">
        <x:v>23584.69</x:v>
      </x:c>
      <x:c r="O47" s="90" t="n">
        <x:v>322.4761905</x:v>
      </x:c>
      <x:c r="P47" s="90" t="n">
        <x:v>3.224761905</x:v>
      </x:c>
      <x:c r="Q47" s="100" t="n">
        <x:v>-499.12</x:v>
      </x:c>
      <x:c r="R47" s="100" t="n">
        <x:v>619.68</x:v>
      </x:c>
      <x:c r="S47" s="90" t="n">
        <x:v>7.94</x:v>
      </x:c>
      <x:c r="T47" s="90" t="n">
        <x:v>4.489411765</x:v>
      </x:c>
      <x:c r="U47" s="90" t="n">
        <x:v>3.450588235</x:v>
      </x:c>
      <x:c r="V47" s="90" t="n">
        <x:v>0.8413999975</x:v>
      </x:c>
      <x:c r="W47" s="90" t="n">
        <x:v>2.609188238</x:v>
      </x:c>
      <x:c r="X47" s="102" t="n">
        <x:v>2.066761902</x:v>
      </x:c>
      <x:c r="Y47" s="102" t="n">
        <x:v>565.3952381</x:v>
      </x:c>
      <x:c r="Z47" s="102" t="n">
        <x:v>13.18757143</x:v>
      </x:c>
      <x:c r="AA47" s="102" t="n">
        <x:v>2.99438</x:v>
      </x:c>
      <x:c r="AB47" s="103" t="n">
        <x:v>-1.252373374</x:v>
      </x:c>
      <x:c r="AC47" s="103" t="n">
        <x:v>-1.531361328</x:v>
      </x:c>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83" t="str">
        <x:v>2009-06</x:v>
      </x:c>
      <x:c r="B48" s="99" t="n">
        <x:v>2089.460333</x:v>
      </x:c>
      <x:c r="C48" s="99" t="n">
        <x:v>146.13</x:v>
      </x:c>
      <x:c r="D48" s="99" t="n">
        <x:v>313.08</x:v>
      </x:c>
      <x:c r="E48" s="99" t="n">
        <x:v>4557.18</x:v>
      </x:c>
      <x:c r="F48" s="90" t="n">
        <x:v>4.866666667</x:v>
      </x:c>
      <x:c r="G48" s="90" t="n">
        <x:v>0.21</x:v>
      </x:c>
      <x:c r="H48" s="90" t="n">
        <x:v>4.656666667</x:v>
      </x:c>
      <x:c r="I48" s="100" t="n">
        <x:v>-2008.01347</x:v>
      </x:c>
      <x:c r="J48" s="90" t="n">
        <x:v>2.985204818</x:v>
      </x:c>
      <x:c r="K48" s="90" t="n">
        <x:v>96.04261818</x:v>
      </x:c>
      <x:c r="L48" s="90" t="n">
        <x:v>29.14045455</x:v>
      </x:c>
      <x:c r="M48" s="101" t="n">
        <x:v>0</x:v>
      </x:c>
      <x:c r="N48" s="99" t="n">
        <x:v>23723.36</x:v>
      </x:c>
      <x:c r="O48" s="90" t="n">
        <x:v>297.5454545</x:v>
      </x:c>
      <x:c r="P48" s="90" t="n">
        <x:v>2.975454545</x:v>
      </x:c>
      <x:c r="Q48" s="100" t="n">
        <x:v>-510.76</x:v>
      </x:c>
      <x:c r="R48" s="100" t="n">
        <x:v>679.65</x:v>
      </x:c>
      <x:c r="S48" s="90" t="n">
        <x:v>8.901176471</x:v>
      </x:c>
      <x:c r="T48" s="90" t="n">
        <x:v>4.832666667</x:v>
      </x:c>
      <x:c r="U48" s="90" t="n">
        <x:v>4.068509804</x:v>
      </x:c>
      <x:c r="V48" s="90" t="n">
        <x:v>1.306950006</x:v>
      </x:c>
      <x:c r="W48" s="90" t="n">
        <x:v>2.761559798</x:v>
      </x:c>
      <x:c r="X48" s="102" t="n">
        <x:v>1.958118184</x:v>
      </x:c>
      <x:c r="Y48" s="102" t="n">
        <x:v>550.3431818</x:v>
      </x:c>
      <x:c r="Z48" s="102" t="n">
        <x:v>13.33204545</x:v>
      </x:c>
      <x:c r="AA48" s="102" t="n">
        <x:v>2.990747619</x:v>
      </x:c>
      <x:c r="AB48" s="103" t="n">
        <x:v>-0.800337655</x:v>
      </x:c>
      <x:c r="AC48" s="103" t="n">
        <x:v>-0.6222029274</x:v>
      </x:c>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83" t="str">
        <x:v>2009-07</x:v>
      </x:c>
      <x:c r="B49" s="99" t="n">
        <x:v>2049.239677</x:v>
      </x:c>
      <x:c r="C49" s="99" t="n">
        <x:v>137.48</x:v>
      </x:c>
      <x:c r="D49" s="99" t="n">
        <x:v>314.47</x:v>
      </x:c>
      <x:c r="E49" s="99" t="n">
        <x:v>4405.83</x:v>
      </x:c>
      <x:c r="F49" s="90" t="n">
        <x:v>4.5</x:v>
      </x:c>
      <x:c r="G49" s="90" t="n">
        <x:v>0.16</x:v>
      </x:c>
      <x:c r="H49" s="90" t="n">
        <x:v>4.34</x:v>
      </x:c>
      <x:c r="I49" s="100" t="n">
        <x:v>-2738.042198</x:v>
      </x:c>
      <x:c r="J49" s="90" t="n">
        <x:v>3.328051074</x:v>
      </x:c>
      <x:c r="K49" s="90" t="n">
        <x:v>95.66055909</x:v>
      </x:c>
      <x:c r="L49" s="90" t="n">
        <x:v>26.16272727</x:v>
      </x:c>
      <x:c r="M49" s="101" t="n">
        <x:v>0</x:v>
      </x:c>
      <x:c r="N49" s="99" t="n">
        <x:v>24122.44</x:v>
      </x:c>
      <x:c r="O49" s="90" t="n">
        <x:v>297.6086957</x:v>
      </x:c>
      <x:c r="P49" s="90" t="n">
        <x:v>2.976086957</x:v>
      </x:c>
      <x:c r="Q49" s="100" t="n">
        <x:v>-772.56</x:v>
      </x:c>
      <x:c r="R49" s="100" t="n">
        <x:v>1101.62</x:v>
      </x:c>
      <x:c r="S49" s="90" t="n">
        <x:v>8.719545455</x:v>
      </x:c>
      <x:c r="T49" s="90" t="n">
        <x:v>4.783157895</x:v>
      </x:c>
      <x:c r="U49" s="90" t="n">
        <x:v>3.93638756</x:v>
      </x:c>
      <x:c r="V49" s="90" t="n">
        <x:v>1.039150005</x:v>
      </x:c>
      <x:c r="W49" s="90" t="n">
        <x:v>2.897237555</x:v>
      </x:c>
      <x:c r="X49" s="102" t="n">
        <x:v>1.933521742</x:v>
      </x:c>
      <x:c r="Y49" s="102" t="n">
        <x:v>540.2934783</x:v>
      </x:c>
      <x:c r="Z49" s="102" t="n">
        <x:v>13.36169565</x:v>
      </x:c>
      <x:c r="AA49" s="102" t="n">
        <x:v>3.012625</x:v>
      </x:c>
      <x:c r="AB49" s="103" t="n">
        <x:v>-0.4213658576</x:v>
      </x:c>
      <x:c r="AC49" s="103" t="n">
        <x:v>-0.1669678198</x:v>
      </x:c>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83" t="str">
        <x:v>2009-08</x:v>
      </x:c>
      <x:c r="B50" s="99" t="n">
        <x:v>2017.618065</x:v>
      </x:c>
      <x:c r="C50" s="99" t="n">
        <x:v>144.15</x:v>
      </x:c>
      <x:c r="D50" s="99" t="n">
        <x:v>304.05</x:v>
      </x:c>
      <x:c r="E50" s="99" t="n">
        <x:v>4340.33</x:v>
      </x:c>
      <x:c r="F50" s="90" t="n">
        <x:v>4.5</x:v>
      </x:c>
      <x:c r="G50" s="90" t="n">
        <x:v>0.16</x:v>
      </x:c>
      <x:c r="H50" s="90" t="n">
        <x:v>4.34</x:v>
      </x:c>
      <x:c r="I50" s="100" t="n">
        <x:v>746.6916332</x:v>
      </x:c>
      <x:c r="J50" s="90" t="n">
        <x:v>2.958181152</x:v>
      </x:c>
      <x:c r="K50" s="90" t="n">
        <x:v>94.37304286</x:v>
      </x:c>
      <x:c r="L50" s="90" t="n">
        <x:v>25.33714286</x:v>
      </x:c>
      <x:c r="M50" s="101" t="n">
        <x:v>0</x:v>
      </x:c>
      <x:c r="N50" s="99" t="n">
        <x:v>25238.94</x:v>
      </x:c>
      <x:c r="O50" s="90" t="n">
        <x:v>261.1428571</x:v>
      </x:c>
      <x:c r="P50" s="90" t="n">
        <x:v>2.611428571</x:v>
      </x:c>
      <x:c r="Q50" s="100" t="n">
        <x:v>-568.66</x:v>
      </x:c>
      <x:c r="R50" s="100" t="n">
        <x:v>1421.3</x:v>
      </x:c>
      <x:c r="S50" s="90" t="n">
        <x:v>8.878421053</x:v>
      </x:c>
      <x:c r="T50" s="90" t="n">
        <x:v>4.555263158</x:v>
      </x:c>
      <x:c r="U50" s="90" t="n">
        <x:v>4.323157895</x:v>
      </x:c>
      <x:c r="V50" s="90" t="n">
        <x:v>1.0577238</x:v>
      </x:c>
      <x:c r="W50" s="90" t="n">
        <x:v>3.265434094</x:v>
      </x:c>
      <x:c r="X50" s="102" t="n">
        <x:v>1.84495239</x:v>
      </x:c>
      <x:c r="Y50" s="102" t="n">
        <x:v>547.2857143</x:v>
      </x:c>
      <x:c r="Z50" s="102" t="n">
        <x:v>13.00761905</x:v>
      </x:c>
      <x:c r="AA50" s="102" t="n">
        <x:v>2.950680952</x:v>
      </x:c>
      <x:c r="AB50" s="103" t="n">
        <x:v>-0.6902847953</x:v>
      </x:c>
      <x:c r="AC50" s="103" t="n">
        <x:v>-0.9331176317</x:v>
      </x:c>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83" t="str">
        <x:v>2009-09</x:v>
      </x:c>
      <x:c r="B51" s="99" t="n">
        <x:v>1978.033</x:v>
      </x:c>
      <x:c r="C51" s="99" t="n">
        <x:v>148.17</x:v>
      </x:c>
      <x:c r="D51" s="99" t="n">
        <x:v>313.7</x:v>
      </x:c>
      <x:c r="E51" s="99" t="n">
        <x:v>4177.49</x:v>
      </x:c>
      <x:c r="F51" s="90" t="n">
        <x:v>4.45</x:v>
      </x:c>
      <x:c r="G51" s="90" t="n">
        <x:v>0.15</x:v>
      </x:c>
      <x:c r="H51" s="90" t="n">
        <x:v>4.3</x:v>
      </x:c>
      <x:c r="I51" s="100" t="n">
        <x:v>-1297.365731</x:v>
      </x:c>
      <x:c r="J51" s="90" t="n">
        <x:v>3.078867119</x:v>
      </x:c>
      <x:c r="K51" s="90" t="n">
        <x:v>93.6638</x:v>
      </x:c>
      <x:c r="L51" s="90" t="n">
        <x:v>24.92666667</x:v>
      </x:c>
      <x:c r="M51" s="101" t="n">
        <x:v>0</x:v>
      </x:c>
      <x:c r="N51" s="99" t="n">
        <x:v>25122.6</x:v>
      </x:c>
      <x:c r="O51" s="90" t="n">
        <x:v>250.3181818</x:v>
      </x:c>
      <x:c r="P51" s="90" t="n">
        <x:v>2.503181818</x:v>
      </x:c>
      <x:c r="Q51" s="100" t="n">
        <x:v>-802.12</x:v>
      </x:c>
      <x:c r="R51" s="100" t="n">
        <x:v>729.3</x:v>
      </x:c>
      <x:c r="S51" s="90" t="n">
        <x:v>8.915714286</x:v>
      </x:c>
      <x:c r="T51" s="90" t="n">
        <x:v>4.322352941</x:v>
      </x:c>
      <x:c r="U51" s="90" t="n">
        <x:v>4.593361345</x:v>
      </x:c>
      <x:c r="V51" s="90" t="n">
        <x:v>1.1555</x:v>
      </x:c>
      <x:c r="W51" s="90" t="n">
        <x:v>3.437861344</x:v>
      </x:c>
      <x:c r="X51" s="102" t="n">
        <x:v>1.81959091</x:v>
      </x:c>
      <x:c r="Y51" s="102" t="n">
        <x:v>548.8113636</x:v>
      </x:c>
      <x:c r="Z51" s="102" t="n">
        <x:v>13.40490909</x:v>
      </x:c>
      <x:c r="AA51" s="102" t="n">
        <x:v>2.909509091</x:v>
      </x:c>
      <x:c r="AB51" s="103" t="n">
        <x:v>0.1660605909</x:v>
      </x:c>
      <x:c r="AC51" s="103" t="n">
        <x:v>-0.1556133066</x:v>
      </x:c>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83" t="str">
        <x:v>2009-10</x:v>
      </x:c>
      <x:c r="B52" s="99" t="n">
        <x:v>1901.400323</x:v>
      </x:c>
      <x:c r="C52" s="99" t="n">
        <x:v>154.41</x:v>
      </x:c>
      <x:c r="D52" s="99" t="n">
        <x:v>334.92</x:v>
      </x:c>
      <x:c r="E52" s="99" t="n">
        <x:v>4091.24</x:v>
      </x:c>
      <x:c r="F52" s="90" t="n">
        <x:v>4</x:v>
      </x:c>
      <x:c r="G52" s="90" t="n">
        <x:v>0.12</x:v>
      </x:c>
      <x:c r="H52" s="90" t="n">
        <x:v>3.88</x:v>
      </x:c>
      <x:c r="I52" s="100" t="n">
        <x:v>-3707.944669</x:v>
      </x:c>
      <x:c r="J52" s="90" t="n">
        <x:v>3.601588988</x:v>
      </x:c>
      <x:c r="K52" s="90" t="n">
        <x:v>92.2597619</x:v>
      </x:c>
      <x:c r="L52" s="90" t="n">
        <x:v>24.25227273</x:v>
      </x:c>
      <x:c r="M52" s="101" t="n">
        <x:v>0</x:v>
      </x:c>
      <x:c r="N52" s="99" t="n">
        <x:v>25185.77</x:v>
      </x:c>
      <x:c r="O52" s="90" t="n">
        <x:v>218.3636364</x:v>
      </x:c>
      <x:c r="P52" s="90" t="n">
        <x:v>2.183636364</x:v>
      </x:c>
      <x:c r="Q52" s="100" t="n">
        <x:v>-662.67</x:v>
      </x:c>
      <x:c r="R52" s="100" t="n">
        <x:v>800.88</x:v>
      </x:c>
      <x:c r="S52" s="90" t="n">
        <x:v>8.307619048</x:v>
      </x:c>
      <x:c r="T52" s="90" t="n">
        <x:v>3.988095238</x:v>
      </x:c>
      <x:c r="U52" s="90" t="n">
        <x:v>4.31952381</x:v>
      </x:c>
      <x:c r="V52" s="90" t="n">
        <x:v>1.348490477</x:v>
      </x:c>
      <x:c r="W52" s="90" t="n">
        <x:v>2.971033333</x:v>
      </x:c>
      <x:c r="X52" s="102" t="n">
        <x:v>1.73913636</x:v>
      </x:c>
      <x:c r="Y52" s="102" t="n">
        <x:v>545.2545455</x:v>
      </x:c>
      <x:c r="Z52" s="102" t="n">
        <x:v>13.21986364</x:v>
      </x:c>
      <x:c r="AA52" s="102" t="n">
        <x:v>2.872</x:v>
      </x:c>
      <x:c r="AB52" s="103" t="n">
        <x:v>-0.7617096426</x:v>
      </x:c>
      <x:c r="AC52" s="103" t="n">
        <x:v>-0.8298014733</x:v>
      </x:c>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83" t="str">
        <x:v>2009-11</x:v>
      </x:c>
      <x:c r="B53" s="99" t="n">
        <x:v>1976.879333</x:v>
      </x:c>
      <x:c r="C53" s="99" t="n">
        <x:v>153.54</x:v>
      </x:c>
      <x:c r="D53" s="99" t="n">
        <x:v>340.87</x:v>
      </x:c>
      <x:c r="E53" s="99" t="n">
        <x:v>4114.69</x:v>
      </x:c>
      <x:c r="F53" s="90" t="n">
        <x:v>3.883333333</x:v>
      </x:c>
      <x:c r="G53" s="90" t="n">
        <x:v>0.12</x:v>
      </x:c>
      <x:c r="H53" s="90" t="n">
        <x:v>3.763333333</x:v>
      </x:c>
      <x:c r="I53" s="100" t="n">
        <x:v>-3446.245145</x:v>
      </x:c>
      <x:c r="J53" s="90" t="n">
        <x:v>3.348767122</x:v>
      </x:c>
      <x:c r="K53" s="90" t="n">
        <x:v>91.79961053</x:v>
      </x:c>
      <x:c r="L53" s="90" t="n">
        <x:v>23.789</x:v>
      </x:c>
      <x:c r="M53" s="101" t="n">
        <x:v>0</x:v>
      </x:c>
      <x:c r="N53" s="99" t="n">
        <x:v>25440.54</x:v>
      </x:c>
      <x:c r="O53" s="90" t="n">
        <x:v>213.3333333</x:v>
      </x:c>
      <x:c r="P53" s="90" t="n">
        <x:v>2.133333333</x:v>
      </x:c>
      <x:c r="Q53" s="100" t="n">
        <x:v>-615.96</x:v>
      </x:c>
      <x:c r="R53" s="100" t="n">
        <x:v>661.52</x:v>
      </x:c>
      <x:c r="S53" s="90" t="n">
        <x:v>7.293684211</x:v>
      </x:c>
      <x:c r="T53" s="90" t="n">
        <x:v>3.785</x:v>
      </x:c>
      <x:c r="U53" s="90" t="n">
        <x:v>3.508684211</x:v>
      </x:c>
      <x:c r="V53" s="90" t="n">
        <x:v>1.60220527</x:v>
      </x:c>
      <x:c r="W53" s="90" t="n">
        <x:v>1.90647894</x:v>
      </x:c>
      <x:c r="X53" s="102" t="n">
        <x:v>1.728666663</x:v>
      </x:c>
      <x:c r="Y53" s="102" t="n">
        <x:v>505.4904762</x:v>
      </x:c>
      <x:c r="Z53" s="102" t="n">
        <x:v>13.10947619</x:v>
      </x:c>
      <x:c r="AA53" s="102" t="n">
        <x:v>2.8843</x:v>
      </x:c>
      <x:c r="AB53" s="103" t="n">
        <x:v>-1.203479883</x:v>
      </x:c>
      <x:c r="AC53" s="103" t="n">
        <x:v>-0.814190776</x:v>
      </x:c>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83" t="str">
        <x:v>2009-12</x:v>
      </x:c>
      <x:c r="B54" s="99" t="n">
        <x:v>2018.012581</x:v>
      </x:c>
      <x:c r="C54" s="99" t="n">
        <x:v>153.1</x:v>
      </x:c>
      <x:c r="D54" s="99" t="n">
        <x:v>407.63</x:v>
      </x:c>
      <x:c r="E54" s="99" t="n">
        <x:v>4090.28</x:v>
      </x:c>
      <x:c r="F54" s="90" t="n">
        <x:v>3.5</x:v>
      </x:c>
      <x:c r="G54" s="90" t="n">
        <x:v>0.12</x:v>
      </x:c>
      <x:c r="H54" s="90" t="n">
        <x:v>3.38</x:v>
      </x:c>
      <x:c r="I54" s="100" t="n">
        <x:v>-6049.282194</x:v>
      </x:c>
      <x:c r="J54" s="90" t="n">
        <x:v>4.13000348</x:v>
      </x:c>
      <x:c r="K54" s="90" t="n">
        <x:v>92.25861905</x:v>
      </x:c>
      <x:c r="L54" s="90" t="n">
        <x:v>21.23954545</x:v>
      </x:c>
      <x:c r="M54" s="101" t="n">
        <x:v>0</x:v>
      </x:c>
      <x:c r="N54" s="99" t="n">
        <x:v>25355.74</x:v>
      </x:c>
      <x:c r="O54" s="90" t="n">
        <x:v>208.1304348</x:v>
      </x:c>
      <x:c r="P54" s="90" t="n">
        <x:v>2.081304348</x:v>
      </x:c>
      <x:c r="Q54" s="100" t="n">
        <x:v>-699.85</x:v>
      </x:c>
      <x:c r="R54" s="100" t="n">
        <x:v>412.46</x:v>
      </x:c>
      <x:c r="S54" s="90" t="n">
        <x:v>7.1525</x:v>
      </x:c>
      <x:c r="T54" s="90" t="n">
        <x:v>3.602857143</x:v>
      </x:c>
      <x:c r="U54" s="90" t="n">
        <x:v>3.549642857</x:v>
      </x:c>
      <x:c r="V54" s="90" t="n">
        <x:v>1.733800005</x:v>
      </x:c>
      <x:c r="W54" s="90" t="n">
        <x:v>1.815842852</x:v>
      </x:c>
      <x:c r="X54" s="102" t="n">
        <x:v>1.751347827</x:v>
      </x:c>
      <x:c r="Y54" s="102" t="n">
        <x:v>502.6913043</x:v>
      </x:c>
      <x:c r="Z54" s="102" t="n">
        <x:v>12.85830435</x:v>
      </x:c>
      <x:c r="AA54" s="102" t="n">
        <x:v>2.877578947</x:v>
      </x:c>
      <x:c r="AB54" s="103" t="n">
        <x:v>-0.2853463917</x:v>
      </x:c>
      <x:c r="AC54" s="103" t="n">
        <x:v>-0.2584688735</x:v>
      </x:c>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83" t="str">
        <x:v>2010-01</x:v>
      </x:c>
      <x:c r="B55" s="99" t="n">
        <x:v>1983.426774</x:v>
      </x:c>
      <x:c r="C55" s="99" t="n">
        <x:v>158.66</x:v>
      </x:c>
      <x:c r="D55" s="99" t="n">
        <x:v>265.31</x:v>
      </x:c>
      <x:c r="E55" s="99" t="n">
        <x:v>4036.35</x:v>
      </x:c>
      <x:c r="F55" s="90" t="n">
        <x:v>3.5</x:v>
      </x:c>
      <x:c r="G55" s="90" t="n">
        <x:v>0.11</x:v>
      </x:c>
      <x:c r="H55" s="90" t="n">
        <x:v>3.39</x:v>
      </x:c>
      <x:c r="I55" s="100" t="n">
        <x:v>2168.018762</x:v>
      </x:c>
      <x:c r="J55" s="90" t="n">
        <x:v>3.616995811</x:v>
      </x:c>
      <x:c r="K55" s="90" t="n">
        <x:v>92.4403</x:v>
      </x:c>
      <x:c r="L55" s="90" t="n">
        <x:v>20.64315789</x:v>
      </x:c>
      <x:c r="M55" s="101" t="n">
        <x:v>0</x:v>
      </x:c>
      <x:c r="N55" s="99" t="n">
        <x:v>25259.19</x:v>
      </x:c>
      <x:c r="O55" s="90" t="n">
        <x:v>209.7142857</x:v>
      </x:c>
      <x:c r="P55" s="90" t="n">
        <x:v>2.097142857</x:v>
      </x:c>
      <x:c r="Q55" s="100" t="n">
        <x:v>-832.88</x:v>
      </x:c>
      <x:c r="R55" s="100" t="n">
        <x:v>717.35</x:v>
      </x:c>
      <x:c r="S55" s="90" t="n">
        <x:v>7.905263158</x:v>
      </x:c>
      <x:c r="T55" s="90" t="n">
        <x:v>3.542222222</x:v>
      </x:c>
      <x:c r="U55" s="90" t="n">
        <x:v>4.363040936</x:v>
      </x:c>
      <x:c r="V55" s="90" t="n">
        <x:v>1.934999993</x:v>
      </x:c>
      <x:c r="W55" s="90" t="n">
        <x:v>2.428040943</x:v>
      </x:c>
      <x:c r="X55" s="102" t="n">
        <x:v>1.780857149</x:v>
      </x:c>
      <x:c r="Y55" s="102" t="n">
        <x:v>502.0785714</x:v>
      </x:c>
      <x:c r="Z55" s="102" t="n">
        <x:v>12.81809524</x:v>
      </x:c>
      <x:c r="AA55" s="102" t="n">
        <x:v>2.856255</x:v>
      </x:c>
      <x:c r="AB55" s="103" t="n">
        <x:v>-0.003769763674</x:v>
      </x:c>
      <x:c r="AC55" s="103" t="n">
        <x:v>-0.1499648446</x:v>
      </x:c>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83" t="str">
        <x:v>2010-02</x:v>
      </x:c>
      <x:c r="B56" s="99" t="n">
        <x:v>1951.723929</x:v>
      </x:c>
      <x:c r="C56" s="99" t="n">
        <x:v>154.55</x:v>
      </x:c>
      <x:c r="D56" s="99" t="n">
        <x:v>273.2</x:v>
      </x:c>
      <x:c r="E56" s="99" t="n">
        <x:v>3934.84</x:v>
      </x:c>
      <x:c r="F56" s="90" t="n">
        <x:v>3.5</x:v>
      </x:c>
      <x:c r="G56" s="90" t="n">
        <x:v>0.13</x:v>
      </x:c>
      <x:c r="H56" s="90" t="n">
        <x:v>3.37</x:v>
      </x:c>
      <x:c r="I56" s="100" t="n">
        <x:v>-450.9388046</x:v>
      </x:c>
      <x:c r="J56" s="90" t="n">
        <x:v>3.109598706</x:v>
      </x:c>
      <x:c r="K56" s="90" t="n">
        <x:v>93.88668</x:v>
      </x:c>
      <x:c r="L56" s="90" t="n">
        <x:v>22.54</x:v>
      </x:c>
      <x:c r="M56" s="101" t="n">
        <x:v>0</x:v>
      </x:c>
      <x:c r="N56" s="99" t="n">
        <x:v>25205.3</x:v>
      </x:c>
      <x:c r="O56" s="90" t="n">
        <x:v>235.1</x:v>
      </x:c>
      <x:c r="P56" s="90" t="n">
        <x:v>2.351</x:v>
      </x:c>
      <x:c r="Q56" s="100" t="n">
        <x:v>-841.4</x:v>
      </x:c>
      <x:c r="R56" s="100" t="n">
        <x:v>839.52</x:v>
      </x:c>
      <x:c r="S56" s="90" t="n">
        <x:v>8.4435</x:v>
      </x:c>
      <x:c r="T56" s="90" t="n">
        <x:v>3.3495</x:v>
      </x:c>
      <x:c r="U56" s="90" t="n">
        <x:v>5.094</x:v>
      </x:c>
      <x:c r="V56" s="90" t="n">
        <x:v>1.882184204</x:v>
      </x:c>
      <x:c r="W56" s="90" t="n">
        <x:v>3.211815796</x:v>
      </x:c>
      <x:c r="X56" s="102" t="n">
        <x:v>1.841100007</x:v>
      </x:c>
      <x:c r="Y56" s="102" t="n">
        <x:v>532.01</x:v>
      </x:c>
      <x:c r="Z56" s="102" t="n">
        <x:v>12.9288</x:v>
      </x:c>
      <x:c r="AA56" s="102" t="n">
        <x:v>2.853985</x:v>
      </x:c>
      <x:c r="AB56" s="103" t="n">
        <x:v>1.025260927</x:v>
      </x:c>
      <x:c r="AC56" s="103" t="n">
        <x:v>0.7554181934</x:v>
      </x:c>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83" t="str">
        <x:v>2010-03</x:v>
      </x:c>
      <x:c r="B57" s="99" t="n">
        <x:v>1908.991935</x:v>
      </x:c>
      <x:c r="C57" s="99" t="n">
        <x:v>159.54</x:v>
      </x:c>
      <x:c r="D57" s="99" t="n">
        <x:v>361.06</x:v>
      </x:c>
      <x:c r="E57" s="99" t="n">
        <x:v>3909.99</x:v>
      </x:c>
      <x:c r="F57" s="90" t="n">
        <x:v>3.5</x:v>
      </x:c>
      <x:c r="G57" s="90" t="n">
        <x:v>0.16</x:v>
      </x:c>
      <x:c r="H57" s="90" t="n">
        <x:v>3.34</x:v>
      </x:c>
      <x:c r="I57" s="100" t="n">
        <x:v>-989.6072038</x:v>
      </x:c>
      <x:c r="J57" s="90" t="n">
        <x:v>3.076223761</x:v>
      </x:c>
      <x:c r="K57" s="90" t="n">
        <x:v>93.14987826</x:v>
      </x:c>
      <x:c r="L57" s="90" t="n">
        <x:v>17.7673913</x:v>
      </x:c>
      <x:c r="M57" s="101" t="n">
        <x:v>0</x:v>
      </x:c>
      <x:c r="N57" s="99" t="n">
        <x:v>25501.04</x:v>
      </x:c>
      <x:c r="O57" s="90" t="n">
        <x:v>189</x:v>
      </x:c>
      <x:c r="P57" s="90" t="n">
        <x:v>1.89</x:v>
      </x:c>
      <x:c r="Q57" s="100" t="n">
        <x:v>-751.64</x:v>
      </x:c>
      <x:c r="R57" s="100" t="n">
        <x:v>1290.25</x:v>
      </x:c>
      <x:c r="S57" s="90" t="n">
        <x:v>8.435454545</x:v>
      </x:c>
      <x:c r="T57" s="90" t="n">
        <x:v>3.57952381</x:v>
      </x:c>
      <x:c r="U57" s="90" t="n">
        <x:v>4.855930736</x:v>
      </x:c>
      <x:c r="V57" s="90" t="n">
        <x:v>1.870039137</x:v>
      </x:c>
      <x:c r="W57" s="90" t="n">
        <x:v>2.985891599</x:v>
      </x:c>
      <x:c r="X57" s="102" t="n">
        <x:v>1.78543479</x:v>
      </x:c>
      <x:c r="Y57" s="102" t="n">
        <x:v>522.7130435</x:v>
      </x:c>
      <x:c r="Z57" s="102" t="n">
        <x:v>12.57069565</x:v>
      </x:c>
      <x:c r="AA57" s="102" t="n">
        <x:v>2.839278261</x:v>
      </x:c>
      <x:c r="AB57" s="103" t="n">
        <x:v>-0.9384199028</x:v>
      </x:c>
      <x:c r="AC57" s="103" t="n">
        <x:v>-0.8052634607</x:v>
      </x:c>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83" t="str">
        <x:v>2010-04</x:v>
      </x:c>
      <x:c r="B58" s="99" t="n">
        <x:v>1937.449</x:v>
      </x:c>
      <x:c r="C58" s="99" t="n">
        <x:v>164.62</x:v>
      </x:c>
      <x:c r="D58" s="99" t="n">
        <x:v>317.54</x:v>
      </x:c>
      <x:c r="E58" s="99" t="n">
        <x:v>3887.45</x:v>
      </x:c>
      <x:c r="F58" s="90" t="n">
        <x:v>3.5</x:v>
      </x:c>
      <x:c r="G58" s="90" t="n">
        <x:v>0.2</x:v>
      </x:c>
      <x:c r="H58" s="90" t="n">
        <x:v>3.3</x:v>
      </x:c>
      <x:c r="I58" s="100" t="n">
        <x:v>314.8964864</x:v>
      </x:c>
      <x:c r="J58" s="90" t="n">
        <x:v>3.553742597</x:v>
      </x:c>
      <x:c r="K58" s="90" t="n">
        <x:v>92.63908636</x:v>
      </x:c>
      <x:c r="L58" s="90" t="n">
        <x:v>17.42428571</x:v>
      </x:c>
      <x:c r="M58" s="101" t="n">
        <x:v>0</x:v>
      </x:c>
      <x:c r="N58" s="99" t="n">
        <x:v>25905.52</x:v>
      </x:c>
      <x:c r="O58" s="90" t="n">
        <x:v>172.7727273</x:v>
      </x:c>
      <x:c r="P58" s="90" t="n">
        <x:v>1.727727273</x:v>
      </x:c>
      <x:c r="Q58" s="100" t="n">
        <x:v>-636.67</x:v>
      </x:c>
      <x:c r="R58" s="100" t="n">
        <x:v>1056.83</x:v>
      </x:c>
      <x:c r="S58" s="90" t="n">
        <x:v>8.07</x:v>
      </x:c>
      <x:c r="T58" s="90" t="n">
        <x:v>4.034736842</x:v>
      </x:c>
      <x:c r="U58" s="90" t="n">
        <x:v>4.035263158</x:v>
      </x:c>
      <x:c r="V58" s="90" t="n">
        <x:v>1.999209095</x:v>
      </x:c>
      <x:c r="W58" s="90" t="n">
        <x:v>2.036054063</x:v>
      </x:c>
      <x:c r="X58" s="102" t="n">
        <x:v>1.7595</x:v>
      </x:c>
      <x:c r="Y58" s="102" t="n">
        <x:v>519.775</x:v>
      </x:c>
      <x:c r="Z58" s="102" t="n">
        <x:v>12.24972727</x:v>
      </x:c>
      <x:c r="AA58" s="102" t="n">
        <x:v>2.8398</x:v>
      </x:c>
      <x:c r="AB58" s="103" t="n">
        <x:v>-0.6159872758</x:v>
      </x:c>
      <x:c r="AC58" s="103" t="n">
        <x:v>-0.4558311011</x:v>
      </x:c>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83" t="str">
        <x:v>2010-05</x:v>
      </x:c>
      <x:c r="B59" s="99" t="n">
        <x:v>1983.593226</x:v>
      </x:c>
      <x:c r="C59" s="99" t="n">
        <x:v>155.44</x:v>
      </x:c>
      <x:c r="D59" s="99" t="n">
        <x:v>329.87</x:v>
      </x:c>
      <x:c r="E59" s="99" t="n">
        <x:v>3875.7</x:v>
      </x:c>
      <x:c r="F59" s="90" t="n">
        <x:v>3.032258065</x:v>
      </x:c>
      <x:c r="G59" s="90" t="n">
        <x:v>0.2</x:v>
      </x:c>
      <x:c r="H59" s="90" t="n">
        <x:v>2.832258065</x:v>
      </x:c>
      <x:c r="I59" s="100" t="n">
        <x:v>-1793.193985</x:v>
      </x:c>
      <x:c r="J59" s="90" t="n">
        <x:v>3.538401375</x:v>
      </x:c>
      <x:c r="K59" s="90" t="n">
        <x:v>95.53064</x:v>
      </x:c>
      <x:c r="L59" s="90" t="n">
        <x:v>31.9295</x:v>
      </x:c>
      <x:c r="M59" s="101" t="n">
        <x:v>0</x:v>
      </x:c>
      <x:c r="N59" s="99" t="n">
        <x:v>25933.86</x:v>
      </x:c>
      <x:c r="O59" s="90" t="n">
        <x:v>231.047619</x:v>
      </x:c>
      <x:c r="P59" s="90" t="n">
        <x:v>2.31047619</x:v>
      </x:c>
      <x:c r="Q59" s="100" t="n">
        <x:v>-764.96</x:v>
      </x:c>
      <x:c r="R59" s="100" t="n">
        <x:v>893.4</x:v>
      </x:c>
      <x:c r="S59" s="90" t="n">
        <x:v>7.8595</x:v>
      </x:c>
      <x:c r="T59" s="90" t="n">
        <x:v>4.047368421</x:v>
      </x:c>
      <x:c r="U59" s="90" t="n">
        <x:v>3.812131579</x:v>
      </x:c>
      <x:c r="V59" s="90" t="n">
        <x:v>1.754359984</x:v>
      </x:c>
      <x:c r="W59" s="90" t="n">
        <x:v>2.057771595</x:v>
      </x:c>
      <x:c r="X59" s="102" t="n">
        <x:v>1.813714294</x:v>
      </x:c>
      <x:c r="Y59" s="102" t="n">
        <x:v>533.3666667</x:v>
      </x:c>
      <x:c r="Z59" s="102" t="n">
        <x:v>12.7382381</x:v>
      </x:c>
      <x:c r="AA59" s="102" t="n">
        <x:v>2.845452381</x:v>
      </x:c>
      <x:c r="AB59" s="103" t="n">
        <x:v>0.9632611718</x:v>
      </x:c>
      <x:c r="AC59" s="103" t="n">
        <x:v>0.7649034159</x:v>
      </x:c>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83" t="str">
        <x:v>2010-06</x:v>
      </x:c>
      <x:c r="B60" s="99" t="n">
        <x:v>1926.846</x:v>
      </x:c>
      <x:c r="C60" s="99" t="n">
        <x:v>160.18</x:v>
      </x:c>
      <x:c r="D60" s="99" t="n">
        <x:v>319.07</x:v>
      </x:c>
      <x:c r="E60" s="99" t="n">
        <x:v>3881.69</x:v>
      </x:c>
      <x:c r="F60" s="90" t="n">
        <x:v>3</x:v>
      </x:c>
      <x:c r="G60" s="90" t="n">
        <x:v>0.18</x:v>
      </x:c>
      <x:c r="H60" s="90" t="n">
        <x:v>2.82</x:v>
      </x:c>
      <x:c r="I60" s="100" t="n">
        <x:v>-3600.618051</x:v>
      </x:c>
      <x:c r="J60" s="90" t="n">
        <x:v>3.831127284</x:v>
      </x:c>
      <x:c r="K60" s="90" t="n">
        <x:v>96.06062727</x:v>
      </x:c>
      <x:c r="L60" s="90" t="n">
        <x:v>29.91636364</x:v>
      </x:c>
      <x:c r="M60" s="101" t="n">
        <x:v>0</x:v>
      </x:c>
      <x:c r="N60" s="99" t="n">
        <x:v>26402.22</x:v>
      </x:c>
      <x:c r="O60" s="90" t="n">
        <x:v>223.0454545</x:v>
      </x:c>
      <x:c r="P60" s="90" t="n">
        <x:v>2.230454545</x:v>
      </x:c>
      <x:c r="Q60" s="100" t="n">
        <x:v>-987.02</x:v>
      </x:c>
      <x:c r="R60" s="100" t="n">
        <x:v>1647.53</x:v>
      </x:c>
      <x:c r="S60" s="90" t="n">
        <x:v>7.6075</x:v>
      </x:c>
      <x:c r="T60" s="90" t="n">
        <x:v>3.884736842</x:v>
      </x:c>
      <x:c r="U60" s="90" t="n">
        <x:v>3.722763158</x:v>
      </x:c>
      <x:c r="V60" s="90" t="n">
        <x:v>1.543190907</x:v>
      </x:c>
      <x:c r="W60" s="90" t="n">
        <x:v>2.179572251</x:v>
      </x:c>
      <x:c r="X60" s="102" t="n">
        <x:v>1.805318182</x:v>
      </x:c>
      <x:c r="Y60" s="102" t="n">
        <x:v>537.4727273</x:v>
      </x:c>
      <x:c r="Z60" s="102" t="n">
        <x:v>12.717</x:v>
      </x:c>
      <x:c r="AA60" s="102" t="n">
        <x:v>2.83802</x:v>
      </x:c>
      <x:c r="AB60" s="103" t="n">
        <x:v>-0.06941040029</x:v>
      </x:c>
      <x:c r="AC60" s="103" t="n">
        <x:v>-0.1021988389</x:v>
      </x:c>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83" t="str">
        <x:v>2010-07</x:v>
      </x:c>
      <x:c r="B61" s="99" t="n">
        <x:v>1874.41129</x:v>
      </x:c>
      <x:c r="C61" s="99" t="n">
        <x:v>155.63</x:v>
      </x:c>
      <x:c r="D61" s="99" t="n">
        <x:v>341.59</x:v>
      </x:c>
      <x:c r="E61" s="99" t="n">
        <x:v>3908.81</x:v>
      </x:c>
      <x:c r="F61" s="90" t="n">
        <x:v>3</x:v>
      </x:c>
      <x:c r="G61" s="90" t="n">
        <x:v>0.18</x:v>
      </x:c>
      <x:c r="H61" s="90" t="n">
        <x:v>2.82</x:v>
      </x:c>
      <x:c r="I61" s="100" t="n">
        <x:v>-2150.40688</x:v>
      </x:c>
      <x:c r="J61" s="90" t="n">
        <x:v>3.723117998</x:v>
      </x:c>
      <x:c r="K61" s="90" t="n">
        <x:v>94.45469048</x:v>
      </x:c>
      <x:c r="L61" s="90" t="n">
        <x:v>25.5652381</x:v>
      </x:c>
      <x:c r="M61" s="101" t="n">
        <x:v>0</x:v>
      </x:c>
      <x:c r="N61" s="99" t="n">
        <x:v>26665.02</x:v>
      </x:c>
      <x:c r="O61" s="90" t="n">
        <x:v>199.0454545</x:v>
      </x:c>
      <x:c r="P61" s="90" t="n">
        <x:v>1.990454545</x:v>
      </x:c>
      <x:c r="Q61" s="100" t="n">
        <x:v>-1028.52</x:v>
      </x:c>
      <x:c r="R61" s="100" t="n">
        <x:v>1358.97</x:v>
      </x:c>
      <x:c r="S61" s="90" t="n">
        <x:v>7.229</x:v>
      </x:c>
      <x:c r="T61" s="90" t="n">
        <x:v>3.3095</x:v>
      </x:c>
      <x:c r="U61" s="90" t="n">
        <x:v>3.9195</x:v>
      </x:c>
      <x:c r="V61" s="90" t="n">
        <x:v>1.310180942</x:v>
      </x:c>
      <x:c r="W61" s="90" t="n">
        <x:v>2.609319058</x:v>
      </x:c>
      <x:c r="X61" s="102" t="n">
        <x:v>1.76931818</x:v>
      </x:c>
      <x:c r="Y61" s="102" t="n">
        <x:v>530.2136364</x:v>
      </x:c>
      <x:c r="Z61" s="102" t="n">
        <x:v>12.8205</x:v>
      </x:c>
      <x:c r="AA61" s="102" t="n">
        <x:v>2.823015789</x:v>
      </x:c>
      <x:c r="AB61" s="103" t="n">
        <x:v>-0.3588252628</x:v>
      </x:c>
      <x:c r="AC61" s="103" t="n">
        <x:v>-0.3732728373</x:v>
      </x:c>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83" t="str">
        <x:v>2010-08</x:v>
      </x:c>
      <x:c r="B62" s="99" t="n">
        <x:v>1821.200645</x:v>
      </x:c>
      <x:c r="C62" s="99" t="n">
        <x:v>158.98</x:v>
      </x:c>
      <x:c r="D62" s="99" t="n">
        <x:v>337</x:v>
      </x:c>
      <x:c r="E62" s="99" t="n">
        <x:v>3941.76</x:v>
      </x:c>
      <x:c r="F62" s="90" t="n">
        <x:v>3</x:v>
      </x:c>
      <x:c r="G62" s="90" t="n">
        <x:v>0.19</x:v>
      </x:c>
      <x:c r="H62" s="90" t="n">
        <x:v>2.81</x:v>
      </x:c>
      <x:c r="I62" s="100" t="n">
        <x:v>134.6172056</x:v>
      </x:c>
      <x:c r="J62" s="90" t="n">
        <x:v>3.835619272</x:v>
      </x:c>
      <x:c r="K62" s="90" t="n">
        <x:v>93.68223182</x:v>
      </x:c>
      <x:c r="L62" s="90" t="n">
        <x:v>24.74590909</x:v>
      </x:c>
      <x:c r="M62" s="101" t="n">
        <x:v>0</x:v>
      </x:c>
      <x:c r="N62" s="99" t="n">
        <x:v>26701.9</x:v>
      </x:c>
      <x:c r="O62" s="90" t="n">
        <x:v>165.7727273</x:v>
      </x:c>
      <x:c r="P62" s="90" t="n">
        <x:v>1.657727273</x:v>
      </x:c>
      <x:c r="Q62" s="100" t="n">
        <x:v>-900.77</x:v>
      </x:c>
      <x:c r="R62" s="100" t="n">
        <x:v>998.17</x:v>
      </x:c>
      <x:c r="S62" s="90" t="n">
        <x:v>6.921904762</x:v>
      </x:c>
      <x:c r="T62" s="90" t="n">
        <x:v>3.147222222</x:v>
      </x:c>
      <x:c r="U62" s="90" t="n">
        <x:v>3.77468254</x:v>
      </x:c>
      <x:c r="V62" s="90" t="n">
        <x:v>1.219454532</x:v>
      </x:c>
      <x:c r="W62" s="90" t="n">
        <x:v>2.555228007</x:v>
      </x:c>
      <x:c r="X62" s="102" t="n">
        <x:v>1.758727279</x:v>
      </x:c>
      <x:c r="Y62" s="102" t="n">
        <x:v>508.0090909</x:v>
      </x:c>
      <x:c r="Z62" s="102" t="n">
        <x:v>12.76863636</x:v>
      </x:c>
      <x:c r="AA62" s="102" t="n">
        <x:v>2.801847619</x:v>
      </x:c>
      <x:c r="AB62" s="103" t="n">
        <x:v>-0.740102386</x:v>
      </x:c>
      <x:c r="AC62" s="103" t="n">
        <x:v>-0.7039985068</x:v>
      </x:c>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83" t="str">
        <x:v>2010-09</x:v>
      </x:c>
      <x:c r="B63" s="99" t="n">
        <x:v>1805.772333</x:v>
      </x:c>
      <x:c r="C63" s="99" t="n">
        <x:v>158.74</x:v>
      </x:c>
      <x:c r="D63" s="99" t="n">
        <x:v>330.33</x:v>
      </x:c>
      <x:c r="E63" s="99" t="n">
        <x:v>3958.39</x:v>
      </x:c>
      <x:c r="F63" s="90" t="n">
        <x:v>3</x:v>
      </x:c>
      <x:c r="G63" s="90" t="n">
        <x:v>0.19</x:v>
      </x:c>
      <x:c r="H63" s="90" t="n">
        <x:v>2.81</x:v>
      </x:c>
      <x:c r="I63" s="100" t="n">
        <x:v>424.749597</x:v>
      </x:c>
      <x:c r="J63" s="90" t="n">
        <x:v>3.519088865</x:v>
      </x:c>
      <x:c r="K63" s="90" t="n">
        <x:v>92.76259524</x:v>
      </x:c>
      <x:c r="L63" s="90" t="n">
        <x:v>22.51761905</x:v>
      </x:c>
      <x:c r="M63" s="101" t="n">
        <x:v>0</x:v>
      </x:c>
      <x:c r="N63" s="99" t="n">
        <x:v>27286.08</x:v>
      </x:c>
      <x:c r="O63" s="90" t="n">
        <x:v>175.7727273</x:v>
      </x:c>
      <x:c r="P63" s="90" t="n">
        <x:v>1.757727273</x:v>
      </x:c>
      <x:c r="Q63" s="100" t="n">
        <x:v>-1120.01</x:v>
      </x:c>
      <x:c r="R63" s="100" t="n">
        <x:v>1716.03</x:v>
      </x:c>
      <x:c r="S63" s="90" t="n">
        <x:v>6.744545455</x:v>
      </x:c>
      <x:c r="T63" s="90" t="n">
        <x:v>2.988095238</x:v>
      </x:c>
      <x:c r="U63" s="90" t="n">
        <x:v>3.756450216</x:v>
      </x:c>
      <x:c r="V63" s="90" t="n">
        <x:v>1.219790476</x:v>
      </x:c>
      <x:c r="W63" s="90" t="n">
        <x:v>2.536659741</x:v>
      </x:c>
      <x:c r="X63" s="102" t="n">
        <x:v>1.717727271</x:v>
      </x:c>
      <x:c r="Y63" s="102" t="n">
        <x:v>493.4136364</x:v>
      </x:c>
      <x:c r="Z63" s="102" t="n">
        <x:v>12.803</x:v>
      </x:c>
      <x:c r="AA63" s="102" t="n">
        <x:v>2.790590909</x:v>
      </x:c>
      <x:c r="AB63" s="103" t="n">
        <x:v>-0.6491606132</x:v>
      </x:c>
      <x:c r="AC63" s="103" t="n">
        <x:v>-0.565376246</x:v>
      </x:c>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83" t="str">
        <x:v>2010-10</x:v>
      </x:c>
      <x:c r="B64" s="99" t="n">
        <x:v>1808.607097</x:v>
      </x:c>
      <x:c r="C64" s="99" t="n">
        <x:v>163.94</x:v>
      </x:c>
      <x:c r="D64" s="99" t="n">
        <x:v>343.74</x:v>
      </x:c>
      <x:c r="E64" s="99" t="n">
        <x:v>3967.21</x:v>
      </x:c>
      <x:c r="F64" s="90" t="n">
        <x:v>3</x:v>
      </x:c>
      <x:c r="G64" s="90" t="n">
        <x:v>0.19</x:v>
      </x:c>
      <x:c r="H64" s="90" t="n">
        <x:v>2.81</x:v>
      </x:c>
      <x:c r="I64" s="100" t="n">
        <x:v>-2495.162226</x:v>
      </x:c>
      <x:c r="J64" s="90" t="n">
        <x:v>3.296175502</x:v>
      </x:c>
      <x:c r="K64" s="90" t="n">
        <x:v>90.22912</x:v>
      </x:c>
      <x:c r="L64" s="90" t="n">
        <x:v>20.37333333</x:v>
      </x:c>
      <x:c r="M64" s="101" t="n">
        <x:v>0</x:v>
      </x:c>
      <x:c r="N64" s="99" t="n">
        <x:v>27838.86</x:v>
      </x:c>
      <x:c r="O64" s="90" t="n">
        <x:v>158.1428571</x:v>
      </x:c>
      <x:c r="P64" s="90" t="n">
        <x:v>1.581428571</x:v>
      </x:c>
      <x:c r="Q64" s="100" t="n">
        <x:v>-942.47</x:v>
      </x:c>
      <x:c r="R64" s="100" t="n">
        <x:v>1600.73</x:v>
      </x:c>
      <x:c r="S64" s="90" t="n">
        <x:v>6.5605</x:v>
      </x:c>
      <x:c r="T64" s="90" t="n">
        <x:v>3.052</x:v>
      </x:c>
      <x:c r="U64" s="90" t="n">
        <x:v>3.5085</x:v>
      </x:c>
      <x:c r="V64" s="90" t="n">
        <x:v>1.476570004</x:v>
      </x:c>
      <x:c r="W64" s="90" t="n">
        <x:v>2.031929996</x:v>
      </x:c>
      <x:c r="X64" s="102" t="n">
        <x:v>1.683904761</x:v>
      </x:c>
      <x:c r="Y64" s="102" t="n">
        <x:v>484.6142857</x:v>
      </x:c>
      <x:c r="Z64" s="102" t="n">
        <x:v>12.44404762</x:v>
      </x:c>
      <x:c r="AA64" s="102" t="n">
        <x:v>2.79163</x:v>
      </x:c>
      <x:c r="AB64" s="103" t="n">
        <x:v>-0.8488139257</x:v>
      </x:c>
      <x:c r="AC64" s="103" t="n">
        <x:v>-0.6266588473</x:v>
      </x:c>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83" t="str">
        <x:v>2010-11</x:v>
      </x:c>
      <x:c r="B65" s="99" t="n">
        <x:v>1862.994</x:v>
      </x:c>
      <x:c r="C65" s="99" t="n">
        <x:v>166.7</x:v>
      </x:c>
      <x:c r="D65" s="99" t="n">
        <x:v>360.89</x:v>
      </x:c>
      <x:c r="E65" s="99" t="n">
        <x:v>3987.23</x:v>
      </x:c>
      <x:c r="F65" s="90" t="n">
        <x:v>3</x:v>
      </x:c>
      <x:c r="G65" s="90" t="n">
        <x:v>0.19</x:v>
      </x:c>
      <x:c r="H65" s="90" t="n">
        <x:v>2.81</x:v>
      </x:c>
      <x:c r="I65" s="100" t="n">
        <x:v>-2609.406444</x:v>
      </x:c>
      <x:c r="J65" s="90" t="n">
        <x:v>3.142361823</x:v>
      </x:c>
      <x:c r="K65" s="90" t="n">
        <x:v>90.509535</x:v>
      </x:c>
      <x:c r="L65" s="90" t="n">
        <x:v>20.09571429</x:v>
      </x:c>
      <x:c r="M65" s="101" t="n">
        <x:v>0</x:v>
      </x:c>
      <x:c r="N65" s="99" t="n">
        <x:v>27871.06</x:v>
      </x:c>
      <x:c r="O65" s="90" t="n">
        <x:v>151.6363636</x:v>
      </x:c>
      <x:c r="P65" s="90" t="n">
        <x:v>1.516363636</x:v>
      </x:c>
      <x:c r="Q65" s="100" t="n">
        <x:v>-935.16</x:v>
      </x:c>
      <x:c r="R65" s="100" t="n">
        <x:v>859.07</x:v>
      </x:c>
      <x:c r="S65" s="90" t="n">
        <x:v>6.665</x:v>
      </x:c>
      <x:c r="T65" s="90" t="n">
        <x:v>3.047647059</x:v>
      </x:c>
      <x:c r="U65" s="90" t="n">
        <x:v>3.617352941</x:v>
      </x:c>
      <x:c r="V65" s="90" t="n">
        <x:v>1.541384989</x:v>
      </x:c>
      <x:c r="W65" s="90" t="n">
        <x:v>2.075967952</x:v>
      </x:c>
      <x:c r="X65" s="102" t="n">
        <x:v>1.713499996</x:v>
      </x:c>
      <x:c r="Y65" s="102" t="n">
        <x:v>482.5886364</x:v>
      </x:c>
      <x:c r="Z65" s="102" t="n">
        <x:v>12.33477273</x:v>
      </x:c>
      <x:c r="AA65" s="102" t="n">
        <x:v>2.805819048</x:v>
      </x:c>
      <x:c r="AB65" s="103" t="n">
        <x:v>-0.1024320116</x:v>
      </x:c>
      <x:c r="AC65" s="103" t="n">
        <x:v>0.02761029498</x:v>
      </x:c>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83" t="str">
        <x:v>2010-12</x:v>
      </x:c>
      <x:c r="B66" s="99" t="n">
        <x:v>1922.33129</x:v>
      </x:c>
      <x:c r="C66" s="99" t="n">
        <x:v>167.94</x:v>
      </x:c>
      <x:c r="D66" s="99" t="n">
        <x:v>416.74</x:v>
      </x:c>
      <x:c r="E66" s="99" t="n">
        <x:v>3996.34</x:v>
      </x:c>
      <x:c r="F66" s="90" t="n">
        <x:v>3</x:v>
      </x:c>
      <x:c r="G66" s="90" t="n">
        <x:v>0.18</x:v>
      </x:c>
      <x:c r="H66" s="90" t="n">
        <x:v>2.82</x:v>
      </x:c>
      <x:c r="I66" s="100" t="n">
        <x:v>-9971.978206</x:v>
      </x:c>
      <x:c r="J66" s="90" t="n">
        <x:v>3.863366127</x:v>
      </x:c>
      <x:c r="K66" s="90" t="n">
        <x:v>91.18347143</x:v>
      </x:c>
      <x:c r="L66" s="90" t="n">
        <x:v>17.56954545</x:v>
      </x:c>
      <x:c r="M66" s="101" t="n">
        <x:v>0</x:v>
      </x:c>
      <x:c r="N66" s="99" t="n">
        <x:v>28451.84</x:v>
      </x:c>
      <x:c r="O66" s="90" t="n">
        <x:v>160.7391304</x:v>
      </x:c>
      <x:c r="P66" s="90" t="n">
        <x:v>1.607391304</x:v>
      </x:c>
      <x:c r="Q66" s="100" t="n">
        <x:v>-1117.54</x:v>
      </x:c>
      <x:c r="R66" s="100" t="n">
        <x:v>2157.34</x:v>
      </x:c>
      <x:c r="S66" s="90" t="n">
        <x:v>7.146666667</x:v>
      </x:c>
      <x:c r="T66" s="90" t="n">
        <x:v>2.864736842</x:v>
      </x:c>
      <x:c r="U66" s="90" t="n">
        <x:v>4.281929825</x:v>
      </x:c>
      <x:c r="V66" s="90" t="n">
        <x:v>1.747586359</x:v>
      </x:c>
      <x:c r="W66" s="90" t="n">
        <x:v>2.534343466</x:v>
      </x:c>
      <x:c r="X66" s="102" t="n">
        <x:v>1.693173906</x:v>
      </x:c>
      <x:c r="Y66" s="102" t="n">
        <x:v>473.523913</x:v>
      </x:c>
      <x:c r="Z66" s="102" t="n">
        <x:v>12.38904348</x:v>
      </x:c>
      <x:c r="AA66" s="102" t="n">
        <x:v>2.815455</x:v>
      </x:c>
      <x:c r="AB66" s="103" t="n">
        <x:v>-0.3956209811</x:v>
      </x:c>
      <x:c r="AC66" s="103" t="n">
        <x:v>-0.2252961463</x:v>
      </x:c>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83" t="str">
        <x:v>2011-01</x:v>
      </x:c>
      <x:c r="B67" s="99" t="n">
        <x:v>1867.076774</x:v>
      </x:c>
      <x:c r="C67" s="99" t="n">
        <x:v>168.24</x:v>
      </x:c>
      <x:c r="D67" s="99" t="n">
        <x:v>291.37</x:v>
      </x:c>
      <x:c r="E67" s="99" t="n">
        <x:v>4022.4</x:v>
      </x:c>
      <x:c r="F67" s="90" t="n">
        <x:v>3</x:v>
      </x:c>
      <x:c r="G67" s="90" t="n">
        <x:v>0.17</x:v>
      </x:c>
      <x:c r="H67" s="90" t="n">
        <x:v>2.83</x:v>
      </x:c>
      <x:c r="I67" s="100" t="n">
        <x:v>4073.462465</x:v>
      </x:c>
      <x:c r="J67" s="90" t="n">
        <x:v>3.08770208</x:v>
      </x:c>
      <x:c r="K67" s="90" t="n">
        <x:v>90.11122</x:v>
      </x:c>
      <x:c r="L67" s="90" t="n">
        <x:v>17.3155</x:v>
      </x:c>
      <x:c r="M67" s="101" t="n">
        <x:v>0</x:v>
      </x:c>
      <x:c r="N67" s="99" t="n">
        <x:v>28896.21</x:v>
      </x:c>
      <x:c r="O67" s="90" t="n">
        <x:v>145.7619048</x:v>
      </x:c>
      <x:c r="P67" s="90" t="n">
        <x:v>1.457619048</x:v>
      </x:c>
      <x:c r="Q67" s="100" t="n">
        <x:v>-1190.37</x:v>
      </x:c>
      <x:c r="R67" s="100" t="n">
        <x:v>1665.29</x:v>
      </x:c>
      <x:c r="S67" s="90" t="n">
        <x:v>7.557</x:v>
      </x:c>
      <x:c r="T67" s="90" t="n">
        <x:v>2.694</x:v>
      </x:c>
      <x:c r="U67" s="90" t="n">
        <x:v>4.863</x:v>
      </x:c>
      <x:c r="V67" s="90" t="n">
        <x:v>1.98001501</x:v>
      </x:c>
      <x:c r="W67" s="90" t="n">
        <x:v>2.88298499</x:v>
      </x:c>
      <x:c r="X67" s="102" t="n">
        <x:v>1.67485714</x:v>
      </x:c>
      <x:c r="Y67" s="102" t="n">
        <x:v>490.2095238</x:v>
      </x:c>
      <x:c r="Z67" s="102" t="n">
        <x:v>12.1236619</x:v>
      </x:c>
      <x:c r="AA67" s="102" t="n">
        <x:v>2.786671429</x:v>
      </x:c>
      <x:c r="AB67" s="103" t="n">
        <x:v>-0.02879319328</x:v>
      </x:c>
      <x:c r="AC67" s="103" t="n">
        <x:v>-0.2258149193</x:v>
      </x:c>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83" t="str">
        <x:v>2011-02</x:v>
      </x:c>
      <x:c r="B68" s="99" t="n">
        <x:v>1882.371429</x:v>
      </x:c>
      <x:c r="C68" s="99" t="n">
        <x:v>173.53</x:v>
      </x:c>
      <x:c r="D68" s="99" t="n">
        <x:v>320.09</x:v>
      </x:c>
      <x:c r="E68" s="99" t="n">
        <x:v>4069.29</x:v>
      </x:c>
      <x:c r="F68" s="90" t="n">
        <x:v>3.008928571</x:v>
      </x:c>
      <x:c r="G68" s="90" t="n">
        <x:v>0.16</x:v>
      </x:c>
      <x:c r="H68" s="90" t="n">
        <x:v>2.848928571</x:v>
      </x:c>
      <x:c r="I68" s="100" t="n">
        <x:v>-788.2202759</x:v>
      </x:c>
      <x:c r="J68" s="90" t="n">
        <x:v>3.142188177</x:v>
      </x:c>
      <x:c r="K68" s="90" t="n">
        <x:v>89.39668947</x:v>
      </x:c>
      <x:c r="L68" s="90" t="n">
        <x:v>17.43</x:v>
      </x:c>
      <x:c r="M68" s="101" t="n">
        <x:v>0</x:v>
      </x:c>
      <x:c r="N68" s="99" t="n">
        <x:v>29311.9</x:v>
      </x:c>
      <x:c r="O68" s="90" t="n">
        <x:v>150.95</x:v>
      </x:c>
      <x:c r="P68" s="90" t="n">
        <x:v>1.5095</x:v>
      </x:c>
      <x:c r="Q68" s="100" t="n">
        <x:v>-806.14</x:v>
      </x:c>
      <x:c r="R68" s="100" t="n">
        <x:v>1029.76</x:v>
      </x:c>
      <x:c r="S68" s="90" t="n">
        <x:v>7.9305</x:v>
      </x:c>
      <x:c r="T68" s="90" t="n">
        <x:v>3.0285</x:v>
      </x:c>
      <x:c r="U68" s="90" t="n">
        <x:v>4.902</x:v>
      </x:c>
      <x:c r="V68" s="90" t="n">
        <x:v>2.127331571</x:v>
      </x:c>
      <x:c r="W68" s="90" t="n">
        <x:v>2.774668429</x:v>
      </x:c>
      <x:c r="X68" s="102" t="n">
        <x:v>1.666649991</x:v>
      </x:c>
      <x:c r="Y68" s="102" t="n">
        <x:v>474.815</x:v>
      </x:c>
      <x:c r="Z68" s="102" t="n">
        <x:v>12.06545</x:v>
      </x:c>
      <x:c r="AA68" s="102" t="n">
        <x:v>2.77041</x:v>
      </x:c>
      <x:c r="AB68" s="103" t="n">
        <x:v>-0.6035450963</x:v>
      </x:c>
      <x:c r="AC68" s="103" t="n">
        <x:v>-0.5679079487</x:v>
      </x:c>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83" t="str">
        <x:v>2011-03</x:v>
      </x:c>
      <x:c r="B69" s="99" t="n">
        <x:v>1881.814839</x:v>
      </x:c>
      <x:c r="C69" s="99" t="n">
        <x:v>184.97</x:v>
      </x:c>
      <x:c r="D69" s="99" t="n">
        <x:v>359.04</x:v>
      </x:c>
      <x:c r="E69" s="99" t="n">
        <x:v>4067.27</x:v>
      </x:c>
      <x:c r="F69" s="90" t="n">
        <x:v>3.330645161</x:v>
      </x:c>
      <x:c r="G69" s="90" t="n">
        <x:v>0.14</x:v>
      </x:c>
      <x:c r="H69" s="90" t="n">
        <x:v>3.190645161</x:v>
      </x:c>
      <x:c r="I69" s="100" t="n">
        <x:v>468.7181054</x:v>
      </x:c>
      <x:c r="J69" s="90" t="n">
        <x:v>2.906603181</x:v>
      </x:c>
      <x:c r="K69" s="90" t="n">
        <x:v>88.48722609</x:v>
      </x:c>
      <x:c r="L69" s="90" t="n">
        <x:v>20.72347826</x:v>
      </x:c>
      <x:c r="M69" s="101" t="n">
        <x:v>0</x:v>
      </x:c>
      <x:c r="N69" s="99" t="n">
        <x:v>29846.61</x:v>
      </x:c>
      <x:c r="O69" s="90" t="n">
        <x:v>155.1304348</x:v>
      </x:c>
      <x:c r="P69" s="90" t="n">
        <x:v>1.551304348</x:v>
      </x:c>
      <x:c r="Q69" s="100" t="n">
        <x:v>-1175.09</x:v>
      </x:c>
      <x:c r="R69" s="100" t="n">
        <x:v>1938.43</x:v>
      </x:c>
      <x:c r="S69" s="90" t="n">
        <x:v>7.988636364</x:v>
      </x:c>
      <x:c r="T69" s="90" t="n">
        <x:v>3.502105263</x:v>
      </x:c>
      <x:c r="U69" s="90" t="n">
        <x:v>4.4865311</x:v>
      </x:c>
      <x:c r="V69" s="90" t="n">
        <x:v>2.302900024</x:v>
      </x:c>
      <x:c r="W69" s="90" t="n">
        <x:v>2.183631076</x:v>
      </x:c>
      <x:c r="X69" s="102" t="n">
        <x:v>1.657260874</x:v>
      </x:c>
      <x:c r="Y69" s="102" t="n">
        <x:v>479.3173913</x:v>
      </x:c>
      <x:c r="Z69" s="102" t="n">
        <x:v>11.99795652</x:v>
      </x:c>
      <x:c r="AA69" s="102" t="n">
        <x:v>2.779508696</x:v>
      </x:c>
      <x:c r="AB69" s="103" t="n">
        <x:v>-0.1036843936</x:v>
      </x:c>
      <x:c r="AC69" s="103" t="n">
        <x:v>-0.009351239486</x:v>
      </x:c>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83" t="str">
        <x:v>2011-04</x:v>
      </x:c>
      <x:c r="B70" s="99" t="n">
        <x:v>1809.834</x:v>
      </x:c>
      <x:c r="C70" s="99" t="n">
        <x:v>192.99</x:v>
      </x:c>
      <x:c r="D70" s="99" t="n">
        <x:v>308.01</x:v>
      </x:c>
      <x:c r="E70" s="99" t="n">
        <x:v>4057.74</x:v>
      </x:c>
      <x:c r="F70" s="90" t="n">
        <x:v>3.5</x:v>
      </x:c>
      <x:c r="G70" s="90" t="n">
        <x:v>0.1</x:v>
      </x:c>
      <x:c r="H70" s="90" t="n">
        <x:v>3.4</x:v>
      </x:c>
      <x:c r="I70" s="100" t="n">
        <x:v>3929.227352</x:v>
      </x:c>
      <x:c r="J70" s="90" t="n">
        <x:v>2.322726513</x:v>
      </x:c>
      <x:c r="K70" s="90" t="n">
        <x:v>86.92136667</x:v>
      </x:c>
      <x:c r="L70" s="90" t="n">
        <x:v>16.244</x:v>
      </x:c>
      <x:c r="M70" s="101" t="n">
        <x:v>0</x:v>
      </x:c>
      <x:c r="N70" s="99" t="n">
        <x:v>30555.51</x:v>
      </x:c>
      <x:c r="O70" s="90" t="n">
        <x:v>151.5238095</x:v>
      </x:c>
      <x:c r="P70" s="90" t="n">
        <x:v>1.515238095</x:v>
      </x:c>
      <x:c r="Q70" s="100" t="n">
        <x:v>-1207.35</x:v>
      </x:c>
      <x:c r="R70" s="100" t="n">
        <x:v>2149.83</x:v>
      </x:c>
      <x:c r="S70" s="90" t="n">
        <x:v>7.794736842</x:v>
      </x:c>
      <x:c r="T70" s="90" t="n">
        <x:v>3.724</x:v>
      </x:c>
      <x:c r="U70" s="90" t="n">
        <x:v>4.070736842</x:v>
      </x:c>
      <x:c r="V70" s="90" t="n">
        <x:v>2.426485014</x:v>
      </x:c>
      <x:c r="W70" s="90" t="n">
        <x:v>1.644251828</x:v>
      </x:c>
      <x:c r="X70" s="102" t="n">
        <x:v>1.584190482</x:v>
      </x:c>
      <x:c r="Y70" s="102" t="n">
        <x:v>469.7095238</x:v>
      </x:c>
      <x:c r="Z70" s="102" t="n">
        <x:v>11.70142857</x:v>
      </x:c>
      <x:c r="AA70" s="102" t="n">
        <x:v>2.815842105</x:v>
      </x:c>
      <x:c r="AB70" s="103" t="n">
        <x:v>-1.065286415</x:v>
      </x:c>
      <x:c r="AC70" s="103" t="n">
        <x:v>-0.5352875091</x:v>
      </x:c>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83" t="str">
        <x:v>2011-05</x:v>
      </x:c>
      <x:c r="B71" s="99" t="n">
        <x:v>1800.50871</x:v>
      </x:c>
      <x:c r="C71" s="99" t="n">
        <x:v>188.49</x:v>
      </x:c>
      <x:c r="D71" s="99" t="n">
        <x:v>349.67</x:v>
      </x:c>
      <x:c r="E71" s="99" t="n">
        <x:v>4077.54</x:v>
      </x:c>
      <x:c r="F71" s="90" t="n">
        <x:v>3.75</x:v>
      </x:c>
      <x:c r="G71" s="90" t="n">
        <x:v>0.09</x:v>
      </x:c>
      <x:c r="H71" s="90" t="n">
        <x:v>3.66</x:v>
      </x:c>
      <x:c r="I71" s="100" t="n">
        <x:v>106.1759116</x:v>
      </x:c>
      <x:c r="J71" s="90" t="n">
        <x:v>2.01589302</x:v>
      </x:c>
      <x:c r="K71" s="90" t="n">
        <x:v>86.94640476</x:v>
      </x:c>
      <x:c r="L71" s="90" t="n">
        <x:v>16.91142857</x:v>
      </x:c>
      <x:c r="M71" s="101" t="n">
        <x:v>0</x:v>
      </x:c>
      <x:c r="N71" s="99" t="n">
        <x:v>30811.65</x:v>
      </x:c>
      <x:c r="O71" s="90" t="n">
        <x:v>147.5909091</x:v>
      </x:c>
      <x:c r="P71" s="90" t="n">
        <x:v>1.475909091</x:v>
      </x:c>
      <x:c r="Q71" s="100" t="n">
        <x:v>-1137.89</x:v>
      </x:c>
      <x:c r="R71" s="100" t="n">
        <x:v>1440.63</x:v>
      </x:c>
      <x:c r="S71" s="90" t="n">
        <x:v>7.635909091</x:v>
      </x:c>
      <x:c r="T71" s="90" t="n">
        <x:v>3.661904762</x:v>
      </x:c>
      <x:c r="U71" s="90" t="n">
        <x:v>3.974004329</x:v>
      </x:c>
      <x:c r="V71" s="90" t="n">
        <x:v>2.198523805</x:v>
      </x:c>
      <x:c r="W71" s="90" t="n">
        <x:v>1.775480524</x:v>
      </x:c>
      <x:c r="X71" s="102" t="n">
        <x:v>1.613090911</x:v>
      </x:c>
      <x:c r="Y71" s="102" t="n">
        <x:v>467.8863636</x:v>
      </x:c>
      <x:c r="Z71" s="102" t="n">
        <x:v>11.653</x:v>
      </x:c>
      <x:c r="AA71" s="102" t="n">
        <x:v>2.774390476</x:v>
      </x:c>
      <x:c r="AB71" s="103" t="n">
        <x:v>-0.0367921051</x:v>
      </x:c>
      <x:c r="AC71" s="103" t="n">
        <x:v>-0.3234146804</x:v>
      </x:c>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83" t="str">
        <x:v>2011-06</x:v>
      </x:c>
      <x:c r="B72" s="99" t="n">
        <x:v>1783.159333</x:v>
      </x:c>
      <x:c r="C72" s="99" t="n">
        <x:v>185.71</x:v>
      </x:c>
      <x:c r="D72" s="99" t="n">
        <x:v>326.63</x:v>
      </x:c>
      <x:c r="E72" s="99" t="n">
        <x:v>4085.1</x:v>
      </x:c>
      <x:c r="F72" s="90" t="n">
        <x:v>4.091666667</x:v>
      </x:c>
      <x:c r="G72" s="90" t="n">
        <x:v>0.09</x:v>
      </x:c>
      <x:c r="H72" s="90" t="n">
        <x:v>4.001666667</x:v>
      </x:c>
      <x:c r="I72" s="100" t="n">
        <x:v>206.31011</x:v>
      </x:c>
      <x:c r="J72" s="90" t="n">
        <x:v>1.400903244</x:v>
      </x:c>
      <x:c r="K72" s="90" t="n">
        <x:v>86.94125455</x:v>
      </x:c>
      <x:c r="L72" s="90" t="n">
        <x:v>19.15318182</x:v>
      </x:c>
      <x:c r="M72" s="101" t="n">
        <x:v>0</x:v>
      </x:c>
      <x:c r="N72" s="99" t="n">
        <x:v>31197.83</x:v>
      </x:c>
      <x:c r="O72" s="90" t="n">
        <x:v>144.6363636</x:v>
      </x:c>
      <x:c r="P72" s="90" t="n">
        <x:v>1.446363636</x:v>
      </x:c>
      <x:c r="Q72" s="100" t="n">
        <x:v>-1162.65</x:v>
      </x:c>
      <x:c r="R72" s="100" t="n">
        <x:v>1728.3</x:v>
      </x:c>
      <x:c r="S72" s="90" t="n">
        <x:v>7.2005</x:v>
      </x:c>
      <x:c r="T72" s="90" t="n">
        <x:v>3.427894737</x:v>
      </x:c>
      <x:c r="U72" s="90" t="n">
        <x:v>3.772605263</x:v>
      </x:c>
      <x:c r="V72" s="90" t="n">
        <x:v>1.954959084</x:v>
      </x:c>
      <x:c r="W72" s="90" t="n">
        <x:v>1.817646179</x:v>
      </x:c>
      <x:c r="X72" s="102" t="n">
        <x:v>1.58590909</x:v>
      </x:c>
      <x:c r="Y72" s="102" t="n">
        <x:v>469.4954545</x:v>
      </x:c>
      <x:c r="Z72" s="102" t="n">
        <x:v>11.80381818</x:v>
      </x:c>
      <x:c r="AA72" s="102" t="n">
        <x:v>2.76382381</x:v>
      </x:c>
      <x:c r="AB72" s="103" t="n">
        <x:v>-0.06070425238</x:v>
      </x:c>
      <x:c r="AC72" s="103" t="n">
        <x:v>-0.1198146521</x:v>
      </x:c>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83" t="str">
        <x:v>2011-07</x:v>
      </x:c>
      <x:c r="B73" s="99" t="n">
        <x:v>1761.593871</x:v>
      </x:c>
      <x:c r="C73" s="99" t="n">
        <x:v>185.45</x:v>
      </x:c>
      <x:c r="D73" s="99" t="n">
        <x:v>319.42</x:v>
      </x:c>
      <x:c r="E73" s="99" t="n">
        <x:v>4062.93</x:v>
      </x:c>
      <x:c r="F73" s="90" t="n">
        <x:v>4.25</x:v>
      </x:c>
      <x:c r="G73" s="90" t="n">
        <x:v>0.07</x:v>
      </x:c>
      <x:c r="H73" s="90" t="n">
        <x:v>4.18</x:v>
      </x:c>
      <x:c r="I73" s="100" t="n">
        <x:v>-123.3717723</x:v>
      </x:c>
      <x:c r="J73" s="90" t="n">
        <x:v>1.073446088</x:v>
      </x:c>
      <x:c r="K73" s="90" t="n">
        <x:v>86.317805</x:v>
      </x:c>
      <x:c r="L73" s="90" t="n">
        <x:v>19.2275</x:v>
      </x:c>
      <x:c r="M73" s="101" t="n">
        <x:v>0</x:v>
      </x:c>
      <x:c r="N73" s="99" t="n">
        <x:v>32144.6</x:v>
      </x:c>
      <x:c r="O73" s="90" t="n">
        <x:v>140.7142857</x:v>
      </x:c>
      <x:c r="P73" s="90" t="n">
        <x:v>1.407142857</x:v>
      </x:c>
      <x:c r="Q73" s="100" t="n">
        <x:v>-794.88</x:v>
      </x:c>
      <x:c r="R73" s="100" t="n">
        <x:v>1838.09</x:v>
      </x:c>
      <x:c r="S73" s="90" t="n">
        <x:v>7.075789474</x:v>
      </x:c>
      <x:c r="T73" s="90" t="n">
        <x:v>3.507857143</x:v>
      </x:c>
      <x:c r="U73" s="90" t="n">
        <x:v>3.567932331</x:v>
      </x:c>
      <x:c r="V73" s="90" t="n">
        <x:v>2.05825001</x:v>
      </x:c>
      <x:c r="W73" s="90" t="n">
        <x:v>1.509682321</x:v>
      </x:c>
      <x:c r="X73" s="102" t="n">
        <x:v>1.562238103</x:v>
      </x:c>
      <x:c r="Y73" s="102" t="n">
        <x:v>461.9190476</x:v>
      </x:c>
      <x:c r="Z73" s="102" t="n">
        <x:v>11.669</x:v>
      </x:c>
      <x:c r="AA73" s="102" t="n">
        <x:v>2.741405263</x:v>
      </x:c>
      <x:c r="AB73" s="103" t="n">
        <x:v>-0.5802948451</x:v>
      </x:c>
      <x:c r="AC73" s="103" t="n">
        <x:v>-0.5965692081</x:v>
      </x:c>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83" t="str">
        <x:v>2011-08</x:v>
      </x:c>
      <x:c r="B74" s="99" t="n">
        <x:v>1785.56</x:v>
      </x:c>
      <x:c r="C74" s="99" t="n">
        <x:v>180.66</x:v>
      </x:c>
      <x:c r="D74" s="99" t="n">
        <x:v>369.65</x:v>
      </x:c>
      <x:c r="E74" s="99" t="n">
        <x:v>4095.58</x:v>
      </x:c>
      <x:c r="F74" s="90" t="n">
        <x:v>4.5</x:v>
      </x:c>
      <x:c r="G74" s="90" t="n">
        <x:v>0.1</x:v>
      </x:c>
      <x:c r="H74" s="90" t="n">
        <x:v>4.4</x:v>
      </x:c>
      <x:c r="I74" s="100" t="n">
        <x:v>-3295.813115</x:v>
      </x:c>
      <x:c r="J74" s="90" t="n">
        <x:v>1.627614564</x:v>
      </x:c>
      <x:c r="K74" s="90" t="n">
        <x:v>86.89824348</x:v>
      </x:c>
      <x:c r="L74" s="90" t="n">
        <x:v>35.02913043</x:v>
      </x:c>
      <x:c r="M74" s="101" t="n">
        <x:v>0</x:v>
      </x:c>
      <x:c r="N74" s="99" t="n">
        <x:v>32355.27</x:v>
      </x:c>
      <x:c r="O74" s="90" t="n">
        <x:v>170.826087</x:v>
      </x:c>
      <x:c r="P74" s="90" t="n">
        <x:v>1.70826087</x:v>
      </x:c>
      <x:c r="Q74" s="100" t="n">
        <x:v>-829.45</x:v>
      </x:c>
      <x:c r="R74" s="100" t="n">
        <x:v>877.22</x:v>
      </x:c>
      <x:c r="S74" s="90" t="n">
        <x:v>6.763181818</x:v>
      </x:c>
      <x:c r="T74" s="90" t="n">
        <x:v>3.344210526</x:v>
      </x:c>
      <x:c r="U74" s="90" t="n">
        <x:v>3.418971292</x:v>
      </x:c>
      <x:c r="V74" s="90" t="n">
        <x:v>1.762778251</x:v>
      </x:c>
      <x:c r="W74" s="90" t="n">
        <x:v>1.656193041</x:v>
      </x:c>
      <x:c r="X74" s="102" t="n">
        <x:v>1.595739121</x:v>
      </x:c>
      <x:c r="Y74" s="102" t="n">
        <x:v>466.6369565</x:v>
      </x:c>
      <x:c r="Z74" s="102" t="n">
        <x:v>12.231</x:v>
      </x:c>
      <x:c r="AA74" s="102" t="n">
        <x:v>2.739519048</x:v>
      </x:c>
      <x:c r="AB74" s="103" t="n">
        <x:v>0.7798503499</x:v>
      </x:c>
      <x:c r="AC74" s="103" t="n">
        <x:v>0.5735079299</x:v>
      </x:c>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83" t="str">
        <x:v>2011-09</x:v>
      </x:c>
      <x:c r="B75" s="99" t="n">
        <x:v>1833.319667</x:v>
      </x:c>
      <x:c r="C75" s="99" t="n">
        <x:v>186.69</x:v>
      </x:c>
      <x:c r="D75" s="99" t="n">
        <x:v>339.35</x:v>
      </x:c>
      <x:c r="E75" s="99" t="n">
        <x:v>4104.6</x:v>
      </x:c>
      <x:c r="F75" s="90" t="n">
        <x:v>4.5</x:v>
      </x:c>
      <x:c r="G75" s="90" t="n">
        <x:v>0.08</x:v>
      </x:c>
      <x:c r="H75" s="90" t="n">
        <x:v>4.42</x:v>
      </x:c>
      <x:c r="I75" s="100" t="n">
        <x:v>1273.770036</x:v>
      </x:c>
      <x:c r="J75" s="90" t="n">
        <x:v>1.490459654</x:v>
      </x:c>
      <x:c r="K75" s="90" t="n">
        <x:v>89.72526667</x:v>
      </x:c>
      <x:c r="L75" s="90" t="n">
        <x:v>36.53</x:v>
      </x:c>
      <x:c r="M75" s="101" t="n">
        <x:v>0</x:v>
      </x:c>
      <x:c r="N75" s="99" t="n">
        <x:v>32434.11</x:v>
      </x:c>
      <x:c r="O75" s="90" t="n">
        <x:v>214.8181818</x:v>
      </x:c>
      <x:c r="P75" s="90" t="n">
        <x:v>2.148181818</x:v>
      </x:c>
      <x:c r="Q75" s="100" t="n">
        <x:v>-575.03</x:v>
      </x:c>
      <x:c r="R75" s="100" t="n">
        <x:v>595.68</x:v>
      </x:c>
      <x:c r="S75" s="90" t="n">
        <x:v>6.550909091</x:v>
      </x:c>
      <x:c r="T75" s="90" t="n">
        <x:v>3.203529412</x:v>
      </x:c>
      <x:c r="U75" s="90" t="n">
        <x:v>3.347379679</x:v>
      </x:c>
      <x:c r="V75" s="90" t="n">
        <x:v>1.567080941</x:v>
      </x:c>
      <x:c r="W75" s="90" t="n">
        <x:v>1.780298739</x:v>
      </x:c>
      <x:c r="X75" s="102" t="n">
        <x:v>1.749954538</x:v>
      </x:c>
      <x:c r="Y75" s="102" t="n">
        <x:v>486.3363636</x:v>
      </x:c>
      <x:c r="Z75" s="102" t="n">
        <x:v>13.05427273</x:v>
      </x:c>
      <x:c r="AA75" s="102" t="n">
        <x:v>2.74415</x:v>
      </x:c>
      <x:c r="AB75" s="103" t="n">
        <x:v>2.031721955</x:v>
      </x:c>
      <x:c r="AC75" s="103" t="n">
        <x:v>1.560226337</x:v>
      </x:c>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83" t="str">
        <x:v>2011-10</x:v>
      </x:c>
      <x:c r="B76" s="99" t="n">
        <x:v>1907.609032</x:v>
      </x:c>
      <x:c r="C76" s="99" t="n">
        <x:v>185.34</x:v>
      </x:c>
      <x:c r="D76" s="99" t="n">
        <x:v>351.16</x:v>
      </x:c>
      <x:c r="E76" s="99" t="n">
        <x:v>4112.02</x:v>
      </x:c>
      <x:c r="F76" s="90" t="n">
        <x:v>4.5</x:v>
      </x:c>
      <x:c r="G76" s="90" t="n">
        <x:v>0.07</x:v>
      </x:c>
      <x:c r="H76" s="90" t="n">
        <x:v>4.43</x:v>
      </x:c>
      <x:c r="I76" s="100" t="n">
        <x:v>-3200.593164</x:v>
      </x:c>
      <x:c r="J76" s="90" t="n">
        <x:v>1.604418414</x:v>
      </x:c>
      <x:c r="K76" s="90" t="n">
        <x:v>90.609845</x:v>
      </x:c>
      <x:c r="L76" s="90" t="n">
        <x:v>32.82904762</x:v>
      </x:c>
      <x:c r="M76" s="101" t="n">
        <x:v>0</x:v>
      </x:c>
      <x:c r="N76" s="99" t="n">
        <x:v>32739.02</x:v>
      </x:c>
      <x:c r="O76" s="90" t="n">
        <x:v>207.0952381</x:v>
      </x:c>
      <x:c r="P76" s="90" t="n">
        <x:v>2.070952381</x:v>
      </x:c>
      <x:c r="Q76" s="100" t="n">
        <x:v>-771.61</x:v>
      </x:c>
      <x:c r="R76" s="100" t="n">
        <x:v>1156.01</x:v>
      </x:c>
      <x:c r="S76" s="90" t="n">
        <x:v>6.891</x:v>
      </x:c>
      <x:c r="T76" s="90" t="n">
        <x:v>3.232352941</x:v>
      </x:c>
      <x:c r="U76" s="90" t="n">
        <x:v>3.658647059</x:v>
      </x:c>
      <x:c r="V76" s="90" t="n">
        <x:v>1.625824988</x:v>
      </x:c>
      <x:c r="W76" s="90" t="n">
        <x:v>2.032822071</x:v>
      </x:c>
      <x:c r="X76" s="102" t="n">
        <x:v>1.772285722</x:v>
      </x:c>
      <x:c r="Y76" s="102" t="n">
        <x:v>509.1928571</x:v>
      </x:c>
      <x:c r="Z76" s="102" t="n">
        <x:v>13.43847619</x:v>
      </x:c>
      <x:c r="AA76" s="102" t="n">
        <x:v>2.73113</x:v>
      </x:c>
      <x:c r="AB76" s="103" t="n">
        <x:v>0.9328167599</x:v>
      </x:c>
      <x:c r="AC76" s="103" t="n">
        <x:v>0.6064194266</x:v>
      </x:c>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83" t="str">
        <x:v>2011-11</x:v>
      </x:c>
      <x:c r="B77" s="99" t="n">
        <x:v>1919.475</x:v>
      </x:c>
      <x:c r="C77" s="99" t="n">
        <x:v>191.56</x:v>
      </x:c>
      <x:c r="D77" s="99" t="n">
        <x:v>354.01</x:v>
      </x:c>
      <x:c r="E77" s="99" t="n">
        <x:v>4105.14</x:v>
      </x:c>
      <x:c r="F77" s="90" t="n">
        <x:v>4.525</x:v>
      </x:c>
      <x:c r="G77" s="90" t="n">
        <x:v>0.08</x:v>
      </x:c>
      <x:c r="H77" s="90" t="n">
        <x:v>4.445</x:v>
      </x:c>
      <x:c r="I77" s="100" t="n">
        <x:v>-9099.518621</x:v>
      </x:c>
      <x:c r="J77" s="90" t="n">
        <x:v>2.652862846</x:v>
      </x:c>
      <x:c r="K77" s="90" t="n">
        <x:v>91.26488</x:v>
      </x:c>
      <x:c r="L77" s="90" t="n">
        <x:v>31.94190476</x:v>
      </x:c>
      <x:c r="M77" s="101" t="n">
        <x:v>0</x:v>
      </x:c>
      <x:c r="N77" s="99" t="n">
        <x:v>32588.96</x:v>
      </x:c>
      <x:c r="O77" s="90" t="n">
        <x:v>197.0454545</x:v>
      </x:c>
      <x:c r="P77" s="90" t="n">
        <x:v>1.970454545</x:v>
      </x:c>
      <x:c r="Q77" s="100" t="n">
        <x:v>-523.34</x:v>
      </x:c>
      <x:c r="R77" s="100" t="n">
        <x:v>239.96</x:v>
      </x:c>
      <x:c r="S77" s="90" t="n">
        <x:v>7.0495</x:v>
      </x:c>
      <x:c r="T77" s="90" t="n">
        <x:v>3.002105263</x:v>
      </x:c>
      <x:c r="U77" s="90" t="n">
        <x:v>4.047394737</x:v>
      </x:c>
      <x:c r="V77" s="90" t="n">
        <x:v>1.758014995</x:v>
      </x:c>
      <x:c r="W77" s="90" t="n">
        <x:v>2.289379742</x:v>
      </x:c>
      <x:c r="X77" s="102" t="n">
        <x:v>1.786136367</x:v>
      </x:c>
      <x:c r="Y77" s="102" t="n">
        <x:v>508.6477273</x:v>
      </x:c>
      <x:c r="Z77" s="102" t="n">
        <x:v>13.69709091</x:v>
      </x:c>
      <x:c r="AA77" s="102" t="n">
        <x:v>2.705104762</x:v>
      </x:c>
      <x:c r="AB77" s="103" t="n">
        <x:v>0.1826083147</x:v>
      </x:c>
      <x:c r="AC77" s="103" t="n">
        <x:v>-0.05315976247</x:v>
      </x:c>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83" t="str">
        <x:v>2011-12</x:v>
      </x:c>
      <x:c r="B78" s="99" t="n">
        <x:v>1933.35129</x:v>
      </x:c>
      <x:c r="C78" s="99" t="n">
        <x:v>183.64</x:v>
      </x:c>
      <x:c r="D78" s="99" t="n">
        <x:v>375.7</x:v>
      </x:c>
      <x:c r="E78" s="99" t="n">
        <x:v>4064.1</x:v>
      </x:c>
      <x:c r="F78" s="90" t="n">
        <x:v>4.75</x:v>
      </x:c>
      <x:c r="G78" s="90" t="n">
        <x:v>0.07</x:v>
      </x:c>
      <x:c r="H78" s="90" t="n">
        <x:v>4.68</x:v>
      </x:c>
      <x:c r="I78" s="100" t="n">
        <x:v>-11056.86197</x:v>
      </x:c>
      <x:c r="J78" s="90" t="n">
        <x:v>2.82812027</x:v>
      </x:c>
      <x:c r="K78" s="90" t="n">
        <x:v>92.20559048</x:v>
      </x:c>
      <x:c r="L78" s="90" t="n">
        <x:v>25.04761905</x:v>
      </x:c>
      <x:c r="M78" s="101" t="n">
        <x:v>0</x:v>
      </x:c>
      <x:c r="N78" s="99" t="n">
        <x:v>32300.44</x:v>
      </x:c>
      <x:c r="O78" s="90" t="n">
        <x:v>187.1363636</x:v>
      </x:c>
      <x:c r="P78" s="90" t="n">
        <x:v>1.871363636</x:v>
      </x:c>
      <x:c r="Q78" s="100" t="n">
        <x:v>-870.63</x:v>
      </x:c>
      <x:c r="R78" s="100" t="n">
        <x:v>615.38</x:v>
      </x:c>
      <x:c r="S78" s="90" t="n">
        <x:v>7.0905</x:v>
      </x:c>
      <x:c r="T78" s="90" t="n">
        <x:v>2.998333333</x:v>
      </x:c>
      <x:c r="U78" s="90" t="n">
        <x:v>4.092166667</x:v>
      </x:c>
      <x:c r="V78" s="90" t="n">
        <x:v>1.722495244</x:v>
      </x:c>
      <x:c r="W78" s="90" t="n">
        <x:v>2.369671423</x:v>
      </x:c>
      <x:c r="X78" s="102" t="n">
        <x:v>1.837681825</x:v>
      </x:c>
      <x:c r="Y78" s="102" t="n">
        <x:v>516.8840909</x:v>
      </x:c>
      <x:c r="Z78" s="102" t="n">
        <x:v>13.76968182</x:v>
      </x:c>
      <x:c r="AA78" s="102" t="n">
        <x:v>2.696178947</x:v>
      </x:c>
      <x:c r="AB78" s="103" t="n">
        <x:v>0.4194774238</x:v>
      </x:c>
      <x:c r="AC78" s="103" t="n">
        <x:v>0.2505962464</x:v>
      </x:c>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83" t="str">
        <x:v>2012-01</x:v>
      </x:c>
      <x:c r="B79" s="99" t="n">
        <x:v>1853.282258</x:v>
      </x:c>
      <x:c r="C79" s="99" t="n">
        <x:v>188.84</x:v>
      </x:c>
      <x:c r="D79" s="99" t="n">
        <x:v>294.54</x:v>
      </x:c>
      <x:c r="E79" s="99" t="n">
        <x:v>4067.27</x:v>
      </x:c>
      <x:c r="F79" s="90" t="n">
        <x:v>4.758064516</x:v>
      </x:c>
      <x:c r="G79" s="90" t="n">
        <x:v>0.08</x:v>
      </x:c>
      <x:c r="H79" s="90" t="n">
        <x:v>4.678064516</x:v>
      </x:c>
      <x:c r="I79" s="100" t="n">
        <x:v>3977.500343</x:v>
      </x:c>
      <x:c r="J79" s="90" t="n">
        <x:v>2.641034086</x:v>
      </x:c>
      <x:c r="K79" s="90" t="n">
        <x:v>91.646265</x:v>
      </x:c>
      <x:c r="L79" s="90" t="n">
        <x:v>20.228</x:v>
      </x:c>
      <x:c r="M79" s="101" t="n">
        <x:v>0</x:v>
      </x:c>
      <x:c r="N79" s="99" t="n">
        <x:v>32518.33</x:v>
      </x:c>
      <x:c r="O79" s="90" t="n">
        <x:v>197.1363636</x:v>
      </x:c>
      <x:c r="P79" s="90" t="n">
        <x:v>1.971363636</x:v>
      </x:c>
      <x:c r="Q79" s="100" t="n">
        <x:v>-918.67</x:v>
      </x:c>
      <x:c r="R79" s="100" t="n">
        <x:v>1248.34</x:v>
      </x:c>
      <x:c r="S79" s="90" t="n">
        <x:v>6.962857143</x:v>
      </x:c>
      <x:c r="T79" s="90" t="n">
        <x:v>2.852222222</x:v>
      </x:c>
      <x:c r="U79" s="90" t="n">
        <x:v>4.110634921</x:v>
      </x:c>
      <x:c r="V79" s="90" t="n">
        <x:v>1.799820006</x:v>
      </x:c>
      <x:c r="W79" s="90" t="n">
        <x:v>2.310814915</x:v>
      </x:c>
      <x:c r="X79" s="102" t="n">
        <x:v>1.788272733</x:v>
      </x:c>
      <x:c r="Y79" s="102" t="n">
        <x:v>499.7409091</x:v>
      </x:c>
      <x:c r="Z79" s="102" t="n">
        <x:v>13.40286364</x:v>
      </x:c>
      <x:c r="AA79" s="102" t="n">
        <x:v>2.6925</x:v>
      </x:c>
      <x:c r="AB79" s="103" t="n">
        <x:v>-1.095017501</x:v>
      </x:c>
      <x:c r="AC79" s="103" t="n">
        <x:v>-0.8462626431</x:v>
      </x:c>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83" t="str">
        <x:v>2012-02</x:v>
      </x:c>
      <x:c r="B80" s="99" t="n">
        <x:v>1782.754828</x:v>
      </x:c>
      <x:c r="C80" s="99" t="n">
        <x:v>191.26</x:v>
      </x:c>
      <x:c r="D80" s="99" t="n">
        <x:v>302.52</x:v>
      </x:c>
      <x:c r="E80" s="99" t="n">
        <x:v>4049.7</x:v>
      </x:c>
      <x:c r="F80" s="90" t="n">
        <x:v>5.025862069</x:v>
      </x:c>
      <x:c r="G80" s="90" t="n">
        <x:v>0.1</x:v>
      </x:c>
      <x:c r="H80" s="90" t="n">
        <x:v>4.925862069</x:v>
      </x:c>
      <x:c r="I80" s="100" t="n">
        <x:v>-372.308152</x:v>
      </x:c>
      <x:c r="J80" s="90" t="n">
        <x:v>2.578632323</x:v>
      </x:c>
      <x:c r="K80" s="90" t="n">
        <x:v>89.9605</x:v>
      </x:c>
      <x:c r="L80" s="90" t="n">
        <x:v>18.4205</x:v>
      </x:c>
      <x:c r="M80" s="101" t="n">
        <x:v>0</x:v>
      </x:c>
      <x:c r="N80" s="99" t="n">
        <x:v>32818.29</x:v>
      </x:c>
      <x:c r="O80" s="90" t="n">
        <x:v>175.5714286</x:v>
      </x:c>
      <x:c r="P80" s="90" t="n">
        <x:v>1.755714286</x:v>
      </x:c>
      <x:c r="Q80" s="100" t="n">
        <x:v>-651.4</x:v>
      </x:c>
      <x:c r="R80" s="100" t="n">
        <x:v>909.95</x:v>
      </x:c>
      <x:c r="S80" s="90" t="n">
        <x:v>6.967619048</x:v>
      </x:c>
      <x:c r="T80" s="90" t="n">
        <x:v>2.997894737</x:v>
      </x:c>
      <x:c r="U80" s="90" t="n">
        <x:v>3.969724311</x:v>
      </x:c>
      <x:c r="V80" s="90" t="n">
        <x:v>2.037274992</x:v>
      </x:c>
      <x:c r="W80" s="90" t="n">
        <x:v>1.932449318</x:v>
      </x:c>
      <x:c r="X80" s="102" t="n">
        <x:v>1.715619042</x:v>
      </x:c>
      <x:c r="Y80" s="102" t="n">
        <x:v>480.8690476</x:v>
      </x:c>
      <x:c r="Z80" s="102" t="n">
        <x:v>12.77552381</x:v>
      </x:c>
      <x:c r="AA80" s="102" t="n">
        <x:v>2.683271429</x:v>
      </x:c>
      <x:c r="AB80" s="103" t="n">
        <x:v>-1.534431971</x:v>
      </x:c>
      <x:c r="AC80" s="103" t="n">
        <x:v>-1.217416785</x:v>
      </x:c>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83" t="str">
        <x:v>2012-03</x:v>
      </x:c>
      <x:c r="B81" s="99" t="n">
        <x:v>1766.331613</x:v>
      </x:c>
      <x:c r="C81" s="99" t="n">
        <x:v>193.11</x:v>
      </x:c>
      <x:c r="D81" s="99" t="n">
        <x:v>338.47</x:v>
      </x:c>
      <x:c r="E81" s="99" t="n">
        <x:v>4029.13</x:v>
      </x:c>
      <x:c r="F81" s="90" t="n">
        <x:v>5.25</x:v>
      </x:c>
      <x:c r="G81" s="90" t="n">
        <x:v>0.13</x:v>
      </x:c>
      <x:c r="H81" s="90" t="n">
        <x:v>5.12</x:v>
      </x:c>
      <x:c r="I81" s="100" t="n">
        <x:v>-598.6766777</x:v>
      </x:c>
      <x:c r="J81" s="90" t="n">
        <x:v>2.738779895</x:v>
      </x:c>
      <x:c r="K81" s="90" t="n">
        <x:v>90.51121364</x:v>
      </x:c>
      <x:c r="L81" s="90" t="n">
        <x:v>16.16727273</x:v>
      </x:c>
      <x:c r="M81" s="101" t="n">
        <x:v>0</x:v>
      </x:c>
      <x:c r="N81" s="99" t="n">
        <x:v>33121.74</x:v>
      </x:c>
      <x:c r="O81" s="90" t="n">
        <x:v>149.0909091</x:v>
      </x:c>
      <x:c r="P81" s="90" t="n">
        <x:v>1.490909091</x:v>
      </x:c>
      <x:c r="Q81" s="100" t="n">
        <x:v>-570.85</x:v>
      </x:c>
      <x:c r="R81" s="100" t="n">
        <x:v>888.26</x:v>
      </x:c>
      <x:c r="S81" s="90" t="n">
        <x:v>6.788095238</x:v>
      </x:c>
      <x:c r="T81" s="90" t="n">
        <x:v>3.228888889</x:v>
      </x:c>
      <x:c r="U81" s="90" t="n">
        <x:v>3.559206349</x:v>
      </x:c>
      <x:c r="V81" s="90" t="n">
        <x:v>2.17007727</x:v>
      </x:c>
      <x:c r="W81" s="90" t="n">
        <x:v>1.389129079</x:v>
      </x:c>
      <x:c r="X81" s="102" t="n">
        <x:v>1.794590912</x:v>
      </x:c>
      <x:c r="Y81" s="102" t="n">
        <x:v>485.6181818</x:v>
      </x:c>
      <x:c r="Z81" s="102" t="n">
        <x:v>12.74281818</x:v>
      </x:c>
      <x:c r="AA81" s="102" t="n">
        <x:v>2.670872727</x:v>
      </x:c>
      <x:c r="AB81" s="103" t="n">
        <x:v>0.3981916376</x:v>
      </x:c>
      <x:c r="AC81" s="103" t="n">
        <x:v>0.2079542913</x:v>
      </x:c>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83" t="str">
        <x:v>2012-04</x:v>
      </x:c>
      <x:c r="B82" s="99" t="n">
        <x:v>1774.249</x:v>
      </x:c>
      <x:c r="C82" s="99" t="n">
        <x:v>189.48</x:v>
      </x:c>
      <x:c r="D82" s="99" t="n">
        <x:v>330.6</x:v>
      </x:c>
      <x:c r="E82" s="99" t="n">
        <x:v>4051.72</x:v>
      </x:c>
      <x:c r="F82" s="90" t="n">
        <x:v>5.25</x:v>
      </x:c>
      <x:c r="G82" s="90" t="n">
        <x:v>0.14</x:v>
      </x:c>
      <x:c r="H82" s="90" t="n">
        <x:v>5.11</x:v>
      </x:c>
      <x:c r="I82" s="100" t="n">
        <x:v>9730.221583</x:v>
      </x:c>
      <x:c r="J82" s="90" t="n">
        <x:v>1.86842231</x:v>
      </x:c>
      <x:c r="K82" s="90" t="n">
        <x:v>90.81560952</x:v>
      </x:c>
      <x:c r="L82" s="90" t="n">
        <x:v>17.823</x:v>
      </x:c>
      <x:c r="M82" s="101" t="n">
        <x:v>0</x:v>
      </x:c>
      <x:c r="N82" s="99" t="n">
        <x:v>33554.52</x:v>
      </x:c>
      <x:c r="O82" s="90" t="n">
        <x:v>147.4761905</x:v>
      </x:c>
      <x:c r="P82" s="90" t="n">
        <x:v>1.474761905</x:v>
      </x:c>
      <x:c r="Q82" s="100" t="n">
        <x:v>-507.33</x:v>
      </x:c>
      <x:c r="R82" s="100" t="n">
        <x:v>989.56</x:v>
      </x:c>
      <x:c r="S82" s="90" t="n">
        <x:v>6.592631579</x:v>
      </x:c>
      <x:c r="T82" s="90" t="n">
        <x:v>3.293529412</x:v>
      </x:c>
      <x:c r="U82" s="90" t="n">
        <x:v>3.299102167</x:v>
      </x:c>
      <x:c r="V82" s="90" t="n">
        <x:v>2.065314282</x:v>
      </x:c>
      <x:c r="W82" s="90" t="n">
        <x:v>1.233787886</x:v>
      </x:c>
      <x:c r="X82" s="102" t="n">
        <x:v>1.852952389</x:v>
      </x:c>
      <x:c r="Y82" s="102" t="n">
        <x:v>485.4452381</x:v>
      </x:c>
      <x:c r="Z82" s="102" t="n">
        <x:v>13.05628571</x:v>
      </x:c>
      <x:c r="AA82" s="102" t="n">
        <x:v>2.656622222</x:v>
      </x:c>
      <x:c r="AB82" s="103" t="n">
        <x:v>0.4744600182</x:v>
      </x:c>
      <x:c r="AC82" s="103" t="n">
        <x:v>0.2507070853</x:v>
      </x:c>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83" t="str">
        <x:v>2012-05</x:v>
      </x:c>
      <x:c r="B83" s="99" t="n">
        <x:v>1793.276774</x:v>
      </x:c>
      <x:c r="C83" s="99" t="n">
        <x:v>172.38</x:v>
      </x:c>
      <x:c r="D83" s="99" t="n">
        <x:v>354.33</x:v>
      </x:c>
      <x:c r="E83" s="99" t="n">
        <x:v>4056.38</x:v>
      </x:c>
      <x:c r="F83" s="90" t="n">
        <x:v>5.25</x:v>
      </x:c>
      <x:c r="G83" s="90" t="n">
        <x:v>0.16</x:v>
      </x:c>
      <x:c r="H83" s="90" t="n">
        <x:v>5.09</x:v>
      </x:c>
      <x:c r="I83" s="100" t="n">
        <x:v>777.0797026</x:v>
      </x:c>
      <x:c r="J83" s="90" t="n">
        <x:v>1.767762633</x:v>
      </x:c>
      <x:c r="K83" s="90" t="n">
        <x:v>92.49278636</x:v>
      </x:c>
      <x:c r="L83" s="90" t="n">
        <x:v>21.00181818</x:v>
      </x:c>
      <x:c r="M83" s="101" t="n">
        <x:v>0</x:v>
      </x:c>
      <x:c r="N83" s="99" t="n">
        <x:v>33669.15</x:v>
      </x:c>
      <x:c r="O83" s="90" t="n">
        <x:v>174.3043478</x:v>
      </x:c>
      <x:c r="P83" s="90" t="n">
        <x:v>1.743043478</x:v>
      </x:c>
      <x:c r="Q83" s="100" t="n">
        <x:v>-416.53</x:v>
      </x:c>
      <x:c r="R83" s="100" t="n">
        <x:v>496.59</x:v>
      </x:c>
      <x:c r="S83" s="90" t="n">
        <x:v>6.642857143</x:v>
      </x:c>
      <x:c r="T83" s="90" t="n">
        <x:v>3.336666667</x:v>
      </x:c>
      <x:c r="U83" s="90" t="n">
        <x:v>3.306190476</x:v>
      </x:c>
      <x:c r="V83" s="90" t="n">
        <x:v>1.931013644</x:v>
      </x:c>
      <x:c r="W83" s="90" t="n">
        <x:v>1.375176832</x:v>
      </x:c>
      <x:c r="X83" s="102" t="n">
        <x:v>1.98134783</x:v>
      </x:c>
      <x:c r="Y83" s="102" t="n">
        <x:v>498.226087</x:v>
      </x:c>
      <x:c r="Z83" s="102" t="n">
        <x:v>13.62604348</x:v>
      </x:c>
      <x:c r="AA83" s="102" t="n">
        <x:v>2.669736364</x:v>
      </x:c>
      <x:c r="AB83" s="103" t="n">
        <x:v>1.341861733</x:v>
      </x:c>
      <x:c r="AC83" s="103" t="n">
        <x:v>1.107902435</x:v>
      </x:c>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83" t="str">
        <x:v>2012-06</x:v>
      </x:c>
      <x:c r="B84" s="99" t="n">
        <x:v>1792.546667</x:v>
      </x:c>
      <x:c r="C84" s="99" t="n">
        <x:v>160.51</x:v>
      </x:c>
      <x:c r="D84" s="99" t="n">
        <x:v>319.67</x:v>
      </x:c>
      <x:c r="E84" s="99" t="n">
        <x:v>4049.42</x:v>
      </x:c>
      <x:c r="F84" s="90" t="n">
        <x:v>5.25</x:v>
      </x:c>
      <x:c r="G84" s="90" t="n">
        <x:v>0.16</x:v>
      </x:c>
      <x:c r="H84" s="90" t="n">
        <x:v>5.09</x:v>
      </x:c>
      <x:c r="I84" s="100" t="n">
        <x:v>2603.840731</x:v>
      </x:c>
      <x:c r="J84" s="90" t="n">
        <x:v>1.408046888</x:v>
      </x:c>
      <x:c r="K84" s="90" t="n">
        <x:v>93.88086667</x:v>
      </x:c>
      <x:c r="L84" s="90" t="n">
        <x:v>21.13095238</x:v>
      </x:c>
      <x:c r="M84" s="101" t="n">
        <x:v>0</x:v>
      </x:c>
      <x:c r="N84" s="99" t="n">
        <x:v>34265.53</x:v>
      </x:c>
      <x:c r="O84" s="90" t="n">
        <x:v>172.7619048</x:v>
      </x:c>
      <x:c r="P84" s="90" t="n">
        <x:v>1.727619048</x:v>
      </x:c>
      <x:c r="Q84" s="100" t="n">
        <x:v>-488.08</x:v>
      </x:c>
      <x:c r="R84" s="100" t="n">
        <x:v>1266.02</x:v>
      </x:c>
      <x:c r="S84" s="90" t="n">
        <x:v>6.504736842</x:v>
      </x:c>
      <x:c r="T84" s="90" t="n">
        <x:v>3.328333333</x:v>
      </x:c>
      <x:c r="U84" s="90" t="n">
        <x:v>3.176403509</x:v>
      </x:c>
      <x:c r="V84" s="90" t="n">
        <x:v>1.782585717</x:v>
      </x:c>
      <x:c r="W84" s="90" t="n">
        <x:v>1.393817791</x:v>
      </x:c>
      <x:c r="X84" s="102" t="n">
        <x:v>2.048904759</x:v>
      </x:c>
      <x:c r="Y84" s="102" t="n">
        <x:v>504.3857143</x:v>
      </x:c>
      <x:c r="Z84" s="102" t="n">
        <x:v>13.9137619</x:v>
      </x:c>
      <x:c r="AA84" s="102" t="n">
        <x:v>2.67096</x:v>
      </x:c>
      <x:c r="AB84" s="103" t="n">
        <x:v>0.6053731685</x:v>
      </x:c>
      <x:c r="AC84" s="103" t="n">
        <x:v>0.4657101043</x:v>
      </x:c>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83" t="str">
        <x:v>2012-07</x:v>
      </x:c>
      <x:c r="B85" s="99" t="n">
        <x:v>1783.820323</x:v>
      </x:c>
      <x:c r="C85" s="99" t="n">
        <x:v>162.14</x:v>
      </x:c>
      <x:c r="D85" s="99" t="n">
        <x:v>330.39</x:v>
      </x:c>
      <x:c r="E85" s="99" t="n">
        <x:v>4060.39</x:v>
      </x:c>
      <x:c r="F85" s="90" t="n">
        <x:v>5.233870968</x:v>
      </x:c>
      <x:c r="G85" s="90" t="n">
        <x:v>0.16</x:v>
      </x:c>
      <x:c r="H85" s="90" t="n">
        <x:v>5.073870968</x:v>
      </x:c>
      <x:c r="I85" s="100" t="n">
        <x:v>-739.9800067</x:v>
      </x:c>
      <x:c r="J85" s="90" t="n">
        <x:v>1.500560281</x:v>
      </x:c>
      <x:c r="K85" s="90" t="n">
        <x:v>93.40616667</x:v>
      </x:c>
      <x:c r="L85" s="90" t="n">
        <x:v>17.5652381</x:v>
      </x:c>
      <x:c r="M85" s="101" t="n">
        <x:v>0</x:v>
      </x:c>
      <x:c r="N85" s="99" t="n">
        <x:v>34712.56</x:v>
      </x:c>
      <x:c r="O85" s="90" t="n">
        <x:v>150.9545455</x:v>
      </x:c>
      <x:c r="P85" s="90" t="n">
        <x:v>1.509545455</x:v>
      </x:c>
      <x:c r="Q85" s="100" t="n">
        <x:v>-510.66</x:v>
      </x:c>
      <x:c r="R85" s="100" t="n">
        <x:v>1098.05</x:v>
      </x:c>
      <x:c r="S85" s="90" t="n">
        <x:v>6.223</x:v>
      </x:c>
      <x:c r="T85" s="90" t="n">
        <x:v>3.334375</x:v>
      </x:c>
      <x:c r="U85" s="90" t="n">
        <x:v>2.888625</x:v>
      </x:c>
      <x:c r="V85" s="90" t="n">
        <x:v>1.783238104</x:v>
      </x:c>
      <x:c r="W85" s="90" t="n">
        <x:v>1.105386896</x:v>
      </x:c>
      <x:c r="X85" s="102" t="n">
        <x:v>2.027727268</x:v>
      </x:c>
      <x:c r="Y85" s="102" t="n">
        <x:v>490.9340909</x:v>
      </x:c>
      <x:c r="Z85" s="102" t="n">
        <x:v>13.35668182</x:v>
      </x:c>
      <x:c r="AA85" s="102" t="n">
        <x:v>2.634985714</x:v>
      </x:c>
      <x:c r="AB85" s="103" t="n">
        <x:v>-1.023997101</x:v>
      </x:c>
      <x:c r="AC85" s="103" t="n">
        <x:v>-1.038272808</x:v>
      </x:c>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83" t="str">
        <x:v>2012-08</x:v>
      </x:c>
      <x:c r="B86" s="99" t="n">
        <x:v>1805.523226</x:v>
      </x:c>
      <x:c r="C86" s="99" t="n">
        <x:v>155.67</x:v>
      </x:c>
      <x:c r="D86" s="99" t="n">
        <x:v>346.78</x:v>
      </x:c>
      <x:c r="E86" s="99" t="n">
        <x:v>4037.52</x:v>
      </x:c>
      <x:c r="F86" s="90" t="n">
        <x:v>4.959677419</x:v>
      </x:c>
      <x:c r="G86" s="90" t="n">
        <x:v>0.13</x:v>
      </x:c>
      <x:c r="H86" s="90" t="n">
        <x:v>4.829677419</x:v>
      </x:c>
      <x:c r="I86" s="100" t="n">
        <x:v>-3395.703087</x:v>
      </x:c>
      <x:c r="J86" s="90" t="n">
        <x:v>1.515547366</x:v>
      </x:c>
      <x:c r="K86" s="90" t="n">
        <x:v>92.52826522</x:v>
      </x:c>
      <x:c r="L86" s="90" t="n">
        <x:v>15.68956522</x:v>
      </x:c>
      <x:c r="M86" s="101" t="n">
        <x:v>0</x:v>
      </x:c>
      <x:c r="N86" s="99" t="n">
        <x:v>35270.04</x:v>
      </x:c>
      <x:c r="O86" s="90" t="n">
        <x:v>128.7826087</x:v>
      </x:c>
      <x:c r="P86" s="90" t="n">
        <x:v>1.287826087</x:v>
      </x:c>
      <x:c r="Q86" s="100" t="n">
        <x:v>-387.72</x:v>
      </x:c>
      <x:c r="R86" s="100" t="n">
        <x:v>867.16</x:v>
      </x:c>
      <x:c r="S86" s="90" t="n">
        <x:v>5.871904762</x:v>
      </x:c>
      <x:c r="T86" s="90" t="n">
        <x:v>3.06</x:v>
      </x:c>
      <x:c r="U86" s="90" t="n">
        <x:v>2.811904762</x:v>
      </x:c>
      <x:c r="V86" s="90" t="n">
        <x:v>1.941217391</x:v>
      </x:c>
      <x:c r="W86" s="90" t="n">
        <x:v>0.8706873705</x:v>
      </x:c>
      <x:c r="X86" s="102" t="n">
        <x:v>2.027913031</x:v>
      </x:c>
      <x:c r="Y86" s="102" t="n">
        <x:v>480.8956522</x:v>
      </x:c>
      <x:c r="Z86" s="102" t="n">
        <x:v>13.178</x:v>
      </x:c>
      <x:c r="AA86" s="102" t="n">
        <x:v>2.61587619</x:v>
      </x:c>
      <x:c r="AB86" s="103" t="n">
        <x:v>-0.5212470283</x:v>
      </x:c>
      <x:c r="AC86" s="103" t="n">
        <x:v>-0.5348684544</x:v>
      </x:c>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83" t="str">
        <x:v>2012-09</x:v>
      </x:c>
      <x:c r="B87" s="99" t="n">
        <x:v>1802.746333</x:v>
      </x:c>
      <x:c r="C87" s="99" t="n">
        <x:v>169.21</x:v>
      </x:c>
      <x:c r="D87" s="99" t="n">
        <x:v>313.1</x:v>
      </x:c>
      <x:c r="E87" s="99" t="n">
        <x:v>4011.27</x:v>
      </x:c>
      <x:c r="F87" s="90" t="n">
        <x:v>4.75</x:v>
      </x:c>
      <x:c r="G87" s="90" t="n">
        <x:v>0.14</x:v>
      </x:c>
      <x:c r="H87" s="90" t="n">
        <x:v>4.61</x:v>
      </x:c>
      <x:c r="I87" s="100" t="n">
        <x:v>590.9353321</x:v>
      </x:c>
      <x:c r="J87" s="90" t="n">
        <x:v>1.617997108</x:v>
      </x:c>
      <x:c r="K87" s="90" t="n">
        <x:v>90.9802</x:v>
      </x:c>
      <x:c r="L87" s="90" t="n">
        <x:v>15.28473684</x:v>
      </x:c>
      <x:c r="M87" s="101" t="n">
        <x:v>0</x:v>
      </x:c>
      <x:c r="N87" s="99" t="n">
        <x:v>35829.46</x:v>
      </x:c>
      <x:c r="O87" s="90" t="n">
        <x:v>126.5</x:v>
      </x:c>
      <x:c r="P87" s="90" t="n">
        <x:v>1.265</x:v>
      </x:c>
      <x:c r="Q87" s="100" t="n">
        <x:v>-419.47</x:v>
      </x:c>
      <x:c r="R87" s="100" t="n">
        <x:v>998.32</x:v>
      </x:c>
      <x:c r="S87" s="90" t="n">
        <x:v>5.797</x:v>
      </x:c>
      <x:c r="T87" s="90" t="n">
        <x:v>2.645789474</x:v>
      </x:c>
      <x:c r="U87" s="90" t="n">
        <x:v>3.151210526</x:v>
      </x:c>
      <x:c r="V87" s="90" t="n">
        <x:v>2.172694721</x:v>
      </x:c>
      <x:c r="W87" s="90" t="n">
        <x:v>0.9785158056</x:v>
      </x:c>
      <x:c r="X87" s="102" t="n">
        <x:v>2.02650001</x:v>
      </x:c>
      <x:c r="Y87" s="102" t="n">
        <x:v>473.5725</x:v>
      </x:c>
      <x:c r="Z87" s="102" t="n">
        <x:v>12.9339</x:v>
      </x:c>
      <x:c r="AA87" s="102" t="n">
        <x:v>2.60267</x:v>
      </x:c>
      <x:c r="AB87" s="103" t="n">
        <x:v>-0.5246747376</x:v>
      </x:c>
      <x:c r="AC87" s="103" t="n">
        <x:v>-0.4928404222</x:v>
      </x:c>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83" t="str">
        <x:v>2012-10</x:v>
      </x:c>
      <x:c r="B88" s="99" t="n">
        <x:v>1804.400968</x:v>
      </x:c>
      <x:c r="C88" s="99" t="n">
        <x:v>170.07</x:v>
      </x:c>
      <x:c r="D88" s="99" t="n">
        <x:v>353.61</x:v>
      </x:c>
      <x:c r="E88" s="99" t="n">
        <x:v>4013.72</x:v>
      </x:c>
      <x:c r="F88" s="90" t="n">
        <x:v>4.75</x:v>
      </x:c>
      <x:c r="G88" s="90" t="n">
        <x:v>0.16</x:v>
      </x:c>
      <x:c r="H88" s="90" t="n">
        <x:v>4.59</x:v>
      </x:c>
      <x:c r="I88" s="100" t="n">
        <x:v>-5623.009116</x:v>
      </x:c>
      <x:c r="J88" s="90" t="n">
        <x:v>1.981446547</x:v>
      </x:c>
      <x:c r="K88" s="90" t="n">
        <x:v>90.75663</x:v>
      </x:c>
      <x:c r="L88" s="90" t="n">
        <x:v>16.27619048</x:v>
      </x:c>
      <x:c r="M88" s="101" t="n">
        <x:v>0</x:v>
      </x:c>
      <x:c r="N88" s="99" t="n">
        <x:v>36395.33</x:v>
      </x:c>
      <x:c r="O88" s="90" t="n">
        <x:v>110.6521739</x:v>
      </x:c>
      <x:c r="P88" s="90" t="n">
        <x:v>1.106521739</x:v>
      </x:c>
      <x:c r="Q88" s="100" t="n">
        <x:v>-293.83</x:v>
      </x:c>
      <x:c r="R88" s="100" t="n">
        <x:v>994.42</x:v>
      </x:c>
      <x:c r="S88" s="90" t="n">
        <x:v>5.562272727</x:v>
      </x:c>
      <x:c r="T88" s="90" t="n">
        <x:v>2.343333333</x:v>
      </x:c>
      <x:c r="U88" s="90" t="n">
        <x:v>3.218939394</x:v>
      </x:c>
      <x:c r="V88" s="90" t="n">
        <x:v>2.215485709</x:v>
      </x:c>
      <x:c r="W88" s="90" t="n">
        <x:v>1.003453685</x:v>
      </x:c>
      <x:c r="X88" s="102" t="n">
        <x:v>2.029304328</x:v>
      </x:c>
      <x:c r="Y88" s="102" t="n">
        <x:v>475.4326087</x:v>
      </x:c>
      <x:c r="Z88" s="102" t="n">
        <x:v>12.88921739</x:v>
      </x:c>
      <x:c r="AA88" s="102" t="n">
        <x:v>2.58766</x:v>
      </x:c>
      <x:c r="AB88" s="103" t="n">
        <x:v>-0.08289523778</x:v>
      </x:c>
      <x:c r="AC88" s="103" t="n">
        <x:v>-0.176039286</x:v>
      </x:c>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83" t="str">
        <x:v>2012-11</x:v>
      </x:c>
      <x:c r="B89" s="99" t="n">
        <x:v>1821.013667</x:v>
      </x:c>
      <x:c r="C89" s="99" t="n">
        <x:v>167.03</x:v>
      </x:c>
      <x:c r="D89" s="99" t="n">
        <x:v>327.24</x:v>
      </x:c>
      <x:c r="E89" s="99" t="n">
        <x:v>3986.95</x:v>
      </x:c>
      <x:c r="F89" s="90" t="n">
        <x:v>4.708333333</x:v>
      </x:c>
      <x:c r="G89" s="90" t="n">
        <x:v>0.16</x:v>
      </x:c>
      <x:c r="H89" s="90" t="n">
        <x:v>4.548333333</x:v>
      </x:c>
      <x:c r="I89" s="100" t="n">
        <x:v>-2810.256374</x:v>
      </x:c>
      <x:c r="J89" s="90" t="n">
        <x:v>1.037831214</x:v>
      </x:c>
      <x:c r="K89" s="90" t="n">
        <x:v>91.47508</x:v>
      </x:c>
      <x:c r="L89" s="90" t="n">
        <x:v>16.70190476</x:v>
      </x:c>
      <x:c r="M89" s="101" t="n">
        <x:v>0</x:v>
      </x:c>
      <x:c r="N89" s="99" t="n">
        <x:v>36889.85</x:v>
      </x:c>
      <x:c r="O89" s="90" t="n">
        <x:v>122.8181818</x:v>
      </x:c>
      <x:c r="P89" s="90" t="n">
        <x:v>1.228181818</x:v>
      </x:c>
      <x:c r="Q89" s="100" t="n">
        <x:v>-363.11</x:v>
      </x:c>
      <x:c r="R89" s="100" t="n">
        <x:v>861.18</x:v>
      </x:c>
      <x:c r="S89" s="90" t="n">
        <x:v>5.598</x:v>
      </x:c>
      <x:c r="T89" s="90" t="n">
        <x:v>2.34</x:v>
      </x:c>
      <x:c r="U89" s="90" t="n">
        <x:v>3.258</x:v>
      </x:c>
      <x:c r="V89" s="90" t="n">
        <x:v>2.123420012</x:v>
      </x:c>
      <x:c r="W89" s="90" t="n">
        <x:v>1.134579988</x:v>
      </x:c>
      <x:c r="X89" s="102" t="n">
        <x:v>2.066954537</x:v>
      </x:c>
      <x:c r="Y89" s="102" t="n">
        <x:v>480.0122727</x:v>
      </x:c>
      <x:c r="Z89" s="102" t="n">
        <x:v>13.06513636</x:v>
      </x:c>
      <x:c r="AA89" s="102" t="n">
        <x:v>2.598605</x:v>
      </x:c>
      <x:c r="AB89" s="103" t="n">
        <x:v>0.3461067737</x:v>
      </x:c>
      <x:c r="AC89" s="103" t="n">
        <x:v>0.3469369418</x:v>
      </x:c>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83" t="str">
        <x:v>2012-12</x:v>
      </x:c>
      <x:c r="B90" s="99" t="n">
        <x:v>1792.494839</x:v>
      </x:c>
      <x:c r="C90" s="99" t="n">
        <x:v>166.52</x:v>
      </x:c>
      <x:c r="D90" s="99" t="n">
        <x:v>358.42</x:v>
      </x:c>
      <x:c r="E90" s="99" t="n">
        <x:v>3969.67</x:v>
      </x:c>
      <x:c r="F90" s="90" t="n">
        <x:v>4.435483871</x:v>
      </x:c>
      <x:c r="G90" s="90" t="n">
        <x:v>0.16</x:v>
      </x:c>
      <x:c r="H90" s="90" t="n">
        <x:v>4.275483871</x:v>
      </x:c>
      <x:c r="I90" s="100" t="n">
        <x:v>-19579.2955</x:v>
      </x:c>
      <x:c r="J90" s="90" t="n">
        <x:v>2.316502485</x:v>
      </x:c>
      <x:c r="K90" s="90" t="n">
        <x:v>90.88039</x:v>
      </x:c>
      <x:c r="L90" s="90" t="n">
        <x:v>17.307</x:v>
      </x:c>
      <x:c r="M90" s="101" t="n">
        <x:v>0</x:v>
      </x:c>
      <x:c r="N90" s="99" t="n">
        <x:v>37466.61</x:v>
      </x:c>
      <x:c r="O90" s="90" t="n">
        <x:v>116.1428571</x:v>
      </x:c>
      <x:c r="P90" s="90" t="n">
        <x:v>1.161428571</x:v>
      </x:c>
      <x:c r="Q90" s="100" t="n">
        <x:v>-578.73</x:v>
      </x:c>
      <x:c r="R90" s="100" t="n">
        <x:v>1207.44</x:v>
      </x:c>
      <x:c r="S90" s="90" t="n">
        <x:v>5.325263158</x:v>
      </x:c>
      <x:c r="T90" s="90" t="n">
        <x:v>2.421428571</x:v>
      </x:c>
      <x:c r="U90" s="90" t="n">
        <x:v>2.903834586</x:v>
      </x:c>
      <x:c r="V90" s="90" t="n">
        <x:v>2.206884992</x:v>
      </x:c>
      <x:c r="W90" s="90" t="n">
        <x:v>0.6969495943</x:v>
      </x:c>
      <x:c r="X90" s="102" t="n">
        <x:v>2.075904778</x:v>
      </x:c>
      <x:c r="Y90" s="102" t="n">
        <x:v>476.672381</x:v>
      </x:c>
      <x:c r="Z90" s="102" t="n">
        <x:v>12.8622381</x:v>
      </x:c>
      <x:c r="AA90" s="102" t="n">
        <x:v>2.566561111</x:v>
      </x:c>
      <x:c r="AB90" s="103" t="n">
        <x:v>-0.3382040945</x:v>
      </x:c>
      <x:c r="AC90" s="103" t="n">
        <x:v>-0.5007506455</x:v>
      </x:c>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83" t="str">
        <x:v>2013-01</x:v>
      </x:c>
      <x:c r="B91" s="99" t="n">
        <x:v>1769.672581</x:v>
      </x:c>
      <x:c r="C91" s="99" t="n">
        <x:v>167.43</x:v>
      </x:c>
      <x:c r="D91" s="99" t="n">
        <x:v>329.4</x:v>
      </x:c>
      <x:c r="E91" s="99" t="n">
        <x:v>4004.53</x:v>
      </x:c>
      <x:c r="F91" s="90" t="n">
        <x:v>4.225806452</x:v>
      </x:c>
      <x:c r="G91" s="90" t="n">
        <x:v>0.14</x:v>
      </x:c>
      <x:c r="H91" s="90" t="n">
        <x:v>4.085806452</x:v>
      </x:c>
      <x:c r="I91" s="100" t="n">
        <x:v>8920.333169</x:v>
      </x:c>
      <x:c r="J91" s="90" t="n">
        <x:v>1.469951168</x:v>
      </x:c>
      <x:c r="K91" s="90" t="n">
        <x:v>90.82551429</x:v>
      </x:c>
      <x:c r="L91" s="90" t="n">
        <x:v>13.5052381</x:v>
      </x:c>
      <x:c r="M91" s="101" t="n">
        <x:v>0</x:v>
      </x:c>
      <x:c r="N91" s="99" t="n">
        <x:v>37862.51</x:v>
      </x:c>
      <x:c r="O91" s="90" t="n">
        <x:v>112.4347826</x:v>
      </x:c>
      <x:c r="P91" s="90" t="n">
        <x:v>1.124347826</x:v>
      </x:c>
      <x:c r="Q91" s="100" t="n">
        <x:v>-462.35</x:v>
      </x:c>
      <x:c r="R91" s="100" t="n">
        <x:v>975.46</x:v>
      </x:c>
      <x:c r="S91" s="90" t="n">
        <x:v>4.87952381</x:v>
      </x:c>
      <x:c r="T91" s="90" t="n">
        <x:v>2.092941176</x:v>
      </x:c>
      <x:c r="U91" s="90" t="n">
        <x:v>2.786582633</x:v>
      </x:c>
      <x:c r="V91" s="90" t="n">
        <x:v>2.308266674</x:v>
      </x:c>
      <x:c r="W91" s="90" t="n">
        <x:v>0.4783159593</x:v>
      </x:c>
      <x:c r="X91" s="102" t="n">
        <x:v>2.029043472</x:v>
      </x:c>
      <x:c r="Y91" s="102" t="n">
        <x:v>471.8052174</x:v>
      </x:c>
      <x:c r="Z91" s="102" t="n">
        <x:v>12.69817391</x:v>
      </x:c>
      <x:c r="AA91" s="102" t="n">
        <x:v>2.552172727</x:v>
      </x:c>
      <x:c r="AB91" s="103" t="n">
        <x:v>-0.5923571245</x:v>
      </x:c>
      <x:c r="AC91" s="103" t="n">
        <x:v>-0.5548777429</x:v>
      </x:c>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83" t="str">
        <x:v>2013-02</x:v>
      </x:c>
      <x:c r="B92" s="99" t="n">
        <x:v>1790.547857</x:v>
      </x:c>
      <x:c r="C92" s="99" t="n">
        <x:v>170.29</x:v>
      </x:c>
      <x:c r="D92" s="99" t="n">
        <x:v>317.32</x:v>
      </x:c>
      <x:c r="E92" s="99" t="n">
        <x:v>4019.33</x:v>
      </x:c>
      <x:c r="F92" s="90" t="n">
        <x:v>3.964285714</x:v>
      </x:c>
      <x:c r="G92" s="90" t="n">
        <x:v>0.15</x:v>
      </x:c>
      <x:c r="H92" s="90" t="n">
        <x:v>3.814285714</x:v>
      </x:c>
      <x:c r="I92" s="100" t="n">
        <x:v>-1878.951326</x:v>
      </x:c>
      <x:c r="J92" s="90" t="n">
        <x:v>1.680938137</x:v>
      </x:c>
      <x:c r="K92" s="90" t="n">
        <x:v>91.55087368</x:v>
      </x:c>
      <x:c r="L92" s="90" t="n">
        <x:v>14.07263158</x:v>
      </x:c>
      <x:c r="M92" s="101" t="n">
        <x:v>0</x:v>
      </x:c>
      <x:c r="N92" s="99" t="n">
        <x:v>38535.79</x:v>
      </x:c>
      <x:c r="O92" s="90" t="n">
        <x:v>131.3</x:v>
      </x:c>
      <x:c r="P92" s="90" t="n">
        <x:v>1.313</x:v>
      </x:c>
      <x:c r="Q92" s="100" t="n">
        <x:v>-260.93</x:v>
      </x:c>
      <x:c r="R92" s="100" t="n">
        <x:v>737.18</x:v>
      </x:c>
      <x:c r="S92" s="90" t="n">
        <x:v>4.587</x:v>
      </x:c>
      <x:c r="T92" s="90" t="n">
        <x:v>1.917692308</x:v>
      </x:c>
      <x:c r="U92" s="90" t="n">
        <x:v>2.669307692</x:v>
      </x:c>
      <x:c r="V92" s="90" t="n">
        <x:v>2.449884226</x:v>
      </x:c>
      <x:c r="W92" s="90" t="n">
        <x:v>0.2194234659</x:v>
      </x:c>
      <x:c r="X92" s="102" t="n">
        <x:v>1.972700006</x:v>
      </x:c>
      <x:c r="Y92" s="102" t="n">
        <x:v>472.018</x:v>
      </x:c>
      <x:c r="Z92" s="102" t="n">
        <x:v>12.71625</x:v>
      </x:c>
      <x:c r="AA92" s="102" t="n">
        <x:v>2.578347368</x:v>
      </x:c>
      <x:c r="AB92" s="103" t="n">
        <x:v>-0.3363675092</x:v>
      </x:c>
      <x:c r="AC92" s="103" t="n">
        <x:v>-0.04458517608</x:v>
      </x:c>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83" t="str">
        <x:v>2013-03</x:v>
      </x:c>
      <x:c r="B93" s="99" t="n">
        <x:v>1813.74871</x:v>
      </x:c>
      <x:c r="C93" s="99" t="n">
        <x:v>164.81</x:v>
      </x:c>
      <x:c r="D93" s="99" t="n">
        <x:v>334.17</x:v>
      </x:c>
      <x:c r="E93" s="99" t="n">
        <x:v>4015.03</x:v>
      </x:c>
      <x:c r="F93" s="90" t="n">
        <x:v>3.653225806</x:v>
      </x:c>
      <x:c r="G93" s="90" t="n">
        <x:v>0.14</x:v>
      </x:c>
      <x:c r="H93" s="90" t="n">
        <x:v>3.513225806</x:v>
      </x:c>
      <x:c r="I93" s="100" t="n">
        <x:v>-3909.373406</x:v>
      </x:c>
      <x:c r="J93" s="90" t="n">
        <x:v>2.144560764</x:v>
      </x:c>
      <x:c r="K93" s="90" t="n">
        <x:v>92.41318</x:v>
      </x:c>
      <x:c r="L93" s="90" t="n">
        <x:v>13.0315</x:v>
      </x:c>
      <x:c r="M93" s="101" t="n">
        <x:v>0</x:v>
      </x:c>
      <x:c r="N93" s="99" t="n">
        <x:v>39334.93</x:v>
      </x:c>
      <x:c r="O93" s="90" t="n">
        <x:v>141.8095238</x:v>
      </x:c>
      <x:c r="P93" s="90" t="n">
        <x:v>1.418095238</x:v>
      </x:c>
      <x:c r="Q93" s="100" t="n">
        <x:v>-133.72</x:v>
      </x:c>
      <x:c r="R93" s="100" t="n">
        <x:v>1025.15</x:v>
      </x:c>
      <x:c r="S93" s="90" t="n">
        <x:v>4.474444444</x:v>
      </x:c>
      <x:c r="T93" s="90" t="n">
        <x:v>1.701538462</x:v>
      </x:c>
      <x:c r="U93" s="90" t="n">
        <x:v>2.772905983</x:v>
      </x:c>
      <x:c r="V93" s="90" t="n">
        <x:v>2.481630003</x:v>
      </x:c>
      <x:c r="W93" s="90" t="n">
        <x:v>0.2912759795</x:v>
      </x:c>
      <x:c r="X93" s="102" t="n">
        <x:v>1.98509524</x:v>
      </x:c>
      <x:c r="Y93" s="102" t="n">
        <x:v>472.0547619</x:v>
      </x:c>
      <x:c r="Z93" s="102" t="n">
        <x:v>12.49833333</x:v>
      </x:c>
      <x:c r="AA93" s="102" t="n">
        <x:v>2.594173684</x:v>
      </x:c>
      <x:c r="AB93" s="103" t="n">
        <x:v>-0.2519671956</x:v>
      </x:c>
      <x:c r="AC93" s="103" t="n">
        <x:v>-0.06343102824</x:v>
      </x:c>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83" t="str">
        <x:v>2013-04</x:v>
      </x:c>
      <x:c r="B94" s="99" t="n">
        <x:v>1830.231333</x:v>
      </x:c>
      <x:c r="C94" s="99" t="n">
        <x:v>156.96</x:v>
      </x:c>
      <x:c r="D94" s="99" t="n">
        <x:v>387.13</x:v>
      </x:c>
      <x:c r="E94" s="99" t="n">
        <x:v>4071.56</x:v>
      </x:c>
      <x:c r="F94" s="90" t="n">
        <x:v>3.25</x:v>
      </x:c>
      <x:c r="G94" s="90" t="n">
        <x:v>0.15</x:v>
      </x:c>
      <x:c r="H94" s="90" t="n">
        <x:v>3.1</x:v>
      </x:c>
      <x:c r="I94" s="100" t="n">
        <x:v>3956.848764</x:v>
      </x:c>
      <x:c r="J94" s="90" t="n">
        <x:v>2.953051089</x:v>
      </x:c>
      <x:c r="K94" s="90" t="n">
        <x:v>92.04782273</x:v>
      </x:c>
      <x:c r="L94" s="90" t="n">
        <x:v>13.96727273</x:v>
      </x:c>
      <x:c r="M94" s="101" t="n">
        <x:v>0</x:v>
      </x:c>
      <x:c r="N94" s="99" t="n">
        <x:v>40089.66</x:v>
      </x:c>
      <x:c r="O94" s="90" t="n">
        <x:v>131.9545455</x:v>
      </x:c>
      <x:c r="P94" s="90" t="n">
        <x:v>1.319545455</x:v>
      </x:c>
      <x:c r="Q94" s="100" t="n">
        <x:v>-442.14</x:v>
      </x:c>
      <x:c r="R94" s="100" t="n">
        <x:v>1245.43</x:v>
      </x:c>
      <x:c r="S94" s="90" t="n">
        <x:v>4.490909091</x:v>
      </x:c>
      <x:c r="T94" s="90" t="n">
        <x:v>1.738666667</x:v>
      </x:c>
      <x:c r="U94" s="90" t="n">
        <x:v>2.752242424</x:v>
      </x:c>
      <x:c r="V94" s="90" t="n">
        <x:v>2.290472713</x:v>
      </x:c>
      <x:c r="W94" s="90" t="n">
        <x:v>0.4617697109</x:v>
      </x:c>
      <x:c r="X94" s="102" t="n">
        <x:v>2.001409075</x:v>
      </x:c>
      <x:c r="Y94" s="102" t="n">
        <x:v>471.8686364</x:v>
      </x:c>
      <x:c r="Z94" s="102" t="n">
        <x:v>12.21318182</x:v>
      </x:c>
      <x:c r="AA94" s="102" t="n">
        <x:v>2.598068182</x:v>
      </x:c>
      <x:c r="AB94" s="103" t="n">
        <x:v>-0.3097547991</x:v>
      </x:c>
      <x:c r="AC94" s="103" t="n">
        <x:v>-0.1996801271</x:v>
      </x:c>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83" t="str">
        <x:v>2013-05</x:v>
      </x:c>
      <x:c r="B95" s="99" t="n">
        <x:v>1847.92129</x:v>
      </x:c>
      <x:c r="C95" s="99" t="n">
        <x:v>156.56</x:v>
      </x:c>
      <x:c r="D95" s="99" t="n">
        <x:v>395.79</x:v>
      </x:c>
      <x:c r="E95" s="99" t="n">
        <x:v>4113.02</x:v>
      </x:c>
      <x:c r="F95" s="90" t="n">
        <x:v>3.25</x:v>
      </x:c>
      <x:c r="G95" s="90" t="n">
        <x:v>0.11</x:v>
      </x:c>
      <x:c r="H95" s="90" t="n">
        <x:v>3.14</x:v>
      </x:c>
      <x:c r="I95" s="100" t="n">
        <x:v>526.3185837</x:v>
      </x:c>
      <x:c r="J95" s="90" t="n">
        <x:v>2.98816712</x:v>
      </x:c>
      <x:c r="K95" s="90" t="n">
        <x:v>92.52896818</x:v>
      </x:c>
      <x:c r="L95" s="90" t="n">
        <x:v>13.49363636</x:v>
      </x:c>
      <x:c r="M95" s="101" t="n">
        <x:v>0</x:v>
      </x:c>
      <x:c r="N95" s="99" t="n">
        <x:v>40509.26</x:v>
      </x:c>
      <x:c r="O95" s="90" t="n">
        <x:v>135.3913043</x:v>
      </x:c>
      <x:c r="P95" s="90" t="n">
        <x:v>1.353913043</x:v>
      </x:c>
      <x:c r="Q95" s="100" t="n">
        <x:v>-261.47</x:v>
      </x:c>
      <x:c r="R95" s="100" t="n">
        <x:v>544.87</x:v>
      </x:c>
      <x:c r="S95" s="90" t="n">
        <x:v>4.784285714</x:v>
      </x:c>
      <x:c r="T95" s="90" t="n">
        <x:v>2.002666667</x:v>
      </x:c>
      <x:c r="U95" s="90" t="n">
        <x:v>2.781619048</x:v>
      </x:c>
      <x:c r="V95" s="90" t="n">
        <x:v>2.064354523</x:v>
      </x:c>
      <x:c r="W95" s="90" t="n">
        <x:v>0.717264525</x:v>
      </x:c>
      <x:c r="X95" s="102" t="n">
        <x:v>2.039238101</x:v>
      </x:c>
      <x:c r="Y95" s="102" t="n">
        <x:v>481.2471429</x:v>
      </x:c>
      <x:c r="Z95" s="102" t="n">
        <x:v>12.31371429</x:v>
      </x:c>
      <x:c r="AA95" s="102" t="n">
        <x:v>2.645718182</x:v>
      </x:c>
      <x:c r="AB95" s="103" t="n">
        <x:v>0.4110659314</x:v>
      </x:c>
      <x:c r="AC95" s="103" t="n">
        <x:v>0.6763080216</x:v>
      </x:c>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83" t="str">
        <x:v>2013-06</x:v>
      </x:c>
      <x:c r="B96" s="99" t="n">
        <x:v>1909.849333</x:v>
      </x:c>
      <x:c r="C96" s="99" t="n">
        <x:v>157.8</x:v>
      </x:c>
      <x:c r="D96" s="99" t="n">
        <x:v>372.87</x:v>
      </x:c>
      <x:c r="E96" s="99" t="n">
        <x:v>4166.22</x:v>
      </x:c>
      <x:c r="F96" s="90" t="n">
        <x:v>3.25</x:v>
      </x:c>
      <x:c r="G96" s="90" t="n">
        <x:v>0.09</x:v>
      </x:c>
      <x:c r="H96" s="90" t="n">
        <x:v>3.16</x:v>
      </x:c>
      <x:c r="I96" s="100" t="n">
        <x:v>2058.561346</x:v>
      </x:c>
      <x:c r="J96" s="90" t="n">
        <x:v>3.064526836</x:v>
      </x:c>
      <x:c r="K96" s="90" t="n">
        <x:v>93.283615</x:v>
      </x:c>
      <x:c r="L96" s="90" t="n">
        <x:v>17.2715</x:v>
      </x:c>
      <x:c r="M96" s="101" t="n">
        <x:v>0</x:v>
      </x:c>
      <x:c r="N96" s="99" t="n">
        <x:v>40816.75</x:v>
      </x:c>
      <x:c r="O96" s="90" t="n">
        <x:v>180</x:v>
      </x:c>
      <x:c r="P96" s="90" t="n">
        <x:v>1.8</x:v>
      </x:c>
      <x:c r="Q96" s="100" t="n">
        <x:v>-285.82</x:v>
      </x:c>
      <x:c r="R96" s="100" t="n">
        <x:v>674.93</x:v>
      </x:c>
      <x:c r="S96" s="90" t="n">
        <x:v>6.256666667</x:v>
      </x:c>
      <x:c r="T96" s="90" t="n">
        <x:v>3.113333333</x:v>
      </x:c>
      <x:c r="U96" s="90" t="n">
        <x:v>3.143333333</x:v>
      </x:c>
      <x:c r="V96" s="90" t="n">
        <x:v>1.810659993</x:v>
      </x:c>
      <x:c r="W96" s="90" t="n">
        <x:v>1.332673341</x:v>
      </x:c>
      <x:c r="X96" s="102" t="n">
        <x:v>2.172654986</x:v>
      </x:c>
      <x:c r="Y96" s="102" t="n">
        <x:v>503.0825</x:v>
      </x:c>
      <x:c r="Z96" s="102" t="n">
        <x:v>12.9572025</x:v>
      </x:c>
      <x:c r="AA96" s="102" t="n">
        <x:v>2.748484211</x:v>
      </x:c>
      <x:c r="AB96" s="103" t="n">
        <x:v>1.636875579</x:v>
      </x:c>
      <x:c r="AC96" s="103" t="n">
        <x:v>1.996573665</x:v>
      </x:c>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83" t="str">
        <x:v>2013-07</x:v>
      </x:c>
      <x:c r="B97" s="99" t="n">
        <x:v>1901.542581</x:v>
      </x:c>
      <x:c r="C97" s="99" t="n">
        <x:v>160.44</x:v>
      </x:c>
      <x:c r="D97" s="99" t="n">
        <x:v>394.23</x:v>
      </x:c>
      <x:c r="E97" s="99" t="n">
        <x:v>4230.06</x:v>
      </x:c>
      <x:c r="F97" s="90" t="n">
        <x:v>3.25</x:v>
      </x:c>
      <x:c r="G97" s="90" t="n">
        <x:v>0.09</x:v>
      </x:c>
      <x:c r="H97" s="90" t="n">
        <x:v>3.16</x:v>
      </x:c>
      <x:c r="I97" s="100" t="n">
        <x:v>-3121.871982</x:v>
      </x:c>
      <x:c r="J97" s="90" t="n">
        <x:v>3.398081706</x:v>
      </x:c>
      <x:c r="K97" s="90" t="n">
        <x:v>93.87238636</x:v>
      </x:c>
      <x:c r="L97" s="90" t="n">
        <x:v>13.97454545</x:v>
      </x:c>
      <x:c r="M97" s="101" t="n">
        <x:v>0</x:v>
      </x:c>
      <x:c r="N97" s="99" t="n">
        <x:v>41524.03</x:v>
      </x:c>
      <x:c r="O97" s="90" t="n">
        <x:v>169.5217391</x:v>
      </x:c>
      <x:c r="P97" s="90" t="n">
        <x:v>1.695217391</x:v>
      </x:c>
      <x:c r="Q97" s="100" t="n">
        <x:v>-531.62</x:v>
      </x:c>
      <x:c r="R97" s="100" t="n">
        <x:v>1345.27</x:v>
      </x:c>
      <x:c r="S97" s="90" t="n">
        <x:v>6.323181818</x:v>
      </x:c>
      <x:c r="T97" s="90" t="n">
        <x:v>3.265294118</x:v>
      </x:c>
      <x:c r="U97" s="90" t="n">
        <x:v>3.057887701</x:v>
      </x:c>
      <x:c r="V97" s="90" t="n">
        <x:v>1.88493636</x:v>
      </x:c>
      <x:c r="W97" s="90" t="n">
        <x:v>1.172951341</x:v>
      </x:c>
      <x:c r="X97" s="102" t="n">
        <x:v>2.25185215</x:v>
      </x:c>
      <x:c r="Y97" s="102" t="n">
        <x:v>505.1813043</x:v>
      </x:c>
      <x:c r="Z97" s="102" t="n">
        <x:v>12.76188043</x:v>
      </x:c>
      <x:c r="AA97" s="102" t="n">
        <x:v>2.776885714</x:v>
      </x:c>
      <x:c r="AB97" s="103" t="n">
        <x:v>0.09269878677</x:v>
      </x:c>
      <x:c r="AC97" s="103" t="n">
        <x:v>0.2787611899</x:v>
      </x:c>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83" t="str">
        <x:v>2013-08</x:v>
      </x:c>
      <x:c r="B98" s="99" t="n">
        <x:v>1902.104194</x:v>
      </x:c>
      <x:c r="C98" s="99" t="n">
        <x:v>162.5</x:v>
      </x:c>
      <x:c r="D98" s="99" t="n">
        <x:v>372.23</x:v>
      </x:c>
      <x:c r="E98" s="99" t="n">
        <x:v>4255.51</x:v>
      </x:c>
      <x:c r="F98" s="90" t="n">
        <x:v>3.25</x:v>
      </x:c>
      <x:c r="G98" s="90" t="n">
        <x:v>0.08</x:v>
      </x:c>
      <x:c r="H98" s="90" t="n">
        <x:v>3.17</x:v>
      </x:c>
      <x:c r="I98" s="100" t="n">
        <x:v>-3292.03001</x:v>
      </x:c>
      <x:c r="J98" s="90" t="n">
        <x:v>3.383563558</x:v>
      </x:c>
      <x:c r="K98" s="90" t="n">
        <x:v>93.71488636</x:v>
      </x:c>
      <x:c r="L98" s="90" t="n">
        <x:v>14.21</x:v>
      </x:c>
      <x:c r="M98" s="101" t="n">
        <x:v>0</x:v>
      </x:c>
      <x:c r="N98" s="99" t="n">
        <x:v>42092.89</x:v>
      </x:c>
      <x:c r="O98" s="90" t="n">
        <x:v>182.9545455</x:v>
      </x:c>
      <x:c r="P98" s="90" t="n">
        <x:v>1.829545455</x:v>
      </x:c>
      <x:c r="Q98" s="100" t="n">
        <x:v>-301.71</x:v>
      </x:c>
      <x:c r="R98" s="100" t="n">
        <x:v>806.93</x:v>
      </x:c>
      <x:c r="S98" s="90" t="n">
        <x:v>6.5265</x:v>
      </x:c>
      <x:c r="T98" s="90" t="n">
        <x:v>3.417222222</x:v>
      </x:c>
      <x:c r="U98" s="90" t="n">
        <x:v>3.109277778</x:v>
      </x:c>
      <x:c r="V98" s="90" t="n">
        <x:v>1.902504552</x:v>
      </x:c>
      <x:c r="W98" s="90" t="n">
        <x:v>1.206773225</x:v>
      </x:c>
      <x:c r="X98" s="102" t="n">
        <x:v>2.341890909</x:v>
      </x:c>
      <x:c r="Y98" s="102" t="n">
        <x:v>512.03</x:v>
      </x:c>
      <x:c r="Z98" s="102" t="n">
        <x:v>12.92856818</x:v>
      </x:c>
      <x:c r="AA98" s="102" t="n">
        <x:v>2.801985714</x:v>
      </x:c>
      <x:c r="AB98" s="103" t="n">
        <x:v>0.5769155335</x:v>
      </x:c>
      <x:c r="AC98" s="103" t="n">
        <x:v>0.616134766</x:v>
      </x:c>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83" t="str">
        <x:v>2013-09</x:v>
      </x:c>
      <x:c r="B99" s="99" t="n">
        <x:v>1919.512333</x:v>
      </x:c>
      <x:c r="C99" s="99" t="n">
        <x:v>160.64</x:v>
      </x:c>
      <x:c r="D99" s="99" t="n">
        <x:v>354.14</x:v>
      </x:c>
      <x:c r="E99" s="99" t="n">
        <x:v>4296.55</x:v>
      </x:c>
      <x:c r="F99" s="90" t="n">
        <x:v>3.25</x:v>
      </x:c>
      <x:c r="G99" s="90" t="n">
        <x:v>0.08</x:v>
      </x:c>
      <x:c r="H99" s="90" t="n">
        <x:v>3.17</x:v>
      </x:c>
      <x:c r="I99" s="100" t="n">
        <x:v>1832.936358</x:v>
      </x:c>
      <x:c r="J99" s="90" t="n">
        <x:v>3.209636489</x:v>
      </x:c>
      <x:c r="K99" s="90" t="n">
        <x:v>93.470565</x:v>
      </x:c>
      <x:c r="L99" s="90" t="n">
        <x:v>14.692</x:v>
      </x:c>
      <x:c r="M99" s="101" t="n">
        <x:v>0</x:v>
      </x:c>
      <x:c r="N99" s="99" t="n">
        <x:v>43064.73</x:v>
      </x:c>
      <x:c r="O99" s="90" t="n">
        <x:v>181.3809524</x:v>
      </x:c>
      <x:c r="P99" s="90" t="n">
        <x:v>1.813809524</x:v>
      </x:c>
      <x:c r="Q99" s="100" t="n">
        <x:v>-452.7</x:v>
      </x:c>
      <x:c r="R99" s="100" t="n">
        <x:v>1400.76</x:v>
      </x:c>
      <x:c r="S99" s="90" t="n">
        <x:v>6.522857143</x:v>
      </x:c>
      <x:c r="T99" s="90" t="n">
        <x:v>3.648</x:v>
      </x:c>
      <x:c r="U99" s="90" t="n">
        <x:v>2.874857143</x:v>
      </x:c>
      <x:c r="V99" s="90" t="n">
        <x:v>1.885879999</x:v>
      </x:c>
      <x:c r="W99" s="90" t="n">
        <x:v>0.9889771435</x:v>
      </x:c>
      <x:c r="X99" s="102" t="n">
        <x:v>2.270199991</x:v>
      </x:c>
      <x:c r="Y99" s="102" t="n">
        <x:v>503.5538095</x:v>
      </x:c>
      <x:c r="Z99" s="102" t="n">
        <x:v>13.07427381</x:v>
      </x:c>
      <x:c r="AA99" s="102" t="n">
        <x:v>2.778661905</x:v>
      </x:c>
      <x:c r="AB99" s="103" t="n">
        <x:v>-0.4598737282</x:v>
      </x:c>
      <x:c r="AC99" s="103" t="n">
        <x:v>-0.5105649621</x:v>
      </x:c>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83" t="str">
        <x:v>2013-10</x:v>
      </x:c>
      <x:c r="B100" s="99" t="n">
        <x:v>1885.13129</x:v>
      </x:c>
      <x:c r="C100" s="99" t="n">
        <x:v>159.96</x:v>
      </x:c>
      <x:c r="D100" s="99" t="n">
        <x:v>368.29</x:v>
      </x:c>
      <x:c r="E100" s="99" t="n">
        <x:v>4311.23</x:v>
      </x:c>
      <x:c r="F100" s="90" t="n">
        <x:v>3.25</x:v>
      </x:c>
      <x:c r="G100" s="90" t="n">
        <x:v>0.09</x:v>
      </x:c>
      <x:c r="H100" s="90" t="n">
        <x:v>3.16</x:v>
      </x:c>
      <x:c r="I100" s="100" t="n">
        <x:v>-6260.098119</x:v>
      </x:c>
      <x:c r="J100" s="90" t="n">
        <x:v>3.29885302</x:v>
      </x:c>
      <x:c r="K100" s="90" t="n">
        <x:v>92.49926818</x:v>
      </x:c>
      <x:c r="L100" s="90" t="n">
        <x:v>15.40782609</x:v>
      </x:c>
      <x:c r="M100" s="101" t="n">
        <x:v>0</x:v>
      </x:c>
      <x:c r="N100" s="99" t="n">
        <x:v>43292.85</x:v>
      </x:c>
      <x:c r="O100" s="90" t="n">
        <x:v>171.3043478</x:v>
      </x:c>
      <x:c r="P100" s="90" t="n">
        <x:v>1.713043478</x:v>
      </x:c>
      <x:c r="Q100" s="100" t="n">
        <x:v>-651.55</x:v>
      </x:c>
      <x:c r="R100" s="100" t="n">
        <x:v>1039.38</x:v>
      </x:c>
      <x:c r="S100" s="90" t="n">
        <x:v>6.281818182</x:v>
      </x:c>
      <x:c r="T100" s="90" t="n">
        <x:v>3.399090909</x:v>
      </x:c>
      <x:c r="U100" s="90" t="n">
        <x:v>2.882727273</x:v>
      </x:c>
      <x:c r="V100" s="90" t="n">
        <x:v>1.938222723</x:v>
      </x:c>
      <x:c r="W100" s="90" t="n">
        <x:v>0.9445045502</x:v>
      </x:c>
      <x:c r="X100" s="102" t="n">
        <x:v>2.188347806</x:v>
      </x:c>
      <x:c r="Y100" s="102" t="n">
        <x:v>501.4386957</x:v>
      </x:c>
      <x:c r="Z100" s="102" t="n">
        <x:v>12.99666304</x:v>
      </x:c>
      <x:c r="AA100" s="102" t="n">
        <x:v>2.769066667</x:v>
      </x:c>
      <x:c r="AB100" s="103" t="n">
        <x:v>-0.5606630627</x:v>
      </x:c>
      <x:c r="AC100" s="103" t="n">
        <x:v>-0.4876083199</x:v>
      </x:c>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83" t="str">
        <x:v>2013-11</x:v>
      </x:c>
      <x:c r="B101" s="99" t="n">
        <x:v>1921.753</x:v>
      </x:c>
      <x:c r="C101" s="99" t="n">
        <x:v>158.91</x:v>
      </x:c>
      <x:c r="D101" s="99" t="n">
        <x:v>360.61</x:v>
      </x:c>
      <x:c r="E101" s="99" t="n">
        <x:v>4344.6</x:v>
      </x:c>
      <x:c r="F101" s="90" t="n">
        <x:v>3.25</x:v>
      </x:c>
      <x:c r="G101" s="90" t="n">
        <x:v>0.08</x:v>
      </x:c>
      <x:c r="H101" s="90" t="n">
        <x:v>3.17</x:v>
      </x:c>
      <x:c r="I101" s="100" t="n">
        <x:v>-2583.382716</x:v>
      </x:c>
      <x:c r="J101" s="90" t="n">
        <x:v>3.267082136</x:v>
      </x:c>
      <x:c r="K101" s="90" t="n">
        <x:v>93.37366842</x:v>
      </x:c>
      <x:c r="L101" s="90" t="n">
        <x:v>12.924</x:v>
      </x:c>
      <x:c r="M101" s="101" t="n">
        <x:v>0</x:v>
      </x:c>
      <x:c r="N101" s="99" t="n">
        <x:v>43417.31</x:v>
      </x:c>
      <x:c r="O101" s="90" t="n">
        <x:v>183.1428571</x:v>
      </x:c>
      <x:c r="P101" s="90" t="n">
        <x:v>1.831428571</x:v>
      </x:c>
      <x:c r="Q101" s="100" t="n">
        <x:v>-375.72</x:v>
      </x:c>
      <x:c r="R101" s="100" t="n">
        <x:v>360.13</x:v>
      </x:c>
      <x:c r="S101" s="90" t="n">
        <x:v>6.376315789</x:v>
      </x:c>
      <x:c r="T101" s="90" t="n">
        <x:v>3.441578947</x:v>
      </x:c>
      <x:c r="U101" s="90" t="n">
        <x:v>2.934736842</x:v>
      </x:c>
      <x:c r="V101" s="90" t="n">
        <x:v>1.920999991</x:v>
      </x:c>
      <x:c r="W101" s="90" t="n">
        <x:v>1.013736851</x:v>
      </x:c>
      <x:c r="X101" s="102" t="n">
        <x:v>2.296623798</x:v>
      </x:c>
      <x:c r="Y101" s="102" t="n">
        <x:v>520.1733333</x:v>
      </x:c>
      <x:c r="Z101" s="102" t="n">
        <x:v>13.07421429</x:v>
      </x:c>
      <x:c r="AA101" s="102" t="n">
        <x:v>2.79875</x:v>
      </x:c>
      <x:c r="AB101" s="103" t="n">
        <x:v>0.8652023057</x:v>
      </x:c>
      <x:c r="AC101" s="103" t="n">
        <x:v>0.8658236614</x:v>
      </x:c>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83" t="str">
        <x:v>2013-12</x:v>
      </x:c>
      <x:c r="B102" s="99" t="n">
        <x:v>1932.956129</x:v>
      </x:c>
      <x:c r="C102" s="99" t="n">
        <x:v>159.34</x:v>
      </x:c>
      <x:c r="D102" s="99" t="n">
        <x:v>414.86</x:v>
      </x:c>
      <x:c r="E102" s="99" t="n">
        <x:v>4401.04</x:v>
      </x:c>
      <x:c r="F102" s="90" t="n">
        <x:v>3.25</x:v>
      </x:c>
      <x:c r="G102" s="90" t="n">
        <x:v>0.09</x:v>
      </x:c>
      <x:c r="H102" s="90" t="n">
        <x:v>3.16</x:v>
      </x:c>
      <x:c r="I102" s="100" t="n">
        <x:v>-12894.70989</x:v>
      </x:c>
      <x:c r="J102" s="90" t="n">
        <x:v>2.330987593</x:v>
      </x:c>
      <x:c r="K102" s="90" t="n">
        <x:v>93.53402</x:v>
      </x:c>
      <x:c r="L102" s="90" t="n">
        <x:v>14.19238095</x:v>
      </x:c>
      <x:c r="M102" s="101" t="n">
        <x:v>0</x:v>
      </x:c>
      <x:c r="N102" s="99" t="n">
        <x:v>43632.74</x:v>
      </x:c>
      <x:c r="O102" s="90" t="n">
        <x:v>177.0909091</x:v>
      </x:c>
      <x:c r="P102" s="90" t="n">
        <x:v>1.770909091</x:v>
      </x:c>
      <x:c r="Q102" s="100" t="n">
        <x:v>-633.44</x:v>
      </x:c>
      <x:c r="R102" s="100" t="n">
        <x:v>785.57</x:v>
      </x:c>
      <x:c r="S102" s="90" t="n">
        <x:v>6.2725</x:v>
      </x:c>
      <x:c r="T102" s="90" t="n">
        <x:v>3.203684211</x:v>
      </x:c>
      <x:c r="U102" s="90" t="n">
        <x:v>3.068815789</x:v>
      </x:c>
      <x:c r="V102" s="90" t="n">
        <x:v>1.874561912</x:v>
      </x:c>
      <x:c r="W102" s="90" t="n">
        <x:v>1.194253878</x:v>
      </x:c>
      <x:c r="X102" s="102" t="n">
        <x:v>2.345604528</x:v>
      </x:c>
      <x:c r="Y102" s="102" t="n">
        <x:v>528.9259524</x:v>
      </x:c>
      <x:c r="Z102" s="102" t="n">
        <x:v>13.00595455</x:v>
      </x:c>
      <x:c r="AA102" s="102" t="n">
        <x:v>2.78564</x:v>
      </x:c>
      <x:c r="AB102" s="103" t="n">
        <x:v>0.2345250256</x:v>
      </x:c>
      <x:c r="AC102" s="103" t="n">
        <x:v>0.0839213086</x:v>
      </x:c>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83" t="str">
        <x:v>2014-01</x:v>
      </x:c>
      <x:c r="B103" s="99" t="n">
        <x:v>1957.287097</x:v>
      </x:c>
      <x:c r="C103" s="99" t="n">
        <x:v>154.23</x:v>
      </x:c>
      <x:c r="D103" s="99" t="n">
        <x:v>352.57</x:v>
      </x:c>
      <x:c r="E103" s="99" t="n">
        <x:v>4424.21</x:v>
      </x:c>
      <x:c r="F103" s="90" t="n">
        <x:v>3.25</x:v>
      </x:c>
      <x:c r="G103" s="90" t="n">
        <x:v>0.07</x:v>
      </x:c>
      <x:c r="H103" s="90" t="n">
        <x:v>3.18</x:v>
      </x:c>
      <x:c r="I103" s="100" t="n">
        <x:v>7386.752191</x:v>
      </x:c>
      <x:c r="J103" s="90" t="n">
        <x:v>2.382871769</x:v>
      </x:c>
      <x:c r="K103" s="90" t="n">
        <x:v>94.46474762</x:v>
      </x:c>
      <x:c r="L103" s="90" t="n">
        <x:v>14.24095238</x:v>
      </x:c>
      <x:c r="M103" s="101" t="n">
        <x:v>0</x:v>
      </x:c>
      <x:c r="N103" s="99" t="n">
        <x:v>43710.5</x:v>
      </x:c>
      <x:c r="O103" s="90" t="n">
        <x:v>182.0869565</x:v>
      </x:c>
      <x:c r="P103" s="90" t="n">
        <x:v>1.820869565</x:v>
      </x:c>
      <x:c r="Q103" s="100" t="n">
        <x:v>-452.26</x:v>
      </x:c>
      <x:c r="R103" s="100" t="n">
        <x:v>537.45</x:v>
      </x:c>
      <x:c r="S103" s="90" t="n">
        <x:v>6.259047619</x:v>
      </x:c>
      <x:c r="T103" s="90" t="n">
        <x:v>2.939047619</x:v>
      </x:c>
      <x:c r="U103" s="90" t="n">
        <x:v>3.32</x:v>
      </x:c>
      <x:c r="V103" s="90" t="n">
        <x:v>2.010638095</x:v>
      </x:c>
      <x:c r="W103" s="90" t="n">
        <x:v>1.309361905</x:v>
      </x:c>
      <x:c r="X103" s="102" t="n">
        <x:v>2.380178255</x:v>
      </x:c>
      <x:c r="Y103" s="102" t="n">
        <x:v>538.4970455</x:v>
      </x:c>
      <x:c r="Z103" s="102" t="n">
        <x:v>13.21326087</x:v>
      </x:c>
      <x:c r="AA103" s="102" t="n">
        <x:v>2.809277273</x:v>
      </x:c>
      <x:c r="AB103" s="103" t="n">
        <x:v>0.4432168626</x:v>
      </x:c>
      <x:c r="AC103" s="103" t="n">
        <x:v>0.5048247816</x:v>
      </x:c>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83" t="str">
        <x:v>2014-02</x:v>
      </x:c>
      <x:c r="B104" s="99" t="n">
        <x:v>2038.4925</x:v>
      </x:c>
      <x:c r="C104" s="99" t="n">
        <x:v>154.46</x:v>
      </x:c>
      <x:c r="D104" s="99" t="n">
        <x:v>330.22</x:v>
      </x:c>
      <x:c r="E104" s="99" t="n">
        <x:v>4437.11</x:v>
      </x:c>
      <x:c r="F104" s="90" t="n">
        <x:v>3.25</x:v>
      </x:c>
      <x:c r="G104" s="90" t="n">
        <x:v>0.07</x:v>
      </x:c>
      <x:c r="H104" s="90" t="n">
        <x:v>3.18</x:v>
      </x:c>
      <x:c r="I104" s="100" t="n">
        <x:v>-2756.311949</x:v>
      </x:c>
      <x:c r="J104" s="90" t="n">
        <x:v>2.497874675</x:v>
      </x:c>
      <x:c r="K104" s="90" t="n">
        <x:v>94.64558235</x:v>
      </x:c>
      <x:c r="L104" s="90" t="n">
        <x:v>15.47</x:v>
      </x:c>
      <x:c r="M104" s="101" t="n">
        <x:v>0</x:v>
      </x:c>
      <x:c r="N104" s="99" t="n">
        <x:v>44026.86</x:v>
      </x:c>
      <x:c r="O104" s="90" t="n">
        <x:v>188.25</x:v>
      </x:c>
      <x:c r="P104" s="90" t="n">
        <x:v>1.8825</x:v>
      </x:c>
      <x:c r="Q104" s="100" t="n">
        <x:v>-393.78</x:v>
      </x:c>
      <x:c r="R104" s="100" t="n">
        <x:v>621.75</x:v>
      </x:c>
      <x:c r="S104" s="90" t="n">
        <x:v>6.595</x:v>
      </x:c>
      <x:c r="T104" s="90" t="n">
        <x:v>3.1985</x:v>
      </x:c>
      <x:c r="U104" s="90" t="n">
        <x:v>3.3965</x:v>
      </x:c>
      <x:c r="V104" s="90" t="n">
        <x:v>2.035842099</x:v>
      </x:c>
      <x:c r="W104" s="90" t="n">
        <x:v>1.360657901</x:v>
      </x:c>
      <x:c r="X104" s="102" t="n">
        <x:v>2.383375001</x:v>
      </x:c>
      <x:c r="Y104" s="102" t="n">
        <x:v>554.4525</x:v>
      </x:c>
      <x:c r="Z104" s="102" t="n">
        <x:v>13.2786</x:v>
      </x:c>
      <x:c r="AA104" s="102" t="n">
        <x:v>2.81255</x:v>
      </x:c>
      <x:c r="AB104" s="103" t="n">
        <x:v>0.3327563874</x:v>
      </x:c>
      <x:c r="AC104" s="103" t="n">
        <x:v>0.2754486755</x:v>
      </x:c>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83" t="str">
        <x:v>2014-03</x:v>
      </x:c>
      <x:c r="B105" s="99" t="n">
        <x:v>2019.713226</x:v>
      </x:c>
      <x:c r="C105" s="99" t="n">
        <x:v>157.03</x:v>
      </x:c>
      <x:c r="D105" s="99" t="n">
        <x:v>338.7</x:v>
      </x:c>
      <x:c r="E105" s="99" t="n">
        <x:v>4441.64</x:v>
      </x:c>
      <x:c r="F105" s="90" t="n">
        <x:v>3.25</x:v>
      </x:c>
      <x:c r="G105" s="90" t="n">
        <x:v>0.08</x:v>
      </x:c>
      <x:c r="H105" s="90" t="n">
        <x:v>3.17</x:v>
      </x:c>
      <x:c r="I105" s="100" t="n">
        <x:v>-4104.442797</x:v>
      </x:c>
      <x:c r="J105" s="90" t="n">
        <x:v>2.523444032</x:v>
      </x:c>
      <x:c r="K105" s="90" t="n">
        <x:v>94.44082105</x:v>
      </x:c>
      <x:c r="L105" s="90" t="n">
        <x:v>14.83666667</x:v>
      </x:c>
      <x:c r="M105" s="101" t="n">
        <x:v>0</x:v>
      </x:c>
      <x:c r="N105" s="99" t="n">
        <x:v>44298.38</x:v>
      </x:c>
      <x:c r="O105" s="90" t="n">
        <x:v>176.7619048</x:v>
      </x:c>
      <x:c r="P105" s="90" t="n">
        <x:v>1.767619048</x:v>
      </x:c>
      <x:c r="Q105" s="100" t="n">
        <x:v>-549.09</x:v>
      </x:c>
      <x:c r="R105" s="100" t="n">
        <x:v>887.69</x:v>
      </x:c>
      <x:c r="S105" s="90" t="n">
        <x:v>6.3475</x:v>
      </x:c>
      <x:c r="T105" s="90" t="n">
        <x:v>3.0425</x:v>
      </x:c>
      <x:c r="U105" s="90" t="n">
        <x:v>3.305</x:v>
      </x:c>
      <x:c r="V105" s="90" t="n">
        <x:v>2.071966659</x:v>
      </x:c>
      <x:c r="W105" s="90" t="n">
        <x:v>1.233033341</x:v>
      </x:c>
      <x:c r="X105" s="102" t="n">
        <x:v>2.326471408</x:v>
      </x:c>
      <x:c r="Y105" s="102" t="n">
        <x:v>563.4209524</x:v>
      </x:c>
      <x:c r="Z105" s="102" t="n">
        <x:v>13.2025</x:v>
      </x:c>
      <x:c r="AA105" s="102" t="n">
        <x:v>2.806571429</x:v>
      </x:c>
      <x:c r="AB105" s="103" t="n">
        <x:v>-0.1911925957</x:v>
      </x:c>
      <x:c r="AC105" s="103" t="n">
        <x:v>-0.1837303259</x:v>
      </x:c>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83" t="str">
        <x:v>2014-04</x:v>
      </x:c>
      <x:c r="B106" s="99" t="n">
        <x:v>1938.360333</x:v>
      </x:c>
      <x:c r="C106" s="99" t="n">
        <x:v>154.76</x:v>
      </x:c>
      <x:c r="D106" s="99" t="n">
        <x:v>317.03</x:v>
      </x:c>
      <x:c r="E106" s="99" t="n">
        <x:v>4371.54</x:v>
      </x:c>
      <x:c r="F106" s="90" t="n">
        <x:v>3.275</x:v>
      </x:c>
      <x:c r="G106" s="90" t="n">
        <x:v>0.09</x:v>
      </x:c>
      <x:c r="H106" s="90" t="n">
        <x:v>3.185</x:v>
      </x:c>
      <x:c r="I106" s="100" t="n">
        <x:v>2549.881992</x:v>
      </x:c>
      <x:c r="J106" s="90" t="n">
        <x:v>2.707866792</x:v>
      </x:c>
      <x:c r="K106" s="90" t="n">
        <x:v>93.99555</x:v>
      </x:c>
      <x:c r="L106" s="90" t="n">
        <x:v>14.19809524</x:v>
      </x:c>
      <x:c r="M106" s="101" t="n">
        <x:v>0</x:v>
      </x:c>
      <x:c r="N106" s="99" t="n">
        <x:v>44642.4</x:v>
      </x:c>
      <x:c r="O106" s="90" t="n">
        <x:v>161.5454545</x:v>
      </x:c>
      <x:c r="P106" s="90" t="n">
        <x:v>1.615454545</x:v>
      </x:c>
      <x:c r="Q106" s="100" t="n">
        <x:v>-405.89</x:v>
      </x:c>
      <x:c r="R106" s="100" t="n">
        <x:v>902.31</x:v>
      </x:c>
      <x:c r="S106" s="90" t="n">
        <x:v>5.832</x:v>
      </x:c>
      <x:c r="T106" s="90" t="n">
        <x:v>2.729473684</x:v>
      </x:c>
      <x:c r="U106" s="90" t="n">
        <x:v>3.102526316</x:v>
      </x:c>
      <x:c r="V106" s="90" t="n">
        <x:v>2.040071425</x:v>
      </x:c>
      <x:c r="W106" s="90" t="n">
        <x:v>1.062454891</x:v>
      </x:c>
      <x:c r="X106" s="102" t="n">
        <x:v>2.233872728</x:v>
      </x:c>
      <x:c r="Y106" s="102" t="n">
        <x:v>555.1857143</x:v>
      </x:c>
      <x:c r="Z106" s="102" t="n">
        <x:v>13.06177273</x:v>
      </x:c>
      <x:c r="AA106" s="102" t="n">
        <x:v>2.79444</x:v>
      </x:c>
      <x:c r="AB106" s="103" t="n">
        <x:v>-0.7843421155</x:v>
      </x:c>
      <x:c r="AC106" s="103" t="n">
        <x:v>-0.6729206814</x:v>
      </x:c>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83" t="str">
        <x:v>2014-05</x:v>
      </x:c>
      <x:c r="B107" s="99" t="n">
        <x:v>1915.360968</x:v>
      </x:c>
      <x:c r="C107" s="99" t="n">
        <x:v>149.05</x:v>
      </x:c>
      <x:c r="D107" s="99" t="n">
        <x:v>333.13</x:v>
      </x:c>
      <x:c r="E107" s="99" t="n">
        <x:v>4308.88</x:v>
      </x:c>
      <x:c r="F107" s="90" t="n">
        <x:v>3.5</x:v>
      </x:c>
      <x:c r="G107" s="90" t="n">
        <x:v>0.09</x:v>
      </x:c>
      <x:c r="H107" s="90" t="n">
        <x:v>3.41</x:v>
      </x:c>
      <x:c r="I107" s="100" t="n">
        <x:v>-805.7828131</x:v>
      </x:c>
      <x:c r="J107" s="90" t="n">
        <x:v>2.882476329</x:v>
      </x:c>
      <x:c r="K107" s="90" t="n">
        <x:v>93.67002857</x:v>
      </x:c>
      <x:c r="L107" s="90" t="n">
        <x:v>12.4752381</x:v>
      </x:c>
      <x:c r="M107" s="101" t="n">
        <x:v>0</x:v>
      </x:c>
      <x:c r="N107" s="99" t="n">
        <x:v>45036.17</x:v>
      </x:c>
      <x:c r="O107" s="90" t="n">
        <x:v>154</x:v>
      </x:c>
      <x:c r="P107" s="90" t="n">
        <x:v>1.54</x:v>
      </x:c>
      <x:c r="Q107" s="100" t="n">
        <x:v>-457.83</x:v>
      </x:c>
      <x:c r="R107" s="100" t="n">
        <x:v>954.65</x:v>
      </x:c>
      <x:c r="S107" s="90" t="n">
        <x:v>6.056666667</x:v>
      </x:c>
      <x:c r="T107" s="90" t="n">
        <x:v>2.903333333</x:v>
      </x:c>
      <x:c r="U107" s="90" t="n">
        <x:v>3.153333333</x:v>
      </x:c>
      <x:c r="V107" s="90" t="n">
        <x:v>2.052661884</x:v>
      </x:c>
      <x:c r="W107" s="90" t="n">
        <x:v>1.100671449</x:v>
      </x:c>
      <x:c r="X107" s="102" t="n">
        <x:v>2.221268188</x:v>
      </x:c>
      <x:c r="Y107" s="102" t="n">
        <x:v>554.9156818</x:v>
      </x:c>
      <x:c r="Z107" s="102" t="n">
        <x:v>12.93015909</x:v>
      </x:c>
      <x:c r="AA107" s="102" t="n">
        <x:v>2.786952381</x:v>
      </x:c>
      <x:c r="AB107" s="103" t="n">
        <x:v>-0.2817255492</x:v>
      </x:c>
      <x:c r="AC107" s="103" t="n">
        <x:v>-0.2627954228</x:v>
      </x:c>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83" t="str">
        <x:v>2014-06</x:v>
      </x:c>
      <x:c r="B108" s="99" t="n">
        <x:v>1887.039333</x:v>
      </x:c>
      <x:c r="C108" s="99" t="n">
        <x:v>162.47</x:v>
      </x:c>
      <x:c r="D108" s="99" t="n">
        <x:v>298.39</x:v>
      </x:c>
      <x:c r="E108" s="99" t="n">
        <x:v>4234.4</x:v>
      </x:c>
      <x:c r="F108" s="90" t="n">
        <x:v>3.791666667</x:v>
      </x:c>
      <x:c r="G108" s="90" t="n">
        <x:v>0.1</x:v>
      </x:c>
      <x:c r="H108" s="90" t="n">
        <x:v>3.691666667</x:v>
      </x:c>
      <x:c r="I108" s="100" t="n">
        <x:v>-1168.040131</x:v>
      </x:c>
      <x:c r="J108" s="90" t="n">
        <x:v>3.305413646</x:v>
      </x:c>
      <x:c r="K108" s="90" t="n">
        <x:v>93.82740476</x:v>
      </x:c>
      <x:c r="L108" s="90" t="n">
        <x:v>11.54142857</x:v>
      </x:c>
      <x:c r="M108" s="101" t="n">
        <x:v>0</x:v>
      </x:c>
      <x:c r="N108" s="99" t="n">
        <x:v>45501.64</x:v>
      </x:c>
      <x:c r="O108" s="90" t="n">
        <x:v>144.2380952</x:v>
      </x:c>
      <x:c r="P108" s="90" t="n">
        <x:v>1.442380952</x:v>
      </x:c>
      <x:c r="Q108" s="100" t="n">
        <x:v>-422.78</x:v>
      </x:c>
      <x:c r="R108" s="100" t="n">
        <x:v>1106.4</x:v>
      </x:c>
      <x:c r="S108" s="90" t="n">
        <x:v>6.129444444</x:v>
      </x:c>
      <x:c r="T108" s="90" t="n">
        <x:v>2.923888889</x:v>
      </x:c>
      <x:c r="U108" s="90" t="n">
        <x:v>3.205555556</x:v>
      </x:c>
      <x:c r="V108" s="90" t="n">
        <x:v>2.10500951</x:v>
      </x:c>
      <x:c r="W108" s="90" t="n">
        <x:v>1.100546045</x:v>
      </x:c>
      <x:c r="X108" s="102" t="n">
        <x:v>2.236019055</x:v>
      </x:c>
      <x:c r="Y108" s="102" t="n">
        <x:v>553.1237048</x:v>
      </x:c>
      <x:c r="Z108" s="102" t="n">
        <x:v>12.99334524</x:v>
      </x:c>
      <x:c r="AA108" s="102" t="n">
        <x:v>2.79452381</x:v>
      </x:c>
      <x:c r="AB108" s="103" t="n">
        <x:v>-0.02481825408</x:v>
      </x:c>
      <x:c r="AC108" s="103" t="n">
        <x:v>0.03841827441</x:v>
      </x:c>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83" t="str">
        <x:v>2014-07</x:v>
      </x:c>
      <x:c r="B109" s="99" t="n">
        <x:v>1857.644194</x:v>
      </x:c>
      <x:c r="C109" s="99" t="n">
        <x:v>148.64</x:v>
      </x:c>
      <x:c r="D109" s="99" t="n">
        <x:v>346.21</x:v>
      </x:c>
      <x:c r="E109" s="99" t="n">
        <x:v>4186.38</x:v>
      </x:c>
      <x:c r="F109" s="90" t="n">
        <x:v>4</x:v>
      </x:c>
      <x:c r="G109" s="90" t="n">
        <x:v>0.09</x:v>
      </x:c>
      <x:c r="H109" s="90" t="n">
        <x:v>3.91</x:v>
      </x:c>
      <x:c r="I109" s="100" t="n">
        <x:v>-2706.775753</x:v>
      </x:c>
      <x:c r="J109" s="90" t="n">
        <x:v>3.251003553</x:v>
      </x:c>
      <x:c r="K109" s="90" t="n">
        <x:v>93.60385909</x:v>
      </x:c>
      <x:c r="L109" s="90" t="n">
        <x:v>12.29636364</x:v>
      </x:c>
      <x:c r="M109" s="101" t="n">
        <x:v>0</x:v>
      </x:c>
      <x:c r="N109" s="99" t="n">
        <x:v>46091.98</x:v>
      </x:c>
      <x:c r="O109" s="90" t="n">
        <x:v>145.4782609</x:v>
      </x:c>
      <x:c r="P109" s="90" t="n">
        <x:v>1.454782609</x:v>
      </x:c>
      <x:c r="Q109" s="100" t="n">
        <x:v>-515.55</x:v>
      </x:c>
      <x:c r="R109" s="100" t="n">
        <x:v>1241.81</x:v>
      </x:c>
      <x:c r="S109" s="90" t="n">
        <x:v>6.233913043</x:v>
      </x:c>
      <x:c r="T109" s="90" t="n">
        <x:v>3.063043478</x:v>
      </x:c>
      <x:c r="U109" s="90" t="n">
        <x:v>3.170869565</x:v>
      </x:c>
      <x:c r="V109" s="90" t="n">
        <x:v>2.138290893</x:v>
      </x:c>
      <x:c r="W109" s="90" t="n">
        <x:v>1.032578672</x:v>
      </x:c>
      <x:c r="X109" s="102" t="n">
        <x:v>2.224330436</x:v>
      </x:c>
      <x:c r="Y109" s="102" t="n">
        <x:v>559.2120609</x:v>
      </x:c>
      <x:c r="Z109" s="102" t="n">
        <x:v>12.9666413</x:v>
      </x:c>
      <x:c r="AA109" s="102" t="n">
        <x:v>2.786395238</x:v>
      </x:c>
      <x:c r="AB109" s="103" t="n">
        <x:v>-0.03860818642</x:v>
      </x:c>
      <x:c r="AC109" s="103" t="n">
        <x:v>-0.08508186806</x:v>
      </x:c>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83" t="str">
        <x:v>2014-08</x:v>
      </x:c>
      <x:c r="B110" s="99" t="n">
        <x:v>1898.125161</x:v>
      </x:c>
      <x:c r="C110" s="99" t="n">
        <x:v>151.55</x:v>
      </x:c>
      <x:c r="D110" s="99" t="n">
        <x:v>315.26</x:v>
      </x:c>
      <x:c r="E110" s="99" t="n">
        <x:v>4129.41</x:v>
      </x:c>
      <x:c r="F110" s="90" t="n">
        <x:v>4.25</x:v>
      </x:c>
      <x:c r="G110" s="90" t="n">
        <x:v>0.09</x:v>
      </x:c>
      <x:c r="H110" s="90" t="n">
        <x:v>4.16</x:v>
      </x:c>
      <x:c r="I110" s="100" t="n">
        <x:v>-5648.355493</x:v>
      </x:c>
      <x:c r="J110" s="90" t="n">
        <x:v>3.559866605</x:v>
      </x:c>
      <x:c r="K110" s="90" t="n">
        <x:v>94.58080952</x:v>
      </x:c>
      <x:c r="L110" s="90" t="n">
        <x:v>13.49190476</x:v>
      </x:c>
      <x:c r="M110" s="101" t="n">
        <x:v>0</x:v>
      </x:c>
      <x:c r="N110" s="99" t="n">
        <x:v>46705.06</x:v>
      </x:c>
      <x:c r="O110" s="90" t="n">
        <x:v>153.5714286</x:v>
      </x:c>
      <x:c r="P110" s="90" t="n">
        <x:v>1.535714286</x:v>
      </x:c>
      <x:c r="Q110" s="100" t="n">
        <x:v>-404.15</x:v>
      </x:c>
      <x:c r="R110" s="100" t="n">
        <x:v>1469.35</x:v>
      </x:c>
      <x:c r="S110" s="90" t="n">
        <x:v>6.150526316</x:v>
      </x:c>
      <x:c r="T110" s="90" t="n">
        <x:v>2.956842105</x:v>
      </x:c>
      <x:c r="U110" s="90" t="n">
        <x:v>3.193684211</x:v>
      </x:c>
      <x:c r="V110" s="90" t="n">
        <x:v>2.027733315</x:v>
      </x:c>
      <x:c r="W110" s="90" t="n">
        <x:v>1.165950896</x:v>
      </x:c>
      <x:c r="X110" s="102" t="n">
        <x:v>2.267723799</x:v>
      </x:c>
      <x:c r="Y110" s="102" t="n">
        <x:v>579.8196333</x:v>
      </x:c>
      <x:c r="Z110" s="102" t="n">
        <x:v>13.14407143</x:v>
      </x:c>
      <x:c r="AA110" s="102" t="n">
        <x:v>2.814766667</x:v>
      </x:c>
      <x:c r="AB110" s="103" t="n">
        <x:v>0.6871038693</x:v>
      </x:c>
      <x:c r="AC110" s="103" t="n">
        <x:v>0.7215510059</x:v>
      </x:c>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83" t="str">
        <x:v>2014-09</x:v>
      </x:c>
      <x:c r="B111" s="99" t="n">
        <x:v>1973.716667</x:v>
      </x:c>
      <x:c r="C111" s="99" t="n">
        <x:v>145.98</x:v>
      </x:c>
      <x:c r="D111" s="99" t="n">
        <x:v>343.28</x:v>
      </x:c>
      <x:c r="E111" s="99" t="n">
        <x:v>4118.55</x:v>
      </x:c>
      <x:c r="F111" s="90" t="n">
        <x:v>4.5</x:v>
      </x:c>
      <x:c r="G111" s="90" t="n">
        <x:v>0.09</x:v>
      </x:c>
      <x:c r="H111" s="90" t="n">
        <x:v>4.41</x:v>
      </x:c>
      <x:c r="I111" s="100" t="n">
        <x:v>3278.842819</x:v>
      </x:c>
      <x:c r="J111" s="90" t="n">
        <x:v>3.370339697</x:v>
      </x:c>
      <x:c r="K111" s="90" t="n">
        <x:v>96.12086667</x:v>
      </x:c>
      <x:c r="L111" s="90" t="n">
        <x:v>13.46666667</x:v>
      </x:c>
      <x:c r="M111" s="101" t="n">
        <x:v>0</x:v>
      </x:c>
      <x:c r="N111" s="99" t="n">
        <x:v>47106.54</x:v>
      </x:c>
      <x:c r="O111" s="90" t="n">
        <x:v>151.9090909</x:v>
      </x:c>
      <x:c r="P111" s="90" t="n">
        <x:v>1.519090909</x:v>
      </x:c>
      <x:c r="Q111" s="100" t="n">
        <x:v>-356.99</x:v>
      </x:c>
      <x:c r="R111" s="100" t="n">
        <x:v>923.79</x:v>
      </x:c>
      <x:c r="S111" s="90" t="n">
        <x:v>6.047272727</x:v>
      </x:c>
      <x:c r="T111" s="90" t="n">
        <x:v>2.882727273</x:v>
      </x:c>
      <x:c r="U111" s="90" t="n">
        <x:v>3.164545455</x:v>
      </x:c>
      <x:c r="V111" s="90" t="n">
        <x:v>1.85944761</x:v>
      </x:c>
      <x:c r="W111" s="90" t="n">
        <x:v>1.305097845</x:v>
      </x:c>
      <x:c r="X111" s="102" t="n">
        <x:v>2.332554535</x:v>
      </x:c>
      <x:c r="Y111" s="102" t="n">
        <x:v>594.2876136</x:v>
      </x:c>
      <x:c r="Z111" s="102" t="n">
        <x:v>13.23838636</x:v>
      </x:c>
      <x:c r="AA111" s="102" t="n">
        <x:v>2.864695455</x:v>
      </x:c>
      <x:c r="AB111" s="103" t="n">
        <x:v>0.5465466648</x:v>
      </x:c>
      <x:c r="AC111" s="103" t="n">
        <x:v>0.7660173235</x:v>
      </x:c>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83" t="str">
        <x:v>2014-10</x:v>
      </x:c>
      <x:c r="B112" s="99" t="n">
        <x:v>2048.567419</x:v>
      </x:c>
      <x:c r="C112" s="99" t="n">
        <x:v>133.69</x:v>
      </x:c>
      <x:c r="D112" s="99" t="n">
        <x:v>349.25</x:v>
      </x:c>
      <x:c r="E112" s="99" t="n">
        <x:v>4099.51</x:v>
      </x:c>
      <x:c r="F112" s="90" t="n">
        <x:v>4.5</x:v>
      </x:c>
      <x:c r="G112" s="90" t="n">
        <x:v>0.09</x:v>
      </x:c>
      <x:c r="H112" s="90" t="n">
        <x:v>4.41</x:v>
      </x:c>
      <x:c r="I112" s="100" t="n">
        <x:v>-3539.124574</x:v>
      </x:c>
      <x:c r="J112" s="90" t="n">
        <x:v>3.013679212</x:v>
      </x:c>
      <x:c r="K112" s="90" t="n">
        <x:v>97.43960455</x:v>
      </x:c>
      <x:c r="L112" s="90" t="n">
        <x:v>18.05869565</x:v>
      </x:c>
      <x:c r="M112" s="101" t="n">
        <x:v>0</x:v>
      </x:c>
      <x:c r="N112" s="99" t="n">
        <x:v>47364.58</x:v>
      </x:c>
      <x:c r="O112" s="90" t="n">
        <x:v>174.173913</x:v>
      </x:c>
      <x:c r="P112" s="90" t="n">
        <x:v>1.74173913</x:v>
      </x:c>
      <x:c r="Q112" s="100" t="n">
        <x:v>-395.14</x:v>
      </x:c>
      <x:c r="R112" s="100" t="n">
        <x:v>885.3</x:v>
      </x:c>
      <x:c r="S112" s="90" t="n">
        <x:v>6.055909091</x:v>
      </x:c>
      <x:c r="T112" s="90" t="n">
        <x:v>2.840909091</x:v>
      </x:c>
      <x:c r="U112" s="90" t="n">
        <x:v>3.215</x:v>
      </x:c>
      <x:c r="V112" s="90" t="n">
        <x:v>1.675463633</x:v>
      </x:c>
      <x:c r="W112" s="90" t="n">
        <x:v>1.539536367</x:v>
      </x:c>
      <x:c r="X112" s="102" t="n">
        <x:v>2.447943439</x:v>
      </x:c>
      <x:c r="Y112" s="102" t="n">
        <x:v>588.3092652</x:v>
      </x:c>
      <x:c r="Z112" s="102" t="n">
        <x:v>13.4796087</x:v>
      </x:c>
      <x:c r="AA112" s="102" t="n">
        <x:v>2.906709091</x:v>
      </x:c>
      <x:c r="AB112" s="103" t="n">
        <x:v>0.4259806319</x:v>
      </x:c>
      <x:c r="AC112" s="103" t="n">
        <x:v>0.6147870631</x:v>
      </x:c>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83" t="str">
        <x:v>2014-11</x:v>
      </x:c>
      <x:c r="B113" s="99" t="n">
        <x:v>2128.683667</x:v>
      </x:c>
      <x:c r="C113" s="99" t="n">
        <x:v>130.36</x:v>
      </x:c>
      <x:c r="D113" s="99" t="n">
        <x:v>324.2</x:v>
      </x:c>
      <x:c r="E113" s="99" t="n">
        <x:v>4063.1</x:v>
      </x:c>
      <x:c r="F113" s="90" t="n">
        <x:v>4.5</x:v>
      </x:c>
      <x:c r="G113" s="90" t="n">
        <x:v>0.09</x:v>
      </x:c>
      <x:c r="H113" s="90" t="n">
        <x:v>4.41</x:v>
      </x:c>
      <x:c r="I113" s="100" t="n">
        <x:v>-1325.607484</x:v>
      </x:c>
      <x:c r="J113" s="90" t="n">
        <x:v>2.848812219</x:v>
      </x:c>
      <x:c r="K113" s="90" t="n">
        <x:v>99.11468889</x:v>
      </x:c>
      <x:c r="L113" s="90" t="n">
        <x:v>13.41315789</x:v>
      </x:c>
      <x:c r="M113" s="101" t="n">
        <x:v>0</x:v>
      </x:c>
      <x:c r="N113" s="99" t="n">
        <x:v>47380.2</x:v>
      </x:c>
      <x:c r="O113" s="90" t="n">
        <x:v>172.8</x:v>
      </x:c>
      <x:c r="P113" s="90" t="n">
        <x:v>1.728</x:v>
      </x:c>
      <x:c r="Q113" s="100" t="n">
        <x:v>-265.41</x:v>
      </x:c>
      <x:c r="R113" s="100" t="n">
        <x:v>319.11</x:v>
      </x:c>
      <x:c r="S113" s="90" t="n">
        <x:v>5.736111111</x:v>
      </x:c>
      <x:c r="T113" s="90" t="n">
        <x:v>2.486666667</x:v>
      </x:c>
      <x:c r="U113" s="90" t="n">
        <x:v>3.249444444</x:v>
      </x:c>
      <x:c r="V113" s="90" t="n">
        <x:v>1.687477781</x:v>
      </x:c>
      <x:c r="W113" s="90" t="n">
        <x:v>1.561966664</x:v>
      </x:c>
      <x:c r="X113" s="102" t="n">
        <x:v>2.548040009</x:v>
      </x:c>
      <x:c r="Y113" s="102" t="n">
        <x:v>594.161385</x:v>
      </x:c>
      <x:c r="Z113" s="102" t="n">
        <x:v>13.622</x:v>
      </x:c>
      <x:c r="AA113" s="102" t="n">
        <x:v>2.92551</x:v>
      </x:c>
      <x:c r="AB113" s="103" t="n">
        <x:v>0.5107452137</x:v>
      </x:c>
      <x:c r="AC113" s="103" t="n">
        <x:v>0.5151979656</x:v>
      </x:c>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83" t="str">
        <x:v>2014-12</x:v>
      </x:c>
      <x:c r="B114" s="99" t="n">
        <x:v>2342.253548</x:v>
      </x:c>
      <x:c r="C114" s="99" t="n">
        <x:v>117.58</x:v>
      </x:c>
      <x:c r="D114" s="99" t="n">
        <x:v>444.97</x:v>
      </x:c>
      <x:c r="E114" s="99" t="n">
        <x:v>4093.21</x:v>
      </x:c>
      <x:c r="F114" s="90" t="n">
        <x:v>4.5</x:v>
      </x:c>
      <x:c r="G114" s="90" t="n">
        <x:v>0.12</x:v>
      </x:c>
      <x:c r="H114" s="90" t="n">
        <x:v>4.38</x:v>
      </x:c>
      <x:c r="I114" s="100" t="n">
        <x:v>-9517.492224</x:v>
      </x:c>
      <x:c r="J114" s="90" t="n">
        <x:v>2.406132394</x:v>
      </x:c>
      <x:c r="K114" s="90" t="n">
        <x:v>101.4441333</x:v>
      </x:c>
      <x:c r="L114" s="90" t="n">
        <x:v>16.29227273</x:v>
      </x:c>
      <x:c r="M114" s="101" t="n">
        <x:v>0</x:v>
      </x:c>
      <x:c r="N114" s="99" t="n">
        <x:v>47323.09</x:v>
      </x:c>
      <x:c r="O114" s="90" t="n">
        <x:v>199.7391304</x:v>
      </x:c>
      <x:c r="P114" s="90" t="n">
        <x:v>1.997391304</x:v>
      </x:c>
      <x:c r="Q114" s="100" t="n">
        <x:v>-357.49</x:v>
      </x:c>
      <x:c r="R114" s="100" t="n">
        <x:v>260.06</x:v>
      </x:c>
      <x:c r="S114" s="90" t="n">
        <x:v>6.112</x:v>
      </x:c>
      <x:c r="T114" s="90" t="n">
        <x:v>2.43</x:v>
      </x:c>
      <x:c r="U114" s="90" t="n">
        <x:v>3.682</x:v>
      </x:c>
      <x:c r="V114" s="90" t="n">
        <x:v>1.43580454</x:v>
      </x:c>
      <x:c r="W114" s="90" t="n">
        <x:v>2.24619546</x:v>
      </x:c>
      <x:c r="X114" s="102" t="n">
        <x:v>2.640943465</x:v>
      </x:c>
      <x:c r="Y114" s="102" t="n">
        <x:v>612.2470913</x:v>
      </x:c>
      <x:c r="Z114" s="102" t="n">
        <x:v>14.53530435</x:v>
      </x:c>
      <x:c r="AA114" s="102" t="n">
        <x:v>2.962538095</x:v>
      </x:c>
      <x:c r="AB114" s="103" t="n">
        <x:v>1.373736468</x:v>
      </x:c>
      <x:c r="AC114" s="103" t="n">
        <x:v>1.285740465</x:v>
      </x:c>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83" t="str">
        <x:v>2015-01</x:v>
      </x:c>
      <x:c r="B115" s="99" t="n">
        <x:v>2397.258065</x:v>
      </x:c>
      <x:c r="C115" s="99" t="n">
        <x:v>104.49</x:v>
      </x:c>
      <x:c r="D115" s="99" t="n">
        <x:v>349</x:v>
      </x:c>
      <x:c r="E115" s="99" t="n">
        <x:v>4089.64</x:v>
      </x:c>
      <x:c r="F115" s="90" t="n">
        <x:v>4.5</x:v>
      </x:c>
      <x:c r="G115" s="90" t="n">
        <x:v>0.11</x:v>
      </x:c>
      <x:c r="H115" s="90" t="n">
        <x:v>4.39</x:v>
      </x:c>
      <x:c r="I115" s="100" t="n">
        <x:v>4185.292315</x:v>
      </x:c>
      <x:c r="J115" s="90" t="n">
        <x:v>2.679027018</x:v>
      </x:c>
      <x:c r="K115" s="90" t="n">
        <x:v>103.76074</x:v>
      </x:c>
      <x:c r="L115" s="90" t="n">
        <x:v>19.1195</x:v>
      </x:c>
      <x:c r="M115" s="101" t="n">
        <x:v>0</x:v>
      </x:c>
      <x:c r="N115" s="99" t="n">
        <x:v>47067.16</x:v>
      </x:c>
      <x:c r="O115" s="90" t="n">
        <x:v>229.5</x:v>
      </x:c>
      <x:c r="P115" s="90" t="n">
        <x:v>2.295</x:v>
      </x:c>
      <x:c r="Q115" s="100" t="n">
        <x:v>-289.86</x:v>
      </x:c>
      <x:c r="R115" s="100" t="n">
        <x:v>10.35</x:v>
      </x:c>
      <x:c r="S115" s="90" t="n">
        <x:v>5.899</x:v>
      </x:c>
      <x:c r="T115" s="90" t="n">
        <x:v>2.348947368</x:v>
      </x:c>
      <x:c r="U115" s="90" t="n">
        <x:v>3.550052632</x:v>
      </x:c>
      <x:c r="V115" s="90" t="n">
        <x:v>1.383875</x:v>
      </x:c>
      <x:c r="W115" s="90" t="n">
        <x:v>2.166177631</x:v>
      </x:c>
      <x:c r="X115" s="102" t="n">
        <x:v>2.634918191</x:v>
      </x:c>
      <x:c r="Y115" s="102" t="n">
        <x:v>621.6387636</x:v>
      </x:c>
      <x:c r="Z115" s="102" t="n">
        <x:v>14.69686364</x:v>
      </x:c>
      <x:c r="AA115" s="102" t="n">
        <x:v>3.006785</x:v>
      </x:c>
      <x:c r="AB115" s="103" t="n">
        <x:v>0.1985991189</x:v>
      </x:c>
      <x:c r="AC115" s="103" t="n">
        <x:v>0.4495917297</x:v>
      </x:c>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83" t="str">
        <x:v>2015-02</x:v>
      </x:c>
      <x:c r="B116" s="99" t="n">
        <x:v>2420.6725</x:v>
      </x:c>
      <x:c r="C116" s="99" t="n">
        <x:v>108.98</x:v>
      </x:c>
      <x:c r="D116" s="99" t="n">
        <x:v>361.96</x:v>
      </x:c>
      <x:c r="E116" s="99" t="n">
        <x:v>4121.38</x:v>
      </x:c>
      <x:c r="F116" s="90" t="n">
        <x:v>4.5</x:v>
      </x:c>
      <x:c r="G116" s="90" t="n">
        <x:v>0.11</x:v>
      </x:c>
      <x:c r="H116" s="90" t="n">
        <x:v>4.39</x:v>
      </x:c>
      <x:c r="I116" s="100" t="n">
        <x:v>-2925.395126</x:v>
      </x:c>
      <x:c r="J116" s="90" t="n">
        <x:v>2.700039179</x:v>
      </x:c>
      <x:c r="K116" s="90" t="n">
        <x:v>105.1685389</x:v>
      </x:c>
      <x:c r="L116" s="90" t="n">
        <x:v>15.90421053</x:v>
      </x:c>
      <x:c r="M116" s="101" t="n">
        <x:v>0</x:v>
      </x:c>
      <x:c r="N116" s="99" t="n">
        <x:v>47055.26</x:v>
      </x:c>
      <x:c r="O116" s="90" t="n">
        <x:v>207.75</x:v>
      </x:c>
      <x:c r="P116" s="90" t="n">
        <x:v>2.0775</x:v>
      </x:c>
      <x:c r="Q116" s="100" t="n">
        <x:v>-241.31</x:v>
      </x:c>
      <x:c r="R116" s="100" t="n">
        <x:v>166.63</x:v>
      </x:c>
      <x:c r="S116" s="90" t="n">
        <x:v>5.6245</x:v>
      </x:c>
      <x:c r="T116" s="90" t="n">
        <x:v>2.212</x:v>
      </x:c>
      <x:c r="U116" s="90" t="n">
        <x:v>3.4125</x:v>
      </x:c>
      <x:c r="V116" s="90" t="n">
        <x:v>1.651231578</x:v>
      </x:c>
      <x:c r="W116" s="90" t="n">
        <x:v>1.761268422</x:v>
      </x:c>
      <x:c r="X116" s="102" t="n">
        <x:v>2.818399978</x:v>
      </x:c>
      <x:c r="Y116" s="102" t="n">
        <x:v>622.849655</x:v>
      </x:c>
      <x:c r="Z116" s="102" t="n">
        <x:v>14.917725</x:v>
      </x:c>
      <x:c r="AA116" s="102" t="n">
        <x:v>3.079435</x:v>
      </x:c>
      <x:c r="AB116" s="103" t="n">
        <x:v>0.7119261065</x:v>
      </x:c>
      <x:c r="AC116" s="103" t="n">
        <x:v>1.01660525</x:v>
      </x:c>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83" t="str">
        <x:v>2015-03</x:v>
      </x:c>
      <x:c r="B117" s="99" t="n">
        <x:v>2585.362258</x:v>
      </x:c>
      <x:c r="C117" s="99" t="n">
        <x:v>116.07</x:v>
      </x:c>
      <x:c r="D117" s="99" t="n">
        <x:v>435.94</x:v>
      </x:c>
      <x:c r="E117" s="99" t="n">
        <x:v>4218.62</x:v>
      </x:c>
      <x:c r="F117" s="90" t="n">
        <x:v>4.5</x:v>
      </x:c>
      <x:c r="G117" s="90" t="n">
        <x:v>0.11</x:v>
      </x:c>
      <x:c r="H117" s="90" t="n">
        <x:v>4.39</x:v>
      </x:c>
      <x:c r="I117" s="100" t="n">
        <x:v>-4438.343245</x:v>
      </x:c>
      <x:c r="J117" s="90" t="n">
        <x:v>2.741533371</x:v>
      </x:c>
      <x:c r="K117" s="90" t="n">
        <x:v>107.3647381</x:v>
      </x:c>
      <x:c r="L117" s="90" t="n">
        <x:v>14.81272727</x:v>
      </x:c>
      <x:c r="M117" s="101" t="n">
        <x:v>0</x:v>
      </x:c>
      <x:c r="N117" s="99" t="n">
        <x:v>46913.63</x:v>
      </x:c>
      <x:c r="O117" s="90" t="n">
        <x:v>221.8636364</x:v>
      </x:c>
      <x:c r="P117" s="90" t="n">
        <x:v>2.218636364</x:v>
      </x:c>
      <x:c r="Q117" s="100" t="n">
        <x:v>-267.57</x:v>
      </x:c>
      <x:c r="R117" s="100" t="n">
        <x:v>51.11</x:v>
      </x:c>
      <x:c r="S117" s="90" t="n">
        <x:v>5.967619048</x:v>
      </x:c>
      <x:c r="T117" s="90" t="n">
        <x:v>2.3315</x:v>
      </x:c>
      <x:c r="U117" s="90" t="n">
        <x:v>3.636119048</x:v>
      </x:c>
      <x:c r="V117" s="90" t="n">
        <x:v>1.69767273</x:v>
      </x:c>
      <x:c r="W117" s="90" t="n">
        <x:v>1.938446317</x:v>
      </x:c>
      <x:c r="X117" s="102" t="n">
        <x:v>3.139163635</x:v>
      </x:c>
      <x:c r="Y117" s="102" t="n">
        <x:v>628.7480773</x:v>
      </x:c>
      <x:c r="Z117" s="102" t="n">
        <x:v>15.24282955</x:v>
      </x:c>
      <x:c r="AA117" s="102" t="n">
        <x:v>3.092236364</x:v>
      </x:c>
      <x:c r="AB117" s="103" t="n">
        <x:v>1.252769852</x:v>
      </x:c>
      <x:c r="AC117" s="103" t="n">
        <x:v>1.025479316</x:v>
      </x:c>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83" t="str">
        <x:v>2015-04</x:v>
      </x:c>
      <x:c r="B118" s="99" t="n">
        <x:v>2505.248</x:v>
      </x:c>
      <x:c r="C118" s="99" t="n">
        <x:v>118.61</x:v>
      </x:c>
      <x:c r="D118" s="99" t="n">
        <x:v>352.86</x:v>
      </x:c>
      <x:c r="E118" s="99" t="n">
        <x:v>4254.45</x:v>
      </x:c>
      <x:c r="F118" s="90" t="n">
        <x:v>4.5</x:v>
      </x:c>
      <x:c r="G118" s="90" t="n">
        <x:v>0.12</x:v>
      </x:c>
      <x:c r="H118" s="90" t="n">
        <x:v>4.38</x:v>
      </x:c>
      <x:c r="I118" s="100" t="n">
        <x:v>2274.928871</x:v>
      </x:c>
      <x:c r="J118" s="90" t="n">
        <x:v>2.775702112</x:v>
      </x:c>
      <x:c r="K118" s="90" t="n">
        <x:v>106.3522818</x:v>
      </x:c>
      <x:c r="L118" s="90" t="n">
        <x:v>13.4947619</x:v>
      </x:c>
      <x:c r="M118" s="101" t="n">
        <x:v>0</x:v>
      </x:c>
      <x:c r="N118" s="99" t="n">
        <x:v>47172.99</x:v>
      </x:c>
      <x:c r="O118" s="90" t="n">
        <x:v>215.7272727</x:v>
      </x:c>
      <x:c r="P118" s="90" t="n">
        <x:v>2.157272727</x:v>
      </x:c>
      <x:c r="Q118" s="100" t="n">
        <x:v>-331.29</x:v>
      </x:c>
      <x:c r="R118" s="100" t="n">
        <x:v>593.9</x:v>
      </x:c>
      <x:c r="S118" s="90" t="n">
        <x:v>5.887</x:v>
      </x:c>
      <x:c r="T118" s="90" t="n">
        <x:v>2.486</x:v>
      </x:c>
      <x:c r="U118" s="90" t="n">
        <x:v>3.401</x:v>
      </x:c>
      <x:c r="V118" s="90" t="n">
        <x:v>1.796318195</x:v>
      </x:c>
      <x:c r="W118" s="90" t="n">
        <x:v>1.604681805</x:v>
      </x:c>
      <x:c r="X118" s="102" t="n">
        <x:v>3.047900005</x:v>
      </x:c>
      <x:c r="Y118" s="102" t="n">
        <x:v>614.0399227</x:v>
      </x:c>
      <x:c r="Z118" s="102" t="n">
        <x:v>15.22827</x:v>
      </x:c>
      <x:c r="AA118" s="102" t="n">
        <x:v>3.12064</x:v>
      </x:c>
      <x:c r="AB118" s="103" t="n">
        <x:v>-0.6781398962</x:v>
      </x:c>
      <x:c r="AC118" s="103" t="n">
        <x:v>-0.3222355442</x:v>
      </x:c>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83" t="str">
        <x:v>2015-05</x:v>
      </x:c>
      <x:c r="B119" s="99" t="n">
        <x:v>2437.535161</x:v>
      </x:c>
      <x:c r="C119" s="99" t="n">
        <x:v>123.53</x:v>
      </x:c>
      <x:c r="D119" s="99" t="n">
        <x:v>362.7</x:v>
      </x:c>
      <x:c r="E119" s="99" t="n">
        <x:v>4284.02</x:v>
      </x:c>
      <x:c r="F119" s="90" t="n">
        <x:v>4.5</x:v>
      </x:c>
      <x:c r="G119" s="90" t="n">
        <x:v>0.12</x:v>
      </x:c>
      <x:c r="H119" s="90" t="n">
        <x:v>4.38</x:v>
      </x:c>
      <x:c r="I119" s="100" t="n">
        <x:v>870.7905267</x:v>
      </x:c>
      <x:c r="J119" s="90" t="n">
        <x:v>2.567352415</x:v>
      </x:c>
      <x:c r="K119" s="90" t="n">
        <x:v>105.406515</x:v>
      </x:c>
      <x:c r="L119" s="90" t="n">
        <x:v>13.3385</x:v>
      </x:c>
      <x:c r="M119" s="101" t="n">
        <x:v>0</x:v>
      </x:c>
      <x:c r="N119" s="99" t="n">
        <x:v>47005.47</x:v>
      </x:c>
      <x:c r="O119" s="90" t="n">
        <x:v>208.952381</x:v>
      </x:c>
      <x:c r="P119" s="90" t="n">
        <x:v>2.08952381</x:v>
      </x:c>
      <x:c r="Q119" s="100" t="n">
        <x:v>-201.58</x:v>
      </x:c>
      <x:c r="R119" s="100" t="n">
        <x:v>-105.45</x:v>
      </x:c>
      <x:c r="S119" s="90" t="n">
        <x:v>5.988947368</x:v>
      </x:c>
      <x:c r="T119" s="90" t="n">
        <x:v>2.735789474</x:v>
      </x:c>
      <x:c r="U119" s="90" t="n">
        <x:v>3.253157895</x:v>
      </x:c>
      <x:c r="V119" s="90" t="n">
        <x:v>1.747645003</x:v>
      </x:c>
      <x:c r="W119" s="90" t="n">
        <x:v>1.505512892</x:v>
      </x:c>
      <x:c r="X119" s="102" t="n">
        <x:v>3.058133352</x:v>
      </x:c>
      <x:c r="Y119" s="102" t="n">
        <x:v>607.8615619</x:v>
      </x:c>
      <x:c r="Z119" s="102" t="n">
        <x:v>15.2665</x:v>
      </x:c>
      <x:c r="AA119" s="102" t="n">
        <x:v>3.151345</x:v>
      </x:c>
      <x:c r="AB119" s="103" t="n">
        <x:v>-0.1687206708</x:v>
      </x:c>
      <x:c r="AC119" s="103" t="n">
        <x:v>0.07285616795</x:v>
      </x:c>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83" t="str">
        <x:v>2015-06</x:v>
      </x:c>
      <x:c r="B120" s="99" t="n">
        <x:v>2562.477667</x:v>
      </x:c>
      <x:c r="C120" s="99" t="n">
        <x:v>122.42</x:v>
      </x:c>
      <x:c r="D120" s="99" t="n">
        <x:v>396.98</x:v>
      </x:c>
      <x:c r="E120" s="99" t="n">
        <x:v>4382.61</x:v>
      </x:c>
      <x:c r="F120" s="90" t="n">
        <x:v>4.5</x:v>
      </x:c>
      <x:c r="G120" s="90" t="n">
        <x:v>0.13</x:v>
      </x:c>
      <x:c r="H120" s="90" t="n">
        <x:v>4.37</x:v>
      </x:c>
      <x:c r="I120" s="100" t="n">
        <x:v>-1953.188952</x:v>
      </x:c>
      <x:c r="J120" s="90" t="n">
        <x:v>2.664923762</x:v>
      </x:c>
      <x:c r="K120" s="90" t="n">
        <x:v>106.1789864</x:v>
      </x:c>
      <x:c r="L120" s="90" t="n">
        <x:v>14.33954545</x:v>
      </x:c>
      <x:c r="M120" s="101" t="n">
        <x:v>0</x:v>
      </x:c>
      <x:c r="N120" s="99" t="n">
        <x:v>46975.77</x:v>
      </x:c>
      <x:c r="O120" s="90" t="n">
        <x:v>224.8636364</x:v>
      </x:c>
      <x:c r="P120" s="90" t="n">
        <x:v>2.248636364</x:v>
      </x:c>
      <x:c r="Q120" s="100" t="n">
        <x:v>-164.19</x:v>
      </x:c>
      <x:c r="R120" s="100" t="n">
        <x:v>168.05</x:v>
      </x:c>
      <x:c r="S120" s="90" t="n">
        <x:v>6.195789474</x:v>
      </x:c>
      <x:c r="T120" s="90" t="n">
        <x:v>3.014210526</x:v>
      </x:c>
      <x:c r="U120" s="90" t="n">
        <x:v>3.181578947</x:v>
      </x:c>
      <x:c r="V120" s="90" t="n">
        <x:v>1.732659085</x:v>
      </x:c>
      <x:c r="W120" s="90" t="n">
        <x:v>1.448919862</x:v>
      </x:c>
      <x:c r="X120" s="102" t="n">
        <x:v>3.111727281</x:v>
      </x:c>
      <x:c r="Y120" s="102" t="n">
        <x:v>631.7326318</x:v>
      </x:c>
      <x:c r="Z120" s="102" t="n">
        <x:v>15.50471591</x:v>
      </x:c>
      <x:c r="AA120" s="102" t="n">
        <x:v>3.161780952</x:v>
      </x:c>
      <x:c r="AB120" s="103" t="n">
        <x:v>0.7211464185</x:v>
      </x:c>
      <x:c r="AC120" s="103" t="n">
        <x:v>0.6098200608</x:v>
      </x:c>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83" t="str">
        <x:v>2015-07</x:v>
      </x:c>
      <x:c r="B121" s="99" t="n">
        <x:v>2732.035806</x:v>
      </x:c>
      <x:c r="C121" s="99" t="n">
        <x:v>115.13</x:v>
      </x:c>
      <x:c r="D121" s="99" t="n">
        <x:v>458.71</x:v>
      </x:c>
      <x:c r="E121" s="99" t="n">
        <x:v>4495.11</x:v>
      </x:c>
      <x:c r="F121" s="90" t="n">
        <x:v>4.5</x:v>
      </x:c>
      <x:c r="G121" s="90" t="n">
        <x:v>0.13</x:v>
      </x:c>
      <x:c r="H121" s="90" t="n">
        <x:v>4.37</x:v>
      </x:c>
      <x:c r="I121" s="100" t="n">
        <x:v>-3128.173274</x:v>
      </x:c>
      <x:c r="J121" s="90" t="n">
        <x:v>2.717291316</x:v>
      </x:c>
      <x:c r="K121" s="90" t="n">
        <x:v>108.1235682</x:v>
      </x:c>
      <x:c r="L121" s="90" t="n">
        <x:v>14.35272727</x:v>
      </x:c>
      <x:c r="M121" s="101" t="n">
        <x:v>0</x:v>
      </x:c>
      <x:c r="N121" s="99" t="n">
        <x:v>46845.8</x:v>
      </x:c>
      <x:c r="O121" s="90" t="n">
        <x:v>242</x:v>
      </x:c>
      <x:c r="P121" s="90" t="n">
        <x:v>2.42</x:v>
      </x:c>
      <x:c r="Q121" s="100" t="n">
        <x:v>-220.53</x:v>
      </x:c>
      <x:c r="R121" s="100" t="n">
        <x:v>-57.83</x:v>
      </x:c>
      <x:c r="S121" s="90" t="n">
        <x:v>6.352272727</x:v>
      </x:c>
      <x:c r="T121" s="90" t="n">
        <x:v>3.276818182</x:v>
      </x:c>
      <x:c r="U121" s="90" t="n">
        <x:v>3.075454545</x:v>
      </x:c>
      <x:c r="V121" s="90" t="n">
        <x:v>1.605290911</x:v>
      </x:c>
      <x:c r="W121" s="90" t="n">
        <x:v>1.470163634</x:v>
      </x:c>
      <x:c r="X121" s="102" t="n">
        <x:v>3.222817379</x:v>
      </x:c>
      <x:c r="Y121" s="102" t="n">
        <x:v>651.4216304</x:v>
      </x:c>
      <x:c r="Z121" s="102" t="n">
        <x:v>15.94103087</x:v>
      </x:c>
      <x:c r="AA121" s="102" t="n">
        <x:v>3.181965</x:v>
      </x:c>
      <x:c r="AB121" s="103" t="n">
        <x:v>0.9312664655</x:v>
      </x:c>
      <x:c r="AC121" s="103" t="n">
        <x:v>0.8289032046</x:v>
      </x:c>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83" t="str">
        <x:v>2015-08</x:v>
      </x:c>
      <x:c r="B122" s="99" t="n">
        <x:v>3012.587419</x:v>
      </x:c>
      <x:c r="C122" s="99" t="n">
        <x:v>105.94</x:v>
      </x:c>
      <x:c r="D122" s="99" t="n">
        <x:v>502.15</x:v>
      </x:c>
      <x:c r="E122" s="99" t="n">
        <x:v>4682</x:v>
      </x:c>
      <x:c r="F122" s="90" t="n">
        <x:v>4.5</x:v>
      </x:c>
      <x:c r="G122" s="90" t="n">
        <x:v>0.14</x:v>
      </x:c>
      <x:c r="H122" s="90" t="n">
        <x:v>4.36</x:v>
      </x:c>
      <x:c r="I122" s="100" t="n">
        <x:v>-4192.1143</x:v>
      </x:c>
      <x:c r="J122" s="90" t="n">
        <x:v>2.536322549</x:v>
      </x:c>
      <x:c r="K122" s="90" t="n">
        <x:v>109.9767476</x:v>
      </x:c>
      <x:c r="L122" s="90" t="n">
        <x:v>19.42809524</x:v>
      </x:c>
      <x:c r="M122" s="101" t="n">
        <x:v>0</x:v>
      </x:c>
      <x:c r="N122" s="99" t="n">
        <x:v>46703.28</x:v>
      </x:c>
      <x:c r="O122" s="90" t="n">
        <x:v>275.7142857</x:v>
      </x:c>
      <x:c r="P122" s="90" t="n">
        <x:v>2.757142857</x:v>
      </x:c>
      <x:c r="Q122" s="100" t="n">
        <x:v>-171.35</x:v>
      </x:c>
      <x:c r="R122" s="100" t="n">
        <x:v>-171.04</x:v>
      </x:c>
      <x:c r="S122" s="90" t="n">
        <x:v>6.677894737</x:v>
      </x:c>
      <x:c r="T122" s="90" t="n">
        <x:v>3.013684211</x:v>
      </x:c>
      <x:c r="U122" s="90" t="n">
        <x:v>3.664210526</x:v>
      </x:c>
      <x:c r="V122" s="90" t="n">
        <x:v>1.330823813</x:v>
      </x:c>
      <x:c r="W122" s="90" t="n">
        <x:v>2.333386713</x:v>
      </x:c>
      <x:c r="X122" s="102" t="n">
        <x:v>3.51399525</x:v>
      </x:c>
      <x:c r="Y122" s="102" t="n">
        <x:v>688.8470238</x:v>
      </x:c>
      <x:c r="Z122" s="102" t="n">
        <x:v>16.54392381</x:v>
      </x:c>
      <x:c r="AA122" s="102" t="n">
        <x:v>3.239442857</x:v>
      </x:c>
      <x:c r="AB122" s="103" t="n">
        <x:v>1.825155624</x:v>
      </x:c>
      <x:c r="AC122" s="103" t="n">
        <x:v>1.731405228</x:v>
      </x:c>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83" t="str">
        <x:v>2015-09</x:v>
      </x:c>
      <x:c r="B123" s="99" t="n">
        <x:v>3066.408</x:v>
      </x:c>
      <x:c r="C123" s="99" t="n">
        <x:v>106.31</x:v>
      </x:c>
      <x:c r="D123" s="99" t="n">
        <x:v>451.97</x:v>
      </x:c>
      <x:c r="E123" s="99" t="n">
        <x:v>4790.69</x:v>
      </x:c>
      <x:c r="F123" s="90" t="n">
        <x:v>4.525</x:v>
      </x:c>
      <x:c r="G123" s="90" t="n">
        <x:v>0.14</x:v>
      </x:c>
      <x:c r="H123" s="90" t="n">
        <x:v>4.385</x:v>
      </x:c>
      <x:c r="I123" s="100" t="n">
        <x:v>1423.223087</x:v>
      </x:c>
      <x:c r="J123" s="90" t="n">
        <x:v>2.766922547</x:v>
      </x:c>
      <x:c r="K123" s="90" t="n">
        <x:v>110.8512571</x:v>
      </x:c>
      <x:c r="L123" s="90" t="n">
        <x:v>24.37714286</x:v>
      </x:c>
      <x:c r="M123" s="101" t="n">
        <x:v>0</x:v>
      </x:c>
      <x:c r="N123" s="99" t="n">
        <x:v>46726.37</x:v>
      </x:c>
      <x:c r="O123" s="90" t="n">
        <x:v>290.7272727</x:v>
      </x:c>
      <x:c r="P123" s="90" t="n">
        <x:v>2.907272727</x:v>
      </x:c>
      <x:c r="Q123" s="100" t="n">
        <x:v>-251.93</x:v>
      </x:c>
      <x:c r="R123" s="100" t="n">
        <x:v>-50.87</x:v>
      </x:c>
      <x:c r="S123" s="90" t="n">
        <x:v>7.214090909</x:v>
      </x:c>
      <x:c r="T123" s="90" t="n">
        <x:v>2.993636364</x:v>
      </x:c>
      <x:c r="U123" s="90" t="n">
        <x:v>4.220454545</x:v>
      </x:c>
      <x:c r="V123" s="90" t="n">
        <x:v>1.220623805</x:v>
      </x:c>
      <x:c r="W123" s="90" t="n">
        <x:v>2.99983074</x:v>
      </x:c>
      <x:c r="X123" s="102" t="n">
        <x:v>3.901209105</x:v>
      </x:c>
      <x:c r="Y123" s="102" t="n">
        <x:v>691.3589818</x:v>
      </x:c>
      <x:c r="Z123" s="102" t="n">
        <x:v>16.85139091</x:v>
      </x:c>
      <x:c r="AA123" s="102" t="n">
        <x:v>3.218645455</x:v>
      </x:c>
      <x:c r="AB123" s="103" t="n">
        <x:v>1.113319359</x:v>
      </x:c>
      <x:c r="AC123" s="103" t="n">
        <x:v>0.7079092357</x:v>
      </x:c>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83" t="str">
        <x:v>2015-10</x:v>
      </x:c>
      <x:c r="B124" s="99" t="n">
        <x:v>2929.472258</x:v>
      </x:c>
      <x:c r="C124" s="99" t="n">
        <x:v>105.08</x:v>
      </x:c>
      <x:c r="D124" s="99" t="n">
        <x:v>388.73</x:v>
      </x:c>
      <x:c r="E124" s="99" t="n">
        <x:v>4830.17</x:v>
      </x:c>
      <x:c r="F124" s="90" t="n">
        <x:v>4.75</x:v>
      </x:c>
      <x:c r="G124" s="90" t="n">
        <x:v>0.12</x:v>
      </x:c>
      <x:c r="H124" s="90" t="n">
        <x:v>4.63</x:v>
      </x:c>
      <x:c r="I124" s="100" t="n">
        <x:v>-3817.656829</x:v>
      </x:c>
      <x:c r="J124" s="90" t="n">
        <x:v>2.80153607</x:v>
      </x:c>
      <x:c r="K124" s="90" t="n">
        <x:v>109.9035714</x:v>
      </x:c>
      <x:c r="L124" s="90" t="n">
        <x:v>16.78954545</x:v>
      </x:c>
      <x:c r="M124" s="101" t="n">
        <x:v>0</x:v>
      </x:c>
      <x:c r="N124" s="99" t="n">
        <x:v>46826.33</x:v>
      </x:c>
      <x:c r="O124" s="90" t="n">
        <x:v>282.4545455</x:v>
      </x:c>
      <x:c r="P124" s="90" t="n">
        <x:v>2.824545455</x:v>
      </x:c>
      <x:c r="Q124" s="100" t="n">
        <x:v>-330.84</x:v>
      </x:c>
      <x:c r="R124" s="100" t="n">
        <x:v>414.98</x:v>
      </x:c>
      <x:c r="S124" s="90" t="n">
        <x:v>7.306666667</x:v>
      </x:c>
      <x:c r="T124" s="90" t="n">
        <x:v>2.899047619</x:v>
      </x:c>
      <x:c r="U124" s="90" t="n">
        <x:v>4.407619048</x:v>
      </x:c>
      <x:c r="V124" s="90" t="n">
        <x:v>1.224066672</x:v>
      </x:c>
      <x:c r="W124" s="90" t="n">
        <x:v>3.183552376</x:v>
      </x:c>
      <x:c r="X124" s="102" t="n">
        <x:v>3.873372707</x:v>
      </x:c>
      <x:c r="Y124" s="102" t="n">
        <x:v>684.1142136</x:v>
      </x:c>
      <x:c r="Z124" s="102" t="n">
        <x:v>16.57883273</x:v>
      </x:c>
      <x:c r="AA124" s="102" t="n">
        <x:v>3.24952</x:v>
      </x:c>
      <x:c r="AB124" s="103" t="n">
        <x:v>-0.49477594</x:v>
      </x:c>
      <x:c r="AC124" s="103" t="n">
        <x:v>-0.1766039319</x:v>
      </x:c>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83" t="str">
        <x:v>2015-11</x:v>
      </x:c>
      <x:c r="B125" s="99" t="n">
        <x:v>3001.376333</x:v>
      </x:c>
      <x:c r="C125" s="99" t="n">
        <x:v>102.93</x:v>
      </x:c>
      <x:c r="D125" s="99" t="n">
        <x:v>399</x:v>
      </x:c>
      <x:c r="E125" s="99" t="n">
        <x:v>4904.97</x:v>
      </x:c>
      <x:c r="F125" s="90" t="n">
        <x:v>5.225</x:v>
      </x:c>
      <x:c r="G125" s="90" t="n">
        <x:v>0.12</x:v>
      </x:c>
      <x:c r="H125" s="90" t="n">
        <x:v>5.105</x:v>
      </x:c>
      <x:c r="I125" s="100" t="n">
        <x:v>-2772.118317</x:v>
      </x:c>
      <x:c r="J125" s="90" t="n">
        <x:v>2.981295634</x:v>
      </x:c>
      <x:c r="K125" s="90" t="n">
        <x:v>111.6916105</x:v>
      </x:c>
      <x:c r="L125" s="90" t="n">
        <x:v>16.21</x:v>
      </x:c>
      <x:c r="M125" s="101" t="n">
        <x:v>0</x:v>
      </x:c>
      <x:c r="N125" s="99" t="n">
        <x:v>46757.77</x:v>
      </x:c>
      <x:c r="O125" s="90" t="n">
        <x:v>280.3809524</x:v>
      </x:c>
      <x:c r="P125" s="90" t="n">
        <x:v>2.803809524</x:v>
      </x:c>
      <x:c r="Q125" s="100" t="n">
        <x:v>-146.75</x:v>
      </x:c>
      <x:c r="R125" s="100" t="n">
        <x:v>-154.99</x:v>
      </x:c>
      <x:c r="S125" s="90" t="n">
        <x:v>7.561578947</x:v>
      </x:c>
      <x:c r="T125" s="90" t="n">
        <x:v>2.987368421</x:v>
      </x:c>
      <x:c r="U125" s="90" t="n">
        <x:v>4.574210526</x:v>
      </x:c>
      <x:c r="V125" s="90" t="n">
        <x:v>1.32780001</x:v>
      </x:c>
      <x:c r="W125" s="90" t="n">
        <x:v>3.246410516</x:v>
      </x:c>
      <x:c r="X125" s="102" t="n">
        <x:v>3.780033339</x:v>
      </x:c>
      <x:c r="Y125" s="102" t="n">
        <x:v>704.8474905</x:v>
      </x:c>
      <x:c r="Z125" s="102" t="n">
        <x:v>16.63820762</x:v>
      </x:c>
      <x:c r="AA125" s="102" t="n">
        <x:v>3.3382</x:v>
      </x:c>
      <x:c r="AB125" s="103" t="n">
        <x:v>0.09072250098</x:v>
      </x:c>
      <x:c r="AC125" s="103" t="n">
        <x:v>0.6120419068</x:v>
      </x:c>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83" t="str">
        <x:v>2015-12</x:v>
      </x:c>
      <x:c r="B126" s="99" t="n">
        <x:v>3244.201613</x:v>
      </x:c>
      <x:c r="C126" s="99" t="n">
        <x:v>95.82</x:v>
      </x:c>
      <x:c r="D126" s="99" t="n">
        <x:v>497.4</x:v>
      </x:c>
      <x:c r="E126" s="99" t="n">
        <x:v>4957.4</x:v>
      </x:c>
      <x:c r="F126" s="90" t="n">
        <x:v>5.588709677</x:v>
      </x:c>
      <x:c r="G126" s="90" t="n">
        <x:v>0.24</x:v>
      </x:c>
      <x:c r="H126" s="90" t="n">
        <x:v>5.348709677</x:v>
      </x:c>
      <x:c r="I126" s="100" t="n">
        <x:v>-9795.834233</x:v>
      </x:c>
      <x:c r="J126" s="90" t="n">
        <x:v>3.015885516</x:v>
      </x:c>
      <x:c r="K126" s="90" t="n">
        <x:v>112.7857409</x:v>
      </x:c>
      <x:c r="L126" s="90" t="n">
        <x:v>18.02545455</x:v>
      </x:c>
      <x:c r="M126" s="101" t="n">
        <x:v>0</x:v>
      </x:c>
      <x:c r="N126" s="99" t="n">
        <x:v>46731.11</x:v>
      </x:c>
      <x:c r="O126" s="90" t="n">
        <x:v>313.7391304</x:v>
      </x:c>
      <x:c r="P126" s="90" t="n">
        <x:v>3.137391304</x:v>
      </x:c>
      <x:c r="Q126" s="100" t="n">
        <x:v>-252.16</x:v>
      </x:c>
      <x:c r="R126" s="100" t="n">
        <x:v>-31.5</x:v>
      </x:c>
      <x:c r="S126" s="90" t="n">
        <x:v>7.8875</x:v>
      </x:c>
      <x:c r="T126" s="90" t="n">
        <x:v>3.359411765</x:v>
      </x:c>
      <x:c r="U126" s="90" t="n">
        <x:v>4.528088235</x:v>
      </x:c>
      <x:c r="V126" s="90" t="n">
        <x:v>1.293045472</x:v>
      </x:c>
      <x:c r="W126" s="90" t="n">
        <x:v>3.235042763</x:v>
      </x:c>
      <x:c r="X126" s="102" t="n">
        <x:v>3.874326074</x:v>
      </x:c>
      <x:c r="Y126" s="102" t="n">
        <x:v>704.4074783</x:v>
      </x:c>
      <x:c r="Z126" s="102" t="n">
        <x:v>17.08013565</x:v>
      </x:c>
      <x:c r="AA126" s="102" t="n">
        <x:v>3.38377619</x:v>
      </x:c>
      <x:c r="AB126" s="103" t="n">
        <x:v>0.4270484975</x:v>
      </x:c>
      <x:c r="AC126" s="103" t="n">
        <x:v>0.5954961751</x:v>
      </x:c>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83" t="str">
        <x:v>2016-01</x:v>
      </x:c>
      <x:c r="B127" s="99" t="n">
        <x:v>3270.195161</x:v>
      </x:c>
      <x:c r="C127" s="99" t="n">
        <x:v>86.25</x:v>
      </x:c>
      <x:c r="D127" s="99" t="n">
        <x:v>409.29</x:v>
      </x:c>
      <x:c r="E127" s="99" t="n">
        <x:v>5017.69</x:v>
      </x:c>
      <x:c r="F127" s="90" t="n">
        <x:v>5.75</x:v>
      </x:c>
      <x:c r="G127" s="90" t="n">
        <x:v>0.34</x:v>
      </x:c>
      <x:c r="H127" s="90" t="n">
        <x:v>5.41</x:v>
      </x:c>
      <x:c r="I127" s="100" t="n">
        <x:v>1561.154616</x:v>
      </x:c>
      <x:c r="J127" s="90" t="n">
        <x:v>3.113369713</x:v>
      </x:c>
      <x:c r="K127" s="90" t="n">
        <x:v>115.2343875</x:v>
      </x:c>
      <x:c r="L127" s="90" t="n">
        <x:v>23.71789474</x:v>
      </x:c>
      <x:c r="M127" s="101" t="n">
        <x:v>0</x:v>
      </x:c>
      <x:c r="N127" s="99" t="n">
        <x:v>46734.29</x:v>
      </x:c>
      <x:c r="O127" s="90" t="n">
        <x:v>367.4285714</x:v>
      </x:c>
      <x:c r="P127" s="90" t="n">
        <x:v>3.674285714</x:v>
      </x:c>
      <x:c r="Q127" s="100" t="n">
        <x:v>-157.72</x:v>
      </x:c>
      <x:c r="R127" s="100" t="n">
        <x:v>36.65</x:v>
      </x:c>
      <x:c r="S127" s="90" t="n">
        <x:v>8.222631579</x:v>
      </x:c>
      <x:c r="T127" s="90" t="n">
        <x:v>3.561052632</x:v>
      </x:c>
      <x:c r="U127" s="90" t="n">
        <x:v>4.661578947</x:v>
      </x:c>
      <x:c r="V127" s="90" t="n">
        <x:v>1.226210525</x:v>
      </x:c>
      <x:c r="W127" s="90" t="n">
        <x:v>3.435368422</x:v>
      </x:c>
      <x:c r="X127" s="102" t="n">
        <x:v>4.045000008</x:v>
      </x:c>
      <x:c r="Y127" s="102" t="n">
        <x:v>721.5532286</x:v>
      </x:c>
      <x:c r="Z127" s="102" t="n">
        <x:v>18.04937476</x:v>
      </x:c>
      <x:c r="AA127" s="102" t="n">
        <x:v>3.43865</x:v>
      </x:c>
      <x:c r="AB127" s="103" t="n">
        <x:v>1.249890468</x:v>
      </x:c>
      <x:c r="AC127" s="103" t="n">
        <x:v>1.263435322</x:v>
      </x:c>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83" t="str">
        <x:v>2016-02</x:v>
      </x:c>
      <x:c r="B128" s="99" t="n">
        <x:v>3354.956897</x:v>
      </x:c>
      <x:c r="C128" s="99" t="n">
        <x:v>94.13</x:v>
      </x:c>
      <x:c r="D128" s="99" t="n">
        <x:v>451.42</x:v>
      </x:c>
      <x:c r="E128" s="99" t="n">
        <x:v>5107.15</x:v>
      </x:c>
      <x:c r="F128" s="90" t="n">
        <x:v>6.068965517</x:v>
      </x:c>
      <x:c r="G128" s="90" t="n">
        <x:v>0.38</x:v>
      </x:c>
      <x:c r="H128" s="90" t="n">
        <x:v>5.688965517</x:v>
      </x:c>
      <x:c r="I128" s="100" t="n">
        <x:v>-5524.624035</x:v>
      </x:c>
      <x:c r="J128" s="90" t="n">
        <x:v>3.414282317</x:v>
      </x:c>
      <x:c r="K128" s="90" t="n">
        <x:v>114.281735</x:v>
      </x:c>
      <x:c r="L128" s="90" t="n">
        <x:v>22.517</x:v>
      </x:c>
      <x:c r="M128" s="101" t="n">
        <x:v>0</x:v>
      </x:c>
      <x:c r="N128" s="99" t="n">
        <x:v>46849.39</x:v>
      </x:c>
      <x:c r="O128" s="90" t="n">
        <x:v>393.1904762</x:v>
      </x:c>
      <x:c r="P128" s="90" t="n">
        <x:v>3.931904762</x:v>
      </x:c>
      <x:c r="Q128" s="100" t="n">
        <x:v>-147.57</x:v>
      </x:c>
      <x:c r="R128" s="100" t="n">
        <x:v>54.35</x:v>
      </x:c>
      <x:c r="S128" s="90" t="n">
        <x:v>8.513333333</x:v>
      </x:c>
      <x:c r="T128" s="90" t="n">
        <x:v>3.793333333</x:v>
      </x:c>
      <x:c r="U128" s="90" t="n">
        <x:v>4.72</x:v>
      </x:c>
      <x:c r="V128" s="90" t="n">
        <x:v>1.140039995</x:v>
      </x:c>
      <x:c r="W128" s="90" t="n">
        <x:v>3.579960005</x:v>
      </x:c>
      <x:c r="X128" s="102" t="n">
        <x:v>3.966157153</x:v>
      </x:c>
      <x:c r="Y128" s="102" t="n">
        <x:v>703.1560714</x:v>
      </x:c>
      <x:c r="Z128" s="102" t="n">
        <x:v>18.46209</x:v>
      </x:c>
      <x:c r="AA128" s="102" t="n">
        <x:v>3.506957143</x:v>
      </x:c>
      <x:c r="AB128" s="103" t="n">
        <x:v>-0.3337051692</x:v>
      </x:c>
      <x:c r="AC128" s="103" t="n">
        <x:v>0.1478070936</x:v>
      </x:c>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83" t="str">
        <x:v>2016-03</x:v>
      </x:c>
      <x:c r="B129" s="99" t="n">
        <x:v>3128.789032</x:v>
      </x:c>
      <x:c r="C129" s="99" t="n">
        <x:v>103.64</x:v>
      </x:c>
      <x:c r="D129" s="99" t="n">
        <x:v>414.88</x:v>
      </x:c>
      <x:c r="E129" s="99" t="n">
        <x:v>5086.09</x:v>
      </x:c>
      <x:c r="F129" s="90" t="n">
        <x:v>6.330645161</x:v>
      </x:c>
      <x:c r="G129" s="90" t="n">
        <x:v>0.36</x:v>
      </x:c>
      <x:c r="H129" s="90" t="n">
        <x:v>5.970645161</x:v>
      </x:c>
      <x:c r="I129" s="100" t="n">
        <x:v>-3048.225588</x:v>
      </x:c>
      <x:c r="J129" s="90" t="n">
        <x:v>3.253348464</x:v>
      </x:c>
      <x:c r="K129" s="90" t="n">
        <x:v>111.8933913</x:v>
      </x:c>
      <x:c r="L129" s="90" t="n">
        <x:v>15.84909091</x:v>
      </x:c>
      <x:c r="M129" s="101" t="n">
        <x:v>0</x:v>
      </x:c>
      <x:c r="N129" s="99" t="n">
        <x:v>47224.96</x:v>
      </x:c>
      <x:c r="O129" s="90" t="n">
        <x:v>309.3043478</x:v>
      </x:c>
      <x:c r="P129" s="90" t="n">
        <x:v>3.093043478</x:v>
      </x:c>
      <x:c r="Q129" s="100" t="n">
        <x:v>-258.82</x:v>
      </x:c>
      <x:c r="R129" s="100" t="n">
        <x:v>549.21</x:v>
      </x:c>
      <x:c r="S129" s="90" t="n">
        <x:v>7.9405</x:v>
      </x:c>
      <x:c r="T129" s="90" t="n">
        <x:v>3.5855</x:v>
      </x:c>
      <x:c r="U129" s="90" t="n">
        <x:v>4.355</x:v>
      </x:c>
      <x:c r="V129" s="90" t="n">
        <x:v>1.489581813</x:v>
      </x:c>
      <x:c r="W129" s="90" t="n">
        <x:v>2.865418187</x:v>
      </x:c>
      <x:c r="X129" s="102" t="n">
        <x:v>3.703213039</x:v>
      </x:c>
      <x:c r="Y129" s="102" t="n">
        <x:v>680.3120739</x:v>
      </x:c>
      <x:c r="Z129" s="102" t="n">
        <x:v>17.6228413</x:v>
      </x:c>
      <x:c r="AA129" s="102" t="n">
        <x:v>3.406928571</x:v>
      </x:c>
      <x:c r="AB129" s="103" t="n">
        <x:v>-1.695845552</x:v>
      </x:c>
      <x:c r="AC129" s="103" t="n">
        <x:v>-1.851447177</x:v>
      </x:c>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83" t="str">
        <x:v>2016-04</x:v>
      </x:c>
      <x:c r="B130" s="99" t="n">
        <x:v>2997.727</x:v>
      </x:c>
      <x:c r="C130" s="99" t="n">
        <x:v>105.85</x:v>
      </x:c>
      <x:c r="D130" s="99" t="n">
        <x:v>399.76</x:v>
      </x:c>
      <x:c r="E130" s="99" t="n">
        <x:v>5132.99</x:v>
      </x:c>
      <x:c r="F130" s="90" t="n">
        <x:v>6.5</x:v>
      </x:c>
      <x:c r="G130" s="90" t="n">
        <x:v>0.37</x:v>
      </x:c>
      <x:c r="H130" s="90" t="n">
        <x:v>6.13</x:v>
      </x:c>
      <x:c r="I130" s="100" t="n">
        <x:v>-441.2978213</x:v>
      </x:c>
      <x:c r="J130" s="90" t="n">
        <x:v>3.567805895</x:v>
      </x:c>
      <x:c r="K130" s="90" t="n">
        <x:v>110.0170762</x:v>
      </x:c>
      <x:c r="L130" s="90" t="n">
        <x:v>14.30047619</x:v>
      </x:c>
      <x:c r="M130" s="101" t="n">
        <x:v>0</x:v>
      </x:c>
      <x:c r="N130" s="99" t="n">
        <x:v>47292.95</x:v>
      </x:c>
      <x:c r="O130" s="90" t="n">
        <x:v>286.8095238</x:v>
      </x:c>
      <x:c r="P130" s="90" t="n">
        <x:v>2.868095238</x:v>
      </x:c>
      <x:c r="Q130" s="100" t="n">
        <x:v>-161.77</x:v>
      </x:c>
      <x:c r="R130" s="100" t="n">
        <x:v>118.04</x:v>
      </x:c>
      <x:c r="S130" s="90" t="n">
        <x:v>7.723333333</x:v>
      </x:c>
      <x:c r="T130" s="90" t="n">
        <x:v>3.335714286</x:v>
      </x:c>
      <x:c r="U130" s="90" t="n">
        <x:v>4.387619048</x:v>
      </x:c>
      <x:c r="V130" s="90" t="n">
        <x:v>1.533871424</x:v>
      </x:c>
      <x:c r="W130" s="90" t="n">
        <x:v>2.853747624</x:v>
      </x:c>
      <x:c r="X130" s="102" t="n">
        <x:v>3.564800001</x:v>
      </x:c>
      <x:c r="Y130" s="102" t="n">
        <x:v>669.6329667</x:v>
      </x:c>
      <x:c r="Z130" s="102" t="n">
        <x:v>17.46794571</x:v>
      </x:c>
      <x:c r="AA130" s="102" t="n">
        <x:v>3.3011</x:v>
      </x:c>
      <x:c r="AB130" s="103" t="n">
        <x:v>-0.7525010312</x:v>
      </x:c>
      <x:c r="AC130" s="103" t="n">
        <x:v>-1.19659207</x:v>
      </x:c>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83" t="str">
        <x:v>2016-05</x:v>
      </x:c>
      <x:c r="B131" s="99" t="n">
        <x:v>2993.508387</x:v>
      </x:c>
      <x:c r="C131" s="99" t="n">
        <x:v>112.65</x:v>
      </x:c>
      <x:c r="D131" s="99" t="n">
        <x:v>433.51</x:v>
      </x:c>
      <x:c r="E131" s="99" t="n">
        <x:v>5203.8</x:v>
      </x:c>
      <x:c r="F131" s="90" t="n">
        <x:v>6.991935484</x:v>
      </x:c>
      <x:c r="G131" s="90" t="n">
        <x:v>0.37</x:v>
      </x:c>
      <x:c r="H131" s="90" t="n">
        <x:v>6.621935484</x:v>
      </x:c>
      <x:c r="I131" s="100" t="n">
        <x:v>294.7500988</x:v>
      </x:c>
      <x:c r="J131" s="90" t="n">
        <x:v>3.634494068</x:v>
      </x:c>
      <x:c r="K131" s="90" t="n">
        <x:v>111.1405143</x:v>
      </x:c>
      <x:c r="L131" s="90" t="n">
        <x:v>14.85285714</x:v>
      </x:c>
      <x:c r="M131" s="101" t="n">
        <x:v>0</x:v>
      </x:c>
      <x:c r="N131" s="99" t="n">
        <x:v>47532.46</x:v>
      </x:c>
      <x:c r="O131" s="90" t="n">
        <x:v>291.2272727</x:v>
      </x:c>
      <x:c r="P131" s="90" t="n">
        <x:v>2.912272727</x:v>
      </x:c>
      <x:c r="Q131" s="100" t="n">
        <x:v>9.75</x:v>
      </x:c>
      <x:c r="R131" s="100" t="n">
        <x:v>-128.79</x:v>
      </x:c>
      <x:c r="S131" s="90" t="n">
        <x:v>7.6175</x:v>
      </x:c>
      <x:c r="T131" s="90" t="n">
        <x:v>3.339</x:v>
      </x:c>
      <x:c r="U131" s="90" t="n">
        <x:v>4.2785</x:v>
      </x:c>
      <x:c r="V131" s="90" t="n">
        <x:v>1.549852366</x:v>
      </x:c>
      <x:c r="W131" s="90" t="n">
        <x:v>2.728647634</x:v>
      </x:c>
      <x:c r="X131" s="102" t="n">
        <x:v>3.540854562</x:v>
      </x:c>
      <x:c r="Y131" s="102" t="n">
        <x:v>683.3696773</x:v>
      </x:c>
      <x:c r="Z131" s="102" t="n">
        <x:v>18.08294591</x:v>
      </x:c>
      <x:c r="AA131" s="102" t="n">
        <x:v>3.334681818</x:v>
      </x:c>
      <x:c r="AB131" s="103" t="n">
        <x:v>0.5034172842</x:v>
      </x:c>
      <x:c r="AC131" s="103" t="n">
        <x:v>0.5836027138</x:v>
      </x:c>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83" t="str">
        <x:v>2016-06</x:v>
      </x:c>
      <x:c r="B132" s="99" t="n">
        <x:v>2992.858667</x:v>
      </x:c>
      <x:c r="C132" s="99" t="n">
        <x:v>115.06</x:v>
      </x:c>
      <x:c r="D132" s="99" t="n">
        <x:v>404.3</x:v>
      </x:c>
      <x:c r="E132" s="99" t="n">
        <x:v>5211.12</x:v>
      </x:c>
      <x:c r="F132" s="90" t="n">
        <x:v>7.316666667</x:v>
      </x:c>
      <x:c r="G132" s="90" t="n">
        <x:v>0.38</x:v>
      </x:c>
      <x:c r="H132" s="90" t="n">
        <x:v>6.936666667</x:v>
      </x:c>
      <x:c r="I132" s="100" t="n">
        <x:v>-1564.24087</x:v>
      </x:c>
      <x:c r="J132" s="90" t="n">
        <x:v>3.589465567</x:v>
      </x:c>
      <x:c r="K132" s="90" t="n">
        <x:v>111.5596273</x:v>
      </x:c>
      <x:c r="L132" s="90" t="n">
        <x:v>17.77454545</x:v>
      </x:c>
      <x:c r="M132" s="101" t="n">
        <x:v>0</x:v>
      </x:c>
      <x:c r="N132" s="99" t="n">
        <x:v>47025.08</x:v>
      </x:c>
      <x:c r="O132" s="90" t="n">
        <x:v>280.7727273</x:v>
      </x:c>
      <x:c r="P132" s="90" t="n">
        <x:v>2.807727273</x:v>
      </x:c>
      <x:c r="Q132" s="100" t="n">
        <x:v>-151.83</x:v>
      </x:c>
      <x:c r="R132" s="100" t="n">
        <x:v>-424.57</x:v>
      </x:c>
      <x:c r="S132" s="90" t="n">
        <x:v>7.426190476</x:v>
      </x:c>
      <x:c r="T132" s="90" t="n">
        <x:v>3.416190476</x:v>
      </x:c>
      <x:c r="U132" s="90" t="n">
        <x:v>4.01</x:v>
      </x:c>
      <x:c r="V132" s="90" t="n">
        <x:v>1.450309082</x:v>
      </x:c>
      <x:c r="W132" s="90" t="n">
        <x:v>2.559690918</x:v>
      </x:c>
      <x:c r="X132" s="102" t="n">
        <x:v>3.424177267</x:v>
      </x:c>
      <x:c r="Y132" s="102" t="n">
        <x:v>679.6082818</x:v>
      </x:c>
      <x:c r="Z132" s="102" t="n">
        <x:v>18.57009682</x:v>
      </x:c>
      <x:c r="AA132" s="102" t="n">
        <x:v>3.3161</x:v>
      </x:c>
      <x:c r="AB132" s="103" t="n">
        <x:v>-0.1583088956</x:v>
      </x:c>
      <x:c r="AC132" s="103" t="n">
        <x:v>-0.2286578604</x:v>
      </x:c>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83" t="str">
        <x:v>2016-07</x:v>
      </x:c>
      <x:c r="B133" s="99" t="n">
        <x:v>2960.999677</x:v>
      </x:c>
      <x:c r="C133" s="99" t="n">
        <x:v>111.35</x:v>
      </x:c>
      <x:c r="D133" s="99" t="n">
        <x:v>399.62</x:v>
      </x:c>
      <x:c r="E133" s="99" t="n">
        <x:v>5152.03</x:v>
      </x:c>
      <x:c r="F133" s="90" t="n">
        <x:v>7.5</x:v>
      </x:c>
      <x:c r="G133" s="90" t="n">
        <x:v>0.39</x:v>
      </x:c>
      <x:c r="H133" s="90" t="n">
        <x:v>7.11</x:v>
      </x:c>
      <x:c r="I133" s="100" t="n">
        <x:v>-6505.047012</x:v>
      </x:c>
      <x:c r="J133" s="90" t="n">
        <x:v>3.980406075</x:v>
      </x:c>
      <x:c r="K133" s="90" t="n">
        <x:v>112.47729</x:v>
      </x:c>
      <x:c r="L133" s="90" t="n">
        <x:v>13.1585</x:v>
      </x:c>
      <x:c r="M133" s="101" t="n">
        <x:v>0</x:v>
      </x:c>
      <x:c r="N133" s="99" t="n">
        <x:v>47091.19</x:v>
      </x:c>
      <x:c r="O133" s="90" t="n">
        <x:v>249.8095238</x:v>
      </x:c>
      <x:c r="P133" s="90" t="n">
        <x:v>2.498095238</x:v>
      </x:c>
      <x:c r="Q133" s="100" t="n">
        <x:v>-43.5</x:v>
      </x:c>
      <x:c r="R133" s="100" t="n">
        <x:v>-30.32</x:v>
      </x:c>
      <x:c r="S133" s="90" t="n">
        <x:v>7.081578947</x:v>
      </x:c>
      <x:c r="T133" s="90" t="n">
        <x:v>3.08</x:v>
      </x:c>
      <x:c r="U133" s="90" t="n">
        <x:v>4.001578947</x:v>
      </x:c>
      <x:c r="V133" s="90" t="n">
        <x:v>1.39623999</x:v>
      </x:c>
      <x:c r="W133" s="90" t="n">
        <x:v>2.605338957</x:v>
      </x:c>
      <x:c r="X133" s="102" t="n">
        <x:v>3.275266647</x:v>
      </x:c>
      <x:c r="Y133" s="102" t="n">
        <x:v>656.9708524</x:v>
      </x:c>
      <x:c r="Z133" s="102" t="n">
        <x:v>18.52282762</x:v>
      </x:c>
      <x:c r="AA133" s="102" t="n">
        <x:v>3.299473684</x:v>
      </x:c>
      <x:c r="AB133" s="103" t="n">
        <x:v>-0.9606139338</x:v>
      </x:c>
      <x:c r="AC133" s="103" t="n">
        <x:v>-0.8190941569</x:v>
      </x:c>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83" t="str">
        <x:v>2016-08</x:v>
      </x:c>
      <x:c r="B134" s="99" t="n">
        <x:v>2952.766774</x:v>
      </x:c>
      <x:c r="C134" s="99" t="n">
        <x:v>113.12</x:v>
      </x:c>
      <x:c r="D134" s="99" t="n">
        <x:v>453.21</x:v>
      </x:c>
      <x:c r="E134" s="99" t="n">
        <x:v>5103.09</x:v>
      </x:c>
      <x:c r="F134" s="90" t="n">
        <x:v>7.75</x:v>
      </x:c>
      <x:c r="G134" s="90" t="n">
        <x:v>0.4</x:v>
      </x:c>
      <x:c r="H134" s="90" t="n">
        <x:v>7.35</x:v>
      </x:c>
      <x:c r="I134" s="100" t="n">
        <x:v>-6591.676449</x:v>
      </x:c>
      <x:c r="J134" s="90" t="n">
        <x:v>4.258203268</x:v>
      </x:c>
      <x:c r="K134" s="90" t="n">
        <x:v>111.4383696</x:v>
      </x:c>
      <x:c r="L134" s="90" t="n">
        <x:v>12.39956522</x:v>
      </x:c>
      <x:c r="M134" s="101" t="n">
        <x:v>0</x:v>
      </x:c>
      <x:c r="N134" s="99" t="n">
        <x:v>47036.53</x:v>
      </x:c>
      <x:c r="O134" s="90" t="n">
        <x:v>234.1304348</x:v>
      </x:c>
      <x:c r="P134" s="90" t="n">
        <x:v>2.341304348</x:v>
      </x:c>
      <x:c r="Q134" s="100" t="n">
        <x:v>-230.41</x:v>
      </x:c>
      <x:c r="R134" s="100" t="n">
        <x:v>24.63</x:v>
      </x:c>
      <x:c r="S134" s="90" t="n">
        <x:v>7.170909091</x:v>
      </x:c>
      <x:c r="T134" s="90" t="n">
        <x:v>3.373636364</x:v>
      </x:c>
      <x:c r="U134" s="90" t="n">
        <x:v>3.797272727</x:v>
      </x:c>
      <x:c r="V134" s="90" t="n">
        <x:v>1.329260878</x:v>
      </x:c>
      <x:c r="W134" s="90" t="n">
        <x:v>2.468011849</x:v>
      </x:c>
      <x:c r="X134" s="102" t="n">
        <x:v>3.209356495</x:v>
      </x:c>
      <x:c r="Y134" s="102" t="n">
        <x:v>659.3605348</x:v>
      </x:c>
      <x:c r="Z134" s="102" t="n">
        <x:v>18.41910043</x:v>
      </x:c>
      <x:c r="AA134" s="102" t="n">
        <x:v>3.333827273</x:v>
      </x:c>
      <x:c r="AB134" s="103" t="n">
        <x:v>-0.3097098478</x:v>
      </x:c>
      <x:c r="AC134" s="103" t="n">
        <x:v>-0.02148612242</x:v>
      </x:c>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83" t="str">
        <x:v>2016-09</x:v>
      </x:c>
      <x:c r="B135" s="99" t="n">
        <x:v>2924.265333</x:v>
      </x:c>
      <x:c r="C135" s="99" t="n">
        <x:v>113.7</x:v>
      </x:c>
      <x:c r="D135" s="99" t="n">
        <x:v>413.45</x:v>
      </x:c>
      <x:c r="E135" s="99" t="n">
        <x:v>5064.57</x:v>
      </x:c>
      <x:c r="F135" s="90" t="n">
        <x:v>7.75</x:v>
      </x:c>
      <x:c r="G135" s="90" t="n">
        <x:v>0.4</x:v>
      </x:c>
      <x:c r="H135" s="90" t="n">
        <x:v>7.35</x:v>
      </x:c>
      <x:c r="I135" s="100" t="n">
        <x:v>117.3548369</x:v>
      </x:c>
      <x:c r="J135" s="90" t="n">
        <x:v>4.409383572</x:v>
      </x:c>
      <x:c r="K135" s="90" t="n">
        <x:v>112.3168619</x:v>
      </x:c>
      <x:c r="L135" s="90" t="n">
        <x:v>14.21952381</x:v>
      </x:c>
      <x:c r="M135" s="101" t="n">
        <x:v>0</x:v>
      </x:c>
      <x:c r="N135" s="99" t="n">
        <x:v>47106.05</x:v>
      </x:c>
      <x:c r="O135" s="90" t="n">
        <x:v>231.4545455</x:v>
      </x:c>
      <x:c r="P135" s="90" t="n">
        <x:v>2.314545455</x:v>
      </x:c>
      <x:c r="Q135" s="100" t="n">
        <x:v>-143.72</x:v>
      </x:c>
      <x:c r="R135" s="100" t="n">
        <x:v>-118.15</x:v>
      </x:c>
      <x:c r="S135" s="90" t="n">
        <x:v>6.720909091</x:v>
      </x:c>
      <x:c r="T135" s="90" t="n">
        <x:v>3.352272727</x:v>
      </x:c>
      <x:c r="U135" s="90" t="n">
        <x:v>3.368636364</x:v>
      </x:c>
      <x:c r="V135" s="90" t="n">
        <x:v>1.401557145</x:v>
      </x:c>
      <x:c r="W135" s="90" t="n">
        <x:v>1.967079219</x:v>
      </x:c>
      <x:c r="X135" s="102" t="n">
        <x:v>3.255563649</x:v>
      </x:c>
      <x:c r="Y135" s="102" t="n">
        <x:v>667.8723955</x:v>
      </x:c>
      <x:c r="Z135" s="102" t="n">
        <x:v>19.04943545</x:v>
      </x:c>
      <x:c r="AA135" s="102" t="n">
        <x:v>3.382459091</x:v>
      </x:c>
      <x:c r="AB135" s="103" t="n">
        <x:v>0.589903467</x:v>
      </x:c>
      <x:c r="AC135" s="103" t="n">
        <x:v>0.7361706747</x:v>
      </x:c>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83" t="str">
        <x:v>2016-10</x:v>
      </x:c>
      <x:c r="B136" s="99" t="n">
        <x:v>2929.38871</x:v>
      </x:c>
      <x:c r="C136" s="99" t="n">
        <x:v>118.75</x:v>
      </x:c>
      <x:c r="D136" s="99" t="n">
        <x:v>422.42</x:v>
      </x:c>
      <x:c r="E136" s="99" t="n">
        <x:v>5098.26</x:v>
      </x:c>
      <x:c r="F136" s="90" t="n">
        <x:v>7.75</x:v>
      </x:c>
      <x:c r="G136" s="90" t="n">
        <x:v>0.4</x:v>
      </x:c>
      <x:c r="H136" s="90" t="n">
        <x:v>7.35</x:v>
      </x:c>
      <x:c r="I136" s="100" t="n">
        <x:v>-4751.099336</x:v>
      </x:c>
      <x:c r="J136" s="90" t="n">
        <x:v>4.517448165</x:v>
      </x:c>
      <x:c r="K136" s="90" t="n">
        <x:v>113.474695</x:v>
      </x:c>
      <x:c r="L136" s="90" t="n">
        <x:v>14.5852381</x:v>
      </x:c>
      <x:c r="M136" s="101" t="n">
        <x:v>0</x:v>
      </x:c>
      <x:c r="N136" s="99" t="n">
        <x:v>46966.38</x:v>
      </x:c>
      <x:c r="O136" s="90" t="n">
        <x:v>229.1904762</x:v>
      </x:c>
      <x:c r="P136" s="90" t="n">
        <x:v>2.291904762</x:v>
      </x:c>
      <x:c r="Q136" s="100" t="n">
        <x:v>-5.36</x:v>
      </x:c>
      <x:c r="R136" s="100" t="n">
        <x:v>-472.97</x:v>
      </x:c>
      <x:c r="S136" s="90" t="n">
        <x:v>6.692</x:v>
      </x:c>
      <x:c r="T136" s="90" t="n">
        <x:v>3.077</x:v>
      </x:c>
      <x:c r="U136" s="90" t="n">
        <x:v>3.615</x:v>
      </x:c>
      <x:c r="V136" s="90" t="n">
        <x:v>1.597090006</x:v>
      </x:c>
      <x:c r="W136" s="90" t="n">
        <x:v>2.017909994</x:v>
      </x:c>
      <x:c r="X136" s="102" t="n">
        <x:v>3.186866658</x:v>
      </x:c>
      <x:c r="Y136" s="102" t="n">
        <x:v>663.3505857</x:v>
      </x:c>
      <x:c r="Z136" s="102" t="n">
        <x:v>18.82844571</x:v>
      </x:c>
      <x:c r="AA136" s="102" t="n">
        <x:v>3.386019048</x:v>
      </x:c>
      <x:c r="AB136" s="103" t="n">
        <x:v>-0.5213670002</x:v>
      </x:c>
      <x:c r="AC136" s="103" t="n">
        <x:v>-0.3674039987</x:v>
      </x:c>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83" t="str">
        <x:v>2016-11</x:v>
      </x:c>
      <x:c r="B137" s="99" t="n">
        <x:v>3110.258667</x:v>
      </x:c>
      <x:c r="C137" s="99" t="n">
        <x:v>116.04</x:v>
      </x:c>
      <x:c r="D137" s="99" t="n">
        <x:v>478.31</x:v>
      </x:c>
      <x:c r="E137" s="99" t="n">
        <x:v>5177.57</x:v>
      </x:c>
      <x:c r="F137" s="90" t="n">
        <x:v>7.75</x:v>
      </x:c>
      <x:c r="G137" s="90" t="n">
        <x:v>0.41</x:v>
      </x:c>
      <x:c r="H137" s="90" t="n">
        <x:v>7.34</x:v>
      </x:c>
      <x:c r="I137" s="100" t="n">
        <x:v>-4847.143896</x:v>
      </x:c>
      <x:c r="J137" s="90" t="n">
        <x:v>4.757673775</x:v>
      </x:c>
      <x:c r="K137" s="90" t="n">
        <x:v>116.107515</x:v>
      </x:c>
      <x:c r="L137" s="90" t="n">
        <x:v>15.23619048</x:v>
      </x:c>
      <x:c r="M137" s="101" t="n">
        <x:v>0</x:v>
      </x:c>
      <x:c r="N137" s="99" t="n">
        <x:v>46742.28</x:v>
      </x:c>
      <x:c r="O137" s="90" t="n">
        <x:v>251.7727273</x:v>
      </x:c>
      <x:c r="P137" s="90" t="n">
        <x:v>2.517727273</x:v>
      </x:c>
      <x:c r="Q137" s="100" t="n">
        <x:v>-0.6</x:v>
      </x:c>
      <x:c r="R137" s="100" t="n">
        <x:v>-618.18</x:v>
      </x:c>
      <x:c r="S137" s="90" t="n">
        <x:v>6.95</x:v>
      </x:c>
      <x:c r="T137" s="90" t="n">
        <x:v>3.056</x:v>
      </x:c>
      <x:c r="U137" s="90" t="n">
        <x:v>3.894</x:v>
      </x:c>
      <x:c r="V137" s="90" t="n">
        <x:v>1.739534998</x:v>
      </x:c>
      <x:c r="W137" s="90" t="n">
        <x:v>2.154465002</x:v>
      </x:c>
      <x:c r="X137" s="102" t="n">
        <x:v>3.340177287</x:v>
      </x:c>
      <x:c r="Y137" s="102" t="n">
        <x:v>666.8226045</x:v>
      </x:c>
      <x:c r="Z137" s="102" t="n">
        <x:v>19.99668545</x:v>
      </x:c>
      <x:c r="AA137" s="102" t="n">
        <x:v>3.403489474</x:v>
      </x:c>
      <x:c r="AB137" s="103" t="n">
        <x:v>1.109984454</x:v>
      </x:c>
      <x:c r="AC137" s="103" t="n">
        <x:v>0.9384607938</x:v>
      </x:c>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83" t="str">
        <x:v>2016-12</x:v>
      </x:c>
      <x:c r="B138" s="99" t="n">
        <x:v>3009.863871</x:v>
      </x:c>
      <x:c r="C138" s="99" t="n">
        <x:v>122.86</x:v>
      </x:c>
      <x:c r="D138" s="99" t="n">
        <x:v>467.3</x:v>
      </x:c>
      <x:c r="E138" s="99" t="n">
        <x:v>5147.47</x:v>
      </x:c>
      <x:c r="F138" s="90" t="n">
        <x:v>7.64516129</x:v>
      </x:c>
      <x:c r="G138" s="90" t="n">
        <x:v>0.54</x:v>
      </x:c>
      <x:c r="H138" s="90" t="n">
        <x:v>7.10516129</x:v>
      </x:c>
      <x:c r="I138" s="100" t="n">
        <x:v>-3625.232331</x:v>
      </x:c>
      <x:c r="J138" s="90" t="n">
        <x:v>4.043303494</x:v>
      </x:c>
      <x:c r="K138" s="90" t="n">
        <x:v>117.9048286</x:v>
      </x:c>
      <x:c r="L138" s="90" t="n">
        <x:v>12.47238095</x:v>
      </x:c>
      <x:c r="M138" s="101" t="n">
        <x:v>0</x:v>
      </x:c>
      <x:c r="N138" s="99" t="n">
        <x:v>46674.63</x:v>
      </x:c>
      <x:c r="O138" s="90" t="n">
        <x:v>227.6363636</x:v>
      </x:c>
      <x:c r="P138" s="90" t="n">
        <x:v>2.276363636</x:v>
      </x:c>
      <x:c r="Q138" s="100" t="n">
        <x:v>-216.63</x:v>
      </x:c>
      <x:c r="R138" s="100" t="n">
        <x:v>-60.01</x:v>
      </x:c>
      <x:c r="S138" s="90" t="n">
        <x:v>6.779</x:v>
      </x:c>
      <x:c r="T138" s="90" t="n">
        <x:v>3.033684211</x:v>
      </x:c>
      <x:c r="U138" s="90" t="n">
        <x:v>3.745315789</x:v>
      </x:c>
      <x:c r="V138" s="90" t="n">
        <x:v>1.883342851</x:v>
      </x:c>
      <x:c r="W138" s="90" t="n">
        <x:v>1.861972939</x:v>
      </x:c>
      <x:c r="X138" s="102" t="n">
        <x:v>3.35196818</x:v>
      </x:c>
      <x:c r="Y138" s="102" t="n">
        <x:v>666.4767182</x:v>
      </x:c>
      <x:c r="Z138" s="102" t="n">
        <x:v>20.45695045</x:v>
      </x:c>
      <x:c r="AA138" s="102" t="n">
        <x:v>3.39542381</x:v>
      </x:c>
      <x:c r="AB138" s="103" t="n">
        <x:v>0.1949879014</x:v>
      </x:c>
      <x:c r="AC138" s="103" t="n">
        <x:v>0.1009834419</x:v>
      </x:c>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83" t="str">
        <x:v>2017-01</x:v>
      </x:c>
      <x:c r="B139" s="99" t="n">
        <x:v>2941.399355</x:v>
      </x:c>
      <x:c r="C139" s="99" t="n">
        <x:v>129.46</x:v>
      </x:c>
      <x:c r="D139" s="99" t="n">
        <x:v>436.51</x:v>
      </x:c>
      <x:c r="E139" s="99" t="n">
        <x:v>5174.69</x:v>
      </x:c>
      <x:c r="F139" s="90" t="n">
        <x:v>7.5</x:v>
      </x:c>
      <x:c r="G139" s="90" t="n">
        <x:v>0.65</x:v>
      </x:c>
      <x:c r="H139" s="90" t="n">
        <x:v>6.85</x:v>
      </x:c>
      <x:c r="I139" s="100" t="n">
        <x:v>-257.4366851</x:v>
      </x:c>
      <x:c r="J139" s="90" t="n">
        <x:v>3.99186059</x:v>
      </x:c>
      <x:c r="K139" s="90" t="n">
        <x:v>117.7857789</x:v>
      </x:c>
      <x:c r="L139" s="90" t="n">
        <x:v>11.6085</x:v>
      </x:c>
      <x:c r="M139" s="101" t="n">
        <x:v>0</x:v>
      </x:c>
      <x:c r="N139" s="99" t="n">
        <x:v>46981.59</x:v>
      </x:c>
      <x:c r="O139" s="90" t="n">
        <x:v>211.3636364</x:v>
      </x:c>
      <x:c r="P139" s="90" t="n">
        <x:v>2.113636364</x:v>
      </x:c>
      <x:c r="Q139" s="100" t="n">
        <x:v>-204.74</x:v>
      </x:c>
      <x:c r="R139" s="100" t="n">
        <x:v>355.57</x:v>
      </x:c>
      <x:c r="S139" s="90" t="n">
        <x:v>6.483333333</x:v>
      </x:c>
      <x:c r="T139" s="90" t="n">
        <x:v>2.674285714</x:v>
      </x:c>
      <x:c r="U139" s="90" t="n">
        <x:v>3.809047619</x:v>
      </x:c>
      <x:c r="V139" s="90" t="n">
        <x:v>2.004924995</x:v>
      </x:c>
      <x:c r="W139" s="90" t="n">
        <x:v>1.804122624</x:v>
      </x:c>
      <x:c r="X139" s="102" t="n">
        <x:v>3.196295446</x:v>
      </x:c>
      <x:c r="Y139" s="102" t="n">
        <x:v>660.5767136</x:v>
      </x:c>
      <x:c r="Z139" s="102" t="n">
        <x:v>21.27207091</x:v>
      </x:c>
      <x:c r="AA139" s="102" t="n">
        <x:v>3.339872727</x:v>
      </x:c>
      <x:c r="AB139" s="103" t="n">
        <x:v>-0.17863863</x:v>
      </x:c>
      <x:c r="AC139" s="103" t="n">
        <x:v>-0.4632999832</x:v>
      </x:c>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83" t="str">
        <x:v>2017-02</x:v>
      </x:c>
      <x:c r="B140" s="99" t="n">
        <x:v>2879.566786</x:v>
      </x:c>
      <x:c r="C140" s="99" t="n">
        <x:v>128.28</x:v>
      </x:c>
      <x:c r="D140" s="99" t="n">
        <x:v>392.88</x:v>
      </x:c>
      <x:c r="E140" s="99" t="n">
        <x:v>5116.15</x:v>
      </x:c>
      <x:c r="F140" s="90" t="n">
        <x:v>7.482142857</x:v>
      </x:c>
      <x:c r="G140" s="90" t="n">
        <x:v>0.66</x:v>
      </x:c>
      <x:c r="H140" s="90" t="n">
        <x:v>6.822142857</x:v>
      </x:c>
      <x:c r="I140" s="100" t="n">
        <x:v>-6420.920022</x:v>
      </x:c>
      <x:c r="J140" s="90" t="n">
        <x:v>4.089234215</x:v>
      </x:c>
      <x:c r="K140" s="90" t="n">
        <x:v>116.1203895</x:v>
      </x:c>
      <x:c r="L140" s="90" t="n">
        <x:v>11.53052632</x:v>
      </x:c>
      <x:c r="M140" s="101" t="n">
        <x:v>0</x:v>
      </x:c>
      <x:c r="N140" s="99" t="n">
        <x:v>46985.58</x:v>
      </x:c>
      <x:c r="O140" s="90" t="n">
        <x:v>199.15</x:v>
      </x:c>
      <x:c r="P140" s="90" t="n">
        <x:v>1.9915</x:v>
      </x:c>
      <x:c r="Q140" s="100" t="n">
        <x:v>-48.41</x:v>
      </x:c>
      <x:c r="R140" s="100" t="n">
        <x:v>-109.21</x:v>
      </x:c>
      <x:c r="S140" s="90" t="n">
        <x:v>6.539</x:v>
      </x:c>
      <x:c r="T140" s="90" t="n">
        <x:v>2.7295</x:v>
      </x:c>
      <x:c r="U140" s="90" t="n">
        <x:v>3.8095</x:v>
      </x:c>
      <x:c r="V140" s="90" t="n">
        <x:v>2.063836826</x:v>
      </x:c>
      <x:c r="W140" s="90" t="n">
        <x:v>1.745663174</x:v>
      </x:c>
      <x:c r="X140" s="102" t="n">
        <x:v>3.10339998</x:v>
      </x:c>
      <x:c r="Y140" s="102" t="n">
        <x:v>643.31889</x:v>
      </x:c>
      <x:c r="Z140" s="102" t="n">
        <x:v>20.2188015</x:v>
      </x:c>
      <x:c r="AA140" s="102" t="n">
        <x:v>3.259575</x:v>
      </x:c>
      <x:c r="AB140" s="103" t="n">
        <x:v>-1.309475568</x:v>
      </x:c>
      <x:c r="AC140" s="103" t="n">
        <x:v>-1.469114949</x:v>
      </x:c>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83" t="str">
        <x:v>2017-03</x:v>
      </x:c>
      <x:c r="B141" s="99" t="n">
        <x:v>2942.286129</x:v>
      </x:c>
      <x:c r="C141" s="99" t="n">
        <x:v>124.5</x:v>
      </x:c>
      <x:c r="D141" s="99" t="n">
        <x:v>479.01</x:v>
      </x:c>
      <x:c r="E141" s="99" t="n">
        <x:v>5180.28</x:v>
      </x:c>
      <x:c r="F141" s="90" t="n">
        <x:v>7.209677419</x:v>
      </x:c>
      <x:c r="G141" s="90" t="n">
        <x:v>0.79</x:v>
      </x:c>
      <x:c r="H141" s="90" t="n">
        <x:v>6.419677419</x:v>
      </x:c>
      <x:c r="I141" s="100" t="n">
        <x:v>-4048.257913</x:v>
      </x:c>
      <x:c r="J141" s="90" t="n">
        <x:v>4.19787776</x:v>
      </x:c>
      <x:c r="K141" s="90" t="n">
        <x:v>115.6558478</x:v>
      </x:c>
      <x:c r="L141" s="90" t="n">
        <x:v>11.89782609</x:v>
      </x:c>
      <x:c r="M141" s="101" t="n">
        <x:v>0</x:v>
      </x:c>
      <x:c r="N141" s="99" t="n">
        <x:v>46931.69</x:v>
      </x:c>
      <x:c r="O141" s="90" t="n">
        <x:v>195.0869565</x:v>
      </x:c>
      <x:c r="P141" s="90" t="n">
        <x:v>1.950869565</x:v>
      </x:c>
      <x:c r="Q141" s="100" t="n">
        <x:v>-98.02</x:v>
      </x:c>
      <x:c r="R141" s="100" t="n">
        <x:v>-188.46</x:v>
      </x:c>
      <x:c r="S141" s="90" t="n">
        <x:v>6.456363636</x:v>
      </x:c>
      <x:c r="T141" s="90" t="n">
        <x:v>3.054090909</x:v>
      </x:c>
      <x:c r="U141" s="90" t="n">
        <x:v>3.402272727</x:v>
      </x:c>
      <x:c r="V141" s="90" t="n">
        <x:v>2.046482625</x:v>
      </x:c>
      <x:c r="W141" s="90" t="n">
        <x:v>1.355790102</x:v>
      </x:c>
      <x:c r="X141" s="102" t="n">
        <x:v>3.127630441</x:v>
      </x:c>
      <x:c r="Y141" s="102" t="n">
        <x:v>661.9683739</x:v>
      </x:c>
      <x:c r="Z141" s="102" t="n">
        <x:v>19.22789696</x:v>
      </x:c>
      <x:c r="AA141" s="102" t="n">
        <x:v>3.263982609</x:v>
      </x:c>
      <x:c r="AB141" s="103" t="n">
        <x:v>-0.2770679549</x:v>
      </x:c>
      <x:c r="AC141" s="103" t="n">
        <x:v>-0.178158479</x:v>
      </x:c>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83" t="str">
        <x:v>2017-04</x:v>
      </x:c>
      <x:c r="B142" s="99" t="n">
        <x:v>2877.821667</x:v>
      </x:c>
      <x:c r="C142" s="99" t="n">
        <x:v>125.02</x:v>
      </x:c>
      <x:c r="D142" s="99" t="n">
        <x:v>401.64</x:v>
      </x:c>
      <x:c r="E142" s="99" t="n">
        <x:v>5182.16</x:v>
      </x:c>
      <x:c r="F142" s="90" t="n">
        <x:v>7</x:v>
      </x:c>
      <x:c r="G142" s="90" t="n">
        <x:v>0.9</x:v>
      </x:c>
      <x:c r="H142" s="90" t="n">
        <x:v>6.1</x:v>
      </x:c>
      <x:c r="I142" s="100" t="n">
        <x:v>1626.511029</x:v>
      </x:c>
      <x:c r="J142" s="90" t="n">
        <x:v>3.973230938</x:v>
      </x:c>
      <x:c r="K142" s="90" t="n">
        <x:v>114.769795</x:v>
      </x:c>
      <x:c r="L142" s="90" t="n">
        <x:v>13.13631579</x:v>
      </x:c>
      <x:c r="M142" s="101" t="n">
        <x:v>0</x:v>
      </x:c>
      <x:c r="N142" s="99" t="n">
        <x:v>46935.77</x:v>
      </x:c>
      <x:c r="O142" s="90" t="n">
        <x:v>196.7</x:v>
      </x:c>
      <x:c r="P142" s="90" t="n">
        <x:v>1.967</x:v>
      </x:c>
      <x:c r="Q142" s="100" t="n">
        <x:v>3.69</x:v>
      </x:c>
      <x:c r="R142" s="100" t="n">
        <x:v>-310.73</x:v>
      </x:c>
      <x:c r="S142" s="90" t="n">
        <x:v>6.079444444</x:v>
      </x:c>
      <x:c r="T142" s="90" t="n">
        <x:v>2.932222222</x:v>
      </x:c>
      <x:c r="U142" s="90" t="n">
        <x:v>3.147222222</x:v>
      </x:c>
      <x:c r="V142" s="90" t="n">
        <x:v>1.896189464</x:v>
      </x:c>
      <x:c r="W142" s="90" t="n">
        <x:v>1.251032758</x:v>
      </x:c>
      <x:c r="X142" s="102" t="n">
        <x:v>3.135865021</x:v>
      </x:c>
      <x:c r="Y142" s="102" t="n">
        <x:v>655.341395</x:v>
      </x:c>
      <x:c r="Z142" s="102" t="n">
        <x:v>18.756366</x:v>
      </x:c>
      <x:c r="AA142" s="102" t="n">
        <x:v>3.247755556</x:v>
      </x:c>
      <x:c r="AB142" s="103" t="n">
        <x:v>-0.5018768809</x:v>
      </x:c>
      <x:c r="AC142" s="103" t="n">
        <x:v>-0.474186997</x:v>
      </x:c>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83" t="str">
        <x:v>2017-05</x:v>
      </x:c>
      <x:c r="B143" s="99" t="n">
        <x:v>2923.612903</x:v>
      </x:c>
      <x:c r="C143" s="99" t="n">
        <x:v>123.74</x:v>
      </x:c>
      <x:c r="D143" s="99" t="n">
        <x:v>499.08</x:v>
      </x:c>
      <x:c r="E143" s="99" t="n">
        <x:v>5247.73</x:v>
      </x:c>
      <x:c r="F143" s="90" t="n">
        <x:v>6.5</x:v>
      </x:c>
      <x:c r="G143" s="90" t="n">
        <x:v>0.91</x:v>
      </x:c>
      <x:c r="H143" s="90" t="n">
        <x:v>5.59</x:v>
      </x:c>
      <x:c r="I143" s="100" t="n">
        <x:v>-53.32923461</x:v>
      </x:c>
      <x:c r="J143" s="90" t="n">
        <x:v>4.011046289</x:v>
      </x:c>
      <x:c r="K143" s="90" t="n">
        <x:v>114.2591318</x:v>
      </x:c>
      <x:c r="L143" s="90" t="n">
        <x:v>10.86227273</x:v>
      </x:c>
      <x:c r="M143" s="101" t="n">
        <x:v>0</x:v>
      </x:c>
      <x:c r="N143" s="99" t="n">
        <x:v>47152.54</x:v>
      </x:c>
      <x:c r="O143" s="90" t="n">
        <x:v>194.5652174</x:v>
      </x:c>
      <x:c r="P143" s="90" t="n">
        <x:v>1.945652174</x:v>
      </x:c>
      <x:c r="Q143" s="100" t="n">
        <x:v>-44.92</x:v>
      </x:c>
      <x:c r="R143" s="100" t="n">
        <x:v>-136.51</x:v>
      </x:c>
      <x:c r="S143" s="90" t="n">
        <x:v>5.901428571</x:v>
      </x:c>
      <x:c r="T143" s="90" t="n">
        <x:v>2.62047619</x:v>
      </x:c>
      <x:c r="U143" s="90" t="n">
        <x:v>3.280952381</x:v>
      </x:c>
      <x:c r="V143" s="90" t="n">
        <x:v>1.791736354</x:v>
      </x:c>
      <x:c r="W143" s="90" t="n">
        <x:v>1.489216027</x:v>
      </x:c>
      <x:c r="X143" s="102" t="n">
        <x:v>3.208626104</x:v>
      </x:c>
      <x:c r="Y143" s="102" t="n">
        <x:v>671.4088087</x:v>
      </x:c>
      <x:c r="Z143" s="102" t="n">
        <x:v>18.76033</x:v>
      </x:c>
      <x:c r="AA143" s="102" t="n">
        <x:v>3.273463636</x:v>
      </x:c>
      <x:c r="AB143" s="103" t="n">
        <x:v>0.4104604792</x:v>
      </x:c>
      <x:c r="AC143" s="103" t="n">
        <x:v>0.4688911009</x:v>
      </x:c>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83" t="str">
        <x:v>2017-06</x:v>
      </x:c>
      <x:c r="B144" s="99" t="n">
        <x:v>2957.098333</x:v>
      </x:c>
      <x:c r="C144" s="99" t="n">
        <x:v>122.3</x:v>
      </x:c>
      <x:c r="D144" s="99" t="n">
        <x:v>499.39</x:v>
      </x:c>
      <x:c r="E144" s="99" t="n">
        <x:v>5342.82</x:v>
      </x:c>
      <x:c r="F144" s="90" t="n">
        <x:v>6.25</x:v>
      </x:c>
      <x:c r="G144" s="90" t="n">
        <x:v>1.04</x:v>
      </x:c>
      <x:c r="H144" s="90" t="n">
        <x:v>5.21</x:v>
      </x:c>
      <x:c r="I144" s="100" t="n">
        <x:v>-3441.009172</x:v>
      </x:c>
      <x:c r="J144" s="90" t="n">
        <x:v>4.214938459</x:v>
      </x:c>
      <x:c r="K144" s="90" t="n">
        <x:v>112.7602727</x:v>
      </x:c>
      <x:c r="L144" s="90" t="n">
        <x:v>10.51363636</x:v>
      </x:c>
      <x:c r="M144" s="101" t="n">
        <x:v>0</x:v>
      </x:c>
      <x:c r="N144" s="99" t="n">
        <x:v>47234.35</x:v>
      </x:c>
      <x:c r="O144" s="90" t="n">
        <x:v>196.3636364</x:v>
      </x:c>
      <x:c r="P144" s="90" t="n">
        <x:v>1.963636364</x:v>
      </x:c>
      <x:c r="Q144" s="100" t="n">
        <x:v>37.62</x:v>
      </x:c>
      <x:c r="R144" s="100" t="n">
        <x:v>-300.78</x:v>
      </x:c>
      <x:c r="S144" s="90" t="n">
        <x:v>5.8495</x:v>
      </x:c>
      <x:c r="T144" s="90" t="n">
        <x:v>2.646</x:v>
      </x:c>
      <x:c r="U144" s="90" t="n">
        <x:v>3.2035</x:v>
      </x:c>
      <x:c r="V144" s="90" t="n">
        <x:v>1.687586373</x:v>
      </x:c>
      <x:c r="W144" s="90" t="n">
        <x:v>1.515913627</x:v>
      </x:c>
      <x:c r="X144" s="102" t="n">
        <x:v>3.29453179</x:v>
      </x:c>
      <x:c r="Y144" s="102" t="n">
        <x:v>664.5387682</x:v>
      </x:c>
      <x:c r="Z144" s="102" t="n">
        <x:v>18.10983455</x:v>
      </x:c>
      <x:c r="AA144" s="102" t="n">
        <x:v>3.267975</x:v>
      </x:c>
      <x:c r="AB144" s="103" t="n">
        <x:v>-0.413563418</x:v>
      </x:c>
      <x:c r="AC144" s="103" t="n">
        <x:v>-0.3414610178</x:v>
      </x:c>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83" t="str">
        <x:v>2017-07</x:v>
      </x:c>
      <x:c r="B145" s="99" t="n">
        <x:v>3036.583871</x:v>
      </x:c>
      <x:c r="C145" s="99" t="n">
        <x:v>122.99</x:v>
      </x:c>
      <x:c r="D145" s="99" t="n">
        <x:v>509.54</x:v>
      </x:c>
      <x:c r="E145" s="99" t="n">
        <x:v>5452.74</x:v>
      </x:c>
      <x:c r="F145" s="90" t="n">
        <x:v>5.766129032</x:v>
      </x:c>
      <x:c r="G145" s="90" t="n">
        <x:v>1.15</x:v>
      </x:c>
      <x:c r="H145" s="90" t="n">
        <x:v>4.616129032</x:v>
      </x:c>
      <x:c r="I145" s="100" t="n">
        <x:v>-6424.036542</x:v>
      </x:c>
      <x:c r="J145" s="90" t="n">
        <x:v>4.206137479</x:v>
      </x:c>
      <x:c r="K145" s="90" t="n">
        <x:v>111.060555</x:v>
      </x:c>
      <x:c r="L145" s="90" t="n">
        <x:v>10.2645</x:v>
      </x:c>
      <x:c r="M145" s="101" t="n">
        <x:v>0</x:v>
      </x:c>
      <x:c r="N145" s="99" t="n">
        <x:v>47531.09</x:v>
      </x:c>
      <x:c r="O145" s="90" t="n">
        <x:v>200.0952381</x:v>
      </x:c>
      <x:c r="P145" s="90" t="n">
        <x:v>2.000952381</x:v>
      </x:c>
      <x:c r="Q145" s="100" t="n">
        <x:v>-99.52</x:v>
      </x:c>
      <x:c r="R145" s="100" t="n">
        <x:v>115.27</x:v>
      </x:c>
      <x:c r="S145" s="90" t="n">
        <x:v>6.192105263</x:v>
      </x:c>
      <x:c r="T145" s="90" t="n">
        <x:v>2.933157895</x:v>
      </x:c>
      <x:c r="U145" s="90" t="n">
        <x:v>3.258947368</x:v>
      </x:c>
      <x:c r="V145" s="90" t="n">
        <x:v>1.699534994</x:v>
      </x:c>
      <x:c r="W145" s="90" t="n">
        <x:v>1.559412374</x:v>
      </x:c>
      <x:c r="X145" s="102" t="n">
        <x:v>3.205838095</x:v>
      </x:c>
      <x:c r="Y145" s="102" t="n">
        <x:v>657.6549</x:v>
      </x:c>
      <x:c r="Z145" s="102" t="n">
        <x:v>17.78123143</x:v>
      </x:c>
      <x:c r="AA145" s="102" t="n">
        <x:v>3.249373684</x:v>
      </x:c>
      <x:c r="AB145" s="103" t="n">
        <x:v>-0.7002852348</x:v>
      </x:c>
      <x:c r="AC145" s="103" t="n">
        <x:v>-0.6375614899</x:v>
      </x:c>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83" t="str">
        <x:v>2017-08</x:v>
      </x:c>
      <x:c r="B146" s="99" t="n">
        <x:v>2973.204839</x:v>
      </x:c>
      <x:c r="C146" s="99" t="n">
        <x:v>124.53</x:v>
      </x:c>
      <x:c r="D146" s="99" t="n">
        <x:v>503.72</x:v>
      </x:c>
      <x:c r="E146" s="99" t="n">
        <x:v>5503.25</x:v>
      </x:c>
      <x:c r="F146" s="90" t="n">
        <x:v>5.5</x:v>
      </x:c>
      <x:c r="G146" s="90" t="n">
        <x:v>1.16</x:v>
      </x:c>
      <x:c r="H146" s="90" t="n">
        <x:v>4.34</x:v>
      </x:c>
      <x:c r="I146" s="100" t="n">
        <x:v>-1423.300483</x:v>
      </x:c>
      <x:c r="J146" s="90" t="n">
        <x:v>3.644644942</x:v>
      </x:c>
      <x:c r="K146" s="90" t="n">
        <x:v>109.9058609</x:v>
      </x:c>
      <x:c r="L146" s="90" t="n">
        <x:v>11.97565217</x:v>
      </x:c>
      <x:c r="M146" s="101" t="n">
        <x:v>0</x:v>
      </x:c>
      <x:c r="N146" s="99" t="n">
        <x:v>47568.61</x:v>
      </x:c>
      <x:c r="O146" s="90" t="n">
        <x:v>200.6956522</x:v>
      </x:c>
      <x:c r="P146" s="90" t="n">
        <x:v>2.006956522</x:v>
      </x:c>
      <x:c r="Q146" s="100" t="n">
        <x:v>-123.63</x:v>
      </x:c>
      <x:c r="R146" s="100" t="n">
        <x:v>-96.92</x:v>
      </x:c>
      <x:c r="S146" s="90" t="n">
        <x:v>6.274761905</x:v>
      </x:c>
      <x:c r="T146" s="90" t="n">
        <x:v>2.897142857</x:v>
      </x:c>
      <x:c r="U146" s="90" t="n">
        <x:v>3.377619048</x:v>
      </x:c>
      <x:c r="V146" s="90" t="n">
        <x:v>1.693826095</x:v>
      </x:c>
      <x:c r="W146" s="90" t="n">
        <x:v>1.683792953</x:v>
      </x:c>
      <x:c r="X146" s="102" t="n">
        <x:v>3.150613043</x:v>
      </x:c>
      <x:c r="Y146" s="102" t="n">
        <x:v>643.4549</x:v>
      </x:c>
      <x:c r="Z146" s="102" t="n">
        <x:v>17.79015652</x:v>
      </x:c>
      <x:c r="AA146" s="102" t="n">
        <x:v>3.241559091</x:v>
      </x:c>
      <x:c r="AB146" s="103" t="n">
        <x:v>-0.5274350351</x:v>
      </x:c>
      <x:c r="AC146" s="103" t="n">
        <x:v>-0.4415420624</x:v>
      </x:c>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83" t="str">
        <x:v>2017-09</x:v>
      </x:c>
      <x:c r="B147" s="99" t="n">
        <x:v>2917.085</x:v>
      </x:c>
      <x:c r="C147" s="99" t="n">
        <x:v>129.58</x:v>
      </x:c>
      <x:c r="D147" s="99" t="n">
        <x:v>458.75</x:v>
      </x:c>
      <x:c r="E147" s="99" t="n">
        <x:v>5548.55</x:v>
      </x:c>
      <x:c r="F147" s="90" t="n">
        <x:v>5.25</x:v>
      </x:c>
      <x:c r="G147" s="90" t="n">
        <x:v>1.15</x:v>
      </x:c>
      <x:c r="H147" s="90" t="n">
        <x:v>4.1</x:v>
      </x:c>
      <x:c r="I147" s="100" t="n">
        <x:v>2208.06195</x:v>
      </x:c>
      <x:c r="J147" s="90" t="n">
        <x:v>3.417510452</x:v>
      </x:c>
      <x:c r="K147" s="90" t="n">
        <x:v>108.854245</x:v>
      </x:c>
      <x:c r="L147" s="90" t="n">
        <x:v>10.438</x:v>
      </x:c>
      <x:c r="M147" s="101" t="n">
        <x:v>0</x:v>
      </x:c>
      <x:c r="N147" s="99" t="n">
        <x:v>47514.56</x:v>
      </x:c>
      <x:c r="O147" s="90" t="n">
        <x:v>189.1904762</x:v>
      </x:c>
      <x:c r="P147" s="90" t="n">
        <x:v>1.891904762</x:v>
      </x:c>
      <x:c r="Q147" s="100" t="n">
        <x:v>-103.87</x:v>
      </x:c>
      <x:c r="R147" s="100" t="n">
        <x:v>-209.64</x:v>
      </x:c>
      <x:c r="S147" s="90" t="n">
        <x:v>6.095238095</x:v>
      </x:c>
      <x:c r="T147" s="90" t="n">
        <x:v>2.655714286</x:v>
      </x:c>
      <x:c r="U147" s="90" t="n">
        <x:v>3.43952381</x:v>
      </x:c>
      <x:c r="V147" s="90" t="n">
        <x:v>1.774534982</x:v>
      </x:c>
      <x:c r="W147" s="90" t="n">
        <x:v>1.664988827</x:v>
      </x:c>
      <x:c r="X147" s="102" t="n">
        <x:v>3.133466667</x:v>
      </x:c>
      <x:c r="Y147" s="102" t="n">
        <x:v>626.014419</x:v>
      </x:c>
      <x:c r="Z147" s="102" t="n">
        <x:v>17.79284</x:v>
      </x:c>
      <x:c r="AA147" s="102" t="n">
        <x:v>3.24652381</x:v>
      </x:c>
      <x:c r="AB147" s="103" t="n">
        <x:v>-0.4937918215</x:v>
      </x:c>
      <x:c r="AC147" s="103" t="n">
        <x:v>-0.3370986696</x:v>
      </x:c>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83" t="str">
        <x:v>2017-10</x:v>
      </x:c>
      <x:c r="B148" s="99" t="n">
        <x:v>2953.755806</x:v>
      </x:c>
      <x:c r="C148" s="99" t="n">
        <x:v>133.47</x:v>
      </x:c>
      <x:c r="D148" s="99" t="n">
        <x:v>527.61</x:v>
      </x:c>
      <x:c r="E148" s="99" t="n">
        <x:v>5653.74</x:v>
      </x:c>
      <x:c r="F148" s="90" t="n">
        <x:v>5.233870968</x:v>
      </x:c>
      <x:c r="G148" s="90" t="n">
        <x:v>1.15</x:v>
      </x:c>
      <x:c r="H148" s="90" t="n">
        <x:v>4.083870968</x:v>
      </x:c>
      <x:c r="I148" s="100" t="n">
        <x:v>-2906.501852</x:v>
      </x:c>
      <x:c r="J148" s="90" t="n">
        <x:v>3.21711332</x:v>
      </x:c>
      <x:c r="K148" s="90" t="n">
        <x:v>110.8891762</x:v>
      </x:c>
      <x:c r="L148" s="90" t="n">
        <x:v>10.12545455</x:v>
      </x:c>
      <x:c r="M148" s="101" t="n">
        <x:v>0</x:v>
      </x:c>
      <x:c r="N148" s="99" t="n">
        <x:v>47407.84</x:v>
      </x:c>
      <x:c r="O148" s="90" t="n">
        <x:v>185.3636364</x:v>
      </x:c>
      <x:c r="P148" s="90" t="n">
        <x:v>1.853636364</x:v>
      </x:c>
      <x:c r="Q148" s="100" t="n">
        <x:v>18.02</x:v>
      </x:c>
      <x:c r="R148" s="100" t="n">
        <x:v>-495.32</x:v>
      </x:c>
      <x:c r="S148" s="90" t="n">
        <x:v>6.043809524</x:v>
      </x:c>
      <x:c r="T148" s="90" t="n">
        <x:v>2.600952381</x:v>
      </x:c>
      <x:c r="U148" s="90" t="n">
        <x:v>3.442857143</x:v>
      </x:c>
      <x:c r="V148" s="90" t="n">
        <x:v>1.807942873</x:v>
      </x:c>
      <x:c r="W148" s="90" t="n">
        <x:v>1.63491427</x:v>
      </x:c>
      <x:c r="X148" s="102" t="n">
        <x:v>3.189686364</x:v>
      </x:c>
      <x:c r="Y148" s="102" t="n">
        <x:v>629.7869773</x:v>
      </x:c>
      <x:c r="Z148" s="102" t="n">
        <x:v>18.73077727</x:v>
      </x:c>
      <x:c r="AA148" s="102" t="n">
        <x:v>3.251295455</x:v>
      </x:c>
      <x:c r="AB148" s="103" t="n">
        <x:v>0.7486497355</x:v>
      </x:c>
      <x:c r="AC148" s="103" t="n">
        <x:v>0.5934911043</x:v>
      </x:c>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83" t="str">
        <x:v>2017-11</x:v>
      </x:c>
      <x:c r="B149" s="99" t="n">
        <x:v>3013.466667</x:v>
      </x:c>
      <x:c r="C149" s="99" t="n">
        <x:v>132.23</x:v>
      </x:c>
      <x:c r="D149" s="99" t="n">
        <x:v>528.26</x:v>
      </x:c>
      <x:c r="E149" s="99" t="n">
        <x:v>5703.69</x:v>
      </x:c>
      <x:c r="F149" s="90" t="n">
        <x:v>4.966666667</x:v>
      </x:c>
      <x:c r="G149" s="90" t="n">
        <x:v>1.16</x:v>
      </x:c>
      <x:c r="H149" s="90" t="n">
        <x:v>3.806666667</x:v>
      </x:c>
      <x:c r="I149" s="100" t="n">
        <x:v>-6524.460658</x:v>
      </x:c>
      <x:c r="J149" s="90" t="n">
        <x:v>3.399337069</x:v>
      </x:c>
      <x:c r="K149" s="90" t="n">
        <x:v>111.163525</x:v>
      </x:c>
      <x:c r="L149" s="90" t="n">
        <x:v>10.54047619</x:v>
      </x:c>
      <x:c r="M149" s="101" t="n">
        <x:v>0</x:v>
      </x:c>
      <x:c r="N149" s="99" t="n">
        <x:v>47395.26</x:v>
      </x:c>
      <x:c r="O149" s="90" t="n">
        <x:v>186.1363636</x:v>
      </x:c>
      <x:c r="P149" s="90" t="n">
        <x:v>1.861363636</x:v>
      </x:c>
      <x:c r="Q149" s="100" t="n">
        <x:v>-77.25</x:v>
      </x:c>
      <x:c r="R149" s="100" t="n">
        <x:v>-340.77</x:v>
      </x:c>
      <x:c r="S149" s="90" t="n">
        <x:v>6.097</x:v>
      </x:c>
      <x:c r="T149" s="90" t="n">
        <x:v>2.7095</x:v>
      </x:c>
      <x:c r="U149" s="90" t="n">
        <x:v>3.3875</x:v>
      </x:c>
      <x:c r="V149" s="90" t="n">
        <x:v>1.83486666</x:v>
      </x:c>
      <x:c r="W149" s="90" t="n">
        <x:v>1.55263334</x:v>
      </x:c>
      <x:c r="X149" s="102" t="n">
        <x:v>3.260795455</x:v>
      </x:c>
      <x:c r="Y149" s="102" t="n">
        <x:v>634.6289909</x:v>
      </x:c>
      <x:c r="Z149" s="102" t="n">
        <x:v>18.87773</x:v>
      </x:c>
      <x:c r="AA149" s="102" t="n">
        <x:v>3.240790476</x:v>
      </x:c>
      <x:c r="AB149" s="103" t="n">
        <x:v>0.2866448418</x:v>
      </x:c>
      <x:c r="AC149" s="103" t="n">
        <x:v>0.1523562085</x:v>
      </x:c>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83" t="str">
        <x:v>2017-12</x:v>
      </x:c>
      <x:c r="B150" s="99" t="n">
        <x:v>2991.761935</x:v>
      </x:c>
      <x:c r="C150" s="99" t="n">
        <x:v>139.11</x:v>
      </x:c>
      <x:c r="D150" s="99" t="n">
        <x:v>547.32</x:v>
      </x:c>
      <x:c r="E150" s="99" t="n">
        <x:v>5783.71</x:v>
      </x:c>
      <x:c r="F150" s="90" t="n">
        <x:v>4.75</x:v>
      </x:c>
      <x:c r="G150" s="90" t="n">
        <x:v>1.3</x:v>
      </x:c>
      <x:c r="H150" s="90" t="n">
        <x:v>3.45</x:v>
      </x:c>
      <x:c r="I150" s="100" t="n">
        <x:v>-5971.104678</x:v>
      </x:c>
      <x:c r="J150" s="90" t="n">
        <x:v>3.654192719</x:v>
      </x:c>
      <x:c r="K150" s="90" t="n">
        <x:v>110.87581</x:v>
      </x:c>
      <x:c r="L150" s="90" t="n">
        <x:v>10.2645</x:v>
      </x:c>
      <x:c r="M150" s="101" t="n">
        <x:v>0</x:v>
      </x:c>
      <x:c r="N150" s="99" t="n">
        <x:v>47629.04</x:v>
      </x:c>
      <x:c r="O150" s="90" t="n">
        <x:v>173.2857143</x:v>
      </x:c>
      <x:c r="P150" s="90" t="n">
        <x:v>1.732857143</x:v>
      </x:c>
      <x:c r="Q150" s="100" t="n">
        <x:v>-139.71</x:v>
      </x:c>
      <x:c r="R150" s="100" t="n">
        <x:v>-2.62</x:v>
      </x:c>
      <x:c r="S150" s="90" t="n">
        <x:v>5.911666667</x:v>
      </x:c>
      <x:c r="T150" s="90" t="n">
        <x:v>2.431666667</x:v>
      </x:c>
      <x:c r="U150" s="90" t="n">
        <x:v>3.48</x:v>
      </x:c>
      <x:c r="V150" s="90" t="n">
        <x:v>1.856864995</x:v>
      </x:c>
      <x:c r="W150" s="90" t="n">
        <x:v>1.623135005</x:v>
      </x:c>
      <x:c r="X150" s="102" t="n">
        <x:v>3.292990476</x:v>
      </x:c>
      <x:c r="Y150" s="102" t="n">
        <x:v>635.4287333</x:v>
      </x:c>
      <x:c r="Z150" s="102" t="n">
        <x:v>19.13987429</x:v>
      </x:c>
      <x:c r="AA150" s="102" t="n">
        <x:v>3.2465</x:v>
      </x:c>
      <x:c r="AB150" s="103" t="n">
        <x:v>0.1671575097</x:v>
      </x:c>
      <x:c r="AC150" s="103" t="n">
        <x:v>0.1632354768</x:v>
      </x:c>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83" t="str">
        <x:v>2018-01</x:v>
      </x:c>
      <x:c r="B151" s="99" t="n">
        <x:v>2868.572258</x:v>
      </x:c>
      <x:c r="C151" s="99" t="n">
        <x:v>140.97</x:v>
      </x:c>
      <x:c r="D151" s="99" t="n">
        <x:v>531.21</x:v>
      </x:c>
      <x:c r="E151" s="99" t="n">
        <x:v>5878.41</x:v>
      </x:c>
      <x:c r="F151" s="90" t="n">
        <x:v>4.733870968</x:v>
      </x:c>
      <x:c r="G151" s="90" t="n">
        <x:v>1.41</x:v>
      </x:c>
      <x:c r="H151" s="90" t="n">
        <x:v>3.323870968</x:v>
      </x:c>
      <x:c r="I151" s="100" t="n">
        <x:v>5175.538626</x:v>
      </x:c>
      <x:c r="J151" s="90" t="n">
        <x:v>2.85513929</x:v>
      </x:c>
      <x:c r="K151" s="90" t="n">
        <x:v>108.3567762</x:v>
      </x:c>
      <x:c r="L151" s="90" t="n">
        <x:v>11.06238095</x:v>
      </x:c>
      <x:c r="M151" s="101" t="n">
        <x:v>0</x:v>
      </x:c>
      <x:c r="N151" s="99" t="n">
        <x:v>47783.93</x:v>
      </x:c>
      <x:c r="O151" s="90" t="n">
        <x:v>159.9130435</x:v>
      </x:c>
      <x:c r="P151" s="90" t="n">
        <x:v>1.599130435</x:v>
      </x:c>
      <x:c r="Q151" s="100" t="n">
        <x:v>-227.76</x:v>
      </x:c>
      <x:c r="R151" s="100" t="n">
        <x:v>140.79</x:v>
      </x:c>
      <x:c r="S151" s="90" t="n">
        <x:v>5.851428571</x:v>
      </x:c>
      <x:c r="T151" s="90" t="n">
        <x:v>2.351428571</x:v>
      </x:c>
      <x:c r="U151" s="90" t="n">
        <x:v>3.5</x:v>
      </x:c>
      <x:c r="V151" s="90" t="n">
        <x:v>2.024304753</x:v>
      </x:c>
      <x:c r="W151" s="90" t="n">
        <x:v>1.475695247</x:v>
      </x:c>
      <x:c r="X151" s="102" t="n">
        <x:v>3.214526087</x:v>
      </x:c>
      <x:c r="Y151" s="102" t="n">
        <x:v>605.6526957</x:v>
      </x:c>
      <x:c r="Z151" s="102" t="n">
        <x:v>18.89299391</x:v>
      </x:c>
      <x:c r="AA151" s="102" t="n">
        <x:v>3.214909524</x:v>
      </x:c>
      <x:c r="AB151" s="103" t="n">
        <x:v>-1.076734371</x:v>
      </x:c>
      <x:c r="AC151" s="103" t="n">
        <x:v>-1.001759309</x:v>
      </x:c>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83" t="str">
        <x:v>2018-02</x:v>
      </x:c>
      <x:c r="B152" s="99" t="n">
        <x:v>2860.252857</x:v>
      </x:c>
      <x:c r="C152" s="99" t="n">
        <x:v>134.97</x:v>
      </x:c>
      <x:c r="D152" s="99" t="n">
        <x:v>472.96</x:v>
      </x:c>
      <x:c r="E152" s="99" t="n">
        <x:v>5958.49</x:v>
      </x:c>
      <x:c r="F152" s="90" t="n">
        <x:v>4.5</x:v>
      </x:c>
      <x:c r="G152" s="90" t="n">
        <x:v>1.42</x:v>
      </x:c>
      <x:c r="H152" s="90" t="n">
        <x:v>3.08</x:v>
      </x:c>
      <x:c r="I152" s="100" t="n">
        <x:v>-6032.619578</x:v>
      </x:c>
      <x:c r="J152" s="90" t="n">
        <x:v>2.815829311</x:v>
      </x:c>
      <x:c r="K152" s="90" t="n">
        <x:v>107.6500947</x:v>
      </x:c>
      <x:c r="L152" s="90" t="n">
        <x:v>22.46473684</x:v>
      </x:c>
      <x:c r="M152" s="101" t="n">
        <x:v>0</x:v>
      </x:c>
      <x:c r="N152" s="99" t="n">
        <x:v>47636.76</x:v>
      </x:c>
      <x:c r="O152" s="90" t="n">
        <x:v>172.9</x:v>
      </x:c>
      <x:c r="P152" s="90" t="n">
        <x:v>1.729</x:v>
      </x:c>
      <x:c r="Q152" s="100" t="n">
        <x:v>8.58</x:v>
      </x:c>
      <x:c r="R152" s="100" t="n">
        <x:v>-424.28</x:v>
      </x:c>
      <x:c r="S152" s="90" t="n">
        <x:v>6.013</x:v>
      </x:c>
      <x:c r="T152" s="90" t="n">
        <x:v>2.4685</x:v>
      </x:c>
      <x:c r="U152" s="90" t="n">
        <x:v>3.5445</x:v>
      </x:c>
      <x:c r="V152" s="90" t="n">
        <x:v>2.087878942</x:v>
      </x:c>
      <x:c r="W152" s="90" t="n">
        <x:v>1.456621058</x:v>
      </x:c>
      <x:c r="X152" s="102" t="n">
        <x:v>3.24526</x:v>
      </x:c>
      <x:c r="Y152" s="102" t="n">
        <x:v>596.221895</x:v>
      </x:c>
      <x:c r="Z152" s="102" t="n">
        <x:v>18.6114675</x:v>
      </x:c>
      <x:c r="AA152" s="102" t="n">
        <x:v>3.24881</x:v>
      </x:c>
      <x:c r="AB152" s="103" t="n">
        <x:v>-0.3920744427</x:v>
      </x:c>
      <x:c r="AC152" s="103" t="n">
        <x:v>-0.08061365941</x:v>
      </x:c>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83" t="str">
        <x:v>2018-03</x:v>
      </x:c>
      <x:c r="B153" s="99" t="n">
        <x:v>2847.930645</x:v>
      </x:c>
      <x:c r="C153" s="99" t="n">
        <x:v>135.79</x:v>
      </x:c>
      <x:c r="D153" s="99" t="n">
        <x:v>499.6</x:v>
      </x:c>
      <x:c r="E153" s="99" t="n">
        <x:v>5979.08</x:v>
      </x:c>
      <x:c r="F153" s="90" t="n">
        <x:v>4.5</x:v>
      </x:c>
      <x:c r="G153" s="90" t="n">
        <x:v>1.51</x:v>
      </x:c>
      <x:c r="H153" s="90" t="n">
        <x:v>2.99</x:v>
      </x:c>
      <x:c r="I153" s="100" t="n">
        <x:v>-4327.127948</x:v>
      </x:c>
      <x:c r="J153" s="90" t="n">
        <x:v>2.844060995</x:v>
      </x:c>
      <x:c r="K153" s="90" t="n">
        <x:v>107.947175</x:v>
      </x:c>
      <x:c r="L153" s="90" t="n">
        <x:v>19.02380952</x:v>
      </x:c>
      <x:c r="M153" s="101" t="n">
        <x:v>0</x:v>
      </x:c>
      <x:c r="N153" s="99" t="n">
        <x:v>47608.31</x:v>
      </x:c>
      <x:c r="O153" s="90" t="n">
        <x:v>178.9090909</x:v>
      </x:c>
      <x:c r="P153" s="90" t="n">
        <x:v>1.789090909</x:v>
      </x:c>
      <x:c r="Q153" s="100" t="n">
        <x:v>-119.03</x:v>
      </x:c>
      <x:c r="R153" s="100" t="n">
        <x:v>-30.65</x:v>
      </x:c>
      <x:c r="S153" s="90" t="n">
        <x:v>6.052105263</x:v>
      </x:c>
      <x:c r="T153" s="90" t="n">
        <x:v>2.705789474</x:v>
      </x:c>
      <x:c r="U153" s="90" t="n">
        <x:v>3.346315789</x:v>
      </x:c>
      <x:c r="V153" s="90" t="n">
        <x:v>2.127971445</x:v>
      </x:c>
      <x:c r="W153" s="90" t="n">
        <x:v>1.218344345</x:v>
      </x:c>
      <x:c r="X153" s="102" t="n">
        <x:v>3.280940909</x:v>
      </x:c>
      <x:c r="Y153" s="102" t="n">
        <x:v>604.1078773</x:v>
      </x:c>
      <x:c r="Z153" s="102" t="n">
        <x:v>18.59596</x:v>
      </x:c>
      <x:c r="AA153" s="102" t="n">
        <x:v>3.252255</x:v>
      </x:c>
      <x:c r="AB153" s="103" t="n">
        <x:v>0.150486674</x:v>
      </x:c>
      <x:c r="AC153" s="103" t="n">
        <x:v>0.1366452316</x:v>
      </x:c>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83" t="str">
        <x:v>2018-04</x:v>
      </x:c>
      <x:c r="B154" s="99" t="n">
        <x:v>2766.285</x:v>
      </x:c>
      <x:c r="C154" s="99" t="n">
        <x:v>137.43</x:v>
      </x:c>
      <x:c r="D154" s="99" t="n">
        <x:v>535.62</x:v>
      </x:c>
      <x:c r="E154" s="99" t="n">
        <x:v>6113.06</x:v>
      </x:c>
      <x:c r="F154" s="90" t="n">
        <x:v>4.491666667</x:v>
      </x:c>
      <x:c r="G154" s="90" t="n">
        <x:v>1.69</x:v>
      </x:c>
      <x:c r="H154" s="90" t="n">
        <x:v>2.801666667</x:v>
      </x:c>
      <x:c r="I154" s="100" t="n">
        <x:v>-1675.994131</x:v>
      </x:c>
      <x:c r="J154" s="90" t="n">
        <x:v>3.178393375</x:v>
      </x:c>
      <x:c r="K154" s="90" t="n">
        <x:v>107.9433571</x:v>
      </x:c>
      <x:c r="L154" s="90" t="n">
        <x:v>18.26761905</x:v>
      </x:c>
      <x:c r="M154" s="101" t="n">
        <x:v>0</x:v>
      </x:c>
      <x:c r="N154" s="99" t="n">
        <x:v>47504.25</x:v>
      </x:c>
      <x:c r="O154" s="90" t="n">
        <x:v>173.2857143</x:v>
      </x:c>
      <x:c r="P154" s="90" t="n">
        <x:v>1.732857143</x:v>
      </x:c>
      <x:c r="Q154" s="100" t="n">
        <x:v>-22.44</x:v>
      </x:c>
      <x:c r="R154" s="100" t="n">
        <x:v>-344.49</x:v>
      </x:c>
      <x:c r="S154" s="90" t="n">
        <x:v>5.773809524</x:v>
      </x:c>
      <x:c r="T154" s="90" t="n">
        <x:v>2.663333333</x:v>
      </x:c>
      <x:c r="U154" s="90" t="n">
        <x:v>3.11047619</x:v>
      </x:c>
      <x:c r="V154" s="90" t="n">
        <x:v>2.148747637</x:v>
      </x:c>
      <x:c r="W154" s="90" t="n">
        <x:v>0.9617285533</x:v>
      </x:c>
      <x:c r="X154" s="102" t="n">
        <x:v>3.407195238</x:v>
      </x:c>
      <x:c r="Y154" s="102" t="n">
        <x:v>600.927981</x:v>
      </x:c>
      <x:c r="Z154" s="102" t="n">
        <x:v>18.32210048</x:v>
      </x:c>
      <x:c r="AA154" s="102" t="n">
        <x:v>3.230685</x:v>
      </x:c>
      <x:c r="AB154" s="103" t="n">
        <x:v>-0.003140086552</x:v>
      </x:c>
      <x:c r="AC154" s="103" t="n">
        <x:v>-0.1337327364</x:v>
      </x:c>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83" t="str">
        <x:v>2018-05</x:v>
      </x:c>
      <x:c r="B155" s="99" t="n">
        <x:v>2861.825806</x:v>
      </x:c>
      <x:c r="C155" s="99" t="n">
        <x:v>141.01</x:v>
      </x:c>
      <x:c r="D155" s="99" t="n">
        <x:v>552.11</x:v>
      </x:c>
      <x:c r="E155" s="99" t="n">
        <x:v>6166.09</x:v>
      </x:c>
      <x:c r="F155" s="90" t="n">
        <x:v>4.25</x:v>
      </x:c>
      <x:c r="G155" s="90" t="n">
        <x:v>1.7</x:v>
      </x:c>
      <x:c r="H155" s="90" t="n">
        <x:v>2.55</x:v>
      </x:c>
      <x:c r="I155" s="100" t="n">
        <x:v>-807.8597494</x:v>
      </x:c>
      <x:c r="J155" s="90" t="n">
        <x:v>3.254779019</x:v>
      </x:c>
      <x:c r="K155" s="90" t="n">
        <x:v>111.0470409</x:v>
      </x:c>
      <x:c r="L155" s="90" t="n">
        <x:v>14.12454545</x:v>
      </x:c>
      <x:c r="M155" s="101" t="n">
        <x:v>0</x:v>
      </x:c>
      <x:c r="N155" s="99" t="n">
        <x:v>47603.01</x:v>
      </x:c>
      <x:c r="O155" s="90" t="n">
        <x:v>189.9130435</x:v>
      </x:c>
      <x:c r="P155" s="90" t="n">
        <x:v>1.899130435</x:v>
      </x:c>
      <x:c r="Q155" s="100" t="n">
        <x:v>-21.84</x:v>
      </x:c>
      <x:c r="R155" s="100" t="n">
        <x:v>-271.8</x:v>
      </x:c>
      <x:c r="S155" s="90" t="n">
        <x:v>5.914285714</x:v>
      </x:c>
      <x:c r="T155" s="90" t="n">
        <x:v>2.605714286</x:v>
      </x:c>
      <x:c r="U155" s="90" t="n">
        <x:v>3.308571429</x:v>
      </x:c>
      <x:c r="V155" s="90" t="n">
        <x:v>2.148713643</x:v>
      </x:c>
      <x:c r="W155" s="90" t="n">
        <x:v>1.159857786</x:v>
      </x:c>
      <x:c r="X155" s="102" t="n">
        <x:v>3.633408696</x:v>
      </x:c>
      <x:c r="Y155" s="102" t="n">
        <x:v>627.268813</x:v>
      </x:c>
      <x:c r="Z155" s="102" t="n">
        <x:v>19.47355652</x:v>
      </x:c>
      <x:c r="AA155" s="102" t="n">
        <x:v>3.274109091</x:v>
      </x:c>
      <x:c r="AB155" s="103" t="n">
        <x:v>1.746583369</x:v>
      </x:c>
      <x:c r="AC155" s="103" t="n">
        <x:v>1.580944624</x:v>
      </x:c>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83" t="str">
        <x:v>2018-06</x:v>
      </x:c>
      <x:c r="B156" s="99" t="n">
        <x:v>2889.689</x:v>
      </x:c>
      <x:c r="C156" s="99" t="n">
        <x:v>141.11</x:v>
      </x:c>
      <x:c r="D156" s="99" t="n">
        <x:v>511.2</x:v>
      </x:c>
      <x:c r="E156" s="99" t="n">
        <x:v>6177.9</x:v>
      </x:c>
      <x:c r="F156" s="90" t="n">
        <x:v>4.25</x:v>
      </x:c>
      <x:c r="G156" s="90" t="n">
        <x:v>1.82</x:v>
      </x:c>
      <x:c r="H156" s="90" t="n">
        <x:v>2.43</x:v>
      </x:c>
      <x:c r="I156" s="100" t="n">
        <x:v>-3408.072224</x:v>
      </x:c>
      <x:c r="J156" s="90" t="n">
        <x:v>3.251444614</x:v>
      </x:c>
      <x:c r="K156" s="90" t="n">
        <x:v>112.844419</x:v>
      </x:c>
      <x:c r="L156" s="90" t="n">
        <x:v>13.67809524</x:v>
      </x:c>
      <x:c r="M156" s="101" t="n">
        <x:v>0</x:v>
      </x:c>
      <x:c r="N156" s="99" t="n">
        <x:v>47491.08</x:v>
      </x:c>
      <x:c r="O156" s="90" t="n">
        <x:v>199.7142857</x:v>
      </x:c>
      <x:c r="P156" s="90" t="n">
        <x:v>1.997142857</x:v>
      </x:c>
      <x:c r="Q156" s="100" t="n">
        <x:v>2.23</x:v>
      </x:c>
      <x:c r="R156" s="100" t="n">
        <x:v>-267.36</x:v>
      </x:c>
      <x:c r="S156" s="90" t="n">
        <x:v>6.070526316</x:v>
      </x:c>
      <x:c r="T156" s="90" t="n">
        <x:v>2.706315789</x:v>
      </x:c>
      <x:c r="U156" s="90" t="n">
        <x:v>3.364210526</x:v>
      </x:c>
      <x:c r="V156" s="90" t="n">
        <x:v>2.102361917</x:v>
      </x:c>
      <x:c r="W156" s="90" t="n">
        <x:v>1.261848609</x:v>
      </x:c>
      <x:c r="X156" s="102" t="n">
        <x:v>3.772871429</x:v>
      </x:c>
      <x:c r="Y156" s="102" t="n">
        <x:v>637.5196667</x:v>
      </x:c>
      <x:c r="Z156" s="102" t="n">
        <x:v>20.2173519</x:v>
      </x:c>
      <x:c r="AA156" s="102" t="n">
        <x:v>3.271345</x:v>
      </x:c>
      <x:c r="AB156" s="103" t="n">
        <x:v>0.8905220415</x:v>
      </x:c>
      <x:c r="AC156" s="103" t="n">
        <x:v>0.6533680148</x:v>
      </x:c>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83" t="str">
        <x:v>2018-07</x:v>
      </x:c>
      <x:c r="B157" s="99" t="n">
        <x:v>2885.321935</x:v>
      </x:c>
      <x:c r="C157" s="99" t="n">
        <x:v>140.34</x:v>
      </x:c>
      <x:c r="D157" s="99" t="n">
        <x:v>553.55</x:v>
      </x:c>
      <x:c r="E157" s="99" t="n">
        <x:v>6221.91</x:v>
      </x:c>
      <x:c r="F157" s="90" t="n">
        <x:v>4.25</x:v>
      </x:c>
      <x:c r="G157" s="90" t="n">
        <x:v>1.91</x:v>
      </x:c>
      <x:c r="H157" s="90" t="n">
        <x:v>2.34</x:v>
      </x:c>
      <x:c r="I157" s="100" t="n">
        <x:v>-7972.161694</x:v>
      </x:c>
      <x:c r="J157" s="90" t="n">
        <x:v>3.408170597</x:v>
      </x:c>
      <x:c r="K157" s="90" t="n">
        <x:v>113.0595333</x:v>
      </x:c>
      <x:c r="L157" s="90" t="n">
        <x:v>13.14761905</x:v>
      </x:c>
      <x:c r="M157" s="101" t="n">
        <x:v>0</x:v>
      </x:c>
      <x:c r="N157" s="99" t="n">
        <x:v>47518.17</x:v>
      </x:c>
      <x:c r="O157" s="90" t="n">
        <x:v>180.7727273</x:v>
      </x:c>
      <x:c r="P157" s="90" t="n">
        <x:v>1.807727273</x:v>
      </x:c>
      <x:c r="Q157" s="100" t="n">
        <x:v>-130.43</x:v>
      </x:c>
      <x:c r="R157" s="100" t="n">
        <x:v>-86.73</x:v>
      </x:c>
      <x:c r="S157" s="90" t="n">
        <x:v>6.128</x:v>
      </x:c>
      <x:c r="T157" s="90" t="n">
        <x:v>2.7395</x:v>
      </x:c>
      <x:c r="U157" s="90" t="n">
        <x:v>3.3885</x:v>
      </x:c>
      <x:c r="V157" s="90" t="n">
        <x:v>2.077904769</x:v>
      </x:c>
      <x:c r="W157" s="90" t="n">
        <x:v>1.310595231</x:v>
      </x:c>
      <x:c r="X157" s="102" t="n">
        <x:v>3.82845</x:v>
      </x:c>
      <x:c r="Y157" s="102" t="n">
        <x:v>652.0980818</x:v>
      </x:c>
      <x:c r="Z157" s="102" t="n">
        <x:v>18.95360727</x:v>
      </x:c>
      <x:c r="AA157" s="102" t="n">
        <x:v>3.27722381</x:v>
      </x:c>
      <x:c r="AB157" s="103" t="n">
        <x:v>-0.4604413067</x:v>
      </x:c>
      <x:c r="AC157" s="103" t="n">
        <x:v>-0.3067550411</x:v>
      </x:c>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83" t="str">
        <x:v>2018-08</x:v>
      </x:c>
      <x:c r="B158" s="99" t="n">
        <x:v>2958.666774</x:v>
      </x:c>
      <x:c r="C158" s="99" t="n">
        <x:v>140.51</x:v>
      </x:c>
      <x:c r="D158" s="99" t="n">
        <x:v>606.67</x:v>
      </x:c>
      <x:c r="E158" s="99" t="n">
        <x:v>6324.86</x:v>
      </x:c>
      <x:c r="F158" s="90" t="n">
        <x:v>4.25</x:v>
      </x:c>
      <x:c r="G158" s="90" t="n">
        <x:v>1.91</x:v>
      </x:c>
      <x:c r="H158" s="90" t="n">
        <x:v>2.34</x:v>
      </x:c>
      <x:c r="I158" s="100" t="n">
        <x:v>-6169.206812</x:v>
      </x:c>
      <x:c r="J158" s="90" t="n">
        <x:v>3.888627123</x:v>
      </x:c>
      <x:c r="K158" s="90" t="n">
        <x:v>113.8316304</x:v>
      </x:c>
      <x:c r="L158" s="90" t="n">
        <x:v>12.54695652</x:v>
      </x:c>
      <x:c r="M158" s="101" t="n">
        <x:v>0</x:v>
      </x:c>
      <x:c r="N158" s="99" t="n">
        <x:v>47537.14</x:v>
      </x:c>
      <x:c r="O158" s="90" t="n">
        <x:v>182.3913043</x:v>
      </x:c>
      <x:c r="P158" s="90" t="n">
        <x:v>1.823913043</x:v>
      </x:c>
      <x:c r="Q158" s="100" t="n">
        <x:v>-68.47</x:v>
      </x:c>
      <x:c r="R158" s="100" t="n">
        <x:v>-408.75</x:v>
      </x:c>
      <x:c r="S158" s="90" t="n">
        <x:v>6.166190476</x:v>
      </x:c>
      <x:c r="T158" s="90" t="n">
        <x:v>2.871904762</x:v>
      </x:c>
      <x:c r="U158" s="90" t="n">
        <x:v>3.294285714</x:v>
      </x:c>
      <x:c r="V158" s="90" t="n">
        <x:v>2.030147817</x:v>
      </x:c>
      <x:c r="W158" s="90" t="n">
        <x:v>1.264137897</x:v>
      </x:c>
      <x:c r="X158" s="102" t="n">
        <x:v>3.929456522</x:v>
      </x:c>
      <x:c r="Y158" s="102" t="n">
        <x:v>658.3012043</x:v>
      </x:c>
      <x:c r="Z158" s="102" t="n">
        <x:v>18.78904913</x:v>
      </x:c>
      <x:c r="AA158" s="102" t="n">
        <x:v>3.288719048</x:v>
      </x:c>
      <x:c r="AB158" s="103" t="n">
        <x:v>0.1475915266</x:v>
      </x:c>
      <x:c r="AC158" s="103" t="n">
        <x:v>0.183583238</x:v>
      </x:c>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83" t="str">
        <x:v>2018-09</x:v>
      </x:c>
      <x:c r="B159" s="99" t="n">
        <x:v>3033.768</x:v>
      </x:c>
      <x:c r="C159" s="99" t="n">
        <x:v>148.99</x:v>
      </x:c>
      <x:c r="D159" s="99" t="n">
        <x:v>550.17</x:v>
      </x:c>
      <x:c r="E159" s="99" t="n">
        <x:v>6416.28</x:v>
      </x:c>
      <x:c r="F159" s="90" t="n">
        <x:v>4.25</x:v>
      </x:c>
      <x:c r="G159" s="90" t="n">
        <x:v>1.95</x:v>
      </x:c>
      <x:c r="H159" s="90" t="n">
        <x:v>2.3</x:v>
      </x:c>
      <x:c r="I159" s="100" t="n">
        <x:v>1322.525015</x:v>
      </x:c>
      <x:c r="J159" s="90" t="n">
        <x:v>3.978275332</x:v>
      </x:c>
      <x:c r="K159" s="90" t="n">
        <x:v>114.0786632</x:v>
      </x:c>
      <x:c r="L159" s="90" t="n">
        <x:v>12.91052632</x:v>
      </x:c>
      <x:c r="M159" s="101" t="n">
        <x:v>0</x:v>
      </x:c>
      <x:c r="N159" s="99" t="n">
        <x:v>47511.72</x:v>
      </x:c>
      <x:c r="O159" s="90" t="n">
        <x:v>177.05</x:v>
      </x:c>
      <x:c r="P159" s="90" t="n">
        <x:v>1.7705</x:v>
      </x:c>
      <x:c r="Q159" s="100" t="n">
        <x:v>-145.51</x:v>
      </x:c>
      <x:c r="R159" s="100" t="n">
        <x:v>-200.76</x:v>
      </x:c>
      <x:c r="S159" s="90" t="n">
        <x:v>6.2495</x:v>
      </x:c>
      <x:c r="T159" s="90" t="n">
        <x:v>2.7655</x:v>
      </x:c>
      <x:c r="U159" s="90" t="n">
        <x:v>3.484</x:v>
      </x:c>
      <x:c r="V159" s="90" t="n">
        <x:v>2.054473676</x:v>
      </x:c>
      <x:c r="W159" s="90" t="n">
        <x:v>1.429526324</x:v>
      </x:c>
      <x:c r="X159" s="102" t="n">
        <x:v>4.11772</x:v>
      </x:c>
      <x:c r="Y159" s="102" t="n">
        <x:v>680.17666</x:v>
      </x:c>
      <x:c r="Z159" s="102" t="n">
        <x:v>18.958956</x:v>
      </x:c>
      <x:c r="AA159" s="102" t="n">
        <x:v>3.31181</x:v>
      </x:c>
      <x:c r="AB159" s="103" t="n">
        <x:v>0.8383412221</x:v>
      </x:c>
      <x:c r="AC159" s="103" t="n">
        <x:v>0.7719460828</x:v>
      </x:c>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83" t="str">
        <x:v>2018-10</x:v>
      </x:c>
      <x:c r="B160" s="99" t="n">
        <x:v>3084.830968</x:v>
      </x:c>
      <x:c r="C160" s="99" t="n">
        <x:v>149.13</x:v>
      </x:c>
      <x:c r="D160" s="99" t="n">
        <x:v>616.87</x:v>
      </x:c>
      <x:c r="E160" s="99" t="n">
        <x:v>6505.54</x:v>
      </x:c>
      <x:c r="F160" s="90" t="n">
        <x:v>4.25</x:v>
      </x:c>
      <x:c r="G160" s="90" t="n">
        <x:v>2.19</x:v>
      </x:c>
      <x:c r="H160" s="90" t="n">
        <x:v>2.06</x:v>
      </x:c>
      <x:c r="I160" s="100" t="n">
        <x:v>-3357.740578</x:v>
      </x:c>
      <x:c r="J160" s="90" t="n">
        <x:v>4.023956931</x:v>
      </x:c>
      <x:c r="K160" s="90" t="n">
        <x:v>114.8312591</x:v>
      </x:c>
      <x:c r="L160" s="90" t="n">
        <x:v>19.35217391</x:v>
      </x:c>
      <x:c r="M160" s="101" t="n">
        <x:v>0</x:v>
      </x:c>
      <x:c r="N160" s="99" t="n">
        <x:v>47496.11</x:v>
      </x:c>
      <x:c r="O160" s="90" t="n">
        <x:v>179.0869565</x:v>
      </x:c>
      <x:c r="P160" s="90" t="n">
        <x:v>1.790869565</x:v>
      </x:c>
      <x:c r="Q160" s="100" t="n">
        <x:v>40.37</x:v>
      </x:c>
      <x:c r="R160" s="100" t="n">
        <x:v>-797.81</x:v>
      </x:c>
      <x:c r="S160" s="90" t="n">
        <x:v>6.349090909</x:v>
      </x:c>
      <x:c r="T160" s="90" t="n">
        <x:v>2.794090909</x:v>
      </x:c>
      <x:c r="U160" s="90" t="n">
        <x:v>3.555</x:v>
      </x:c>
      <x:c r="V160" s="90" t="n">
        <x:v>2.025527261</x:v>
      </x:c>
      <x:c r="W160" s="90" t="n">
        <x:v>1.529472739</x:v>
      </x:c>
      <x:c r="X160" s="102" t="n">
        <x:v>3.757565217</x:v>
      </x:c>
      <x:c r="Y160" s="102" t="n">
        <x:v>678.8616348</x:v>
      </x:c>
      <x:c r="Z160" s="102" t="n">
        <x:v>19.11436261</x:v>
      </x:c>
      <x:c r="AA160" s="102" t="n">
        <x:v>3.334768182</x:v>
      </x:c>
      <x:c r="AB160" s="103" t="n">
        <x:v>-0.861603597</x:v>
      </x:c>
      <x:c r="AC160" s="103" t="n">
        <x:v>-0.5047910893</x:v>
      </x:c>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83" t="str">
        <x:v>2018-11</x:v>
      </x:c>
      <x:c r="B161" s="99" t="n">
        <x:v>3194.034333</x:v>
      </x:c>
      <x:c r="C161" s="99" t="n">
        <x:v>138.73</x:v>
      </x:c>
      <x:c r="D161" s="99" t="n">
        <x:v>588.4</x:v>
      </x:c>
      <x:c r="E161" s="99" t="n">
        <x:v>6565.68</x:v>
      </x:c>
      <x:c r="F161" s="90" t="n">
        <x:v>4.25</x:v>
      </x:c>
      <x:c r="G161" s="90" t="n">
        <x:v>2.2</x:v>
      </x:c>
      <x:c r="H161" s="90" t="n">
        <x:v>2.05</x:v>
      </x:c>
      <x:c r="I161" s="100" t="n">
        <x:v>-3715.161114</x:v>
      </x:c>
      <x:c r="J161" s="90" t="n">
        <x:v>3.73955471</x:v>
      </x:c>
      <x:c r="K161" s="90" t="n">
        <x:v>116.169045</x:v>
      </x:c>
      <x:c r="L161" s="90" t="n">
        <x:v>19.38904762</x:v>
      </x:c>
      <x:c r="M161" s="101" t="n">
        <x:v>0</x:v>
      </x:c>
      <x:c r="N161" s="99" t="n">
        <x:v>47753.5</x:v>
      </x:c>
      <x:c r="O161" s="90" t="n">
        <x:v>201.7727273</x:v>
      </x:c>
      <x:c r="P161" s="90" t="n">
        <x:v>2.017727273</x:v>
      </x:c>
      <x:c r="Q161" s="100" t="n">
        <x:v>-77.66</x:v>
      </x:c>
      <x:c r="R161" s="100" t="n">
        <x:v>-286.86</x:v>
      </x:c>
      <x:c r="S161" s="90" t="n">
        <x:v>6.447</x:v>
      </x:c>
      <x:c r="T161" s="90" t="n">
        <x:v>2.596</x:v>
      </x:c>
      <x:c r="U161" s="90" t="n">
        <x:v>3.851</x:v>
      </x:c>
      <x:c r="V161" s="90" t="n">
        <x:v>1.897289997</x:v>
      </x:c>
      <x:c r="W161" s="90" t="n">
        <x:v>1.953710003</x:v>
      </x:c>
      <x:c r="X161" s="102" t="n">
        <x:v>3.782536364</x:v>
      </x:c>
      <x:c r="Y161" s="102" t="n">
        <x:v>677.2892</x:v>
      </x:c>
      <x:c r="Z161" s="102" t="n">
        <x:v>20.18623955</x:v>
      </x:c>
      <x:c r="AA161" s="102" t="n">
        <x:v>3.37565</x:v>
      </x:c>
      <x:c r="AB161" s="103" t="n">
        <x:v>0.5814211769</x:v>
      </x:c>
      <x:c r="AC161" s="103" t="n">
        <x:v>0.6836033595</x:v>
      </x:c>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83" t="str">
        <x:v>2018-12</x:v>
      </x:c>
      <x:c r="B162" s="99" t="n">
        <x:v>3218.550968</x:v>
      </x:c>
      <x:c r="C162" s="99" t="n">
        <x:v>130.2</x:v>
      </x:c>
      <x:c r="D162" s="99" t="n">
        <x:v>617.83</x:v>
      </x:c>
      <x:c r="E162" s="99" t="n">
        <x:v>6636.19</x:v>
      </x:c>
      <x:c r="F162" s="90" t="n">
        <x:v>4.25</x:v>
      </x:c>
      <x:c r="G162" s="90" t="n">
        <x:v>2.27</x:v>
      </x:c>
      <x:c r="H162" s="90" t="n">
        <x:v>1.98</x:v>
      </x:c>
      <x:c r="I162" s="100" t="n">
        <x:v>652.0410394</x:v>
      </x:c>
      <x:c r="J162" s="90" t="n">
        <x:v>3.069053995</x:v>
      </x:c>
      <x:c r="K162" s="90" t="n">
        <x:v>116.2118053</x:v>
      </x:c>
      <x:c r="L162" s="90" t="n">
        <x:v>24.95315789</x:v>
      </x:c>
      <x:c r="M162" s="101" t="n">
        <x:v>0</x:v>
      </x:c>
      <x:c r="N162" s="99" t="n">
        <x:v>48392.92</x:v>
      </x:c>
      <x:c r="O162" s="90" t="n">
        <x:v>211.8095238</x:v>
      </x:c>
      <x:c r="P162" s="90" t="n">
        <x:v>2.118095238</x:v>
      </x:c>
      <x:c r="Q162" s="100" t="n">
        <x:v>-98.06</x:v>
      </x:c>
      <x:c r="R162" s="100" t="n">
        <x:v>51.28</x:v>
      </x:c>
      <x:c r="S162" s="90" t="n">
        <x:v>6.217368421</x:v>
      </x:c>
      <x:c r="T162" s="90" t="n">
        <x:v>2.500555556</x:v>
      </x:c>
      <x:c r="U162" s="90" t="n">
        <x:v>3.716812865</x:v>
      </x:c>
      <x:c r="V162" s="90" t="n">
        <x:v>1.672952633</x:v>
      </x:c>
      <x:c r="W162" s="90" t="n">
        <x:v>2.043860232</x:v>
      </x:c>
      <x:c r="X162" s="102" t="n">
        <x:v>3.884728571</x:v>
      </x:c>
      <x:c r="Y162" s="102" t="n">
        <x:v>684.3270619</x:v>
      </x:c>
      <x:c r="Z162" s="102" t="n">
        <x:v>20.02230762</x:v>
      </x:c>
      <x:c r="AA162" s="102" t="n">
        <x:v>3.364384211</x:v>
      </x:c>
      <x:c r="AB162" s="103" t="n">
        <x:v>0.1708379032</x:v>
      </x:c>
      <x:c r="AC162" s="103" t="n">
        <x:v>0.06335480249</x:v>
      </x:c>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83" t="str">
        <x:v>2019-01</x:v>
      </x:c>
      <x:c r="B163" s="99" t="n">
        <x:v>3165.188065</x:v>
      </x:c>
      <x:c r="C163" s="99" t="n">
        <x:v>131.86</x:v>
      </x:c>
      <x:c r="D163" s="99" t="n">
        <x:v>572.48</x:v>
      </x:c>
      <x:c r="E163" s="99" t="n">
        <x:v>6677.46</x:v>
      </x:c>
      <x:c r="F163" s="90" t="n">
        <x:v>4.25</x:v>
      </x:c>
      <x:c r="G163" s="90" t="n">
        <x:v>2.4</x:v>
      </x:c>
      <x:c r="H163" s="90" t="n">
        <x:v>1.85</x:v>
      </x:c>
      <x:c r="I163" s="100" t="n">
        <x:v>4041.232271</x:v>
      </x:c>
      <x:c r="J163" s="90" t="n">
        <x:v>2.966804535</x:v>
      </x:c>
      <x:c r="K163" s="90" t="n">
        <x:v>114.44249</x:v>
      </x:c>
      <x:c r="L163" s="90" t="n">
        <x:v>19.57238095</x:v>
      </x:c>
      <x:c r="M163" s="101" t="n">
        <x:v>0</x:v>
      </x:c>
      <x:c r="N163" s="99" t="n">
        <x:v>49208.63</x:v>
      </x:c>
      <x:c r="O163" s="90" t="n">
        <x:v>201.4347826</x:v>
      </x:c>
      <x:c r="P163" s="90" t="n">
        <x:v>2.014347826</x:v>
      </x:c>
      <x:c r="Q163" s="100" t="n">
        <x:v>-207.42</x:v>
      </x:c>
      <x:c r="R163" s="100" t="n">
        <x:v>526.69</x:v>
      </x:c>
      <x:c r="S163" s="90" t="n">
        <x:v>6.150952381</x:v>
      </x:c>
      <x:c r="T163" s="90" t="n">
        <x:v>2.52047619</x:v>
      </x:c>
      <x:c r="U163" s="90" t="n">
        <x:v>3.63047619</x:v>
      </x:c>
      <x:c r="V163" s="90" t="n">
        <x:v>1.693757148</x:v>
      </x:c>
      <x:c r="W163" s="90" t="n">
        <x:v>1.936719042</x:v>
      </x:c>
      <x:c r="X163" s="102" t="n">
        <x:v>3.747152174</x:v>
      </x:c>
      <x:c r="Y163" s="102" t="n">
        <x:v>675.2184</x:v>
      </x:c>
      <x:c r="Z163" s="102" t="n">
        <x:v>19.14483565</x:v>
      </x:c>
      <x:c r="AA163" s="102" t="n">
        <x:v>3.343813636</x:v>
      </x:c>
      <x:c r="AB163" s="103" t="n">
        <x:v>-1.134521118</x:v>
      </x:c>
      <x:c r="AC163" s="103" t="n">
        <x:v>-0.9717809385</x:v>
      </x:c>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83" t="str">
        <x:v>2019-02</x:v>
      </x:c>
      <x:c r="B164" s="99" t="n">
        <x:v>3115.838571</x:v>
      </x:c>
      <x:c r="C164" s="99" t="n">
        <x:v>141.28</x:v>
      </x:c>
      <x:c r="D164" s="99" t="n">
        <x:v>512.25</x:v>
      </x:c>
      <x:c r="E164" s="99" t="n">
        <x:v>6716.75</x:v>
      </x:c>
      <x:c r="F164" s="90" t="n">
        <x:v>4.25</x:v>
      </x:c>
      <x:c r="G164" s="90" t="n">
        <x:v>2.4</x:v>
      </x:c>
      <x:c r="H164" s="90" t="n">
        <x:v>1.85</x:v>
      </x:c>
      <x:c r="I164" s="100" t="n">
        <x:v>-7565.784087</x:v>
      </x:c>
      <x:c r="J164" s="90" t="n">
        <x:v>3.111433419</x:v>
      </x:c>
      <x:c r="K164" s="90" t="n">
        <x:v>114.4130056</x:v>
      </x:c>
      <x:c r="L164" s="90" t="n">
        <x:v>15.23473684</x:v>
      </x:c>
      <x:c r="M164" s="101" t="n">
        <x:v>0</x:v>
      </x:c>
      <x:c r="N164" s="99" t="n">
        <x:v>50498.27</x:v>
      </x:c>
      <x:c r="O164" s="90" t="n">
        <x:v>191</x:v>
      </x:c>
      <x:c r="P164" s="90" t="n">
        <x:v>1.91</x:v>
      </x:c>
      <x:c r="Q164" s="100" t="n">
        <x:v>-23.29</x:v>
      </x:c>
      <x:c r="R164" s="100" t="n">
        <x:v>769.57</x:v>
      </x:c>
      <x:c r="S164" s="90" t="n">
        <x:v>6.009</x:v>
      </x:c>
      <x:c r="T164" s="90" t="n">
        <x:v>2.5625</x:v>
      </x:c>
      <x:c r="U164" s="90" t="n">
        <x:v>3.4465</x:v>
      </x:c>
      <x:c r="V164" s="90" t="n">
        <x:v>1.831599988</x:v>
      </x:c>
      <x:c r="W164" s="90" t="n">
        <x:v>1.614900012</x:v>
      </x:c>
      <x:c r="X164" s="102" t="n">
        <x:v>3.723325</x:v>
      </x:c>
      <x:c r="Y164" s="102" t="n">
        <x:v>656.063625</x:v>
      </x:c>
      <x:c r="Z164" s="102" t="n">
        <x:v>19.15143</x:v>
      </x:c>
      <x:c r="AA164" s="102" t="n">
        <x:v>3.3216</x:v>
      </x:c>
      <x:c r="AB164" s="103" t="n">
        <x:v>-0.516083351</x:v>
      </x:c>
      <x:c r="AC164" s="103" t="n">
        <x:v>-0.5186605353</x:v>
      </x:c>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83" t="str">
        <x:v>2019-03</x:v>
      </x:c>
      <x:c r="B165" s="99" t="n">
        <x:v>3128.684194</x:v>
      </x:c>
      <x:c r="C165" s="99" t="n">
        <x:v>140.82</x:v>
      </x:c>
      <x:c r="D165" s="99" t="n">
        <x:v>559.97</x:v>
      </x:c>
      <x:c r="E165" s="99" t="n">
        <x:v>6777.12</x:v>
      </x:c>
      <x:c r="F165" s="90" t="n">
        <x:v>4.25</x:v>
      </x:c>
      <x:c r="G165" s="90" t="n">
        <x:v>2.41</x:v>
      </x:c>
      <x:c r="H165" s="90" t="n">
        <x:v>1.84</x:v>
      </x:c>
      <x:c r="I165" s="100" t="n">
        <x:v>-2767.366095</x:v>
      </x:c>
      <x:c r="J165" s="90" t="n">
        <x:v>2.964295513</x:v>
      </x:c>
      <x:c r="K165" s="90" t="n">
        <x:v>114.783519</x:v>
      </x:c>
      <x:c r="L165" s="90" t="n">
        <x:v>14.4852381</x:v>
      </x:c>
      <x:c r="M165" s="101" t="n">
        <x:v>0</x:v>
      </x:c>
      <x:c r="N165" s="99" t="n">
        <x:v>51260.99</x:v>
      </x:c>
      <x:c r="O165" s="90" t="n">
        <x:v>188.1428571</x:v>
      </x:c>
      <x:c r="P165" s="90" t="n">
        <x:v>1.881428571</x:v>
      </x:c>
      <x:c r="Q165" s="100" t="n">
        <x:v>12.51</x:v>
      </x:c>
      <x:c r="R165" s="100" t="n">
        <x:v>227.34</x:v>
      </x:c>
      <x:c r="S165" s="90" t="n">
        <x:v>5.843</x:v>
      </x:c>
      <x:c r="T165" s="90" t="n">
        <x:v>2.6105</x:v>
      </x:c>
      <x:c r="U165" s="90" t="n">
        <x:v>3.2325</x:v>
      </x:c>
      <x:c r="V165" s="90" t="n">
        <x:v>1.884904776</x:v>
      </x:c>
      <x:c r="W165" s="90" t="n">
        <x:v>1.347595224</x:v>
      </x:c>
      <x:c r="X165" s="102" t="n">
        <x:v>3.840157143</x:v>
      </x:c>
      <x:c r="Y165" s="102" t="n">
        <x:v>669.593719</x:v>
      </x:c>
      <x:c r="Z165" s="102" t="n">
        <x:v>19.19449286</x:v>
      </x:c>
      <x:c r="AA165" s="102" t="n">
        <x:v>3.304319048</x:v>
      </x:c>
      <x:c r="AB165" s="103" t="n">
        <x:v>0.4596357577</x:v>
      </x:c>
      <x:c r="AC165" s="103" t="n">
        <x:v>0.2422765954</x:v>
      </x:c>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83" t="str">
        <x:v>2019-04</x:v>
      </x:c>
      <x:c r="B166" s="99" t="n">
        <x:v>3155.765</x:v>
      </x:c>
      <x:c r="C166" s="99" t="n">
        <x:v>143.6</x:v>
      </x:c>
      <x:c r="D166" s="99" t="n">
        <x:v>596.53</x:v>
      </x:c>
      <x:c r="E166" s="99" t="n">
        <x:v>6838.03</x:v>
      </x:c>
      <x:c r="F166" s="90" t="n">
        <x:v>4.25</x:v>
      </x:c>
      <x:c r="G166" s="90" t="n">
        <x:v>2.42</x:v>
      </x:c>
      <x:c r="H166" s="90" t="n">
        <x:v>1.83</x:v>
      </x:c>
      <x:c r="I166" s="100" t="n">
        <x:v>1075.425241</x:v>
      </x:c>
      <x:c r="J166" s="90" t="n">
        <x:v>2.704744298</x:v>
      </x:c>
      <x:c r="K166" s="90" t="n">
        <x:v>114.9037545</x:v>
      </x:c>
      <x:c r="L166" s="90" t="n">
        <x:v>12.94904762</x:v>
      </x:c>
      <x:c r="M166" s="101" t="n">
        <x:v>0</x:v>
      </x:c>
      <x:c r="N166" s="99" t="n">
        <x:v>51521.67</x:v>
      </x:c>
      <x:c r="O166" s="90" t="n">
        <x:v>176.9545455</x:v>
      </x:c>
      <x:c r="P166" s="90" t="n">
        <x:v>1.769545455</x:v>
      </x:c>
      <x:c r="Q166" s="100" t="n">
        <x:v>28.41</x:v>
      </x:c>
      <x:c r="R166" s="100" t="n">
        <x:v>-394.67</x:v>
      </x:c>
      <x:c r="S166" s="90" t="n">
        <x:v>5.8015</x:v>
      </x:c>
      <x:c r="T166" s="90" t="n">
        <x:v>2.547</x:v>
      </x:c>
      <x:c r="U166" s="90" t="n">
        <x:v>3.2545</x:v>
      </x:c>
      <x:c r="V166" s="90" t="n">
        <x:v>1.890471424</x:v>
      </x:c>
      <x:c r="W166" s="90" t="n">
        <x:v>1.364028576</x:v>
      </x:c>
      <x:c r="X166" s="102" t="n">
        <x:v>3.897713636</x:v>
      </x:c>
      <x:c r="Y166" s="102" t="n">
        <x:v>667.3414545</x:v>
      </x:c>
      <x:c r="Z166" s="102" t="n">
        <x:v>18.93698318</x:v>
      </x:c>
      <x:c r="AA166" s="102" t="n">
        <x:v>3.303405</x:v>
      </x:c>
      <x:c r="AB166" s="103" t="n">
        <x:v>-0.1714512532</x:v>
      </x:c>
      <x:c r="AC166" s="103" t="n">
        <x:v>-0.1316892158</x:v>
      </x:c>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83" t="str">
        <x:v>2019-05</x:v>
      </x:c>
      <x:c r="B167" s="99" t="n">
        <x:v>3304.494516</x:v>
      </x:c>
      <x:c r="C167" s="99" t="n">
        <x:v>140.88</x:v>
      </x:c>
      <x:c r="D167" s="99" t="n">
        <x:v>652.23</x:v>
      </x:c>
      <x:c r="E167" s="99" t="n">
        <x:v>6938.15</x:v>
      </x:c>
      <x:c r="F167" s="90" t="n">
        <x:v>4.25</x:v>
      </x:c>
      <x:c r="G167" s="90" t="n">
        <x:v>2.39</x:v>
      </x:c>
      <x:c r="H167" s="90" t="n">
        <x:v>1.86</x:v>
      </x:c>
      <x:c r="I167" s="100" t="n">
        <x:v>-87.8617433</x:v>
      </x:c>
      <x:c r="J167" s="90" t="n">
        <x:v>2.636824315</x:v>
      </x:c>
      <x:c r="K167" s="90" t="n">
        <x:v>115.9573818</x:v>
      </x:c>
      <x:c r="L167" s="90" t="n">
        <x:v>16.72181818</x:v>
      </x:c>
      <x:c r="M167" s="101" t="n">
        <x:v>0</x:v>
      </x:c>
      <x:c r="N167" s="99" t="n">
        <x:v>51975.23</x:v>
      </x:c>
      <x:c r="O167" s="90" t="n">
        <x:v>190.6086957</x:v>
      </x:c>
      <x:c r="P167" s="90" t="n">
        <x:v>1.906086957</x:v>
      </x:c>
      <x:c r="Q167" s="100" t="n">
        <x:v>-46.58</x:v>
      </x:c>
      <x:c r="R167" s="100" t="n">
        <x:v>-357.7</x:v>
      </x:c>
      <x:c r="S167" s="90" t="n">
        <x:v>5.886363636</x:v>
      </x:c>
      <x:c r="T167" s="90" t="n">
        <x:v>2.53</x:v>
      </x:c>
      <x:c r="U167" s="90" t="n">
        <x:v>3.356363636</x:v>
      </x:c>
      <x:c r="V167" s="90" t="n">
        <x:v>1.734959088</x:v>
      </x:c>
      <x:c r="W167" s="90" t="n">
        <x:v>1.621404549</x:v>
      </x:c>
      <x:c r="X167" s="102" t="n">
        <x:v>3.998773913</x:v>
      </x:c>
      <x:c r="Y167" s="102" t="n">
        <x:v>693.1424913</x:v>
      </x:c>
      <x:c r="Z167" s="102" t="n">
        <x:v>19.08361217</x:v>
      </x:c>
      <x:c r="AA167" s="102" t="n">
        <x:v>3.333504545</x:v>
      </x:c>
      <x:c r="AB167" s="103" t="n">
        <x:v>0.6956051346</x:v>
      </x:c>
      <x:c r="AC167" s="103" t="n">
        <x:v>0.7066024398</x:v>
      </x:c>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83" t="str">
        <x:v>2019-06</x:v>
      </x:c>
      <x:c r="B168" s="99" t="n">
        <x:v>3260.517</x:v>
      </x:c>
      <x:c r="C168" s="99" t="n">
        <x:v>136.62</x:v>
      </x:c>
      <x:c r="D168" s="99" t="n">
        <x:v>525.75</x:v>
      </x:c>
      <x:c r="E168" s="99" t="n">
        <x:v>6952.7</x:v>
      </x:c>
      <x:c r="F168" s="90" t="n">
        <x:v>4.25</x:v>
      </x:c>
      <x:c r="G168" s="90" t="n">
        <x:v>2.38</x:v>
      </x:c>
      <x:c r="H168" s="90" t="n">
        <x:v>1.87</x:v>
      </x:c>
      <x:c r="I168" s="100" t="n">
        <x:v>330.9743755</x:v>
      </x:c>
      <x:c r="J168" s="90" t="n">
        <x:v>2.284106697</x:v>
      </x:c>
      <x:c r="K168" s="90" t="n">
        <x:v>115.42707</x:v>
      </x:c>
      <x:c r="L168" s="90" t="n">
        <x:v>15.836</x:v>
      </x:c>
      <x:c r="M168" s="101" t="n">
        <x:v>0</x:v>
      </x:c>
      <x:c r="N168" s="99" t="n">
        <x:v>52444.49</x:v>
      </x:c>
      <x:c r="O168" s="90" t="n">
        <x:v>189.6</x:v>
      </x:c>
      <x:c r="P168" s="90" t="n">
        <x:v>1.896</x:v>
      </x:c>
      <x:c r="Q168" s="100" t="n">
        <x:v>-139.77</x:v>
      </x:c>
      <x:c r="R168" s="100" t="n">
        <x:v>-17.21</x:v>
      </x:c>
      <x:c r="S168" s="90" t="n">
        <x:v>5.455555556</x:v>
      </x:c>
      <x:c r="T168" s="90" t="n">
        <x:v>2.282777778</x:v>
      </x:c>
      <x:c r="U168" s="90" t="n">
        <x:v>3.172777778</x:v>
      </x:c>
      <x:c r="V168" s="90" t="n">
        <x:v>1.586185002</x:v>
      </x:c>
      <x:c r="W168" s="90" t="n">
        <x:v>1.586592775</x:v>
      </x:c>
      <x:c r="X168" s="102" t="n">
        <x:v>3.8592</x:v>
      </x:c>
      <x:c r="Y168" s="102" t="n">
        <x:v>691.00066</x:v>
      </x:c>
      <x:c r="Z168" s="102" t="n">
        <x:v>19.212393</x:v>
      </x:c>
      <x:c r="AA168" s="102" t="n">
        <x:v>3.325475</x:v>
      </x:c>
      <x:c r="AB168" s="103" t="n">
        <x:v>-0.3841252541</x:v>
      </x:c>
      <x:c r="AC168" s="103" t="n">
        <x:v>-0.3341360629</x:v>
      </x:c>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83" t="str">
        <x:v>2019-07</x:v>
      </x:c>
      <x:c r="B169" s="99" t="n">
        <x:v>3206.600323</x:v>
      </x:c>
      <x:c r="C169" s="99" t="n">
        <x:v>137.66</x:v>
      </x:c>
      <x:c r="D169" s="99" t="n">
        <x:v>606.88</x:v>
      </x:c>
      <x:c r="E169" s="99" t="n">
        <x:v>7006.03</x:v>
      </x:c>
      <x:c r="F169" s="90" t="n">
        <x:v>4.25</x:v>
      </x:c>
      <x:c r="G169" s="90" t="n">
        <x:v>2.4</x:v>
      </x:c>
      <x:c r="H169" s="90" t="n">
        <x:v>1.85</x:v>
      </x:c>
      <x:c r="I169" s="100" t="n">
        <x:v>-5340.236714</x:v>
      </x:c>
      <x:c r="J169" s="90" t="n">
        <x:v>2.035827815</x:v>
      </x:c>
      <x:c r="K169" s="90" t="n">
        <x:v>115.0775909</x:v>
      </x:c>
      <x:c r="L169" s="90" t="n">
        <x:v>13.30590909</x:v>
      </x:c>
      <x:c r="M169" s="101" t="n">
        <x:v>0</x:v>
      </x:c>
      <x:c r="N169" s="99" t="n">
        <x:v>52365.75</x:v>
      </x:c>
      <x:c r="O169" s="90" t="n">
        <x:v>172.4782609</x:v>
      </x:c>
      <x:c r="P169" s="90" t="n">
        <x:v>1.724782609</x:v>
      </x:c>
      <x:c r="Q169" s="100" t="n">
        <x:v>-121.82</x:v>
      </x:c>
      <x:c r="R169" s="100" t="n">
        <x:v>-643.91</x:v>
      </x:c>
      <x:c r="S169" s="90" t="n">
        <x:v>5.223181818</x:v>
      </x:c>
      <x:c r="T169" s="90" t="n">
        <x:v>1.958181818</x:v>
      </x:c>
      <x:c r="U169" s="90" t="n">
        <x:v>3.265</x:v>
      </x:c>
      <x:c r="V169" s="90" t="n">
        <x:v>1.606336361</x:v>
      </x:c>
      <x:c r="W169" s="90" t="n">
        <x:v>1.658663639</x:v>
      </x:c>
      <x:c r="X169" s="102" t="n">
        <x:v>3.779026087</x:v>
      </x:c>
      <x:c r="Y169" s="102" t="n">
        <x:v>686.8788217</x:v>
      </x:c>
      <x:c r="Z169" s="102" t="n">
        <x:v>19.01640609</x:v>
      </x:c>
      <x:c r="AA169" s="102" t="n">
        <x:v>3.290404762</x:v>
      </x:c>
      <x:c r="AB169" s="103" t="n">
        <x:v>-0.491274184</x:v>
      </x:c>
      <x:c r="AC169" s="103" t="n">
        <x:v>-0.5792305586</x:v>
      </x:c>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83" t="str">
        <x:v>2019-08</x:v>
      </x:c>
      <x:c r="B170" s="99" t="n">
        <x:v>3410.729032</x:v>
      </x:c>
      <x:c r="C170" s="99" t="n">
        <x:v>134.09</x:v>
      </x:c>
      <x:c r="D170" s="99" t="n">
        <x:v>680.3</x:v>
      </x:c>
      <x:c r="E170" s="99" t="n">
        <x:v>7079.66</x:v>
      </x:c>
      <x:c r="F170" s="90" t="n">
        <x:v>4.25</x:v>
      </x:c>
      <x:c r="G170" s="90" t="n">
        <x:v>2.13</x:v>
      </x:c>
      <x:c r="H170" s="90" t="n">
        <x:v>2.12</x:v>
      </x:c>
      <x:c r="I170" s="100" t="n">
        <x:v>-5887.050241</x:v>
      </x:c>
      <x:c r="J170" s="90" t="n">
        <x:v>2.009210978</x:v>
      </x:c>
      <x:c r="K170" s="90" t="n">
        <x:v>117.1003864</x:v>
      </x:c>
      <x:c r="L170" s="90" t="n">
        <x:v>18.97909091</x:v>
      </x:c>
      <x:c r="M170" s="101" t="n">
        <x:v>0</x:v>
      </x:c>
      <x:c r="N170" s="99" t="n">
        <x:v>52993.64</x:v>
      </x:c>
      <x:c r="O170" s="90" t="n">
        <x:v>187.3636364</x:v>
      </x:c>
      <x:c r="P170" s="90" t="n">
        <x:v>1.873636364</x:v>
      </x:c>
      <x:c r="Q170" s="100" t="n">
        <x:v>-16.43</x:v>
      </x:c>
      <x:c r="R170" s="100" t="n">
        <x:v>-519.7</x:v>
      </x:c>
      <x:c r="S170" s="90" t="n">
        <x:v>5.297</x:v>
      </x:c>
      <x:c r="T170" s="90" t="n">
        <x:v>1.898421053</x:v>
      </x:c>
      <x:c r="U170" s="90" t="n">
        <x:v>3.398578947</x:v>
      </x:c>
      <x:c r="V170" s="90" t="n">
        <x:v>1.418700001</x:v>
      </x:c>
      <x:c r="W170" s="90" t="n">
        <x:v>1.979878946</x:v>
      </x:c>
      <x:c r="X170" s="102" t="n">
        <x:v>4.019681818</x:v>
      </x:c>
      <x:c r="Y170" s="102" t="n">
        <x:v>714.5055545</x:v>
      </x:c>
      <x:c r="Z170" s="102" t="n">
        <x:v>19.65245909</x:v>
      </x:c>
      <x:c r="AA170" s="102" t="n">
        <x:v>3.37871</x:v>
      </x:c>
      <x:c r="AB170" s="103" t="n">
        <x:v>1.344400564</x:v>
      </x:c>
      <x:c r="AC170" s="103" t="n">
        <x:v>1.5434295</x:v>
      </x:c>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83" t="str">
        <x:v>2019-09</x:v>
      </x:c>
      <x:c r="B171" s="99" t="n">
        <x:v>3399.457</x:v>
      </x:c>
      <x:c r="C171" s="99" t="n">
        <x:v>136.63</x:v>
      </x:c>
      <x:c r="D171" s="99" t="n">
        <x:v>582.33</x:v>
      </x:c>
      <x:c r="E171" s="99" t="n">
        <x:v>7111.82</x:v>
      </x:c>
      <x:c r="F171" s="90" t="n">
        <x:v>4.25</x:v>
      </x:c>
      <x:c r="G171" s="90" t="n">
        <x:v>2.04</x:v>
      </x:c>
      <x:c r="H171" s="90" t="n">
        <x:v>2.21</x:v>
      </x:c>
      <x:c r="I171" s="100" t="n">
        <x:v>3935.148563</x:v>
      </x:c>
      <x:c r="J171" s="90" t="n">
        <x:v>1.762752869</x:v>
      </x:c>
      <x:c r="K171" s="90" t="n">
        <x:v>117.32392</x:v>
      </x:c>
      <x:c r="L171" s="90" t="n">
        <x:v>15.559</x:v>
      </x:c>
      <x:c r="M171" s="101" t="n">
        <x:v>0</x:v>
      </x:c>
      <x:c r="N171" s="99" t="n">
        <x:v>52868.75</x:v>
      </x:c>
      <x:c r="O171" s="90" t="n">
        <x:v>175.9047619</x:v>
      </x:c>
      <x:c r="P171" s="90" t="n">
        <x:v>1.759047619</x:v>
      </x:c>
      <x:c r="Q171" s="100" t="n">
        <x:v>-111.27</x:v>
      </x:c>
      <x:c r="R171" s="100" t="n">
        <x:v>-1040.81</x:v>
      </x:c>
      <x:c r="S171" s="90" t="n">
        <x:v>5.273809524</x:v>
      </x:c>
      <x:c r="T171" s="90" t="n">
        <x:v>1.9375</x:v>
      </x:c>
      <x:c r="U171" s="90" t="n">
        <x:v>3.336309524</x:v>
      </x:c>
      <x:c r="V171" s="90" t="n">
        <x:v>1.417964995</x:v>
      </x:c>
      <x:c r="W171" s="90" t="n">
        <x:v>1.918344529</x:v>
      </x:c>
      <x:c r="X171" s="102" t="n">
        <x:v>4.1212</x:v>
      </x:c>
      <x:c r="Y171" s="102" t="n">
        <x:v>718.7510857</x:v>
      </x:c>
      <x:c r="Z171" s="102" t="n">
        <x:v>19.54335</x:v>
      </x:c>
      <x:c r="AA171" s="102" t="n">
        <x:v>3.357190476</x:v>
      </x:c>
      <x:c r="AB171" s="103" t="n">
        <x:v>0.1311044368</x:v>
      </x:c>
      <x:c r="AC171" s="103" t="n">
        <x:v>-0.02772157543</x:v>
      </x:c>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83" t="str">
        <x:v>2019-10</x:v>
      </x:c>
      <x:c r="B172" s="99" t="n">
        <x:v>3433.311613</x:v>
      </x:c>
      <x:c r="C172" s="99" t="n">
        <x:v>135.92</x:v>
      </x:c>
      <x:c r="D172" s="99" t="n">
        <x:v>597.33</x:v>
      </x:c>
      <x:c r="E172" s="99" t="n">
        <x:v>7092.28</x:v>
      </x:c>
      <x:c r="F172" s="90" t="n">
        <x:v>4.25</x:v>
      </x:c>
      <x:c r="G172" s="90" t="n">
        <x:v>1.83</x:v>
      </x:c>
      <x:c r="H172" s="90" t="n">
        <x:v>2.42</x:v>
      </x:c>
      <x:c r="I172" s="100" t="n">
        <x:v>-6344.163231</x:v>
      </x:c>
      <x:c r="J172" s="90" t="n">
        <x:v>2.044472782</x:v>
      </x:c>
      <x:c r="K172" s="90" t="n">
        <x:v>116.7462591</x:v>
      </x:c>
      <x:c r="L172" s="90" t="n">
        <x:v>15.46652174</x:v>
      </x:c>
      <x:c r="M172" s="101" t="n">
        <x:v>0</x:v>
      </x:c>
      <x:c r="N172" s="99" t="n">
        <x:v>53083.7</x:v>
      </x:c>
      <x:c r="O172" s="90" t="n">
        <x:v>178.6086957</x:v>
      </x:c>
      <x:c r="P172" s="90" t="n">
        <x:v>1.786086957</x:v>
      </x:c>
      <x:c r="Q172" s="100" t="n">
        <x:v>-172.49</x:v>
      </x:c>
      <x:c r="R172" s="100" t="n">
        <x:v>-471.59</x:v>
      </x:c>
      <x:c r="S172" s="90" t="n">
        <x:v>5.313181818</x:v>
      </x:c>
      <x:c r="T172" s="90" t="n">
        <x:v>1.766842105</x:v>
      </x:c>
      <x:c r="U172" s="90" t="n">
        <x:v>3.546339713</x:v>
      </x:c>
      <x:c r="V172" s="90" t="n">
        <x:v>1.367468167</x:v>
      </x:c>
      <x:c r="W172" s="90" t="n">
        <x:v>2.178871545</x:v>
      </x:c>
      <x:c r="X172" s="102" t="n">
        <x:v>4.086682609</x:v>
      </x:c>
      <x:c r="Y172" s="102" t="n">
        <x:v>722.4324826</x:v>
      </x:c>
      <x:c r="Z172" s="102" t="n">
        <x:v>19.29837217</x:v>
      </x:c>
      <x:c r="AA172" s="102" t="n">
        <x:v>3.36007619</x:v>
      </x:c>
      <x:c r="AB172" s="103" t="n">
        <x:v>-0.2666762011</x:v>
      </x:c>
      <x:c r="AC172" s="103" t="n">
        <x:v>-0.1802623005</x:v>
      </x:c>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83" t="str">
        <x:v>2019-11</x:v>
      </x:c>
      <x:c r="B173" s="99" t="n">
        <x:v>3401.473</x:v>
      </x:c>
      <x:c r="C173" s="99" t="n">
        <x:v>137.2</x:v>
      </x:c>
      <x:c r="D173" s="99" t="n">
        <x:v>542.94</x:v>
      </x:c>
      <x:c r="E173" s="99" t="n">
        <x:v>7046.82</x:v>
      </x:c>
      <x:c r="F173" s="90" t="n">
        <x:v>4.25</x:v>
      </x:c>
      <x:c r="G173" s="90" t="n">
        <x:v>1.55</x:v>
      </x:c>
      <x:c r="H173" s="90" t="n">
        <x:v>2.7</x:v>
      </x:c>
      <x:c r="I173" s="100" t="n">
        <x:v>-4504.724544</x:v>
      </x:c>
      <x:c r="J173" s="90" t="n">
        <x:v>2.11895512</x:v>
      </x:c>
      <x:c r="K173" s="90" t="n">
        <x:v>116.5594684</x:v>
      </x:c>
      <x:c r="L173" s="90" t="n">
        <x:v>12.5235</x:v>
      </x:c>
      <x:c r="M173" s="101" t="n">
        <x:v>0</x:v>
      </x:c>
      <x:c r="N173" s="99" t="n">
        <x:v>52951.8</x:v>
      </x:c>
      <x:c r="O173" s="90" t="n">
        <x:v>181.8571429</x:v>
      </x:c>
      <x:c r="P173" s="90" t="n">
        <x:v>1.818571429</x:v>
      </x:c>
      <x:c r="Q173" s="100" t="n">
        <x:v>-57.21</x:v>
      </x:c>
      <x:c r="R173" s="100" t="n">
        <x:v>-911.44</x:v>
      </x:c>
      <x:c r="S173" s="90" t="n">
        <x:v>5.603157895</x:v>
      </x:c>
      <x:c r="T173" s="90" t="n">
        <x:v>1.934117647</x:v>
      </x:c>
      <x:c r="U173" s="90" t="n">
        <x:v>3.669040248</x:v>
      </x:c>
      <x:c r="V173" s="90" t="n">
        <x:v>1.483136842</x:v>
      </x:c>
      <x:c r="W173" s="90" t="n">
        <x:v>2.185903406</x:v>
      </x:c>
      <x:c r="X173" s="102" t="n">
        <x:v>4.156357143</x:v>
      </x:c>
      <x:c r="Y173" s="102" t="n">
        <x:v>779.5039524</x:v>
      </x:c>
      <x:c r="Z173" s="102" t="n">
        <x:v>19.28694571</x:v>
      </x:c>
      <x:c r="AA173" s="102" t="n">
        <x:v>3.372715</x:v>
      </x:c>
      <x:c r="AB173" s="103" t="n">
        <x:v>0.9927427176</x:v>
      </x:c>
      <x:c r="AC173" s="103" t="n">
        <x:v>0.8225338838</x:v>
      </x:c>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83" t="str">
        <x:v>2019-12</x:v>
      </x:c>
      <x:c r="B174" s="99" t="n">
        <x:v>3378.050645</x:v>
      </x:c>
      <x:c r="C174" s="99" t="n">
        <x:v>139.13</x:v>
      </x:c>
      <x:c r="D174" s="99" t="n">
        <x:v>657.54</x:v>
      </x:c>
      <x:c r="E174" s="99" t="n">
        <x:v>7086.53</x:v>
      </x:c>
      <x:c r="F174" s="90" t="n">
        <x:v>4.25</x:v>
      </x:c>
      <x:c r="G174" s="90" t="n">
        <x:v>1.55</x:v>
      </x:c>
      <x:c r="H174" s="90" t="n">
        <x:v>2.7</x:v>
      </x:c>
      <x:c r="I174" s="100" t="n">
        <x:v>-2934.132085</x:v>
      </x:c>
      <x:c r="J174" s="90" t="n">
        <x:v>2.457251638</x:v>
      </x:c>
      <x:c r="K174" s="90" t="n">
        <x:v>115.90961</x:v>
      </x:c>
      <x:c r="L174" s="90" t="n">
        <x:v>13.75666667</x:v>
      </x:c>
      <x:c r="M174" s="101" t="n">
        <x:v>0</x:v>
      </x:c>
      <x:c r="N174" s="99" t="n">
        <x:v>53167.19</x:v>
      </x:c>
      <x:c r="O174" s="90" t="n">
        <x:v>171.0454545</x:v>
      </x:c>
      <x:c r="P174" s="90" t="n">
        <x:v>1.710454545</x:v>
      </x:c>
      <x:c r="Q174" s="100" t="n">
        <x:v>-312.82</x:v>
      </x:c>
      <x:c r="R174" s="100" t="n">
        <x:v>-667.21</x:v>
      </x:c>
      <x:c r="S174" s="90" t="n">
        <x:v>5.583</x:v>
      </x:c>
      <x:c r="T174" s="90" t="n">
        <x:v>1.795</x:v>
      </x:c>
      <x:c r="U174" s="90" t="n">
        <x:v>3.788</x:v>
      </x:c>
      <x:c r="V174" s="90" t="n">
        <x:v>1.581071428</x:v>
      </x:c>
      <x:c r="W174" s="90" t="n">
        <x:v>2.206928572</x:v>
      </x:c>
      <x:c r="X174" s="102" t="n">
        <x:v>4.107940909</x:v>
      </x:c>
      <x:c r="Y174" s="102" t="n">
        <x:v>765.2586409</x:v>
      </x:c>
      <x:c r="Z174" s="102" t="n">
        <x:v>19.07965818</x:v>
      </x:c>
      <x:c r="AA174" s="102" t="n">
        <x:v>3.354738095</x:v>
      </x:c>
      <x:c r="AB174" s="103" t="n">
        <x:v>-0.5690876847</x:v>
      </x:c>
      <x:c r="AC174" s="103" t="n">
        <x:v>-0.531843996</x:v>
      </x:c>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83" t="str">
        <x:v>2020-01</x:v>
      </x:c>
      <x:c r="B175" s="99" t="n">
        <x:v>3311.189355</x:v>
      </x:c>
      <x:c r="C175" s="99" t="n">
        <x:v>132.64</x:v>
      </x:c>
      <x:c r="D175" s="99" t="n">
        <x:v>537.91</x:v>
      </x:c>
      <x:c r="E175" s="99" t="n">
        <x:v>7051.96</x:v>
      </x:c>
      <x:c r="F175" s="90" t="n">
        <x:v>4.25</x:v>
      </x:c>
      <x:c r="G175" s="90" t="n">
        <x:v>1.55</x:v>
      </x:c>
      <x:c r="H175" s="90" t="n">
        <x:v>2.7</x:v>
      </x:c>
      <x:c r="I175" s="100" t="n">
        <x:v>2831.894771</x:v>
      </x:c>
      <x:c r="J175" s="90" t="n">
        <x:v>2.72996169</x:v>
      </x:c>
      <x:c r="K175" s="90" t="n">
        <x:v>115.2793857</x:v>
      </x:c>
      <x:c r="L175" s="90" t="n">
        <x:v>13.94095238</x:v>
      </x:c>
      <x:c r="M175" s="101" t="n">
        <x:v>0</x:v>
      </x:c>
      <x:c r="N175" s="99" t="n">
        <x:v>53461.52</x:v>
      </x:c>
      <x:c r="O175" s="90" t="n">
        <x:v>170.0869565</x:v>
      </x:c>
      <x:c r="P175" s="90" t="n">
        <x:v>1.700869565</x:v>
      </x:c>
      <x:c r="Q175" s="100" t="n">
        <x:v>-78.41</x:v>
      </x:c>
      <x:c r="R175" s="100" t="n">
        <x:v>-336.39</x:v>
      </x:c>
      <x:c r="S175" s="90" t="n">
        <x:v>5.392380952</x:v>
      </x:c>
      <x:c r="T175" s="90" t="n">
        <x:v>1.752777778</x:v>
      </x:c>
      <x:c r="U175" s="90" t="n">
        <x:v>3.639603175</x:v>
      </x:c>
      <x:c r="V175" s="90" t="n">
        <x:v>1.603828566</x:v>
      </x:c>
      <x:c r="W175" s="90" t="n">
        <x:v>2.035774608</x:v>
      </x:c>
      <x:c r="X175" s="102" t="n">
        <x:v>4.144</x:v>
      </x:c>
      <x:c r="Y175" s="102" t="n">
        <x:v>774.1786565</x:v>
      </x:c>
      <x:c r="Z175" s="102" t="n">
        <x:v>18.77573957</x:v>
      </x:c>
      <x:c r="AA175" s="102" t="n">
        <x:v>3.327763636</x:v>
      </x:c>
      <x:c r="AB175" s="103" t="n">
        <x:v>-0.07106709284</x:v>
      </x:c>
      <x:c r="AC175" s="103" t="n">
        <x:v>-0.213214429</x:v>
      </x:c>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83" t="str">
        <x:v>2020-02</x:v>
      </x:c>
      <x:c r="B176" s="99" t="n">
        <x:v>3411.052759</x:v>
      </x:c>
      <x:c r="C176" s="99" t="n">
        <x:v>125.37</x:v>
      </x:c>
      <x:c r="D176" s="99" t="n">
        <x:v>536.38</x:v>
      </x:c>
      <x:c r="E176" s="99" t="n">
        <x:v>7076.09</x:v>
      </x:c>
      <x:c r="F176" s="90" t="n">
        <x:v>4.25</x:v>
      </x:c>
      <x:c r="G176" s="90" t="n">
        <x:v>1.58</x:v>
      </x:c>
      <x:c r="H176" s="90" t="n">
        <x:v>2.67</x:v>
      </x:c>
      <x:c r="I176" s="100" t="n">
        <x:v>-4034.656326</x:v>
      </x:c>
      <x:c r="J176" s="90" t="n">
        <x:v>2.376308178</x:v>
      </x:c>
      <x:c r="K176" s="90" t="n">
        <x:v>116.7105421</x:v>
      </x:c>
      <x:c r="L176" s="90" t="n">
        <x:v>19.62894737</x:v>
      </x:c>
      <x:c r="M176" s="101" t="n">
        <x:v>0</x:v>
      </x:c>
      <x:c r="N176" s="99" t="n">
        <x:v>53676.04</x:v>
      </x:c>
      <x:c r="O176" s="90" t="n">
        <x:v>172.7</x:v>
      </x:c>
      <x:c r="P176" s="90" t="n">
        <x:v>1.727</x:v>
      </x:c>
      <x:c r="Q176" s="100" t="n">
        <x:v>69.24</x:v>
      </x:c>
      <x:c r="R176" s="100" t="n">
        <x:v>-978.67</x:v>
      </x:c>
      <x:c r="S176" s="90" t="n">
        <x:v>5.2</x:v>
      </x:c>
      <x:c r="T176" s="90" t="n">
        <x:v>1.6745</x:v>
      </x:c>
      <x:c r="U176" s="90" t="n">
        <x:v>3.5255</x:v>
      </x:c>
      <x:c r="V176" s="90" t="n">
        <x:v>1.540247365</x:v>
      </x:c>
      <x:c r="W176" s="90" t="n">
        <x:v>1.985252635</x:v>
      </x:c>
      <x:c r="X176" s="102" t="n">
        <x:v>4.34585</x:v>
      </x:c>
      <x:c r="Y176" s="102" t="n">
        <x:v>797.7135</x:v>
      </x:c>
      <x:c r="Z176" s="102" t="n">
        <x:v>18.801899</x:v>
      </x:c>
      <x:c r="AA176" s="102" t="n">
        <x:v>3.39138</x:v>
      </x:c>
      <x:c r="AB176" s="103" t="n">
        <x:v>0.7199279079</x:v>
      </x:c>
      <x:c r="AC176" s="103" t="n">
        <x:v>0.9232813437</x:v>
      </x:c>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83" t="str">
        <x:v>2020-03</x:v>
      </x:c>
      <x:c r="B177" s="99" t="n">
        <x:v>3877.048387</x:v>
      </x:c>
      <x:c r="C177" s="99" t="n">
        <x:v>100.17</x:v>
      </x:c>
      <x:c r="D177" s="99" t="n">
        <x:v>718.64</x:v>
      </x:c>
      <x:c r="E177" s="99" t="n">
        <x:v>7234.76</x:v>
      </x:c>
      <x:c r="F177" s="90" t="n">
        <x:v>4.217741935</x:v>
      </x:c>
      <x:c r="G177" s="90" t="n">
        <x:v>0.65</x:v>
      </x:c>
      <x:c r="H177" s="90" t="n">
        <x:v>3.567741935</x:v>
      </x:c>
      <x:c r="I177" s="100" t="n">
        <x:v>-1265.372149</x:v>
      </x:c>
      <x:c r="J177" s="90" t="n">
        <x:v>2.225878777</x:v>
      </x:c>
      <x:c r="K177" s="90" t="n">
        <x:v>121.0227409</x:v>
      </x:c>
      <x:c r="L177" s="90" t="n">
        <x:v>57.73681818</x:v>
      </x:c>
      <x:c r="M177" s="101" t="n">
        <x:v>1</x:v>
      </x:c>
      <x:c r="N177" s="99" t="n">
        <x:v>53336.49</x:v>
      </x:c>
      <x:c r="O177" s="90" t="n">
        <x:v>345.1818182</x:v>
      </x:c>
      <x:c r="P177" s="90" t="n">
        <x:v>3.451818182</x:v>
      </x:c>
      <x:c r="Q177" s="100" t="n">
        <x:v>234.39</x:v>
      </x:c>
      <x:c r="R177" s="100" t="n">
        <x:v>-2229.42</x:v>
      </x:c>
      <x:c r="S177" s="90" t="n">
        <x:v>6.668095238</x:v>
      </x:c>
      <x:c r="T177" s="90" t="n">
        <x:v>2.746666667</x:v>
      </x:c>
      <x:c r="U177" s="90" t="n">
        <x:v>3.921428571</x:v>
      </x:c>
      <x:c r="V177" s="90" t="n">
        <x:v>0.6171227236</x:v>
      </x:c>
      <x:c r="W177" s="90" t="n">
        <x:v>3.304305848</x:v>
      </x:c>
      <x:c r="X177" s="102" t="n">
        <x:v>4.883531818</x:v>
      </x:c>
      <x:c r="Y177" s="102" t="n">
        <x:v>840.3306773</x:v>
      </x:c>
      <x:c r="Z177" s="102" t="n">
        <x:v>22.14204455</x:v>
      </x:c>
      <x:c r="AA177" s="102" t="n">
        <x:v>3.492554545</x:v>
      </x:c>
      <x:c r="AB177" s="103" t="n">
        <x:v>3.564684862</x:v>
      </x:c>
      <x:c r="AC177" s="103" t="n">
        <x:v>3.267234776</x:v>
      </x:c>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83" t="str">
        <x:v>2020-04</x:v>
      </x:c>
      <x:c r="B178" s="99" t="n">
        <x:v>3977.393333</x:v>
      </x:c>
      <x:c r="C178" s="99" t="n">
        <x:v>96.74</x:v>
      </x:c>
      <x:c r="D178" s="99" t="n">
        <x:v>349.52</x:v>
      </x:c>
      <x:c r="E178" s="99" t="n">
        <x:v>6987.75</x:v>
      </x:c>
      <x:c r="F178" s="90" t="n">
        <x:v>3.75</x:v>
      </x:c>
      <x:c r="G178" s="90" t="n">
        <x:v>0.05</x:v>
      </x:c>
      <x:c r="H178" s="90" t="n">
        <x:v>3.7</x:v>
      </x:c>
      <x:c r="I178" s="100" t="n">
        <x:v>-8441.085868</x:v>
      </x:c>
      <x:c r="J178" s="90" t="n">
        <x:v>3.178987191</x:v>
      </x:c>
      <x:c r="K178" s="90" t="n">
        <x:v>123.2803455</x:v>
      </x:c>
      <x:c r="L178" s="90" t="n">
        <x:v>41.45380952</x:v>
      </x:c>
      <x:c r="M178" s="101" t="n">
        <x:v>1</x:v>
      </x:c>
      <x:c r="N178" s="99" t="n">
        <x:v>53862.68</x:v>
      </x:c>
      <x:c r="O178" s="90" t="n">
        <x:v>388.8636364</x:v>
      </x:c>
      <x:c r="P178" s="90" t="n">
        <x:v>3.888636364</x:v>
      </x:c>
      <x:c r="Q178" s="100" t="n">
        <x:v>11.17</x:v>
      </x:c>
      <x:c r="R178" s="100" t="n">
        <x:v>14.17</x:v>
      </x:c>
      <x:c r="S178" s="90" t="n">
        <x:v>6.2605</x:v>
      </x:c>
      <x:c r="T178" s="90" t="n">
        <x:v>2.819230769</x:v>
      </x:c>
      <x:c r="U178" s="90" t="n">
        <x:v>3.441269231</x:v>
      </x:c>
      <x:c r="V178" s="90" t="n">
        <x:v>0.6783285794</x:v>
      </x:c>
      <x:c r="W178" s="90" t="n">
        <x:v>2.762940651</x:v>
      </x:c>
      <x:c r="X178" s="102" t="n">
        <x:v>5.312122727</x:v>
      </x:c>
      <x:c r="Y178" s="102" t="n">
        <x:v>852.085</x:v>
      </x:c>
      <x:c r="Z178" s="102" t="n">
        <x:v>24.10104591</x:v>
      </x:c>
      <x:c r="AA178" s="102" t="n">
        <x:v>3.39842</x:v>
      </x:c>
      <x:c r="AB178" s="103" t="n">
        <x:v>1.850095616</x:v>
      </x:c>
      <x:c r="AC178" s="103" t="n">
        <x:v>0.840486766</x:v>
      </x:c>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83" t="str">
        <x:v>2020-05</x:v>
      </x:c>
      <x:c r="B179" s="99" t="n">
        <x:v>3858.191613</x:v>
      </x:c>
      <x:c r="C179" s="99" t="n">
        <x:v>100.17</x:v>
      </x:c>
      <x:c r="D179" s="99" t="n">
        <x:v>448.57</x:v>
      </x:c>
      <x:c r="E179" s="99" t="n">
        <x:v>6784.09</x:v>
      </x:c>
      <x:c r="F179" s="90" t="n">
        <x:v>3.298387097</x:v>
      </x:c>
      <x:c r="G179" s="90" t="n">
        <x:v>0.05</x:v>
      </x:c>
      <x:c r="H179" s="90" t="n">
        <x:v>3.248387097</x:v>
      </x:c>
      <x:c r="I179" s="100" t="n">
        <x:v>-7384.940838</x:v>
      </x:c>
      <x:c r="J179" s="90" t="n">
        <x:v>3.909812532</x:v>
      </x:c>
      <x:c r="K179" s="90" t="n">
        <x:v>122.61501</x:v>
      </x:c>
      <x:c r="L179" s="90" t="n">
        <x:v>30.897</x:v>
      </x:c>
      <x:c r="M179" s="101" t="n">
        <x:v>1</x:v>
      </x:c>
      <x:c r="N179" s="99" t="n">
        <x:v>56361.68</x:v>
      </x:c>
      <x:c r="O179" s="90" t="n">
        <x:v>335.3333333</x:v>
      </x:c>
      <x:c r="P179" s="90" t="n">
        <x:v>3.353333333</x:v>
      </x:c>
      <x:c r="Q179" s="100" t="n">
        <x:v>-94.9</x:v>
      </x:c>
      <x:c r="R179" s="100" t="n">
        <x:v>1887.31</x:v>
      </x:c>
      <x:c r="S179" s="90" t="n">
        <x:v>4.949473684</x:v>
      </x:c>
      <x:c r="T179" s="90" t="n">
        <x:v>2.58</x:v>
      </x:c>
      <x:c r="U179" s="90" t="n">
        <x:v>2.369473684</x:v>
      </x:c>
      <x:c r="V179" s="90" t="n">
        <x:v>0.7583300024</x:v>
      </x:c>
      <x:c r="W179" s="90" t="n">
        <x:v>1.611143682</x:v>
      </x:c>
      <x:c r="X179" s="102" t="n">
        <x:v>5.632842857</x:v>
      </x:c>
      <x:c r="Y179" s="102" t="n">
        <x:v>820.0199857</x:v>
      </x:c>
      <x:c r="Z179" s="102" t="n">
        <x:v>23.33409524</x:v>
      </x:c>
      <x:c r="AA179" s="102" t="n">
        <x:v>3.42185</x:v>
      </x:c>
      <x:c r="AB179" s="103" t="n">
        <x:v>-0.4358909802</x:v>
      </x:c>
      <x:c r="AC179" s="103" t="n">
        <x:v>-0.1862623949</x:v>
      </x:c>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83" t="str">
        <x:v>2020-06</x:v>
      </x:c>
      <x:c r="B180" s="99" t="n">
        <x:v>3701.604333</x:v>
      </x:c>
      <x:c r="C180" s="99" t="n">
        <x:v>108.03</x:v>
      </x:c>
      <x:c r="D180" s="99" t="n">
        <x:v>526.42</x:v>
      </x:c>
      <x:c r="E180" s="99" t="n">
        <x:v>6784.76</x:v>
      </x:c>
      <x:c r="F180" s="90" t="n">
        <x:v>2.75</x:v>
      </x:c>
      <x:c r="G180" s="90" t="n">
        <x:v>0.08</x:v>
      </x:c>
      <x:c r="H180" s="90" t="n">
        <x:v>2.67</x:v>
      </x:c>
      <x:c r="I180" s="100" t="n">
        <x:v>-12312.51201</x:v>
      </x:c>
      <x:c r="J180" s="90" t="n">
        <x:v>5.17609732</x:v>
      </x:c>
      <x:c r="K180" s="90" t="n">
        <x:v>119.6766045</x:v>
      </x:c>
      <x:c r="L180" s="90" t="n">
        <x:v>31.11954545</x:v>
      </x:c>
      <x:c r="M180" s="101" t="n">
        <x:v>0</x:v>
      </x:c>
      <x:c r="N180" s="99" t="n">
        <x:v>56623.49</x:v>
      </x:c>
      <x:c r="O180" s="90" t="n">
        <x:v>287.3181818</x:v>
      </x:c>
      <x:c r="P180" s="90" t="n">
        <x:v>2.873181818</x:v>
      </x:c>
      <x:c r="Q180" s="100" t="n">
        <x:v>-57.41</x:v>
      </x:c>
      <x:c r="R180" s="100" t="n">
        <x:v>-672.46</x:v>
      </x:c>
      <x:c r="S180" s="90" t="n">
        <x:v>4.722105263</x:v>
      </x:c>
      <x:c r="T180" s="90" t="n">
        <x:v>2.533684211</x:v>
      </x:c>
      <x:c r="U180" s="90" t="n">
        <x:v>2.188421053</x:v>
      </x:c>
      <x:c r="V180" s="90" t="n">
        <x:v>1.065604546</x:v>
      </x:c>
      <x:c r="W180" s="90" t="n">
        <x:v>1.122816507</x:v>
      </x:c>
      <x:c r="X180" s="102" t="n">
        <x:v>5.182331818</x:v>
      </x:c>
      <x:c r="Y180" s="102" t="n">
        <x:v>795.8832</x:v>
      </x:c>
      <x:c r="Z180" s="102" t="n">
        <x:v>22.17543045</x:v>
      </x:c>
      <x:c r="AA180" s="102" t="n">
        <x:v>3.471095238</x:v>
      </x:c>
      <x:c r="AB180" s="103" t="n">
        <x:v>-1.843489585</x:v>
      </x:c>
      <x:c r="AC180" s="103" t="n">
        <x:v>-1.092759523</x:v>
      </x:c>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83" t="str">
        <x:v>2020-07</x:v>
      </x:c>
      <x:c r="B181" s="99" t="n">
        <x:v>3657.866774</x:v>
      </x:c>
      <x:c r="C181" s="99" t="n">
        <x:v>117.97</x:v>
      </x:c>
      <x:c r="D181" s="99" t="n">
        <x:v>584.64</x:v>
      </x:c>
      <x:c r="E181" s="99" t="n">
        <x:v>6762.52</x:v>
      </x:c>
      <x:c r="F181" s="90" t="n">
        <x:v>2.5</x:v>
      </x:c>
      <x:c r="G181" s="90" t="n">
        <x:v>0.09</x:v>
      </x:c>
      <x:c r="H181" s="90" t="n">
        <x:v>2.41</x:v>
      </x:c>
      <x:c r="I181" s="100" t="n">
        <x:v>-11480.51974</x:v>
      </x:c>
      <x:c r="J181" s="90" t="n">
        <x:v>5.791065909</x:v>
      </x:c>
      <x:c r="K181" s="90" t="n">
        <x:v>118.69005</x:v>
      </x:c>
      <x:c r="L181" s="90" t="n">
        <x:v>26.84045455</x:v>
      </x:c>
      <x:c r="M181" s="101" t="n">
        <x:v>0</x:v>
      </x:c>
      <x:c r="N181" s="99" t="n">
        <x:v>56971.93</x:v>
      </x:c>
      <x:c r="O181" s="90" t="n">
        <x:v>272.173913</x:v>
      </x:c>
      <x:c r="P181" s="90" t="n">
        <x:v>2.72173913</x:v>
      </x:c>
      <x:c r="Q181" s="100" t="n">
        <x:v>-29.76</x:v>
      </x:c>
      <x:c r="R181" s="100" t="n">
        <x:v>-770.79</x:v>
      </x:c>
      <x:c r="S181" s="90" t="n">
        <x:v>4.234545455</x:v>
      </x:c>
      <x:c r="T181" s="90" t="n">
        <x:v>2.128181818</x:v>
      </x:c>
      <x:c r="U181" s="90" t="n">
        <x:v>2.106363636</x:v>
      </x:c>
      <x:c r="V181" s="90" t="n">
        <x:v>1.350899989</x:v>
      </x:c>
      <x:c r="W181" s="90" t="n">
        <x:v>0.7554636474</x:v>
      </x:c>
      <x:c r="X181" s="102" t="n">
        <x:v>5.279895652</x:v>
      </x:c>
      <x:c r="Y181" s="102" t="n">
        <x:v>780.9887043</x:v>
      </x:c>
      <x:c r="Z181" s="102" t="n">
        <x:v>22.33604217</x:v>
      </x:c>
      <x:c r="AA181" s="102" t="n">
        <x:v>3.517340909</x:v>
      </x:c>
      <x:c r="AB181" s="103" t="n">
        <x:v>-0.0828278232</x:v>
      </x:c>
      <x:c r="AC181" s="103" t="n">
        <x:v>0.2065429672</x:v>
      </x:c>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83" t="str">
        <x:v>2020-08</x:v>
      </x:c>
      <x:c r="B182" s="99" t="n">
        <x:v>3783.025806</x:v>
      </x:c>
      <x:c r="C182" s="99" t="n">
        <x:v>122.67</x:v>
      </x:c>
      <x:c r="D182" s="99" t="n">
        <x:v>635.88</x:v>
      </x:c>
      <x:c r="E182" s="99" t="n">
        <x:v>6718.1</x:v>
      </x:c>
      <x:c r="F182" s="90" t="n">
        <x:v>2.266129032</x:v>
      </x:c>
      <x:c r="G182" s="90" t="n">
        <x:v>0.1</x:v>
      </x:c>
      <x:c r="H182" s="90" t="n">
        <x:v>2.166129032</x:v>
      </x:c>
      <x:c r="I182" s="100" t="n">
        <x:v>-11214.28637</x:v>
      </x:c>
      <x:c r="J182" s="90" t="n">
        <x:v>6.324605304</x:v>
      </x:c>
      <x:c r="K182" s="90" t="n">
        <x:v>116.9453476</x:v>
      </x:c>
      <x:c r="L182" s="90" t="n">
        <x:v>22.88952381</x:v>
      </x:c>
      <x:c r="M182" s="101" t="n">
        <x:v>0</x:v>
      </x:c>
      <x:c r="N182" s="99" t="n">
        <x:v>57184.93</x:v>
      </x:c>
      <x:c r="O182" s="90" t="n">
        <x:v>241.047619</x:v>
      </x:c>
      <x:c r="P182" s="90" t="n">
        <x:v>2.41047619</x:v>
      </x:c>
      <x:c r="Q182" s="100" t="n">
        <x:v>64.18</x:v>
      </x:c>
      <x:c r="R182" s="100" t="n">
        <x:v>-795.33</x:v>
      </x:c>
      <x:c r="S182" s="90" t="n">
        <x:v>4.272631579</x:v>
      </x:c>
      <x:c r="T182" s="90" t="n">
        <x:v>1.785263158</x:v>
      </x:c>
      <x:c r="U182" s="90" t="n">
        <x:v>2.487368421</x:v>
      </x:c>
      <x:c r="V182" s="90" t="n">
        <x:v>1.582147621</x:v>
      </x:c>
      <x:c r="W182" s="90" t="n">
        <x:v>0.9052208001</x:v>
      </x:c>
      <x:c r="X182" s="102" t="n">
        <x:v>5.460933333</x:v>
      </x:c>
      <x:c r="Y182" s="102" t="n">
        <x:v>785.5256905</x:v>
      </x:c>
      <x:c r="Z182" s="102" t="n">
        <x:v>22.13742952</x:v>
      </x:c>
      <x:c r="AA182" s="102" t="n">
        <x:v>3.564547619</x:v>
      </x:c>
      <x:c r="AB182" s="103" t="n">
        <x:v>0.1689394899</x:v>
      </x:c>
      <x:c r="AC182" s="103" t="n">
        <x:v>0.3973146901</x:v>
      </x:c>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83" t="str">
        <x:v>2020-09</x:v>
      </x:c>
      <x:c r="B183" s="99" t="n">
        <x:v>3750.215333</x:v>
      </x:c>
      <x:c r="C183" s="99" t="n">
        <x:v>121.86</x:v>
      </x:c>
      <x:c r="D183" s="99" t="n">
        <x:v>653</x:v>
      </x:c>
      <x:c r="E183" s="99" t="n">
        <x:v>6788.77</x:v>
      </x:c>
      <x:c r="F183" s="90" t="n">
        <x:v>1.975</x:v>
      </x:c>
      <x:c r="G183" s="90" t="n">
        <x:v>0.09</x:v>
      </x:c>
      <x:c r="H183" s="90" t="n">
        <x:v>1.885</x:v>
      </x:c>
      <x:c r="I183" s="100" t="n">
        <x:v>-6442.003856</x:v>
      </x:c>
      <x:c r="J183" s="90" t="n">
        <x:v>7.363909642</x:v>
      </x:c>
      <x:c r="K183" s="90" t="n">
        <x:v>116.3431333</x:v>
      </x:c>
      <x:c r="L183" s="90" t="n">
        <x:v>27.64761905</x:v>
      </x:c>
      <x:c r="M183" s="101" t="n">
        <x:v>0</x:v>
      </x:c>
      <x:c r="N183" s="99" t="n">
        <x:v>56978.48</x:v>
      </x:c>
      <x:c r="O183" s="90" t="n">
        <x:v>253.9090909</x:v>
      </x:c>
      <x:c r="P183" s="90" t="n">
        <x:v>2.539090909</x:v>
      </x:c>
      <x:c r="Q183" s="100" t="n">
        <x:v>109.83</x:v>
      </x:c>
      <x:c r="R183" s="100" t="n">
        <x:v>-1294.55</x:v>
      </x:c>
      <x:c r="S183" s="90" t="n">
        <x:v>4.242727273</x:v>
      </x:c>
      <x:c r="T183" s="90" t="n">
        <x:v>1.537727273</x:v>
      </x:c>
      <x:c r="U183" s="90" t="n">
        <x:v>2.705</x:v>
      </x:c>
      <x:c r="V183" s="90" t="n">
        <x:v>1.578671421</x:v>
      </x:c>
      <x:c r="W183" s="90" t="n">
        <x:v>1.126328579</x:v>
      </x:c>
      <x:c r="X183" s="102" t="n">
        <x:v>5.393968182</x:v>
      </x:c>
      <x:c r="Y183" s="102" t="n">
        <x:v>773.2568182</x:v>
      </x:c>
      <x:c r="Z183" s="102" t="n">
        <x:v>21.54995182</x:v>
      </x:c>
      <x:c r="AA183" s="102" t="n">
        <x:v>3.555759091</x:v>
      </x:c>
      <x:c r="AB183" s="103" t="n">
        <x:v>-0.7336197567</x:v>
      </x:c>
      <x:c r="AC183" s="103" t="n">
        <x:v>-0.5974021241</x:v>
      </x:c>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83" t="str">
        <x:v>2020-10</x:v>
      </x:c>
      <x:c r="B184" s="99" t="n">
        <x:v>3833.788387</x:v>
      </x:c>
      <x:c r="C184" s="99" t="n">
        <x:v>121.18</x:v>
      </x:c>
      <x:c r="D184" s="99" t="n">
        <x:v>646.59</x:v>
      </x:c>
      <x:c r="E184" s="99" t="n">
        <x:v>6838.03</x:v>
      </x:c>
      <x:c r="F184" s="90" t="n">
        <x:v>1.75</x:v>
      </x:c>
      <x:c r="G184" s="90" t="n">
        <x:v>0.09</x:v>
      </x:c>
      <x:c r="H184" s="90" t="n">
        <x:v>1.66</x:v>
      </x:c>
      <x:c r="I184" s="100" t="n">
        <x:v>2477.461562</x:v>
      </x:c>
      <x:c r="J184" s="90" t="n">
        <x:v>6.480396271</x:v>
      </x:c>
      <x:c r="K184" s="90" t="n">
        <x:v>115.7798143</x:v>
      </x:c>
      <x:c r="L184" s="90" t="n">
        <x:v>29.43863636</x:v>
      </x:c>
      <x:c r="M184" s="101" t="n">
        <x:v>0</x:v>
      </x:c>
      <x:c r="N184" s="99" t="n">
        <x:v>56918.99</x:v>
      </x:c>
      <x:c r="O184" s="90" t="n">
        <x:v>240.4090909</x:v>
      </x:c>
      <x:c r="P184" s="90" t="n">
        <x:v>2.404090909</x:v>
      </x:c>
      <x:c r="Q184" s="100" t="n">
        <x:v>93.28</x:v>
      </x:c>
      <x:c r="R184" s="100" t="n">
        <x:v>-1154.57</x:v>
      </x:c>
      <x:c r="S184" s="90" t="n">
        <x:v>4.44</x:v>
      </x:c>
      <x:c r="T184" s="90" t="n">
        <x:v>1.314285714</x:v>
      </x:c>
      <x:c r="U184" s="90" t="n">
        <x:v>3.125714286</x:v>
      </x:c>
      <x:c r="V184" s="90" t="n">
        <x:v>1.592328577</x:v>
      </x:c>
      <x:c r="W184" s="90" t="n">
        <x:v>1.533385709</x:v>
      </x:c>
      <x:c r="X184" s="102" t="n">
        <x:v>5.621563636</x:v>
      </x:c>
      <x:c r="Y184" s="102" t="n">
        <x:v>787.7706818</x:v>
      </x:c>
      <x:c r="Z184" s="102" t="n">
        <x:v>21.21154636</x:v>
      </x:c>
      <x:c r="AA184" s="102" t="n">
        <x:v>3.596136364</x:v>
      </x:c>
      <x:c r="AB184" s="103" t="n">
        <x:v>0.3154473082</x:v>
      </x:c>
      <x:c r="AC184" s="103" t="n">
        <x:v>0.4661565877</x:v>
      </x:c>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83" t="str">
        <x:v>2020-11</x:v>
      </x:c>
      <x:c r="B185" s="99" t="n">
        <x:v>3685.626667</x:v>
      </x:c>
      <x:c r="C185" s="99" t="n">
        <x:v>123.44</x:v>
      </x:c>
      <x:c r="D185" s="99" t="n">
        <x:v>602.59</x:v>
      </x:c>
      <x:c r="E185" s="99" t="n">
        <x:v>6897.68</x:v>
      </x:c>
      <x:c r="F185" s="90" t="n">
        <x:v>1.75</x:v>
      </x:c>
      <x:c r="G185" s="90" t="n">
        <x:v>0.09</x:v>
      </x:c>
      <x:c r="H185" s="90" t="n">
        <x:v>1.66</x:v>
      </x:c>
      <x:c r="I185" s="100" t="n">
        <x:v>-8645.868268</x:v>
      </x:c>
      <x:c r="J185" s="90" t="n">
        <x:v>6.895144794</x:v>
      </x:c>
      <x:c r="K185" s="90" t="n">
        <x:v>114.0984</x:v>
      </x:c>
      <x:c r="L185" s="90" t="n">
        <x:v>24.9955</x:v>
      </x:c>
      <x:c r="M185" s="101" t="n">
        <x:v>0</x:v>
      </x:c>
      <x:c r="N185" s="99" t="n">
        <x:v>57244.55</x:v>
      </x:c>
      <x:c r="O185" s="90" t="n">
        <x:v>217.7142857</x:v>
      </x:c>
      <x:c r="P185" s="90" t="n">
        <x:v>2.177142857</x:v>
      </x:c>
      <x:c r="Q185" s="100" t="n">
        <x:v>-63.03</x:v>
      </x:c>
      <x:c r="R185" s="100" t="n">
        <x:v>-338.37</x:v>
      </x:c>
      <x:c r="S185" s="90" t="n">
        <x:v>4.398421053</x:v>
      </x:c>
      <x:c r="T185" s="90" t="n">
        <x:v>1.365263158</x:v>
      </x:c>
      <x:c r="U185" s="90" t="n">
        <x:v>3.033157895</x:v>
      </x:c>
      <x:c r="V185" s="90" t="n">
        <x:v>1.598405248</x:v>
      </x:c>
      <x:c r="W185" s="90" t="n">
        <x:v>1.434752646</x:v>
      </x:c>
      <x:c r="X185" s="102" t="n">
        <x:v>5.434390476</x:v>
      </x:c>
      <x:c r="Y185" s="102" t="n">
        <x:v>762.4780857</x:v>
      </x:c>
      <x:c r="Z185" s="102" t="n">
        <x:v>20.35438095</x:v>
      </x:c>
      <x:c r="AA185" s="102" t="n">
        <x:v>3.608719048</x:v>
      </x:c>
      <x:c r="AB185" s="103" t="n">
        <x:v>-1.311983844</x:v>
      </x:c>
      <x:c r="AC185" s="103" t="n">
        <x:v>-0.9112720511</x:v>
      </x:c>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83" t="str">
        <x:v>2020-12</x:v>
      </x:c>
      <x:c r="B186" s="99" t="n">
        <x:v>3466.127097</x:v>
      </x:c>
      <x:c r="C186" s="99" t="n">
        <x:v>129.34</x:v>
      </x:c>
      <x:c r="D186" s="99" t="n">
        <x:v>668.7</x:v>
      </x:c>
      <x:c r="E186" s="99" t="n">
        <x:v>6908.84</x:v>
      </x:c>
      <x:c r="F186" s="90" t="n">
        <x:v>1.75</x:v>
      </x:c>
      <x:c r="G186" s="90" t="n">
        <x:v>0.09</x:v>
      </x:c>
      <x:c r="H186" s="90" t="n">
        <x:v>1.66</x:v>
      </x:c>
      <x:c r="I186" s="100" t="n">
        <x:v>-11851.53491</x:v>
      </x:c>
      <x:c r="J186" s="90" t="n">
        <x:v>7.788250635</x:v>
      </x:c>
      <x:c r="K186" s="90" t="n">
        <x:v>111.8992143</x:v>
      </x:c>
      <x:c r="L186" s="90" t="n">
        <x:v>22.37409091</x:v>
      </x:c>
      <x:c r="M186" s="101" t="n">
        <x:v>0</x:v>
      </x:c>
      <x:c r="N186" s="99" t="n">
        <x:v>59030.79</x:v>
      </x:c>
      <x:c r="O186" s="90" t="n">
        <x:v>209.9565217</x:v>
      </x:c>
      <x:c r="P186" s="90" t="n">
        <x:v>2.099565217</x:v>
      </x:c>
      <x:c r="Q186" s="100" t="n">
        <x:v>-68.97</x:v>
      </x:c>
      <x:c r="R186" s="100" t="n">
        <x:v>916.7</x:v>
      </x:c>
      <x:c r="S186" s="90" t="n">
        <x:v>4.340526316</x:v>
      </x:c>
      <x:c r="T186" s="90" t="n">
        <x:v>1.185</x:v>
      </x:c>
      <x:c r="U186" s="90" t="n">
        <x:v>3.155526316</x:v>
      </x:c>
      <x:c r="V186" s="90" t="n">
        <x:v>1.855690902</x:v>
      </x:c>
      <x:c r="W186" s="90" t="n">
        <x:v>1.299835414</x:v>
      </x:c>
      <x:c r="X186" s="102" t="n">
        <x:v>5.14673913</x:v>
      </x:c>
      <x:c r="Y186" s="102" t="n">
        <x:v>730.3515217</x:v>
      </x:c>
      <x:c r="Z186" s="102" t="n">
        <x:v>19.89075783</x:v>
      </x:c>
      <x:c r="AA186" s="102" t="n">
        <x:v>3.603242857</x:v>
      </x:c>
      <x:c r="AB186" s="103" t="n">
        <x:v>-1.410605932</x:v>
      </x:c>
      <x:c r="AC186" s="103" t="n">
        <x:v>-1.086035413</x:v>
      </x:c>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83" t="str">
        <x:v>2021-01</x:v>
      </x:c>
      <x:c r="B187" s="99" t="n">
        <x:v>3491.321613</x:v>
      </x:c>
      <x:c r="C187" s="99" t="n">
        <x:v>133.99</x:v>
      </x:c>
      <x:c r="D187" s="99" t="n">
        <x:v>547.62</x:v>
      </x:c>
      <x:c r="E187" s="99" t="n">
        <x:v>6918.55</x:v>
      </x:c>
      <x:c r="F187" s="90" t="n">
        <x:v>1.75</x:v>
      </x:c>
      <x:c r="G187" s="90" t="n">
        <x:v>0.09</x:v>
      </x:c>
      <x:c r="H187" s="90" t="n">
        <x:v>1.66</x:v>
      </x:c>
      <x:c r="I187" s="100" t="n">
        <x:v>-3975.91576</x:v>
      </x:c>
      <x:c r="J187" s="90" t="n">
        <x:v>7.0911306</x:v>
      </x:c>
      <x:c r="K187" s="90" t="n">
        <x:v>111.4872722</x:v>
      </x:c>
      <x:c r="L187" s="90" t="n">
        <x:v>24.91</x:v>
      </x:c>
      <x:c r="M187" s="101" t="n">
        <x:v>0</x:v>
      </x:c>
      <x:c r="N187" s="99" t="n">
        <x:v>59000.87</x:v>
      </x:c>
      <x:c r="O187" s="90" t="n">
        <x:v>216.4285714</x:v>
      </x:c>
      <x:c r="P187" s="90" t="n">
        <x:v>2.164285714</x:v>
      </x:c>
      <x:c r="Q187" s="100" t="n">
        <x:v>28.99</x:v>
      </x:c>
      <x:c r="R187" s="100" t="n">
        <x:v>-841.36</x:v>
      </x:c>
      <x:c r="S187" s="90" t="n">
        <x:v>4.247894737</x:v>
      </x:c>
      <x:c r="T187" s="90" t="n">
        <x:v>0.8568421053</x:v>
      </x:c>
      <x:c r="U187" s="90" t="n">
        <x:v>3.391052632</x:v>
      </x:c>
      <x:c r="V187" s="90" t="n">
        <x:v>2.125578956</x:v>
      </x:c>
      <x:c r="W187" s="90" t="n">
        <x:v>1.265473676</x:v>
      </x:c>
      <x:c r="X187" s="102" t="n">
        <x:v>5.348328571</x:v>
      </x:c>
      <x:c r="Y187" s="102" t="n">
        <x:v>723.7957333</x:v>
      </x:c>
      <x:c r="Z187" s="102" t="n">
        <x:v>19.84059429</x:v>
      </x:c>
      <x:c r="AA187" s="102" t="n">
        <x:v>3.62495</x:v>
      </x:c>
      <x:c r="AB187" s="103" t="n">
        <x:v>0.1035725325</x:v>
      </x:c>
      <x:c r="AC187" s="103" t="n">
        <x:v>0.2009481724</x:v>
      </x:c>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83" t="str">
        <x:v>2021-02</x:v>
      </x:c>
      <x:c r="B188" s="99" t="n">
        <x:v>3554.504286</x:v>
      </x:c>
      <x:c r="C188" s="99" t="n">
        <x:v>133.22</x:v>
      </x:c>
      <x:c r="D188" s="99" t="n">
        <x:v>606.02</x:v>
      </x:c>
      <x:c r="E188" s="99" t="n">
        <x:v>6988.19</x:v>
      </x:c>
      <x:c r="F188" s="90" t="n">
        <x:v>1.75</x:v>
      </x:c>
      <x:c r="G188" s="90" t="n">
        <x:v>0.08</x:v>
      </x:c>
      <x:c r="H188" s="90" t="n">
        <x:v>1.67</x:v>
      </x:c>
      <x:c r="I188" s="100" t="n">
        <x:v>-11153.51896</x:v>
      </x:c>
      <x:c r="J188" s="90" t="n">
        <x:v>7.68803314</x:v>
      </x:c>
      <x:c r="K188" s="90" t="n">
        <x:v>112.0170526</x:v>
      </x:c>
      <x:c r="L188" s="90" t="n">
        <x:v>23.14052632</x:v>
      </x:c>
      <x:c r="M188" s="101" t="n">
        <x:v>0</x:v>
      </x:c>
      <x:c r="N188" s="99" t="n">
        <x:v>58975.17</x:v>
      </x:c>
      <x:c r="O188" s="90" t="n">
        <x:v>213.8</x:v>
      </x:c>
      <x:c r="P188" s="90" t="n">
        <x:v>2.138</x:v>
      </x:c>
      <x:c r="Q188" s="100" t="n">
        <x:v>-29.58</x:v>
      </x:c>
      <x:c r="R188" s="100" t="n">
        <x:v>-1103.72</x:v>
      </x:c>
      <x:c r="S188" s="90" t="n">
        <x:v>4.339</x:v>
      </x:c>
      <x:c r="T188" s="90" t="n">
        <x:v>0.9025</x:v>
      </x:c>
      <x:c r="U188" s="90" t="n">
        <x:v>3.4365</x:v>
      </x:c>
      <x:c r="V188" s="90" t="n">
        <x:v>2.294578954</x:v>
      </x:c>
      <x:c r="W188" s="90" t="n">
        <x:v>1.141921046</x:v>
      </x:c>
      <x:c r="X188" s="102" t="n">
        <x:v>5.412695</x:v>
      </x:c>
      <x:c r="Y188" s="102" t="n">
        <x:v>722.353985</x:v>
      </x:c>
      <x:c r="Z188" s="102" t="n">
        <x:v>20.2356995</x:v>
      </x:c>
      <x:c r="AA188" s="102" t="n">
        <x:v>3.64569</x:v>
      </x:c>
      <x:c r="AB188" s="103" t="n">
        <x:v>0.2169412801</x:v>
      </x:c>
      <x:c r="AC188" s="103" t="n">
        <x:v>0.2799184808</x:v>
      </x:c>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83" t="str">
        <x:v>2021-03</x:v>
      </x:c>
      <x:c r="B189" s="99" t="n">
        <x:v>3612.768387</x:v>
      </x:c>
      <x:c r="C189" s="99" t="n">
        <x:v>137.51</x:v>
      </x:c>
      <x:c r="D189" s="99" t="n">
        <x:v>795.37</x:v>
      </x:c>
      <x:c r="E189" s="99" t="n">
        <x:v>7064.92</x:v>
      </x:c>
      <x:c r="F189" s="90" t="n">
        <x:v>1.75</x:v>
      </x:c>
      <x:c r="G189" s="90" t="n">
        <x:v>0.07</x:v>
      </x:c>
      <x:c r="H189" s="90" t="n">
        <x:v>1.68</x:v>
      </x:c>
      <x:c r="I189" s="100" t="n">
        <x:v>261.5796268</x:v>
      </x:c>
      <x:c r="J189" s="90" t="n">
        <x:v>7.560001257</x:v>
      </x:c>
      <x:c r="K189" s="90" t="n">
        <x:v>113.3366435</x:v>
      </x:c>
      <x:c r="L189" s="90" t="n">
        <x:v>21.84304348</x:v>
      </x:c>
      <x:c r="M189" s="101" t="n">
        <x:v>0</x:v>
      </x:c>
      <x:c r="N189" s="99" t="n">
        <x:v>58900.51</x:v>
      </x:c>
      <x:c r="O189" s="90" t="n">
        <x:v>223.3043478</x:v>
      </x:c>
      <x:c r="P189" s="90" t="n">
        <x:v>2.233043478</x:v>
      </x:c>
      <x:c r="Q189" s="100" t="n">
        <x:v>81.45</x:v>
      </x:c>
      <x:c r="R189" s="100" t="n">
        <x:v>-1495.67</x:v>
      </x:c>
      <x:c r="S189" s="90" t="n">
        <x:v>5.273636364</x:v>
      </x:c>
      <x:c r="T189" s="90" t="n">
        <x:v>1.634545455</x:v>
      </x:c>
      <x:c r="U189" s="90" t="n">
        <x:v>3.639090909</x:v>
      </x:c>
      <x:c r="V189" s="90" t="n">
        <x:v>2.455391314</x:v>
      </x:c>
      <x:c r="W189" s="90" t="n">
        <x:v>1.183699595</x:v>
      </x:c>
      <x:c r="X189" s="102" t="n">
        <x:v>5.645847826</x:v>
      </x:c>
      <x:c r="Y189" s="102" t="n">
        <x:v>726.1030261</x:v>
      </x:c>
      <x:c r="Z189" s="102" t="n">
        <x:v>20.68165391</x:v>
      </x:c>
      <x:c r="AA189" s="102" t="n">
        <x:v>3.709178261</x:v>
      </x:c>
      <x:c r="AB189" s="103" t="n">
        <x:v>0.606028151</x:v>
      </x:c>
      <x:c r="AC189" s="103" t="n">
        <x:v>0.804233131</x:v>
      </x:c>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83" t="str">
        <x:v>2021-04</x:v>
      </x:c>
      <x:c r="B190" s="99" t="n">
        <x:v>3650.776</x:v>
      </x:c>
      <x:c r="C190" s="99" t="n">
        <x:v>129.87</x:v>
      </x:c>
      <x:c r="D190" s="99" t="n">
        <x:v>709.16</x:v>
      </x:c>
      <x:c r="E190" s="99" t="n">
        <x:v>7424.56</x:v>
      </x:c>
      <x:c r="F190" s="90" t="n">
        <x:v>1.75</x:v>
      </x:c>
      <x:c r="G190" s="90" t="n">
        <x:v>0.07</x:v>
      </x:c>
      <x:c r="H190" s="90" t="n">
        <x:v>1.68</x:v>
      </x:c>
      <x:c r="I190" s="100" t="n">
        <x:v>-5640.34754</x:v>
      </x:c>
      <x:c r="J190" s="90" t="n">
        <x:v>7.325164892</x:v>
      </x:c>
      <x:c r="K190" s="90" t="n">
        <x:v>112.6322864</x:v>
      </x:c>
      <x:c r="L190" s="90" t="n">
        <x:v>17.41619048</x:v>
      </x:c>
      <x:c r="M190" s="101" t="n">
        <x:v>0</x:v>
      </x:c>
      <x:c r="N190" s="99" t="n">
        <x:v>59085.22</x:v>
      </x:c>
      <x:c r="O190" s="90" t="n">
        <x:v>220.1363636</x:v>
      </x:c>
      <x:c r="P190" s="90" t="n">
        <x:v>2.201363636</x:v>
      </x:c>
      <x:c r="Q190" s="100" t="n">
        <x:v>47.14</x:v>
      </x:c>
      <x:c r="R190" s="100" t="n">
        <x:v>-879.18</x:v>
      </x:c>
      <x:c r="S190" s="90" t="n">
        <x:v>5.4805</x:v>
      </x:c>
      <x:c r="T190" s="90" t="n">
        <x:v>1.948</x:v>
      </x:c>
      <x:c r="U190" s="90" t="n">
        <x:v>3.5325</x:v>
      </x:c>
      <x:c r="V190" s="90" t="n">
        <x:v>2.536877275</x:v>
      </x:c>
      <x:c r="W190" s="90" t="n">
        <x:v>0.9956227255</x:v>
      </x:c>
      <x:c r="X190" s="102" t="n">
        <x:v>5.5658</x:v>
      </x:c>
      <x:c r="Y190" s="102" t="n">
        <x:v>707.7875136</x:v>
      </x:c>
      <x:c r="Z190" s="102" t="n">
        <x:v>20.02527364</x:v>
      </x:c>
      <x:c r="AA190" s="102" t="n">
        <x:v>3.699525</x:v>
      </x:c>
      <x:c r="AB190" s="103" t="n">
        <x:v>-0.9377845485</x:v>
      </x:c>
      <x:c r="AC190" s="103" t="n">
        <x:v>-0.7532881314</x:v>
      </x:c>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83" t="str">
        <x:v>2021-05</x:v>
      </x:c>
      <x:c r="B191" s="99" t="n">
        <x:v>3735.666129</x:v>
      </x:c>
      <x:c r="C191" s="99" t="n">
        <x:v>131.94</x:v>
      </x:c>
      <x:c r="D191" s="99" t="n">
        <x:v>759.17</x:v>
      </x:c>
      <x:c r="E191" s="99" t="n">
        <x:v>7735.16</x:v>
      </x:c>
      <x:c r="F191" s="90" t="n">
        <x:v>1.75</x:v>
      </x:c>
      <x:c r="G191" s="90" t="n">
        <x:v>0.06</x:v>
      </x:c>
      <x:c r="H191" s="90" t="n">
        <x:v>1.69</x:v>
      </x:c>
      <x:c r="I191" s="100" t="n">
        <x:v>-4145.044419</x:v>
      </x:c>
      <x:c r="J191" s="90" t="n">
        <x:v>7.053505991</x:v>
      </x:c>
      <x:c r="K191" s="90" t="n">
        <x:v>111.21227</x:v>
      </x:c>
      <x:c r="L191" s="90" t="n">
        <x:v>19.7605</x:v>
      </x:c>
      <x:c r="M191" s="101" t="n">
        <x:v>0</x:v>
      </x:c>
      <x:c r="N191" s="99" t="n">
        <x:v>59143.96</x:v>
      </x:c>
      <x:c r="O191" s="90" t="n">
        <x:v>236.8571429</x:v>
      </x:c>
      <x:c r="P191" s="90" t="n">
        <x:v>2.368571429</x:v>
      </x:c>
      <x:c r="Q191" s="100" t="n">
        <x:v>-16.48</x:v>
      </x:c>
      <x:c r="R191" s="100" t="n">
        <x:v>-947.06</x:v>
      </x:c>
      <x:c r="S191" s="90" t="n">
        <x:v>6.035</x:v>
      </x:c>
      <x:c r="T191" s="90" t="n">
        <x:v>2.1225</x:v>
      </x:c>
      <x:c r="U191" s="90" t="n">
        <x:v>3.9125</x:v>
      </x:c>
      <x:c r="V191" s="90" t="n">
        <x:v>2.690989995</x:v>
      </x:c>
      <x:c r="W191" s="90" t="n">
        <x:v>1.221510005</x:v>
      </x:c>
      <x:c r="X191" s="102" t="n">
        <x:v>5.290752381</x:v>
      </x:c>
      <x:c r="Y191" s="102" t="n">
        <x:v>713.4066571</x:v>
      </x:c>
      <x:c r="Z191" s="102" t="n">
        <x:v>19.91764238</x:v>
      </x:c>
      <x:c r="AA191" s="102" t="n">
        <x:v>3.774757143</x:v>
      </x:c>
      <x:c r="AB191" s="103" t="n">
        <x:v>-0.5295735298</x:v>
      </x:c>
      <x:c r="AC191" s="103" t="n">
        <x:v>0.01019442144</x:v>
      </x:c>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83" t="str">
        <x:v>2021-06</x:v>
      </x:c>
      <x:c r="B192" s="99" t="n">
        <x:v>3685.042667</x:v>
      </x:c>
      <x:c r="C192" s="99" t="n">
        <x:v>138.18</x:v>
      </x:c>
      <x:c r="D192" s="99" t="n">
        <x:v>699.01</x:v>
      </x:c>
      <x:c r="E192" s="99" t="n">
        <x:v>7907.75</x:v>
      </x:c>
      <x:c r="F192" s="90" t="n">
        <x:v>1.75</x:v>
      </x:c>
      <x:c r="G192" s="90" t="n">
        <x:v>0.08</x:v>
      </x:c>
      <x:c r="H192" s="90" t="n">
        <x:v>1.67</x:v>
      </x:c>
      <x:c r="I192" s="100" t="n">
        <x:v>-10505.66582</x:v>
      </x:c>
      <x:c r="J192" s="90" t="n">
        <x:v>6.902005515</x:v>
      </x:c>
      <x:c r="K192" s="90" t="n">
        <x:v>111.5776955</x:v>
      </x:c>
      <x:c r="L192" s="90" t="n">
        <x:v>16.95681818</x:v>
      </x:c>
      <x:c r="M192" s="101" t="n">
        <x:v>0</x:v>
      </x:c>
      <x:c r="N192" s="99" t="n">
        <x:v>58917.31</x:v>
      </x:c>
      <x:c r="O192" s="90" t="n">
        <x:v>243.5454545</x:v>
      </x:c>
      <x:c r="P192" s="90" t="n">
        <x:v>2.435454545</x:v>
      </x:c>
      <x:c r="Q192" s="100" t="n">
        <x:v>61.27</x:v>
      </x:c>
      <x:c r="R192" s="100" t="n">
        <x:v>-1051.93</x:v>
      </x:c>
      <x:c r="S192" s="90" t="n">
        <x:v>5.9495</x:v>
      </x:c>
      <x:c r="T192" s="90" t="n">
        <x:v>2.0255</x:v>
      </x:c>
      <x:c r="U192" s="90" t="n">
        <x:v>3.924</x:v>
      </x:c>
      <x:c r="V192" s="90" t="n">
        <x:v>2.502268195</x:v>
      </x:c>
      <x:c r="W192" s="90" t="n">
        <x:v>1.421731805</x:v>
      </x:c>
      <x:c r="X192" s="102" t="n">
        <x:v>5.035368182</x:v>
      </x:c>
      <x:c r="Y192" s="102" t="n">
        <x:v>728.6411136</x:v>
      </x:c>
      <x:c r="Z192" s="102" t="n">
        <x:v>19.94855</x:v>
      </x:c>
      <x:c r="AA192" s="102" t="n">
        <x:v>3.911604762</x:v>
      </x:c>
      <x:c r="AB192" s="103" t="n">
        <x:v>-0.2704856867</x:v>
      </x:c>
      <x:c r="AC192" s="103" t="n">
        <x:v>0.5158634174</x:v>
      </x:c>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83" t="str">
        <x:v>2021-07</x:v>
      </x:c>
      <x:c r="B193" s="99" t="n">
        <x:v>3829.418065</x:v>
      </x:c>
      <x:c r="C193" s="99" t="n">
        <x:v>136.71</x:v>
      </x:c>
      <x:c r="D193" s="99" t="n">
        <x:v>741.6</x:v>
      </x:c>
      <x:c r="E193" s="99" t="n">
        <x:v>8064.71</x:v>
      </x:c>
      <x:c r="F193" s="90" t="n">
        <x:v>1.75</x:v>
      </x:c>
      <x:c r="G193" s="90" t="n">
        <x:v>0.1</x:v>
      </x:c>
      <x:c r="H193" s="90" t="n">
        <x:v>1.65</x:v>
      </x:c>
      <x:c r="I193" s="100" t="n">
        <x:v>-8204.341235</x:v>
      </x:c>
      <x:c r="J193" s="90" t="n">
        <x:v>6.627304432</x:v>
      </x:c>
      <x:c r="K193" s="90" t="n">
        <x:v>113.063319</x:v>
      </x:c>
      <x:c r="L193" s="90" t="n">
        <x:v>17.60333333</x:v>
      </x:c>
      <x:c r="M193" s="101" t="n">
        <x:v>0</x:v>
      </x:c>
      <x:c r="N193" s="99" t="n">
        <x:v>58878.39</x:v>
      </x:c>
      <x:c r="O193" s="90" t="n">
        <x:v>267.3181818</x:v>
      </x:c>
      <x:c r="P193" s="90" t="n">
        <x:v>2.673181818</x:v>
      </x:c>
      <x:c r="Q193" s="100" t="n">
        <x:v>143.13</x:v>
      </x:c>
      <x:c r="R193" s="100" t="n">
        <x:v>-1224.69</x:v>
      </x:c>
      <x:c r="S193" s="90" t="n">
        <x:v>6.127</x:v>
      </x:c>
      <x:c r="T193" s="90" t="n">
        <x:v>2.547</x:v>
      </x:c>
      <x:c r="U193" s="90" t="n">
        <x:v>3.58</x:v>
      </x:c>
      <x:c r="V193" s="90" t="n">
        <x:v>2.556014299</x:v>
      </x:c>
      <x:c r="W193" s="90" t="n">
        <x:v>1.023985701</x:v>
      </x:c>
      <x:c r="X193" s="102" t="n">
        <x:v>5.156363636</x:v>
      </x:c>
      <x:c r="Y193" s="102" t="n">
        <x:v>752.0147682</x:v>
      </x:c>
      <x:c r="Z193" s="102" t="n">
        <x:v>19.92552318</x:v>
      </x:c>
      <x:c r="AA193" s="102" t="n">
        <x:v>3.942455</x:v>
      </x:c>
      <x:c r="AB193" s="103" t="n">
        <x:v>0.4932260639</x:v>
      </x:c>
      <x:c r="AC193" s="103" t="n">
        <x:v>0.5303906559</x:v>
      </x:c>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83" t="str">
        <x:v>2021-08</x:v>
      </x:c>
      <x:c r="B194" s="99" t="n">
        <x:v>3881.183548</x:v>
      </x:c>
      <x:c r="C194" s="99" t="n">
        <x:v>136.74</x:v>
      </x:c>
      <x:c r="D194" s="99" t="n">
        <x:v>744.43</x:v>
      </x:c>
      <x:c r="E194" s="99" t="n">
        <x:v>8173.26</x:v>
      </x:c>
      <x:c r="F194" s="90" t="n">
        <x:v>1.75</x:v>
      </x:c>
      <x:c r="G194" s="90" t="n">
        <x:v>0.09</x:v>
      </x:c>
      <x:c r="H194" s="90" t="n">
        <x:v>1.66</x:v>
      </x:c>
      <x:c r="I194" s="100" t="n">
        <x:v>4852.144199</x:v>
      </x:c>
      <x:c r="J194" s="90" t="n">
        <x:v>5.280166034</x:v>
      </x:c>
      <x:c r="K194" s="90" t="n">
        <x:v>113.4025364</x:v>
      </x:c>
      <x:c r="L194" s="90" t="n">
        <x:v>17.47272727</x:v>
      </x:c>
      <x:c r="M194" s="101" t="n">
        <x:v>0</x:v>
      </x:c>
      <x:c r="N194" s="99" t="n">
        <x:v>58846.51</x:v>
      </x:c>
      <x:c r="O194" s="90" t="n">
        <x:v>277.4090909</x:v>
      </x:c>
      <x:c r="P194" s="90" t="n">
        <x:v>2.774090909</x:v>
      </x:c>
      <x:c r="Q194" s="100" t="n">
        <x:v>-186.24</x:v>
      </x:c>
      <x:c r="R194" s="100" t="n">
        <x:v>-923.8</x:v>
      </x:c>
      <x:c r="S194" s="90" t="n">
        <x:v>6.207142857</x:v>
      </x:c>
      <x:c r="T194" s="90" t="n">
        <x:v>2.474761905</x:v>
      </x:c>
      <x:c r="U194" s="90" t="n">
        <x:v>3.732380952</x:v>
      </x:c>
      <x:c r="V194" s="90" t="n">
        <x:v>2.578799996</x:v>
      </x:c>
      <x:c r="W194" s="90" t="n">
        <x:v>1.153580957</x:v>
      </x:c>
      <x:c r="X194" s="102" t="n">
        <x:v>5.251418182</x:v>
      </x:c>
      <x:c r="Y194" s="102" t="n">
        <x:v>780.8318227</x:v>
      </x:c>
      <x:c r="Z194" s="102" t="n">
        <x:v>20.02157</x:v>
      </x:c>
      <x:c r="AA194" s="102" t="n">
        <x:v>4.087252381</x:v>
      </x:c>
      <x:c r="AB194" s="103" t="n">
        <x:v>0.5900634574</x:v>
      </x:c>
      <x:c r="AC194" s="103" t="n">
        <x:v>1.170480312</x:v>
      </x:c>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83" t="str">
        <x:v>2021-09</x:v>
      </x:c>
      <x:c r="B195" s="99" t="n">
        <x:v>3821.537667</x:v>
      </x:c>
      <x:c r="C195" s="99" t="n">
        <x:v>146.87</x:v>
      </x:c>
      <x:c r="D195" s="99" t="n">
        <x:v>682.84</x:v>
      </x:c>
      <x:c r="E195" s="99" t="n">
        <x:v>8203.1</x:v>
      </x:c>
      <x:c r="F195" s="90" t="n">
        <x:v>1.75</x:v>
      </x:c>
      <x:c r="G195" s="90" t="n">
        <x:v>0.08</x:v>
      </x:c>
      <x:c r="H195" s="90" t="n">
        <x:v>1.67</x:v>
      </x:c>
      <x:c r="I195" s="100" t="n">
        <x:v>-1203.703056</x:v>
      </x:c>
      <x:c r="J195" s="90" t="n">
        <x:v>4.840944881</x:v>
      </x:c>
      <x:c r="K195" s="90" t="n">
        <x:v>113.4437476</x:v>
      </x:c>
      <x:c r="L195" s="90" t="n">
        <x:v>19.8247619</x:v>
      </x:c>
      <x:c r="M195" s="101" t="n">
        <x:v>0</x:v>
      </x:c>
      <x:c r="N195" s="99" t="n">
        <x:v>58721.07</x:v>
      </x:c>
      <x:c r="O195" s="90" t="n">
        <x:v>281.7727273</x:v>
      </x:c>
      <x:c r="P195" s="90" t="n">
        <x:v>2.817727273</x:v>
      </x:c>
      <x:c r="Q195" s="100" t="n">
        <x:v>-12.78</x:v>
      </x:c>
      <x:c r="R195" s="100" t="n">
        <x:v>-1105.8</x:v>
      </x:c>
      <x:c r="S195" s="90" t="n">
        <x:v>6.493636364</x:v>
      </x:c>
      <x:c r="T195" s="90" t="n">
        <x:v>2.434545455</x:v>
      </x:c>
      <x:c r="U195" s="90" t="n">
        <x:v>4.059090909</x:v>
      </x:c>
      <x:c r="V195" s="90" t="n">
        <x:v>2.5629381</x:v>
      </x:c>
      <x:c r="W195" s="90" t="n">
        <x:v>1.496152809</x:v>
      </x:c>
      <x:c r="X195" s="102" t="n">
        <x:v>5.274736364</x:v>
      </x:c>
      <x:c r="Y195" s="102" t="n">
        <x:v>785.3691227</x:v>
      </x:c>
      <x:c r="Z195" s="102" t="n">
        <x:v>20.00172864</x:v>
      </x:c>
      <x:c r="AA195" s="102" t="n">
        <x:v>4.108054545</x:v>
      </x:c>
      <x:c r="AB195" s="103" t="n">
        <x:v>-0.002236865068</x:v>
      </x:c>
      <x:c r="AC195" s="103" t="n">
        <x:v>0.1028929765</x:v>
      </x:c>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83" t="str">
        <x:v>2021-10</x:v>
      </x:c>
      <x:c r="B196" s="99" t="n">
        <x:v>3773.384194</x:v>
      </x:c>
      <x:c r="C196" s="99" t="n">
        <x:v>149.87</x:v>
      </x:c>
      <x:c r="D196" s="99" t="n">
        <x:v>664.02</x:v>
      </x:c>
      <x:c r="E196" s="99" t="n">
        <x:v>8220.53</x:v>
      </x:c>
      <x:c r="F196" s="90" t="n">
        <x:v>2</x:v>
      </x:c>
      <x:c r="G196" s="90" t="n">
        <x:v>0.08</x:v>
      </x:c>
      <x:c r="H196" s="90" t="n">
        <x:v>1.92</x:v>
      </x:c>
      <x:c r="I196" s="100" t="n">
        <x:v>-14353.43524</x:v>
      </x:c>
      <x:c r="J196" s="90" t="n">
        <x:v>6.25218226</x:v>
      </x:c>
      <x:c r="K196" s="90" t="n">
        <x:v>114.063485</x:v>
      </x:c>
      <x:c r="L196" s="90" t="n">
        <x:v>17.87142857</x:v>
      </x:c>
      <x:c r="M196" s="101" t="n">
        <x:v>0</x:v>
      </x:c>
      <x:c r="N196" s="99" t="n">
        <x:v>58792</x:v>
      </x:c>
      <x:c r="O196" s="90" t="n">
        <x:v>290.6190476</x:v>
      </x:c>
      <x:c r="P196" s="90" t="n">
        <x:v>2.906190476</x:v>
      </x:c>
      <x:c r="Q196" s="100" t="n">
        <x:v>-62.97</x:v>
      </x:c>
      <x:c r="R196" s="100" t="n">
        <x:v>-659.72</x:v>
      </x:c>
      <x:c r="S196" s="90" t="n">
        <x:v>6.8985</x:v>
      </x:c>
      <x:c r="T196" s="90" t="n">
        <x:v>2.5105</x:v>
      </x:c>
      <x:c r="U196" s="90" t="n">
        <x:v>4.388</x:v>
      </x:c>
      <x:c r="V196" s="90" t="n">
        <x:v>2.769164991</x:v>
      </x:c>
      <x:c r="W196" s="90" t="n">
        <x:v>1.618835009</x:v>
      </x:c>
      <x:c r="X196" s="102" t="n">
        <x:v>5.538542857</x:v>
      </x:c>
      <x:c r="Y196" s="102" t="n">
        <x:v>814.2059286</x:v>
      </x:c>
      <x:c r="Z196" s="102" t="n">
        <x:v>20.45407095</x:v>
      </x:c>
      <x:c r="AA196" s="102" t="n">
        <x:v>4.01368</x:v>
      </x:c>
      <x:c r="AB196" s="103" t="n">
        <x:v>1.058561938</x:v>
      </x:c>
      <x:c r="AC196" s="103" t="n">
        <x:v>0.3289338611</x:v>
      </x:c>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83" t="str">
        <x:v>2021-11</x:v>
      </x:c>
      <x:c r="B197" s="99" t="n">
        <x:v>3902.901</x:v>
      </x:c>
      <x:c r="C197" s="99" t="n">
        <x:v>151.22</x:v>
      </x:c>
      <x:c r="D197" s="99" t="n">
        <x:v>817.19</x:v>
      </x:c>
      <x:c r="E197" s="99" t="n">
        <x:v>8435.13</x:v>
      </x:c>
      <x:c r="F197" s="90" t="n">
        <x:v>2.483333333</x:v>
      </x:c>
      <x:c r="G197" s="90" t="n">
        <x:v>0.08</x:v>
      </x:c>
      <x:c r="H197" s="90" t="n">
        <x:v>2.403333333</x:v>
      </x:c>
      <x:c r="I197" s="100" t="n">
        <x:v>-13322.33323</x:v>
      </x:c>
      <x:c r="J197" s="90" t="n">
        <x:v>6.64429459</x:v>
      </x:c>
      <x:c r="K197" s="90" t="n">
        <x:v>114.989795</x:v>
      </x:c>
      <x:c r="L197" s="90" t="n">
        <x:v>18.50047619</x:v>
      </x:c>
      <x:c r="M197" s="101" t="n">
        <x:v>0</x:v>
      </x:c>
      <x:c r="N197" s="99" t="n">
        <x:v>58532.09</x:v>
      </x:c>
      <x:c r="O197" s="90" t="n">
        <x:v>318.1818182</x:v>
      </x:c>
      <x:c r="P197" s="90" t="n">
        <x:v>3.181818182</x:v>
      </x:c>
      <x:c r="Q197" s="100" t="n">
        <x:v>139.73</x:v>
      </x:c>
      <x:c r="R197" s="100" t="n">
        <x:v>-1689.24</x:v>
      </x:c>
      <x:c r="S197" s="90" t="n">
        <x:v>7.5145</x:v>
      </x:c>
      <x:c r="T197" s="90" t="n">
        <x:v>2.927</x:v>
      </x:c>
      <x:c r="U197" s="90" t="n">
        <x:v>4.5875</x:v>
      </x:c>
      <x:c r="V197" s="90" t="n">
        <x:v>2.96401999</x:v>
      </x:c>
      <x:c r="W197" s="90" t="n">
        <x:v>1.62348001</x:v>
      </x:c>
      <x:c r="X197" s="102" t="n">
        <x:v>5.55545</x:v>
      </x:c>
      <x:c r="Y197" s="102" t="n">
        <x:v>813.5070773</x:v>
      </x:c>
      <x:c r="Z197" s="102" t="n">
        <x:v>20.79524909</x:v>
      </x:c>
      <x:c r="AA197" s="102" t="n">
        <x:v>4.020495238</x:v>
      </x:c>
      <x:c r="AB197" s="103" t="n">
        <x:v>0.112040498</x:v>
      </x:c>
      <x:c r="AC197" s="103" t="n">
        <x:v>0.1206173851</x:v>
      </x:c>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83" t="str">
        <x:v>2021-12</x:v>
      </x:c>
      <x:c r="B198" s="99" t="n">
        <x:v>3963.133548</x:v>
      </x:c>
      <x:c r="C198" s="99" t="n">
        <x:v>150.03</x:v>
      </x:c>
      <x:c r="D198" s="99" t="n">
        <x:v>830.81</x:v>
      </x:c>
      <x:c r="E198" s="99" t="n">
        <x:v>8597.24</x:v>
      </x:c>
      <x:c r="F198" s="90" t="n">
        <x:v>2.693548387</x:v>
      </x:c>
      <x:c r="G198" s="90" t="n">
        <x:v>0.08</x:v>
      </x:c>
      <x:c r="H198" s="90" t="n">
        <x:v>2.613548387</x:v>
      </x:c>
      <x:c r="I198" s="100" t="n">
        <x:v>-15758.37634</x:v>
      </x:c>
      <x:c r="J198" s="90" t="n">
        <x:v>6.97187551</x:v>
      </x:c>
      <x:c r="K198" s="90" t="n">
        <x:v>115.8045381</x:v>
      </x:c>
      <x:c r="L198" s="90" t="n">
        <x:v>21.35454545</x:v>
      </x:c>
      <x:c r="M198" s="101" t="n">
        <x:v>0</x:v>
      </x:c>
      <x:c r="N198" s="99" t="n">
        <x:v>58579.2</x:v>
      </x:c>
      <x:c r="O198" s="90" t="n">
        <x:v>346.5217391</x:v>
      </x:c>
      <x:c r="P198" s="90" t="n">
        <x:v>3.465217391</x:v>
      </x:c>
      <x:c r="Q198" s="100" t="n">
        <x:v>-112.93</x:v>
      </x:c>
      <x:c r="R198" s="100" t="n">
        <x:v>-1059.29</x:v>
      </x:c>
      <x:c r="S198" s="90" t="n">
        <x:v>7.582</x:v>
      </x:c>
      <x:c r="T198" s="90" t="n">
        <x:v>2.798421053</x:v>
      </x:c>
      <x:c r="U198" s="90" t="n">
        <x:v>4.783578947</x:v>
      </x:c>
      <x:c r="V198" s="90" t="n">
        <x:v>2.734327284</x:v>
      </x:c>
      <x:c r="W198" s="90" t="n">
        <x:v>2.049251664</x:v>
      </x:c>
      <x:c r="X198" s="102" t="n">
        <x:v>5.650995652</x:v>
      </x:c>
      <x:c r="Y198" s="102" t="n">
        <x:v>849.818913</x:v>
      </x:c>
      <x:c r="Z198" s="102" t="n">
        <x:v>20.83254478</x:v>
      </x:c>
      <x:c r="AA198" s="102" t="n">
        <x:v>4.036868182</x:v>
      </x:c>
      <x:c r="AB198" s="103" t="n">
        <x:v>0.6186153737</x:v>
      </x:c>
      <x:c r="AC198" s="103" t="n">
        <x:v>0.5481672612</x:v>
      </x:c>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83" t="str">
        <x:v>2022-01</x:v>
      </x:c>
      <x:c r="B199" s="99" t="n">
        <x:v>3999.616129</x:v>
      </x:c>
      <x:c r="C199" s="99" t="n">
        <x:v>161.25</x:v>
      </x:c>
      <x:c r="D199" s="99" t="n">
        <x:v>664.45</x:v>
      </x:c>
      <x:c r="E199" s="99" t="n">
        <x:v>8714.07</x:v>
      </x:c>
      <x:c r="F199" s="90" t="n">
        <x:v>3.032258065</x:v>
      </x:c>
      <x:c r="G199" s="90" t="n">
        <x:v>0.08</x:v>
      </x:c>
      <x:c r="H199" s="90" t="n">
        <x:v>2.952258065</x:v>
      </x:c>
      <x:c r="I199" s="100" t="n">
        <x:v>2448.449004</x:v>
      </x:c>
      <x:c r="J199" s="90" t="n">
        <x:v>5.215531798</x:v>
      </x:c>
      <x:c r="K199" s="90" t="n">
        <x:v>115.03728</x:v>
      </x:c>
      <x:c r="L199" s="90" t="n">
        <x:v>23.181</x:v>
      </x:c>
      <x:c r="M199" s="101" t="n">
        <x:v>0</x:v>
      </x:c>
      <x:c r="N199" s="99" t="n">
        <x:v>58264.14</x:v>
      </x:c>
      <x:c r="O199" s="90" t="n">
        <x:v>355.0952381</x:v>
      </x:c>
      <x:c r="P199" s="90" t="n">
        <x:v>3.550952381</x:v>
      </x:c>
      <x:c r="Q199" s="100" t="n">
        <x:v>-32.31</x:v>
      </x:c>
      <x:c r="R199" s="100" t="n">
        <x:v>-1107.06</x:v>
      </x:c>
      <x:c r="S199" s="90" t="n">
        <x:v>8.373</x:v>
      </x:c>
      <x:c r="T199" s="90" t="n">
        <x:v>2.943</x:v>
      </x:c>
      <x:c r="U199" s="90" t="n">
        <x:v>5.43</x:v>
      </x:c>
      <x:c r="V199" s="90" t="n">
        <x:v>2.776670003</x:v>
      </x:c>
      <x:c r="W199" s="90" t="n">
        <x:v>2.653329997</x:v>
      </x:c>
      <x:c r="X199" s="102" t="n">
        <x:v>5.533804762</x:v>
      </x:c>
      <x:c r="Y199" s="102" t="n">
        <x:v>819.8269238</x:v>
      </x:c>
      <x:c r="Z199" s="102" t="n">
        <x:v>20.45195333</x:v>
      </x:c>
      <x:c r="AA199" s="102" t="n">
        <x:v>3.888342857</x:v>
      </x:c>
      <x:c r="AB199" s="103" t="n">
        <x:v>-0.9627257422</x:v>
      </x:c>
      <x:c r="AC199" s="103" t="n">
        <x:v>-1.473545765</x:v>
      </x:c>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83" t="str">
        <x:v>2022-02</x:v>
      </x:c>
      <x:c r="B200" s="99" t="n">
        <x:v>3935.835714</x:v>
      </x:c>
      <x:c r="C200" s="99" t="n">
        <x:v>159.72</x:v>
      </x:c>
      <x:c r="D200" s="99" t="n">
        <x:v>647.26</x:v>
      </x:c>
      <x:c r="E200" s="99" t="n">
        <x:v>8755.31</x:v>
      </x:c>
      <x:c r="F200" s="90" t="n">
        <x:v>4</x:v>
      </x:c>
      <x:c r="G200" s="90" t="n">
        <x:v>0.08</x:v>
      </x:c>
      <x:c r="H200" s="90" t="n">
        <x:v>3.92</x:v>
      </x:c>
      <x:c r="I200" s="100" t="n">
        <x:v>-9751.783475</x:v>
      </x:c>
      <x:c r="J200" s="90" t="n">
        <x:v>5.120245584</x:v>
      </x:c>
      <x:c r="K200" s="90" t="n">
        <x:v>114.9977421</x:v>
      </x:c>
      <x:c r="L200" s="90" t="n">
        <x:v>25.74842105</x:v>
      </x:c>
      <x:c r="M200" s="101" t="n">
        <x:v>0</x:v>
      </x:c>
      <x:c r="N200" s="99" t="n">
        <x:v>58284.44</x:v>
      </x:c>
      <x:c r="O200" s="90" t="n">
        <x:v>371.45</x:v>
      </x:c>
      <x:c r="P200" s="90" t="n">
        <x:v>3.7145</x:v>
      </x:c>
      <x:c r="Q200" s="100" t="n">
        <x:v>1.95</x:v>
      </x:c>
      <x:c r="R200" s="100" t="n">
        <x:v>-796.34</x:v>
      </x:c>
      <x:c r="S200" s="90" t="n">
        <x:v>8.753</x:v>
      </x:c>
      <x:c r="T200" s="90" t="n">
        <x:v>2.8775</x:v>
      </x:c>
      <x:c r="U200" s="90" t="n">
        <x:v>5.8755</x:v>
      </x:c>
      <x:c r="V200" s="90" t="n">
        <x:v>2.824347396</x:v>
      </x:c>
      <x:c r="W200" s="90" t="n">
        <x:v>3.051152604</x:v>
      </x:c>
      <x:c r="X200" s="102" t="n">
        <x:v>5.19342</x:v>
      </x:c>
      <x:c r="Y200" s="102" t="n">
        <x:v>806.89199</x:v>
      </x:c>
      <x:c r="Z200" s="102" t="n">
        <x:v>20.4117995</x:v>
      </x:c>
      <x:c r="AA200" s="102" t="n">
        <x:v>3.790945</x:v>
      </x:c>
      <x:c r="AB200" s="103" t="n">
        <x:v>-0.9022178562</x:v>
      </x:c>
      <x:c r="AC200" s="103" t="n">
        <x:v>-1.18442557</x:v>
      </x:c>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83" t="str">
        <x:v>2022-03</x:v>
      </x:c>
      <x:c r="B201" s="99" t="n">
        <x:v>3807.170968</x:v>
      </x:c>
      <x:c r="C201" s="99" t="n">
        <x:v>168.92</x:v>
      </x:c>
      <x:c r="D201" s="99" t="n">
        <x:v>733.95</x:v>
      </x:c>
      <x:c r="E201" s="99" t="n">
        <x:v>8693.89</x:v>
      </x:c>
      <x:c r="F201" s="90" t="n">
        <x:v>4</x:v>
      </x:c>
      <x:c r="G201" s="90" t="n">
        <x:v>0.2</x:v>
      </x:c>
      <x:c r="H201" s="90" t="n">
        <x:v>3.8</x:v>
      </x:c>
      <x:c r="I201" s="100" t="n">
        <x:v>-9535.658323</x:v>
      </x:c>
      <x:c r="J201" s="90" t="n">
        <x:v>5.78623551</x:v>
      </x:c>
      <x:c r="K201" s="90" t="n">
        <x:v>116.2908391</x:v>
      </x:c>
      <x:c r="L201" s="90" t="n">
        <x:v>26.96869565</x:v>
      </x:c>
      <x:c r="M201" s="101" t="n">
        <x:v>0</x:v>
      </x:c>
      <x:c r="N201" s="99" t="n">
        <x:v>58003.92</x:v>
      </x:c>
      <x:c r="O201" s="90" t="n">
        <x:v>364.4782609</x:v>
      </x:c>
      <x:c r="P201" s="90" t="n">
        <x:v>3.644782609</x:v>
      </x:c>
      <x:c r="Q201" s="100" t="n">
        <x:v>31.09</x:v>
      </x:c>
      <x:c r="R201" s="100" t="n">
        <x:v>-1198.99</x:v>
      </x:c>
      <x:c r="S201" s="90" t="n">
        <x:v>9.442272727</x:v>
      </x:c>
      <x:c r="T201" s="90" t="n">
        <x:v>3.193636364</x:v>
      </x:c>
      <x:c r="U201" s="90" t="n">
        <x:v>6.248636364</x:v>
      </x:c>
      <x:c r="V201" s="90" t="n">
        <x:v>3.342730429</x:v>
      </x:c>
      <x:c r="W201" s="90" t="n">
        <x:v>2.905905935</x:v>
      </x:c>
      <x:c r="X201" s="102" t="n">
        <x:v>4.975517391</x:v>
      </x:c>
      <x:c r="Y201" s="102" t="n">
        <x:v>798.4104435</x:v>
      </x:c>
      <x:c r="Z201" s="102" t="n">
        <x:v>20.49295391</x:v>
      </x:c>
      <x:c r="AA201" s="102" t="n">
        <x:v>3.738621739</x:v>
      </x:c>
      <x:c r="AB201" s="103" t="n">
        <x:v>-0.5771004569</x:v>
      </x:c>
      <x:c r="AC201" s="103" t="n">
        <x:v>-0.7099007107</x:v>
      </x:c>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83" t="str">
        <x:v>2022-04</x:v>
      </x:c>
      <x:c r="B202" s="99" t="n">
        <x:v>3792.982</x:v>
      </x:c>
      <x:c r="C202" s="99" t="n">
        <x:v>174.49</x:v>
      </x:c>
      <x:c r="D202" s="99" t="n">
        <x:v>754.84</x:v>
      </x:c>
      <x:c r="E202" s="99" t="n">
        <x:v>8739.57</x:v>
      </x:c>
      <x:c r="F202" s="90" t="n">
        <x:v>5</x:v>
      </x:c>
      <x:c r="G202" s="90" t="n">
        <x:v>0.33</x:v>
      </x:c>
      <x:c r="H202" s="90" t="n">
        <x:v>4.67</x:v>
      </x:c>
      <x:c r="I202" s="100" t="n">
        <x:v>222.4787016</x:v>
      </x:c>
      <x:c r="J202" s="90" t="n">
        <x:v>5.387696326</x:v>
      </x:c>
      <x:c r="K202" s="90" t="n">
        <x:v>117.1687952</x:v>
      </x:c>
      <x:c r="L202" s="90" t="n">
        <x:v>24.3735</x:v>
      </x:c>
      <x:c r="M202" s="101" t="n">
        <x:v>0</x:v>
      </x:c>
      <x:c r="N202" s="99" t="n">
        <x:v>57473.73</x:v>
      </x:c>
      <x:c r="O202" s="90" t="n">
        <x:v>344.4761905</x:v>
      </x:c>
      <x:c r="P202" s="90" t="n">
        <x:v>3.444761905</x:v>
      </x:c>
      <x:c r="Q202" s="100" t="n">
        <x:v>323.79</x:v>
      </x:c>
      <x:c r="R202" s="100" t="n">
        <x:v>-1836.83</x:v>
      </x:c>
      <x:c r="S202" s="90" t="n">
        <x:v>9.471052632</x:v>
      </x:c>
      <x:c r="T202" s="90" t="n">
        <x:v>3.439473684</x:v>
      </x:c>
      <x:c r="U202" s="90" t="n">
        <x:v>6.031578947</x:v>
      </x:c>
      <x:c r="V202" s="90" t="n">
        <x:v>3.266240025</x:v>
      </x:c>
      <x:c r="W202" s="90" t="n">
        <x:v>2.765338923</x:v>
      </x:c>
      <x:c r="X202" s="102" t="n">
        <x:v>4.750071429</x:v>
      </x:c>
      <x:c r="Y202" s="102" t="n">
        <x:v>818.9242857</x:v>
      </x:c>
      <x:c r="Z202" s="102" t="n">
        <x:v>20.0125719</x:v>
      </x:c>
      <x:c r="AA202" s="102" t="n">
        <x:v>3.741005263</x:v>
      </x:c>
      <x:c r="AB202" s="103" t="n">
        <x:v>-0.4918526605</x:v>
      </x:c>
      <x:c r="AC202" s="103" t="n">
        <x:v>-0.3536068624</x:v>
      </x:c>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83" t="str">
        <x:v>2022-05</x:v>
      </x:c>
      <x:c r="B203" s="99" t="n">
        <x:v>4019.079355</x:v>
      </x:c>
      <x:c r="C203" s="99" t="n">
        <x:v>164.26</x:v>
      </x:c>
      <x:c r="D203" s="99" t="n">
        <x:v>841.09</x:v>
      </x:c>
      <x:c r="E203" s="99" t="n">
        <x:v>8821.49</x:v>
      </x:c>
      <x:c r="F203" s="90" t="n">
        <x:v>5.967741935</x:v>
      </x:c>
      <x:c r="G203" s="90" t="n">
        <x:v>0.77</x:v>
      </x:c>
      <x:c r="H203" s="90" t="n">
        <x:v>5.197741935</x:v>
      </x:c>
      <x:c r="I203" s="100" t="n">
        <x:v>-2825.785652</x:v>
      </x:c>
      <x:c r="J203" s="90" t="n">
        <x:v>5.298016658</x:v>
      </x:c>
      <x:c r="K203" s="90" t="n">
        <x:v>119.6961905</x:v>
      </x:c>
      <x:c r="L203" s="90" t="n">
        <x:v>29.31363636</x:v>
      </x:c>
      <x:c r="M203" s="101" t="n">
        <x:v>0</x:v>
      </x:c>
      <x:c r="N203" s="99" t="n">
        <x:v>57628.59</x:v>
      </x:c>
      <x:c r="O203" s="90" t="n">
        <x:v>383.0454545</x:v>
      </x:c>
      <x:c r="P203" s="90" t="n">
        <x:v>3.830454545</x:v>
      </x:c>
      <x:c r="Q203" s="100" t="n">
        <x:v>80.43</x:v>
      </x:c>
      <x:c r="R203" s="100" t="n">
        <x:v>-1121.92</x:v>
      </x:c>
      <x:c r="S203" s="90" t="n">
        <x:v>10.70428571</x:v>
      </x:c>
      <x:c r="T203" s="90" t="n">
        <x:v>3.927619048</x:v>
      </x:c>
      <x:c r="U203" s="90" t="n">
        <x:v>6.776666667</x:v>
      </x:c>
      <x:c r="V203" s="90" t="n">
        <x:v>3.010319063</x:v>
      </x:c>
      <x:c r="W203" s="90" t="n">
        <x:v>3.766347604</x:v>
      </x:c>
      <x:c r="X203" s="102" t="n">
        <x:v>4.95475</x:v>
      </x:c>
      <x:c r="Y203" s="102" t="n">
        <x:v>848.2588545</x:v>
      </x:c>
      <x:c r="Z203" s="102" t="n">
        <x:v>19.97522409</x:v>
      </x:c>
      <x:c r="AA203" s="102" t="n">
        <x:v>3.757277273</x:v>
      </x:c>
      <x:c r="AB203" s="103" t="n">
        <x:v>0.6975517018</x:v>
      </x:c>
      <x:c r="AC203" s="103" t="n">
        <x:v>0.6129228175</x:v>
      </x:c>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83" t="str">
        <x:v>2022-06</x:v>
      </x:c>
      <x:c r="B204" s="99" t="n">
        <x:v>3930.766667</x:v>
      </x:c>
      <x:c r="C204" s="99" t="n">
        <x:v>194.14</x:v>
      </x:c>
      <x:c r="D204" s="99" t="n">
        <x:v>821.59</x:v>
      </x:c>
      <x:c r="E204" s="99" t="n">
        <x:v>8944.07</x:v>
      </x:c>
      <x:c r="F204" s="90" t="n">
        <x:v>6</x:v>
      </x:c>
      <x:c r="G204" s="90" t="n">
        <x:v>1.21</x:v>
      </x:c>
      <x:c r="H204" s="90" t="n">
        <x:v>4.79</x:v>
      </x:c>
      <x:c r="I204" s="100" t="n">
        <x:v>-13728.02858</x:v>
      </x:c>
      <x:c r="J204" s="90" t="n">
        <x:v>5.517064225</x:v>
      </x:c>
      <x:c r="K204" s="90" t="n">
        <x:v>120.0257095</x:v>
      </x:c>
      <x:c r="L204" s="90" t="n">
        <x:v>28.23318182</x:v>
      </x:c>
      <x:c r="M204" s="101" t="n">
        <x:v>0</x:v>
      </x:c>
      <x:c r="N204" s="99" t="n">
        <x:v>57164.46</x:v>
      </x:c>
      <x:c r="O204" s="90" t="n">
        <x:v>388.7272727</x:v>
      </x:c>
      <x:c r="P204" s="90" t="n">
        <x:v>3.887272727</x:v>
      </x:c>
      <x:c r="Q204" s="100" t="n">
        <x:v>140.01</x:v>
      </x:c>
      <x:c r="R204" s="100" t="n">
        <x:v>-1425.48</x:v>
      </x:c>
      <x:c r="S204" s="90" t="n">
        <x:v>11.0575</x:v>
      </x:c>
      <x:c r="T204" s="90" t="n">
        <x:v>4.6795</x:v>
      </x:c>
      <x:c r="U204" s="90" t="n">
        <x:v>6.378</x:v>
      </x:c>
      <x:c r="V204" s="90" t="n">
        <x:v>2.863523813</x:v>
      </x:c>
      <x:c r="W204" s="90" t="n">
        <x:v>3.514476187</x:v>
      </x:c>
      <x:c r="X204" s="102" t="n">
        <x:v>5.051759091</x:v>
      </x:c>
      <x:c r="Y204" s="102" t="n">
        <x:v>867.3395318</x:v>
      </x:c>
      <x:c r="Z204" s="102" t="n">
        <x:v>19.95293318</x:v>
      </x:c>
      <x:c r="AA204" s="102" t="n">
        <x:v>3.748438095</x:v>
      </x:c>
      <x:c r="AB204" s="103" t="n">
        <x:v>0.3376256081</x:v>
      </x:c>
      <x:c r="AC204" s="103" t="n">
        <x:v>0.2083099663</x:v>
      </x:c>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83" t="str">
        <x:v>2022-07</x:v>
      </x:c>
      <x:c r="B205" s="99" t="n">
        <x:v>4367.805806</x:v>
      </x:c>
      <x:c r="C205" s="99" t="n">
        <x:v>189.5</x:v>
      </x:c>
      <x:c r="D205" s="99" t="n">
        <x:v>889.45</x:v>
      </x:c>
      <x:c r="E205" s="99" t="n">
        <x:v>9091.92</x:v>
      </x:c>
      <x:c r="F205" s="90" t="n">
        <x:v>7.5</x:v>
      </x:c>
      <x:c r="G205" s="90" t="n">
        <x:v>1.68</x:v>
      </x:c>
      <x:c r="H205" s="90" t="n">
        <x:v>5.82</x:v>
      </x:c>
      <x:c r="I205" s="100" t="n">
        <x:v>-6723.770522</x:v>
      </x:c>
      <x:c r="J205" s="90" t="n">
        <x:v>5.416419004</x:v>
      </x:c>
      <x:c r="K205" s="90" t="n">
        <x:v>122.7512</x:v>
      </x:c>
      <x:c r="L205" s="90" t="n">
        <x:v>24.9952381</x:v>
      </x:c>
      <x:c r="M205" s="101" t="n">
        <x:v>0</x:v>
      </x:c>
      <x:c r="N205" s="99" t="n">
        <x:v>57349.41</x:v>
      </x:c>
      <x:c r="O205" s="90" t="n">
        <x:v>437.8571429</x:v>
      </x:c>
      <x:c r="P205" s="90" t="n">
        <x:v>4.378571429</x:v>
      </x:c>
      <x:c r="Q205" s="100" t="n">
        <x:v>141.22</x:v>
      </x:c>
      <x:c r="R205" s="100" t="n">
        <x:v>-1271.19</x:v>
      </x:c>
      <x:c r="S205" s="90" t="n">
        <x:v>12.09105263</x:v>
      </x:c>
      <x:c r="T205" s="90" t="n">
        <x:v>5.413684211</x:v>
      </x:c>
      <x:c r="U205" s="90" t="n">
        <x:v>6.677368421</x:v>
      </x:c>
      <x:c r="V205" s="90" t="n">
        <x:v>2.532545006</x:v>
      </x:c>
      <x:c r="W205" s="90" t="n">
        <x:v>4.144823415</x:v>
      </x:c>
      <x:c r="X205" s="102" t="n">
        <x:v>5.367771429</x:v>
      </x:c>
      <x:c r="Y205" s="102" t="n">
        <x:v>951.3871381</x:v>
      </x:c>
      <x:c r="Z205" s="102" t="n">
        <x:v>20.47002476</x:v>
      </x:c>
      <x:c r="AA205" s="102" t="n">
        <x:v>3.903436842</x:v>
      </x:c>
      <x:c r="AB205" s="103" t="n">
        <x:v>1.909497503</x:v>
      </x:c>
      <x:c r="AC205" s="103" t="n">
        <x:v>2.249536018</x:v>
      </x:c>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83" t="str">
        <x:v>2022-08</x:v>
      </x:c>
      <x:c r="B206" s="99" t="n">
        <x:v>4322.469355</x:v>
      </x:c>
      <x:c r="C206" s="99" t="n">
        <x:v>161.64</x:v>
      </x:c>
      <x:c r="D206" s="99" t="n">
        <x:v>769.44</x:v>
      </x:c>
      <x:c r="E206" s="99" t="n">
        <x:v>9116.93</x:v>
      </x:c>
      <x:c r="F206" s="90" t="n">
        <x:v>9</x:v>
      </x:c>
      <x:c r="G206" s="90" t="n">
        <x:v>2.33</x:v>
      </x:c>
      <x:c r="H206" s="90" t="n">
        <x:v>6.67</x:v>
      </x:c>
      <x:c r="I206" s="100" t="n">
        <x:v>-9665.237656</x:v>
      </x:c>
      <x:c r="J206" s="90" t="n">
        <x:v>6.403271638</x:v>
      </x:c>
      <x:c r="K206" s="90" t="n">
        <x:v>122.3177522</x:v>
      </x:c>
      <x:c r="L206" s="90" t="n">
        <x:v>22.16956522</x:v>
      </x:c>
      <x:c r="M206" s="101" t="n">
        <x:v>0</x:v>
      </x:c>
      <x:c r="N206" s="99" t="n">
        <x:v>56982.62</x:v>
      </x:c>
      <x:c r="O206" s="90" t="n">
        <x:v>400.2608696</x:v>
      </x:c>
      <x:c r="P206" s="90" t="n">
        <x:v>4.002608696</x:v>
      </x:c>
      <x:c r="Q206" s="100" t="n">
        <x:v>69.19</x:v>
      </x:c>
      <x:c r="R206" s="100" t="n">
        <x:v>-1667.9</x:v>
      </x:c>
      <x:c r="S206" s="90" t="n">
        <x:v>11.66636364</x:v>
      </x:c>
      <x:c r="T206" s="90" t="n">
        <x:v>5.264545455</x:v>
      </x:c>
      <x:c r="U206" s="90" t="n">
        <x:v>6.401818182</x:v>
      </x:c>
      <x:c r="V206" s="90" t="n">
        <x:v>2.704795651</x:v>
      </x:c>
      <x:c r="W206" s="90" t="n">
        <x:v>3.697022531</x:v>
      </x:c>
      <x:c r="X206" s="102" t="n">
        <x:v>5.142995652</x:v>
      </x:c>
      <x:c r="Y206" s="102" t="n">
        <x:v>902.2732696</x:v>
      </x:c>
      <x:c r="Z206" s="102" t="n">
        <x:v>20.07445652</x:v>
      </x:c>
      <x:c r="AA206" s="102" t="n">
        <x:v>3.873559091</x:v>
      </x:c>
      <x:c r="AB206" s="103" t="n">
        <x:v>-1.387121965</x:v>
      </x:c>
      <x:c r="AC206" s="103" t="n">
        <x:v>-1.19242059</x:v>
      </x:c>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83" t="str">
        <x:v>2022-09</x:v>
      </x:c>
      <x:c r="B207" s="99" t="n">
        <x:v>4433.651</x:v>
      </x:c>
      <x:c r="C207" s="99" t="n">
        <x:v>171.86</x:v>
      </x:c>
      <x:c r="D207" s="99" t="n">
        <x:v>750.95</x:v>
      </x:c>
      <x:c r="E207" s="99" t="n">
        <x:v>9185.04</x:v>
      </x:c>
      <x:c r="F207" s="90" t="n">
        <x:v>9.033333333</x:v>
      </x:c>
      <x:c r="G207" s="90" t="n">
        <x:v>2.56</x:v>
      </x:c>
      <x:c r="H207" s="90" t="n">
        <x:v>6.473333333</x:v>
      </x:c>
      <x:c r="I207" s="100" t="n">
        <x:v>775.7208097</x:v>
      </x:c>
      <x:c r="J207" s="90" t="n">
        <x:v>6.268715719</x:v>
      </x:c>
      <x:c r="K207" s="90" t="n">
        <x:v>125.5946</x:v>
      </x:c>
      <x:c r="L207" s="90" t="n">
        <x:v>27.34181818</x:v>
      </x:c>
      <x:c r="M207" s="101" t="n">
        <x:v>0</x:v>
      </x:c>
      <x:c r="N207" s="99" t="n">
        <x:v>56326.34</x:v>
      </x:c>
      <x:c r="O207" s="90" t="n">
        <x:v>423.8181818</x:v>
      </x:c>
      <x:c r="P207" s="90" t="n">
        <x:v>4.238181818</x:v>
      </x:c>
      <x:c r="Q207" s="100" t="n">
        <x:v>33.19</x:v>
      </x:c>
      <x:c r="R207" s="100" t="n">
        <x:v>-1808.56</x:v>
      </x:c>
      <x:c r="S207" s="90" t="n">
        <x:v>12.31909091</x:v>
      </x:c>
      <x:c r="T207" s="90" t="n">
        <x:v>4.841363636</x:v>
      </x:c>
      <x:c r="U207" s="90" t="n">
        <x:v>7.477727273</x:v>
      </x:c>
      <x:c r="V207" s="90" t="n">
        <x:v>2.470857143</x:v>
      </x:c>
      <x:c r="W207" s="90" t="n">
        <x:v>5.006870129</x:v>
      </x:c>
      <x:c r="X207" s="102" t="n">
        <x:v>5.236013636</x:v>
      </x:c>
      <x:c r="Y207" s="102" t="n">
        <x:v>924.6438682</x:v>
      </x:c>
      <x:c r="Z207" s="102" t="n">
        <x:v>20.01561273</x:v>
      </x:c>
      <x:c r="AA207" s="102" t="n">
        <x:v>3.898959091</x:v>
      </x:c>
      <x:c r="AB207" s="103" t="n">
        <x:v>0.3305730855</x:v>
      </x:c>
      <x:c r="AC207" s="103" t="n">
        <x:v>0.3818507321</x:v>
      </x:c>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83" t="str">
        <x:v>2022-10</x:v>
      </x:c>
      <x:c r="B208" s="99" t="n">
        <x:v>4711.830323</x:v>
      </x:c>
      <x:c r="C208" s="99" t="n">
        <x:v>169.15</x:v>
      </x:c>
      <x:c r="D208" s="99" t="n">
        <x:v>894.34</x:v>
      </x:c>
      <x:c r="E208" s="99" t="n">
        <x:v>9415.36</x:v>
      </x:c>
      <x:c r="F208" s="90" t="n">
        <x:v>10.03225806</x:v>
      </x:c>
      <x:c r="G208" s="90" t="n">
        <x:v>3.08</x:v>
      </x:c>
      <x:c r="H208" s="90" t="n">
        <x:v>6.952258065</x:v>
      </x:c>
      <x:c r="I208" s="100" t="n">
        <x:v>-7519.731175</x:v>
      </x:c>
      <x:c r="J208" s="90" t="n">
        <x:v>5.804178868</x:v>
      </x:c>
      <x:c r="K208" s="90" t="n">
        <x:v>127.480605</x:v>
      </x:c>
      <x:c r="L208" s="90" t="n">
        <x:v>30.00571429</x:v>
      </x:c>
      <x:c r="M208" s="101" t="n">
        <x:v>0</x:v>
      </x:c>
      <x:c r="N208" s="99" t="n">
        <x:v>56380.08</x:v>
      </x:c>
      <x:c r="O208" s="90" t="n">
        <x:v>470.8571429</x:v>
      </x:c>
      <x:c r="P208" s="90" t="n">
        <x:v>4.708571429</x:v>
      </x:c>
      <x:c r="Q208" s="100" t="n">
        <x:v>169.15</x:v>
      </x:c>
      <x:c r="R208" s="100" t="n">
        <x:v>-1293</x:v>
      </x:c>
      <x:c r="S208" s="90" t="n">
        <x:v>13.5135</x:v>
      </x:c>
      <x:c r="T208" s="90" t="n">
        <x:v>5.5105</x:v>
      </x:c>
      <x:c r="U208" s="90" t="n">
        <x:v>8.003</x:v>
      </x:c>
      <x:c r="V208" s="90" t="n">
        <x:v>2.443115032</x:v>
      </x:c>
      <x:c r="W208" s="90" t="n">
        <x:v>5.559884968</x:v>
      </x:c>
      <x:c r="X208" s="102" t="n">
        <x:v>5.247928571</x:v>
      </x:c>
      <x:c r="Y208" s="102" t="n">
        <x:v>953.295719</x:v>
      </x:c>
      <x:c r="Z208" s="102" t="n">
        <x:v>19.95526238</x:v>
      </x:c>
      <x:c r="AA208" s="102" t="n">
        <x:v>3.979347619</x:v>
      </x:c>
      <x:c r="AB208" s="103" t="n">
        <x:v>0.2624688373</x:v>
      </x:c>
      <x:c r="AC208" s="103" t="n">
        <x:v>0.6097906839</x:v>
      </x:c>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83" t="str">
        <x:v>2022-11</x:v>
      </x:c>
      <x:c r="B209" s="99" t="n">
        <x:v>4926.660667</x:v>
      </x:c>
      <x:c r="C209" s="99" t="n">
        <x:v>168.11</x:v>
      </x:c>
      <x:c r="D209" s="99" t="n">
        <x:v>812.59</x:v>
      </x:c>
      <x:c r="E209" s="99" t="n">
        <x:v>9410.76</x:v>
      </x:c>
      <x:c r="F209" s="90" t="n">
        <x:v>11</x:v>
      </x:c>
      <x:c r="G209" s="90" t="n">
        <x:v>3.78</x:v>
      </x:c>
      <x:c r="H209" s="90" t="n">
        <x:v>7.22</x:v>
      </x:c>
      <x:c r="I209" s="100" t="n">
        <x:v>-5467.725894</x:v>
      </x:c>
      <x:c r="J209" s="90" t="n">
        <x:v>5.270243754</x:v>
      </x:c>
      <x:c r="K209" s="90" t="n">
        <x:v>124.85272</x:v>
      </x:c>
      <x:c r="L209" s="90" t="n">
        <x:v>23.29909091</x:v>
      </x:c>
      <x:c r="M209" s="101" t="n">
        <x:v>0</x:v>
      </x:c>
      <x:c r="N209" s="99" t="n">
        <x:v>56981.59</x:v>
      </x:c>
      <x:c r="O209" s="90" t="n">
        <x:v>416.7272727</x:v>
      </x:c>
      <x:c r="P209" s="90" t="n">
        <x:v>4.167272727</x:v>
      </x:c>
      <x:c r="Q209" s="100" t="n">
        <x:v>65.38</x:v>
      </x:c>
      <x:c r="R209" s="100" t="n">
        <x:v>-775.86</x:v>
      </x:c>
      <x:c r="S209" s="90" t="n">
        <x:v>13.391</x:v>
      </x:c>
      <x:c r="T209" s="90" t="n">
        <x:v>5.74</x:v>
      </x:c>
      <x:c r="U209" s="90" t="n">
        <x:v>7.651</x:v>
      </x:c>
      <x:c r="V209" s="90" t="n">
        <x:v>2.372730017</x:v>
      </x:c>
      <x:c r="W209" s="90" t="n">
        <x:v>5.278269983</x:v>
      </x:c>
      <x:c r="X209" s="102" t="n">
        <x:v>5.269895455</x:v>
      </x:c>
      <x:c r="Y209" s="102" t="n">
        <x:v>915.3527227</x:v>
      </x:c>
      <x:c r="Z209" s="102" t="n">
        <x:v>19.42906727</x:v>
      </x:c>
      <x:c r="AA209" s="102" t="n">
        <x:v>3.87657619</x:v>
      </x:c>
      <x:c r="AB209" s="103" t="n">
        <x:v>-0.8918695705</x:v>
      </x:c>
      <x:c r="AC209" s="103" t="n">
        <x:v>-1.192710941</x:v>
      </x:c>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83" t="str">
        <x:v>2022-12</x:v>
      </x:c>
      <x:c r="B210" s="99" t="n">
        <x:v>4788.490645</x:v>
      </x:c>
      <x:c r="C210" s="99" t="n">
        <x:v>161.8</x:v>
      </x:c>
      <x:c r="D210" s="99" t="n">
        <x:v>848.88</x:v>
      </x:c>
      <x:c r="E210" s="99" t="n">
        <x:v>9428.83</x:v>
      </x:c>
      <x:c r="F210" s="90" t="n">
        <x:v>11.41935484</x:v>
      </x:c>
      <x:c r="G210" s="90" t="n">
        <x:v>4.1</x:v>
      </x:c>
      <x:c r="H210" s="90" t="n">
        <x:v>7.319354839</x:v>
      </x:c>
      <x:c r="I210" s="100" t="n">
        <x:v>-15808.39626</x:v>
      </x:c>
      <x:c r="J210" s="90" t="n">
        <x:v>5.273643973</x:v>
      </x:c>
      <x:c r="K210" s="90" t="n">
        <x:v>122.2343286</x:v>
      </x:c>
      <x:c r="L210" s="90" t="n">
        <x:v>21.78428571</x:v>
      </x:c>
      <x:c r="M210" s="101" t="n">
        <x:v>0</x:v>
      </x:c>
      <x:c r="N210" s="99" t="n">
        <x:v>57269.16</x:v>
      </x:c>
      <x:c r="O210" s="90" t="n">
        <x:v>381.7727273</x:v>
      </x:c>
      <x:c r="P210" s="90" t="n">
        <x:v>3.817727273</x:v>
      </x:c>
      <x:c r="Q210" s="100" t="n">
        <x:v>-64.24</x:v>
      </x:c>
      <x:c r="R210" s="100" t="n">
        <x:v>-750.34</x:v>
      </x:c>
      <x:c r="S210" s="90" t="n">
        <x:v>12.722</x:v>
      </x:c>
      <x:c r="T210" s="90" t="n">
        <x:v>5.3615</x:v>
      </x:c>
      <x:c r="U210" s="90" t="n">
        <x:v>7.3605</x:v>
      </x:c>
      <x:c r="V210" s="90" t="n">
        <x:v>2.242285717</x:v>
      </x:c>
      <x:c r="W210" s="90" t="n">
        <x:v>5.118214283</x:v>
      </x:c>
      <x:c r="X210" s="102" t="n">
        <x:v>5.242127273</x:v>
      </x:c>
      <x:c r="Y210" s="102" t="n">
        <x:v>872.4404636</x:v>
      </x:c>
      <x:c r="Z210" s="102" t="n">
        <x:v>19.54254636</x:v>
      </x:c>
      <x:c r="AA210" s="102" t="n">
        <x:v>3.828975</x:v>
      </x:c>
      <x:c r="AB210" s="103" t="n">
        <x:v>-0.6806531827</x:v>
      </x:c>
      <x:c r="AC210" s="103" t="n">
        <x:v>-0.7565284384</x:v>
      </x:c>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83" t="str">
        <x:v>2023-01</x:v>
      </x:c>
      <x:c r="B211" s="99" t="n">
        <x:v>4715.203871</x:v>
      </x:c>
      <x:c r="C211" s="99" t="n">
        <x:v>160.16</x:v>
      </x:c>
      <x:c r="D211" s="99" t="n">
        <x:v>785.02</x:v>
      </x:c>
      <x:c r="E211" s="99" t="n">
        <x:v>9549.4</x:v>
      </x:c>
      <x:c r="F211" s="90" t="n">
        <x:v>12.0483871</x:v>
      </x:c>
      <x:c r="G211" s="90" t="n">
        <x:v>4.33</x:v>
      </x:c>
      <x:c r="H211" s="90" t="n">
        <x:v>7.718387097</x:v>
      </x:c>
      <x:c r="I211" s="100" t="n">
        <x:v>3235.982625</x:v>
      </x:c>
      <x:c r="J211" s="90" t="n">
        <x:v>4.838201575</x:v>
      </x:c>
      <x:c r="K211" s="90" t="n">
        <x:v>119.810065</x:v>
      </x:c>
      <x:c r="L211" s="90" t="n">
        <x:v>20.16904762</x:v>
      </x:c>
      <x:c r="M211" s="101" t="n">
        <x:v>0</x:v>
      </x:c>
      <x:c r="N211" s="99" t="n">
        <x:v>57772.25</x:v>
      </x:c>
      <x:c r="O211" s="90" t="n">
        <x:v>370.1818182</x:v>
      </x:c>
      <x:c r="P211" s="90" t="n">
        <x:v>3.701818182</x:v>
      </x:c>
      <x:c r="Q211" s="100" t="n">
        <x:v>24.05</x:v>
      </x:c>
      <x:c r="R211" s="100" t="n">
        <x:v>-863.3</x:v>
      </x:c>
      <x:c r="S211" s="90" t="n">
        <x:v>12.48047619</x:v>
      </x:c>
      <x:c r="T211" s="90" t="n">
        <x:v>4.881904762</x:v>
      </x:c>
      <x:c r="U211" s="90" t="n">
        <x:v>7.598571429</x:v>
      </x:c>
      <x:c r="V211" s="90" t="n">
        <x:v>2.148364985</x:v>
      </x:c>
      <x:c r="W211" s="90" t="n">
        <x:v>5.450206444</x:v>
      </x:c>
      <x:c r="X211" s="102" t="n">
        <x:v>5.200381818</x:v>
      </x:c>
      <x:c r="Y211" s="102" t="n">
        <x:v>825.0718136</x:v>
      </x:c>
      <x:c r="Z211" s="102" t="n">
        <x:v>18.94156545</x:v>
      </x:c>
      <x:c r="AA211" s="102" t="n">
        <x:v>3.833804762</x:v>
      </x:c>
      <x:c r="AB211" s="103" t="n">
        <x:v>-1.246400617</x:v>
      </x:c>
      <x:c r="AC211" s="103" t="n">
        <x:v>-0.9069825013</x:v>
      </x:c>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83" t="str">
        <x:v>2023-02</x:v>
      </x:c>
      <x:c r="B212" s="99" t="n">
        <x:v>4803.1125</x:v>
      </x:c>
      <x:c r="C212" s="99" t="n">
        <x:v>162.34</x:v>
      </x:c>
      <x:c r="D212" s="99" t="n">
        <x:v>832.7</x:v>
      </x:c>
      <x:c r="E212" s="99" t="n">
        <x:v>9734.84</x:v>
      </x:c>
      <x:c r="F212" s="90" t="n">
        <x:v>12.75</x:v>
      </x:c>
      <x:c r="G212" s="90" t="n">
        <x:v>4.57</x:v>
      </x:c>
      <x:c r="H212" s="90" t="n">
        <x:v>8.18</x:v>
      </x:c>
      <x:c r="I212" s="100" t="n">
        <x:v>-10208.45713</x:v>
      </x:c>
      <x:c r="J212" s="90" t="n">
        <x:v>4.866973857</x:v>
      </x:c>
      <x:c r="K212" s="90" t="n">
        <x:v>120.3083737</x:v>
      </x:c>
      <x:c r="L212" s="90" t="n">
        <x:v>20.1205</x:v>
      </x:c>
      <x:c r="M212" s="101" t="n">
        <x:v>0</x:v>
      </x:c>
      <x:c r="N212" s="99" t="n">
        <x:v>57374.45</x:v>
      </x:c>
      <x:c r="O212" s="90" t="n">
        <x:v>384.35</x:v>
      </x:c>
      <x:c r="P212" s="90" t="n">
        <x:v>3.8435</x:v>
      </x:c>
      <x:c r="Q212" s="100" t="n">
        <x:v>233.94</x:v>
      </x:c>
      <x:c r="R212" s="100" t="n">
        <x:v>-2243.14</x:v>
      </x:c>
      <x:c r="S212" s="90" t="n">
        <x:v>12.276</x:v>
      </x:c>
      <x:c r="T212" s="90" t="n">
        <x:v>4.7675</x:v>
      </x:c>
      <x:c r="U212" s="90" t="n">
        <x:v>7.5085</x:v>
      </x:c>
      <x:c r="V212" s="90" t="n">
        <x:v>2.356010537</x:v>
      </x:c>
      <x:c r="W212" s="90" t="n">
        <x:v>5.152489463</x:v>
      </x:c>
      <x:c r="X212" s="102" t="n">
        <x:v>5.17434</x:v>
      </x:c>
      <x:c r="Y212" s="102" t="n">
        <x:v>801.34175</x:v>
      </x:c>
      <x:c r="Z212" s="102" t="n">
        <x:v>18.553871</x:v>
      </x:c>
      <x:c r="AA212" s="102" t="n">
        <x:v>3.84146</x:v>
      </x:c>
      <x:c r="AB212" s="103" t="n">
        <x:v>-0.7604530505</x:v>
      </x:c>
      <x:c r="AC212" s="103" t="n">
        <x:v>-0.5277546275</x:v>
      </x:c>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83" t="str">
        <x:v>2023-03</x:v>
      </x:c>
      <x:c r="B213" s="99" t="n">
        <x:v>4766.305806</x:v>
      </x:c>
      <x:c r="C213" s="99" t="n">
        <x:v>153.95</x:v>
      </x:c>
      <x:c r="D213" s="99" t="n">
        <x:v>858.26</x:v>
      </x:c>
      <x:c r="E213" s="99" t="n">
        <x:v>9859.15</x:v>
      </x:c>
      <x:c r="F213" s="90" t="n">
        <x:v>12.75806452</x:v>
      </x:c>
      <x:c r="G213" s="90" t="n">
        <x:v>4.65</x:v>
      </x:c>
      <x:c r="H213" s="90" t="n">
        <x:v>8.108064516</x:v>
      </x:c>
      <x:c r="I213" s="100" t="n">
        <x:v>-6830.854038</x:v>
      </x:c>
      <x:c r="J213" s="90" t="n">
        <x:v>4.69656028</x:v>
      </x:c>
      <x:c r="K213" s="90" t="n">
        <x:v>120.745013</x:v>
      </x:c>
      <x:c r="L213" s="90" t="n">
        <x:v>21.64434783</x:v>
      </x:c>
      <x:c r="M213" s="101" t="n">
        <x:v>0</x:v>
      </x:c>
      <x:c r="N213" s="99" t="n">
        <x:v>57965.68</x:v>
      </x:c>
      <x:c r="O213" s="90" t="n">
        <x:v>411.6086957</x:v>
      </x:c>
      <x:c r="P213" s="90" t="n">
        <x:v>4.116086957</x:v>
      </x:c>
      <x:c r="Q213" s="100" t="n">
        <x:v>190.55</x:v>
      </x:c>
      <x:c r="R213" s="100" t="n">
        <x:v>-1189.17</x:v>
      </x:c>
      <x:c r="S213" s="90" t="n">
        <x:v>12.01681818</x:v>
      </x:c>
      <x:c r="T213" s="90" t="n">
        <x:v>4.716363636</x:v>
      </x:c>
      <x:c r="U213" s="90" t="n">
        <x:v>7.300454545</x:v>
      </x:c>
      <x:c r="V213" s="90" t="n">
        <x:v>2.337921733</x:v>
      </x:c>
      <x:c r="W213" s="90" t="n">
        <x:v>4.962532812</x:v>
      </x:c>
      <x:c r="X213" s="102" t="n">
        <x:v>5.21116087</x:v>
      </x:c>
      <x:c r="Y213" s="102" t="n">
        <x:v>807.3986696</x:v>
      </x:c>
      <x:c r="Z213" s="102" t="n">
        <x:v>18.32991217</x:v>
      </x:c>
      <x:c r="AA213" s="102" t="n">
        <x:v>3.77916087</x:v>
      </x:c>
      <x:c r="AB213" s="103" t="n">
        <x:v>-0.08988140565</x:v>
      </x:c>
      <x:c r="AC213" s="103" t="n">
        <x:v>-0.3938080883</x:v>
      </x:c>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83" t="str">
        <x:v>2023-04</x:v>
      </x:c>
      <x:c r="B214" s="99" t="n">
        <x:v>4542.674333</x:v>
      </x:c>
      <x:c r="C214" s="99" t="n">
        <x:v>155.74</x:v>
      </x:c>
      <x:c r="D214" s="99" t="n">
        <x:v>736.74</x:v>
      </x:c>
      <x:c r="E214" s="99" t="n">
        <x:v>9841.05</x:v>
      </x:c>
      <x:c r="F214" s="90" t="n">
        <x:v>13</x:v>
      </x:c>
      <x:c r="G214" s="90" t="n">
        <x:v>4.83</x:v>
      </x:c>
      <x:c r="H214" s="90" t="n">
        <x:v>8.17</x:v>
      </x:c>
      <x:c r="I214" s="100" t="n">
        <x:v>6253.650288</x:v>
      </x:c>
      <x:c r="J214" s="90" t="n">
        <x:v>4.316572151</x:v>
      </x:c>
      <x:c r="K214" s="90" t="n">
        <x:v>119.245145</x:v>
      </x:c>
      <x:c r="L214" s="90" t="n">
        <x:v>17.81789474</x:v>
      </x:c>
      <x:c r="M214" s="101" t="n">
        <x:v>0</x:v>
      </x:c>
      <x:c r="N214" s="99" t="n">
        <x:v>58022.63</x:v>
      </x:c>
      <x:c r="O214" s="90" t="n">
        <x:v>402.15</x:v>
      </x:c>
      <x:c r="P214" s="90" t="n">
        <x:v>4.0215</x:v>
      </x:c>
      <x:c r="Q214" s="100" t="n">
        <x:v>178.75</x:v>
      </x:c>
      <x:c r="R214" s="100" t="n">
        <x:v>-1248.04</x:v>
      </x:c>
      <x:c r="S214" s="90" t="n">
        <x:v>11.25</x:v>
      </x:c>
      <x:c r="T214" s="90" t="n">
        <x:v>4.388888889</x:v>
      </x:c>
      <x:c r="U214" s="90" t="n">
        <x:v>6.861111111</x:v>
      </x:c>
      <x:c r="V214" s="90" t="n">
        <x:v>2.276825011</x:v>
      </x:c>
      <x:c r="W214" s="90" t="n">
        <x:v>4.5842861</x:v>
      </x:c>
      <x:c r="X214" s="102" t="n">
        <x:v>5.02336</x:v>
      </x:c>
      <x:c r="Y214" s="102" t="n">
        <x:v>804.97701</x:v>
      </x:c>
      <x:c r="Z214" s="102" t="n">
        <x:v>18.057974</x:v>
      </x:c>
      <x:c r="AA214" s="102" t="n">
        <x:v>3.76545</x:v>
      </x:c>
      <x:c r="AB214" s="103" t="n">
        <x:v>-0.6531090346</x:v>
      </x:c>
      <x:c r="AC214" s="103" t="n">
        <x:v>-0.5604717403</x:v>
      </x:c>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83" t="str">
        <x:v>2023-05</x:v>
      </x:c>
      <x:c r="B215" s="99" t="n">
        <x:v>4540.089032</x:v>
      </x:c>
      <x:c r="C215" s="99" t="n">
        <x:v>152.75</x:v>
      </x:c>
      <x:c r="D215" s="99" t="n">
        <x:v>877.18</x:v>
      </x:c>
      <x:c r="E215" s="99" t="n">
        <x:v>9877.14</x:v>
      </x:c>
      <x:c r="F215" s="90" t="n">
        <x:v>13.24193548</x:v>
      </x:c>
      <x:c r="G215" s="90" t="n">
        <x:v>5.06</x:v>
      </x:c>
      <x:c r="H215" s="90" t="n">
        <x:v>8.181935484</x:v>
      </x:c>
      <x:c r="I215" s="100" t="n">
        <x:v>358.2410622</x:v>
      </x:c>
      <x:c r="J215" s="90" t="n">
        <x:v>4.115965629</x:v>
      </x:c>
      <x:c r="K215" s="90" t="n">
        <x:v>119.6292545</x:v>
      </x:c>
      <x:c r="L215" s="90" t="n">
        <x:v>17.63608696</x:v>
      </x:c>
      <x:c r="M215" s="101" t="n">
        <x:v>0</x:v>
      </x:c>
      <x:c r="N215" s="99" t="n">
        <x:v>57705.75</x:v>
      </x:c>
      <x:c r="O215" s="90" t="n">
        <x:v>412.7391304</x:v>
      </x:c>
      <x:c r="P215" s="90" t="n">
        <x:v>4.127391304</x:v>
      </x:c>
      <x:c r="Q215" s="100" t="n">
        <x:v>158.92</x:v>
      </x:c>
      <x:c r="R215" s="100" t="n">
        <x:v>-1985.55</x:v>
      </x:c>
      <x:c r="S215" s="90" t="n">
        <x:v>11.05095238</x:v>
      </x:c>
      <x:c r="T215" s="90" t="n">
        <x:v>4.444285714</x:v>
      </x:c>
      <x:c r="U215" s="90" t="n">
        <x:v>6.606666667</x:v>
      </x:c>
      <x:c r="V215" s="90" t="n">
        <x:v>2.15348636</x:v>
      </x:c>
      <x:c r="W215" s="90" t="n">
        <x:v>4.453180306</x:v>
      </x:c>
      <x:c r="X215" s="102" t="n">
        <x:v>4.983313043</x:v>
      </x:c>
      <x:c r="Y215" s="102" t="n">
        <x:v>799.3510783</x:v>
      </x:c>
      <x:c r="Z215" s="102" t="n">
        <x:v>17.70276217</x:v>
      </x:c>
      <x:c r="AA215" s="102" t="n">
        <x:v>3.688668182</x:v>
      </x:c>
      <x:c r="AB215" s="103" t="n">
        <x:v>-0.5011104434</x:v>
      </x:c>
      <x:c r="AC215" s="103" t="n">
        <x:v>-0.7877390397</x:v>
      </x:c>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83" t="str">
        <x:v>2023-06</x:v>
      </x:c>
      <x:c r="B216" s="99" t="n">
        <x:v>4209.268</x:v>
      </x:c>
      <x:c r="C216" s="99" t="n">
        <x:v>149</x:v>
      </x:c>
      <x:c r="D216" s="99" t="n">
        <x:v>783.48</x:v>
      </x:c>
      <x:c r="E216" s="99" t="n">
        <x:v>9839.03</x:v>
      </x:c>
      <x:c r="F216" s="90" t="n">
        <x:v>13.25</x:v>
      </x:c>
      <x:c r="G216" s="90" t="n">
        <x:v>5.08</x:v>
      </x:c>
      <x:c r="H216" s="90" t="n">
        <x:v>8.17</x:v>
      </x:c>
      <x:c r="I216" s="100" t="n">
        <x:v>-6250.657965</x:v>
      </x:c>
      <x:c r="J216" s="90" t="n">
        <x:v>3.64486113</x:v>
      </x:c>
      <x:c r="K216" s="90" t="n">
        <x:v>119.2969524</x:v>
      </x:c>
      <x:c r="L216" s="90" t="n">
        <x:v>14.00318182</x:v>
      </x:c>
      <x:c r="M216" s="101" t="n">
        <x:v>0</x:v>
      </x:c>
      <x:c r="N216" s="99" t="n">
        <x:v>57838.77</x:v>
      </x:c>
      <x:c r="O216" s="90" t="n">
        <x:v>366.5909091</x:v>
      </x:c>
      <x:c r="P216" s="90" t="n">
        <x:v>3.665909091</x:v>
      </x:c>
      <x:c r="Q216" s="100" t="n">
        <x:v>148.37</x:v>
      </x:c>
      <x:c r="R216" s="100" t="n">
        <x:v>-1489.36</x:v>
      </x:c>
      <x:c r="S216" s="90" t="n">
        <x:v>10.3245</x:v>
      </x:c>
      <x:c r="T216" s="90" t="n">
        <x:v>4.235</x:v>
      </x:c>
      <x:c r="U216" s="90" t="n">
        <x:v>6.0895</x:v>
      </x:c>
      <x:c r="V216" s="90" t="n">
        <x:v>2.138395241</x:v>
      </x:c>
      <x:c r="W216" s="90" t="n">
        <x:v>3.951104759</x:v>
      </x:c>
      <x:c r="X216" s="102" t="n">
        <x:v>4.854009091</x:v>
      </x:c>
      <x:c r="Y216" s="102" t="n">
        <x:v>799.5101955</x:v>
      </x:c>
      <x:c r="Z216" s="102" t="n">
        <x:v>17.20136636</x:v>
      </x:c>
      <x:c r="AA216" s="102" t="n">
        <x:v>3.650419048</x:v>
      </x:c>
      <x:c r="AB216" s="103" t="n">
        <x:v>-0.6834579742</x:v>
      </x:c>
      <x:c r="AC216" s="103" t="n">
        <x:v>-0.7197794472</x:v>
      </x:c>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83" t="str">
        <x:v>2023-07</x:v>
      </x:c>
      <x:c r="B217" s="99" t="n">
        <x:v>4069.233548</x:v>
      </x:c>
      <x:c r="C217" s="99" t="n">
        <x:v>148.93</x:v>
      </x:c>
      <x:c r="D217" s="99" t="n">
        <x:v>761.61</x:v>
      </x:c>
      <x:c r="E217" s="99" t="n">
        <x:v>9711.19</x:v>
      </x:c>
      <x:c r="F217" s="90" t="n">
        <x:v>13.25</x:v>
      </x:c>
      <x:c r="G217" s="90" t="n">
        <x:v>5.12</x:v>
      </x:c>
      <x:c r="H217" s="90" t="n">
        <x:v>8.13</x:v>
      </x:c>
      <x:c r="I217" s="100" t="n">
        <x:v>-926.8154562</x:v>
      </x:c>
      <x:c r="J217" s="90" t="n">
        <x:v>3.279629586</x:v>
      </x:c>
      <x:c r="K217" s="90" t="n">
        <x:v>118.049165</x:v>
      </x:c>
      <x:c r="L217" s="90" t="n">
        <x:v>13.93238095</x:v>
      </x:c>
      <x:c r="M217" s="101" t="n">
        <x:v>0</x:v>
      </x:c>
      <x:c r="N217" s="99" t="n">
        <x:v>58111.93</x:v>
      </x:c>
      <x:c r="O217" s="90" t="n">
        <x:v>340</x:v>
      </x:c>
      <x:c r="P217" s="90" t="n">
        <x:v>3.4</x:v>
      </x:c>
      <x:c r="Q217" s="100" t="n">
        <x:v>83.7</x:v>
      </x:c>
      <x:c r="R217" s="100" t="n">
        <x:v>-1407.5</x:v>
      </x:c>
      <x:c r="S217" s="90" t="n">
        <x:v>9.929473684</x:v>
      </x:c>
      <x:c r="T217" s="90" t="n">
        <x:v>4.093157895</x:v>
      </x:c>
      <x:c r="U217" s="90" t="n">
        <x:v>5.836315789</x:v>
      </x:c>
      <x:c r="V217" s="90" t="n">
        <x:v>2.202724981</x:v>
      </x:c>
      <x:c r="W217" s="90" t="n">
        <x:v>3.633590808</x:v>
      </x:c>
      <x:c r="X217" s="102" t="n">
        <x:v>4.800533333</x:v>
      </x:c>
      <x:c r="Y217" s="102" t="n">
        <x:v>815.0168905</x:v>
      </x:c>
      <x:c r="Z217" s="102" t="n">
        <x:v>16.86173762</x:v>
      </x:c>
      <x:c r="AA217" s="102" t="n">
        <x:v>3.601255</x:v>
      </x:c>
      <x:c r="AB217" s="103" t="n">
        <x:v>-0.202625797</x:v>
      </x:c>
      <x:c r="AC217" s="103" t="n">
        <x:v>-0.4222317561</x:v>
      </x:c>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83" t="str">
        <x:v>2023-08</x:v>
      </x:c>
      <x:c r="B218" s="99" t="n">
        <x:v>4070.725161</x:v>
      </x:c>
      <x:c r="C218" s="99" t="n">
        <x:v>158.2</x:v>
      </x:c>
      <x:c r="D218" s="99" t="n">
        <x:v>887.76</x:v>
      </x:c>
      <x:c r="E218" s="99" t="n">
        <x:v>9829.51</x:v>
      </x:c>
      <x:c r="F218" s="90" t="n">
        <x:v>13.25</x:v>
      </x:c>
      <x:c r="G218" s="90" t="n">
        <x:v>5.33</x:v>
      </x:c>
      <x:c r="H218" s="90" t="n">
        <x:v>7.92</x:v>
      </x:c>
      <x:c r="I218" s="100" t="n">
        <x:v>-4986.281174</x:v>
      </x:c>
      <x:c r="J218" s="90" t="n">
        <x:v>2.984836461</x:v>
      </x:c>
      <x:c r="K218" s="90" t="n">
        <x:v>119.8563478</x:v>
      </x:c>
      <x:c r="L218" s="90" t="n">
        <x:v>15.85391304</x:v>
      </x:c>
      <x:c r="M218" s="101" t="n">
        <x:v>0</x:v>
      </x:c>
      <x:c r="N218" s="99" t="n">
        <x:v>57944.58</x:v>
      </x:c>
      <x:c r="O218" s="90" t="n">
        <x:v>323.7826087</x:v>
      </x:c>
      <x:c r="P218" s="90" t="n">
        <x:v>3.237826087</x:v>
      </x:c>
      <x:c r="Q218" s="100" t="n">
        <x:v>86.16</x:v>
      </x:c>
      <x:c r="R218" s="100" t="n">
        <x:v>-2102.61</x:v>
      </x:c>
      <x:c r="S218" s="90" t="n">
        <x:v>10.26809524</x:v>
      </x:c>
      <x:c r="T218" s="90" t="n">
        <x:v>4.414761905</x:v>
      </x:c>
      <x:c r="U218" s="90" t="n">
        <x:v>5.853333333</x:v>
      </x:c>
      <x:c r="V218" s="90" t="n">
        <x:v>2.23587825</x:v>
      </x:c>
      <x:c r="W218" s="90" t="n">
        <x:v>3.617455083</x:v>
      </x:c>
      <x:c r="X218" s="102" t="n">
        <x:v>4.90323913</x:v>
      </x:c>
      <x:c r="Y218" s="102" t="n">
        <x:v>856.5443609</x:v>
      </x:c>
      <x:c r="Z218" s="102" t="n">
        <x:v>16.93789391</x:v>
      </x:c>
      <x:c r="AA218" s="102" t="n">
        <x:v>3.697768182</x:v>
      </x:c>
      <x:c r="AB218" s="103" t="n">
        <x:v>0.7637915181</x:v>
      </x:c>
      <x:c r="AC218" s="103" t="n">
        <x:v>1.107241663</x:v>
      </x:c>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83" t="str">
        <x:v>2023-09</x:v>
      </x:c>
      <x:c r="B219" s="99" t="n">
        <x:v>4004.520667</x:v>
      </x:c>
      <x:c r="C219" s="99" t="n">
        <x:v>158.88</x:v>
      </x:c>
      <x:c r="D219" s="99" t="n">
        <x:v>881.47</x:v>
      </x:c>
      <x:c r="E219" s="99" t="n">
        <x:v>9960.03</x:v>
      </x:c>
      <x:c r="F219" s="90" t="n">
        <x:v>13.25</x:v>
      </x:c>
      <x:c r="G219" s="90" t="n">
        <x:v>5.33</x:v>
      </x:c>
      <x:c r="H219" s="90" t="n">
        <x:v>7.92</x:v>
      </x:c>
      <x:c r="I219" s="100" t="n">
        <x:v>-4435.154069</x:v>
      </x:c>
      <x:c r="J219" s="90" t="n">
        <x:v>3.31314259</x:v>
      </x:c>
      <x:c r="K219" s="90" t="n">
        <x:v>121.64553</x:v>
      </x:c>
      <x:c r="L219" s="90" t="n">
        <x:v>15.17333333</x:v>
      </x:c>
      <x:c r="M219" s="101" t="n">
        <x:v>0</x:v>
      </x:c>
      <x:c r="N219" s="99" t="n">
        <x:v>57566.19</x:v>
      </x:c>
      <x:c r="O219" s="90" t="n">
        <x:v>329.8571429</x:v>
      </x:c>
      <x:c r="P219" s="90" t="n">
        <x:v>3.298571429</x:v>
      </x:c>
      <x:c r="Q219" s="100" t="n">
        <x:v>50.06</x:v>
      </x:c>
      <x:c r="R219" s="100" t="n">
        <x:v>-2013.26</x:v>
      </x:c>
      <x:c r="S219" s="90" t="n">
        <x:v>10.80095238</x:v>
      </x:c>
      <x:c r="T219" s="90" t="n">
        <x:v>4.553333333</x:v>
      </x:c>
      <x:c r="U219" s="90" t="n">
        <x:v>6.247619048</x:v>
      </x:c>
      <x:c r="V219" s="90" t="n">
        <x:v>2.266419995</x:v>
      </x:c>
      <x:c r="W219" s="90" t="n">
        <x:v>3.981199053</x:v>
      </x:c>
      <x:c r="X219" s="102" t="n">
        <x:v>4.938557143</x:v>
      </x:c>
      <x:c r="Y219" s="102" t="n">
        <x:v>886.6047619</x:v>
      </x:c>
      <x:c r="Z219" s="102" t="n">
        <x:v>17.25992476</x:v>
      </x:c>
      <x:c r="AA219" s="102" t="n">
        <x:v>3.730995238</x:v>
      </x:c>
      <x:c r="AB219" s="103" t="n">
        <x:v>0.6182965181</x:v>
      </x:c>
      <x:c r="AC219" s="103" t="n">
        <x:v>0.6461100967</x:v>
      </x:c>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83" t="str">
        <x:v>2023-10</x:v>
      </x:c>
      <x:c r="B220" s="99" t="n">
        <x:v>4222.433226</x:v>
      </x:c>
      <x:c r="C220" s="99" t="n">
        <x:v>157.26</x:v>
      </x:c>
      <x:c r="D220" s="99" t="n">
        <x:v>885.75</x:v>
      </x:c>
      <x:c r="E220" s="99" t="n">
        <x:v>9951.44</x:v>
      </x:c>
      <x:c r="F220" s="90" t="n">
        <x:v>13.25</x:v>
      </x:c>
      <x:c r="G220" s="90" t="n">
        <x:v>5.33</x:v>
      </x:c>
      <x:c r="H220" s="90" t="n">
        <x:v>7.92</x:v>
      </x:c>
      <x:c r="I220" s="100" t="n">
        <x:v>-13240.80264</x:v>
      </x:c>
      <x:c r="J220" s="90" t="n">
        <x:v>3.673593161</x:v>
      </x:c>
      <x:c r="K220" s="90" t="n">
        <x:v>123.4971476</x:v>
      </x:c>
      <x:c r="L220" s="90" t="n">
        <x:v>18.88772727</x:v>
      </x:c>
      <x:c r="M220" s="101" t="n">
        <x:v>0</x:v>
      </x:c>
      <x:c r="N220" s="99" t="n">
        <x:v>57447.16</x:v>
      </x:c>
      <x:c r="O220" s="90" t="n">
        <x:v>346.0909091</x:v>
      </x:c>
      <x:c r="P220" s="90" t="n">
        <x:v>3.460909091</x:v>
      </x:c>
      <x:c r="Q220" s="100" t="n">
        <x:v>241.67</x:v>
      </x:c>
      <x:c r="R220" s="100" t="n">
        <x:v>-2383.93</x:v>
      </x:c>
      <x:c r="S220" s="90" t="n">
        <x:v>11.50904762</x:v>
      </x:c>
      <x:c r="T220" s="90" t="n">
        <x:v>4.767142857</x:v>
      </x:c>
      <x:c r="U220" s="90" t="n">
        <x:v>6.741904762</x:v>
      </x:c>
      <x:c r="V220" s="90" t="n">
        <x:v>2.271980933</x:v>
      </x:c>
      <x:c r="W220" s="90" t="n">
        <x:v>4.469923829</x:v>
      </x:c>
      <x:c r="X220" s="102" t="n">
        <x:v>5.06385</x:v>
      </x:c>
      <x:c r="Y220" s="102" t="n">
        <x:v>925.0958909</x:v>
      </x:c>
      <x:c r="Z220" s="102" t="n">
        <x:v>17.99809364</x:v>
      </x:c>
      <x:c r="AA220" s="102" t="n">
        <x:v>3.845759091</x:v>
      </x:c>
      <x:c r="AB220" s="103" t="n">
        <x:v>1.15661039</x:v>
      </x:c>
      <x:c r="AC220" s="103" t="n">
        <x:v>1.479270261</x:v>
      </x:c>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83" t="str">
        <x:v>2023-11</x:v>
      </x:c>
      <x:c r="B221" s="99" t="n">
        <x:v>4038.804667</x:v>
      </x:c>
      <x:c r="C221" s="99" t="n">
        <x:v>143.02</x:v>
      </x:c>
      <x:c r="D221" s="99" t="n">
        <x:v>886.9</x:v>
      </x:c>
      <x:c r="E221" s="99" t="n">
        <x:v>10025.75</x:v>
      </x:c>
      <x:c r="F221" s="90" t="n">
        <x:v>13.25</x:v>
      </x:c>
      <x:c r="G221" s="90" t="n">
        <x:v>5.33</x:v>
      </x:c>
      <x:c r="H221" s="90" t="n">
        <x:v>7.92</x:v>
      </x:c>
      <x:c r="I221" s="100" t="n">
        <x:v>-13022.02769</x:v>
      </x:c>
      <x:c r="J221" s="90" t="n">
        <x:v>4.149544635</x:v>
      </x:c>
      <x:c r="K221" s="90" t="n">
        <x:v>121.22212</x:v>
      </x:c>
      <x:c r="L221" s="90" t="n">
        <x:v>14.01909091</x:v>
      </x:c>
      <x:c r="M221" s="101" t="n">
        <x:v>0</x:v>
      </x:c>
      <x:c r="N221" s="99" t="n">
        <x:v>58592.27</x:v>
      </x:c>
      <x:c r="O221" s="90" t="n">
        <x:v>312.4545455</x:v>
      </x:c>
      <x:c r="P221" s="90" t="n">
        <x:v>3.124545455</x:v>
      </x:c>
      <x:c r="Q221" s="100" t="n">
        <x:v>158.26</x:v>
      </x:c>
      <x:c r="R221" s="100" t="n">
        <x:v>-407.12</x:v>
      </x:c>
      <x:c r="S221" s="90" t="n">
        <x:v>10.501</x:v>
      </x:c>
      <x:c r="T221" s="90" t="n">
        <x:v>4.4805</x:v>
      </x:c>
      <x:c r="U221" s="90" t="n">
        <x:v>6.0205</x:v>
      </x:c>
      <x:c r="V221" s="90" t="n">
        <x:v>2.179876169</x:v>
      </x:c>
      <x:c r="W221" s="90" t="n">
        <x:v>3.840623831</x:v>
      </x:c>
      <x:c r="X221" s="102" t="n">
        <x:v>4.902168182</x:v>
      </x:c>
      <x:c r="Y221" s="102" t="n">
        <x:v>885.2386182</x:v>
      </x:c>
      <x:c r="Z221" s="102" t="n">
        <x:v>17.34034182</x:v>
      </x:c>
      <x:c r="AA221" s="102" t="n">
        <x:v>3.760795238</x:v>
      </x:c>
      <x:c r="AB221" s="103" t="n">
        <x:v>-1.393411098</x:v>
      </x:c>
      <x:c r="AC221" s="103" t="n">
        <x:v>-1.491934563</x:v>
      </x:c>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83" t="str">
        <x:v>2023-12</x:v>
      </x:c>
      <x:c r="B222" s="99" t="n">
        <x:v>3948.206774</x:v>
      </x:c>
      <x:c r="C222" s="99" t="n">
        <x:v>148.74</x:v>
      </x:c>
      <x:c r="D222" s="99" t="n">
        <x:v>914.21</x:v>
      </x:c>
      <x:c r="E222" s="99" t="n">
        <x:v>10091.08</x:v>
      </x:c>
      <x:c r="F222" s="90" t="n">
        <x:v>13.15322581</x:v>
      </x:c>
      <x:c r="G222" s="90" t="n">
        <x:v>5.33</x:v>
      </x:c>
      <x:c r="H222" s="90" t="n">
        <x:v>7.823225806</x:v>
      </x:c>
      <x:c r="I222" s="100" t="n">
        <x:v>-16863.47586</x:v>
      </x:c>
      <x:c r="J222" s="90" t="n">
        <x:v>4.216018904</x:v>
      </x:c>
      <x:c r="K222" s="90" t="n">
        <x:v>119.83314</x:v>
      </x:c>
      <x:c r="L222" s="90" t="n">
        <x:v>12.7185</x:v>
      </x:c>
      <x:c r="M222" s="101" t="n">
        <x:v>0</x:v>
      </x:c>
      <x:c r="N222" s="99" t="n">
        <x:v>59608.32</x:v>
      </x:c>
      <x:c r="O222" s="90" t="n">
        <x:v>289.2380952</x:v>
      </x:c>
      <x:c r="P222" s="90" t="n">
        <x:v>2.892380952</x:v>
      </x:c>
      <x:c r="Q222" s="100" t="n">
        <x:v>81.25</x:v>
      </x:c>
      <x:c r="R222" s="100" t="n">
        <x:v>-731.25</x:v>
      </x:c>
      <x:c r="S222" s="90" t="n">
        <x:v>9.975</x:v>
      </x:c>
      <x:c r="T222" s="90" t="n">
        <x:v>4.119444444</x:v>
      </x:c>
      <x:c r="U222" s="90" t="n">
        <x:v>5.855555556</x:v>
      </x:c>
      <x:c r="V222" s="90" t="n">
        <x:v>2.079309988</x:v>
      </x:c>
      <x:c r="W222" s="90" t="n">
        <x:v>3.776245568</x:v>
      </x:c>
      <x:c r="X222" s="102" t="n">
        <x:v>4.895261905</x:v>
      </x:c>
      <x:c r="Y222" s="102" t="n">
        <x:v>875.7559143</x:v>
      </x:c>
      <x:c r="Z222" s="102" t="n">
        <x:v>17.1358319</x:v>
      </x:c>
      <x:c r="AA222" s="102" t="n">
        <x:v>3.733942105</x:v>
      </x:c>
      <x:c r="AB222" s="103" t="n">
        <x:v>-0.3922472592</x:v>
      </x:c>
      <x:c r="AC222" s="103" t="n">
        <x:v>-0.4358506351</x:v>
      </x:c>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83" t="str">
        <x:v>2024-01</x:v>
      </x:c>
      <x:c r="B223" s="99" t="n">
        <x:v>3915.19871</x:v>
      </x:c>
      <x:c r="C223" s="99" t="n">
        <x:v>151.86</x:v>
      </x:c>
      <x:c r="D223" s="99" t="n">
        <x:v>912.79</x:v>
      </x:c>
      <x:c r="E223" s="99" t="n">
        <x:v>10218.85</x:v>
      </x:c>
      <x:c r="F223" s="90" t="n">
        <x:v>13</x:v>
      </x:c>
      <x:c r="G223" s="90" t="n">
        <x:v>5.33</x:v>
      </x:c>
      <x:c r="H223" s="90" t="n">
        <x:v>7.67</x:v>
      </x:c>
      <x:c r="I223" s="100" t="n">
        <x:v>-1386.781896</x:v>
      </x:c>
      <x:c r="J223" s="90" t="n">
        <x:v>4.175494571</x:v>
      </x:c>
      <x:c r="K223" s="90" t="n">
        <x:v>120.2273571</x:v>
      </x:c>
      <x:c r="L223" s="90" t="n">
        <x:v>13.38863636</x:v>
      </x:c>
      <x:c r="M223" s="101" t="n">
        <x:v>0</x:v>
      </x:c>
      <x:c r="N223" s="99" t="n">
        <x:v>59653.73</x:v>
      </x:c>
      <x:c r="O223" s="90" t="n">
        <x:v>302.6956522</x:v>
      </x:c>
      <x:c r="P223" s="90" t="n">
        <x:v>3.026956522</x:v>
      </x:c>
      <x:c r="Q223" s="100" t="n">
        <x:v>212.29</x:v>
      </x:c>
      <x:c r="R223" s="100" t="n">
        <x:v>-2148.5</x:v>
      </x:c>
      <x:c r="S223" s="90" t="n">
        <x:v>9.345238095</x:v>
      </x:c>
      <x:c r="T223" s="90" t="n">
        <x:v>3.871904762</x:v>
      </x:c>
      <x:c r="U223" s="90" t="n">
        <x:v>5.473333333</x:v>
      </x:c>
      <x:c r="V223" s="90" t="n">
        <x:v>2.171176195</x:v>
      </x:c>
      <x:c r="W223" s="90" t="n">
        <x:v>3.302157138</x:v>
      </x:c>
      <x:c r="X223" s="102" t="n">
        <x:v>4.910917391</x:v>
      </x:c>
      <x:c r="Y223" s="102" t="n">
        <x:v>910.1408478</x:v>
      </x:c>
      <x:c r="Z223" s="102" t="n">
        <x:v>17.04017522</x:v>
      </x:c>
      <x:c r="AA223" s="102" t="n">
        <x:v>3.740742857</x:v>
      </x:c>
      <x:c r="AB223" s="103" t="n">
        <x:v>0.3397757829</x:v>
      </x:c>
      <x:c r="AC223" s="103" t="n">
        <x:v>0.2938950627</x:v>
      </x:c>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83" t="str">
        <x:v>2024-02</x:v>
      </x:c>
      <x:c r="B224" s="99" t="n">
        <x:v>3931.438621</x:v>
      </x:c>
      <x:c r="C224" s="99" t="n">
        <x:v>151.07</x:v>
      </x:c>
      <x:c r="D224" s="99" t="n">
        <x:v>913.93</x:v>
      </x:c>
      <x:c r="E224" s="99" t="n">
        <x:v>10300.08</x:v>
      </x:c>
      <x:c r="F224" s="90" t="n">
        <x:v>12.75</x:v>
      </x:c>
      <x:c r="G224" s="90" t="n">
        <x:v>5.33</x:v>
      </x:c>
      <x:c r="H224" s="90" t="n">
        <x:v>7.42</x:v>
      </x:c>
      <x:c r="I224" s="100" t="n">
        <x:v>-12856.69828</x:v>
      </x:c>
      <x:c r="J224" s="90" t="n">
        <x:v>4.330062739</x:v>
      </x:c>
      <x:c r="K224" s="90" t="n">
        <x:v>121.06594</x:v>
      </x:c>
      <x:c r="L224" s="90" t="n">
        <x:v>13.98047619</x:v>
      </x:c>
      <x:c r="M224" s="101" t="n">
        <x:v>0</x:v>
      </x:c>
      <x:c r="N224" s="99" t="n">
        <x:v>59463.56</x:v>
      </x:c>
      <x:c r="O224" s="90" t="n">
        <x:v>309.0952381</x:v>
      </x:c>
      <x:c r="P224" s="90" t="n">
        <x:v>3.090952381</x:v>
      </x:c>
      <x:c r="Q224" s="100" t="n">
        <x:v>238.64</x:v>
      </x:c>
      <x:c r="R224" s="100" t="n">
        <x:v>-2663.26</x:v>
      </x:c>
      <x:c r="S224" s="90" t="n">
        <x:v>9.27</x:v>
      </x:c>
      <x:c r="T224" s="90" t="n">
        <x:v>3.984761905</x:v>
      </x:c>
      <x:c r="U224" s="90" t="n">
        <x:v>5.285238095</x:v>
      </x:c>
      <x:c r="V224" s="90" t="n">
        <x:v>2.264555013</x:v>
      </x:c>
      <x:c r="W224" s="90" t="n">
        <x:v>3.020683082</x:v>
      </x:c>
      <x:c r="X224" s="102" t="n">
        <x:v>4.964785714</x:v>
      </x:c>
      <x:c r="Y224" s="102" t="n">
        <x:v>965.8012095</x:v>
      </x:c>
      <x:c r="Z224" s="102" t="n">
        <x:v>17.07062048</x:v>
      </x:c>
      <x:c r="AA224" s="102" t="n">
        <x:v>3.827938095</x:v>
      </x:c>
      <x:c r="AB224" s="103" t="n">
        <x:v>0.7585337697</x:v>
      </x:c>
      <x:c r="AC224" s="103" t="n">
        <x:v>1.034813723</x:v>
      </x:c>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83" t="str">
        <x:v>2024-03</x:v>
      </x:c>
      <x:c r="B225" s="99" t="n">
        <x:v>3899.34129</x:v>
      </x:c>
      <x:c r="C225" s="99" t="n">
        <x:v>152.47</x:v>
      </x:c>
      <x:c r="D225" s="99" t="n">
        <x:v>894.05</x:v>
      </x:c>
      <x:c r="E225" s="99" t="n">
        <x:v>10335.87</x:v>
      </x:c>
      <x:c r="F225" s="90" t="n">
        <x:v>12.65322581</x:v>
      </x:c>
      <x:c r="G225" s="90" t="n">
        <x:v>5.33</x:v>
      </x:c>
      <x:c r="H225" s="90" t="n">
        <x:v>7.323225806</x:v>
      </x:c>
      <x:c r="I225" s="100" t="n">
        <x:v>-2100.702934</x:v>
      </x:c>
      <x:c r="J225" s="90" t="n">
        <x:v>4.053981088</x:v>
      </x:c>
      <x:c r="K225" s="90" t="n">
        <x:v>120.6588333</x:v>
      </x:c>
      <x:c r="L225" s="90" t="n">
        <x:v>13.7875</x:v>
      </x:c>
      <x:c r="M225" s="101" t="n">
        <x:v>0</x:v>
      </x:c>
      <x:c r="N225" s="99" t="n">
        <x:v>59994.63</x:v>
      </x:c>
      <x:c r="O225" s="90" t="n">
        <x:v>295.5714286</x:v>
      </x:c>
      <x:c r="P225" s="90" t="n">
        <x:v>2.955714286</x:v>
      </x:c>
      <x:c r="Q225" s="100" t="n">
        <x:v>106.99</x:v>
      </x:c>
      <x:c r="R225" s="100" t="n">
        <x:v>-1353.85</x:v>
      </x:c>
      <x:c r="S225" s="90" t="n">
        <x:v>9.515555556</x:v>
      </x:c>
      <x:c r="T225" s="90" t="n">
        <x:v>4.392222222</x:v>
      </x:c>
      <x:c r="U225" s="90" t="n">
        <x:v>5.123333333</x:v>
      </x:c>
      <x:c r="V225" s="90" t="n">
        <x:v>2.317689991</x:v>
      </x:c>
      <x:c r="W225" s="90" t="n">
        <x:v>2.805643342</x:v>
      </x:c>
      <x:c r="X225" s="102" t="n">
        <x:v>4.9806</x:v>
      </x:c>
      <x:c r="Y225" s="102" t="n">
        <x:v>969.6888</x:v>
      </x:c>
      <x:c r="Z225" s="102" t="n">
        <x:v>16.73718857</x:v>
      </x:c>
      <x:c r="AA225" s="102" t="n">
        <x:v>3.708989474</x:v>
      </x:c>
      <x:c r="AB225" s="103" t="n">
        <x:v>-0.2600426789</x:v>
      </x:c>
      <x:c r="AC225" s="103" t="n">
        <x:v>-0.827477887</x:v>
      </x:c>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83" t="str">
        <x:v>2024-04</x:v>
      </x:c>
      <x:c r="B226" s="99" t="n">
        <x:v>3867.975333</x:v>
      </x:c>
      <x:c r="C226" s="99" t="n">
        <x:v>156.2</x:v>
      </x:c>
      <x:c r="D226" s="99" t="n">
        <x:v>929.39</x:v>
      </x:c>
      <x:c r="E226" s="99" t="n">
        <x:v>10528.52</x:v>
      </x:c>
      <x:c r="F226" s="90" t="n">
        <x:v>12.25</x:v>
      </x:c>
      <x:c r="G226" s="90" t="n">
        <x:v>5.33</x:v>
      </x:c>
      <x:c r="H226" s="90" t="n">
        <x:v>6.92</x:v>
      </x:c>
      <x:c r="I226" s="100" t="n">
        <x:v>-18621.39771</x:v>
      </x:c>
      <x:c r="J226" s="90" t="n">
        <x:v>5.505846826</x:v>
      </x:c>
      <x:c r="K226" s="90" t="n">
        <x:v>122.1428136</x:v>
      </x:c>
      <x:c r="L226" s="90" t="n">
        <x:v>16.13772727</x:v>
      </x:c>
      <x:c r="M226" s="101" t="n">
        <x:v>0</x:v>
      </x:c>
      <x:c r="N226" s="99" t="n">
        <x:v>59806.04</x:v>
      </x:c>
      <x:c r="O226" s="90" t="n">
        <x:v>291.4090909</x:v>
      </x:c>
      <x:c r="P226" s="90" t="n">
        <x:v>2.914090909</x:v>
      </x:c>
      <x:c r="Q226" s="100" t="n">
        <x:v>322.53</x:v>
      </x:c>
      <x:c r="R226" s="100" t="n">
        <x:v>-2794.2</x:v>
      </x:c>
      <x:c r="S226" s="90" t="n">
        <x:v>10.28454545</x:v>
      </x:c>
      <x:c r="T226" s="90" t="n">
        <x:v>5.046363636</x:v>
      </x:c>
      <x:c r="U226" s="90" t="n">
        <x:v>5.238181818</x:v>
      </x:c>
      <x:c r="V226" s="90" t="n">
        <x:v>2.395227281</x:v>
      </x:c>
      <x:c r="W226" s="90" t="n">
        <x:v>2.842954538</x:v>
      </x:c>
      <x:c r="X226" s="102" t="n">
        <x:v>5.128790909</x:v>
      </x:c>
      <x:c r="Y226" s="102" t="n">
        <x:v>958.6875045</x:v>
      </x:c>
      <x:c r="Z226" s="102" t="n">
        <x:v>16.76438591</x:v>
      </x:c>
      <x:c r="AA226" s="102" t="n">
        <x:v>3.715031818</x:v>
      </x:c>
      <x:c r="AB226" s="103" t="n">
        <x:v>0.04061121811</x:v>
      </x:c>
      <x:c r="AC226" s="103" t="n">
        <x:v>0.06566204225</x:v>
      </x:c>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83" t="str">
        <x:v>2024-05</x:v>
      </x:c>
      <x:c r="B227" s="99" t="n">
        <x:v>3869.100645</x:v>
      </x:c>
      <x:c r="C227" s="99" t="n">
        <x:v>149.8</x:v>
      </x:c>
      <x:c r="D227" s="99" t="n">
        <x:v>960.09</x:v>
      </x:c>
      <x:c r="E227" s="99" t="n">
        <x:v>10611.43</x:v>
      </x:c>
      <x:c r="F227" s="90" t="n">
        <x:v>11.76612903</x:v>
      </x:c>
      <x:c r="G227" s="90" t="n">
        <x:v>5.33</x:v>
      </x:c>
      <x:c r="H227" s="90" t="n">
        <x:v>6.436129032</x:v>
      </x:c>
      <x:c r="I227" s="100" t="n">
        <x:v>-4474.015612</x:v>
      </x:c>
      <x:c r="J227" s="90" t="n">
        <x:v>5.787888007</x:v>
      </x:c>
      <x:c r="K227" s="90" t="n">
        <x:v>121.8583409</x:v>
      </x:c>
      <x:c r="L227" s="90" t="n">
        <x:v>13.05869565</x:v>
      </x:c>
      <x:c r="M227" s="101" t="n">
        <x:v>0</x:v>
      </x:c>
      <x:c r="N227" s="99" t="n">
        <x:v>60582.47</x:v>
      </x:c>
      <x:c r="O227" s="90" t="n">
        <x:v>297.3478261</x:v>
      </x:c>
      <x:c r="P227" s="90" t="n">
        <x:v>2.973478261</x:v>
      </x:c>
      <x:c r="Q227" s="100" t="n">
        <x:v>225.76</x:v>
      </x:c>
      <x:c r="R227" s="100" t="n">
        <x:v>-900.16</x:v>
      </x:c>
      <x:c r="S227" s="90" t="n">
        <x:v>10.24380952</x:v>
      </x:c>
      <x:c r="T227" s="90" t="n">
        <x:v>5.379047619</x:v>
      </x:c>
      <x:c r="U227" s="90" t="n">
        <x:v>4.864761905</x:v>
      </x:c>
      <x:c r="V227" s="90" t="n">
        <x:v>2.308363644</x:v>
      </x:c>
      <x:c r="W227" s="90" t="n">
        <x:v>2.556398261</x:v>
      </x:c>
      <x:c r="X227" s="102" t="n">
        <x:v>5.137221739</x:v>
      </x:c>
      <x:c r="Y227" s="102" t="n">
        <x:v>916.884113</x:v>
      </x:c>
      <x:c r="Z227" s="102" t="n">
        <x:v>16.76932696</x:v>
      </x:c>
      <x:c r="AA227" s="102" t="n">
        <x:v>3.731727273</x:v>
      </x:c>
      <x:c r="AB227" s="103" t="n">
        <x:v>-0.6410412244</x:v>
      </x:c>
      <x:c r="AC227" s="103" t="n">
        <x:v>-0.3881304846</x:v>
      </x:c>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83" t="str">
        <x:v>2024-06</x:v>
      </x:c>
      <x:c r="B228" s="99" t="n">
        <x:v>4042.797</x:v>
      </x:c>
      <x:c r="C228" s="99" t="n">
        <x:v>157.16</x:v>
      </x:c>
      <x:c r="D228" s="99" t="n">
        <x:v>1017.28</x:v>
      </x:c>
      <x:c r="E228" s="99" t="n">
        <x:v>10845.23</x:v>
      </x:c>
      <x:c r="F228" s="90" t="n">
        <x:v>11.75</x:v>
      </x:c>
      <x:c r="G228" s="90" t="n">
        <x:v>5.33</x:v>
      </x:c>
      <x:c r="H228" s="90" t="n">
        <x:v>6.42</x:v>
      </x:c>
      <x:c r="I228" s="100" t="n">
        <x:v>-15576.83121</x:v>
      </x:c>
      <x:c r="J228" s="90" t="n">
        <x:v>6.332222692</x:v>
      </x:c>
      <x:c r="K228" s="90" t="n">
        <x:v>123.7094789</x:v>
      </x:c>
      <x:c r="L228" s="90" t="n">
        <x:v>12.667</x:v>
      </x:c>
      <x:c r="M228" s="101" t="n">
        <x:v>0</x:v>
      </x:c>
      <x:c r="N228" s="99" t="n">
        <x:v>60901.42</x:v>
      </x:c>
      <x:c r="O228" s="90" t="n">
        <x:v>313.05</x:v>
      </x:c>
      <x:c r="P228" s="90" t="n">
        <x:v>3.1305</x:v>
      </x:c>
      <x:c r="Q228" s="100" t="n">
        <x:v>407.34</x:v>
      </x:c>
      <x:c r="R228" s="100" t="n">
        <x:v>-2003.2</x:v>
      </x:c>
      <x:c r="S228" s="90" t="n">
        <x:v>10.25777778</x:v>
      </x:c>
      <x:c r="T228" s="90" t="n">
        <x:v>5.384444444</x:v>
      </x:c>
      <x:c r="U228" s="90" t="n">
        <x:v>4.873333333</x:v>
      </x:c>
      <x:c r="V228" s="90" t="n">
        <x:v>2.21875788</x:v>
      </x:c>
      <x:c r="W228" s="90" t="n">
        <x:v>2.654575453</x:v>
      </x:c>
      <x:c r="X228" s="102" t="n">
        <x:v>5.38867</x:v>
      </x:c>
      <x:c r="Y228" s="102" t="n">
        <x:v>927.894005</x:v>
      </x:c>
      <x:c r="Z228" s="102" t="n">
        <x:v>18.13341225</x:v>
      </x:c>
      <x:c r="AA228" s="102" t="n">
        <x:v>3.786705263</x:v>
      </x:c>
      <x:c r="AB228" s="103" t="n">
        <x:v>1.416648456</x:v>
      </x:c>
      <x:c r="AC228" s="103" t="n">
        <x:v>1.359107684</x:v>
      </x:c>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83" t="str">
        <x:v>2024-07</x:v>
      </x:c>
      <x:c r="B229" s="99" t="n">
        <x:v>4036.921935</x:v>
      </x:c>
      <x:c r="C229" s="99" t="n">
        <x:v>156.3</x:v>
      </x:c>
      <x:c r="D229" s="99" t="n">
        <x:v>1006.44</x:v>
      </x:c>
      <x:c r="E229" s="99" t="n">
        <x:v>11090.06</x:v>
      </x:c>
      <x:c r="F229" s="90" t="n">
        <x:v>11.26612903</x:v>
      </x:c>
      <x:c r="G229" s="90" t="n">
        <x:v>5.33</x:v>
      </x:c>
      <x:c r="H229" s="90" t="n">
        <x:v>5.936129032</x:v>
      </x:c>
      <x:c r="I229" s="100" t="n">
        <x:v>-2836.833987</x:v>
      </x:c>
      <x:c r="J229" s="90" t="n">
        <x:v>6.443703501</x:v>
      </x:c>
      <x:c r="K229" s="90" t="n">
        <x:v>123.3824364</x:v>
      </x:c>
      <x:c r="L229" s="90" t="n">
        <x:v>14.37391304</x:v>
      </x:c>
      <x:c r="M229" s="101" t="n">
        <x:v>0</x:v>
      </x:c>
      <x:c r="N229" s="99" t="n">
        <x:v>61868.46</x:v>
      </x:c>
      <x:c r="O229" s="90" t="n">
        <x:v>308.5652174</x:v>
      </x:c>
      <x:c r="P229" s="90" t="n">
        <x:v>3.085652174</x:v>
      </x:c>
      <x:c r="Q229" s="100" t="n">
        <x:v>195.45</x:v>
      </x:c>
      <x:c r="R229" s="100" t="n">
        <x:v>-1168.91</x:v>
      </x:c>
      <x:c r="S229" s="90" t="n">
        <x:v>10.19727273</x:v>
      </x:c>
      <x:c r="T229" s="90" t="n">
        <x:v>5.494545455</x:v>
      </x:c>
      <x:c r="U229" s="90" t="n">
        <x:v>4.702727273</x:v>
      </x:c>
      <x:c r="V229" s="90" t="n">
        <x:v>2.206277273</x:v>
      </x:c>
      <x:c r="W229" s="90" t="n">
        <x:v>2.49645</x:v>
      </x:c>
      <x:c r="X229" s="102" t="n">
        <x:v>5.541747826</x:v>
      </x:c>
      <x:c r="Y229" s="102" t="n">
        <x:v>935.9515348</x:v>
      </x:c>
      <x:c r="Z229" s="102" t="n">
        <x:v>18.06171826</x:v>
      </x:c>
      <x:c r="AA229" s="102" t="n">
        <x:v>3.764135</x:v>
      </x:c>
      <x:c r="AB229" s="103" t="n">
        <x:v>0.2122136521</x:v>
      </x:c>
      <x:c r="AC229" s="103" t="n">
        <x:v>0.04138275339</x:v>
      </x:c>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83" t="str">
        <x:v>2024-08</x:v>
      </x:c>
      <x:c r="B230" s="99" t="n">
        <x:v>4065.546452</x:v>
      </x:c>
      <x:c r="C230" s="99" t="n">
        <x:v>157.21</x:v>
      </x:c>
      <x:c r="D230" s="99" t="n">
        <x:v>1008.94</x:v>
      </x:c>
      <x:c r="E230" s="99" t="n">
        <x:v>11211.24</x:v>
      </x:c>
      <x:c r="F230" s="90" t="n">
        <x:v>10.75</x:v>
      </x:c>
      <x:c r="G230" s="90" t="n">
        <x:v>5.33</x:v>
      </x:c>
      <x:c r="H230" s="90" t="n">
        <x:v>5.42</x:v>
      </x:c>
      <x:c r="I230" s="100" t="n">
        <x:v>-10928.00282</x:v>
      </x:c>
      <x:c r="J230" s="90" t="n">
        <x:v>6.790500101</x:v>
      </x:c>
      <x:c r="K230" s="90" t="n">
        <x:v>122.6137409</x:v>
      </x:c>
      <x:c r="L230" s="90" t="n">
        <x:v>19.31227273</x:v>
      </x:c>
      <x:c r="M230" s="101" t="n">
        <x:v>0</x:v>
      </x:c>
      <x:c r="N230" s="99" t="n">
        <x:v>62778.49</x:v>
      </x:c>
      <x:c r="O230" s="90" t="n">
        <x:v>322.1363636</x:v>
      </x:c>
      <x:c r="P230" s="90" t="n">
        <x:v>3.221363636</x:v>
      </x:c>
      <x:c r="Q230" s="100" t="n">
        <x:v>185.67</x:v>
      </x:c>
      <x:c r="R230" s="100" t="n">
        <x:v>-1451.07</x:v>
      </x:c>
      <x:c r="S230" s="90" t="n">
        <x:v>9.582</x:v>
      </x:c>
      <x:c r="T230" s="90" t="n">
        <x:v>5.0475</x:v>
      </x:c>
      <x:c r="U230" s="90" t="n">
        <x:v>4.5345</x:v>
      </x:c>
      <x:c r="V230" s="90" t="n">
        <x:v>2.027113627</x:v>
      </x:c>
      <x:c r="W230" s="90" t="n">
        <x:v>2.507386373</x:v>
      </x:c>
      <x:c r="X230" s="102" t="n">
        <x:v>5.552313636</x:v>
      </x:c>
      <x:c r="Y230" s="102" t="n">
        <x:v>927.7602182</x:v>
      </x:c>
      <x:c r="Z230" s="102" t="n">
        <x:v>19.07088545</x:v>
      </x:c>
      <x:c r="AA230" s="102" t="n">
        <x:v>3.74185</x:v>
      </x:c>
      <x:c r="AB230" s="103" t="n">
        <x:v>0.4554266835</x:v>
      </x:c>
      <x:c r="AC230" s="103" t="n">
        <x:v>0.2246027761</x:v>
      </x:c>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83" t="str">
        <x:v>2024-09</x:v>
      </x:c>
      <x:c r="B231" s="99" t="n">
        <x:v>4182.512333</x:v>
      </x:c>
      <x:c r="C231" s="99" t="n">
        <x:v>153.43</x:v>
      </x:c>
      <x:c r="D231" s="99" t="n">
        <x:v>1037.32</x:v>
      </x:c>
      <x:c r="E231" s="99" t="n">
        <x:v>11367.09</x:v>
      </x:c>
      <x:c r="F231" s="90" t="n">
        <x:v>10.75</x:v>
      </x:c>
      <x:c r="G231" s="90" t="n">
        <x:v>5.13</x:v>
      </x:c>
      <x:c r="H231" s="90" t="n">
        <x:v>5.62</x:v>
      </x:c>
      <x:c r="I231" s="100" t="n">
        <x:v>-1961.057506</x:v>
      </x:c>
      <x:c r="J231" s="90" t="n">
        <x:v>6.646096117</x:v>
      </x:c>
      <x:c r="K231" s="90" t="n">
        <x:v>121.884855</x:v>
      </x:c>
      <x:c r="L231" s="90" t="n">
        <x:v>17.66333333</x:v>
      </x:c>
      <x:c r="M231" s="101" t="n">
        <x:v>0</x:v>
      </x:c>
      <x:c r="N231" s="99" t="n">
        <x:v>63581.9</x:v>
      </x:c>
      <x:c r="O231" s="90" t="n">
        <x:v>323.6190476</x:v>
      </x:c>
      <x:c r="P231" s="90" t="n">
        <x:v>3.236190476</x:v>
      </x:c>
      <x:c r="Q231" s="100" t="n">
        <x:v>317.91</x:v>
      </x:c>
      <x:c r="R231" s="100" t="n">
        <x:v>-1670.42</x:v>
      </x:c>
      <x:c r="S231" s="90" t="n">
        <x:v>9.36</x:v>
      </x:c>
      <x:c r="T231" s="90" t="n">
        <x:v>4.953333333</x:v>
      </x:c>
      <x:c r="U231" s="90" t="n">
        <x:v>4.406666667</x:v>
      </x:c>
      <x:c r="V231" s="90" t="n">
        <x:v>2.036079991</x:v>
      </x:c>
      <x:c r="W231" s="90" t="n">
        <x:v>2.370586676</x:v>
      </x:c>
      <x:c r="X231" s="102" t="n">
        <x:v>5.541266667</x:v>
      </x:c>
      <x:c r="Y231" s="102" t="n">
        <x:v>925.8795476</x:v>
      </x:c>
      <x:c r="Z231" s="102" t="n">
        <x:v>19.52721143</x:v>
      </x:c>
      <x:c r="AA231" s="102" t="n">
        <x:v>3.768961905</x:v>
      </x:c>
      <x:c r="AB231" s="103" t="n">
        <x:v>0.1366409956</x:v>
      </x:c>
      <x:c r="AC231" s="103" t="n">
        <x:v>0.2501509067</x:v>
      </x:c>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83" t="str">
        <x:v>2024-10</x:v>
      </x:c>
      <x:c r="B232" s="99" t="n">
        <x:v>4249.47</x:v>
      </x:c>
      <x:c r="C232" s="99" t="n">
        <x:v>157.45</x:v>
      </x:c>
      <x:c r="D232" s="99" t="n">
        <x:v>1036.4</x:v>
      </x:c>
      <x:c r="E232" s="99" t="n">
        <x:v>11517.74</x:v>
      </x:c>
      <x:c r="F232" s="90" t="n">
        <x:v>10.25</x:v>
      </x:c>
      <x:c r="G232" s="90" t="n">
        <x:v>4.83</x:v>
      </x:c>
      <x:c r="H232" s="90" t="n">
        <x:v>5.42</x:v>
      </x:c>
      <x:c r="I232" s="100" t="n">
        <x:v>-13343.67814</x:v>
      </x:c>
      <x:c r="J232" s="90" t="n">
        <x:v>6.652100585</x:v>
      </x:c>
      <x:c r="K232" s="90" t="n">
        <x:v>123.5952909</x:v>
      </x:c>
      <x:c r="L232" s="90" t="n">
        <x:v>19.96086957</x:v>
      </x:c>
      <x:c r="M232" s="101" t="n">
        <x:v>0</x:v>
      </x:c>
      <x:c r="N232" s="99" t="n">
        <x:v>62771.57</x:v>
      </x:c>
      <x:c r="O232" s="90" t="n">
        <x:v>312.0869565</x:v>
      </x:c>
      <x:c r="P232" s="90" t="n">
        <x:v>3.120869565</x:v>
      </x:c>
      <x:c r="Q232" s="100" t="n">
        <x:v>383.15</x:v>
      </x:c>
      <x:c r="R232" s="100" t="n">
        <x:v>-3459.65</x:v>
      </x:c>
      <x:c r="S232" s="90" t="n">
        <x:v>9.719545455</x:v>
      </x:c>
      <x:c r="T232" s="90" t="n">
        <x:v>5.191363636</x:v>
      </x:c>
      <x:c r="U232" s="90" t="n">
        <x:v>4.528181818</x:v>
      </x:c>
      <x:c r="V232" s="90" t="n">
        <x:v>2.255495462</x:v>
      </x:c>
      <x:c r="W232" s="90" t="n">
        <x:v>2.272686357</x:v>
      </x:c>
      <x:c r="X232" s="102" t="n">
        <x:v>5.623808696</x:v>
      </x:c>
      <x:c r="Y232" s="102" t="n">
        <x:v>938.5641261</x:v>
      </x:c>
      <x:c r="Z232" s="102" t="n">
        <x:v>19.64228217</x:v>
      </x:c>
      <x:c r="AA232" s="102" t="n">
        <x:v>3.754363636</x:v>
      </x:c>
      <x:c r="AB232" s="103" t="n">
        <x:v>0.2716453405</x:v>
      </x:c>
      <x:c r="AC232" s="103" t="n">
        <x:v>0.1281423752</x:v>
      </x:c>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83" t="str">
        <x:v>2024-11</x:v>
      </x:c>
      <x:c r="B233" s="99" t="n">
        <x:v>4408.652333</x:v>
      </x:c>
      <x:c r="C233" s="99" t="n">
        <x:v>157.35</x:v>
      </x:c>
      <x:c r="D233" s="99" t="n">
        <x:v>1033.19</x:v>
      </x:c>
      <x:c r="E233" s="99" t="n">
        <x:v>11664.03</x:v>
      </x:c>
      <x:c r="F233" s="90" t="n">
        <x:v>9.75</x:v>
      </x:c>
      <x:c r="G233" s="90" t="n">
        <x:v>4.64</x:v>
      </x:c>
      <x:c r="H233" s="90" t="n">
        <x:v>5.11</x:v>
      </x:c>
      <x:c r="I233" s="100" t="n">
        <x:v>-18186.62878</x:v>
      </x:c>
      <x:c r="J233" s="90" t="n">
        <x:v>6.953539496</x:v>
      </x:c>
      <x:c r="K233" s="90" t="n">
        <x:v>126.3113368</x:v>
      </x:c>
      <x:c r="L233" s="90" t="n">
        <x:v>16.0152381</x:v>
      </x:c>
      <x:c r="M233" s="101" t="n">
        <x:v>0</x:v>
      </x:c>
      <x:c r="N233" s="99" t="n">
        <x:v>62957.73</x:v>
      </x:c>
      <x:c r="O233" s="90" t="n">
        <x:v>323.952381</x:v>
      </x:c>
      <x:c r="P233" s="90" t="n">
        <x:v>3.23952381</x:v>
      </x:c>
      <x:c r="Q233" s="100" t="n">
        <x:v>210.39</x:v>
      </x:c>
      <x:c r="R233" s="100" t="n">
        <x:v>-1826.94</x:v>
      </x:c>
      <x:c r="S233" s="90" t="n">
        <x:v>10.02210526</x:v>
      </x:c>
      <x:c r="T233" s="90" t="n">
        <x:v>5.334736842</x:v>
      </x:c>
      <x:c r="U233" s="90" t="n">
        <x:v>4.687368421</x:v>
      </x:c>
      <x:c r="V233" s="90" t="n">
        <x:v>2.331473652</x:v>
      </x:c>
      <x:c r="W233" s="90" t="n">
        <x:v>2.355894769</x:v>
      </x:c>
      <x:c r="X233" s="102" t="n">
        <x:v>5.804314286</x:v>
      </x:c>
      <x:c r="Y233" s="102" t="n">
        <x:v>971.6471381</x:v>
      </x:c>
      <x:c r="Z233" s="102" t="n">
        <x:v>20.25711857</x:v>
      </x:c>
      <x:c r="AA233" s="102" t="n">
        <x:v>3.779135</x:v>
      </x:c>
      <x:c r="AB233" s="103" t="n">
        <x:v>0.9856346216</x:v>
      </x:c>
      <x:c r="AC233" s="103" t="n">
        <x:v>0.8739609857</x:v>
      </x:c>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83" t="str">
        <x:v>2024-12</x:v>
      </x:c>
      <x:c r="B234" s="99" t="n">
        <x:v>4385.14871</x:v>
      </x:c>
      <x:c r="C234" s="99" t="n">
        <x:v>161.4</x:v>
      </x:c>
      <x:c r="D234" s="99" t="n">
        <x:v>1098.4</x:v>
      </x:c>
      <x:c r="E234" s="99" t="n">
        <x:v>11848.22</x:v>
      </x:c>
      <x:c r="F234" s="90" t="n">
        <x:v>9.677419355</x:v>
      </x:c>
      <x:c r="G234" s="90" t="n">
        <x:v>4.48</x:v>
      </x:c>
      <x:c r="H234" s="90" t="n">
        <x:v>5.197419355</x:v>
      </x:c>
      <x:c r="I234" s="100" t="n">
        <x:v>-12238.24063</x:v>
      </x:c>
      <x:c r="J234" s="90" t="n">
        <x:v>6.683581401</x:v>
      </x:c>
      <x:c r="K234" s="90" t="n">
        <x:v>127.575781</x:v>
      </x:c>
      <x:c r="L234" s="90" t="n">
        <x:v>15.86619048</x:v>
      </x:c>
      <x:c r="M234" s="101" t="n">
        <x:v>0</x:v>
      </x:c>
      <x:c r="N234" s="99" t="n">
        <x:v>62481.18</x:v>
      </x:c>
      <x:c r="O234" s="90" t="n">
        <x:v>323</x:v>
      </x:c>
      <x:c r="P234" s="90" t="n">
        <x:v>3.23</x:v>
      </x:c>
      <x:c r="Q234" s="100" t="n">
        <x:v>54.57</x:v>
      </x:c>
      <x:c r="R234" s="100" t="n">
        <x:v>-2952.47</x:v>
      </x:c>
      <x:c r="S234" s="90" t="n">
        <x:v>10.371</x:v>
      </x:c>
      <x:c r="T234" s="90" t="n">
        <x:v>5.261</x:v>
      </x:c>
      <x:c r="U234" s="90" t="n">
        <x:v>5.11</x:v>
      </x:c>
      <x:c r="V234" s="90" t="n">
        <x:v>2.296300014</x:v>
      </x:c>
      <x:c r="W234" s="90" t="n">
        <x:v>2.813699986</x:v>
      </x:c>
      <x:c r="X234" s="102" t="n">
        <x:v>6.099286364</x:v>
      </x:c>
      <x:c r="Y234" s="102" t="n">
        <x:v>984.5883773</x:v>
      </x:c>
      <x:c r="Z234" s="102" t="n">
        <x:v>20.20261636</x:v>
      </x:c>
      <x:c r="AA234" s="102" t="n">
        <x:v>3.735536842</x:v>
      </x:c>
      <x:c r="AB234" s="103" t="n">
        <x:v>0.4806324555</x:v>
      </x:c>
      <x:c r="AC234" s="103" t="n">
        <x:v>0.1295526405</x:v>
      </x:c>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83" t="str">
        <x:v>2025-01</x:v>
      </x:c>
      <x:c r="B235" s="99" t="n">
        <x:v>4307.567419</x:v>
      </x:c>
      <x:c r="C235" s="99" t="n">
        <x:v>165.69</x:v>
      </x:c>
      <x:c r="D235" s="99" t="n">
        <x:v>1009.66</x:v>
      </x:c>
      <x:c r="E235" s="99" t="n">
        <x:v>11945.09</x:v>
      </x:c>
      <x:c r="F235" s="90" t="n">
        <x:v>9.5</x:v>
      </x:c>
      <x:c r="G235" s="90" t="n">
        <x:v>4.33</x:v>
      </x:c>
      <x:c r="H235" s="90" t="n">
        <x:v>5.17</x:v>
      </x:c>
      <x:c r="I235" s="100" t="n">
        <x:v>-12491.39631</x:v>
      </x:c>
      <x:c r="J235" s="90" t="n">
        <x:v>6.775576693</x:v>
      </x:c>
      <x:c r="K235" s="90" t="n">
        <x:v>128.8369524</x:v>
      </x:c>
      <x:c r="L235" s="90" t="n">
        <x:v>16.76363636</x:v>
      </x:c>
      <x:c r="M235" s="101" t="n">
        <x:v>0</x:v>
      </x:c>
      <x:c r="N235" s="99" t="n">
        <x:v>62798.75</x:v>
      </x:c>
      <x:c r="O235" s="90" t="n">
        <x:v>321.9130435</x:v>
      </x:c>
      <x:c r="P235" s="90" t="n">
        <x:v>3.219130435</x:v>
      </x:c>
      <x:c r="Q235" s="100" t="n">
        <x:v>-17.34</x:v>
      </x:c>
      <x:c r="R235" s="100" t="n">
        <x:v>-1410.34</x:v>
      </x:c>
      <x:c r="S235" s="90" t="n">
        <x:v>10.70285714</x:v>
      </x:c>
      <x:c r="T235" s="90" t="n">
        <x:v>5.271428571</x:v>
      </x:c>
      <x:c r="U235" s="90" t="n">
        <x:v>5.431428571</x:v>
      </x:c>
      <x:c r="V235" s="90" t="n">
        <x:v>2.418833313</x:v>
      </x:c>
      <x:c r="W235" s="90" t="n">
        <x:v>3.012595259</x:v>
      </x:c>
      <x:c r="X235" s="102" t="n">
        <x:v>6.028886957</x:v>
      </x:c>
      <x:c r="Y235" s="102" t="n">
        <x:v>1000.168683</x:v>
      </x:c>
      <x:c r="Z235" s="102" t="n">
        <x:v>20.49089043</x:v>
      </x:c>
      <x:c r="AA235" s="102" t="n">
        <x:v>3.746922727</x:v>
      </x:c>
      <x:c r="AB235" s="103" t="n">
        <x:v>0.1570510632</x:v>
      </x:c>
      <x:c r="AC235" s="103" t="n">
        <x:v>0.1814636132</x:v>
      </x:c>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83" t="str">
        <x:v>2025-02</x:v>
      </x:c>
      <x:c r="B236" s="99" t="n">
        <x:v>4127.953929</x:v>
      </x:c>
      <x:c r="C236" s="99" t="n">
        <x:v>164.54</x:v>
      </x:c>
      <x:c r="D236" s="99" t="n">
        <x:v>1031.63</x:v>
      </x:c>
      <x:c r="E236" s="99" t="n">
        <x:v>12062.79</x:v>
      </x:c>
      <x:c r="F236" s="90" t="n">
        <x:v>9.5</x:v>
      </x:c>
      <x:c r="G236" s="90" t="n">
        <x:v>4.33</x:v>
      </x:c>
      <x:c r="H236" s="90" t="n">
        <x:v>5.17</x:v>
      </x:c>
      <x:c r="I236" s="100" t="n">
        <x:v>-17409.86142</x:v>
      </x:c>
      <x:c r="J236" s="90" t="n">
        <x:v>7.021169873</x:v>
      </x:c>
      <x:c r="K236" s="90" t="n">
        <x:v>127.8758316</x:v>
      </x:c>
      <x:c r="L236" s="90" t="n">
        <x:v>16.968</x:v>
      </x:c>
      <x:c r="M236" s="101" t="n">
        <x:v>0</x:v>
      </x:c>
      <x:c r="N236" s="99" t="n">
        <x:v>63450.61</x:v>
      </x:c>
      <x:c r="O236" s="90" t="n">
        <x:v>325.35</x:v>
      </x:c>
      <x:c r="P236" s="90" t="n">
        <x:v>3.2535</x:v>
      </x:c>
      <x:c r="Q236" s="100" t="n">
        <x:v>222.91</x:v>
      </x:c>
      <x:c r="R236" s="100" t="n">
        <x:v>-1741.78</x:v>
      </x:c>
      <x:c r="S236" s="90" t="n">
        <x:v>10.711</x:v>
      </x:c>
      <x:c r="T236" s="90" t="n">
        <x:v>5.3385</x:v>
      </x:c>
      <x:c r="U236" s="90" t="n">
        <x:v>5.3725</x:v>
      </x:c>
      <x:c r="V236" s="90" t="n">
        <x:v>2.524678958</x:v>
      </x:c>
      <x:c r="W236" s="90" t="n">
        <x:v>2.847821042</x:v>
      </x:c>
      <x:c r="X236" s="102" t="n">
        <x:v>5.765345</x:v>
      </x:c>
      <x:c r="Y236" s="102" t="n">
        <x:v>954.782765</x:v>
      </x:c>
      <x:c r="Z236" s="102" t="n">
        <x:v>20.4073</x:v>
      </x:c>
      <x:c r="AA236" s="102" t="n">
        <x:v>3.69685</x:v>
      </x:c>
      <x:c r="AB236" s="103" t="n">
        <x:v>-1.137999396</x:v>
      </x:c>
      <x:c r="AC236" s="103" t="n">
        <x:v>-1.121634355</x:v>
      </x:c>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83" t="str">
        <x:v>2025-03</x:v>
      </x:c>
      <x:c r="B237" s="99" t="n">
        <x:v>4137.684516</x:v>
      </x:c>
      <x:c r="C237" s="99" t="n">
        <x:v>163.87</x:v>
      </x:c>
      <x:c r="D237" s="99" t="n">
        <x:v>1089.33</x:v>
      </x:c>
      <x:c r="E237" s="99" t="n">
        <x:v>12258.07</x:v>
      </x:c>
      <x:c r="F237" s="90" t="n">
        <x:v>9.5</x:v>
      </x:c>
      <x:c r="G237" s="90" t="n">
        <x:v>4.33</x:v>
      </x:c>
      <x:c r="H237" s="90" t="n">
        <x:v>5.17</x:v>
      </x:c>
      <x:c r="I237" s="100" t="n">
        <x:v>-7588.630465</x:v>
      </x:c>
      <x:c r="J237" s="90" t="n">
        <x:v>7.317183331</x:v>
      </x:c>
      <x:c r="K237" s="90" t="n">
        <x:v>126.2430429</x:v>
      </x:c>
      <x:c r="L237" s="90" t="n">
        <x:v>21.84142857</x:v>
      </x:c>
      <x:c r="M237" s="101" t="n">
        <x:v>0</x:v>
      </x:c>
      <x:c r="N237" s="99" t="n">
        <x:v>63854</x:v>
      </x:c>
      <x:c r="O237" s="90" t="n">
        <x:v>336.4761905</x:v>
      </x:c>
      <x:c r="P237" s="90" t="n">
        <x:v>3.364761905</x:v>
      </x:c>
      <x:c r="Q237" s="100" t="n">
        <x:v>206.63</x:v>
      </x:c>
      <x:c r="R237" s="100" t="n">
        <x:v>-2292.08</x:v>
      </x:c>
      <x:c r="S237" s="90" t="n">
        <x:v>10.9955</x:v>
      </x:c>
      <x:c r="T237" s="90" t="n">
        <x:v>5.6365</x:v>
      </x:c>
      <x:c r="U237" s="90" t="n">
        <x:v>5.359</x:v>
      </x:c>
      <x:c r="V237" s="90" t="n">
        <x:v>2.447190489</x:v>
      </x:c>
      <x:c r="W237" s="90" t="n">
        <x:v>2.911809511</x:v>
      </x:c>
      <x:c r="X237" s="102" t="n">
        <x:v>5.75622381</x:v>
      </x:c>
      <x:c r="Y237" s="102" t="n">
        <x:v>932.3276238</x:v>
      </x:c>
      <x:c r="Z237" s="102" t="n">
        <x:v>20.17183524</x:v>
      </x:c>
      <x:c r="AA237" s="102" t="n">
        <x:v>3.652485714</x:v>
      </x:c>
      <x:c r="AB237" s="103" t="n">
        <x:v>-0.5533742554</x:v>
      </x:c>
      <x:c r="AC237" s="103" t="n">
        <x:v>-0.6553964546</x:v>
      </x:c>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83" t="str">
        <x:v>2025-04</x:v>
      </x:c>
      <x:c r="B238" s="99" t="n">
        <x:v>4280.258</x:v>
      </x:c>
      <x:c r="C238" s="99" t="n">
        <x:v>162.39</x:v>
      </x:c>
      <x:c r="D238" s="99" t="n">
        <x:v>1097.41</x:v>
      </x:c>
      <x:c r="E238" s="99" t="n">
        <x:v>12426.09</x:v>
      </x:c>
      <x:c r="F238" s="90" t="n">
        <x:v>9.5</x:v>
      </x:c>
      <x:c r="G238" s="90" t="n">
        <x:v>4.33</x:v>
      </x:c>
      <x:c r="H238" s="90" t="n">
        <x:v>5.17</x:v>
      </x:c>
      <x:c r="I238" s="100" t="n">
        <x:v>-13594.17391</x:v>
      </x:c>
      <x:c r="J238" s="90" t="n">
        <x:v>7.046019782</x:v>
      </x:c>
      <x:c r="K238" s="90" t="n">
        <x:v>124.1402</x:v>
      </x:c>
      <x:c r="L238" s="90" t="n">
        <x:v>31.96619048</x:v>
      </x:c>
      <x:c r="M238" s="101" t="n">
        <x:v>0</x:v>
      </x:c>
      <x:c r="N238" s="99" t="n">
        <x:v>64630.58</x:v>
      </x:c>
      <x:c r="O238" s="90" t="n">
        <x:v>385.3181818</x:v>
      </x:c>
      <x:c r="P238" s="90" t="n">
        <x:v>3.853181818</x:v>
      </x:c>
      <x:c r="Q238" s="100" t="n">
        <x:v>135.08</x:v>
      </x:c>
      <x:c r="R238" s="100" t="n">
        <x:v>-1524.99</x:v>
      </x:c>
      <x:c r="S238" s="90" t="n">
        <x:v>11.3175</x:v>
      </x:c>
      <x:c r="T238" s="90" t="n">
        <x:v>6.126315789</x:v>
      </x:c>
      <x:c r="U238" s="90" t="n">
        <x:v>5.191184211</x:v>
      </x:c>
      <x:c r="V238" s="90" t="n">
        <x:v>2.314747617</x:v>
      </x:c>
      <x:c r="W238" s="90" t="n">
        <x:v>2.876436593</x:v>
      </x:c>
      <x:c r="X238" s="102" t="n">
        <x:v>5.789945455</x:v>
      </x:c>
      <x:c r="Y238" s="102" t="n">
        <x:v>962.8508909</x:v>
      </x:c>
      <x:c r="Z238" s="102" t="n">
        <x:v>19.96541045</x:v>
      </x:c>
      <x:c r="AA238" s="102" t="n">
        <x:v>3.70003</x:v>
      </x:c>
      <x:c r="AB238" s="103" t="n">
        <x:v>0.22912326</x:v>
      </x:c>
      <x:c r="AC238" s="103" t="n">
        <x:v>0.4344294529</x:v>
      </x:c>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83" t="str">
        <x:v>2025-05</x:v>
      </x:c>
      <x:c r="B239" s="99" t="n">
        <x:v>4203.377097</x:v>
      </x:c>
      <x:c r="C239" s="99" t="n">
        <x:v>157.92</x:v>
      </x:c>
      <x:c r="D239" s="99" t="n">
        <x:v>1095.91</x:v>
      </x:c>
      <x:c r="E239" s="99" t="n">
        <x:v>12561.91</x:v>
      </x:c>
      <x:c r="F239" s="90" t="n">
        <x:v>9.258064516</x:v>
      </x:c>
      <x:c r="G239" s="90" t="n">
        <x:v>4.33</x:v>
      </x:c>
      <x:c r="H239" s="90" t="n">
        <x:v>4.928064516</x:v>
      </x:c>
      <x:c r="I239" s="100" t="n">
        <x:v>-5976.691931</x:v>
      </x:c>
      <x:c r="J239" s="90" t="n">
        <x:v>7.127072678</x:v>
      </x:c>
      <x:c r="K239" s="90" t="n">
        <x:v>122.3421619</x:v>
      </x:c>
      <x:c r="L239" s="90" t="n">
        <x:v>20.46227273</x:v>
      </x:c>
      <x:c r="M239" s="101" t="n">
        <x:v>0</x:v>
      </x:c>
      <x:c r="N239" s="99" t="n">
        <x:v>64592.1</x:v>
      </x:c>
      <x:c r="O239" s="90" t="n">
        <x:v>356.6363636</x:v>
      </x:c>
      <x:c r="P239" s="90" t="n">
        <x:v>3.566363636</x:v>
      </x:c>
      <x:c r="Q239" s="100" t="n">
        <x:v>22.75</x:v>
      </x:c>
      <x:c r="R239" s="100" t="n">
        <x:v>-2132.77</x:v>
      </x:c>
      <x:c r="S239" s="90" t="n">
        <x:v>11.37190476</x:v>
      </x:c>
      <x:c r="T239" s="90" t="n">
        <x:v>6.160952381</x:v>
      </x:c>
      <x:c r="U239" s="90" t="n">
        <x:v>5.210952381</x:v>
      </x:c>
      <x:c r="V239" s="90" t="n">
        <x:v>2.397971448</x:v>
      </x:c>
      <x:c r="W239" s="90" t="n">
        <x:v>2.812980933</x:v>
      </x:c>
      <x:c r="X239" s="102" t="n">
        <x:v>5.666786364</x:v>
      </x:c>
      <x:c r="Y239" s="102" t="n">
        <x:v>940.4631955</x:v>
      </x:c>
      <x:c r="Z239" s="102" t="n">
        <x:v>19.40206773</x:v>
      </x:c>
      <x:c r="AA239" s="102" t="n">
        <x:v>3.659914286</x:v>
      </x:c>
      <x:c r="AB239" s="103" t="n">
        <x:v>-0.934745192</x:v>
      </x:c>
      <x:c r="AC239" s="103" t="n">
        <x:v>-0.9178529637</x:v>
      </x:c>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83" t="str">
        <x:v>2025-06</x:v>
      </x:c>
      <x:c r="B240" s="99" t="n">
        <x:v>4113.485</x:v>
      </x:c>
      <x:c r="C240" s="99" t="n">
        <x:v>164.6</x:v>
      </x:c>
      <x:c r="D240" s="99" t="n">
        <x:v>1084.15</x:v>
      </x:c>
      <x:c r="E240" s="99" t="n">
        <x:v>12628.78</x:v>
      </x:c>
      <x:c r="F240" s="90" t="n">
        <x:v>9.25</x:v>
      </x:c>
      <x:c r="G240" s="90" t="n">
        <x:v>4.33</x:v>
      </x:c>
      <x:c r="H240" s="90" t="n">
        <x:v>4.92</x:v>
      </x:c>
      <x:c r="I240" s="100" t="n">
        <x:v>-11405.85686</x:v>
      </x:c>
      <x:c r="J240" s="90" t="n">
        <x:v>6.902094389</x:v>
      </x:c>
      <x:c r="K240" s="90" t="n">
        <x:v>120.59387</x:v>
      </x:c>
      <x:c r="L240" s="90" t="n">
        <x:v>18.40333333</x:v>
      </x:c>
      <x:c r="M240" s="101" t="n">
        <x:v>0</x:v>
      </x:c>
      <x:c r="N240" s="99" t="n">
        <x:v>65163.18</x:v>
      </x:c>
      <x:c r="O240" s="90" t="n">
        <x:v>347.047619</x:v>
      </x:c>
      <x:c r="P240" s="90" t="n">
        <x:v>3.47047619</x:v>
      </x:c>
      <x:c r="Q240" s="100" t="n">
        <x:v>82.96</x:v>
      </x:c>
      <x:c r="R240" s="100" t="n">
        <x:v>-1562.48</x:v>
      </x:c>
      <x:c r="S240" s="90" t="n">
        <x:v>11.79</x:v>
      </x:c>
      <x:c r="T240" s="90" t="n">
        <x:v>6.345555556</x:v>
      </x:c>
      <x:c r="U240" s="90" t="n">
        <x:v>5.444444444</x:v>
      </x:c>
      <x:c r="V240" s="90" t="n">
        <x:v>2.336609995</x:v>
      </x:c>
      <x:c r="W240" s="90" t="n">
        <x:v>3.107834449</x:v>
      </x:c>
      <x:c r="X240" s="102" t="n">
        <x:v>5.543938095</x:v>
      </x:c>
      <x:c r="Y240" s="102" t="n">
        <x:v>937.3952429</x:v>
      </x:c>
      <x:c r="Z240" s="102" t="n">
        <x:v>18.99023762</x:v>
      </x:c>
      <x:c r="AA240" s="102" t="n">
        <x:v>3.602195238</x:v>
      </x:c>
      <x:c r="AB240" s="103" t="n">
        <x:v>-0.5998585254</x:v>
      </x:c>
      <x:c r="AC240" s="103" t="n">
        <x:v>-0.7671549194</x:v>
      </x:c>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83" t="str">
        <x:v>2025-07</x:v>
      </x:c>
      <x:c r="B241" s="99" t="n">
        <x:v>4040.848387</x:v>
      </x:c>
      <x:c r="C241" s="99" t="n">
        <x:v>164.94</x:v>
      </x:c>
      <x:c r="D241" s="99" t="n">
        <x:v>1158.36</x:v>
      </x:c>
      <x:c r="E241" s="99" t="n">
        <x:v>12780.7</x:v>
      </x:c>
      <x:c r="F241" s="90" t="n">
        <x:v>9.25</x:v>
      </x:c>
      <x:c r="G241" s="90" t="n">
        <x:v>4.33</x:v>
      </x:c>
      <x:c r="H241" s="90" t="n">
        <x:v>4.92</x:v>
      </x:c>
      <x:c r="I241" s="100" t="n">
        <x:v>-1995.450946</x:v>
      </x:c>
      <x:c r="J241" s="90" t="n">
        <x:v>6.856711008</x:v>
      </x:c>
      <x:c r="K241" s="90" t="n">
        <x:v>120.1126909</x:v>
      </x:c>
      <x:c r="L241" s="90" t="n">
        <x:v>16.38130435</x:v>
      </x:c>
      <x:c r="M241" s="101" t="n">
        <x:v>0</x:v>
      </x:c>
      <x:c r="N241" s="99" t="n">
        <x:v>64881.34</x:v>
      </x:c>
      <x:c r="O241" s="90" t="n">
        <x:v>318.7826087</x:v>
      </x:c>
      <x:c r="P241" s="90" t="n">
        <x:v>3.187826087</x:v>
      </x:c>
      <x:c r="Q241" s="100" t="n">
        <x:v>42.15</x:v>
      </x:c>
      <x:c r="R241" s="100" t="n">
        <x:v>-2680.62</x:v>
      </x:c>
      <x:c r="S241" s="90" t="n">
        <x:v>11.55347826</x:v>
      </x:c>
      <x:c r="T241" s="90" t="n">
        <x:v>6.287391304</x:v>
      </x:c>
      <x:c r="U241" s="90" t="n">
        <x:v>5.266086957</x:v>
      </x:c>
      <x:c r="V241" s="90" t="n">
        <x:v>2.462836363</x:v>
      </x:c>
      <x:c r="W241" s="90" t="n">
        <x:v>2.803250593</x:v>
      </x:c>
      <x:c r="X241" s="102" t="n">
        <x:v>5.528191304</x:v>
      </x:c>
      <x:c r="Y241" s="102" t="n">
        <x:v>954.1915304</x:v>
      </x:c>
      <x:c r="Z241" s="102" t="n">
        <x:v>18.65645435</x:v>
      </x:c>
      <x:c r="AA241" s="102" t="n">
        <x:v>3.556945</x:v>
      </x:c>
      <x:c r="AB241" s="103" t="n">
        <x:v>-0.1194245278</x:v>
      </x:c>
      <x:c r="AC241" s="103" t="n">
        <x:v>-0.3413637827</x:v>
      </x:c>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83" t="str">
        <x:v>2025-08</x:v>
      </x:c>
      <x:c r="B242" s="99" t="n">
        <x:v>4047.411613</x:v>
      </x:c>
      <x:c r="C242" s="99" t="n">
        <x:v>167.7</x:v>
      </x:c>
      <x:c r="D242" s="99" t="n">
        <x:v>1095.38</x:v>
      </x:c>
      <x:c r="E242" s="99" t="n">
        <x:v>12867.14</x:v>
      </x:c>
      <x:c r="F242" s="90" t="n">
        <x:v>9.25</x:v>
      </x:c>
      <x:c r="G242" s="90" t="n">
        <x:v>4.33</x:v>
      </x:c>
      <x:c r="H242" s="90" t="n">
        <x:v>4.92</x:v>
      </x:c>
      <x:c r="I242" s="100" t="n">
        <x:v>-5824.707711</x:v>
      </x:c>
      <x:c r="J242" s="90" t="n">
        <x:v>6.581444247</x:v>
      </x:c>
      <x:c r="K242" s="90" t="n">
        <x:v>120.5758429</x:v>
      </x:c>
      <x:c r="L242" s="90" t="n">
        <x:v>15.75</x:v>
      </x:c>
      <x:c r="M242" s="101" t="n">
        <x:v>0</x:v>
      </x:c>
      <x:c r="N242" s="99" t="n">
        <x:v>65466.99</x:v>
      </x:c>
      <x:c r="O242" s="90" t="n">
        <x:v>297</x:v>
      </x:c>
      <x:c r="P242" s="90" t="n">
        <x:v>2.97</x:v>
      </x:c>
      <x:c r="Q242" s="100" t="n">
        <x:v>-106.63</x:v>
      </x:c>
      <x:c r="R242" s="100" t="n">
        <x:v>-1400.87</x:v>
      </x:c>
      <x:c r="S242" s="90" t="n">
        <x:v>11.40684211</x:v>
      </x:c>
      <x:c r="T242" s="90" t="n">
        <x:v>6.273684211</x:v>
      </x:c>
      <x:c r="U242" s="90" t="n">
        <x:v>5.133157895</x:v>
      </x:c>
      <x:c r="V242" s="90" t="n">
        <x:v>2.466047628</x:v>
      </x:c>
      <x:c r="W242" s="90" t="n">
        <x:v>2.667110267</x:v>
      </x:c>
      <x:c r="X242" s="102" t="n">
        <x:v>5.44662381</x:v>
      </x:c>
      <x:c r="Y242" s="102" t="n">
        <x:v>965.2635762</x:v>
      </x:c>
      <x:c r="Z242" s="102" t="n">
        <x:v>18.67054714</x:v>
      </x:c>
      <x:c r="AA242" s="102" t="n">
        <x:v>3.542385</x:v>
      </x:c>
      <x:c r="AB242" s="103" t="n">
        <x:v>-0.08508103132</x:v>
      </x:c>
      <x:c r="AC242" s="103" t="n">
        <x:v>-0.1438473044</x:v>
      </x:c>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83" t="str">
        <x:v>2025-09</x:v>
      </x:c>
      <x:c r="B243" s="99" t="n">
        <x:v>3922.212</x:v>
      </x:c>
      <x:c r="C243" s="99" t="n">
        <x:v>169.72</x:v>
      </x:c>
      <x:c r="D243" s="99" t="n">
        <x:v>1100.26</x:v>
      </x:c>
      <x:c r="E243" s="99" t="n">
        <x:v>12930.08</x:v>
      </x:c>
      <x:c r="F243" s="90" t="n">
        <x:v>9.25</x:v>
      </x:c>
      <x:c r="G243" s="90" t="n">
        <x:v>4.22</x:v>
      </x:c>
      <x:c r="H243" s="90" t="n">
        <x:v>5.03</x:v>
      </x:c>
      <x:c r="I243" s="100" t="n">
        <x:v>1570.725831</x:v>
      </x:c>
      <x:c r="J243" s="90" t="n">
        <x:v>6.390943298</x:v>
      </x:c>
      <x:c r="K243" s="90" t="n">
        <x:v>120.0290619</x:v>
      </x:c>
      <x:c r="L243" s="90" t="n">
        <x:v>15.78909091</x:v>
      </x:c>
      <x:c r="M243" s="101" t="n">
        <x:v>0</x:v>
      </x:c>
      <x:c r="N243" s="99" t="n">
        <x:v>65823.14</x:v>
      </x:c>
      <x:c r="O243" s="90" t="n">
        <x:v>257.1363636</x:v>
      </x:c>
      <x:c r="P243" s="90" t="n">
        <x:v>2.571363636</x:v>
      </x:c>
      <x:c r="Q243" s="100" t="n">
        <x:v>-141.77</x:v>
      </x:c>
      <x:c r="R243" s="100" t="n">
        <x:v>-1620.01</x:v>
      </x:c>
      <x:c r="S243" s="90" t="n">
        <x:v>11.13409091</x:v>
      </x:c>
      <x:c r="T243" s="90" t="n">
        <x:v>6.084545455</x:v>
      </x:c>
      <x:c r="U243" s="90" t="n">
        <x:v>5.049545455</x:v>
      </x:c>
      <x:c r="V243" s="90" t="n">
        <x:v>2.447723786</x:v>
      </x:c>
      <x:c r="W243" s="90" t="n">
        <x:v>2.601821669</x:v>
      </x:c>
      <x:c r="X243" s="102" t="n">
        <x:v>5.367109091</x:v>
      </x:c>
      <x:c r="Y243" s="102" t="n">
        <x:v>959.7174818</x:v>
      </x:c>
      <x:c r="Z243" s="102" t="n">
        <x:v>18.45806682</x:v>
      </x:c>
      <x:c r="AA243" s="102" t="n">
        <x:v>3.501804545</x:v>
      </x:c>
      <x:c r="AB243" s="103" t="n">
        <x:v>-0.4456293328</x:v>
      </x:c>
      <x:c r="AC243" s="103" t="n">
        <x:v>-0.5634984964</x:v>
      </x:c>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83" t="str">
        <x:v>2025-10</x:v>
      </x:c>
      <x:c r="B244" s="99" t="n">
        <x:v>3877.844839</x:v>
      </x:c>
      <x:c r="C244" s="99" t="n">
        <x:v>163</x:v>
      </x:c>
      <x:c r="D244" s="99" t="n">
        <x:v>1092.1</x:v>
      </x:c>
      <x:c r="E244" s="99" t="n">
        <x:v>12985.78</x:v>
      </x:c>
      <x:c r="F244" s="90" t="n">
        <x:v>9.25</x:v>
      </x:c>
      <x:c r="G244" s="90" t="n">
        <x:v>4.09</x:v>
      </x:c>
      <x:c r="H244" s="90" t="n">
        <x:v>5.16</x:v>
      </x:c>
      <x:c r="I244" s="100" t="n">
        <x:v>-9455.491073</x:v>
      </x:c>
      <x:c r="J244" s="90" t="n">
        <x:v>6.18121828</x:v>
      </x:c>
      <x:c r="K244" s="90" t="n">
        <x:v>120.7618</x:v>
      </x:c>
      <x:c r="L244" s="90" t="n">
        <x:v>18.08652174</x:v>
      </x:c>
      <x:c r="M244" s="101" t="n">
        <x:v>0</x:v>
      </x:c>
      <x:c r="N244" s="99" t="n">
        <x:v>65924.6</x:v>
      </x:c>
      <x:c r="O244" s="90" t="n">
        <x:v>262.2173913</x:v>
      </x:c>
      <x:c r="P244" s="90" t="n">
        <x:v>2.622173913</x:v>
      </x:c>
      <x:c r="Q244" s="100" t="n">
        <x:v>-347.83</x:v>
      </x:c>
      <x:c r="R244" s="100" t="n">
        <x:v>-1488.35</x:v>
      </x:c>
      <x:c r="S244" s="90" t="n">
        <x:v>11.27545455</x:v>
      </x:c>
      <x:c r="T244" s="90" t="n">
        <x:v>5.770454545</x:v>
      </x:c>
      <x:c r="U244" s="90" t="n">
        <x:v>5.505</x:v>
      </x:c>
      <x:c r="V244" s="90" t="n">
        <x:v>2.354418202</x:v>
      </x:c>
      <x:c r="W244" s="90" t="n">
        <x:v>3.150581798</x:v>
      </x:c>
      <x:c r="X244" s="102" t="n">
        <x:v>5.385226087</x:v>
      </x:c>
      <x:c r="Y244" s="102" t="n">
        <x:v>952.6674087</x:v>
      </x:c>
      <x:c r="Z244" s="102" t="n">
        <x:v>18.39539043</x:v>
      </x:c>
      <x:c r="AA244" s="102" t="n">
        <x:v>3.413227273</x:v>
      </x:c>
      <x:c r="AB244" s="103" t="n">
        <x:v>-0.2050885162</x:v>
      </x:c>
      <x:c r="AC244" s="103" t="n">
        <x:v>-0.6666556207</x:v>
      </x:c>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83" t="str">
        <x:v>2025-11</x:v>
      </x:c>
      <x:c r="B245" s="99" t="n">
        <x:v>3786.183333</x:v>
      </x:c>
      <x:c r="C245" s="99" t="n">
        <x:v>162.01</x:v>
      </x:c>
      <x:c r="D245" s="99" t="n">
        <x:v>1070.69</x:v>
      </x:c>
      <x:c r="E245" s="99" t="n">
        <x:v>13023.28</x:v>
      </x:c>
      <x:c r="F245" s="90" t="n">
        <x:v>9.25</x:v>
      </x:c>
      <x:c r="G245" s="90" t="n">
        <x:v>3.88</x:v>
      </x:c>
      <x:c r="H245" s="90" t="n">
        <x:v>5.37</x:v>
      </x:c>
      <x:c r="I245" s="100" t="n">
        <x:v>-25812.60589</x:v>
      </x:c>
      <x:c r="J245" s="90" t="n">
        <x:v>6.592556047</x:v>
      </x:c>
      <x:c r="K245" s="90" t="n">
        <x:v>121.4177167</x:v>
      </x:c>
      <x:c r="L245" s="90" t="n">
        <x:v>19.7695</x:v>
      </x:c>
      <x:c r="M245" s="101" t="n">
        <x:v>0</x:v>
      </x:c>
      <x:c r="N245" s="99" t="n">
        <x:v>66123.65</x:v>
      </x:c>
      <x:c r="O245" s="90" t="n">
        <x:v>254.75</x:v>
      </x:c>
      <x:c r="P245" s="90" t="n">
        <x:v>2.5475</x:v>
      </x:c>
      <x:c r="Q245" s="100" t="n">
        <x:v>-95.9</x:v>
      </x:c>
      <x:c r="R245" s="100" t="n">
        <x:v>-1071.79</x:v>
      </x:c>
      <x:c r="S245" s="90" t="n">
        <x:v>11.90166667</x:v>
      </x:c>
      <x:c r="T245" s="90" t="n">
        <x:v>5.955</x:v>
      </x:c>
      <x:c r="U245" s="90" t="n">
        <x:v>5.946666667</x:v>
      </x:c>
      <x:c r="V245" s="90" t="n">
        <x:v>2.281516671</x:v>
      </x:c>
      <x:c r="W245" s="90" t="n">
        <x:v>3.665149995</x:v>
      </x:c>
      <x:c r="X245" s="102" t="n">
        <x:v>5.34024</x:v>
      </x:c>
      <x:c r="Y245" s="102" t="n">
        <x:v>934.79846</x:v>
      </x:c>
      <x:c r="Z245" s="102" t="n">
        <x:v>18.386701</x:v>
      </x:c>
      <x:c r="AA245" s="102" t="n">
        <x:v>3.37263</x:v>
      </x:c>
      <x:c r="AB245" s="103" t="n">
        <x:v>-0.4212607073</x:v>
      </x:c>
      <x:c r="AC245" s="103" t="n">
        <x:v>-0.5541441045</x:v>
      </x:c>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83" t="str">
        <x:v>2025-12</x:v>
      </x:c>
      <x:c r="B246" s="99" t="n">
        <x:v>3791.471935</x:v>
      </x:c>
      <x:c r="C246" s="99" t="n">
        <x:v>163.76</x:v>
      </x:c>
      <x:c r="D246" s="99" t="n">
        <x:v>1173.39</x:v>
      </x:c>
      <x:c r="E246" s="99" t="n">
        <x:v>13098.27</x:v>
      </x:c>
      <x:c r="F246" s="90" t="n">
        <x:v>9.25</x:v>
      </x:c>
      <x:c r="G246" s="90" t="n">
        <x:v>3.72</x:v>
      </x:c>
      <x:c r="H246" s="90" t="n">
        <x:v>5.53</x:v>
      </x:c>
      <x:c r="I246" s="100" t="n">
        <x:v>-7822.991807</x:v>
      </x:c>
      <x:c r="J246" s="90" t="n">
        <x:v>6.354401832</x:v>
      </x:c>
      <x:c r="K246" s="90" t="n">
        <x:v>120.1883227</x:v>
      </x:c>
      <x:c r="L246" s="90" t="n">
        <x:v>15.54818182</x:v>
      </x:c>
      <x:c r="M246" s="101" t="n">
        <x:v>0</x:v>
      </x:c>
      <x:c r="N246" s="99" t="n">
        <x:v>66352.3</x:v>
      </x:c>
      <x:c r="O246" s="90" t="n">
        <x:v>273.6956522</x:v>
      </x:c>
      <x:c r="P246" s="90" t="n">
        <x:v>2.736956522</x:v>
      </x:c>
      <x:c r="Q246" s="100" t="n">
        <x:v>172.27</x:v>
      </x:c>
      <x:c r="R246" s="100" t="n">
        <x:v>-2432.35</x:v>
      </x:c>
      <x:c r="S246" s="90" t="n">
        <x:v>12.3415</x:v>
      </x:c>
      <x:c r="T246" s="90" t="n">
        <x:v>6.241052632</x:v>
      </x:c>
      <x:c r="U246" s="90" t="n">
        <x:v>6.100447368</x:v>
      </x:c>
      <x:c r="V246" s="90" t="n">
        <x:v>2.215050025</x:v>
      </x:c>
      <x:c r="W246" s="90" t="n">
        <x:v>3.885397343</x:v>
      </x:c>
      <x:c r="X246" s="102" t="n">
        <x:v>5.456343478</x:v>
      </x:c>
      <x:c r="Y246" s="102" t="n">
        <x:v>913.9449913</x:v>
      </x:c>
      <x:c r="Z246" s="102" t="n">
        <x:v>18.04282565</x:v>
      </x:c>
      <x:c r="AA246" s="102" t="n">
        <x:v>3.366863158</x:v>
      </x:c>
      <x:c r="AB246" s="103" t="n">
        <x:v>-0.4150303452</x:v>
      </x:c>
      <x:c r="AC246" s="103" t="n">
        <x:v>-0.343229874</x:v>
      </x:c>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83" t="str">
        <x:v>2026-01</x:v>
      </x:c>
      <x:c r="B247" s="99" t="n">
        <x:v>3702.999032</x:v>
      </x:c>
      <x:c r="C247" s="99" t="n">
        <x:v>164.09</x:v>
      </x:c>
      <x:c r="D247" s="99" t="n">
        <x:v>1020.11</x:v>
      </x:c>
      <x:c r="E247" s="99" t="n">
        <x:v>13108.72</x:v>
      </x:c>
      <x:c r="F247" s="90" t="n">
        <x:v>9.25</x:v>
      </x:c>
      <x:c r="G247" s="90" t="n">
        <x:v>3.64</x:v>
      </x:c>
      <x:c r="H247" s="90" t="n">
        <x:v>5.61</x:v>
      </x:c>
      <x:c r="I247" s="100" t="n">
        <x:v>-5666.100052</x:v>
      </x:c>
      <x:c r="J247" s="90" t="n">
        <x:v>5.496041161</x:v>
      </x:c>
      <x:c r="K247" s="90" t="n">
        <x:v>119.22981</x:v>
      </x:c>
      <x:c r="L247" s="90" t="n">
        <x:v>16.17904762</x:v>
      </x:c>
      <x:c r="M247" s="101" t="n">
        <x:v>0</x:v>
      </x:c>
      <x:c r="N247" s="99" t="n">
        <x:v>66929.82</x:v>
      </x:c>
      <x:c r="O247" s="90" t="n">
        <x:v>268.0909091</x:v>
      </x:c>
      <x:c r="P247" s="90" t="n">
        <x:v>2.680909091</x:v>
      </x:c>
      <x:c r="Q247" s="100" t="n">
        <x:v>79.91</x:v>
      </x:c>
      <x:c r="R247" s="100" t="n">
        <x:v>-1672.63</x:v>
      </x:c>
      <x:c r="S247" s="90" t="n">
        <x:v>12.5805</x:v>
      </x:c>
      <x:c r="T247" s="90" t="n">
        <x:v>5.8795</x:v>
      </x:c>
      <x:c r="U247" s="90" t="n">
        <x:v>6.701</x:v>
      </x:c>
      <x:c r="V247" s="90" t="n">
        <x:v>2.336664999</x:v>
      </x:c>
      <x:c r="W247" s="90" t="n">
        <x:v>4.364335001</x:v>
      </x:c>
      <x:c r="X247" s="102" t="n">
        <x:v>5.345190909</x:v>
      </x:c>
      <x:c r="Y247" s="102" t="n">
        <x:v>882.6829682</x:v>
      </x:c>
      <x:c r="Z247" s="102" t="n">
        <x:v>17.62665955</x:v>
      </x:c>
      <x:c r="AA247" s="102" t="n">
        <x:v>3.356115</x:v>
      </x:c>
      <x:c r="AB247" s="103" t="n">
        <x:v>-1.003894719</x:v>
      </x:c>
      <x:c r="AC247" s="103" t="n">
        <x:v>-0.8147680318</x:v>
      </x:c>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83" t="str">
        <x:v>2026-02</x:v>
      </x:c>
      <x:c r="B248" s="99" t="n">
        <x:v>3675.641429</x:v>
      </x:c>
      <x:c r="C248" s="99" t="n">
        <x:v>165.05</x:v>
      </x:c>
      <x:c r="D248" s="99" t="n">
        <x:v>1101.16</x:v>
      </x:c>
      <x:c r="E248" s="99" t="n">
        <x:v>13178.25</x:v>
      </x:c>
      <x:c r="F248" s="90" t="n">
        <x:v>10.21428571</x:v>
      </x:c>
      <x:c r="G248" s="90" t="n">
        <x:v>3.64</x:v>
      </x:c>
      <x:c r="H248" s="90" t="n">
        <x:v>6.574285714</x:v>
      </x:c>
      <x:c r="I248" s="100" t="n">
        <x:v>-28017.28184</x:v>
      </x:c>
      <x:c r="J248" s="90" t="n">
        <x:v>6.021341708</x:v>
      </x:c>
      <x:c r="K248" s="90" t="n">
        <x:v>117.9060211</x:v>
      </x:c>
      <x:c r="L248" s="90" t="n">
        <x:v>19.207</x:v>
      </x:c>
      <x:c r="M248" s="101" t="n">
        <x:v>0</x:v>
      </x:c>
      <x:c r="N248" s="99" t="n">
        <x:v>67424.11</x:v>
      </x:c>
      <x:c r="O248" s="90" t="n">
        <x:v>262.5</x:v>
      </x:c>
      <x:c r="P248" s="90" t="n">
        <x:v>2.625</x:v>
      </x:c>
      <x:c r="Q248" s="100" t="n">
        <x:v>446.75</x:v>
      </x:c>
      <x:c r="R248" s="100" t="n">
        <x:v>-2646.36</x:v>
      </x:c>
      <x:c r="S248" s="90" t="n">
        <x:v>13.1775</x:v>
      </x:c>
      <x:c r="T248" s="90" t="n">
        <x:v>6.146</x:v>
      </x:c>
      <x:c r="U248" s="90" t="n">
        <x:v>7.0315</x:v>
      </x:c>
      <x:c r="V248" s="90" t="n">
        <x:v>2.399415794</x:v>
      </x:c>
      <x:c r="W248" s="90" t="n">
        <x:v>4.632084206</x:v>
      </x:c>
      <x:c r="X248" s="102" t="n">
        <x:v>5.203135</x:v>
      </x:c>
      <x:c r="Y248" s="102" t="n">
        <x:v>862.716485</x:v>
      </x:c>
      <x:c r="Z248" s="102" t="n">
        <x:v>17.187973</x:v>
      </x:c>
      <x:c r="AA248" s="102" t="n">
        <x:v>3.35664</x:v>
      </x:c>
      <x:c r="AB248" s="103" t="n">
        <x:v>-0.9351712405</x:v>
      </x:c>
      <x:c r="AC248" s="103" t="n">
        <x:v>-0.6957686099</x:v>
      </x:c>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83" t="str">
        <x:v>2026-03</x:v>
      </x:c>
      <x:c r="B249" s="99" t="n">
        <x:v>3717.557419</x:v>
      </x:c>
      <x:c r="C249" s="99" t="n">
        <x:v>180.04</x:v>
      </x:c>
      <x:c r="D249" s="99" t="n">
        <x:v>1225.69</x:v>
      </x:c>
      <x:c r="E249" s="99" t="n">
        <x:v>13314.61</x:v>
      </x:c>
      <x:c r="F249" s="90" t="n">
        <x:v>10.25</x:v>
      </x:c>
      <x:c r="G249" s="90" t="n">
        <x:v>3.64</x:v>
      </x:c>
      <x:c r="H249" s="90" t="n">
        <x:v>6.61</x:v>
      </x:c>
      <x:c r="I249" s="100" t="n">
        <x:v>-2351.738572</x:v>
      </x:c>
      <x:c r="J249" s="90" t="n">
        <x:v>5.76200041</x:v>
      </x:c>
      <x:c r="K249" s="90" t="n">
        <x:v>119.9198545</x:v>
      </x:c>
      <x:c r="L249" s="90" t="n">
        <x:v>25.59681818</x:v>
      </x:c>
      <x:c r="M249" s="101" t="n">
        <x:v>0</x:v>
      </x:c>
      <x:c r="N249" s="99" t="n">
        <x:v>66611.03</x:v>
      </x:c>
      <x:c r="O249" s="90" t="n">
        <x:v>280.3181818</x:v>
      </x:c>
      <x:c r="P249" s="90" t="n">
        <x:v>2.803181818</x:v>
      </x:c>
      <x:c r="Q249" s="100" t="n">
        <x:v>231.61</x:v>
      </x:c>
      <x:c r="R249" s="100" t="n">
        <x:v>-3652.38</x:v>
      </x:c>
      <x:c r="S249" s="90" t="n">
        <x:v>13.75428571</x:v>
      </x:c>
      <x:c r="T249" s="90" t="n">
        <x:v>7.04</x:v>
      </x:c>
      <x:c r="U249" s="90" t="n">
        <x:v>6.714285714</x:v>
      </x:c>
      <x:c r="V249" s="90" t="n">
        <x:v>2.510727265</x:v>
      </x:c>
      <x:c r="W249" s="90" t="n">
        <x:v>4.20355845</x:v>
      </x:c>
      <x:c r="X249" s="102" t="n">
        <x:v>5.231281818</x:v>
      </x:c>
      <x:c r="Y249" s="102" t="n">
        <x:v>912.7447773</x:v>
      </x:c>
      <x:c r="Z249" s="102" t="n">
        <x:v>17.69336409</x:v>
      </x:c>
      <x:c r="AA249" s="102" t="n">
        <x:v>3.448359091</x:v>
      </x:c>
      <x:c r="AB249" s="103" t="n">
        <x:v>0.9966247935</x:v>
      </x:c>
      <x:c r="AC249" s="103" t="n">
        <x:v>1.292143866</x:v>
      </x:c>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83" t="str">
        <x:v>2026-04</x:v>
      </x:c>
      <x:c r="B250" s="99" t="n">
        <x:v>3617.518667</x:v>
      </x:c>
      <x:c r="C250" s="99" t="n">
        <x:v>185.04</x:v>
      </x:c>
      <x:c r="D250" s="99" t="n">
        <x:v>1102.86</x:v>
      </x:c>
      <x:c r="E250" s="99" t="n">
        <x:v>13320.06</x:v>
      </x:c>
      <x:c r="F250" s="90" t="n">
        <x:v>11.25</x:v>
      </x:c>
      <x:c r="G250" s="90" t="n">
        <x:v>3.64</x:v>
      </x:c>
      <x:c r="H250" s="90" t="n">
        <x:v>7.61</x:v>
      </x:c>
      <x:c r="I250" s="100" t="n">
        <x:v>-9092.641521</x:v>
      </x:c>
      <x:c r="J250" s="90" t="n">
        <x:v>5.539075577</x:v>
      </x:c>
      <x:c r="K250" s="90" t="n">
        <x:v>119.0363182</x:v>
      </x:c>
      <x:c r="L250" s="90" t="n">
        <x:v>19.81190476</x:v>
      </x:c>
      <x:c r="M250" s="101" t="n">
        <x:v>0</x:v>
      </x:c>
      <x:c r="N250" s="99" t="n">
        <x:v>67153.55</x:v>
      </x:c>
      <x:c r="O250" s="90" t="n">
        <x:v>244.7727273</x:v>
      </x:c>
      <x:c r="P250" s="90" t="n">
        <x:v>2.447727273</x:v>
      </x:c>
      <x:c r="Q250" s="100" t="n">
        <x:v>-29.74</x:v>
      </x:c>
      <x:c r="R250" s="100" t="n">
        <x:v>-1565.95</x:v>
      </x:c>
      <x:c r="S250" s="90" t="n">
        <x:v>13.4405</x:v>
      </x:c>
      <x:c r="T250" s="90" t="n">
        <x:v>6.8625</x:v>
      </x:c>
      <x:c r="U250" s="90" t="n">
        <x:v>6.578</x:v>
      </x:c>
      <x:c r="V250" s="90" t="n">
        <x:v>2.576072736</x:v>
      </x:c>
      <x:c r="W250" s="90" t="n">
        <x:v>4.001927264</x:v>
      </x:c>
      <x:c r="X250" s="102" t="n">
        <x:v>5.036581818</x:v>
      </x:c>
      <x:c r="Y250" s="102" t="n">
        <x:v>898.3015682</x:v>
      </x:c>
      <x:c r="Z250" s="102" t="n">
        <x:v>17.426435</x:v>
      </x:c>
      <x:c r="AA250" s="102" t="n">
        <x:v>3.44349</x:v>
      </x:c>
      <x:c r="AB250" s="103" t="n">
        <x:v>-0.8289013011</x:v>
      </x:c>
      <x:c r="AC250" s="103" t="n">
        <x:v>-0.6476321597</x:v>
      </x:c>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AC1"/>
    <x:mergeCell ref="A2:AC3"/>
  </x:mergeCells>
  <x:pageMargins left="0.7" right="0.7" top="0.75" bottom="0.75" header="0.3" footer="0.3"/>
  <x:legacyDrawing xmlns:r="http://schemas.openxmlformats.org/officeDocument/2006/relationships" r:id="R4fd245d60f7247fb"/>
  <x:tableParts count="1">
    <x:tablePart xmlns:r="http://schemas.openxmlformats.org/officeDocument/2006/relationships" r:id="R56fbb8f4e39d409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18" hidden="0" customWidth="1"/>
  </x:cols>
  <x:sheetData>
    <x:row r="1" ht="30" customHeight="1">
      <x:c r="A1" s="4" t="str">
        <x:v>Transformaciones del modelo</x:v>
      </x:c>
      <x:c r="B1" s="4" t="str">
        <x:v>Transformaciones del modelo</x:v>
      </x:c>
      <x:c r="C1" s="4" t="str">
        <x:v>Transformaciones del modelo</x:v>
      </x:c>
      <x:c r="D1" s="4" t="str">
        <x:v>Transformaciones del modelo</x:v>
      </x:c>
      <x:c r="E1" s="4" t="str">
        <x:v>Transformaciones del modelo</x:v>
      </x:c>
      <x:c r="F1" s="4" t="str">
        <x:v>Transformaciones del modelo</x:v>
      </x:c>
      <x:c r="G1" s="4" t="str">
        <x:v>Transformaciones del modelo</x:v>
      </x:c>
      <x:c r="H1" s="4" t="str">
        <x:v>Transformaciones del modelo</x:v>
      </x:c>
      <x:c r="I1" s="4" t="str">
        <x:v>Transformaciones del modelo</x:v>
      </x:c>
      <x:c r="J1" s="4" t="str">
        <x:v>Transformaciones del modelo</x:v>
      </x:c>
      <x:c r="K1" s="4" t="str">
        <x:v>Transformaciones del modelo</x:v>
      </x:c>
      <x:c r="L1" s="4" t="str">
        <x:v>Transformaciones del modelo</x:v>
      </x:c>
      <x:c r="M1" s="4" t="str">
        <x:v>Transformaciones del modelo</x:v>
      </x:c>
      <x:c r="N1" s="4" t="str">
        <x:v>Transformaciones del modelo</x:v>
      </x:c>
      <x:c r="O1" s="4" t="str">
        <x:v>Transformaciones del modelo</x:v>
      </x:c>
      <x:c r="P1" s="4" t="str">
        <x:v>Transformaciones del modelo</x:v>
      </x:c>
      <x:c r="Q1" s="4" t="str">
        <x:v>Transformaciones del modelo</x:v>
      </x:c>
      <x:c r="R1" s="4" t="str">
        <x:v>Transformaciones del modelo</x:v>
      </x:c>
      <x:c r="S1" s="4" t="str">
        <x:v>Transformaciones del modelo</x:v>
      </x:c>
      <x:c r="T1" s="4" t="str">
        <x:v>Transformaciones del modelo</x:v>
      </x:c>
      <x:c r="U1" s="4" t="str">
        <x:v>Transformaciones del modelo</x:v>
      </x:c>
      <x:c r="V1" s="4" t="str">
        <x:v>Transformaciones del modelo</x:v>
      </x:c>
      <x:c r="W1" s="4" t="str">
        <x:v>Transformaciones del modelo</x:v>
      </x:c>
      <x:c r="X1" s="4" t="str">
        <x:v>Transformaciones del modelo</x:v>
      </x:c>
      <x:c r="Y1" s="4" t="str">
        <x:v>Transformaciones del modelo</x:v>
      </x:c>
      <x:c r="Z1" s="4" t="str">
        <x:v>Transformaciones del modelo</x:v>
      </x:c>
      <x:c r="AA1" s="4" t="str">
        <x:v>Transformaciones del modelo</x:v>
      </x:c>
      <x:c r="AB1" s="4" t="str">
        <x:v>Transformaciones del modelo</x:v>
      </x:c>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B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C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D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E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F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G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H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I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J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K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L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M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N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O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P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Q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R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S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T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U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V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W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X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Y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Z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A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B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B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C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D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E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F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G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H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I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J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K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L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M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N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O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P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Q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R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S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T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U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V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W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X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Y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Z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A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B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48" customHeight="1">
      <x:c r="A5" s="62" t="str">
        <x:v>Mes</x:v>
      </x:c>
      <x:c r="B5" s="62" t="str">
        <x:v>ln TRM</x:v>
      </x:c>
      <x:c r="C5" s="62" t="str">
        <x:v>Δln TRM</x:v>
      </x:c>
      <x:c r="D5" s="62" t="str">
        <x:v>ln términos de intercambio</x:v>
      </x:c>
      <x:c r="E5" s="62" t="str">
        <x:v>Δln términos de intercambio</x:v>
      </x:c>
      <x:c r="F5" s="62" t="str">
        <x:v>ln remesas 12m</x:v>
      </x:c>
      <x:c r="G5" s="62" t="str">
        <x:v>Δln remesas 12m</x:v>
      </x:c>
      <x:c r="H5" s="62" t="str">
        <x:v>Diferencial tasas</x:v>
      </x:c>
      <x:c r="I5" s="62" t="str">
        <x:v>Δ diferencial</x:v>
      </x:c>
      <x:c r="J5" s="62" t="str">
        <x:v>Déficit 12m/PIB</x:v>
      </x:c>
      <x:c r="K5" s="62" t="str">
        <x:v>Δ déficit</x:v>
      </x:c>
      <x:c r="L5" s="62" t="str">
        <x:v>ln dólar amplio</x:v>
      </x:c>
      <x:c r="M5" s="62" t="str">
        <x:v>Δln dólar amplio</x:v>
      </x:c>
      <x:c r="N5" s="62" t="str">
        <x:v>ln VIX</x:v>
      </x:c>
      <x:c r="O5" s="62" t="str">
        <x:v>Δln VIX</x:v>
      </x:c>
      <x:c r="P5" s="62" t="str">
        <x:v>Pandemia</x:v>
      </x:c>
      <x:c r="Q5" s="62" t="str">
        <x:v>ln reservas netas sin FLAR</x:v>
      </x:c>
      <x:c r="R5" s="62" t="str">
        <x:v>Δln reservas</x:v>
      </x:c>
      <x:c r="S5" s="62" t="str">
        <x:v>EMBIG Colombia (pp)</x:v>
      </x:c>
      <x:c r="T5" s="62" t="str">
        <x:v>Δ EMBIG Colombia</x:v>
      </x:c>
      <x:c r="U5" s="62" t="str">
        <x:v>asinh balanza (USD miles de millones)</x:v>
      </x:c>
      <x:c r="V5" s="62" t="str">
        <x:v>Δ asinh balanza</x:v>
      </x:c>
      <x:c r="W5" s="62" t="str">
        <x:v>asinh flujos (USD miles de millones)</x:v>
      </x:c>
      <x:c r="X5" s="62" t="str">
        <x:v>Δ asinh flujos</x:v>
      </x:c>
      <x:c r="Y5" s="62" t="str">
        <x:v>Diferencial BEI 5 años</x:v>
      </x:c>
      <x:c r="Z5" s="62" t="str">
        <x:v>Δ diferencial BEI</x:v>
      </x:c>
      <x:c r="AA5" s="62" t="str">
        <x:v>Factor regional 3 monedas</x:v>
      </x:c>
      <x:c r="AB5" s="62" t="str">
        <x:v>Factor regional 4 monedas</x:v>
      </x:c>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1" t="str">
        <x:f>'Datos_fuente'!A6</x:f>
        <x:v>2005-12</x:v>
      </x:c>
      <x:c r="B6" s="98" t="n">
        <x:f>IF('Datos_fuente'!B6="","",LN('Datos_fuente'!B6))</x:f>
        <x:v>7.7312898828830585</x:v>
      </x:c>
      <x:c r="C6" s="98"/>
      <x:c r="D6" s="98" t="n">
        <x:f>IF('Datos_fuente'!C6="","",LN('Datos_fuente'!C6))</x:f>
        <x:v>4.809660848803092</x:v>
      </x:c>
      <x:c r="E6" s="98"/>
      <x:c r="F6" s="98" t="n">
        <x:f>IF('Datos_fuente'!E6="","",LN('Datos_fuente'!E6))</x:f>
        <x:v>8.105829722126705</x:v>
      </x:c>
      <x:c r="G6" s="98"/>
      <x:c r="H6" s="63" t="n">
        <x:f>'Datos_fuente'!H6</x:f>
        <x:v>1.84</x:v>
      </x:c>
      <x:c r="I6" s="63"/>
      <x:c r="J6" s="63" t="n">
        <x:f>'Datos_fuente'!J6</x:f>
        <x:v>3.997397732</x:v>
      </x:c>
      <x:c r="K6" s="63"/>
      <x:c r="L6" s="98" t="str">
        <x:f>IF('Datos_fuente'!K6="","",LN('Datos_fuente'!K6))</x:f>
      </x:c>
      <x:c r="M6" s="98"/>
      <x:c r="N6" s="98" t="n">
        <x:f>IF('Datos_fuente'!L6="","",LN('Datos_fuente'!L6))</x:f>
        <x:v>2.421256622711544</x:v>
      </x:c>
      <x:c r="O6" s="98"/>
      <x:c r="P6" s="96" t="n">
        <x:f>'Datos_fuente'!M6</x:f>
        <x:v>0</x:v>
      </x:c>
      <x:c r="Q6" s="98" t="n">
        <x:f>IF('Datos_fuente'!N6="","",LN('Datos_fuente'!N6))</x:f>
        <x:v>9.612286629518561</x:v>
      </x:c>
      <x:c r="R6" s="98"/>
      <x:c r="S6" s="63" t="n">
        <x:f>'Datos_fuente'!P6</x:f>
        <x:v>0</x:v>
      </x:c>
      <x:c r="T6" s="63"/>
      <x:c r="U6" s="98" t="n">
        <x:f>IF('Datos_fuente'!Q6="","",ASINH('Datos_fuente'!Q6/1000))</x:f>
        <x:v>-0.43528353442810946</x:v>
      </x:c>
      <x:c r="V6" s="98"/>
      <x:c r="W6" s="98" t="n">
        <x:f>IF('Datos_fuente'!R6="","",ASINH('Datos_fuente'!R6/1000))</x:f>
        <x:v>0.2716660445723276</x:v>
      </x:c>
      <x:c r="X6" s="98"/>
      <x:c r="Y6" s="63" t="n">
        <x:f>'Datos_fuente'!W6</x:f>
        <x:v>3.222416846</x:v>
      </x:c>
      <x:c r="Z6" s="63"/>
      <x:c r="AA6" s="98" t="n">
        <x:f>'Datos_fuente'!AB6</x:f>
        <x:v>-0.2144618765</x:v>
      </x:c>
      <x:c r="AB6" s="98" t="n">
        <x:f>'Datos_fuente'!AC6</x:f>
        <x:v>0</x:v>
      </x:c>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1" t="str">
        <x:f>'Datos_fuente'!A7</x:f>
        <x:v>2006-01</x:v>
      </x:c>
      <x:c r="B7" s="98" t="n">
        <x:f>IF('Datos_fuente'!B7="","",LN('Datos_fuente'!B7))</x:f>
        <x:v>7.729168563329848</x:v>
      </x:c>
      <x:c r="C7" s="98" t="n">
        <x:f>IF(OR(B7="",B6=""),"",B7-B6)</x:f>
        <x:v>-0.002121319553210377</x:v>
      </x:c>
      <x:c r="D7" s="98" t="n">
        <x:f>IF('Datos_fuente'!C7="","",LN('Datos_fuente'!C7))</x:f>
        <x:v>4.856940066090624</x:v>
      </x:c>
      <x:c r="E7" s="98" t="n">
        <x:f>IF(OR(D7="",D6=""),"",D7-D6)</x:f>
        <x:v>0.04727921728753248</x:v>
      </x:c>
      <x:c r="F7" s="98" t="n">
        <x:f>IF('Datos_fuente'!E7="","",LN('Datos_fuente'!E7))</x:f>
        <x:v>8.118618291212817</x:v>
      </x:c>
      <x:c r="G7" s="98" t="n">
        <x:f>IF(OR(F7="",F6=""),"",F7-F6)</x:f>
        <x:v>0.012788569086112034</x:v>
      </x:c>
      <x:c r="H7" s="63" t="n">
        <x:f>'Datos_fuente'!H7</x:f>
        <x:v>1.71</x:v>
      </x:c>
      <x:c r="I7" s="63" t="n">
        <x:f>IF(OR(H7="",H6=""),"",H7-H6)</x:f>
        <x:v>-0.13000000000000012</x:v>
      </x:c>
      <x:c r="J7" s="63" t="n">
        <x:f>'Datos_fuente'!J7</x:f>
        <x:v>3.697683412</x:v>
      </x:c>
      <x:c r="K7" s="63" t="n">
        <x:f>IF(OR(J7="",J6=""),"",J7-J6)</x:f>
        <x:v>-0.2997143200000001</x:v>
      </x:c>
      <x:c r="L7" s="98" t="n">
        <x:f>IF('Datos_fuente'!K7="","",LN('Datos_fuente'!K7))</x:f>
        <x:v>4.60517023098809</x:v>
      </x:c>
      <x:c r="M7" s="98" t="str">
        <x:f>IF(OR(L7="",L6=""),"",L7-L6)</x:f>
      </x:c>
      <x:c r="N7" s="98" t="n">
        <x:f>IF('Datos_fuente'!L7="","",LN('Datos_fuente'!L7))</x:f>
        <x:v>2.487902158767799</x:v>
      </x:c>
      <x:c r="O7" s="98" t="n">
        <x:f>IF(OR(N7="",N6=""),"",N7-N6)</x:f>
        <x:v>0.06664553605625478</x:v>
      </x:c>
      <x:c r="P7" s="96" t="n">
        <x:f>'Datos_fuente'!M7</x:f>
        <x:v>0</x:v>
      </x:c>
      <x:c r="Q7" s="98" t="n">
        <x:f>IF('Datos_fuente'!N7="","",LN('Datos_fuente'!N7))</x:f>
        <x:v>9.598404287035425</x:v>
      </x:c>
      <x:c r="R7" s="98" t="n">
        <x:f>IF(OR(Q7="",Q6=""),"",Q7-Q6)</x:f>
        <x:v>-0.013882342483135801</x:v>
      </x:c>
      <x:c r="S7" s="63" t="n">
        <x:f>'Datos_fuente'!P7</x:f>
        <x:v>2.142727273</x:v>
      </x:c>
      <x:c r="T7" s="63" t="str">
        <x:f>IF(OR(S7="",S6=""),"",S7-S6)</x:f>
      </x:c>
      <x:c r="U7" s="98" t="n">
        <x:f>IF('Datos_fuente'!Q7="","",ASINH('Datos_fuente'!Q7/1000))</x:f>
        <x:v>-0.42918239678979536</x:v>
      </x:c>
      <x:c r="V7" s="98" t="n">
        <x:f>IF(OR(U7="",U6=""),"",U7-U6)</x:f>
        <x:v>0.0061011376383141025</x:v>
      </x:c>
      <x:c r="W7" s="98" t="n">
        <x:f>IF('Datos_fuente'!R7="","",ASINH('Datos_fuente'!R7/1000))</x:f>
        <x:v>-0.007879918451633303</x:v>
      </x:c>
      <x:c r="X7" s="98" t="n">
        <x:f>IF(OR(W7="",W6=""),"",W7-W6)</x:f>
        <x:v>-0.27954596302396095</x:v>
      </x:c>
      <x:c r="Y7" s="63" t="n">
        <x:f>'Datos_fuente'!W7</x:f>
        <x:v>2.726452831</x:v>
      </x:c>
      <x:c r="Z7" s="63" t="n">
        <x:f>IF(OR(Y7="",Y6=""),"",Y7-Y6)</x:f>
        <x:v>-0.49596401499999976</x:v>
      </x:c>
      <x:c r="AA7" s="98" t="n">
        <x:f>'Datos_fuente'!AB7</x:f>
        <x:v>0.006506135375</x:v>
      </x:c>
      <x:c r="AB7" s="98" t="n">
        <x:f>'Datos_fuente'!AC7</x:f>
        <x:v>-0.1773078362</x:v>
      </x:c>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1" t="str">
        <x:f>'Datos_fuente'!A8</x:f>
        <x:v>2006-02</x:v>
      </x:c>
      <x:c r="B8" s="98" t="n">
        <x:f>IF('Datos_fuente'!B8="","",LN('Datos_fuente'!B8))</x:f>
        <x:v>7.7212472905524185</x:v>
      </x:c>
      <x:c r="C8" s="98" t="n">
        <x:f>IF(OR(B8="",B7=""),"",B8-B7)</x:f>
        <x:v>-0.0079212727774296</x:v>
      </x:c>
      <x:c r="D8" s="98" t="n">
        <x:f>IF('Datos_fuente'!C8="","",LN('Datos_fuente'!C8))</x:f>
        <x:v>4.8523427151016625</x:v>
      </x:c>
      <x:c r="E8" s="98" t="n">
        <x:f>IF(OR(D8="",D7=""),"",D8-D7)</x:f>
        <x:v>-0.004597350988961857</x:v>
      </x:c>
      <x:c r="F8" s="98" t="n">
        <x:f>IF('Datos_fuente'!E8="","",LN('Datos_fuente'!E8))</x:f>
        <x:v>8.127174175848923</x:v>
      </x:c>
      <x:c r="G8" s="98" t="n">
        <x:f>IF(OR(F8="",F7=""),"",F8-F7)</x:f>
        <x:v>0.008555884636106015</x:v>
      </x:c>
      <x:c r="H8" s="63" t="n">
        <x:f>'Datos_fuente'!H8</x:f>
        <x:v>1.51</x:v>
      </x:c>
      <x:c r="I8" s="63" t="n">
        <x:f>IF(OR(H8="",H7=""),"",H8-H7)</x:f>
        <x:v>-0.19999999999999996</x:v>
      </x:c>
      <x:c r="J8" s="63" t="n">
        <x:f>'Datos_fuente'!J8</x:f>
        <x:v>3.95151495</x:v>
      </x:c>
      <x:c r="K8" s="63" t="n">
        <x:f>IF(OR(J8="",J7=""),"",J8-J7)</x:f>
        <x:v>0.253831538</x:v>
      </x:c>
      <x:c r="L8" s="98" t="n">
        <x:f>IF('Datos_fuente'!K8="","",LN('Datos_fuente'!K8))</x:f>
        <x:v>4.607279659483568</x:v>
      </x:c>
      <x:c r="M8" s="98" t="n">
        <x:f>IF(OR(L8="",L7=""),"",L8-L7)</x:f>
        <x:v>0.0021094284954781273</x:v>
      </x:c>
      <x:c r="N8" s="98" t="n">
        <x:f>IF('Datos_fuente'!L8="","",LN('Datos_fuente'!L8))</x:f>
        <x:v>2.523410169120548</x:v>
      </x:c>
      <x:c r="O8" s="98" t="n">
        <x:f>IF(OR(N8="",N7=""),"",N8-N7)</x:f>
        <x:v>0.035508010352748975</x:v>
      </x:c>
      <x:c r="P8" s="96" t="n">
        <x:f>'Datos_fuente'!M8</x:f>
        <x:v>0</x:v>
      </x:c>
      <x:c r="Q8" s="98" t="n">
        <x:f>IF('Datos_fuente'!N8="","",LN('Datos_fuente'!N8))</x:f>
        <x:v>9.622666555649477</x:v>
      </x:c>
      <x:c r="R8" s="98" t="n">
        <x:f>IF(OR(Q8="",Q7=""),"",Q8-Q7)</x:f>
        <x:v>0.024262268614052118</x:v>
      </x:c>
      <x:c r="S8" s="63" t="n">
        <x:f>'Datos_fuente'!P8</x:f>
        <x:v>1.74</x:v>
      </x:c>
      <x:c r="T8" s="63" t="n">
        <x:f>IF(OR(S8="",S7=""),"",S8-S7)</x:f>
        <x:v>-0.4027272730000002</x:v>
      </x:c>
      <x:c r="U8" s="98" t="n">
        <x:f>IF('Datos_fuente'!Q8="","",ASINH('Datos_fuente'!Q8/1000))</x:f>
        <x:v>-0.4856705565945447</x:v>
      </x:c>
      <x:c r="V8" s="98" t="n">
        <x:f>IF(OR(U8="",U7=""),"",U8-U7)</x:f>
        <x:v>-0.05648815980474936</x:v>
      </x:c>
      <x:c r="W8" s="98" t="n">
        <x:f>IF('Datos_fuente'!R8="","",ASINH('Datos_fuente'!R8/1000))</x:f>
        <x:v>0.6085477296452747</x:v>
      </x:c>
      <x:c r="X8" s="98" t="n">
        <x:f>IF(OR(W8="",W7=""),"",W8-W7)</x:f>
        <x:v>0.616427648096908</x:v>
      </x:c>
      <x:c r="Y8" s="63" t="n">
        <x:f>'Datos_fuente'!W8</x:f>
        <x:v>2.250178943</x:v>
      </x:c>
      <x:c r="Z8" s="63" t="n">
        <x:f>IF(OR(Y8="",Y7=""),"",Y8-Y7)</x:f>
        <x:v>-0.47627388800000015</x:v>
      </x:c>
      <x:c r="AA8" s="98" t="n">
        <x:f>'Datos_fuente'!AB8</x:f>
        <x:v>-0.616990728</x:v>
      </x:c>
      <x:c r="AB8" s="98" t="n">
        <x:f>'Datos_fuente'!AC8</x:f>
        <x:v>-1.090851665</x:v>
      </x:c>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1" t="str">
        <x:f>'Datos_fuente'!A9</x:f>
        <x:v>2006-03</x:v>
      </x:c>
      <x:c r="B9" s="98" t="n">
        <x:f>IF('Datos_fuente'!B9="","",LN('Datos_fuente'!B9))</x:f>
        <x:v>7.723968718806613</x:v>
      </x:c>
      <x:c r="C9" s="98" t="n">
        <x:f>IF(OR(B9="",B8=""),"",B9-B8)</x:f>
        <x:v>0.0027214282541940804</x:v>
      </x:c>
      <x:c r="D9" s="98" t="n">
        <x:f>IF('Datos_fuente'!C9="","",LN('Datos_fuente'!C9))</x:f>
        <x:v>4.875120984409557</x:v>
      </x:c>
      <x:c r="E9" s="98" t="n">
        <x:f>IF(OR(D9="",D8=""),"",D9-D8)</x:f>
        <x:v>0.02277826930789484</x:v>
      </x:c>
      <x:c r="F9" s="98" t="n">
        <x:f>IF('Datos_fuente'!E9="","",LN('Datos_fuente'!E9))</x:f>
        <x:v>8.142787700510787</x:v>
      </x:c>
      <x:c r="G9" s="98" t="n">
        <x:f>IF(OR(F9="",F8=""),"",F9-F8)</x:f>
        <x:v>0.015613524661864275</x:v>
      </x:c>
      <x:c r="H9" s="63" t="n">
        <x:f>'Datos_fuente'!H9</x:f>
        <x:v>1.41</x:v>
      </x:c>
      <x:c r="I9" s="63" t="n">
        <x:f>IF(OR(H9="",H8=""),"",H9-H8)</x:f>
        <x:v>-0.10000000000000009</x:v>
      </x:c>
      <x:c r="J9" s="63" t="n">
        <x:f>'Datos_fuente'!J9</x:f>
        <x:v>3.6276424</x:v>
      </x:c>
      <x:c r="K9" s="63" t="n">
        <x:f>IF(OR(J9="",J8=""),"",J9-J8)</x:f>
        <x:v>-0.3238725499999999</x:v>
      </x:c>
      <x:c r="L9" s="98" t="n">
        <x:f>IF('Datos_fuente'!K9="","",LN('Datos_fuente'!K9))</x:f>
        <x:v>4.6094419191306315</x:v>
      </x:c>
      <x:c r="M9" s="98" t="n">
        <x:f>IF(OR(L9="",L8=""),"",L9-L8)</x:f>
        <x:v>0.0021622596470631805</x:v>
      </x:c>
      <x:c r="N9" s="98" t="n">
        <x:f>IF('Datos_fuente'!L9="","",LN('Datos_fuente'!L9))</x:f>
        <x:v>2.459068453433714</x:v>
      </x:c>
      <x:c r="O9" s="98" t="n">
        <x:f>IF(OR(N9="",N8=""),"",N9-N8)</x:f>
        <x:v>-0.064341715686834</x:v>
      </x:c>
      <x:c r="P9" s="96" t="n">
        <x:f>'Datos_fuente'!M9</x:f>
        <x:v>0</x:v>
      </x:c>
      <x:c r="Q9" s="98" t="n">
        <x:f>IF('Datos_fuente'!N9="","",LN('Datos_fuente'!N9))</x:f>
        <x:v>9.625967009755588</x:v>
      </x:c>
      <x:c r="R9" s="98" t="n">
        <x:f>IF(OR(Q9="",Q8=""),"",Q9-Q8)</x:f>
        <x:v>0.003300454106110351</x:v>
      </x:c>
      <x:c r="S9" s="63" t="n">
        <x:f>'Datos_fuente'!P9</x:f>
        <x:v>1.675652174</x:v>
      </x:c>
      <x:c r="T9" s="63" t="n">
        <x:f>IF(OR(S9="",S8=""),"",S9-S8)</x:f>
        <x:v>-0.06434782599999989</x:v>
      </x:c>
      <x:c r="U9" s="98" t="n">
        <x:f>IF('Datos_fuente'!Q9="","",ASINH('Datos_fuente'!Q9/1000))</x:f>
        <x:v>-0.4075627219573284</x:v>
      </x:c>
      <x:c r="V9" s="98" t="n">
        <x:f>IF(OR(U9="",U8=""),"",U9-U8)</x:f>
        <x:v>0.07810783463721632</x:v>
      </x:c>
      <x:c r="W9" s="98" t="n">
        <x:f>IF('Datos_fuente'!R9="","",ASINH('Datos_fuente'!R9/1000))</x:f>
        <x:v>0.03185461249404922</x:v>
      </x:c>
      <x:c r="X9" s="98" t="n">
        <x:f>IF(OR(W9="",W8=""),"",W9-W8)</x:f>
        <x:v>-0.5766931171512255</x:v>
      </x:c>
      <x:c r="Y9" s="63" t="n">
        <x:f>'Datos_fuente'!W9</x:f>
        <x:v>1.421956374</x:v>
      </x:c>
      <x:c r="Z9" s="63" t="n">
        <x:f>IF(OR(Y9="",Y8=""),"",Y9-Y8)</x:f>
        <x:v>-0.8282225689999998</x:v>
      </x:c>
      <x:c r="AA9" s="98" t="n">
        <x:f>'Datos_fuente'!AB9</x:f>
        <x:v>0.2511489501</x:v>
      </x:c>
      <x:c r="AB9" s="98" t="n">
        <x:f>'Datos_fuente'!AC9</x:f>
        <x:v>0.503688482</x:v>
      </x:c>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1" t="str">
        <x:f>'Datos_fuente'!A10</x:f>
        <x:v>2006-04</x:v>
      </x:c>
      <x:c r="B10" s="98" t="n">
        <x:f>IF('Datos_fuente'!B10="","",LN('Datos_fuente'!B10))</x:f>
        <x:v>7.75582612639502</x:v>
      </x:c>
      <x:c r="C10" s="98" t="n">
        <x:f>IF(OR(B10="",B9=""),"",B10-B9)</x:f>
        <x:v>0.03185740758840705</x:v>
      </x:c>
      <x:c r="D10" s="98" t="n">
        <x:f>IF('Datos_fuente'!C10="","",LN('Datos_fuente'!C10))</x:f>
        <x:v>4.9160315313872776</x:v>
      </x:c>
      <x:c r="E10" s="98" t="n">
        <x:f>IF(OR(D10="",D9=""),"",D10-D9)</x:f>
        <x:v>0.04091054697772023</x:v>
      </x:c>
      <x:c r="F10" s="98" t="n">
        <x:f>IF('Datos_fuente'!E10="","",LN('Datos_fuente'!E10))</x:f>
        <x:v>8.149041208941878</x:v>
      </x:c>
      <x:c r="G10" s="98" t="n">
        <x:f>IF(OR(F10="",F9=""),"",F10-F9)</x:f>
        <x:v>0.006253508431090182</x:v>
      </x:c>
      <x:c r="H10" s="63" t="n">
        <x:f>'Datos_fuente'!H10</x:f>
        <x:v>1.21</x:v>
      </x:c>
      <x:c r="I10" s="63" t="n">
        <x:f>IF(OR(H10="",H9=""),"",H10-H9)</x:f>
        <x:v>-0.19999999999999996</x:v>
      </x:c>
      <x:c r="J10" s="63" t="n">
        <x:f>'Datos_fuente'!J10</x:f>
        <x:v>4.354903969</x:v>
      </x:c>
      <x:c r="K10" s="63" t="n">
        <x:f>IF(OR(J10="",J9=""),"",J10-J9)</x:f>
        <x:v>0.7272615690000004</x:v>
      </x:c>
      <x:c r="L10" s="98" t="n">
        <x:f>IF('Datos_fuente'!K10="","",LN('Datos_fuente'!K10))</x:f>
        <x:v>4.602601690225171</x:v>
      </x:c>
      <x:c r="M10" s="98" t="n">
        <x:f>IF(OR(L10="",L9=""),"",L10-L9)</x:f>
        <x:v>-0.006840228905460322</x:v>
      </x:c>
      <x:c r="N10" s="98" t="n">
        <x:f>IF('Datos_fuente'!L10="","",LN('Datos_fuente'!L10))</x:f>
        <x:v>2.472105768657397</x:v>
      </x:c>
      <x:c r="O10" s="98" t="n">
        <x:f>IF(OR(N10="",N9=""),"",N10-N9)</x:f>
        <x:v>0.0130373152236829</x:v>
      </x:c>
      <x:c r="P10" s="96" t="n">
        <x:f>'Datos_fuente'!M10</x:f>
        <x:v>0</x:v>
      </x:c>
      <x:c r="Q10" s="98" t="n">
        <x:f>IF('Datos_fuente'!N10="","",LN('Datos_fuente'!N10))</x:f>
        <x:v>9.622872450124321</x:v>
      </x:c>
      <x:c r="R10" s="98" t="n">
        <x:f>IF(OR(Q10="",Q9=""),"",Q10-Q9)</x:f>
        <x:v>-0.0030945596312665913</x:v>
      </x:c>
      <x:c r="S10" s="63" t="n">
        <x:f>'Datos_fuente'!P10</x:f>
        <x:v>1.7375</x:v>
      </x:c>
      <x:c r="T10" s="63" t="n">
        <x:f>IF(OR(S10="",S9=""),"",S10-S9)</x:f>
        <x:v>0.06184782599999994</x:v>
      </x:c>
      <x:c r="U10" s="98" t="n">
        <x:f>IF('Datos_fuente'!Q10="","",ASINH('Datos_fuente'!Q10/1000))</x:f>
        <x:v>-0.3664998763630857</x:v>
      </x:c>
      <x:c r="V10" s="98" t="n">
        <x:f>IF(OR(U10="",U9=""),"",U10-U9)</x:f>
        <x:v>0.041062845594242725</x:v>
      </x:c>
      <x:c r="W10" s="98" t="n">
        <x:f>IF('Datos_fuente'!R10="","",ASINH('Datos_fuente'!R10/1000))</x:f>
        <x:v>-0.07715343262330691</x:v>
      </x:c>
      <x:c r="X10" s="98" t="n">
        <x:f>IF(OR(W10="",W9=""),"",W10-W9)</x:f>
        <x:v>-0.10900804511735614</x:v>
      </x:c>
      <x:c r="Y10" s="63" t="n">
        <x:f>'Datos_fuente'!W10</x:f>
        <x:v>1.549247678</x:v>
      </x:c>
      <x:c r="Z10" s="63" t="n">
        <x:f>IF(OR(Y10="",Y9=""),"",Y10-Y9)</x:f>
        <x:v>0.12729130399999988</x:v>
      </x:c>
      <x:c r="AA10" s="98" t="n">
        <x:f>'Datos_fuente'!AB10</x:f>
        <x:v>-0.1603891615</x:v>
      </x:c>
      <x:c r="AB10" s="98" t="n">
        <x:f>'Datos_fuente'!AC10</x:f>
        <x:v>-0.1703918311</x:v>
      </x:c>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1" t="str">
        <x:f>'Datos_fuente'!A11</x:f>
        <x:v>2006-05</x:v>
      </x:c>
      <x:c r="B11" s="98" t="n">
        <x:f>IF('Datos_fuente'!B11="","",LN('Datos_fuente'!B11))</x:f>
        <x:v>7.790964545576441</x:v>
      </x:c>
      <x:c r="C11" s="98" t="n">
        <x:f>IF(OR(B11="",B10=""),"",B11-B10)</x:f>
        <x:v>0.03513841918142102</x:v>
      </x:c>
      <x:c r="D11" s="98" t="n">
        <x:f>IF('Datos_fuente'!C11="","",LN('Datos_fuente'!C11))</x:f>
        <x:v>4.909340575944674</x:v>
      </x:c>
      <x:c r="E11" s="98" t="n">
        <x:f>IF(OR(D11="",D10=""),"",D11-D10)</x:f>
        <x:v>-0.006690955442603119</x:v>
      </x:c>
      <x:c r="F11" s="98" t="n">
        <x:f>IF('Datos_fuente'!E11="","",LN('Datos_fuente'!E11))</x:f>
        <x:v>8.176667149216875</x:v>
      </x:c>
      <x:c r="G11" s="98" t="n">
        <x:f>IF(OR(F11="",F10=""),"",F11-F10)</x:f>
        <x:v>0.027625940274997873</x:v>
      </x:c>
      <x:c r="H11" s="63" t="n">
        <x:f>'Datos_fuente'!H11</x:f>
        <x:v>1.301935484</x:v>
      </x:c>
      <x:c r="I11" s="63" t="n">
        <x:f>IF(OR(H11="",H10=""),"",H11-H10)</x:f>
        <x:v>0.09193548399999996</x:v>
      </x:c>
      <x:c r="J11" s="63" t="n">
        <x:f>'Datos_fuente'!J11</x:f>
        <x:v>3.865752534</x:v>
      </x:c>
      <x:c r="K11" s="63" t="n">
        <x:f>IF(OR(J11="",J10=""),"",J11-J10)</x:f>
        <x:v>-0.4891514350000006</x:v>
      </x:c>
      <x:c r="L11" s="98" t="n">
        <x:f>IF('Datos_fuente'!K11="","",LN('Datos_fuente'!K11))</x:f>
        <x:v>4.579973128764417</x:v>
      </x:c>
      <x:c r="M11" s="98" t="n">
        <x:f>IF(OR(L11="",L10=""),"",L11-L10)</x:f>
        <x:v>-0.022628561460754426</x:v>
      </x:c>
      <x:c r="N11" s="98" t="n">
        <x:f>IF('Datos_fuente'!L11="","",LN('Datos_fuente'!L11))</x:f>
        <x:v>2.6710089291073955</x:v>
      </x:c>
      <x:c r="O11" s="98" t="n">
        <x:f>IF(OR(N11="",N10=""),"",N11-N10)</x:f>
        <x:v>0.19890316044999867</x:v>
      </x:c>
      <x:c r="P11" s="96" t="n">
        <x:f>'Datos_fuente'!M11</x:f>
        <x:v>0</x:v>
      </x:c>
      <x:c r="Q11" s="98" t="n">
        <x:f>IF('Datos_fuente'!N11="","",LN('Datos_fuente'!N11))</x:f>
        <x:v>9.588462374705912</x:v>
      </x:c>
      <x:c r="R11" s="98" t="n">
        <x:f>IF(OR(Q11="",Q10=""),"",Q11-Q10)</x:f>
        <x:v>-0.03441007541840868</x:v>
      </x:c>
      <x:c r="S11" s="63" t="n">
        <x:f>'Datos_fuente'!P11</x:f>
        <x:v>1.886086957</x:v>
      </x:c>
      <x:c r="T11" s="63" t="n">
        <x:f>IF(OR(S11="",S10=""),"",S11-S10)</x:f>
        <x:v>0.14858695700000002</x:v>
      </x:c>
      <x:c r="U11" s="98" t="n">
        <x:f>IF('Datos_fuente'!Q11="","",ASINH('Datos_fuente'!Q11/1000))</x:f>
        <x:v>-0.42642828977876246</x:v>
      </x:c>
      <x:c r="V11" s="98" t="n">
        <x:f>IF(OR(U11="",U10=""),"",U11-U10)</x:f>
        <x:v>-0.059928413415676784</x:v>
      </x:c>
      <x:c r="W11" s="98" t="n">
        <x:f>IF('Datos_fuente'!R11="","",ASINH('Datos_fuente'!R11/1000))</x:f>
        <x:v>-0.5794883815254988</x:v>
      </x:c>
      <x:c r="X11" s="98" t="n">
        <x:f>IF(OR(W11="",W10=""),"",W11-W10)</x:f>
        <x:v>-0.5023349489021919</x:v>
      </x:c>
      <x:c r="Y11" s="63" t="n">
        <x:f>'Datos_fuente'!W11</x:f>
        <x:v>1.954111698</x:v>
      </x:c>
      <x:c r="Z11" s="63" t="n">
        <x:f>IF(OR(Y11="",Y10=""),"",Y11-Y10)</x:f>
        <x:v>0.40486402</x:v>
      </x:c>
      <x:c r="AA11" s="98" t="n">
        <x:f>'Datos_fuente'!AB11</x:f>
        <x:v>0.2097398252</x:v>
      </x:c>
      <x:c r="AB11" s="98" t="n">
        <x:f>'Datos_fuente'!AC11</x:f>
        <x:v>-0.1613489145</x:v>
      </x:c>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1" t="str">
        <x:f>'Datos_fuente'!A12</x:f>
        <x:v>2006-06</x:v>
      </x:c>
      <x:c r="B12" s="98" t="n">
        <x:f>IF('Datos_fuente'!B12="","",LN('Datos_fuente'!B12))</x:f>
        <x:v>7.840792994031259</x:v>
      </x:c>
      <x:c r="C12" s="98" t="n">
        <x:f>IF(OR(B12="",B11=""),"",B12-B11)</x:f>
        <x:v>0.04982844845481793</x:v>
      </x:c>
      <x:c r="D12" s="98" t="n">
        <x:f>IF('Datos_fuente'!C12="","",LN('Datos_fuente'!C12))</x:f>
        <x:v>4.907568442275553</x:v>
      </x:c>
      <x:c r="E12" s="98" t="n">
        <x:f>IF(OR(D12="",D11=""),"",D12-D11)</x:f>
        <x:v>-0.001772133669121878</x:v>
      </x:c>
      <x:c r="F12" s="98" t="n">
        <x:f>IF('Datos_fuente'!E12="","",LN('Datos_fuente'!E12))</x:f>
        <x:v>8.196392708829233</x:v>
      </x:c>
      <x:c r="G12" s="98" t="n">
        <x:f>IF(OR(F12="",F11=""),"",F12-F11)</x:f>
        <x:v>0.019725559612357557</x:v>
      </x:c>
      <x:c r="H12" s="63" t="n">
        <x:f>'Datos_fuente'!H12</x:f>
        <x:v>1.343333333</x:v>
      </x:c>
      <x:c r="I12" s="63" t="n">
        <x:f>IF(OR(H12="",H11=""),"",H12-H11)</x:f>
        <x:v>0.04139784899999999</x:v>
      </x:c>
      <x:c r="J12" s="63" t="n">
        <x:f>'Datos_fuente'!J12</x:f>
        <x:v>4.000523343</x:v>
      </x:c>
      <x:c r="K12" s="63" t="n">
        <x:f>IF(OR(J12="",J11=""),"",J12-J11)</x:f>
        <x:v>0.13477080900000038</x:v>
      </x:c>
      <x:c r="L12" s="98" t="n">
        <x:f>IF('Datos_fuente'!K12="","",LN('Datos_fuente'!K12))</x:f>
        <x:v>4.592011212515483</x:v>
      </x:c>
      <x:c r="M12" s="98" t="n">
        <x:f>IF(OR(L12="",L11=""),"",L12-L11)</x:f>
        <x:v>0.012038083751066075</x:v>
      </x:c>
      <x:c r="N12" s="98" t="n">
        <x:f>IF('Datos_fuente'!L12="","",LN('Datos_fuente'!L12))</x:f>
        <x:v>2.828415757549642</x:v>
      </x:c>
      <x:c r="O12" s="98" t="n">
        <x:f>IF(OR(N12="",N11=""),"",N12-N11)</x:f>
        <x:v>0.1574068284422463</x:v>
      </x:c>
      <x:c r="P12" s="96" t="n">
        <x:f>'Datos_fuente'!M12</x:f>
        <x:v>0</x:v>
      </x:c>
      <x:c r="Q12" s="98" t="n">
        <x:f>IF('Datos_fuente'!N12="","",LN('Datos_fuente'!N12))</x:f>
        <x:v>9.579227245839705</x:v>
      </x:c>
      <x:c r="R12" s="98" t="n">
        <x:f>IF(OR(Q12="",Q11=""),"",Q12-Q11)</x:f>
        <x:v>-0.00923512886620692</x:v>
      </x:c>
      <x:c r="S12" s="63" t="n">
        <x:f>'Datos_fuente'!P12</x:f>
        <x:v>2.313181818</x:v>
      </x:c>
      <x:c r="T12" s="63" t="n">
        <x:f>IF(OR(S12="",S11=""),"",S12-S11)</x:f>
        <x:v>0.4270948609999998</x:v>
      </x:c>
      <x:c r="U12" s="98" t="n">
        <x:f>IF('Datos_fuente'!Q12="","",ASINH('Datos_fuente'!Q12/1000))</x:f>
        <x:v>-0.46313491923821637</x:v>
      </x:c>
      <x:c r="V12" s="98" t="n">
        <x:f>IF(OR(U12="",U11=""),"",U12-U11)</x:f>
        <x:v>-0.03670662945945391</x:v>
      </x:c>
      <x:c r="W12" s="98" t="n">
        <x:f>IF('Datos_fuente'!R12="","",ASINH('Datos_fuente'!R12/1000))</x:f>
        <x:v>-0.14512009565262116</x:v>
      </x:c>
      <x:c r="X12" s="98" t="n">
        <x:f>IF(OR(W12="",W11=""),"",W12-W11)</x:f>
        <x:v>0.43436828587287757</x:v>
      </x:c>
      <x:c r="Y12" s="63" t="n">
        <x:f>'Datos_fuente'!W12</x:f>
        <x:v>1.91118231</x:v>
      </x:c>
      <x:c r="Z12" s="63" t="n">
        <x:f>IF(OR(Y12="",Y11=""),"",Y12-Y11)</x:f>
        <x:v>-0.0429293879999999</x:v>
      </x:c>
      <x:c r="AA12" s="98" t="n">
        <x:f>'Datos_fuente'!AB12</x:f>
        <x:v>1.056077012</x:v>
      </x:c>
      <x:c r="AB12" s="98" t="n">
        <x:f>'Datos_fuente'!AC12</x:f>
        <x:v>0.7045879266</x:v>
      </x:c>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1" t="str">
        <x:f>'Datos_fuente'!A13</x:f>
        <x:v>2006-07</x:v>
      </x:c>
      <x:c r="B13" s="98" t="n">
        <x:f>IF('Datos_fuente'!B13="","",LN('Datos_fuente'!B13))</x:f>
        <x:v>7.8295104086035705</x:v>
      </x:c>
      <x:c r="C13" s="98" t="n">
        <x:f>IF(OR(B13="",B12=""),"",B13-B12)</x:f>
        <x:v>-0.011282585427688119</x:v>
      </x:c>
      <x:c r="D13" s="98" t="n">
        <x:f>IF('Datos_fuente'!C13="","",LN('Datos_fuente'!C13))</x:f>
        <x:v>4.925803358579558</x:v>
      </x:c>
      <x:c r="E13" s="98" t="n">
        <x:f>IF(OR(D13="",D12=""),"",D13-D12)</x:f>
        <x:v>0.018234916304005644</x:v>
      </x:c>
      <x:c r="F13" s="98" t="n">
        <x:f>IF('Datos_fuente'!E13="","",LN('Datos_fuente'!E13))</x:f>
        <x:v>8.210333736162195</x:v>
      </x:c>
      <x:c r="G13" s="98" t="n">
        <x:f>IF(OR(F13="",F12=""),"",F13-F12)</x:f>
        <x:v>0.013941027332961653</x:v>
      </x:c>
      <x:c r="H13" s="63" t="n">
        <x:f>'Datos_fuente'!H13</x:f>
        <x:v>1.26</x:v>
      </x:c>
      <x:c r="I13" s="63" t="n">
        <x:f>IF(OR(H13="",H12=""),"",H13-H12)</x:f>
        <x:v>-0.0833333329999999</x:v>
      </x:c>
      <x:c r="J13" s="63" t="n">
        <x:f>'Datos_fuente'!J13</x:f>
        <x:v>3.866772925</x:v>
      </x:c>
      <x:c r="K13" s="63" t="n">
        <x:f>IF(OR(J13="",J12=""),"",J13-J12)</x:f>
        <x:v>-0.13375041800000043</x:v>
      </x:c>
      <x:c r="L13" s="98" t="n">
        <x:f>IF('Datos_fuente'!K13="","",LN('Datos_fuente'!K13))</x:f>
        <x:v>4.589434164588313</x:v>
      </x:c>
      <x:c r="M13" s="98" t="n">
        <x:f>IF(OR(L13="",L12=""),"",L13-L12)</x:f>
        <x:v>-0.002577047927169396</x:v>
      </x:c>
      <x:c r="N13" s="98" t="n">
        <x:f>IF('Datos_fuente'!L13="","",LN('Datos_fuente'!L13))</x:f>
        <x:v>2.7295507325482125</x:v>
      </x:c>
      <x:c r="O13" s="98" t="n">
        <x:f>IF(OR(N13="",N12=""),"",N13-N12)</x:f>
        <x:v>-0.09886502500142935</x:v>
      </x:c>
      <x:c r="P13" s="96" t="n">
        <x:f>'Datos_fuente'!M13</x:f>
        <x:v>0</x:v>
      </x:c>
      <x:c r="Q13" s="98" t="n">
        <x:f>IF('Datos_fuente'!N13="","",LN('Datos_fuente'!N13))</x:f>
        <x:v>9.594815388030879</x:v>
      </x:c>
      <x:c r="R13" s="98" t="n">
        <x:f>IF(OR(Q13="",Q12=""),"",Q13-Q12)</x:f>
        <x:v>0.01558814219117366</x:v>
      </x:c>
      <x:c r="S13" s="63" t="n">
        <x:f>'Datos_fuente'!P13</x:f>
        <x:v>2.282857143</x:v>
      </x:c>
      <x:c r="T13" s="63" t="n">
        <x:f>IF(OR(S13="",S12=""),"",S13-S12)</x:f>
        <x:v>-0.03032467499999969</x:v>
      </x:c>
      <x:c r="U13" s="98" t="n">
        <x:f>IF('Datos_fuente'!Q13="","",ASINH('Datos_fuente'!Q13/1000))</x:f>
        <x:v>-0.6162229925663774</x:v>
      </x:c>
      <x:c r="V13" s="98" t="n">
        <x:f>IF(OR(U13="",U12=""),"",U13-U12)</x:f>
        <x:v>-0.153088073328161</x:v>
      </x:c>
      <x:c r="W13" s="98" t="n">
        <x:f>IF('Datos_fuente'!R13="","",ASINH('Datos_fuente'!R13/1000))</x:f>
        <x:v>0.5032563326475499</x:v>
      </x:c>
      <x:c r="X13" s="98" t="n">
        <x:f>IF(OR(W13="",W12=""),"",W13-W12)</x:f>
        <x:v>0.6483764283001711</x:v>
      </x:c>
      <x:c r="Y13" s="63" t="n">
        <x:f>'Datos_fuente'!W13</x:f>
        <x:v>1.849572619</x:v>
      </x:c>
      <x:c r="Z13" s="63" t="n">
        <x:f>IF(OR(Y13="",Y12=""),"",Y13-Y12)</x:f>
        <x:v>-0.06160969100000013</x:v>
      </x:c>
      <x:c r="AA13" s="98" t="n">
        <x:f>'Datos_fuente'!AB13</x:f>
        <x:v>-0.8334321008</x:v>
      </x:c>
      <x:c r="AB13" s="98" t="n">
        <x:f>'Datos_fuente'!AC13</x:f>
        <x:v>-0.7492398484</x:v>
      </x:c>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1" t="str">
        <x:f>'Datos_fuente'!A14</x:f>
        <x:v>2006-08</x:v>
      </x:c>
      <x:c r="B14" s="98" t="n">
        <x:f>IF('Datos_fuente'!B14="","",LN('Datos_fuente'!B14))</x:f>
        <x:v>7.778623260738682</x:v>
      </x:c>
      <x:c r="C14" s="98" t="n">
        <x:f>IF(OR(B14="",B13=""),"",B14-B13)</x:f>
        <x:v>-0.05088714786488868</x:v>
      </x:c>
      <x:c r="D14" s="98" t="n">
        <x:f>IF('Datos_fuente'!C14="","",LN('Datos_fuente'!C14))</x:f>
        <x:v>4.9001505609209834</x:v>
      </x:c>
      <x:c r="E14" s="98" t="n">
        <x:f>IF(OR(D14="",D13=""),"",D14-D13)</x:f>
        <x:v>-0.025652797658574755</x:v>
      </x:c>
      <x:c r="F14" s="98" t="n">
        <x:f>IF('Datos_fuente'!E14="","",LN('Datos_fuente'!E14))</x:f>
        <x:v>8.219757035520173</x:v>
      </x:c>
      <x:c r="G14" s="98" t="n">
        <x:f>IF(OR(F14="",F13=""),"",F14-F13)</x:f>
        <x:v>0.009423299357978365</x:v>
      </x:c>
      <x:c r="H14" s="63" t="n">
        <x:f>'Datos_fuente'!H14</x:f>
        <x:v>1.330645161</x:v>
      </x:c>
      <x:c r="I14" s="63" t="n">
        <x:f>IF(OR(H14="",H13=""),"",H14-H13)</x:f>
        <x:v>0.07064516100000007</x:v>
      </x:c>
      <x:c r="J14" s="63" t="n">
        <x:f>'Datos_fuente'!J14</x:f>
        <x:v>3.885340436</x:v>
      </x:c>
      <x:c r="K14" s="63" t="n">
        <x:f>IF(OR(J14="",J13=""),"",J14-J13)</x:f>
        <x:v>0.018567511000000092</x:v>
      </x:c>
      <x:c r="L14" s="98" t="n">
        <x:f>IF('Datos_fuente'!K14="","",LN('Datos_fuente'!K14))</x:f>
        <x:v>4.582042441857144</x:v>
      </x:c>
      <x:c r="M14" s="98" t="n">
        <x:f>IF(OR(L14="",L13=""),"",L14-L13)</x:f>
        <x:v>-0.007391722731169281</x:v>
      </x:c>
      <x:c r="N14" s="98" t="n">
        <x:f>IF('Datos_fuente'!L14="","",LN('Datos_fuente'!L14))</x:f>
        <x:v>2.5916466482717224</x:v>
      </x:c>
      <x:c r="O14" s="98" t="n">
        <x:f>IF(OR(N14="",N13=""),"",N14-N13)</x:f>
        <x:v>-0.13790408427649004</x:v>
      </x:c>
      <x:c r="P14" s="96" t="n">
        <x:f>'Datos_fuente'!M14</x:f>
        <x:v>0</x:v>
      </x:c>
      <x:c r="Q14" s="98" t="n">
        <x:f>IF('Datos_fuente'!N14="","",LN('Datos_fuente'!N14))</x:f>
        <x:v>9.61463279275526</x:v>
      </x:c>
      <x:c r="R14" s="98" t="n">
        <x:f>IF(OR(Q14="",Q13=""),"",Q14-Q13)</x:f>
        <x:v>0.01981740472438176</x:v>
      </x:c>
      <x:c r="S14" s="63" t="n">
        <x:f>'Datos_fuente'!P14</x:f>
        <x:v>1.964782609</x:v>
      </x:c>
      <x:c r="T14" s="63" t="n">
        <x:f>IF(OR(S14="",S13=""),"",S14-S13)</x:f>
        <x:v>-0.3180745340000002</x:v>
      </x:c>
      <x:c r="U14" s="98" t="n">
        <x:f>IF('Datos_fuente'!Q14="","",ASINH('Datos_fuente'!Q14/1000))</x:f>
        <x:v>-0.5081828069636856</x:v>
      </x:c>
      <x:c r="V14" s="98" t="n">
        <x:f>IF(OR(U14="",U13=""),"",U14-U13)</x:f>
        <x:v>0.1080401856026918</x:v>
      </x:c>
      <x:c r="W14" s="98" t="n">
        <x:f>IF('Datos_fuente'!R14="","",ASINH('Datos_fuente'!R14/1000))</x:f>
        <x:v>0.37522305437025116</x:v>
      </x:c>
      <x:c r="X14" s="98" t="n">
        <x:f>IF(OR(W14="",W13=""),"",W14-W13)</x:f>
        <x:v>-0.1280332782772987</x:v>
      </x:c>
      <x:c r="Y14" s="63" t="n">
        <x:f>'Datos_fuente'!W14</x:f>
        <x:v>2.251556311</x:v>
      </x:c>
      <x:c r="Z14" s="63" t="n">
        <x:f>IF(OR(Y14="",Y13=""),"",Y14-Y13)</x:f>
        <x:v>0.40198369199999995</x:v>
      </x:c>
      <x:c r="AA14" s="98" t="n">
        <x:f>'Datos_fuente'!AB14</x:f>
        <x:v>-0.4065242495</x:v>
      </x:c>
      <x:c r="AB14" s="98" t="n">
        <x:f>'Datos_fuente'!AC14</x:f>
        <x:v>-0.3560427051</x:v>
      </x:c>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1" t="str">
        <x:f>'Datos_fuente'!A15</x:f>
        <x:v>2006-09</x:v>
      </x:c>
      <x:c r="B15" s="98" t="n">
        <x:f>IF('Datos_fuente'!B15="","",LN('Datos_fuente'!B15))</x:f>
        <x:v>7.7826858161156105</x:v>
      </x:c>
      <x:c r="C15" s="98" t="n">
        <x:f>IF(OR(B15="",B14=""),"",B15-B14)</x:f>
        <x:v>0.004062555376928678</x:v>
      </x:c>
      <x:c r="D15" s="98" t="n">
        <x:f>IF('Datos_fuente'!C15="","",LN('Datos_fuente'!C15))</x:f>
        <x:v>4.850935915338581</x:v>
      </x:c>
      <x:c r="E15" s="98" t="n">
        <x:f>IF(OR(D15="",D14=""),"",D15-D14)</x:f>
        <x:v>-0.04921464558240274</x:v>
      </x:c>
      <x:c r="F15" s="98" t="n">
        <x:f>IF('Datos_fuente'!E15="","",LN('Datos_fuente'!E15))</x:f>
        <x:v>8.229225744915823</x:v>
      </x:c>
      <x:c r="G15" s="98" t="n">
        <x:f>IF(OR(F15="",F14=""),"",F15-F14)</x:f>
        <x:v>0.00946870939564981</x:v>
      </x:c>
      <x:c r="H15" s="63" t="n">
        <x:f>'Datos_fuente'!H15</x:f>
        <x:v>1.5</x:v>
      </x:c>
      <x:c r="I15" s="63" t="n">
        <x:f>IF(OR(H15="",H14=""),"",H15-H14)</x:f>
        <x:v>0.16935483899999992</x:v>
      </x:c>
      <x:c r="J15" s="63" t="n">
        <x:f>'Datos_fuente'!J15</x:f>
        <x:v>3.654184295</x:v>
      </x:c>
      <x:c r="K15" s="63" t="n">
        <x:f>IF(OR(J15="",J14=""),"",J15-J14)</x:f>
        <x:v>-0.23115614100000004</x:v>
      </x:c>
      <x:c r="L15" s="98" t="n">
        <x:f>IF('Datos_fuente'!K15="","",LN('Datos_fuente'!K15))</x:f>
        <x:v>4.584777275889292</x:v>
      </x:c>
      <x:c r="M15" s="98" t="n">
        <x:f>IF(OR(L15="",L14=""),"",L15-L14)</x:f>
        <x:v>0.0027348340321475817</x:v>
      </x:c>
      <x:c r="N15" s="98" t="n">
        <x:f>IF('Datos_fuente'!L15="","",LN('Datos_fuente'!L15))</x:f>
        <x:v>2.500164652176981</x:v>
      </x:c>
      <x:c r="O15" s="98" t="n">
        <x:f>IF(OR(N15="",N14=""),"",N15-N14)</x:f>
        <x:v>-0.09148199609474128</x:v>
      </x:c>
      <x:c r="P15" s="96" t="n">
        <x:f>'Datos_fuente'!M15</x:f>
        <x:v>0</x:v>
      </x:c>
      <x:c r="Q15" s="98" t="n">
        <x:f>IF('Datos_fuente'!N15="","",LN('Datos_fuente'!N15))</x:f>
        <x:v>9.616691087818028</x:v>
      </x:c>
      <x:c r="R15" s="98" t="n">
        <x:f>IF(OR(Q15="",Q14=""),"",Q15-Q14)</x:f>
        <x:v>0.0020582950627670016</x:v>
      </x:c>
      <x:c r="S15" s="63" t="n">
        <x:f>'Datos_fuente'!P15</x:f>
        <x:v>2.063333333</x:v>
      </x:c>
      <x:c r="T15" s="63" t="n">
        <x:f>IF(OR(S15="",S14=""),"",S15-S14)</x:f>
        <x:v>0.09855072400000009</x:v>
      </x:c>
      <x:c r="U15" s="98" t="n">
        <x:f>IF('Datos_fuente'!Q15="","",ASINH('Datos_fuente'!Q15/1000))</x:f>
        <x:v>-0.5342589738967322</x:v>
      </x:c>
      <x:c r="V15" s="98" t="n">
        <x:f>IF(OR(U15="",U14=""),"",U15-U14)</x:f>
        <x:v>-0.026076166933046596</x:v>
      </x:c>
      <x:c r="W15" s="98" t="n">
        <x:f>IF('Datos_fuente'!R15="","",ASINH('Datos_fuente'!R15/1000))</x:f>
        <x:v>0.12664121651997856</x:v>
      </x:c>
      <x:c r="X15" s="98" t="n">
        <x:f>IF(OR(W15="",W14=""),"",W15-W14)</x:f>
        <x:v>-0.2485818378502726</x:v>
      </x:c>
      <x:c r="Y15" s="63" t="n">
        <x:f>'Datos_fuente'!W15</x:f>
        <x:v>2.712550942</x:v>
      </x:c>
      <x:c r="Z15" s="63" t="n">
        <x:f>IF(OR(Y15="",Y14=""),"",Y15-Y14)</x:f>
        <x:v>0.46099463100000015</x:v>
      </x:c>
      <x:c r="AA15" s="98" t="n">
        <x:f>'Datos_fuente'!AB15</x:f>
        <x:v>0.05659956747</x:v>
      </x:c>
      <x:c r="AB15" s="98" t="n">
        <x:f>'Datos_fuente'!AC15</x:f>
        <x:v>0.1263464674</x:v>
      </x:c>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t="str">
        <x:f>'Datos_fuente'!A16</x:f>
        <x:v>2006-10</x:v>
      </x:c>
      <x:c r="B16" s="98" t="n">
        <x:f>IF('Datos_fuente'!B16="","",LN('Datos_fuente'!B16))</x:f>
        <x:v>7.767177816922001</x:v>
      </x:c>
      <x:c r="C16" s="98" t="n">
        <x:f>IF(OR(B16="",B15=""),"",B16-B15)</x:f>
        <x:v>-0.015507999193609123</x:v>
      </x:c>
      <x:c r="D16" s="98" t="n">
        <x:f>IF('Datos_fuente'!C16="","",LN('Datos_fuente'!C16))</x:f>
        <x:v>4.84717474494322</x:v>
      </x:c>
      <x:c r="E16" s="98" t="n">
        <x:f>IF(OR(D16="",D15=""),"",D16-D15)</x:f>
        <x:v>-0.0037611703953608355</x:v>
      </x:c>
      <x:c r="F16" s="98" t="n">
        <x:f>IF('Datos_fuente'!E16="","",LN('Datos_fuente'!E16))</x:f>
        <x:v>8.241442324872372</x:v>
      </x:c>
      <x:c r="G16" s="98" t="n">
        <x:f>IF(OR(F16="",F15=""),"",F16-F15)</x:f>
        <x:v>0.012216579956549012</x:v>
      </x:c>
      <x:c r="H16" s="63" t="n">
        <x:f>'Datos_fuente'!H16</x:f>
        <x:v>1.758064516</x:v>
      </x:c>
      <x:c r="I16" s="63" t="n">
        <x:f>IF(OR(H16="",H15=""),"",H16-H15)</x:f>
        <x:v>0.2580645159999999</x:v>
      </x:c>
      <x:c r="J16" s="63" t="n">
        <x:f>'Datos_fuente'!J16</x:f>
        <x:v>3.895828134</x:v>
      </x:c>
      <x:c r="K16" s="63" t="n">
        <x:f>IF(OR(J16="",J15=""),"",J16-J15)</x:f>
        <x:v>0.24164383899999997</x:v>
      </x:c>
      <x:c r="L16" s="98" t="n">
        <x:f>IF('Datos_fuente'!K16="","",LN('Datos_fuente'!K16))</x:f>
        <x:v>4.588183267271299</x:v>
      </x:c>
      <x:c r="M16" s="98" t="n">
        <x:f>IF(OR(L16="",L15=""),"",L16-L15)</x:f>
        <x:v>0.0034059913820074783</x:v>
      </x:c>
      <x:c r="N16" s="98" t="n">
        <x:f>IF('Datos_fuente'!L16="","",LN('Datos_fuente'!L16))</x:f>
        <x:v>2.4253657211889</x:v>
      </x:c>
      <x:c r="O16" s="98" t="n">
        <x:f>IF(OR(N16="",N15=""),"",N16-N15)</x:f>
        <x:v>-0.07479893098808121</x:v>
      </x:c>
      <x:c r="P16" s="96" t="n">
        <x:f>'Datos_fuente'!M16</x:f>
        <x:v>0</x:v>
      </x:c>
      <x:c r="Q16" s="98" t="n">
        <x:f>IF('Datos_fuente'!N16="","",LN('Datos_fuente'!N16))</x:f>
        <x:v>9.624804863881147</x:v>
      </x:c>
      <x:c r="R16" s="98" t="n">
        <x:f>IF(OR(Q16="",Q15=""),"",Q16-Q15)</x:f>
        <x:v>0.00811377606311936</x:v>
      </x:c>
      <x:c r="S16" s="63" t="n">
        <x:f>'Datos_fuente'!P16</x:f>
        <x:v>1.810454545</x:v>
      </x:c>
      <x:c r="T16" s="63" t="n">
        <x:f>IF(OR(S16="",S15=""),"",S16-S15)</x:f>
        <x:v>-0.2528787880000001</x:v>
      </x:c>
      <x:c r="U16" s="98" t="n">
        <x:f>IF('Datos_fuente'!Q16="","",ASINH('Datos_fuente'!Q16/1000))</x:f>
        <x:v>-0.6145331765841213</x:v>
      </x:c>
      <x:c r="V16" s="98" t="n">
        <x:f>IF(OR(U16="",U15=""),"",U16-U15)</x:f>
        <x:v>-0.08027420268738916</x:v>
      </x:c>
      <x:c r="W16" s="98" t="n">
        <x:f>IF('Datos_fuente'!R16="","",ASINH('Datos_fuente'!R16/1000))</x:f>
        <x:v>0.480344062414625</x:v>
      </x:c>
      <x:c r="X16" s="98" t="n">
        <x:f>IF(OR(W16="",W15=""),"",W16-W15)</x:f>
        <x:v>0.35370284589464646</x:v>
      </x:c>
      <x:c r="Y16" s="63" t="n">
        <x:f>'Datos_fuente'!W16</x:f>
        <x:v>2.851926997</x:v>
      </x:c>
      <x:c r="Z16" s="63" t="n">
        <x:f>IF(OR(Y16="",Y15=""),"",Y16-Y15)</x:f>
        <x:v>0.13937605500000005</x:v>
      </x:c>
      <x:c r="AA16" s="98" t="n">
        <x:f>'Datos_fuente'!AB16</x:f>
        <x:v>-0.4583576676</x:v>
      </x:c>
      <x:c r="AB16" s="98" t="n">
        <x:f>'Datos_fuente'!AC16</x:f>
        <x:v>-0.4064648899</x:v>
      </x:c>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1" t="str">
        <x:f>'Datos_fuente'!A17</x:f>
        <x:v>2006-11</x:v>
      </x:c>
      <x:c r="B17" s="98" t="n">
        <x:f>IF('Datos_fuente'!B17="","",LN('Datos_fuente'!B17))</x:f>
        <x:v>7.73649834463475</x:v>
      </x:c>
      <x:c r="C17" s="98" t="n">
        <x:f>IF(OR(B17="",B16=""),"",B17-B16)</x:f>
        <x:v>-0.030679472287251208</x:v>
      </x:c>
      <x:c r="D17" s="98" t="n">
        <x:f>IF('Datos_fuente'!C17="","",LN('Datos_fuente'!C17))</x:f>
        <x:v>4.844659415838387</x:v>
      </x:c>
      <x:c r="E17" s="98" t="n">
        <x:f>IF(OR(D17="",D16=""),"",D17-D16)</x:f>
        <x:v>-0.0025153291048329862</x:v>
      </x:c>
      <x:c r="F17" s="98" t="n">
        <x:f>IF('Datos_fuente'!E17="","",LN('Datos_fuente'!E17))</x:f>
        <x:v>8.251567413993028</x:v>
      </x:c>
      <x:c r="G17" s="98" t="n">
        <x:f>IF(OR(F17="",F16=""),"",F17-F16)</x:f>
        <x:v>0.010125089120656128</x:v>
      </x:c>
      <x:c r="H17" s="63" t="n">
        <x:f>'Datos_fuente'!H17</x:f>
        <x:v>2</x:v>
      </x:c>
      <x:c r="I17" s="63" t="n">
        <x:f>IF(OR(H17="",H16=""),"",H17-H16)</x:f>
        <x:v>0.2419354840000001</x:v>
      </x:c>
      <x:c r="J17" s="63" t="n">
        <x:f>'Datos_fuente'!J17</x:f>
        <x:v>3.504711191</x:v>
      </x:c>
      <x:c r="K17" s="63" t="n">
        <x:f>IF(OR(J17="",J16=""),"",J17-J16)</x:f>
        <x:v>-0.39111694299999966</x:v>
      </x:c>
      <x:c r="L17" s="98" t="n">
        <x:f>IF('Datos_fuente'!K17="","",LN('Datos_fuente'!K17))</x:f>
        <x:v>4.579988592521055</x:v>
      </x:c>
      <x:c r="M17" s="98" t="n">
        <x:f>IF(OR(L17="",L16=""),"",L17-L16)</x:f>
        <x:v>-0.008194674750244602</x:v>
      </x:c>
      <x:c r="N17" s="98" t="n">
        <x:f>IF('Datos_fuente'!L17="","",LN('Datos_fuente'!L17))</x:f>
        <x:v>2.3811761983718056</x:v>
      </x:c>
      <x:c r="O17" s="98" t="n">
        <x:f>IF(OR(N17="",N16=""),"",N17-N16)</x:f>
        <x:v>-0.04418952281709432</x:v>
      </x:c>
      <x:c r="P17" s="96" t="n">
        <x:f>'Datos_fuente'!M17</x:f>
        <x:v>0</x:v>
      </x:c>
      <x:c r="Q17" s="98" t="n">
        <x:f>IF('Datos_fuente'!N17="","",LN('Datos_fuente'!N17))</x:f>
        <x:v>9.645533847236976</x:v>
      </x:c>
      <x:c r="R17" s="98" t="n">
        <x:f>IF(OR(Q17="",Q16=""),"",Q17-Q16)</x:f>
        <x:v>0.020728983355828845</x:v>
      </x:c>
      <x:c r="S17" s="63" t="n">
        <x:f>'Datos_fuente'!P17</x:f>
        <x:v>1.894545455</x:v>
      </x:c>
      <x:c r="T17" s="63" t="n">
        <x:f>IF(OR(S17="",S16=""),"",S17-S16)</x:f>
        <x:v>0.08409091000000002</x:v>
      </x:c>
      <x:c r="U17" s="98" t="n">
        <x:f>IF('Datos_fuente'!Q17="","",ASINH('Datos_fuente'!Q17/1000))</x:f>
        <x:v>-0.537223292580431</x:v>
      </x:c>
      <x:c r="V17" s="98" t="n">
        <x:f>IF(OR(U17="",U16=""),"",U17-U16)</x:f>
        <x:v>0.07730988400369032</x:v>
      </x:c>
      <x:c r="W17" s="98" t="n">
        <x:f>IF('Datos_fuente'!R17="","",ASINH('Datos_fuente'!R17/1000))</x:f>
        <x:v>0.48954122076899387</x:v>
      </x:c>
      <x:c r="X17" s="98" t="n">
        <x:f>IF(OR(W17="",W16=""),"",W17-W16)</x:f>
        <x:v>0.00919715835436885</x:v>
      </x:c>
      <x:c r="Y17" s="63" t="n">
        <x:f>'Datos_fuente'!W17</x:f>
        <x:v>2.464109529</x:v>
      </x:c>
      <x:c r="Z17" s="63" t="n">
        <x:f>IF(OR(Y17="",Y16=""),"",Y17-Y16)</x:f>
        <x:v>-0.38781746800000017</x:v>
      </x:c>
      <x:c r="AA17" s="98" t="n">
        <x:f>'Datos_fuente'!AB17</x:f>
        <x:v>-0.1240557433</x:v>
      </x:c>
      <x:c r="AB17" s="98" t="n">
        <x:f>'Datos_fuente'!AC17</x:f>
        <x:v>-0.1834777567</x:v>
      </x:c>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1" t="str">
        <x:f>'Datos_fuente'!A18</x:f>
        <x:v>2006-12</x:v>
      </x:c>
      <x:c r="B18" s="98" t="n">
        <x:f>IF('Datos_fuente'!B18="","",LN('Datos_fuente'!B18))</x:f>
        <x:v>7.723432204616151</x:v>
      </x:c>
      <x:c r="C18" s="98" t="n">
        <x:f>IF(OR(B18="",B17=""),"",B18-B17)</x:f>
        <x:v>-0.013066140018598738</x:v>
      </x:c>
      <x:c r="D18" s="98" t="n">
        <x:f>IF('Datos_fuente'!C18="","",LN('Datos_fuente'!C18))</x:f>
        <x:v>4.8739752026701835</x:v>
      </x:c>
      <x:c r="E18" s="98" t="n">
        <x:f>IF(OR(D18="",D17=""),"",D18-D17)</x:f>
        <x:v>0.029315786831796586</x:v>
      </x:c>
      <x:c r="F18" s="98" t="n">
        <x:f>IF('Datos_fuente'!E18="","",LN('Datos_fuente'!E18))</x:f>
        <x:v>8.258665956127949</x:v>
      </x:c>
      <x:c r="G18" s="98" t="n">
        <x:f>IF(OR(F18="",F17=""),"",F18-F17)</x:f>
        <x:v>0.007098542134921004</x:v>
      </x:c>
      <x:c r="H18" s="63" t="n">
        <x:f>'Datos_fuente'!H18</x:f>
        <x:v>2.122903226</x:v>
      </x:c>
      <x:c r="I18" s="63" t="n">
        <x:f>IF(OR(H18="",H17=""),"",H18-H17)</x:f>
        <x:v>0.12290322600000003</x:v>
      </x:c>
      <x:c r="J18" s="63" t="n">
        <x:f>'Datos_fuente'!J18</x:f>
        <x:v>3.425526113</x:v>
      </x:c>
      <x:c r="K18" s="63" t="n">
        <x:f>IF(OR(J18="",J17=""),"",J18-J17)</x:f>
        <x:v>-0.07918507800000008</x:v>
      </x:c>
      <x:c r="L18" s="98" t="n">
        <x:f>IF('Datos_fuente'!K18="","",LN('Datos_fuente'!K18))</x:f>
        <x:v>4.572596078006981</x:v>
      </x:c>
      <x:c r="M18" s="98" t="n">
        <x:f>IF(OR(L18="",L17=""),"",L18-L17)</x:f>
        <x:v>-0.007392514514073412</x:v>
      </x:c>
      <x:c r="N18" s="98" t="n">
        <x:f>IF('Datos_fuente'!L18="","",LN('Datos_fuente'!L18))</x:f>
        <x:v>2.3946627811949535</x:v>
      </x:c>
      <x:c r="O18" s="98" t="n">
        <x:f>IF(OR(N18="",N17=""),"",N18-N17)</x:f>
        <x:v>0.013486582823147852</x:v>
      </x:c>
      <x:c r="P18" s="96" t="n">
        <x:f>'Datos_fuente'!M18</x:f>
        <x:v>0</x:v>
      </x:c>
      <x:c r="Q18" s="98" t="n">
        <x:f>IF('Datos_fuente'!N18="","",LN('Datos_fuente'!N18))</x:f>
        <x:v>9.64442468246411</x:v>
      </x:c>
      <x:c r="R18" s="98" t="n">
        <x:f>IF(OR(Q18="",Q17=""),"",Q18-Q17)</x:f>
        <x:v>-0.0011091647728651566</x:v>
      </x:c>
      <x:c r="S18" s="63" t="n">
        <x:f>'Datos_fuente'!P18</x:f>
        <x:v>1.810952381</x:v>
      </x:c>
      <x:c r="T18" s="63" t="n">
        <x:f>IF(OR(S18="",S17=""),"",S18-S17)</x:f>
        <x:v>-0.08359307399999993</x:v>
      </x:c>
      <x:c r="U18" s="98" t="n">
        <x:f>IF('Datos_fuente'!Q18="","",ASINH('Datos_fuente'!Q18/1000))</x:f>
        <x:v>-0.6938430352396617</x:v>
      </x:c>
      <x:c r="V18" s="98" t="n">
        <x:f>IF(OR(U18="",U17=""),"",U18-U17)</x:f>
        <x:v>-0.15661974265923073</x:v>
      </x:c>
      <x:c r="W18" s="98" t="n">
        <x:f>IF('Datos_fuente'!R18="","",ASINH('Datos_fuente'!R18/1000))</x:f>
        <x:v>0.4265839188530113</x:v>
      </x:c>
      <x:c r="X18" s="98" t="n">
        <x:f>IF(OR(W18="",W17=""),"",W18-W17)</x:f>
        <x:v>-0.06295730191598259</x:v>
      </x:c>
      <x:c r="Y18" s="63" t="n">
        <x:f>'Datos_fuente'!W18</x:f>
        <x:v>2.523281004</x:v>
      </x:c>
      <x:c r="Z18" s="63" t="n">
        <x:f>IF(OR(Y18="",Y17=""),"",Y18-Y17)</x:f>
        <x:v>0.059171475000000306</x:v>
      </x:c>
      <x:c r="AA18" s="98" t="n">
        <x:f>'Datos_fuente'!AB18</x:f>
        <x:v>-0.1980495202</x:v>
      </x:c>
      <x:c r="AB18" s="98" t="n">
        <x:f>'Datos_fuente'!AC18</x:f>
        <x:v>-0.254976089</x:v>
      </x:c>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f>'Datos_fuente'!A19</x:f>
        <x:v>2007-01</x:v>
      </x:c>
      <x:c r="B19" s="98" t="n">
        <x:f>IF('Datos_fuente'!B19="","",LN('Datos_fuente'!B19))</x:f>
        <x:v>7.712534285461438</x:v>
      </x:c>
      <x:c r="C19" s="98" t="n">
        <x:f>IF(OR(B19="",B18=""),"",B19-B18)</x:f>
        <x:v>-0.010897919154713165</x:v>
      </x:c>
      <x:c r="D19" s="98" t="n">
        <x:f>IF('Datos_fuente'!C19="","",LN('Datos_fuente'!C19))</x:f>
        <x:v>4.829592918800682</x:v>
      </x:c>
      <x:c r="E19" s="98" t="n">
        <x:f>IF(OR(D19="",D18=""),"",D19-D18)</x:f>
        <x:v>-0.044382283869501826</x:v>
      </x:c>
      <x:c r="F19" s="98" t="n">
        <x:f>IF('Datos_fuente'!E19="","",LN('Datos_fuente'!E19))</x:f>
        <x:v>8.268562587027365</x:v>
      </x:c>
      <x:c r="G19" s="98" t="n">
        <x:f>IF(OR(F19="",F18=""),"",F19-F18)</x:f>
        <x:v>0.009896630899415726</x:v>
      </x:c>
      <x:c r="H19" s="63" t="n">
        <x:f>'Datos_fuente'!H19</x:f>
        <x:v>2.274193548</x:v>
      </x:c>
      <x:c r="I19" s="63" t="n">
        <x:f>IF(OR(H19="",H18=""),"",H19-H18)</x:f>
        <x:v>0.15129032199999992</x:v>
      </x:c>
      <x:c r="J19" s="63" t="n">
        <x:f>'Datos_fuente'!J19</x:f>
        <x:v>2.726369078</x:v>
      </x:c>
      <x:c r="K19" s="63" t="n">
        <x:f>IF(OR(J19="",J18=""),"",J19-J18)</x:f>
        <x:v>-0.6991570350000003</x:v>
      </x:c>
      <x:c r="L19" s="98" t="n">
        <x:f>IF('Datos_fuente'!K19="","",LN('Datos_fuente'!K19))</x:f>
        <x:v>4.583269888272881</x:v>
      </x:c>
      <x:c r="M19" s="98" t="n">
        <x:f>IF(OR(L19="",L18=""),"",L19-L18)</x:f>
        <x:v>0.01067381026589942</x:v>
      </x:c>
      <x:c r="N19" s="98" t="n">
        <x:f>IF('Datos_fuente'!L19="","",LN('Datos_fuente'!L19))</x:f>
        <x:v>2.4017514644885445</x:v>
      </x:c>
      <x:c r="O19" s="98" t="n">
        <x:f>IF(OR(N19="",N18=""),"",N19-N18)</x:f>
        <x:v>0.007088683293591025</x:v>
      </x:c>
      <x:c r="P19" s="96" t="n">
        <x:f>'Datos_fuente'!M19</x:f>
        <x:v>0</x:v>
      </x:c>
      <x:c r="Q19" s="98" t="n">
        <x:f>IF('Datos_fuente'!N19="","",LN('Datos_fuente'!N19))</x:f>
        <x:v>9.707872831843186</x:v>
      </x:c>
      <x:c r="R19" s="98" t="n">
        <x:f>IF(OR(Q19="",Q18=""),"",Q19-Q18)</x:f>
        <x:v>0.0634481493790755</x:v>
      </x:c>
      <x:c r="S19" s="63" t="n">
        <x:f>'Datos_fuente'!P19</x:f>
        <x:v>1.647826087</x:v>
      </x:c>
      <x:c r="T19" s="63" t="n">
        <x:f>IF(OR(S19="",S18=""),"",S19-S18)</x:f>
        <x:v>-0.163126294</x:v>
      </x:c>
      <x:c r="U19" s="98" t="n">
        <x:f>IF('Datos_fuente'!Q19="","",ASINH('Datos_fuente'!Q19/1000))</x:f>
        <x:v>-0.5005805175518822</x:v>
      </x:c>
      <x:c r="V19" s="98" t="n">
        <x:f>IF(OR(U19="",U18=""),"",U19-U18)</x:f>
        <x:v>0.19326251768777958</x:v>
      </x:c>
      <x:c r="W19" s="98" t="n">
        <x:f>IF('Datos_fuente'!R19="","",ASINH('Datos_fuente'!R19/1000))</x:f>
        <x:v>1.0454860586593153</x:v>
      </x:c>
      <x:c r="X19" s="98" t="n">
        <x:f>IF(OR(W19="",W18=""),"",W19-W18)</x:f>
        <x:v>0.618902139806304</x:v>
      </x:c>
      <x:c r="Y19" s="63" t="n">
        <x:f>'Datos_fuente'!W19</x:f>
        <x:v>2.486160328</x:v>
      </x:c>
      <x:c r="Z19" s="63" t="n">
        <x:f>IF(OR(Y19="",Y18=""),"",Y19-Y18)</x:f>
        <x:v>-0.03712067600000024</x:v>
      </x:c>
      <x:c r="AA19" s="98" t="n">
        <x:f>'Datos_fuente'!AB19</x:f>
        <x:v>0.2561482614</x:v>
      </x:c>
      <x:c r="AB19" s="98" t="n">
        <x:f>'Datos_fuente'!AC19</x:f>
        <x:v>0.1164464361</x:v>
      </x:c>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f>'Datos_fuente'!A20</x:f>
        <x:v>2007-02</x:v>
      </x:c>
      <x:c r="B20" s="98" t="n">
        <x:f>IF('Datos_fuente'!B20="","",LN('Datos_fuente'!B20))</x:f>
        <x:v>7.70866642395162</x:v>
      </x:c>
      <x:c r="C20" s="98" t="n">
        <x:f>IF(OR(B20="",B19=""),"",B20-B19)</x:f>
        <x:v>-0.0038678615098186597</x:v>
      </x:c>
      <x:c r="D20" s="98" t="n">
        <x:f>IF('Datos_fuente'!C20="","",LN('Datos_fuente'!C20))</x:f>
        <x:v>4.866995843894645</x:v>
      </x:c>
      <x:c r="E20" s="98" t="n">
        <x:f>IF(OR(D20="",D19=""),"",D20-D19)</x:f>
        <x:v>0.03740292509396337</x:v>
      </x:c>
      <x:c r="F20" s="98" t="n">
        <x:f>IF('Datos_fuente'!E20="","",LN('Datos_fuente'!E20))</x:f>
        <x:v>8.27755433757283</x:v>
      </x:c>
      <x:c r="G20" s="98" t="n">
        <x:f>IF(OR(F20="",F19=""),"",F20-F19)</x:f>
        <x:v>0.008991750545465749</x:v>
      </x:c>
      <x:c r="H20" s="63" t="n">
        <x:f>'Datos_fuente'!H20</x:f>
        <x:v>2.516785714</x:v>
      </x:c>
      <x:c r="I20" s="63" t="n">
        <x:f>IF(OR(H20="",H19=""),"",H20-H19)</x:f>
        <x:v>0.2425921660000001</x:v>
      </x:c>
      <x:c r="J20" s="63" t="n">
        <x:f>'Datos_fuente'!J20</x:f>
        <x:v>2.727114411</x:v>
      </x:c>
      <x:c r="K20" s="63" t="n">
        <x:f>IF(OR(J20="",J19=""),"",J20-J19)</x:f>
        <x:v>0.0007453330000002367</x:v>
      </x:c>
      <x:c r="L20" s="98" t="n">
        <x:f>IF('Datos_fuente'!K20="","",LN('Datos_fuente'!K20))</x:f>
        <x:v>4.579610553894914</x:v>
      </x:c>
      <x:c r="M20" s="98" t="n">
        <x:f>IF(OR(L20="",L19=""),"",L20-L19)</x:f>
        <x:v>-0.0036593343779669496</x:v>
      </x:c>
      <x:c r="N20" s="98" t="n">
        <x:f>IF('Datos_fuente'!L20="","",LN('Datos_fuente'!L20))</x:f>
        <x:v>2.4119114188209294</x:v>
      </x:c>
      <x:c r="O20" s="98" t="n">
        <x:f>IF(OR(N20="",N19=""),"",N20-N19)</x:f>
        <x:v>0.010159954332384924</x:v>
      </x:c>
      <x:c r="P20" s="96" t="n">
        <x:f>'Datos_fuente'!M20</x:f>
        <x:v>0</x:v>
      </x:c>
      <x:c r="Q20" s="98" t="n">
        <x:f>IF('Datos_fuente'!N20="","",LN('Datos_fuente'!N20))</x:f>
        <x:v>9.775129611645598</x:v>
      </x:c>
      <x:c r="R20" s="98" t="n">
        <x:f>IF(OR(Q20="",Q19=""),"",Q20-Q19)</x:f>
        <x:v>0.06725677980241151</x:v>
      </x:c>
      <x:c r="S20" s="63" t="n">
        <x:f>'Datos_fuente'!P20</x:f>
        <x:v>1.6325</x:v>
      </x:c>
      <x:c r="T20" s="63" t="n">
        <x:f>IF(OR(S20="",S19=""),"",S20-S19)</x:f>
        <x:v>-0.015326087000000044</x:v>
      </x:c>
      <x:c r="U20" s="98" t="n">
        <x:f>IF('Datos_fuente'!Q20="","",ASINH('Datos_fuente'!Q20/1000))</x:f>
        <x:v>-0.5908304393723851</x:v>
      </x:c>
      <x:c r="V20" s="98" t="n">
        <x:f>IF(OR(U20="",U19=""),"",U20-U19)</x:f>
        <x:v>-0.09024992182050295</x:v>
      </x:c>
      <x:c r="W20" s="98" t="n">
        <x:f>IF('Datos_fuente'!R20="","",ASINH('Datos_fuente'!R20/1000))</x:f>
        <x:v>1.183528183959804</x:v>
      </x:c>
      <x:c r="X20" s="98" t="n">
        <x:f>IF(OR(W20="",W19=""),"",W20-W19)</x:f>
        <x:v>0.13804212530048865</x:v>
      </x:c>
      <x:c r="Y20" s="63" t="n">
        <x:f>'Datos_fuente'!W20</x:f>
        <x:v>2.769417557</x:v>
      </x:c>
      <x:c r="Z20" s="63" t="n">
        <x:f>IF(OR(Y20="",Y19=""),"",Y20-Y19)</x:f>
        <x:v>0.28325722900000017</x:v>
      </x:c>
      <x:c r="AA20" s="98" t="n">
        <x:f>'Datos_fuente'!AB20</x:f>
        <x:v>-0.2001864049</x:v>
      </x:c>
      <x:c r="AB20" s="98" t="n">
        <x:f>'Datos_fuente'!AC20</x:f>
        <x:v>-0.1626350848</x:v>
      </x:c>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f>'Datos_fuente'!A21</x:f>
        <x:v>2007-03</x:v>
      </x:c>
      <x:c r="B21" s="98" t="n">
        <x:f>IF('Datos_fuente'!B21="","",LN('Datos_fuente'!B21))</x:f>
        <x:v>7.697504766009263</x:v>
      </x:c>
      <x:c r="C21" s="98" t="n">
        <x:f>IF(OR(B21="",B20=""),"",B21-B20)</x:f>
        <x:v>-0.011161657942357017</x:v>
      </x:c>
      <x:c r="D21" s="98" t="n">
        <x:f>IF('Datos_fuente'!C21="","",LN('Datos_fuente'!C21))</x:f>
        <x:v>4.869685980408033</x:v>
      </x:c>
      <x:c r="E21" s="98" t="n">
        <x:f>IF(OR(D21="",D20=""),"",D21-D20)</x:f>
        <x:v>0.0026901365133875643</x:v>
      </x:c>
      <x:c r="F21" s="98" t="n">
        <x:f>IF('Datos_fuente'!E21="","",LN('Datos_fuente'!E21))</x:f>
        <x:v>8.28125058047132</x:v>
      </x:c>
      <x:c r="G21" s="98" t="n">
        <x:f>IF(OR(F21="",F20=""),"",F21-F20)</x:f>
        <x:v>0.003696242898490354</x:v>
      </x:c>
      <x:c r="H21" s="63" t="n">
        <x:f>'Datos_fuente'!H21</x:f>
        <x:v>2.788387097</x:v>
      </x:c>
      <x:c r="I21" s="63" t="n">
        <x:f>IF(OR(H21="",H20=""),"",H21-H20)</x:f>
        <x:v>0.27160138300000014</x:v>
      </x:c>
      <x:c r="J21" s="63" t="n">
        <x:f>'Datos_fuente'!J21</x:f>
        <x:v>2.890076276</x:v>
      </x:c>
      <x:c r="K21" s="63" t="n">
        <x:f>IF(OR(J21="",J20=""),"",J21-J20)</x:f>
        <x:v>0.16296186499999976</x:v>
      </x:c>
      <x:c r="L21" s="98" t="n">
        <x:f>IF('Datos_fuente'!K21="","",LN('Datos_fuente'!K21))</x:f>
        <x:v>4.574832152089402</x:v>
      </x:c>
      <x:c r="M21" s="98" t="n">
        <x:f>IF(OR(L21="",L20=""),"",L21-L20)</x:f>
        <x:v>-0.0047784018055114785</x:v>
      </x:c>
      <x:c r="N21" s="98" t="n">
        <x:f>IF('Datos_fuente'!L21="","",LN('Datos_fuente'!L21))</x:f>
        <x:v>2.7188402631108444</x:v>
      </x:c>
      <x:c r="O21" s="98" t="n">
        <x:f>IF(OR(N21="",N20=""),"",N21-N20)</x:f>
        <x:v>0.30692884428991496</x:v>
      </x:c>
      <x:c r="P21" s="96" t="n">
        <x:f>'Datos_fuente'!M21</x:f>
        <x:v>0</x:v>
      </x:c>
      <x:c r="Q21" s="98" t="n">
        <x:f>IF('Datos_fuente'!N21="","",LN('Datos_fuente'!N21))</x:f>
        <x:v>9.85183524634313</x:v>
      </x:c>
      <x:c r="R21" s="98" t="n">
        <x:f>IF(OR(Q21="",Q20=""),"",Q21-Q20)</x:f>
        <x:v>0.07670563469753233</x:v>
      </x:c>
      <x:c r="S21" s="63" t="n">
        <x:f>'Datos_fuente'!P21</x:f>
        <x:v>1.710909091</x:v>
      </x:c>
      <x:c r="T21" s="63" t="n">
        <x:f>IF(OR(S21="",S20=""),"",S21-S20)</x:f>
        <x:v>0.07840909099999993</x:v>
      </x:c>
      <x:c r="U21" s="98" t="n">
        <x:f>IF('Datos_fuente'!Q21="","",ASINH('Datos_fuente'!Q21/1000))</x:f>
        <x:v>-0.6510601322619587</x:v>
      </x:c>
      <x:c r="V21" s="98" t="n">
        <x:f>IF(OR(U21="",U20=""),"",U21-U20)</x:f>
        <x:v>-0.06022969288957358</x:v>
      </x:c>
      <x:c r="W21" s="98" t="n">
        <x:f>IF('Datos_fuente'!R21="","",ASINH('Datos_fuente'!R21/1000))</x:f>
        <x:v>1.3561860066630893</x:v>
      </x:c>
      <x:c r="X21" s="98" t="n">
        <x:f>IF(OR(W21="",W20=""),"",W21-W20)</x:f>
        <x:v>0.17265782270328534</x:v>
      </x:c>
      <x:c r="Y21" s="63" t="n">
        <x:f>'Datos_fuente'!W21</x:f>
        <x:v>2.773954158</x:v>
      </x:c>
      <x:c r="Z21" s="63" t="n">
        <x:f>IF(OR(Y21="",Y20=""),"",Y21-Y20)</x:f>
        <x:v>0.0045366009999998624</x:v>
      </x:c>
      <x:c r="AA21" s="98" t="n">
        <x:f>'Datos_fuente'!AB21</x:f>
        <x:v>-0.08979596971</x:v>
      </x:c>
      <x:c r="AB21" s="98" t="n">
        <x:f>'Datos_fuente'!AC21</x:f>
        <x:v>-0.09461658682</x:v>
      </x:c>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f>'Datos_fuente'!A22</x:f>
        <x:v>2007-04</x:v>
      </x:c>
      <x:c r="B22" s="98" t="n">
        <x:f>IF('Datos_fuente'!B22="","",LN('Datos_fuente'!B22))</x:f>
        <x:v>7.670848521198909</x:v>
      </x:c>
      <x:c r="C22" s="98" t="n">
        <x:f>IF(OR(B22="",B21=""),"",B22-B21)</x:f>
        <x:v>-0.026656244810353336</x:v>
      </x:c>
      <x:c r="D22" s="98" t="n">
        <x:f>IF('Datos_fuente'!C22="","",LN('Datos_fuente'!C22))</x:f>
        <x:v>4.9037921984782065</x:v>
      </x:c>
      <x:c r="E22" s="98" t="n">
        <x:f>IF(OR(D22="",D21=""),"",D22-D21)</x:f>
        <x:v>0.03410621807017389</x:v>
      </x:c>
      <x:c r="F22" s="98" t="n">
        <x:f>IF('Datos_fuente'!E22="","",LN('Datos_fuente'!E22))</x:f>
        <x:v>8.289943722346532</x:v>
      </x:c>
      <x:c r="G22" s="98" t="n">
        <x:f>IF(OR(F22="",F21=""),"",F22-F21)</x:f>
        <x:v>0.008693141875211197</x:v>
      </x:c>
      <x:c r="H22" s="63" t="n">
        <x:f>'Datos_fuente'!H22</x:f>
        <x:v>3</x:v>
      </x:c>
      <x:c r="I22" s="63" t="n">
        <x:f>IF(OR(H22="",H21=""),"",H22-H21)</x:f>
        <x:v>0.2116129029999998</x:v>
      </x:c>
      <x:c r="J22" s="63" t="n">
        <x:f>'Datos_fuente'!J22</x:f>
        <x:v>2.647914181</x:v>
      </x:c>
      <x:c r="K22" s="63" t="n">
        <x:f>IF(OR(J22="",J21=""),"",J22-J21)</x:f>
        <x:v>-0.24216209499999986</x:v>
      </x:c>
      <x:c r="L22" s="98" t="n">
        <x:f>IF('Datos_fuente'!K22="","",LN('Datos_fuente'!K22))</x:f>
        <x:v>4.560509583429887</x:v>
      </x:c>
      <x:c r="M22" s="98" t="n">
        <x:f>IF(OR(L22="",L21=""),"",L22-L21)</x:f>
        <x:v>-0.014322568659514978</x:v>
      </x:c>
      <x:c r="N22" s="98" t="n">
        <x:f>IF('Datos_fuente'!L22="","",LN('Datos_fuente'!L22))</x:f>
        <x:v>2.5597821844331072</x:v>
      </x:c>
      <x:c r="O22" s="98" t="n">
        <x:f>IF(OR(N22="",N21=""),"",N22-N21)</x:f>
        <x:v>-0.15905807867773714</x:v>
      </x:c>
      <x:c r="P22" s="96" t="n">
        <x:f>'Datos_fuente'!M22</x:f>
        <x:v>0</x:v>
      </x:c>
      <x:c r="Q22" s="98" t="n">
        <x:f>IF('Datos_fuente'!N22="","",LN('Datos_fuente'!N22))</x:f>
        <x:v>9.892215258274247</x:v>
      </x:c>
      <x:c r="R22" s="98" t="n">
        <x:f>IF(OR(Q22="",Q21=""),"",Q22-Q21)</x:f>
        <x:v>0.0403800119311164</x:v>
      </x:c>
      <x:c r="S22" s="63" t="n">
        <x:f>'Datos_fuente'!P22</x:f>
        <x:v>1.424285714</x:v>
      </x:c>
      <x:c r="T22" s="63" t="n">
        <x:f>IF(OR(S22="",S21=""),"",S22-S21)</x:f>
        <x:v>-0.28662337699999996</x:v>
      </x:c>
      <x:c r="U22" s="98" t="n">
        <x:f>IF('Datos_fuente'!Q22="","",ASINH('Datos_fuente'!Q22/1000))</x:f>
        <x:v>-0.566868831827445</x:v>
      </x:c>
      <x:c r="V22" s="98" t="n">
        <x:f>IF(OR(U22="",U21=""),"",U22-U21)</x:f>
        <x:v>0.08419130043451373</x:v>
      </x:c>
      <x:c r="W22" s="98" t="n">
        <x:f>IF('Datos_fuente'!R22="","",ASINH('Datos_fuente'!R22/1000))</x:f>
        <x:v>0.9131423204798614</x:v>
      </x:c>
      <x:c r="X22" s="98" t="n">
        <x:f>IF(OR(W22="",W21=""),"",W22-W21)</x:f>
        <x:v>-0.44304368618322787</x:v>
      </x:c>
      <x:c r="Y22" s="63" t="n">
        <x:f>'Datos_fuente'!W22</x:f>
        <x:v>2.717443117</x:v>
      </x:c>
      <x:c r="Z22" s="63" t="n">
        <x:f>IF(OR(Y22="",Y21=""),"",Y22-Y21)</x:f>
        <x:v>-0.05651104099999982</x:v>
      </x:c>
      <x:c r="AA22" s="98" t="n">
        <x:f>'Datos_fuente'!AB22</x:f>
        <x:v>-0.6554819</x:v>
      </x:c>
      <x:c r="AB22" s="98" t="n">
        <x:f>'Datos_fuente'!AC22</x:f>
        <x:v>-0.5355140574</x:v>
      </x:c>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f>'Datos_fuente'!A23</x:f>
        <x:v>2007-05</x:v>
      </x:c>
      <x:c r="B23" s="98" t="n">
        <x:f>IF('Datos_fuente'!B23="","",LN('Datos_fuente'!B23))</x:f>
        <x:v>7.605599154781346</x:v>
      </x:c>
      <x:c r="C23" s="98" t="n">
        <x:f>IF(OR(B23="",B22=""),"",B23-B22)</x:f>
        <x:v>-0.06524936641756351</x:v>
      </x:c>
      <x:c r="D23" s="98" t="n">
        <x:f>IF('Datos_fuente'!C23="","",LN('Datos_fuente'!C23))</x:f>
        <x:v>4.932673752626544</x:v>
      </x:c>
      <x:c r="E23" s="98" t="n">
        <x:f>IF(OR(D23="",D22=""),"",D23-D22)</x:f>
        <x:v>0.028881554148337152</x:v>
      </x:c>
      <x:c r="F23" s="98" t="n">
        <x:f>IF('Datos_fuente'!E23="","",LN('Datos_fuente'!E23))</x:f>
        <x:v>8.283117602532469</x:v>
      </x:c>
      <x:c r="G23" s="98" t="n">
        <x:f>IF(OR(F23="",F22=""),"",F23-F22)</x:f>
        <x:v>-0.006826119814062892</x:v>
      </x:c>
      <x:c r="H23" s="63" t="n">
        <x:f>'Datos_fuente'!H23</x:f>
        <x:v>3.322580645</x:v>
      </x:c>
      <x:c r="I23" s="63" t="n">
        <x:f>IF(OR(H23="",H22=""),"",H23-H22)</x:f>
        <x:v>0.32258064499999994</x:v>
      </x:c>
      <x:c r="J23" s="63" t="n">
        <x:f>'Datos_fuente'!J23</x:f>
        <x:v>2.069261745</x:v>
      </x:c>
      <x:c r="K23" s="63" t="n">
        <x:f>IF(OR(J23="",J22=""),"",J23-J22)</x:f>
        <x:v>-0.578652436</x:v>
      </x:c>
      <x:c r="L23" s="98" t="n">
        <x:f>IF('Datos_fuente'!K23="","",LN('Datos_fuente'!K23))</x:f>
        <x:v>4.5509520693170105</x:v>
      </x:c>
      <x:c r="M23" s="98" t="n">
        <x:f>IF(OR(L23="",L22=""),"",L23-L22)</x:f>
        <x:v>-0.009557514112876753</x:v>
      </x:c>
      <x:c r="N23" s="98" t="n">
        <x:f>IF('Datos_fuente'!L23="","",LN('Datos_fuente'!L23))</x:f>
        <x:v>2.587593138670836</x:v>
      </x:c>
      <x:c r="O23" s="98" t="n">
        <x:f>IF(OR(N23="",N22=""),"",N23-N22)</x:f>
        <x:v>0.027810954237728946</x:v>
      </x:c>
      <x:c r="P23" s="96" t="n">
        <x:f>'Datos_fuente'!M23</x:f>
        <x:v>0</x:v>
      </x:c>
      <x:c r="Q23" s="98" t="n">
        <x:f>IF('Datos_fuente'!N23="","",LN('Datos_fuente'!N23))</x:f>
        <x:v>9.923748408163002</x:v>
      </x:c>
      <x:c r="R23" s="98" t="n">
        <x:f>IF(OR(Q23="",Q22=""),"",Q23-Q22)</x:f>
        <x:v>0.03153314988875522</x:v>
      </x:c>
      <x:c r="S23" s="63" t="n">
        <x:f>'Datos_fuente'!P23</x:f>
        <x:v>1.3</x:v>
      </x:c>
      <x:c r="T23" s="63" t="n">
        <x:f>IF(OR(S23="",S22=""),"",S23-S22)</x:f>
        <x:v>-0.12428571399999999</x:v>
      </x:c>
      <x:c r="U23" s="98" t="n">
        <x:f>IF('Datos_fuente'!Q23="","",ASINH('Datos_fuente'!Q23/1000))</x:f>
        <x:v>-0.6162564384711106</x:v>
      </x:c>
      <x:c r="V23" s="98" t="n">
        <x:f>IF(OR(U23="",U22=""),"",U23-U22)</x:f>
        <x:v>-0.049387606643665594</x:v>
      </x:c>
      <x:c r="W23" s="98" t="n">
        <x:f>IF('Datos_fuente'!R23="","",ASINH('Datos_fuente'!R23/1000))</x:f>
        <x:v>0.9181859819214345</x:v>
      </x:c>
      <x:c r="X23" s="98" t="n">
        <x:f>IF(OR(W23="",W22=""),"",W23-W22)</x:f>
        <x:v>0.0050436614415730885</x:v>
      </x:c>
      <x:c r="Y23" s="63" t="n">
        <x:f>'Datos_fuente'!W23</x:f>
        <x:v>2.749523601</x:v>
      </x:c>
      <x:c r="Z23" s="63" t="n">
        <x:f>IF(OR(Y23="",Y22=""),"",Y23-Y22)</x:f>
        <x:v>0.03208048399999974</x:v>
      </x:c>
      <x:c r="AA23" s="98" t="n">
        <x:f>'Datos_fuente'!AB23</x:f>
        <x:v>-0.7200689434</x:v>
      </x:c>
      <x:c r="AB23" s="98" t="n">
        <x:f>'Datos_fuente'!AC23</x:f>
        <x:v>-0.6049330023</x:v>
      </x:c>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f>'Datos_fuente'!A24</x:f>
        <x:v>2007-06</x:v>
      </x:c>
      <x:c r="B24" s="98" t="n">
        <x:f>IF('Datos_fuente'!B24="","",LN('Datos_fuente'!B24))</x:f>
        <x:v>7.561919571266223</x:v>
      </x:c>
      <x:c r="C24" s="98" t="n">
        <x:f>IF(OR(B24="",B23=""),"",B24-B23)</x:f>
        <x:v>-0.043679583515122467</x:v>
      </x:c>
      <x:c r="D24" s="98" t="n">
        <x:f>IF('Datos_fuente'!C24="","",LN('Datos_fuente'!C24))</x:f>
        <x:v>4.935408747853786</x:v>
      </x:c>
      <x:c r="E24" s="98" t="n">
        <x:f>IF(OR(D24="",D23=""),"",D24-D23)</x:f>
        <x:v>0.0027349952272421874</x:v>
      </x:c>
      <x:c r="F24" s="98" t="n">
        <x:f>IF('Datos_fuente'!E24="","",LN('Datos_fuente'!E24))</x:f>
        <x:v>8.281240451606841</x:v>
      </x:c>
      <x:c r="G24" s="98" t="n">
        <x:f>IF(OR(F24="",F23=""),"",F24-F23)</x:f>
        <x:v>-0.0018771509256279018</x:v>
      </x:c>
      <x:c r="H24" s="63" t="n">
        <x:f>'Datos_fuente'!H24</x:f>
        <x:v>3.6</x:v>
      </x:c>
      <x:c r="I24" s="63" t="n">
        <x:f>IF(OR(H24="",H23=""),"",H24-H23)</x:f>
        <x:v>0.27741935500000015</x:v>
      </x:c>
      <x:c r="J24" s="63" t="n">
        <x:f>'Datos_fuente'!J24</x:f>
        <x:v>2.290703207</x:v>
      </x:c>
      <x:c r="K24" s="63" t="n">
        <x:f>IF(OR(J24="",J23=""),"",J24-J23)</x:f>
        <x:v>0.22144146200000003</x:v>
      </x:c>
      <x:c r="L24" s="98" t="n">
        <x:f>IF('Datos_fuente'!K24="","",LN('Datos_fuente'!K24))</x:f>
        <x:v>4.54801669646543</x:v>
      </x:c>
      <x:c r="M24" s="98" t="n">
        <x:f>IF(OR(L24="",L23=""),"",L24-L23)</x:f>
        <x:v>-0.002935372851580631</x:v>
      </x:c>
      <x:c r="N24" s="98" t="n">
        <x:f>IF('Datos_fuente'!L24="","",LN('Datos_fuente'!L24))</x:f>
        <x:v>2.7045520262837712</x:v>
      </x:c>
      <x:c r="O24" s="98" t="n">
        <x:f>IF(OR(N24="",N23=""),"",N24-N23)</x:f>
        <x:v>0.11695888761293505</x:v>
      </x:c>
      <x:c r="P24" s="96" t="n">
        <x:f>'Datos_fuente'!M24</x:f>
        <x:v>0</x:v>
      </x:c>
      <x:c r="Q24" s="98" t="n">
        <x:f>IF('Datos_fuente'!N24="","",LN('Datos_fuente'!N24))</x:f>
        <x:v>9.903208013468724</x:v>
      </x:c>
      <x:c r="R24" s="98" t="n">
        <x:f>IF(OR(Q24="",Q23=""),"",Q24-Q23)</x:f>
        <x:v>-0.020540394694277708</x:v>
      </x:c>
      <x:c r="S24" s="63" t="n">
        <x:f>'Datos_fuente'!P24</x:f>
        <x:v>1.083809524</x:v>
      </x:c>
      <x:c r="T24" s="63" t="n">
        <x:f>IF(OR(S24="",S23=""),"",S24-S23)</x:f>
        <x:v>-0.21619047599999996</x:v>
      </x:c>
      <x:c r="U24" s="98" t="n">
        <x:f>IF('Datos_fuente'!Q24="","",ASINH('Datos_fuente'!Q24/1000))</x:f>
        <x:v>-0.5417747011788744</x:v>
      </x:c>
      <x:c r="V24" s="98" t="n">
        <x:f>IF(OR(U24="",U23=""),"",U24-U23)</x:f>
        <x:v>0.07448173729223617</x:v>
      </x:c>
      <x:c r="W24" s="98" t="n">
        <x:f>IF('Datos_fuente'!R24="","",ASINH('Datos_fuente'!R24/1000))</x:f>
        <x:v>-0.15445514332211766</x:v>
      </x:c>
      <x:c r="X24" s="98" t="n">
        <x:f>IF(OR(W24="",W23=""),"",W24-W23)</x:f>
        <x:v>-1.0726411252435522</x:v>
      </x:c>
      <x:c r="Y24" s="63" t="n">
        <x:f>'Datos_fuente'!W24</x:f>
        <x:v>2.085569162</x:v>
      </x:c>
      <x:c r="Z24" s="63" t="n">
        <x:f>IF(OR(Y24="",Y23=""),"",Y24-Y23)</x:f>
        <x:v>-0.6639544389999998</x:v>
      </x:c>
      <x:c r="AA24" s="98" t="n">
        <x:f>'Datos_fuente'!AB24</x:f>
        <x:v>-0.2115894945</x:v>
      </x:c>
      <x:c r="AB24" s="98" t="n">
        <x:f>'Datos_fuente'!AC24</x:f>
        <x:v>-0.1391118828</x:v>
      </x:c>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f>'Datos_fuente'!A25</x:f>
        <x:v>2007-07</x:v>
      </x:c>
      <x:c r="B25" s="98" t="n">
        <x:f>IF('Datos_fuente'!B25="","",LN('Datos_fuente'!B25))</x:f>
        <x:v>7.576529614170724</x:v>
      </x:c>
      <x:c r="C25" s="98" t="n">
        <x:f>IF(OR(B25="",B24=""),"",B25-B24)</x:f>
        <x:v>0.01461004290450063</x:v>
      </x:c>
      <x:c r="D25" s="98" t="n">
        <x:f>IF('Datos_fuente'!C25="","",LN('Datos_fuente'!C25))</x:f>
        <x:v>4.947056312453384</x:v>
      </x:c>
      <x:c r="E25" s="98" t="n">
        <x:f>IF(OR(D25="",D24=""),"",D25-D24)</x:f>
        <x:v>0.011647564599598148</x:v>
      </x:c>
      <x:c r="F25" s="98" t="n">
        <x:f>IF('Datos_fuente'!E25="","",LN('Datos_fuente'!E25))</x:f>
        <x:v>8.295046642929496</x:v>
      </x:c>
      <x:c r="G25" s="98" t="n">
        <x:f>IF(OR(F25="",F24=""),"",F25-F24)</x:f>
        <x:v>0.013806191322654371</x:v>
      </x:c>
      <x:c r="H25" s="63" t="n">
        <x:f>'Datos_fuente'!H25</x:f>
        <x:v>3.756129032</x:v>
      </x:c>
      <x:c r="I25" s="63" t="n">
        <x:f>IF(OR(H25="",H24=""),"",H25-H24)</x:f>
        <x:v>0.15612903199999995</x:v>
      </x:c>
      <x:c r="J25" s="63" t="n">
        <x:f>'Datos_fuente'!J25</x:f>
        <x:v>2.523620514</x:v>
      </x:c>
      <x:c r="K25" s="63" t="n">
        <x:f>IF(OR(J25="",J24=""),"",J25-J24)</x:f>
        <x:v>0.23291730700000013</x:v>
      </x:c>
      <x:c r="L25" s="98" t="n">
        <x:f>IF('Datos_fuente'!K25="","",LN('Datos_fuente'!K25))</x:f>
        <x:v>4.534811170751572</x:v>
      </x:c>
      <x:c r="M25" s="98" t="n">
        <x:f>IF(OR(L25="",L24=""),"",L25-L24)</x:f>
        <x:v>-0.013205525713857469</x:v>
      </x:c>
      <x:c r="N25" s="98" t="n">
        <x:f>IF('Datos_fuente'!L25="","",LN('Datos_fuente'!L25))</x:f>
        <x:v>2.8491638862728785</x:v>
      </x:c>
      <x:c r="O25" s="98" t="n">
        <x:f>IF(OR(N25="",N24=""),"",N25-N24)</x:f>
        <x:v>0.1446118599891073</x:v>
      </x:c>
      <x:c r="P25" s="96" t="n">
        <x:f>'Datos_fuente'!M25</x:f>
        <x:v>0</x:v>
      </x:c>
      <x:c r="Q25" s="98" t="n">
        <x:f>IF('Datos_fuente'!N25="","",LN('Datos_fuente'!N25))</x:f>
        <x:v>9.913225484596646</x:v>
      </x:c>
      <x:c r="R25" s="98" t="n">
        <x:f>IF(OR(Q25="",Q24=""),"",Q25-Q24)</x:f>
        <x:v>0.01001747112792195</x:v>
      </x:c>
      <x:c r="S25" s="63" t="n">
        <x:f>'Datos_fuente'!P25</x:f>
        <x:v>1.354545455</x:v>
      </x:c>
      <x:c r="T25" s="63" t="n">
        <x:f>IF(OR(S25="",S24=""),"",S25-S24)</x:f>
        <x:v>0.27073593099999993</x:v>
      </x:c>
      <x:c r="U25" s="98" t="n">
        <x:f>IF('Datos_fuente'!Q25="","",ASINH('Datos_fuente'!Q25/1000))</x:f>
        <x:v>-0.6306974080377187</x:v>
      </x:c>
      <x:c r="V25" s="98" t="n">
        <x:f>IF(OR(U25="",U24=""),"",U25-U24)</x:f>
        <x:v>-0.08892270685884429</x:v>
      </x:c>
      <x:c r="W25" s="98" t="n">
        <x:f>IF('Datos_fuente'!R25="","",ASINH('Datos_fuente'!R25/1000))</x:f>
        <x:v>0.6211246154476762</x:v>
      </x:c>
      <x:c r="X25" s="98" t="n">
        <x:f>IF(OR(W25="",W24=""),"",W25-W24)</x:f>
        <x:v>0.7755797587697938</x:v>
      </x:c>
      <x:c r="Y25" s="63" t="n">
        <x:f>'Datos_fuente'!W25</x:f>
        <x:v>2.024063473</x:v>
      </x:c>
      <x:c r="Z25" s="63" t="n">
        <x:f>IF(OR(Y25="",Y24=""),"",Y25-Y24)</x:f>
        <x:v>-0.061505689000000086</x:v>
      </x:c>
      <x:c r="AA25" s="98" t="n">
        <x:f>'Datos_fuente'!AB25</x:f>
        <x:v>-0.5416998111</x:v>
      </x:c>
      <x:c r="AB25" s="98" t="n">
        <x:f>'Datos_fuente'!AC25</x:f>
        <x:v>-0.4634862161</x:v>
      </x:c>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f>'Datos_fuente'!A26</x:f>
        <x:v>2007-08</x:v>
      </x:c>
      <x:c r="B26" s="98" t="n">
        <x:f>IF('Datos_fuente'!B26="","",LN('Datos_fuente'!B26))</x:f>
        <x:v>7.628559830937357</x:v>
      </x:c>
      <x:c r="C26" s="98" t="n">
        <x:f>IF(OR(B26="",B25=""),"",B26-B25)</x:f>
        <x:v>0.05203021676663333</x:v>
      </x:c>
      <x:c r="D26" s="98" t="n">
        <x:f>IF('Datos_fuente'!C26="","",LN('Datos_fuente'!C26))</x:f>
        <x:v>4.917276542350397</x:v>
      </x:c>
      <x:c r="E26" s="98" t="n">
        <x:f>IF(OR(D26="",D25=""),"",D26-D25)</x:f>
        <x:v>-0.029779770102987158</x:v>
      </x:c>
      <x:c r="F26" s="98" t="n">
        <x:f>IF('Datos_fuente'!E26="","",LN('Datos_fuente'!E26))</x:f>
        <x:v>8.31434234336979</x:v>
      </x:c>
      <x:c r="G26" s="98" t="n">
        <x:f>IF(OR(F26="",F25=""),"",F26-F25)</x:f>
        <x:v>0.019295700440293828</x:v>
      </x:c>
      <x:c r="H26" s="63" t="n">
        <x:f>'Datos_fuente'!H26</x:f>
        <x:v>4.23</x:v>
      </x:c>
      <x:c r="I26" s="63" t="n">
        <x:f>IF(OR(H26="",H25=""),"",H26-H25)</x:f>
        <x:v>0.4738709680000004</x:v>
      </x:c>
      <x:c r="J26" s="63" t="n">
        <x:f>'Datos_fuente'!J26</x:f>
        <x:v>2.40454409</x:v>
      </x:c>
      <x:c r="K26" s="63" t="n">
        <x:f>IF(OR(J26="",J25=""),"",J26-J25)</x:f>
        <x:v>-0.11907642400000018</x:v>
      </x:c>
      <x:c r="L26" s="98" t="n">
        <x:f>IF('Datos_fuente'!K26="","",LN('Datos_fuente'!K26))</x:f>
        <x:v>4.540741479087383</x:v>
      </x:c>
      <x:c r="M26" s="98" t="n">
        <x:f>IF(OR(L26="",L25=""),"",L26-L25)</x:f>
        <x:v>0.00593030833581043</x:v>
      </x:c>
      <x:c r="N26" s="98" t="n">
        <x:f>IF('Datos_fuente'!L26="","",LN('Datos_fuente'!L26))</x:f>
        <x:v>3.2199187592230487</x:v>
      </x:c>
      <x:c r="O26" s="98" t="n">
        <x:f>IF(OR(N26="",N25=""),"",N26-N25)</x:f>
        <x:v>0.3707548729501702</x:v>
      </x:c>
      <x:c r="P26" s="96" t="n">
        <x:f>'Datos_fuente'!M26</x:f>
        <x:v>0</x:v>
      </x:c>
      <x:c r="Q26" s="98" t="n">
        <x:f>IF('Datos_fuente'!N26="","",LN('Datos_fuente'!N26))</x:f>
        <x:v>9.90900629621789</x:v>
      </x:c>
      <x:c r="R26" s="98" t="n">
        <x:f>IF(OR(Q26="",Q25=""),"",Q26-Q25)</x:f>
        <x:v>-0.004219188378755234</x:v>
      </x:c>
      <x:c r="S26" s="63" t="n">
        <x:f>'Datos_fuente'!P26</x:f>
        <x:v>1.864347826</x:v>
      </x:c>
      <x:c r="T26" s="63" t="n">
        <x:f>IF(OR(S26="",S25=""),"",S26-S25)</x:f>
        <x:v>0.5098023709999999</x:v>
      </x:c>
      <x:c r="U26" s="98" t="n">
        <x:f>IF('Datos_fuente'!Q26="","",ASINH('Datos_fuente'!Q26/1000))</x:f>
        <x:v>-0.5503275601852524</x:v>
      </x:c>
      <x:c r="V26" s="98" t="n">
        <x:f>IF(OR(U26="",U25=""),"",U26-U25)</x:f>
        <x:v>0.08036984785246626</x:v>
      </x:c>
      <x:c r="W26" s="98" t="n">
        <x:f>IF('Datos_fuente'!R26="","",ASINH('Datos_fuente'!R26/1000))</x:f>
        <x:v>0.10384326834283415</x:v>
      </x:c>
      <x:c r="X26" s="98" t="n">
        <x:f>IF(OR(W26="",W25=""),"",W26-W25)</x:f>
        <x:v>-0.517281347104842</x:v>
      </x:c>
      <x:c r="Y26" s="63" t="n">
        <x:f>'Datos_fuente'!W26</x:f>
        <x:v>2.466545533</x:v>
      </x:c>
      <x:c r="Z26" s="63" t="n">
        <x:f>IF(OR(Y26="",Y25=""),"",Y26-Y25)</x:f>
        <x:v>0.4424820600000001</x:v>
      </x:c>
      <x:c r="AA26" s="98" t="n">
        <x:f>'Datos_fuente'!AB26</x:f>
        <x:v>0.6060650072</x:v>
      </x:c>
      <x:c r="AB26" s="98" t="n">
        <x:f>'Datos_fuente'!AC26</x:f>
        <x:v>0.4350479089</x:v>
      </x:c>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t="str">
        <x:f>'Datos_fuente'!A27</x:f>
        <x:v>2007-09</x:v>
      </x:c>
      <x:c r="B27" s="98" t="n">
        <x:f>IF('Datos_fuente'!B27="","",LN('Datos_fuente'!B27))</x:f>
        <x:v>7.656038951202122</x:v>
      </x:c>
      <x:c r="C27" s="98" t="n">
        <x:f>IF(OR(B27="",B26=""),"",B27-B26)</x:f>
        <x:v>0.027479120264764845</x:v>
      </x:c>
      <x:c r="D27" s="98" t="n">
        <x:f>IF('Datos_fuente'!C27="","",LN('Datos_fuente'!C27))</x:f>
        <x:v>4.958007776695569</x:v>
      </x:c>
      <x:c r="E27" s="98" t="n">
        <x:f>IF(OR(D27="",D26=""),"",D27-D26)</x:f>
        <x:v>0.040731234345171785</x:v>
      </x:c>
      <x:c r="F27" s="98" t="n">
        <x:f>IF('Datos_fuente'!E27="","",LN('Datos_fuente'!E27))</x:f>
        <x:v>8.332885663887225</x:v>
      </x:c>
      <x:c r="G27" s="98" t="n">
        <x:f>IF(OR(F27="",F26=""),"",F27-F26)</x:f>
        <x:v>0.0185433205174359</x:v>
      </x:c>
      <x:c r="H27" s="63" t="n">
        <x:f>'Datos_fuente'!H27</x:f>
        <x:v>4.31</x:v>
      </x:c>
      <x:c r="I27" s="63" t="n">
        <x:f>IF(OR(H27="",H26=""),"",H27-H26)</x:f>
        <x:v>0.07999999999999918</x:v>
      </x:c>
      <x:c r="J27" s="63" t="n">
        <x:f>'Datos_fuente'!J27</x:f>
        <x:v>2.644848962</x:v>
      </x:c>
      <x:c r="K27" s="63" t="n">
        <x:f>IF(OR(J27="",J26=""),"",J27-J26)</x:f>
        <x:v>0.24030487200000028</x:v>
      </x:c>
      <x:c r="L27" s="98" t="n">
        <x:f>IF('Datos_fuente'!K27="","",LN('Datos_fuente'!K27))</x:f>
        <x:v>4.526522950024174</x:v>
      </x:c>
      <x:c r="M27" s="98" t="n">
        <x:f>IF(OR(L27="",L26=""),"",L27-L26)</x:f>
        <x:v>-0.014218529063208862</x:v>
      </x:c>
      <x:c r="N27" s="98" t="n">
        <x:f>IF('Datos_fuente'!L27="","",LN('Datos_fuente'!L27))</x:f>
        <x:v>3.100044871988305</x:v>
      </x:c>
      <x:c r="O27" s="98" t="n">
        <x:f>IF(OR(N27="",N26=""),"",N27-N26)</x:f>
        <x:v>-0.11987388723474357</x:v>
      </x:c>
      <x:c r="P27" s="96" t="n">
        <x:f>'Datos_fuente'!M27</x:f>
        <x:v>0</x:v>
      </x:c>
      <x:c r="Q27" s="98" t="n">
        <x:f>IF('Datos_fuente'!N27="","",LN('Datos_fuente'!N27))</x:f>
        <x:v>9.930516458257353</x:v>
      </x:c>
      <x:c r="R27" s="98" t="n">
        <x:f>IF(OR(Q27="",Q26=""),"",Q27-Q26)</x:f>
        <x:v>0.02151016203946199</x:v>
      </x:c>
      <x:c r="S27" s="63" t="n">
        <x:f>'Datos_fuente'!P27</x:f>
        <x:v>1.806</x:v>
      </x:c>
      <x:c r="T27" s="63" t="n">
        <x:f>IF(OR(S27="",S26=""),"",S27-S26)</x:f>
        <x:v>-0.05834782599999988</x:v>
      </x:c>
      <x:c r="U27" s="98" t="n">
        <x:f>IF('Datos_fuente'!Q27="","",ASINH('Datos_fuente'!Q27/1000))</x:f>
        <x:v>-0.640623523033637</x:v>
      </x:c>
      <x:c r="V27" s="98" t="n">
        <x:f>IF(OR(U27="",U26=""),"",U27-U26)</x:f>
        <x:v>-0.09029596284838459</x:v>
      </x:c>
      <x:c r="W27" s="98" t="n">
        <x:f>IF('Datos_fuente'!R27="","",ASINH('Datos_fuente'!R27/1000))</x:f>
        <x:v>0.801938298298961</x:v>
      </x:c>
      <x:c r="X27" s="98" t="n">
        <x:f>IF(OR(W27="",W26=""),"",W27-W26)</x:f>
        <x:v>0.6980950299561268</x:v>
      </x:c>
      <x:c r="Y27" s="63" t="n">
        <x:f>'Datos_fuente'!W27</x:f>
        <x:v>2.688233343</x:v>
      </x:c>
      <x:c r="Z27" s="63" t="n">
        <x:f>IF(OR(Y27="",Y26=""),"",Y27-Y26)</x:f>
        <x:v>0.2216878099999997</x:v>
      </x:c>
      <x:c r="AA27" s="98" t="n">
        <x:f>'Datos_fuente'!AB27</x:f>
        <x:v>-0.5679736805</x:v>
      </x:c>
      <x:c r="AB27" s="98" t="n">
        <x:f>'Datos_fuente'!AC27</x:f>
        <x:v>-0.563683975</x:v>
      </x:c>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f>'Datos_fuente'!A28</x:f>
        <x:v>2007-10</x:v>
      </x:c>
      <x:c r="B28" s="98" t="n">
        <x:f>IF('Datos_fuente'!B28="","",LN('Datos_fuente'!B28))</x:f>
        <x:v>7.601445376635922</x:v>
      </x:c>
      <x:c r="C28" s="98" t="n">
        <x:f>IF(OR(B28="",B27=""),"",B28-B27)</x:f>
        <x:v>-0.05459357456620051</x:v>
      </x:c>
      <x:c r="D28" s="98" t="n">
        <x:f>IF('Datos_fuente'!C28="","",LN('Datos_fuente'!C28))</x:f>
        <x:v>4.987707789452551</x:v>
      </x:c>
      <x:c r="E28" s="98" t="n">
        <x:f>IF(OR(D28="",D27=""),"",D28-D27)</x:f>
        <x:v>0.029700012756982197</x:v>
      </x:c>
      <x:c r="F28" s="98" t="n">
        <x:f>IF('Datos_fuente'!E28="","",LN('Datos_fuente'!E28))</x:f>
        <x:v>8.355751328732524</x:v>
      </x:c>
      <x:c r="G28" s="98" t="n">
        <x:f>IF(OR(F28="",F27=""),"",F28-F27)</x:f>
        <x:v>0.022865664845298284</x:v>
      </x:c>
      <x:c r="H28" s="63" t="n">
        <x:f>'Datos_fuente'!H28</x:f>
        <x:v>4.49</x:v>
      </x:c>
      <x:c r="I28" s="63" t="n">
        <x:f>IF(OR(H28="",H27=""),"",H28-H27)</x:f>
        <x:v>0.1800000000000006</x:v>
      </x:c>
      <x:c r="J28" s="63" t="n">
        <x:f>'Datos_fuente'!J28</x:f>
        <x:v>2.714277456</x:v>
      </x:c>
      <x:c r="K28" s="63" t="n">
        <x:f>IF(OR(J28="",J27=""),"",J28-J27)</x:f>
        <x:v>0.06942849399999984</x:v>
      </x:c>
      <x:c r="L28" s="98" t="n">
        <x:f>IF('Datos_fuente'!K28="","",LN('Datos_fuente'!K28))</x:f>
        <x:v>4.504246239298841</x:v>
      </x:c>
      <x:c r="M28" s="98" t="n">
        <x:f>IF(OR(L28="",L27=""),"",L28-L27)</x:f>
        <x:v>-0.02227671072533255</x:v>
      </x:c>
      <x:c r="N28" s="98" t="n">
        <x:f>IF('Datos_fuente'!L28="","",LN('Datos_fuente'!L28))</x:f>
        <x:v>2.9505074847981176</x:v>
      </x:c>
      <x:c r="O28" s="98" t="n">
        <x:f>IF(OR(N28="",N27=""),"",N28-N27)</x:f>
        <x:v>-0.1495373871901875</x:v>
      </x:c>
      <x:c r="P28" s="96" t="n">
        <x:f>'Datos_fuente'!M28</x:f>
        <x:v>0</x:v>
      </x:c>
      <x:c r="Q28" s="98" t="n">
        <x:f>IF('Datos_fuente'!N28="","",LN('Datos_fuente'!N28))</x:f>
        <x:v>9.936014760233624</x:v>
      </x:c>
      <x:c r="R28" s="98" t="n">
        <x:f>IF(OR(Q28="",Q27=""),"",Q28-Q27)</x:f>
        <x:v>0.005498301976270881</x:v>
      </x:c>
      <x:c r="S28" s="63" t="n">
        <x:f>'Datos_fuente'!P28</x:f>
        <x:v>1.606086957</x:v>
      </x:c>
      <x:c r="T28" s="63" t="n">
        <x:f>IF(OR(S28="",S27=""),"",S28-S27)</x:f>
        <x:v>-0.199913043</x:v>
      </x:c>
      <x:c r="U28" s="98" t="n">
        <x:f>IF('Datos_fuente'!Q28="","",ASINH('Datos_fuente'!Q28/1000))</x:f>
        <x:v>-0.665773794461415</x:v>
      </x:c>
      <x:c r="V28" s="98" t="n">
        <x:f>IF(OR(U28="",U27=""),"",U28-U27)</x:f>
        <x:v>-0.025150271427778037</x:v>
      </x:c>
      <x:c r="W28" s="98" t="n">
        <x:f>IF('Datos_fuente'!R28="","",ASINH('Datos_fuente'!R28/1000))</x:f>
        <x:v>0.5509160697994482</x:v>
      </x:c>
      <x:c r="X28" s="98" t="n">
        <x:f>IF(OR(W28="",W27=""),"",W28-W27)</x:f>
        <x:v>-0.25102222849951283</x:v>
      </x:c>
      <x:c r="Y28" s="63" t="n">
        <x:f>'Datos_fuente'!W28</x:f>
        <x:v>2.668040895</x:v>
      </x:c>
      <x:c r="Z28" s="63" t="n">
        <x:f>IF(OR(Y28="",Y27=""),"",Y28-Y27)</x:f>
        <x:v>-0.020192447999999974</x:v>
      </x:c>
      <x:c r="AA28" s="98" t="n">
        <x:f>'Datos_fuente'!AB28</x:f>
        <x:v>-1.20549523</x:v>
      </x:c>
      <x:c r="AB28" s="98" t="n">
        <x:f>'Datos_fuente'!AC28</x:f>
        <x:v>-1.660645371</x:v>
      </x:c>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f>'Datos_fuente'!A29</x:f>
        <x:v>2007-11</x:v>
      </x:c>
      <x:c r="B29" s="98" t="n">
        <x:f>IF('Datos_fuente'!B29="","",LN('Datos_fuente'!B29))</x:f>
        <x:v>7.623816418094039</x:v>
      </x:c>
      <x:c r="C29" s="98" t="n">
        <x:f>IF(OR(B29="",B28=""),"",B29-B28)</x:f>
        <x:v>0.022371041458117524</x:v>
      </x:c>
      <x:c r="D29" s="98" t="n">
        <x:f>IF('Datos_fuente'!C29="","",LN('Datos_fuente'!C29))</x:f>
        <x:v>4.981824212242136</x:v>
      </x:c>
      <x:c r="E29" s="98" t="n">
        <x:f>IF(OR(D29="",D28=""),"",D29-D28)</x:f>
        <x:v>-0.005883577210414437</x:v>
      </x:c>
      <x:c r="F29" s="98" t="n">
        <x:f>IF('Datos_fuente'!E29="","",LN('Datos_fuente'!E29))</x:f>
        <x:v>8.384306162573347</x:v>
      </x:c>
      <x:c r="G29" s="98" t="n">
        <x:f>IF(OR(F29="",F28=""),"",F29-F28)</x:f>
        <x:v>0.02855483384082369</x:v>
      </x:c>
      <x:c r="H29" s="63" t="n">
        <x:f>'Datos_fuente'!H29</x:f>
        <x:v>4.801666667</x:v>
      </x:c>
      <x:c r="I29" s="63" t="n">
        <x:f>IF(OR(H29="",H28=""),"",H29-H28)</x:f>
        <x:v>0.3116666669999999</x:v>
      </x:c>
      <x:c r="J29" s="63" t="n">
        <x:f>'Datos_fuente'!J29</x:f>
        <x:v>2.790847647</x:v>
      </x:c>
      <x:c r="K29" s="63" t="n">
        <x:f>IF(OR(J29="",J28=""),"",J29-J28)</x:f>
        <x:v>0.07657019100000007</x:v>
      </x:c>
      <x:c r="L29" s="98" t="n">
        <x:f>IF('Datos_fuente'!K29="","",LN('Datos_fuente'!K29))</x:f>
        <x:v>4.489231647013839</x:v>
      </x:c>
      <x:c r="M29" s="98" t="n">
        <x:f>IF(OR(L29="",L28=""),"",L29-L28)</x:f>
        <x:v>-0.015014592285002237</x:v>
      </x:c>
      <x:c r="N29" s="98" t="n">
        <x:f>IF('Datos_fuente'!L29="","",LN('Datos_fuente'!L29))</x:f>
        <x:v>3.241903870396168</x:v>
      </x:c>
      <x:c r="O29" s="98" t="n">
        <x:f>IF(OR(N29="",N28=""),"",N29-N28)</x:f>
        <x:v>0.29139638559805014</x:v>
      </x:c>
      <x:c r="P29" s="96" t="n">
        <x:f>'Datos_fuente'!M29</x:f>
        <x:v>0</x:v>
      </x:c>
      <x:c r="Q29" s="98" t="n">
        <x:f>IF('Datos_fuente'!N29="","",LN('Datos_fuente'!N29))</x:f>
        <x:v>9.946661977919925</x:v>
      </x:c>
      <x:c r="R29" s="98" t="n">
        <x:f>IF(OR(Q29="",Q28=""),"",Q29-Q28)</x:f>
        <x:v>0.010647217686301502</x:v>
      </x:c>
      <x:c r="S29" s="63" t="n">
        <x:f>'Datos_fuente'!P29</x:f>
        <x:v>1.968636364</x:v>
      </x:c>
      <x:c r="T29" s="63" t="n">
        <x:f>IF(OR(S29="",S28=""),"",S29-S28)</x:f>
        <x:v>0.36254940699999993</x:v>
      </x:c>
      <x:c r="U29" s="98" t="n">
        <x:f>IF('Datos_fuente'!Q29="","",ASINH('Datos_fuente'!Q29/1000))</x:f>
        <x:v>-0.5376849896945795</x:v>
      </x:c>
      <x:c r="V29" s="98" t="n">
        <x:f>IF(OR(U29="",U28=""),"",U29-U28)</x:f>
        <x:v>0.1280888047668356</x:v>
      </x:c>
      <x:c r="W29" s="98" t="n">
        <x:f>IF('Datos_fuente'!R29="","",ASINH('Datos_fuente'!R29/1000))</x:f>
        <x:v>0.39769357151365714</x:v>
      </x:c>
      <x:c r="X29" s="98" t="n">
        <x:f>IF(OR(W29="",W28=""),"",W29-W28)</x:f>
        <x:v>-0.15322249828579104</x:v>
      </x:c>
      <x:c r="Y29" s="63" t="n">
        <x:f>'Datos_fuente'!W29</x:f>
        <x:v>2.680097129</x:v>
      </x:c>
      <x:c r="Z29" s="63" t="n">
        <x:f>IF(OR(Y29="",Y28=""),"",Y29-Y28)</x:f>
        <x:v>0.01205623400000011</x:v>
      </x:c>
      <x:c r="AA29" s="98" t="n">
        <x:f>'Datos_fuente'!AB29</x:f>
        <x:v>-0.05311277896</x:v>
      </x:c>
      <x:c r="AB29" s="98" t="n">
        <x:f>'Datos_fuente'!AC29</x:f>
        <x:v>-0.1612297969</x:v>
      </x:c>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f>'Datos_fuente'!A30</x:f>
        <x:v>2007-12</x:v>
      </x:c>
      <x:c r="B30" s="98" t="n">
        <x:f>IF('Datos_fuente'!B30="","",LN('Datos_fuente'!B30))</x:f>
        <x:v>7.607795903070453</x:v>
      </x:c>
      <x:c r="C30" s="98" t="n">
        <x:f>IF(OR(B30="",B29=""),"",B30-B29)</x:f>
        <x:v>-0.016020515023585702</x:v>
      </x:c>
      <x:c r="D30" s="98" t="n">
        <x:f>IF('Datos_fuente'!C30="","",LN('Datos_fuente'!C30))</x:f>
        <x:v>4.991112627607392</x:v>
      </x:c>
      <x:c r="E30" s="98" t="n">
        <x:f>IF(OR(D30="",D29=""),"",D30-D29)</x:f>
        <x:v>0.009288415365255709</x:v>
      </x:c>
      <x:c r="F30" s="98" t="n">
        <x:f>IF('Datos_fuente'!E30="","",LN('Datos_fuente'!E30))</x:f>
        <x:v>8.396093913100508</x:v>
      </x:c>
      <x:c r="G30" s="98" t="n">
        <x:f>IF(OR(F30="",F29=""),"",F30-F29)</x:f>
        <x:v>0.011787750527160412</x:v>
      </x:c>
      <x:c r="H30" s="63" t="n">
        <x:f>'Datos_fuente'!H30</x:f>
        <x:v>5.26</x:v>
      </x:c>
      <x:c r="I30" s="63" t="n">
        <x:f>IF(OR(H30="",H29=""),"",H30-H29)</x:f>
        <x:v>0.4583333329999997</x:v>
      </x:c>
      <x:c r="J30" s="63" t="n">
        <x:f>'Datos_fuente'!J30</x:f>
        <x:v>2.710260117</x:v>
      </x:c>
      <x:c r="K30" s="63" t="n">
        <x:f>IF(OR(J30="",J29=""),"",J30-J29)</x:f>
        <x:v>-0.0805875300000003</x:v>
      </x:c>
      <x:c r="L30" s="98" t="n">
        <x:f>IF('Datos_fuente'!K30="","",LN('Datos_fuente'!K30))</x:f>
        <x:v>4.499864748146788</x:v>
      </x:c>
      <x:c r="M30" s="98" t="n">
        <x:f>IF(OR(L30="",L29=""),"",L30-L29)</x:f>
        <x:v>0.010633101132948575</x:v>
      </x:c>
      <x:c r="N30" s="98" t="n">
        <x:f>IF('Datos_fuente'!L30="","",LN('Datos_fuente'!L30))</x:f>
        <x:v>3.075051642758246</x:v>
      </x:c>
      <x:c r="O30" s="98" t="n">
        <x:f>IF(OR(N30="",N29=""),"",N30-N29)</x:f>
        <x:v>-0.16685222763792185</x:v>
      </x:c>
      <x:c r="P30" s="96" t="n">
        <x:f>'Datos_fuente'!M30</x:f>
        <x:v>0</x:v>
      </x:c>
      <x:c r="Q30" s="98" t="n">
        <x:f>IF('Datos_fuente'!N30="","",LN('Datos_fuente'!N30))</x:f>
        <x:v>9.949830916205345</x:v>
      </x:c>
      <x:c r="R30" s="98" t="n">
        <x:f>IF(OR(Q30="",Q29=""),"",Q30-Q29)</x:f>
        <x:v>0.0031689382854196424</x:v>
      </x:c>
      <x:c r="S30" s="63" t="n">
        <x:f>'Datos_fuente'!P30</x:f>
        <x:v>1.877619048</x:v>
      </x:c>
      <x:c r="T30" s="63" t="n">
        <x:f>IF(OR(S30="",S29=""),"",S30-S29)</x:f>
        <x:v>-0.09101731600000007</x:v>
      </x:c>
      <x:c r="U30" s="98" t="n">
        <x:f>IF('Datos_fuente'!Q30="","",ASINH('Datos_fuente'!Q30/1000))</x:f>
        <x:v>-0.7183538876592547</x:v>
      </x:c>
      <x:c r="V30" s="98" t="n">
        <x:f>IF(OR(U30="",U29=""),"",U30-U29)</x:f>
        <x:v>-0.18066889796467522</x:v>
      </x:c>
      <x:c r="W30" s="98" t="n">
        <x:f>IF('Datos_fuente'!R30="","",ASINH('Datos_fuente'!R30/1000))</x:f>
        <x:v>0.5384165216053556</x:v>
      </x:c>
      <x:c r="X30" s="98" t="n">
        <x:f>IF(OR(W30="",W29=""),"",W30-W29)</x:f>
        <x:v>0.14072295009169844</x:v>
      </x:c>
      <x:c r="Y30" s="63" t="n">
        <x:f>'Datos_fuente'!W30</x:f>
        <x:v>2.726427797</x:v>
      </x:c>
      <x:c r="Z30" s="63" t="n">
        <x:f>IF(OR(Y30="",Y29=""),"",Y30-Y29)</x:f>
        <x:v>0.046330667999999964</x:v>
      </x:c>
      <x:c r="AA30" s="98" t="n">
        <x:f>'Datos_fuente'!AB30</x:f>
        <x:v>-0.2590944229</x:v>
      </x:c>
      <x:c r="AB30" s="98" t="n">
        <x:f>'Datos_fuente'!AC30</x:f>
        <x:v>-0.3253449846</x:v>
      </x:c>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f>'Datos_fuente'!A31</x:f>
        <x:v>2008-01</x:v>
      </x:c>
      <x:c r="B31" s="98" t="n">
        <x:f>IF('Datos_fuente'!B31="","",LN('Datos_fuente'!B31))</x:f>
        <x:v>7.592459010741661</x:v>
      </x:c>
      <x:c r="C31" s="98" t="n">
        <x:f>IF(OR(B31="",B30=""),"",B31-B30)</x:f>
        <x:v>-0.01533689232879265</x:v>
      </x:c>
      <x:c r="D31" s="98" t="n">
        <x:f>IF('Datos_fuente'!C31="","",LN('Datos_fuente'!C31))</x:f>
        <x:v>4.979213424087916</x:v>
      </x:c>
      <x:c r="E31" s="98" t="n">
        <x:f>IF(OR(D31="",D30=""),"",D31-D30)</x:f>
        <x:v>-0.011899203519476487</x:v>
      </x:c>
      <x:c r="F31" s="98" t="n">
        <x:f>IF('Datos_fuente'!E31="","",LN('Datos_fuente'!E31))</x:f>
        <x:v>8.413003101653828</x:v>
      </x:c>
      <x:c r="G31" s="98" t="n">
        <x:f>IF(OR(F31="",F30=""),"",F31-F30)</x:f>
        <x:v>0.016909188553320575</x:v>
      </x:c>
      <x:c r="H31" s="63" t="n">
        <x:f>'Datos_fuente'!H31</x:f>
        <x:v>5.56</x:v>
      </x:c>
      <x:c r="I31" s="63" t="n">
        <x:f>IF(OR(H31="",H30=""),"",H31-H30)</x:f>
        <x:v>0.2999999999999998</x:v>
      </x:c>
      <x:c r="J31" s="63" t="n">
        <x:f>'Datos_fuente'!J31</x:f>
        <x:v>2.465742275</x:v>
      </x:c>
      <x:c r="K31" s="63" t="n">
        <x:f>IF(OR(J31="",J30=""),"",J31-J30)</x:f>
        <x:v>-0.2445178419999996</x:v>
      </x:c>
      <x:c r="L31" s="98" t="n">
        <x:f>IF('Datos_fuente'!K31="","",LN('Datos_fuente'!K31))</x:f>
        <x:v>4.493088437699889</x:v>
      </x:c>
      <x:c r="M31" s="98" t="n">
        <x:f>IF(OR(L31="",L30=""),"",L31-L30)</x:f>
        <x:v>-0.006776310446898748</x:v>
      </x:c>
      <x:c r="N31" s="98" t="n">
        <x:f>IF('Datos_fuente'!L31="","",LN('Datos_fuente'!L31))</x:f>
        <x:v>3.2510018330924435</x:v>
      </x:c>
      <x:c r="O31" s="98" t="n">
        <x:f>IF(OR(N31="",N30=""),"",N31-N30)</x:f>
        <x:v>0.17595019033419756</x:v>
      </x:c>
      <x:c r="P31" s="96" t="n">
        <x:f>'Datos_fuente'!M31</x:f>
        <x:v>0</x:v>
      </x:c>
      <x:c r="Q31" s="98" t="n">
        <x:f>IF('Datos_fuente'!N31="","",LN('Datos_fuente'!N31))</x:f>
        <x:v>9.96964928680017</x:v>
      </x:c>
      <x:c r="R31" s="98" t="n">
        <x:f>IF(OR(Q31="",Q30=""),"",Q31-Q30)</x:f>
        <x:v>0.01981837059482494</x:v>
      </x:c>
      <x:c r="S31" s="63" t="n">
        <x:f>'Datos_fuente'!P31</x:f>
        <x:v>2.395652174</x:v>
      </x:c>
      <x:c r="T31" s="63" t="n">
        <x:f>IF(OR(S31="",S30=""),"",S31-S30)</x:f>
        <x:v>0.518033126</x:v>
      </x:c>
      <x:c r="U31" s="98" t="n">
        <x:f>IF('Datos_fuente'!Q31="","",ASINH('Datos_fuente'!Q31/1000))</x:f>
        <x:v>-0.6769491745550209</x:v>
      </x:c>
      <x:c r="V31" s="98" t="n">
        <x:f>IF(OR(U31="",U30=""),"",U31-U30)</x:f>
        <x:v>0.04140471310423377</x:v>
      </x:c>
      <x:c r="W31" s="98" t="n">
        <x:f>IF('Datos_fuente'!R31="","",ASINH('Datos_fuente'!R31/1000))</x:f>
        <x:v>0.8031848326674726</x:v>
      </x:c>
      <x:c r="X31" s="98" t="n">
        <x:f>IF(OR(W31="",W30=""),"",W31-W30)</x:f>
        <x:v>0.26476831106211707</x:v>
      </x:c>
      <x:c r="Y31" s="63" t="n">
        <x:f>'Datos_fuente'!W31</x:f>
        <x:v>3.220398394</x:v>
      </x:c>
      <x:c r="Z31" s="63" t="n">
        <x:f>IF(OR(Y31="",Y30=""),"",Y31-Y30)</x:f>
        <x:v>0.4939705970000001</x:v>
      </x:c>
      <x:c r="AA31" s="98" t="n">
        <x:f>'Datos_fuente'!AB31</x:f>
        <x:v>-0.5431162688</x:v>
      </x:c>
      <x:c r="AB31" s="98" t="n">
        <x:f>'Datos_fuente'!AC31</x:f>
        <x:v>-0.6142527548</x:v>
      </x:c>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f>'Datos_fuente'!A32</x:f>
        <x:v>2008-02</x:v>
      </x:c>
      <x:c r="B32" s="98" t="n">
        <x:f>IF('Datos_fuente'!B32="","",LN('Datos_fuente'!B32))</x:f>
        <x:v>7.552391678791468</x:v>
      </x:c>
      <x:c r="C32" s="98" t="n">
        <x:f>IF(OR(B32="",B31=""),"",B32-B31)</x:f>
        <x:v>-0.0400673319501923</x:v>
      </x:c>
      <x:c r="D32" s="98" t="n">
        <x:f>IF('Datos_fuente'!C32="","",LN('Datos_fuente'!C32))</x:f>
        <x:v>5.012633296758929</x:v>
      </x:c>
      <x:c r="E32" s="98" t="n">
        <x:f>IF(OR(D32="",D31=""),"",D32-D31)</x:f>
        <x:v>0.033419872671013096</x:v>
      </x:c>
      <x:c r="F32" s="98" t="n">
        <x:f>IF('Datos_fuente'!E32="","",LN('Datos_fuente'!E32))</x:f>
        <x:v>8.42575968758402</x:v>
      </x:c>
      <x:c r="G32" s="98" t="n">
        <x:f>IF(OR(F32="",F31=""),"",F32-F31)</x:f>
        <x:v>0.012756585930191022</x:v>
      </x:c>
      <x:c r="H32" s="63" t="n">
        <x:f>'Datos_fuente'!H32</x:f>
        <x:v>6.563103448</x:v>
      </x:c>
      <x:c r="I32" s="63" t="n">
        <x:f>IF(OR(H32="",H31=""),"",H32-H31)</x:f>
        <x:v>1.003103448</x:v>
      </x:c>
      <x:c r="J32" s="63" t="n">
        <x:f>'Datos_fuente'!J32</x:f>
        <x:v>2.599552424</x:v>
      </x:c>
      <x:c r="K32" s="63" t="n">
        <x:f>IF(OR(J32="",J31=""),"",J32-J31)</x:f>
        <x:v>0.13381014899999988</x:v>
      </x:c>
      <x:c r="L32" s="98" t="n">
        <x:f>IF('Datos_fuente'!K32="","",LN('Datos_fuente'!K32))</x:f>
        <x:v>4.48462200947601</x:v>
      </x:c>
      <x:c r="M32" s="98" t="n">
        <x:f>IF(OR(L32="",L31=""),"",L32-L31)</x:f>
        <x:v>-0.008466428223878886</x:v>
      </x:c>
      <x:c r="N32" s="98" t="n">
        <x:f>IF('Datos_fuente'!L32="","",LN('Datos_fuente'!L32))</x:f>
        <x:v>3.236951471595431</x:v>
      </x:c>
      <x:c r="O32" s="98" t="n">
        <x:f>IF(OR(N32="",N31=""),"",N32-N31)</x:f>
        <x:v>-0.014050361497012442</x:v>
      </x:c>
      <x:c r="P32" s="96" t="n">
        <x:f>'Datos_fuente'!M32</x:f>
        <x:v>0</x:v>
      </x:c>
      <x:c r="Q32" s="98" t="n">
        <x:f>IF('Datos_fuente'!N32="","",LN('Datos_fuente'!N32))</x:f>
        <x:v>9.991640818988428</x:v>
      </x:c>
      <x:c r="R32" s="98" t="n">
        <x:f>IF(OR(Q32="",Q31=""),"",Q32-Q31)</x:f>
        <x:v>0.02199153218825778</x:v>
      </x:c>
      <x:c r="S32" s="63" t="n">
        <x:f>'Datos_fuente'!P32</x:f>
        <x:v>2.496666667</x:v>
      </x:c>
      <x:c r="T32" s="63" t="n">
        <x:f>IF(OR(S32="",S31=""),"",S32-S31)</x:f>
        <x:v>0.1010144930000001</x:v>
      </x:c>
      <x:c r="U32" s="98" t="n">
        <x:f>IF('Datos_fuente'!Q32="","",ASINH('Datos_fuente'!Q32/1000))</x:f>
        <x:v>-0.674386691171504</x:v>
      </x:c>
      <x:c r="V32" s="98" t="n">
        <x:f>IF(OR(U32="",U31=""),"",U32-U31)</x:f>
        <x:v>0.0025624833835169447</x:v>
      </x:c>
      <x:c r="W32" s="98" t="n">
        <x:f>IF('Datos_fuente'!R32="","",ASINH('Datos_fuente'!R32/1000))</x:f>
        <x:v>0.8868712352785235</x:v>
      </x:c>
      <x:c r="X32" s="98" t="n">
        <x:f>IF(OR(W32="",W31=""),"",W32-W31)</x:f>
        <x:v>0.08368640261105087</x:v>
      </x:c>
      <x:c r="Y32" s="63" t="n">
        <x:f>'Datos_fuente'!W32</x:f>
        <x:v>3.543495459</x:v>
      </x:c>
      <x:c r="Z32" s="63" t="n">
        <x:f>IF(OR(Y32="",Y31=""),"",Y32-Y31)</x:f>
        <x:v>0.3230970649999998</x:v>
      </x:c>
      <x:c r="AA32" s="98" t="n">
        <x:f>'Datos_fuente'!AB32</x:f>
        <x:v>-0.8350216922</x:v>
      </x:c>
      <x:c r="AB32" s="98" t="n">
        <x:f>'Datos_fuente'!AC32</x:f>
        <x:v>-0.9337289352</x:v>
      </x:c>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f>'Datos_fuente'!A33</x:f>
        <x:v>2008-03</x:v>
      </x:c>
      <x:c r="B33" s="98" t="n">
        <x:f>IF('Datos_fuente'!B33="","",LN('Datos_fuente'!B33))</x:f>
        <x:v>7.519417543135308</x:v>
      </x:c>
      <x:c r="C33" s="98" t="n">
        <x:f>IF(OR(B33="",B32=""),"",B33-B32)</x:f>
        <x:v>-0.032974135656160364</x:v>
      </x:c>
      <x:c r="D33" s="98" t="n">
        <x:f>IF('Datos_fuente'!C33="","",LN('Datos_fuente'!C33))</x:f>
        <x:v>5.050881122664783</x:v>
      </x:c>
      <x:c r="E33" s="98" t="n">
        <x:f>IF(OR(D33="",D32=""),"",D33-D32)</x:f>
        <x:v>0.03824782590585407</x:v>
      </x:c>
      <x:c r="F33" s="98" t="n">
        <x:f>IF('Datos_fuente'!E33="","",LN('Datos_fuente'!E33))</x:f>
        <x:v>8.436796254344209</x:v>
      </x:c>
      <x:c r="G33" s="98" t="n">
        <x:f>IF(OR(F33="",F32=""),"",F33-F32)</x:f>
        <x:v>0.011036566760189714</x:v>
      </x:c>
      <x:c r="H33" s="63" t="n">
        <x:f>'Datos_fuente'!H33</x:f>
        <x:v>7.14</x:v>
      </x:c>
      <x:c r="I33" s="63" t="n">
        <x:f>IF(OR(H33="",H32=""),"",H33-H32)</x:f>
        <x:v>0.576896552</x:v>
      </x:c>
      <x:c r="J33" s="63" t="n">
        <x:f>'Datos_fuente'!J33</x:f>
        <x:v>2.375717758</x:v>
      </x:c>
      <x:c r="K33" s="63" t="n">
        <x:f>IF(OR(J33="",J32=""),"",J33-J32)</x:f>
        <x:v>-0.22383466600000013</x:v>
      </x:c>
      <x:c r="L33" s="98" t="n">
        <x:f>IF('Datos_fuente'!K33="","",LN('Datos_fuente'!K33))</x:f>
        <x:v>4.464065809656541</x:v>
      </x:c>
      <x:c r="M33" s="98" t="n">
        <x:f>IF(OR(L33="",L32=""),"",L33-L32)</x:f>
        <x:v>-0.020556199819469434</x:v>
      </x:c>
      <x:c r="N33" s="98" t="n">
        <x:f>IF('Datos_fuente'!L33="","",LN('Datos_fuente'!L33))</x:f>
        <x:v>3.299662870837858</x:v>
      </x:c>
      <x:c r="O33" s="98" t="n">
        <x:f>IF(OR(N33="",N32=""),"",N33-N32)</x:f>
        <x:v>0.06271139924242686</x:v>
      </x:c>
      <x:c r="P33" s="96" t="n">
        <x:f>'Datos_fuente'!M33</x:f>
        <x:v>0</x:v>
      </x:c>
      <x:c r="Q33" s="98" t="n">
        <x:f>IF('Datos_fuente'!N33="","",LN('Datos_fuente'!N33))</x:f>
        <x:v>10.004692144293115</x:v>
      </x:c>
      <x:c r="R33" s="98" t="n">
        <x:f>IF(OR(Q33="",Q32=""),"",Q33-Q32)</x:f>
        <x:v>0.013051325304687111</x:v>
      </x:c>
      <x:c r="S33" s="63" t="n">
        <x:f>'Datos_fuente'!P33</x:f>
        <x:v>2.637142857</x:v>
      </x:c>
      <x:c r="T33" s="63" t="n">
        <x:f>IF(OR(S33="",S32=""),"",S33-S32)</x:f>
        <x:v>0.14047619000000022</x:v>
      </x:c>
      <x:c r="U33" s="98" t="n">
        <x:f>IF('Datos_fuente'!Q33="","",ASINH('Datos_fuente'!Q33/1000))</x:f>
        <x:v>-0.47369501733373365</x:v>
      </x:c>
      <x:c r="V33" s="98" t="n">
        <x:f>IF(OR(U33="",U32=""),"",U33-U32)</x:f>
        <x:v>0.2006916738377703</x:v>
      </x:c>
      <x:c r="W33" s="98" t="n">
        <x:f>IF('Datos_fuente'!R33="","",ASINH('Datos_fuente'!R33/1000))</x:f>
        <x:v>0.5911271073703074</x:v>
      </x:c>
      <x:c r="X33" s="98" t="n">
        <x:f>IF(OR(W33="",W32=""),"",W33-W32)</x:f>
        <x:v>-0.29574412790821614</x:v>
      </x:c>
      <x:c r="Y33" s="63" t="n">
        <x:f>'Datos_fuente'!W33</x:f>
        <x:v>3.615410541</x:v>
      </x:c>
      <x:c r="Z33" s="63" t="n">
        <x:f>IF(OR(Y33="",Y32=""),"",Y33-Y32)</x:f>
        <x:v>0.0719150820000003</x:v>
      </x:c>
      <x:c r="AA33" s="98" t="n">
        <x:f>'Datos_fuente'!AB33</x:f>
        <x:v>-0.9227679547</x:v>
      </x:c>
      <x:c r="AB33" s="98" t="n">
        <x:f>'Datos_fuente'!AC33</x:f>
        <x:v>-1.356639634</x:v>
      </x:c>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f>'Datos_fuente'!A34</x:f>
        <x:v>2008-04</x:v>
      </x:c>
      <x:c r="B34" s="98" t="n">
        <x:f>IF('Datos_fuente'!B34="","",LN('Datos_fuente'!B34))</x:f>
        <x:v>7.492817680891716</x:v>
      </x:c>
      <x:c r="C34" s="98" t="n">
        <x:f>IF(OR(B34="",B33=""),"",B34-B33)</x:f>
        <x:v>-0.02659986224359212</x:v>
      </x:c>
      <x:c r="D34" s="98" t="n">
        <x:f>IF('Datos_fuente'!C34="","",LN('Datos_fuente'!C34))</x:f>
        <x:v>5.039481868653835</x:v>
      </x:c>
      <x:c r="E34" s="98" t="n">
        <x:f>IF(OR(D34="",D33=""),"",D34-D33)</x:f>
        <x:v>-0.011399254010947324</x:v>
      </x:c>
      <x:c r="F34" s="98" t="n">
        <x:f>IF('Datos_fuente'!E34="","",LN('Datos_fuente'!E34))</x:f>
        <x:v>8.45574110234318</x:v>
      </x:c>
      <x:c r="G34" s="98" t="n">
        <x:f>IF(OR(F34="",F33=""),"",F34-F33)</x:f>
        <x:v>0.01894484799897178</x:v>
      </x:c>
      <x:c r="H34" s="63" t="n">
        <x:f>'Datos_fuente'!H34</x:f>
        <x:v>7.47</x:v>
      </x:c>
      <x:c r="I34" s="63" t="n">
        <x:f>IF(OR(H34="",H33=""),"",H34-H33)</x:f>
        <x:v>0.33000000000000007</x:v>
      </x:c>
      <x:c r="J34" s="63" t="n">
        <x:f>'Datos_fuente'!J34</x:f>
        <x:v>1.714381493</x:v>
      </x:c>
      <x:c r="K34" s="63" t="n">
        <x:f>IF(OR(J34="",J33=""),"",J34-J33)</x:f>
        <x:v>-0.6613362649999999</x:v>
      </x:c>
      <x:c r="L34" s="98" t="n">
        <x:f>IF('Datos_fuente'!K34="","",LN('Datos_fuente'!K34))</x:f>
        <x:v>4.46069381628352</x:v>
      </x:c>
      <x:c r="M34" s="98" t="n">
        <x:f>IF(OR(L34="",L33=""),"",L34-L33)</x:f>
        <x:v>-0.003371993373020743</x:v>
      </x:c>
      <x:c r="N34" s="98" t="n">
        <x:f>IF('Datos_fuente'!L34="","",LN('Datos_fuente'!L34))</x:f>
        <x:v>3.0709662347940037</x:v>
      </x:c>
      <x:c r="O34" s="98" t="n">
        <x:f>IF(OR(N34="",N33=""),"",N34-N33)</x:f>
        <x:v>-0.22869663604385426</x:v>
      </x:c>
      <x:c r="P34" s="96" t="n">
        <x:f>'Datos_fuente'!M34</x:f>
        <x:v>0</x:v>
      </x:c>
      <x:c r="Q34" s="98" t="n">
        <x:f>IF('Datos_fuente'!N34="","",LN('Datos_fuente'!N34))</x:f>
        <x:v>10.00826865036386</x:v>
      </x:c>
      <x:c r="R34" s="98" t="n">
        <x:f>IF(OR(Q34="",Q33=""),"",Q34-Q33)</x:f>
        <x:v>0.0035765060707451113</x:v>
      </x:c>
      <x:c r="S34" s="63" t="n">
        <x:f>'Datos_fuente'!P34</x:f>
        <x:v>2.157727273</x:v>
      </x:c>
      <x:c r="T34" s="63" t="n">
        <x:f>IF(OR(S34="",S33=""),"",S34-S33)</x:f>
        <x:v>-0.4794155840000003</x:v>
      </x:c>
      <x:c r="U34" s="98" t="n">
        <x:f>IF('Datos_fuente'!Q34="","",ASINH('Datos_fuente'!Q34/1000))</x:f>
        <x:v>-0.6166159431951759</x:v>
      </x:c>
      <x:c r="V34" s="98" t="n">
        <x:f>IF(OR(U34="",U33=""),"",U34-U33)</x:f>
        <x:v>-0.14292092586144223</x:v>
      </x:c>
      <x:c r="W34" s="98" t="n">
        <x:f>IF('Datos_fuente'!R34="","",ASINH('Datos_fuente'!R34/1000))</x:f>
        <x:v>0.6805801315096395</x:v>
      </x:c>
      <x:c r="X34" s="98" t="n">
        <x:f>IF(OR(W34="",W33=""),"",W34-W33)</x:f>
        <x:v>0.0894530241393321</x:v>
      </x:c>
      <x:c r="Y34" s="63" t="n">
        <x:f>'Datos_fuente'!W34</x:f>
        <x:v>2.963666243</x:v>
      </x:c>
      <x:c r="Z34" s="63" t="n">
        <x:f>IF(OR(Y34="",Y33=""),"",Y34-Y33)</x:f>
        <x:v>-0.6517442980000001</x:v>
      </x:c>
      <x:c r="AA34" s="98" t="n">
        <x:f>'Datos_fuente'!AB34</x:f>
        <x:v>-0.3761245279</x:v>
      </x:c>
      <x:c r="AB34" s="98" t="n">
        <x:f>'Datos_fuente'!AC34</x:f>
        <x:v>-0.7330476342</x:v>
      </x:c>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f>'Datos_fuente'!A35</x:f>
        <x:v>2008-05</x:v>
      </x:c>
      <x:c r="B35" s="98" t="n">
        <x:f>IF('Datos_fuente'!B35="","",LN('Datos_fuente'!B35))</x:f>
        <x:v>7.481643658041262</x:v>
      </x:c>
      <x:c r="C35" s="98" t="n">
        <x:f>IF(OR(B35="",B34=""),"",B35-B34)</x:f>
        <x:v>-0.011174022850453547</x:v>
      </x:c>
      <x:c r="D35" s="98" t="n">
        <x:f>IF('Datos_fuente'!C35="","",LN('Datos_fuente'!C35))</x:f>
        <x:v>5.074423533843123</x:v>
      </x:c>
      <x:c r="E35" s="98" t="n">
        <x:f>IF(OR(D35="",D34=""),"",D35-D34)</x:f>
        <x:v>0.03494166518928754</x:v>
      </x:c>
      <x:c r="F35" s="98" t="n">
        <x:f>IF('Datos_fuente'!E35="","",LN('Datos_fuente'!E35))</x:f>
        <x:v>8.469610897477766</x:v>
      </x:c>
      <x:c r="G35" s="98" t="n">
        <x:f>IF(OR(F35="",F34=""),"",F35-F34)</x:f>
        <x:v>0.013869795134585416</x:v>
      </x:c>
      <x:c r="H35" s="63" t="n">
        <x:f>'Datos_fuente'!H35</x:f>
        <x:v>7.77</x:v>
      </x:c>
      <x:c r="I35" s="63" t="n">
        <x:f>IF(OR(H35="",H34=""),"",H35-H34)</x:f>
        <x:v>0.2999999999999998</x:v>
      </x:c>
      <x:c r="J35" s="63" t="n">
        <x:f>'Datos_fuente'!J35</x:f>
        <x:v>2.192299404</x:v>
      </x:c>
      <x:c r="K35" s="63" t="n">
        <x:f>IF(OR(J35="",J34=""),"",J35-J34)</x:f>
        <x:v>0.4779179109999998</x:v>
      </x:c>
      <x:c r="L35" s="98" t="n">
        <x:f>IF('Datos_fuente'!K35="","",LN('Datos_fuente'!K35))</x:f>
        <x:v>4.4638884211276135</x:v>
      </x:c>
      <x:c r="M35" s="98" t="n">
        <x:f>IF(OR(L35="",L34=""),"",L35-L34)</x:f>
        <x:v>0.003194604844093618</x:v>
      </x:c>
      <x:c r="N35" s="98" t="n">
        <x:f>IF('Datos_fuente'!L35="","",LN('Datos_fuente'!L35))</x:f>
        <x:v>2.9070831924405556</x:v>
      </x:c>
      <x:c r="O35" s="98" t="n">
        <x:f>IF(OR(N35="",N34=""),"",N35-N34)</x:f>
        <x:v>-0.16388304235344808</x:v>
      </x:c>
      <x:c r="P35" s="96" t="n">
        <x:f>'Datos_fuente'!M35</x:f>
        <x:v>0</x:v>
      </x:c>
      <x:c r="Q35" s="98" t="n">
        <x:f>IF('Datos_fuente'!N35="","",LN('Datos_fuente'!N35))</x:f>
        <x:v>10.015825121849899</x:v>
      </x:c>
      <x:c r="R35" s="98" t="n">
        <x:f>IF(OR(Q35="",Q34=""),"",Q35-Q34)</x:f>
        <x:v>0.007556471486038774</x:v>
      </x:c>
      <x:c r="S35" s="63" t="n">
        <x:f>'Datos_fuente'!P35</x:f>
        <x:v>1.790454545</x:v>
      </x:c>
      <x:c r="T35" s="63" t="n">
        <x:f>IF(OR(S35="",S34=""),"",S35-S34)</x:f>
        <x:v>-0.3672727279999999</x:v>
      </x:c>
      <x:c r="U35" s="98" t="n">
        <x:f>IF('Datos_fuente'!Q35="","",ASINH('Datos_fuente'!Q35/1000))</x:f>
        <x:v>-0.5831858065851249</x:v>
      </x:c>
      <x:c r="V35" s="98" t="n">
        <x:f>IF(OR(U35="",U34=""),"",U35-U34)</x:f>
        <x:v>0.03343013661005101</x:v>
      </x:c>
      <x:c r="W35" s="98" t="n">
        <x:f>IF('Datos_fuente'!R35="","",ASINH('Datos_fuente'!R35/1000))</x:f>
        <x:v>0.46475717303735664</x:v>
      </x:c>
      <x:c r="X35" s="98" t="n">
        <x:f>IF(OR(W35="",W34=""),"",W35-W34)</x:f>
        <x:v>-0.21582295847228283</x:v>
      </x:c>
      <x:c r="Y35" s="63" t="n">
        <x:f>'Datos_fuente'!W35</x:f>
        <x:v>3.198543704</x:v>
      </x:c>
      <x:c r="Z35" s="63" t="n">
        <x:f>IF(OR(Y35="",Y34=""),"",Y35-Y34)</x:f>
        <x:v>0.23487746099999995</x:v>
      </x:c>
      <x:c r="AA35" s="98" t="n">
        <x:f>'Datos_fuente'!AB35</x:f>
        <x:v>0.3089908804</x:v>
      </x:c>
      <x:c r="AB35" s="98" t="n">
        <x:f>'Datos_fuente'!AC35</x:f>
        <x:v>0.6461093397</x:v>
      </x:c>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f>'Datos_fuente'!A36</x:f>
        <x:v>2008-06</x:v>
      </x:c>
      <x:c r="B36" s="98" t="n">
        <x:f>IF('Datos_fuente'!B36="","",LN('Datos_fuente'!B36))</x:f>
        <x:v>7.457197394742718</x:v>
      </x:c>
      <x:c r="C36" s="98" t="n">
        <x:f>IF(OR(B36="",B35=""),"",B36-B35)</x:f>
        <x:v>-0.024446263298544046</x:v>
      </x:c>
      <x:c r="D36" s="98" t="n">
        <x:f>IF('Datos_fuente'!C36="","",LN('Datos_fuente'!C36))</x:f>
        <x:v>5.088460159559561</x:v>
      </x:c>
      <x:c r="E36" s="98" t="n">
        <x:f>IF(OR(D36="",D35=""),"",D36-D35)</x:f>
        <x:v>0.014036625716437712</x:v>
      </x:c>
      <x:c r="F36" s="98" t="n">
        <x:f>IF('Datos_fuente'!E36="","",LN('Datos_fuente'!E36))</x:f>
        <x:v>8.475424915980053</x:v>
      </x:c>
      <x:c r="G36" s="98" t="n">
        <x:f>IF(OR(F36="",F35=""),"",F36-F35)</x:f>
        <x:v>0.0058140185022868</x:v>
      </x:c>
      <x:c r="H36" s="63" t="n">
        <x:f>'Datos_fuente'!H36</x:f>
        <x:v>7.75</x:v>
      </x:c>
      <x:c r="I36" s="63" t="n">
        <x:f>IF(OR(H36="",H35=""),"",H36-H35)</x:f>
        <x:v>-0.019999999999999574</x:v>
      </x:c>
      <x:c r="J36" s="63" t="n">
        <x:f>'Datos_fuente'!J36</x:f>
        <x:v>1.507950545</x:v>
      </x:c>
      <x:c r="K36" s="63" t="n">
        <x:f>IF(OR(J36="",J35=""),"",J36-J35)</x:f>
        <x:v>-0.684348859</x:v>
      </x:c>
      <x:c r="L36" s="98" t="n">
        <x:f>IF('Datos_fuente'!K36="","",LN('Datos_fuente'!K36))</x:f>
        <x:v>4.46674460502413</x:v>
      </x:c>
      <x:c r="M36" s="98" t="n">
        <x:f>IF(OR(L36="",L35=""),"",L36-L35)</x:f>
        <x:v>0.0028561838965162067</x:v>
      </x:c>
      <x:c r="N36" s="98" t="n">
        <x:f>IF('Datos_fuente'!L36="","",LN('Datos_fuente'!L36))</x:f>
        <x:v>3.096051531950863</x:v>
      </x:c>
      <x:c r="O36" s="98" t="n">
        <x:f>IF(OR(N36="",N35=""),"",N36-N35)</x:f>
        <x:v>0.18896833951030745</x:v>
      </x:c>
      <x:c r="P36" s="96" t="n">
        <x:f>'Datos_fuente'!M36</x:f>
        <x:v>0</x:v>
      </x:c>
      <x:c r="Q36" s="98" t="n">
        <x:f>IF('Datos_fuente'!N36="","",LN('Datos_fuente'!N36))</x:f>
        <x:v>10.036597418830908</x:v>
      </x:c>
      <x:c r="R36" s="98" t="n">
        <x:f>IF(OR(Q36="",Q35=""),"",Q36-Q35)</x:f>
        <x:v>0.020772296981009575</x:v>
      </x:c>
      <x:c r="S36" s="63" t="n">
        <x:f>'Datos_fuente'!P36</x:f>
        <x:v>1.806190476</x:v>
      </x:c>
      <x:c r="T36" s="63" t="n">
        <x:f>IF(OR(S36="",S35=""),"",S36-S35)</x:f>
        <x:v>0.015735931000000036</x:v>
      </x:c>
      <x:c r="U36" s="98" t="n">
        <x:f>IF('Datos_fuente'!Q36="","",ASINH('Datos_fuente'!Q36/1000))</x:f>
        <x:v>-0.6624940751944527</x:v>
      </x:c>
      <x:c r="V36" s="98" t="n">
        <x:f>IF(OR(U36="",U35=""),"",U36-U35)</x:f>
        <x:v>-0.07930826860932783</x:v>
      </x:c>
      <x:c r="W36" s="98" t="n">
        <x:f>IF('Datos_fuente'!R36="","",ASINH('Datos_fuente'!R36/1000))</x:f>
        <x:v>1.0024724634179516</x:v>
      </x:c>
      <x:c r="X36" s="98" t="n">
        <x:f>IF(OR(W36="",W35=""),"",W36-W35)</x:f>
        <x:v>0.537715290380595</x:v>
      </x:c>
      <x:c r="Y36" s="63" t="n">
        <x:f>'Datos_fuente'!W36</x:f>
        <x:v>3.75044257</x:v>
      </x:c>
      <x:c r="Z36" s="63" t="n">
        <x:f>IF(OR(Y36="",Y35=""),"",Y36-Y35)</x:f>
        <x:v>0.5518988660000002</x:v>
      </x:c>
      <x:c r="AA36" s="98" t="n">
        <x:f>'Datos_fuente'!AB36</x:f>
        <x:v>0.2380224945</x:v>
      </x:c>
      <x:c r="AB36" s="98" t="n">
        <x:f>'Datos_fuente'!AC36</x:f>
        <x:v>0.8008393393</x:v>
      </x:c>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f>'Datos_fuente'!A37</x:f>
        <x:v>2008-07</x:v>
      </x:c>
      <x:c r="B37" s="98" t="n">
        <x:f>IF('Datos_fuente'!B37="","",LN('Datos_fuente'!B37))</x:f>
        <x:v>7.484955640070927</x:v>
      </x:c>
      <x:c r="C37" s="98" t="n">
        <x:f>IF(OR(B37="",B36=""),"",B37-B36)</x:f>
        <x:v>0.027758245328208808</x:v>
      </x:c>
      <x:c r="D37" s="98" t="n">
        <x:f>IF('Datos_fuente'!C37="","",LN('Datos_fuente'!C37))</x:f>
        <x:v>5.074673690192144</x:v>
      </x:c>
      <x:c r="E37" s="98" t="n">
        <x:f>IF(OR(D37="",D36=""),"",D37-D36)</x:f>
        <x:v>-0.013786469367416565</x:v>
      </x:c>
      <x:c r="F37" s="98" t="n">
        <x:f>IF('Datos_fuente'!E37="","",LN('Datos_fuente'!E37))</x:f>
        <x:v>8.49548935797245</x:v>
      </x:c>
      <x:c r="G37" s="98" t="n">
        <x:f>IF(OR(F37="",F36=""),"",F37-F36)</x:f>
        <x:v>0.020064441992397875</x:v>
      </x:c>
      <x:c r="H37" s="63" t="n">
        <x:f>'Datos_fuente'!H37</x:f>
        <x:v>7.772258065</x:v>
      </x:c>
      <x:c r="I37" s="63" t="n">
        <x:f>IF(OR(H37="",H36=""),"",H37-H36)</x:f>
        <x:v>0.022258064999999938</x:v>
      </x:c>
      <x:c r="J37" s="63" t="n">
        <x:f>'Datos_fuente'!J37</x:f>
        <x:v>1.38078604</x:v>
      </x:c>
      <x:c r="K37" s="63" t="n">
        <x:f>IF(OR(J37="",J36=""),"",J37-J36)</x:f>
        <x:v>-0.12716450499999987</x:v>
      </x:c>
      <x:c r="L37" s="98" t="n">
        <x:f>IF('Datos_fuente'!K37="","",LN('Datos_fuente'!K37))</x:f>
        <x:v>4.459609664279515</x:v>
      </x:c>
      <x:c r="M37" s="98" t="n">
        <x:f>IF(OR(L37="",L36=""),"",L37-L36)</x:f>
        <x:v>-0.007134940744614404</x:v>
      </x:c>
      <x:c r="N37" s="98" t="n">
        <x:f>IF('Datos_fuente'!L37="","",LN('Datos_fuente'!L37))</x:f>
        <x:v>3.1913738149943147</x:v>
      </x:c>
      <x:c r="O37" s="98" t="n">
        <x:f>IF(OR(N37="",N36=""),"",N37-N36)</x:f>
        <x:v>0.0953222830434517</x:v>
      </x:c>
      <x:c r="P37" s="96" t="n">
        <x:f>'Datos_fuente'!M37</x:f>
        <x:v>0</x:v>
      </x:c>
      <x:c r="Q37" s="98" t="n">
        <x:f>IF('Datos_fuente'!N37="","",LN('Datos_fuente'!N37))</x:f>
        <x:v>10.05816295181691</x:v>
      </x:c>
      <x:c r="R37" s="98" t="n">
        <x:f>IF(OR(Q37="",Q36=""),"",Q37-Q36)</x:f>
        <x:v>0.021565532986000946</x:v>
      </x:c>
      <x:c r="S37" s="63" t="n">
        <x:f>'Datos_fuente'!P37</x:f>
        <x:v>2.175217391</x:v>
      </x:c>
      <x:c r="T37" s="63" t="n">
        <x:f>IF(OR(S37="",S36=""),"",S37-S36)</x:f>
        <x:v>0.36902691499999984</x:v>
      </x:c>
      <x:c r="U37" s="98" t="n">
        <x:f>IF('Datos_fuente'!Q37="","",ASINH('Datos_fuente'!Q37/1000))</x:f>
        <x:v>-0.7048498273896687</x:v>
      </x:c>
      <x:c r="V37" s="98" t="n">
        <x:f>IF(OR(U37="",U36=""),"",U37-U36)</x:f>
        <x:v>-0.042355752195216034</x:v>
      </x:c>
      <x:c r="W37" s="98" t="n">
        <x:f>IF('Datos_fuente'!R37="","",ASINH('Datos_fuente'!R37/1000))</x:f>
        <x:v>0.880475276223982</x:v>
      </x:c>
      <x:c r="X37" s="98" t="n">
        <x:f>IF(OR(W37="",W36=""),"",W37-W36)</x:f>
        <x:v>-0.12199718719396957</x:v>
      </x:c>
      <x:c r="Y37" s="63" t="n">
        <x:f>'Datos_fuente'!W37</x:f>
        <x:v>4.500656704</x:v>
      </x:c>
      <x:c r="Z37" s="63" t="n">
        <x:f>IF(OR(Y37="",Y36=""),"",Y37-Y36)</x:f>
        <x:v>0.7502141339999997</x:v>
      </x:c>
      <x:c r="AA37" s="98" t="n">
        <x:f>'Datos_fuente'!AB37</x:f>
        <x:v>-0.3160464393</x:v>
      </x:c>
      <x:c r="AB37" s="98" t="n">
        <x:f>'Datos_fuente'!AC37</x:f>
        <x:v>-0.5482165142</x:v>
      </x:c>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f>'Datos_fuente'!A38</x:f>
        <x:v>2008-08</x:v>
      </x:c>
      <x:c r="B38" s="98" t="n">
        <x:f>IF('Datos_fuente'!B38="","",LN('Datos_fuente'!B38))</x:f>
        <x:v>7.521576430284874</x:v>
      </x:c>
      <x:c r="C38" s="98" t="n">
        <x:f>IF(OR(B38="",B37=""),"",B38-B37)</x:f>
        <x:v>0.03662079021394682</x:v>
      </x:c>
      <x:c r="D38" s="98" t="n">
        <x:f>IF('Datos_fuente'!C38="","",LN('Datos_fuente'!C38))</x:f>
        <x:v>4.993760376871411</x:v>
      </x:c>
      <x:c r="E38" s="98" t="n">
        <x:f>IF(OR(D38="",D37=""),"",D38-D37)</x:f>
        <x:v>-0.0809133133207327</x:v>
      </x:c>
      <x:c r="F38" s="98" t="n">
        <x:f>IF('Datos_fuente'!E38="","",LN('Datos_fuente'!E38))</x:f>
        <x:v>8.486624699609699</x:v>
      </x:c>
      <x:c r="G38" s="98" t="n">
        <x:f>IF(OR(F38="",F37=""),"",F38-F37)</x:f>
        <x:v>-0.008864658362751854</x:v>
      </x:c>
      <x:c r="H38" s="63" t="n">
        <x:f>'Datos_fuente'!H38</x:f>
        <x:v>8</x:v>
      </x:c>
      <x:c r="I38" s="63" t="n">
        <x:f>IF(OR(H38="",H37=""),"",H38-H37)</x:f>
        <x:v>0.22774193500000006</x:v>
      </x:c>
      <x:c r="J38" s="63" t="n">
        <x:f>'Datos_fuente'!J38</x:f>
        <x:v>1.855080021</x:v>
      </x:c>
      <x:c r="K38" s="63" t="n">
        <x:f>IF(OR(J38="",J37=""),"",J38-J37)</x:f>
        <x:v>0.474293981</x:v>
      </x:c>
      <x:c r="L38" s="98" t="n">
        <x:f>IF('Datos_fuente'!K38="","",LN('Datos_fuente'!K38))</x:f>
        <x:v>4.4880181476610135</x:v>
      </x:c>
      <x:c r="M38" s="98" t="n">
        <x:f>IF(OR(L38="",L37=""),"",L38-L37)</x:f>
        <x:v>0.02840848338149815</x:v>
      </x:c>
      <x:c r="N38" s="98" t="n">
        <x:f>IF('Datos_fuente'!L38="","",LN('Datos_fuente'!L38))</x:f>
        <x:v>3.0299266397053293</x:v>
      </x:c>
      <x:c r="O38" s="98" t="n">
        <x:f>IF(OR(N38="",N37=""),"",N38-N37)</x:f>
        <x:v>-0.16144717528898545</x:v>
      </x:c>
      <x:c r="P38" s="96" t="n">
        <x:f>'Datos_fuente'!M38</x:f>
        <x:v>0</x:v>
      </x:c>
      <x:c r="Q38" s="98" t="n">
        <x:f>IF('Datos_fuente'!N38="","",LN('Datos_fuente'!N38))</x:f>
        <x:v>10.070648093071128</x:v>
      </x:c>
      <x:c r="R38" s="98" t="n">
        <x:f>IF(OR(Q38="",Q37=""),"",Q38-Q37)</x:f>
        <x:v>0.012485141254218846</x:v>
      </x:c>
      <x:c r="S38" s="63" t="n">
        <x:f>'Datos_fuente'!P38</x:f>
        <x:v>2.21952381</x:v>
      </x:c>
      <x:c r="T38" s="63" t="n">
        <x:f>IF(OR(S38="",S37=""),"",S38-S37)</x:f>
        <x:v>0.04430641900000021</x:v>
      </x:c>
      <x:c r="U38" s="98" t="n">
        <x:f>IF('Datos_fuente'!Q38="","",ASINH('Datos_fuente'!Q38/1000))</x:f>
        <x:v>-0.6818692617973472</x:v>
      </x:c>
      <x:c r="V38" s="98" t="n">
        <x:f>IF(OR(U38="",U37=""),"",U38-U37)</x:f>
        <x:v>0.022980565592321534</x:v>
      </x:c>
      <x:c r="W38" s="98" t="n">
        <x:f>IF('Datos_fuente'!R38="","",ASINH('Datos_fuente'!R38/1000))</x:f>
        <x:v>0.648639498232606</x:v>
      </x:c>
      <x:c r="X38" s="98" t="n">
        <x:f>IF(OR(W38="",W37=""),"",W38-W37)</x:f>
        <x:v>-0.231835777991376</x:v>
      </x:c>
      <x:c r="Y38" s="63" t="n">
        <x:f>'Datos_fuente'!W38</x:f>
        <x:v>4.08853198</x:v>
      </x:c>
      <x:c r="Z38" s="63" t="n">
        <x:f>IF(OR(Y38="",Y37=""),"",Y38-Y37)</x:f>
        <x:v>-0.4121247239999999</x:v>
      </x:c>
      <x:c r="AA38" s="98" t="n">
        <x:f>'Datos_fuente'!AB38</x:f>
        <x:v>0.2982139333</x:v>
      </x:c>
      <x:c r="AB38" s="98" t="n">
        <x:f>'Datos_fuente'!AC38</x:f>
        <x:v>0.5471528608</x:v>
      </x:c>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f>'Datos_fuente'!A39</x:f>
        <x:v>2008-09</x:v>
      </x:c>
      <x:c r="B39" s="98" t="n">
        <x:f>IF('Datos_fuente'!B39="","",LN('Datos_fuente'!B39))</x:f>
        <x:v>7.633460158652255</x:v>
      </x:c>
      <x:c r="C39" s="98" t="n">
        <x:f>IF(OR(B39="",B38=""),"",B39-B38)</x:f>
        <x:v>0.11188372836738125</x:v>
      </x:c>
      <x:c r="D39" s="98" t="n">
        <x:f>IF('Datos_fuente'!C39="","",LN('Datos_fuente'!C39))</x:f>
        <x:v>4.973763819320351</x:v>
      </x:c>
      <x:c r="E39" s="98" t="n">
        <x:f>IF(OR(D39="",D38=""),"",D39-D38)</x:f>
        <x:v>-0.019996557551060334</x:v>
      </x:c>
      <x:c r="F39" s="98" t="n">
        <x:f>IF('Datos_fuente'!E39="","",LN('Datos_fuente'!E39))</x:f>
        <x:v>8.502179041042936</x:v>
      </x:c>
      <x:c r="G39" s="98" t="n">
        <x:f>IF(OR(F39="",F38=""),"",F39-F38)</x:f>
        <x:v>0.015554341433237084</x:v>
      </x:c>
      <x:c r="H39" s="63" t="n">
        <x:f>'Datos_fuente'!H39</x:f>
        <x:v>8.19</x:v>
      </x:c>
      <x:c r="I39" s="63" t="n">
        <x:f>IF(OR(H39="",H38=""),"",H39-H38)</x:f>
        <x:v>0.1899999999999995</x:v>
      </x:c>
      <x:c r="J39" s="63" t="n">
        <x:f>'Datos_fuente'!J39</x:f>
        <x:v>1.763145856</x:v>
      </x:c>
      <x:c r="K39" s="63" t="n">
        <x:f>IF(OR(J39="",J38=""),"",J39-J38)</x:f>
        <x:v>-0.09193416500000007</x:v>
      </x:c>
      <x:c r="L39" s="98" t="n">
        <x:f>IF('Datos_fuente'!K39="","",LN('Datos_fuente'!K39))</x:f>
        <x:v>4.513768557824393</x:v>
      </x:c>
      <x:c r="M39" s="98" t="n">
        <x:f>IF(OR(L39="",L38=""),"",L39-L38)</x:f>
        <x:v>0.0257504101633792</x:v>
      </x:c>
      <x:c r="N39" s="98" t="n">
        <x:f>IF('Datos_fuente'!L39="","",LN('Datos_fuente'!L39))</x:f>
        <x:v>3.409118309124009</x:v>
      </x:c>
      <x:c r="O39" s="98" t="n">
        <x:f>IF(OR(N39="",N38=""),"",N39-N38)</x:f>
        <x:v>0.37919166941867966</x:v>
      </x:c>
      <x:c r="P39" s="96" t="n">
        <x:f>'Datos_fuente'!M39</x:f>
        <x:v>0</x:v>
      </x:c>
      <x:c r="Q39" s="98" t="n">
        <x:f>IF('Datos_fuente'!N39="","",LN('Datos_fuente'!N39))</x:f>
        <x:v>10.089231994568845</x:v>
      </x:c>
      <x:c r="R39" s="98" t="n">
        <x:f>IF(OR(Q39="",Q38=""),"",Q39-Q38)</x:f>
        <x:v>0.018583901497716937</x:v>
      </x:c>
      <x:c r="S39" s="63" t="n">
        <x:f>'Datos_fuente'!P39</x:f>
        <x:v>2.704545455</x:v>
      </x:c>
      <x:c r="T39" s="63" t="n">
        <x:f>IF(OR(S39="",S38=""),"",S39-S38)</x:f>
        <x:v>0.4850216449999998</x:v>
      </x:c>
      <x:c r="U39" s="98" t="n">
        <x:f>IF('Datos_fuente'!Q39="","",ASINH('Datos_fuente'!Q39/1000))</x:f>
        <x:v>-0.6635527321157004</x:v>
      </x:c>
      <x:c r="V39" s="98" t="n">
        <x:f>IF(OR(U39="",U38=""),"",U39-U38)</x:f>
        <x:v>0.018316529681646765</x:v>
      </x:c>
      <x:c r="W39" s="98" t="n">
        <x:f>IF('Datos_fuente'!R39="","",ASINH('Datos_fuente'!R39/1000))</x:f>
        <x:v>0.7427485974844824</x:v>
      </x:c>
      <x:c r="X39" s="98" t="n">
        <x:f>IF(OR(W39="",W38=""),"",W39-W38)</x:f>
        <x:v>0.09410909925187638</x:v>
      </x:c>
      <x:c r="Y39" s="63" t="n">
        <x:f>'Datos_fuente'!W39</x:f>
        <x:v>4.597289604</x:v>
      </x:c>
      <x:c r="Z39" s="63" t="n">
        <x:f>IF(OR(Y39="",Y38=""),"",Y39-Y38)</x:f>
        <x:v>0.5087576240000002</x:v>
      </x:c>
      <x:c r="AA39" s="98" t="n">
        <x:f>'Datos_fuente'!AB39</x:f>
        <x:v>1.891190367</x:v>
      </x:c>
      <x:c r="AB39" s="98" t="n">
        <x:f>'Datos_fuente'!AC39</x:f>
        <x:v>1.921518671</x:v>
      </x:c>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f>'Datos_fuente'!A40</x:f>
        <x:v>2008-10</x:v>
      </x:c>
      <x:c r="B40" s="98" t="n">
        <x:f>IF('Datos_fuente'!B40="","",LN('Datos_fuente'!B40))</x:f>
        <x:v>7.735808310603203</x:v>
      </x:c>
      <x:c r="C40" s="98" t="n">
        <x:f>IF(OR(B40="",B39=""),"",B40-B39)</x:f>
        <x:v>0.10234815195094793</x:v>
      </x:c>
      <x:c r="D40" s="98" t="n">
        <x:f>IF('Datos_fuente'!C40="","",LN('Datos_fuente'!C40))</x:f>
        <x:v>4.884240281591309</x:v>
      </x:c>
      <x:c r="E40" s="98" t="n">
        <x:f>IF(OR(D40="",D39=""),"",D40-D39)</x:f>
        <x:v>-0.08952353772904242</x:v>
      </x:c>
      <x:c r="F40" s="98" t="n">
        <x:f>IF('Datos_fuente'!E40="","",LN('Datos_fuente'!E40))</x:f>
        <x:v>8.500836141295496</x:v>
      </x:c>
      <x:c r="G40" s="98" t="n">
        <x:f>IF(OR(F40="",F39=""),"",F40-F39)</x:f>
        <x:v>-0.0013428997474402848</x:v>
      </x:c>
      <x:c r="H40" s="63" t="n">
        <x:f>'Datos_fuente'!H40</x:f>
        <x:v>9.03</x:v>
      </x:c>
      <x:c r="I40" s="63" t="n">
        <x:f>IF(OR(H40="",H39=""),"",H40-H39)</x:f>
        <x:v>0.8399999999999999</x:v>
      </x:c>
      <x:c r="J40" s="63" t="n">
        <x:f>'Datos_fuente'!J40</x:f>
        <x:v>1.699208134</x:v>
      </x:c>
      <x:c r="K40" s="63" t="n">
        <x:f>IF(OR(J40="",J39=""),"",J40-J39)</x:f>
        <x:v>-0.06393772199999992</x:v>
      </x:c>
      <x:c r="L40" s="98" t="n">
        <x:f>IF('Datos_fuente'!K40="","",LN('Datos_fuente'!K40))</x:f>
        <x:v>4.585375558659912</x:v>
      </x:c>
      <x:c r="M40" s="98" t="n">
        <x:f>IF(OR(L40="",L39=""),"",L40-L39)</x:f>
        <x:v>0.07160700083551941</x:v>
      </x:c>
      <x:c r="N40" s="98" t="n">
        <x:f>IF('Datos_fuente'!L40="","",LN('Datos_fuente'!L40))</x:f>
        <x:v>4.113777698062105</x:v>
      </x:c>
      <x:c r="O40" s="98" t="n">
        <x:f>IF(OR(N40="",N39=""),"",N40-N39)</x:f>
        <x:v>0.7046593889380959</x:v>
      </x:c>
      <x:c r="P40" s="96" t="n">
        <x:f>'Datos_fuente'!M40</x:f>
        <x:v>0</x:v>
      </x:c>
      <x:c r="Q40" s="98" t="n">
        <x:f>IF('Datos_fuente'!N40="","",LN('Datos_fuente'!N40))</x:f>
        <x:v>10.060811335599453</x:v>
      </x:c>
      <x:c r="R40" s="98" t="n">
        <x:f>IF(OR(Q40="",Q39=""),"",Q40-Q39)</x:f>
        <x:v>-0.02842065896939161</x:v>
      </x:c>
      <x:c r="S40" s="63" t="n">
        <x:f>'Datos_fuente'!P40</x:f>
        <x:v>5.343478261</x:v>
      </x:c>
      <x:c r="T40" s="63" t="n">
        <x:f>IF(OR(S40="",S39=""),"",S40-S39)</x:f>
        <x:v>2.6389328059999997</x:v>
      </x:c>
      <x:c r="U40" s="98" t="n">
        <x:f>IF('Datos_fuente'!Q40="","",ASINH('Datos_fuente'!Q40/1000))</x:f>
        <x:v>-0.6063548988544439</x:v>
      </x:c>
      <x:c r="V40" s="98" t="n">
        <x:f>IF(OR(U40="",U39=""),"",U40-U39)</x:f>
        <x:v>0.05719783326125649</x:v>
      </x:c>
      <x:c r="W40" s="98" t="n">
        <x:f>IF('Datos_fuente'!R40="","",ASINH('Datos_fuente'!R40/1000))</x:f>
        <x:v>-0.2179796719299658</x:v>
      </x:c>
      <x:c r="X40" s="98" t="n">
        <x:f>IF(OR(W40="",W39=""),"",W40-W39)</x:f>
        <x:v>-0.9607282694144482</x:v>
      </x:c>
      <x:c r="Y40" s="63" t="n">
        <x:f>'Datos_fuente'!W40</x:f>
        <x:v>5.946827273</x:v>
      </x:c>
      <x:c r="Z40" s="63" t="n">
        <x:f>IF(OR(Y40="",Y39=""),"",Y40-Y39)</x:f>
        <x:v>1.349537669</x:v>
      </x:c>
      <x:c r="AA40" s="98" t="n">
        <x:f>'Datos_fuente'!AB40</x:f>
        <x:v>5.734449444</x:v>
      </x:c>
      <x:c r="AB40" s="98" t="n">
        <x:f>'Datos_fuente'!AC40</x:f>
        <x:v>5.01816254</x:v>
      </x:c>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f>'Datos_fuente'!A41</x:f>
        <x:v>2008-11</x:v>
      </x:c>
      <x:c r="B41" s="98" t="n">
        <x:f>IF('Datos_fuente'!B41="","",LN('Datos_fuente'!B41))</x:f>
        <x:v>7.755193272264553</x:v>
      </x:c>
      <x:c r="C41" s="98" t="n">
        <x:f>IF(OR(B41="",B40=""),"",B41-B40)</x:f>
        <x:v>0.019384961661350175</x:v>
      </x:c>
      <x:c r="D41" s="98" t="n">
        <x:f>IF('Datos_fuente'!C41="","",LN('Datos_fuente'!C41))</x:f>
        <x:v>4.768478803600115</x:v>
      </x:c>
      <x:c r="E41" s="98" t="n">
        <x:f>IF(OR(D41="",D40=""),"",D41-D40)</x:f>
        <x:v>-0.1157614779911933</x:v>
      </x:c>
      <x:c r="F41" s="98" t="n">
        <x:f>IF('Datos_fuente'!E41="","",LN('Datos_fuente'!E41))</x:f>
        <x:v>8.472223021768398</x:v>
      </x:c>
      <x:c r="G41" s="98" t="n">
        <x:f>IF(OR(F41="",F40=""),"",F41-F40)</x:f>
        <x:v>-0.028613119527097552</x:v>
      </x:c>
      <x:c r="H41" s="63" t="n">
        <x:f>'Datos_fuente'!H41</x:f>
        <x:v>9.61</x:v>
      </x:c>
      <x:c r="I41" s="63" t="n">
        <x:f>IF(OR(H41="",H40=""),"",H41-H40)</x:f>
        <x:v>0.5800000000000001</x:v>
      </x:c>
      <x:c r="J41" s="63" t="n">
        <x:f>'Datos_fuente'!J41</x:f>
        <x:v>2.332166211</x:v>
      </x:c>
      <x:c r="K41" s="63" t="n">
        <x:f>IF(OR(J41="",J40=""),"",J41-J40)</x:f>
        <x:v>0.6329580770000001</x:v>
      </x:c>
      <x:c r="L41" s="98" t="n">
        <x:f>IF('Datos_fuente'!K41="","",LN('Datos_fuente'!K41))</x:f>
        <x:v>4.612807546957856</x:v>
      </x:c>
      <x:c r="M41" s="98" t="n">
        <x:f>IF(OR(L41="",L40=""),"",L41-L40)</x:f>
        <x:v>0.02743198829794391</x:v>
      </x:c>
      <x:c r="N41" s="98" t="n">
        <x:f>IF('Datos_fuente'!L41="","",LN('Datos_fuente'!L41))</x:f>
        <x:v>4.137866067701714</x:v>
      </x:c>
      <x:c r="O41" s="98" t="n">
        <x:f>IF(OR(N41="",N40=""),"",N41-N40)</x:f>
        <x:v>0.024088369639609475</x:v>
      </x:c>
      <x:c r="P41" s="96" t="n">
        <x:f>'Datos_fuente'!M41</x:f>
        <x:v>0</x:v>
      </x:c>
      <x:c r="Q41" s="98" t="n">
        <x:f>IF('Datos_fuente'!N41="","",LN('Datos_fuente'!N41))</x:f>
        <x:v>10.069192650803071</x:v>
      </x:c>
      <x:c r="R41" s="98" t="n">
        <x:f>IF(OR(Q41="",Q40=""),"",Q41-Q40)</x:f>
        <x:v>0.008381315203617845</x:v>
      </x:c>
      <x:c r="S41" s="63" t="n">
        <x:f>'Datos_fuente'!P41</x:f>
        <x:v>5.496</x:v>
      </x:c>
      <x:c r="T41" s="63" t="n">
        <x:f>IF(OR(S41="",S40=""),"",S41-S40)</x:f>
        <x:v>0.15252173900000088</x:v>
      </x:c>
      <x:c r="U41" s="98" t="n">
        <x:f>IF('Datos_fuente'!Q41="","",ASINH('Datos_fuente'!Q41/1000))</x:f>
        <x:v>-0.6225250313540451</x:v>
      </x:c>
      <x:c r="V41" s="98" t="n">
        <x:f>IF(OR(U41="",U40=""),"",U41-U40)</x:f>
        <x:v>-0.016170132499601197</x:v>
      </x:c>
      <x:c r="W41" s="98" t="n">
        <x:f>IF('Datos_fuente'!R41="","",ASINH('Datos_fuente'!R41/1000))</x:f>
        <x:v>0.526251374692875</x:v>
      </x:c>
      <x:c r="X41" s="98" t="n">
        <x:f>IF(OR(W41="",W40=""),"",W41-W40)</x:f>
        <x:v>0.7442310466228408</x:v>
      </x:c>
      <x:c r="Y41" s="63" t="n">
        <x:f>'Datos_fuente'!W41</x:f>
        <x:v>7.271947471</x:v>
      </x:c>
      <x:c r="Z41" s="63" t="n">
        <x:f>IF(OR(Y41="",Y40=""),"",Y41-Y40)</x:f>
        <x:v>1.3251201979999996</x:v>
      </x:c>
      <x:c r="AA41" s="98" t="n">
        <x:f>'Datos_fuente'!AB41</x:f>
        <x:v>1.159772216</x:v>
      </x:c>
      <x:c r="AB41" s="98" t="n">
        <x:f>'Datos_fuente'!AC41</x:f>
        <x:v>0.9930082398</x:v>
      </x:c>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f>'Datos_fuente'!A42</x:f>
        <x:v>2008-12</x:v>
      </x:c>
      <x:c r="B42" s="98" t="n">
        <x:f>IF('Datos_fuente'!B42="","",LN('Datos_fuente'!B42))</x:f>
        <x:v>7.719356524674486</x:v>
      </x:c>
      <x:c r="C42" s="98" t="n">
        <x:f>IF(OR(B42="",B41=""),"",B42-B41)</x:f>
        <x:v>-0.03583674759006694</x:v>
      </x:c>
      <x:c r="D42" s="98" t="n">
        <x:f>IF('Datos_fuente'!C42="","",LN('Datos_fuente'!C42))</x:f>
        <x:v>4.844974178195408</x:v>
      </x:c>
      <x:c r="E42" s="98" t="n">
        <x:f>IF(OR(D42="",D41=""),"",D42-D41)</x:f>
        <x:v>0.07649537459529299</x:v>
      </x:c>
      <x:c r="F42" s="98" t="n">
        <x:f>IF('Datos_fuente'!E42="","",LN('Datos_fuente'!E42))</x:f>
        <x:v>8.473224584834021</x:v>
      </x:c>
      <x:c r="G42" s="98" t="n">
        <x:f>IF(OR(F42="",F41=""),"",F42-F41)</x:f>
        <x:v>0.0010015630656230456</x:v>
      </x:c>
      <x:c r="H42" s="63" t="n">
        <x:f>'Datos_fuente'!H42</x:f>
        <x:v>9.678709677</x:v>
      </x:c>
      <x:c r="I42" s="63" t="n">
        <x:f>IF(OR(H42="",H41=""),"",H42-H41)</x:f>
        <x:v>0.06870967700000108</x:v>
      </x:c>
      <x:c r="J42" s="63" t="n">
        <x:f>'Datos_fuente'!J42</x:f>
        <x:v>2.32245795</x:v>
      </x:c>
      <x:c r="K42" s="63" t="n">
        <x:f>IF(OR(J42="",J41=""),"",J42-J41)</x:f>
        <x:v>-0.009708261000000107</x:v>
      </x:c>
      <x:c r="L42" s="98" t="n">
        <x:f>IF('Datos_fuente'!K42="","",LN('Datos_fuente'!K42))</x:f>
        <x:v>4.601786947585854</x:v>
      </x:c>
      <x:c r="M42" s="98" t="n">
        <x:f>IF(OR(L42="",L41=""),"",L42-L41)</x:f>
        <x:v>-0.01102059937200206</x:v>
      </x:c>
      <x:c r="N42" s="98" t="n">
        <x:f>IF('Datos_fuente'!L42="","",LN('Datos_fuente'!L42))</x:f>
        <x:v>3.9590020066221405</x:v>
      </x:c>
      <x:c r="O42" s="98" t="n">
        <x:f>IF(OR(N42="",N41=""),"",N42-N41)</x:f>
        <x:v>-0.17886406107957376</x:v>
      </x:c>
      <x:c r="P42" s="96" t="n">
        <x:f>'Datos_fuente'!M42</x:f>
        <x:v>0</x:v>
      </x:c>
      <x:c r="Q42" s="98" t="n">
        <x:f>IF('Datos_fuente'!N42="","",LN('Datos_fuente'!N42))</x:f>
        <x:v>10.087045428106311</x:v>
      </x:c>
      <x:c r="R42" s="98" t="n">
        <x:f>IF(OR(Q42="",Q41=""),"",Q42-Q41)</x:f>
        <x:v>0.017852777303239975</x:v>
      </x:c>
      <x:c r="S42" s="63" t="n">
        <x:f>'Datos_fuente'!P42</x:f>
        <x:v>5.362608696</x:v>
      </x:c>
      <x:c r="T42" s="63" t="n">
        <x:f>IF(OR(S42="",S41=""),"",S42-S41)</x:f>
        <x:v>-0.13339130400000077</x:v>
      </x:c>
      <x:c r="U42" s="98" t="n">
        <x:f>IF('Datos_fuente'!Q42="","",ASINH('Datos_fuente'!Q42/1000))</x:f>
        <x:v>-0.8145719501993747</x:v>
      </x:c>
      <x:c r="V42" s="98" t="n">
        <x:f>IF(OR(U42="",U41=""),"",U42-U41)</x:f>
        <x:v>-0.19204691884532954</x:v>
      </x:c>
      <x:c r="W42" s="98" t="n">
        <x:f>IF('Datos_fuente'!R42="","",ASINH('Datos_fuente'!R42/1000))</x:f>
        <x:v>0.8177451181079055</x:v>
      </x:c>
      <x:c r="X42" s="98" t="n">
        <x:f>IF(OR(W42="",W41=""),"",W42-W41)</x:f>
        <x:v>0.29149374341503054</x:v>
      </x:c>
      <x:c r="Y42" s="63" t="n">
        <x:f>'Datos_fuente'!W42</x:f>
        <x:v>6.750518173</x:v>
      </x:c>
      <x:c r="Z42" s="63" t="n">
        <x:f>IF(OR(Y42="",Y41=""),"",Y42-Y41)</x:f>
        <x:v>-0.5214292980000002</x:v>
      </x:c>
      <x:c r="AA42" s="98" t="n">
        <x:f>'Datos_fuente'!AB42</x:f>
        <x:v>0.6713216209</x:v>
      </x:c>
      <x:c r="AB42" s="98" t="n">
        <x:f>'Datos_fuente'!AC42</x:f>
        <x:v>0.6477842907</x:v>
      </x:c>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f>'Datos_fuente'!A43</x:f>
        <x:v>2009-01</x:v>
      </x:c>
      <x:c r="B43" s="98" t="n">
        <x:f>IF('Datos_fuente'!B43="","",LN('Datos_fuente'!B43))</x:f>
        <x:v>7.720242561896252</x:v>
      </x:c>
      <x:c r="C43" s="98" t="n">
        <x:f>IF(OR(B43="",B42=""),"",B43-B42)</x:f>
        <x:v>0.0008860372217656121</x:v>
      </x:c>
      <x:c r="D43" s="98" t="n">
        <x:f>IF('Datos_fuente'!C43="","",LN('Datos_fuente'!C43))</x:f>
        <x:v>4.7371628954465885</x:v>
      </x:c>
      <x:c r="E43" s="98" t="n">
        <x:f>IF(OR(D43="",D42=""),"",D43-D42)</x:f>
        <x:v>-0.10781128274881979</x:v>
      </x:c>
      <x:c r="F43" s="98" t="n">
        <x:f>IF('Datos_fuente'!E43="","",LN('Datos_fuente'!E43))</x:f>
        <x:v>8.460271455448224</x:v>
      </x:c>
      <x:c r="G43" s="98" t="n">
        <x:f>IF(OR(F43="",F42=""),"",F43-F42)</x:f>
        <x:v>-0.012953129385797624</x:v>
      </x:c>
      <x:c r="H43" s="63" t="n">
        <x:f>'Datos_fuente'!H43</x:f>
        <x:v>9.35</x:v>
      </x:c>
      <x:c r="I43" s="63" t="n">
        <x:f>IF(OR(H43="",H42=""),"",H43-H42)</x:f>
        <x:v>-0.32870967700000087</x:v>
      </x:c>
      <x:c r="J43" s="63" t="n">
        <x:f>'Datos_fuente'!J43</x:f>
        <x:v>1.755409008</x:v>
      </x:c>
      <x:c r="K43" s="63" t="n">
        <x:f>IF(OR(J43="",J42=""),"",J43-J42)</x:f>
        <x:v>-0.567048942</x:v>
      </x:c>
      <x:c r="L43" s="98" t="n">
        <x:f>IF('Datos_fuente'!K43="","",LN('Datos_fuente'!K43))</x:f>
        <x:v>4.608684844334092</x:v>
      </x:c>
      <x:c r="M43" s="98" t="n">
        <x:f>IF(OR(L43="",L42=""),"",L43-L42)</x:f>
        <x:v>0.0068978967482378195</x:v>
      </x:c>
      <x:c r="N43" s="98" t="n">
        <x:f>IF('Datos_fuente'!L43="","",LN('Datos_fuente'!L43))</x:f>
        <x:v>3.7995931160830123</x:v>
      </x:c>
      <x:c r="O43" s="98" t="n">
        <x:f>IF(OR(N43="",N42=""),"",N43-N42)</x:f>
        <x:v>-0.1594088905391282</x:v>
      </x:c>
      <x:c r="P43" s="96" t="n">
        <x:f>'Datos_fuente'!M43</x:f>
        <x:v>0</x:v>
      </x:c>
      <x:c r="Q43" s="98" t="n">
        <x:f>IF('Datos_fuente'!N43="","",LN('Datos_fuente'!N43))</x:f>
        <x:v>10.069897776119074</x:v>
      </x:c>
      <x:c r="R43" s="98" t="n">
        <x:f>IF(OR(Q43="",Q42=""),"",Q43-Q42)</x:f>
        <x:v>-0.01714765198723711</x:v>
      </x:c>
      <x:c r="S43" s="63" t="n">
        <x:f>'Datos_fuente'!P43</x:f>
        <x:v>5.029545455</x:v>
      </x:c>
      <x:c r="T43" s="63" t="n">
        <x:f>IF(OR(S43="",S42=""),"",S43-S42)</x:f>
        <x:v>-0.3330632409999996</x:v>
      </x:c>
      <x:c r="U43" s="98" t="n">
        <x:f>IF('Datos_fuente'!Q43="","",ASINH('Datos_fuente'!Q43/1000))</x:f>
        <x:v>-0.4767621091888995</x:v>
      </x:c>
      <x:c r="V43" s="98" t="n">
        <x:f>IF(OR(U43="",U42=""),"",U43-U42)</x:f>
        <x:v>0.3378098410104752</x:v>
      </x:c>
      <x:c r="W43" s="98" t="n">
        <x:f>IF('Datos_fuente'!R43="","",ASINH('Datos_fuente'!R43/1000))</x:f>
        <x:v>-0.09576356368767011</x:v>
      </x:c>
      <x:c r="X43" s="98" t="n">
        <x:f>IF(OR(W43="",W42=""),"",W43-W42)</x:f>
        <x:v>-0.9135086817955756</x:v>
      </x:c>
      <x:c r="Y43" s="63" t="n">
        <x:f>'Datos_fuente'!W43</x:f>
        <x:v>5.722273334</x:v>
      </x:c>
      <x:c r="Z43" s="63" t="n">
        <x:f>IF(OR(Y43="",Y42=""),"",Y43-Y42)</x:f>
        <x:v>-1.028244839</x:v>
      </x:c>
      <x:c r="AA43" s="98" t="n">
        <x:f>'Datos_fuente'!AB43</x:f>
        <x:v>-0.5491106589</x:v>
      </x:c>
      <x:c r="AB43" s="98" t="n">
        <x:f>'Datos_fuente'!AC43</x:f>
        <x:v>-0.168142793</x:v>
      </x:c>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f>'Datos_fuente'!A44</x:f>
        <x:v>2009-02</x:v>
      </x:c>
      <x:c r="B44" s="98" t="n">
        <x:f>IF('Datos_fuente'!B44="","",LN('Datos_fuente'!B44))</x:f>
        <x:v>7.828971574725363</x:v>
      </x:c>
      <x:c r="C44" s="98" t="n">
        <x:f>IF(OR(B44="",B43=""),"",B44-B43)</x:f>
        <x:v>0.1087290128291114</x:v>
      </x:c>
      <x:c r="D44" s="98" t="n">
        <x:f>IF('Datos_fuente'!C44="","",LN('Datos_fuente'!C44))</x:f>
        <x:v>4.743104372077405</x:v>
      </x:c>
      <x:c r="E44" s="98" t="n">
        <x:f>IF(OR(D44="",D43=""),"",D44-D43)</x:f>
        <x:v>0.005941476630816567</x:v>
      </x:c>
      <x:c r="F44" s="98" t="n">
        <x:f>IF('Datos_fuente'!E44="","",LN('Datos_fuente'!E44))</x:f>
        <x:v>8.463843046318711</x:v>
      </x:c>
      <x:c r="G44" s="98" t="n">
        <x:f>IF(OR(F44="",F43=""),"",F44-F43)</x:f>
        <x:v>0.00357159087048764</x:v>
      </x:c>
      <x:c r="H44" s="63" t="n">
        <x:f>'Datos_fuente'!H44</x:f>
        <x:v>8.797857143</x:v>
      </x:c>
      <x:c r="I44" s="63" t="n">
        <x:f>IF(OR(H44="",H43=""),"",H44-H43)</x:f>
        <x:v>-0.5521428569999998</x:v>
      </x:c>
      <x:c r="J44" s="63" t="n">
        <x:f>'Datos_fuente'!J44</x:f>
        <x:v>1.618704014</x:v>
      </x:c>
      <x:c r="K44" s="63" t="n">
        <x:f>IF(OR(J44="",J43=""),"",J44-J43)</x:f>
        <x:v>-0.13670499400000002</x:v>
      </x:c>
      <x:c r="L44" s="98" t="n">
        <x:f>IF('Datos_fuente'!K44="","",LN('Datos_fuente'!K44))</x:f>
        <x:v>4.63447387122404</x:v>
      </x:c>
      <x:c r="M44" s="98" t="n">
        <x:f>IF(OR(L44="",L43=""),"",L44-L43)</x:f>
        <x:v>0.025789026889948552</x:v>
      </x:c>
      <x:c r="N44" s="98" t="n">
        <x:f>IF('Datos_fuente'!L44="","",LN('Datos_fuente'!L44))</x:f>
        <x:v>3.819261154912846</x:v>
      </x:c>
      <x:c r="O44" s="98" t="n">
        <x:f>IF(OR(N44="",N43=""),"",N44-N43)</x:f>
        <x:v>0.01966803882983381</x:v>
      </x:c>
      <x:c r="P44" s="96" t="n">
        <x:f>'Datos_fuente'!M44</x:f>
        <x:v>0</x:v>
      </x:c>
      <x:c r="Q44" s="98" t="n">
        <x:f>IF('Datos_fuente'!N44="","",LN('Datos_fuente'!N44))</x:f>
        <x:v>10.057990313232786</x:v>
      </x:c>
      <x:c r="R44" s="98" t="n">
        <x:f>IF(OR(Q44="",Q43=""),"",Q44-Q43)</x:f>
        <x:v>-0.0119074628862883</x:v>
      </x:c>
      <x:c r="S44" s="63" t="n">
        <x:f>'Datos_fuente'!P44</x:f>
        <x:v>4.7775</x:v>
      </x:c>
      <x:c r="T44" s="63" t="n">
        <x:f>IF(OR(S44="",S43=""),"",S44-S43)</x:f>
        <x:v>-0.2520454550000002</x:v>
      </x:c>
      <x:c r="U44" s="98" t="n">
        <x:f>IF('Datos_fuente'!Q44="","",ASINH('Datos_fuente'!Q44/1000))</x:f>
        <x:v>-0.583177295402489</x:v>
      </x:c>
      <x:c r="V44" s="98" t="n">
        <x:f>IF(OR(U44="",U43=""),"",U44-U43)</x:f>
        <x:v>-0.10641518621358947</x:v>
      </x:c>
      <x:c r="W44" s="98" t="n">
        <x:f>IF('Datos_fuente'!R44="","",ASINH('Datos_fuente'!R44/1000))</x:f>
        <x:v>0.0012799996504747424</x:v>
      </x:c>
      <x:c r="X44" s="98" t="n">
        <x:f>IF(OR(W44="",W43=""),"",W44-W43)</x:f>
        <x:v>0.09704356333814486</x:v>
      </x:c>
      <x:c r="Y44" s="63" t="n">
        <x:f>'Datos_fuente'!W44</x:f>
        <x:v>4.607772515</x:v>
      </x:c>
      <x:c r="Z44" s="63" t="n">
        <x:f>IF(OR(Y44="",Y43=""),"",Y44-Y43)</x:f>
        <x:v>-1.1145008189999999</x:v>
      </x:c>
      <x:c r="AA44" s="98" t="n">
        <x:f>'Datos_fuente'!AB44</x:f>
        <x:v>0.1696952617</x:v>
      </x:c>
      <x:c r="AB44" s="98" t="n">
        <x:f>'Datos_fuente'!AC44</x:f>
        <x:v>0.6659698589</x:v>
      </x:c>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t="str">
        <x:f>'Datos_fuente'!A45</x:f>
        <x:v>2009-03</x:v>
      </x:c>
      <x:c r="B45" s="98" t="n">
        <x:f>IF('Datos_fuente'!B45="","",LN('Datos_fuente'!B45))</x:f>
        <x:v>7.811825580231302</x:v>
      </x:c>
      <x:c r="C45" s="98" t="n">
        <x:f>IF(OR(B45="",B44=""),"",B45-B44)</x:f>
        <x:v>-0.01714599449406151</x:v>
      </x:c>
      <x:c r="D45" s="98" t="n">
        <x:f>IF('Datos_fuente'!C45="","",LN('Datos_fuente'!C45))</x:f>
        <x:v>4.861903240295856</x:v>
      </x:c>
      <x:c r="E45" s="98" t="n">
        <x:f>IF(OR(D45="",D44=""),"",D45-D44)</x:f>
        <x:v>0.11879886821845087</x:v>
      </x:c>
      <x:c r="F45" s="98" t="n">
        <x:f>IF('Datos_fuente'!E45="","",LN('Datos_fuente'!E45))</x:f>
        <x:v>8.463091747338146</x:v>
      </x:c>
      <x:c r="G45" s="98" t="n">
        <x:f>IF(OR(F45="",F44=""),"",F45-F44)</x:f>
        <x:v>-0.0007512989805658066</x:v>
      </x:c>
      <x:c r="H45" s="63" t="n">
        <x:f>'Datos_fuente'!H45</x:f>
        <x:v>7.594193548</x:v>
      </x:c>
      <x:c r="I45" s="63" t="n">
        <x:f>IF(OR(H45="",H44=""),"",H45-H44)</x:f>
        <x:v>-1.203663595</x:v>
      </x:c>
      <x:c r="J45" s="63" t="n">
        <x:f>'Datos_fuente'!J45</x:f>
        <x:v>1.755024832</x:v>
      </x:c>
      <x:c r="K45" s="63" t="n">
        <x:f>IF(OR(J45="",J44=""),"",J45-J44)</x:f>
        <x:v>0.13632081799999995</x:v>
      </x:c>
      <x:c r="L45" s="98" t="n">
        <x:f>IF('Datos_fuente'!K45="","",LN('Datos_fuente'!K45))</x:f>
        <x:v>4.63898927409708</x:v>
      </x:c>
      <x:c r="M45" s="98" t="n">
        <x:f>IF(OR(L45="",L44=""),"",L45-L44)</x:f>
        <x:v>0.00451540287303942</x:v>
      </x:c>
      <x:c r="N45" s="98" t="n">
        <x:f>IF('Datos_fuente'!L45="","",LN('Datos_fuente'!L45))</x:f>
        <x:v>3.8021066733359303</x:v>
      </x:c>
      <x:c r="O45" s="98" t="n">
        <x:f>IF(OR(N45="",N44=""),"",N45-N44)</x:f>
        <x:v>-0.017154481576915792</x:v>
      </x:c>
      <x:c r="P45" s="96" t="n">
        <x:f>'Datos_fuente'!M45</x:f>
        <x:v>0</x:v>
      </x:c>
      <x:c r="Q45" s="98" t="n">
        <x:f>IF('Datos_fuente'!N45="","",LN('Datos_fuente'!N45))</x:f>
        <x:v>10.07916038882491</x:v>
      </x:c>
      <x:c r="R45" s="98" t="n">
        <x:f>IF(OR(Q45="",Q44=""),"",Q45-Q44)</x:f>
        <x:v>0.02117007559212425</x:v>
      </x:c>
      <x:c r="S45" s="63" t="n">
        <x:f>'Datos_fuente'!P45</x:f>
        <x:v>4.834090909</x:v>
      </x:c>
      <x:c r="T45" s="63" t="n">
        <x:f>IF(OR(S45="",S44=""),"",S45-S44)</x:f>
        <x:v>0.05659090900000052</x:v>
      </x:c>
      <x:c r="U45" s="98" t="n">
        <x:f>IF('Datos_fuente'!Q45="","",ASINH('Datos_fuente'!Q45/1000))</x:f>
        <x:v>-0.5137148320921168</x:v>
      </x:c>
      <x:c r="V45" s="98" t="n">
        <x:f>IF(OR(U45="",U44=""),"",U45-U44)</x:f>
        <x:v>0.0694624633103722</x:v>
      </x:c>
      <x:c r="W45" s="98" t="n">
        <x:f>IF('Datos_fuente'!R45="","",ASINH('Datos_fuente'!R45/1000))</x:f>
        <x:v>0.7393307702003926</x:v>
      </x:c>
      <x:c r="X45" s="98" t="n">
        <x:f>IF(OR(W45="",W44=""),"",W45-W44)</x:f>
        <x:v>0.7380507705499179</x:v>
      </x:c>
      <x:c r="Y45" s="63" t="n">
        <x:f>'Datos_fuente'!W45</x:f>
        <x:v>3.760390328</x:v>
      </x:c>
      <x:c r="Z45" s="63" t="n">
        <x:f>IF(OR(Y45="",Y44=""),"",Y45-Y44)</x:f>
        <x:v>-0.8473821869999996</x:v>
      </x:c>
      <x:c r="AA45" s="98" t="n">
        <x:f>'Datos_fuente'!AB45</x:f>
        <x:v>-0.3700534773</x:v>
      </x:c>
      <x:c r="AB45" s="98" t="n">
        <x:f>'Datos_fuente'!AC45</x:f>
        <x:v>-0.6635102659</x:v>
      </x:c>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t="str">
        <x:f>'Datos_fuente'!A46</x:f>
        <x:v>2009-04</x:v>
      </x:c>
      <x:c r="B46" s="98" t="n">
        <x:f>IF('Datos_fuente'!B46="","",LN('Datos_fuente'!B46))</x:f>
        <x:v>7.772587509980796</x:v>
      </x:c>
      <x:c r="C46" s="98" t="n">
        <x:f>IF(OR(B46="",B45=""),"",B46-B45)</x:f>
        <x:v>-0.03923807025050596</x:v>
      </x:c>
      <x:c r="D46" s="98" t="n">
        <x:f>IF('Datos_fuente'!C46="","",LN('Datos_fuente'!C46))</x:f>
        <x:v>4.848665233550198</x:v>
      </x:c>
      <x:c r="E46" s="98" t="n">
        <x:f>IF(OR(D46="",D45=""),"",D46-D45)</x:f>
        <x:v>-0.013238006745657671</x:v>
      </x:c>
      <x:c r="F46" s="98" t="n">
        <x:f>IF('Datos_fuente'!E46="","",LN('Datos_fuente'!E46))</x:f>
        <x:v>8.449081360270666</x:v>
      </x:c>
      <x:c r="G46" s="98" t="n">
        <x:f>IF(OR(F46="",F45=""),"",F46-F45)</x:f>
        <x:v>-0.014010387067479257</x:v>
      </x:c>
      <x:c r="H46" s="63" t="n">
        <x:f>'Datos_fuente'!H46</x:f>
        <x:v>6.85</x:v>
      </x:c>
      <x:c r="I46" s="63" t="n">
        <x:f>IF(OR(H46="",H45=""),"",H46-H45)</x:f>
        <x:v>-0.7441935480000001</x:v>
      </x:c>
      <x:c r="J46" s="63" t="n">
        <x:f>'Datos_fuente'!J46</x:f>
        <x:v>1.407735645</x:v>
      </x:c>
      <x:c r="K46" s="63" t="n">
        <x:f>IF(OR(J46="",J45=""),"",J46-J45)</x:f>
        <x:v>-0.3472891869999999</x:v>
      </x:c>
      <x:c r="L46" s="98" t="n">
        <x:f>IF('Datos_fuente'!K46="","",LN('Datos_fuente'!K46))</x:f>
        <x:v>4.612306525635618</x:v>
      </x:c>
      <x:c r="M46" s="98" t="n">
        <x:f>IF(OR(L46="",L45=""),"",L46-L45)</x:f>
        <x:v>-0.02668274846146179</x:v>
      </x:c>
      <x:c r="N46" s="98" t="n">
        <x:f>IF('Datos_fuente'!L46="","",LN('Datos_fuente'!L46))</x:f>
        <x:v>3.639263949344634</x:v>
      </x:c>
      <x:c r="O46" s="98" t="n">
        <x:f>IF(OR(N46="",N45=""),"",N46-N45)</x:f>
        <x:v>-0.16284272399129618</x:v>
      </x:c>
      <x:c r="P46" s="96" t="n">
        <x:f>'Datos_fuente'!M46</x:f>
        <x:v>0</x:v>
      </x:c>
      <x:c r="Q46" s="98" t="n">
        <x:f>IF('Datos_fuente'!N46="","",LN('Datos_fuente'!N46))</x:f>
        <x:v>10.061074891707568</x:v>
      </x:c>
      <x:c r="R46" s="98" t="n">
        <x:f>IF(OR(Q46="",Q45=""),"",Q46-Q45)</x:f>
        <x:v>-0.018085497117342086</x:v>
      </x:c>
      <x:c r="S46" s="63" t="n">
        <x:f>'Datos_fuente'!P46</x:f>
        <x:v>4.175454545</x:v>
      </x:c>
      <x:c r="T46" s="63" t="n">
        <x:f>IF(OR(S46="",S45=""),"",S46-S45)</x:f>
        <x:v>-0.6586363640000004</x:v>
      </x:c>
      <x:c r="U46" s="98" t="n">
        <x:f>IF('Datos_fuente'!Q46="","",ASINH('Datos_fuente'!Q46/1000))</x:f>
        <x:v>-0.6543861044576097</x:v>
      </x:c>
      <x:c r="V46" s="98" t="n">
        <x:f>IF(OR(U46="",U45=""),"",U46-U45)</x:f>
        <x:v>-0.14067127236549293</x:v>
      </x:c>
      <x:c r="W46" s="98" t="n">
        <x:f>IF('Datos_fuente'!R46="","",ASINH('Datos_fuente'!R46/1000))</x:f>
        <x:v>0.37814340705447125</x:v>
      </x:c>
      <x:c r="X46" s="98" t="n">
        <x:f>IF(OR(W46="",W45=""),"",W46-W45)</x:f>
        <x:v>-0.36118736314592137</x:v>
      </x:c>
      <x:c r="Y46" s="63" t="n">
        <x:f>'Datos_fuente'!W46</x:f>
        <x:v>3.098952382</x:v>
      </x:c>
      <x:c r="Z46" s="63" t="n">
        <x:f>IF(OR(Y46="",Y45=""),"",Y46-Y45)</x:f>
        <x:v>-0.6614379460000004</x:v>
      </x:c>
      <x:c r="AA46" s="98" t="n">
        <x:f>'Datos_fuente'!AB46</x:f>
        <x:v>-1.814431296</x:v>
      </x:c>
      <x:c r="AB46" s="98" t="n">
        <x:f>'Datos_fuente'!AC46</x:f>
        <x:v>-1.940499072</x:v>
      </x:c>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t="str">
        <x:f>'Datos_fuente'!A47</x:f>
        <x:v>2009-05</x:v>
      </x:c>
      <x:c r="B47" s="98" t="n">
        <x:f>IF('Datos_fuente'!B47="","",LN('Datos_fuente'!B47))</x:f>
        <x:v>7.708553334224092</x:v>
      </x:c>
      <x:c r="C47" s="98" t="n">
        <x:f>IF(OR(B47="",B46=""),"",B47-B46)</x:f>
        <x:v>-0.06403417575670378</x:v>
      </x:c>
      <x:c r="D47" s="98" t="n">
        <x:f>IF('Datos_fuente'!C47="","",LN('Datos_fuente'!C47))</x:f>
        <x:v>4.940427399052759</x:v>
      </x:c>
      <x:c r="E47" s="98" t="n">
        <x:f>IF(OR(D47="",D46=""),"",D47-D46)</x:f>
        <x:v>0.09176216550256111</x:v>
      </x:c>
      <x:c r="F47" s="98" t="n">
        <x:f>IF('Datos_fuente'!E47="","",LN('Datos_fuente'!E47))</x:f>
        <x:v>8.435299605256736</x:v>
      </x:c>
      <x:c r="G47" s="98" t="n">
        <x:f>IF(OR(F47="",F46=""),"",F47-F46)</x:f>
        <x:v>-0.013781755013930308</x:v>
      </x:c>
      <x:c r="H47" s="63" t="n">
        <x:f>'Datos_fuente'!H47</x:f>
        <x:v>5.916774194</x:v>
      </x:c>
      <x:c r="I47" s="63" t="n">
        <x:f>IF(OR(H47="",H46=""),"",H47-H46)</x:f>
        <x:v>-0.9332258059999994</x:v>
      </x:c>
      <x:c r="J47" s="63" t="n">
        <x:f>'Datos_fuente'!J47</x:f>
        <x:v>2.231473675</x:v>
      </x:c>
      <x:c r="K47" s="63" t="n">
        <x:f>IF(OR(J47="",J46=""),"",J47-J46)</x:f>
        <x:v>0.8237380300000001</x:v>
      </x:c>
      <x:c r="L47" s="98" t="n">
        <x:f>IF('Datos_fuente'!K47="","",LN('Datos_fuente'!K47))</x:f>
        <x:v>4.580384339051533</x:v>
      </x:c>
      <x:c r="M47" s="98" t="n">
        <x:f>IF(OR(L47="",L46=""),"",L47-L46)</x:f>
        <x:v>-0.031922186584084855</x:v>
      </x:c>
      <x:c r="N47" s="98" t="n">
        <x:f>IF('Datos_fuente'!L47="","",LN('Datos_fuente'!L47))</x:f>
        <x:v>3.465048166363229</x:v>
      </x:c>
      <x:c r="O47" s="98" t="n">
        <x:f>IF(OR(N47="",N46=""),"",N47-N46)</x:f>
        <x:v>-0.17421578298140528</x:v>
      </x:c>
      <x:c r="P47" s="96" t="n">
        <x:f>'Datos_fuente'!M47</x:f>
        <x:v>0</x:v>
      </x:c>
      <x:c r="Q47" s="98" t="n">
        <x:f>IF('Datos_fuente'!N47="","",LN('Datos_fuente'!N47))</x:f>
        <x:v>10.068353051684555</x:v>
      </x:c>
      <x:c r="R47" s="98" t="n">
        <x:f>IF(OR(Q47="",Q46=""),"",Q47-Q46)</x:f>
        <x:v>0.007278159976987553</x:v>
      </x:c>
      <x:c r="S47" s="63" t="n">
        <x:f>'Datos_fuente'!P47</x:f>
        <x:v>3.224761905</x:v>
      </x:c>
      <x:c r="T47" s="63" t="n">
        <x:f>IF(OR(S47="",S46=""),"",S47-S46)</x:f>
        <x:v>-0.9506926400000002</x:v>
      </x:c>
      <x:c r="U47" s="98" t="n">
        <x:f>IF('Datos_fuente'!Q47="","",ASINH('Datos_fuente'!Q47/1000))</x:f>
        <x:v>-0.4804245906351913</x:v>
      </x:c>
      <x:c r="V47" s="98" t="n">
        <x:f>IF(OR(U47="",U46=""),"",U47-U46)</x:f>
        <x:v>0.17396151382241842</x:v>
      </x:c>
      <x:c r="W47" s="98" t="n">
        <x:f>IF('Datos_fuente'!R47="","",ASINH('Datos_fuente'!R47/1000))</x:f>
        <x:v>0.5856269439102909</x:v>
      </x:c>
      <x:c r="X47" s="98" t="n">
        <x:f>IF(OR(W47="",W46=""),"",W47-W46)</x:f>
        <x:v>0.20748353685581966</x:v>
      </x:c>
      <x:c r="Y47" s="63" t="n">
        <x:f>'Datos_fuente'!W47</x:f>
        <x:v>2.609188238</x:v>
      </x:c>
      <x:c r="Z47" s="63" t="n">
        <x:f>IF(OR(Y47="",Y46=""),"",Y47-Y46)</x:f>
        <x:v>-0.48976414399999957</x:v>
      </x:c>
      <x:c r="AA47" s="98" t="n">
        <x:f>'Datos_fuente'!AB47</x:f>
        <x:v>-1.252373374</x:v>
      </x:c>
      <x:c r="AB47" s="98" t="n">
        <x:f>'Datos_fuente'!AC47</x:f>
        <x:v>-1.531361328</x:v>
      </x:c>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t="str">
        <x:f>'Datos_fuente'!A48</x:f>
        <x:v>2009-06</x:v>
      </x:c>
      <x:c r="B48" s="98" t="n">
        <x:f>IF('Datos_fuente'!B48="","",LN('Datos_fuente'!B48))</x:f>
        <x:v>7.6446610977403155</x:v>
      </x:c>
      <x:c r="C48" s="98" t="n">
        <x:f>IF(OR(B48="",B47=""),"",B48-B47)</x:f>
        <x:v>-0.06389223648377662</x:v>
      </x:c>
      <x:c r="D48" s="98" t="n">
        <x:f>IF('Datos_fuente'!C48="","",LN('Datos_fuente'!C48))</x:f>
        <x:v>4.984496636486561</x:v>
      </x:c>
      <x:c r="E48" s="98" t="n">
        <x:f>IF(OR(D48="",D47=""),"",D48-D47)</x:f>
        <x:v>0.04406923743380187</x:v>
      </x:c>
      <x:c r="F48" s="98" t="n">
        <x:f>IF('Datos_fuente'!E48="","",LN('Datos_fuente'!E48))</x:f>
        <x:v>8.424459290154628</x:v>
      </x:c>
      <x:c r="G48" s="98" t="n">
        <x:f>IF(OR(F48="",F47=""),"",F48-F47)</x:f>
        <x:v>-0.010840315102107922</x:v>
      </x:c>
      <x:c r="H48" s="63" t="n">
        <x:f>'Datos_fuente'!H48</x:f>
        <x:v>4.656666667</x:v>
      </x:c>
      <x:c r="I48" s="63" t="n">
        <x:f>IF(OR(H48="",H47=""),"",H48-H47)</x:f>
        <x:v>-1.2601075270000006</x:v>
      </x:c>
      <x:c r="J48" s="63" t="n">
        <x:f>'Datos_fuente'!J48</x:f>
        <x:v>2.985204818</x:v>
      </x:c>
      <x:c r="K48" s="63" t="n">
        <x:f>IF(OR(J48="",J47=""),"",J48-J47)</x:f>
        <x:v>0.753731143</x:v>
      </x:c>
      <x:c r="L48" s="98" t="n">
        <x:f>IF('Datos_fuente'!K48="","",LN('Datos_fuente'!K48))</x:f>
        <x:v>4.564792032330907</x:v>
      </x:c>
      <x:c r="M48" s="98" t="n">
        <x:f>IF(OR(L48="",L47=""),"",L48-L47)</x:f>
        <x:v>-0.015592306720626503</x:v>
      </x:c>
      <x:c r="N48" s="98" t="n">
        <x:f>IF('Datos_fuente'!L48="","",LN('Datos_fuente'!L48))</x:f>
        <x:v>3.372127399478617</x:v>
      </x:c>
      <x:c r="O48" s="98" t="n">
        <x:f>IF(OR(N48="",N47=""),"",N48-N47)</x:f>
        <x:v>-0.0929207668846117</x:v>
      </x:c>
      <x:c r="P48" s="96" t="n">
        <x:f>'Datos_fuente'!M48</x:f>
        <x:v>0</x:v>
      </x:c>
      <x:c r="Q48" s="98" t="n">
        <x:f>IF('Datos_fuente'!N48="","",LN('Datos_fuente'!N48))</x:f>
        <x:v>10.074215495693705</x:v>
      </x:c>
      <x:c r="R48" s="98" t="n">
        <x:f>IF(OR(Q48="",Q47=""),"",Q48-Q47)</x:f>
        <x:v>0.005862444009149925</x:v>
      </x:c>
      <x:c r="S48" s="63" t="n">
        <x:f>'Datos_fuente'!P48</x:f>
        <x:v>2.975454545</x:v>
      </x:c>
      <x:c r="T48" s="63" t="n">
        <x:f>IF(OR(S48="",S47=""),"",S48-S47)</x:f>
        <x:v>-0.24930735999999998</x:v>
      </x:c>
      <x:c r="U48" s="98" t="n">
        <x:f>IF('Datos_fuente'!Q48="","",ASINH('Datos_fuente'!Q48/1000))</x:f>
        <x:v>-0.4908150922373167</x:v>
      </x:c>
      <x:c r="V48" s="98" t="n">
        <x:f>IF(OR(U48="",U47=""),"",U48-U47)</x:f>
        <x:v>-0.010390501602125402</x:v>
      </x:c>
      <x:c r="W48" s="98" t="n">
        <x:f>IF('Datos_fuente'!R48="","",ASINH('Datos_fuente'!R48/1000))</x:f>
        <x:v>0.6359155219688769</x:v>
      </x:c>
      <x:c r="X48" s="98" t="n">
        <x:f>IF(OR(W48="",W47=""),"",W48-W47)</x:f>
        <x:v>0.050288578058586</x:v>
      </x:c>
      <x:c r="Y48" s="63" t="n">
        <x:f>'Datos_fuente'!W48</x:f>
        <x:v>2.761559798</x:v>
      </x:c>
      <x:c r="Z48" s="63" t="n">
        <x:f>IF(OR(Y48="",Y47=""),"",Y48-Y47)</x:f>
        <x:v>0.15237155999999974</x:v>
      </x:c>
      <x:c r="AA48" s="98" t="n">
        <x:f>'Datos_fuente'!AB48</x:f>
        <x:v>-0.800337655</x:v>
      </x:c>
      <x:c r="AB48" s="98" t="n">
        <x:f>'Datos_fuente'!AC48</x:f>
        <x:v>-0.6222029274</x:v>
      </x:c>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t="str">
        <x:f>'Datos_fuente'!A49</x:f>
        <x:v>2009-07</x:v>
      </x:c>
      <x:c r="B49" s="98" t="n">
        <x:f>IF('Datos_fuente'!B49="","",LN('Datos_fuente'!B49))</x:f>
        <x:v>7.625224114067725</x:v>
      </x:c>
      <x:c r="C49" s="98" t="n">
        <x:f>IF(OR(B49="",B48=""),"",B49-B48)</x:f>
        <x:v>-0.01943698367259028</x:v>
      </x:c>
      <x:c r="D49" s="98" t="n">
        <x:f>IF('Datos_fuente'!C49="","",LN('Datos_fuente'!C49))</x:f>
        <x:v>4.923478451981633</x:v>
      </x:c>
      <x:c r="E49" s="98" t="n">
        <x:f>IF(OR(D49="",D48=""),"",D49-D48)</x:f>
        <x:v>-0.06101818450492846</x:v>
      </x:c>
      <x:c r="F49" s="98" t="n">
        <x:f>IF('Datos_fuente'!E49="","",LN('Datos_fuente'!E49))</x:f>
        <x:v>8.390683942868483</x:v>
      </x:c>
      <x:c r="G49" s="98" t="n">
        <x:f>IF(OR(F49="",F48=""),"",F49-F48)</x:f>
        <x:v>-0.03377534728614506</x:v>
      </x:c>
      <x:c r="H49" s="63" t="n">
        <x:f>'Datos_fuente'!H49</x:f>
        <x:v>4.34</x:v>
      </x:c>
      <x:c r="I49" s="63" t="n">
        <x:f>IF(OR(H49="",H48=""),"",H49-H48)</x:f>
        <x:v>-0.3166666669999998</x:v>
      </x:c>
      <x:c r="J49" s="63" t="n">
        <x:f>'Datos_fuente'!J49</x:f>
        <x:v>3.328051074</x:v>
      </x:c>
      <x:c r="K49" s="63" t="n">
        <x:f>IF(OR(J49="",J48=""),"",J49-J48)</x:f>
        <x:v>0.34284625600000007</x:v>
      </x:c>
      <x:c r="L49" s="98" t="n">
        <x:f>IF('Datos_fuente'!K49="","",LN('Datos_fuente'!K49))</x:f>
        <x:v>4.560806082788699</x:v>
      </x:c>
      <x:c r="M49" s="98" t="n">
        <x:f>IF(OR(L49="",L48=""),"",L49-L48)</x:f>
        <x:v>-0.003985949542207656</x:v>
      </x:c>
      <x:c r="N49" s="98" t="n">
        <x:f>IF('Datos_fuente'!L49="","",LN('Datos_fuente'!L49))</x:f>
        <x:v>3.2643357745953527</x:v>
      </x:c>
      <x:c r="O49" s="98" t="n">
        <x:f>IF(OR(N49="",N48=""),"",N49-N48)</x:f>
        <x:v>-0.10779162488326444</x:v>
      </x:c>
      <x:c r="P49" s="96" t="n">
        <x:f>'Datos_fuente'!M49</x:f>
        <x:v>0</x:v>
      </x:c>
      <x:c r="Q49" s="98" t="n">
        <x:f>IF('Datos_fuente'!N49="","",LN('Datos_fuente'!N49))</x:f>
        <x:v>10.090897806587062</x:v>
      </x:c>
      <x:c r="R49" s="98" t="n">
        <x:f>IF(OR(Q49="",Q48=""),"",Q49-Q48)</x:f>
        <x:v>0.0166823108933567</x:v>
      </x:c>
      <x:c r="S49" s="63" t="n">
        <x:f>'Datos_fuente'!P49</x:f>
        <x:v>2.976086957</x:v>
      </x:c>
      <x:c r="T49" s="63" t="n">
        <x:f>IF(OR(S49="",S48=""),"",S49-S48)</x:f>
        <x:v>0.0006324120000003042</x:v>
      </x:c>
      <x:c r="U49" s="98" t="n">
        <x:f>IF('Datos_fuente'!Q49="","",ASINH('Datos_fuente'!Q49/1000))</x:f>
        <x:v>-0.7110975492461447</x:v>
      </x:c>
      <x:c r="V49" s="98" t="n">
        <x:f>IF(OR(U49="",U48=""),"",U49-U48)</x:f>
        <x:v>-0.22028245700882798</x:v>
      </x:c>
      <x:c r="W49" s="98" t="n">
        <x:f>IF('Datos_fuente'!R49="","",ASINH('Datos_fuente'!R49/1000))</x:f>
        <x:v>0.9514362205424187</x:v>
      </x:c>
      <x:c r="X49" s="98" t="n">
        <x:f>IF(OR(W49="",W48=""),"",W49-W48)</x:f>
        <x:v>0.3155206985735418</x:v>
      </x:c>
      <x:c r="Y49" s="63" t="n">
        <x:f>'Datos_fuente'!W49</x:f>
        <x:v>2.897237555</x:v>
      </x:c>
      <x:c r="Z49" s="63" t="n">
        <x:f>IF(OR(Y49="",Y48=""),"",Y49-Y48)</x:f>
        <x:v>0.13567775699999984</x:v>
      </x:c>
      <x:c r="AA49" s="98" t="n">
        <x:f>'Datos_fuente'!AB49</x:f>
        <x:v>-0.4213658576</x:v>
      </x:c>
      <x:c r="AB49" s="98" t="n">
        <x:f>'Datos_fuente'!AC49</x:f>
        <x:v>-0.1669678198</x:v>
      </x:c>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t="str">
        <x:f>'Datos_fuente'!A50</x:f>
        <x:v>2009-08</x:v>
      </x:c>
      <x:c r="B50" s="98" t="n">
        <x:f>IF('Datos_fuente'!B50="","",LN('Datos_fuente'!B50))</x:f>
        <x:v>7.609672918877946</x:v>
      </x:c>
      <x:c r="C50" s="98" t="n">
        <x:f>IF(OR(B50="",B49=""),"",B50-B49)</x:f>
        <x:v>-0.015551195189779321</x:v>
      </x:c>
      <x:c r="D50" s="98" t="n">
        <x:f>IF('Datos_fuente'!C50="","",LN('Datos_fuente'!C50))</x:f>
        <x:v>4.970854424084411</x:v>
      </x:c>
      <x:c r="E50" s="98" t="n">
        <x:f>IF(OR(D50="",D49=""),"",D50-D49)</x:f>
        <x:v>0.04737597210277844</x:v>
      </x:c>
      <x:c r="F50" s="98" t="n">
        <x:f>IF('Datos_fuente'!E50="","",LN('Datos_fuente'!E50))</x:f>
        <x:v>8.375705661070153</x:v>
      </x:c>
      <x:c r="G50" s="98" t="n">
        <x:f>IF(OR(F50="",F49=""),"",F50-F49)</x:f>
        <x:v>-0.014978281798329718</x:v>
      </x:c>
      <x:c r="H50" s="63" t="n">
        <x:f>'Datos_fuente'!H50</x:f>
        <x:v>4.34</x:v>
      </x:c>
      <x:c r="I50" s="63" t="n">
        <x:f>IF(OR(H50="",H49=""),"",H50-H49)</x:f>
        <x:v>0</x:v>
      </x:c>
      <x:c r="J50" s="63" t="n">
        <x:f>'Datos_fuente'!J50</x:f>
        <x:v>2.958181152</x:v>
      </x:c>
      <x:c r="K50" s="63" t="n">
        <x:f>IF(OR(J50="",J49=""),"",J50-J49)</x:f>
        <x:v>-0.36986992200000035</x:v>
      </x:c>
      <x:c r="L50" s="98" t="n">
        <x:f>IF('Datos_fuente'!K50="","",LN('Datos_fuente'!K50))</x:f>
        <x:v>4.5472554694468705</x:v>
      </x:c>
      <x:c r="M50" s="98" t="n">
        <x:f>IF(OR(L50="",L49=""),"",L50-L49)</x:f>
        <x:v>-0.013550613341828388</x:v>
      </x:c>
      <x:c r="N50" s="98" t="n">
        <x:f>IF('Datos_fuente'!L50="","",LN('Datos_fuente'!L50))</x:f>
        <x:v>3.2322714163655077</x:v>
      </x:c>
      <x:c r="O50" s="98" t="n">
        <x:f>IF(OR(N50="",N49=""),"",N50-N49)</x:f>
        <x:v>-0.03206435822984499</x:v>
      </x:c>
      <x:c r="P50" s="96" t="n">
        <x:f>'Datos_fuente'!M50</x:f>
        <x:v>0</x:v>
      </x:c>
      <x:c r="Q50" s="98" t="n">
        <x:f>IF('Datos_fuente'!N50="","",LN('Datos_fuente'!N50))</x:f>
        <x:v>10.13614331894283</x:v>
      </x:c>
      <x:c r="R50" s="98" t="n">
        <x:f>IF(OR(Q50="",Q49=""),"",Q50-Q49)</x:f>
        <x:v>0.045245512355768014</x:v>
      </x:c>
      <x:c r="S50" s="63" t="n">
        <x:f>'Datos_fuente'!P50</x:f>
        <x:v>2.611428571</x:v>
      </x:c>
      <x:c r="T50" s="63" t="n">
        <x:f>IF(OR(S50="",S49=""),"",S50-S49)</x:f>
        <x:v>-0.36465838600000033</x:v>
      </x:c>
      <x:c r="U50" s="98" t="n">
        <x:f>IF('Datos_fuente'!Q50="","",ASINH('Datos_fuente'!Q50/1000))</x:f>
        <x:v>-0.541766008417942</x:v>
      </x:c>
      <x:c r="V50" s="98" t="n">
        <x:f>IF(OR(U50="",U49=""),"",U50-U49)</x:f>
        <x:v>0.16933154082820268</x:v>
      </x:c>
      <x:c r="W50" s="98" t="n">
        <x:f>IF('Datos_fuente'!R50="","",ASINH('Datos_fuente'!R50/1000))</x:f>
        <x:v>1.150300369107299</x:v>
      </x:c>
      <x:c r="X50" s="98" t="n">
        <x:f>IF(OR(W50="",W49=""),"",W50-W49)</x:f>
        <x:v>0.19886414856488033</x:v>
      </x:c>
      <x:c r="Y50" s="63" t="n">
        <x:f>'Datos_fuente'!W50</x:f>
        <x:v>3.265434094</x:v>
      </x:c>
      <x:c r="Z50" s="63" t="n">
        <x:f>IF(OR(Y50="",Y49=""),"",Y50-Y49)</x:f>
        <x:v>0.3681965390000004</x:v>
      </x:c>
      <x:c r="AA50" s="98" t="n">
        <x:f>'Datos_fuente'!AB50</x:f>
        <x:v>-0.6902847953</x:v>
      </x:c>
      <x:c r="AB50" s="98" t="n">
        <x:f>'Datos_fuente'!AC50</x:f>
        <x:v>-0.9331176317</x:v>
      </x:c>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t="str">
        <x:f>'Datos_fuente'!A51</x:f>
        <x:v>2009-09</x:v>
      </x:c>
      <x:c r="B51" s="98" t="n">
        <x:f>IF('Datos_fuente'!B51="","",LN('Datos_fuente'!B51))</x:f>
        <x:v>7.589858195562194</x:v>
      </x:c>
      <x:c r="C51" s="98" t="n">
        <x:f>IF(OR(B51="",B50=""),"",B51-B50)</x:f>
        <x:v>-0.019814723315751515</x:v>
      </x:c>
      <x:c r="D51" s="98" t="n">
        <x:f>IF('Datos_fuente'!C51="","",LN('Datos_fuente'!C51))</x:f>
        <x:v>4.998360263220643</x:v>
      </x:c>
      <x:c r="E51" s="98" t="n">
        <x:f>IF(OR(D51="",D50=""),"",D51-D50)</x:f>
        <x:v>0.02750583913623217</x:v>
      </x:c>
      <x:c r="F51" s="98" t="n">
        <x:f>IF('Datos_fuente'!E51="","",LN('Datos_fuente'!E51))</x:f>
        <x:v>8.337465866690502</x:v>
      </x:c>
      <x:c r="G51" s="98" t="n">
        <x:f>IF(OR(F51="",F50=""),"",F51-F50)</x:f>
        <x:v>-0.03823979437965086</x:v>
      </x:c>
      <x:c r="H51" s="63" t="n">
        <x:f>'Datos_fuente'!H51</x:f>
        <x:v>4.3</x:v>
      </x:c>
      <x:c r="I51" s="63" t="n">
        <x:f>IF(OR(H51="",H50=""),"",H51-H50)</x:f>
        <x:v>-0.040000000000000036</x:v>
      </x:c>
      <x:c r="J51" s="63" t="n">
        <x:f>'Datos_fuente'!J51</x:f>
        <x:v>3.078867119</x:v>
      </x:c>
      <x:c r="K51" s="63" t="n">
        <x:f>IF(OR(J51="",J50=""),"",J51-J50)</x:f>
        <x:v>0.120685967</x:v>
      </x:c>
      <x:c r="L51" s="98" t="n">
        <x:f>IF('Datos_fuente'!K51="","",LN('Datos_fuente'!K51))</x:f>
        <x:v>4.539711775215087</x:v>
      </x:c>
      <x:c r="M51" s="98" t="n">
        <x:f>IF(OR(L51="",L50=""),"",L51-L50)</x:f>
        <x:v>-0.007543694231783249</x:v>
      </x:c>
      <x:c r="N51" s="98" t="n">
        <x:f>IF('Datos_fuente'!L51="","",LN('Datos_fuente'!L51))</x:f>
        <x:v>3.2159381810145837</x:v>
      </x:c>
      <x:c r="O51" s="98" t="n">
        <x:f>IF(OR(N51="",N50=""),"",N51-N50)</x:f>
        <x:v>-0.016333235350924014</x:v>
      </x:c>
      <x:c r="P51" s="96" t="n">
        <x:f>'Datos_fuente'!M51</x:f>
        <x:v>0</x:v>
      </x:c>
      <x:c r="Q51" s="98" t="n">
        <x:f>IF('Datos_fuente'!N51="","",LN('Datos_fuente'!N51))</x:f>
        <x:v>10.131523118410763</x:v>
      </x:c>
      <x:c r="R51" s="98" t="n">
        <x:f>IF(OR(Q51="",Q50=""),"",Q51-Q50)</x:f>
        <x:v>-0.004620200532066576</x:v>
      </x:c>
      <x:c r="S51" s="63" t="n">
        <x:f>'Datos_fuente'!P51</x:f>
        <x:v>2.503181818</x:v>
      </x:c>
      <x:c r="T51" s="63" t="n">
        <x:f>IF(OR(S51="",S50=""),"",S51-S50)</x:f>
        <x:v>-0.10824675299999997</x:v>
      </x:c>
      <x:c r="U51" s="98" t="n">
        <x:f>IF('Datos_fuente'!Q51="","",ASINH('Datos_fuente'!Q51/1000))</x:f>
        <x:v>-0.7343228420665582</x:v>
      </x:c>
      <x:c r="V51" s="98" t="n">
        <x:f>IF(OR(U51="",U50=""),"",U51-U50)</x:f>
        <x:v>-0.1925568336486162</x:v>
      </x:c>
      <x:c r="W51" s="98" t="n">
        <x:f>IF('Datos_fuente'!R51="","",ASINH('Datos_fuente'!R51/1000))</x:f>
        <x:v>0.6765048567996715</x:v>
      </x:c>
      <x:c r="X51" s="98" t="n">
        <x:f>IF(OR(W51="",W50=""),"",W51-W50)</x:f>
        <x:v>-0.4737955123076275</x:v>
      </x:c>
      <x:c r="Y51" s="63" t="n">
        <x:f>'Datos_fuente'!W51</x:f>
        <x:v>3.437861344</x:v>
      </x:c>
      <x:c r="Z51" s="63" t="n">
        <x:f>IF(OR(Y51="",Y50=""),"",Y51-Y50)</x:f>
        <x:v>0.1724272499999997</x:v>
      </x:c>
      <x:c r="AA51" s="98" t="n">
        <x:f>'Datos_fuente'!AB51</x:f>
        <x:v>0.1660605909</x:v>
      </x:c>
      <x:c r="AB51" s="98" t="n">
        <x:f>'Datos_fuente'!AC51</x:f>
        <x:v>-0.1556133066</x:v>
      </x:c>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t="str">
        <x:f>'Datos_fuente'!A52</x:f>
        <x:v>2009-10</x:v>
      </x:c>
      <x:c r="B52" s="98" t="n">
        <x:f>IF('Datos_fuente'!B52="","",LN('Datos_fuente'!B52))</x:f>
        <x:v>7.550345905799745</x:v>
      </x:c>
      <x:c r="C52" s="98" t="n">
        <x:f>IF(OR(B52="",B51=""),"",B52-B51)</x:f>
        <x:v>-0.039512289762449804</x:v>
      </x:c>
      <x:c r="D52" s="98" t="n">
        <x:f>IF('Datos_fuente'!C52="","",LN('Datos_fuente'!C52))</x:f>
        <x:v>5.039611402332773</x:v>
      </x:c>
      <x:c r="E52" s="98" t="n">
        <x:f>IF(OR(D52="",D51=""),"",D52-D51)</x:f>
        <x:v>0.04125113911212974</x:v>
      </x:c>
      <x:c r="F52" s="98" t="n">
        <x:f>IF('Datos_fuente'!E52="","",LN('Datos_fuente'!E52))</x:f>
        <x:v>8.316603381571646</x:v>
      </x:c>
      <x:c r="G52" s="98" t="n">
        <x:f>IF(OR(F52="",F51=""),"",F52-F51)</x:f>
        <x:v>-0.020862485118856355</x:v>
      </x:c>
      <x:c r="H52" s="63" t="n">
        <x:f>'Datos_fuente'!H52</x:f>
        <x:v>3.88</x:v>
      </x:c>
      <x:c r="I52" s="63" t="n">
        <x:f>IF(OR(H52="",H51=""),"",H52-H51)</x:f>
        <x:v>-0.41999999999999993</x:v>
      </x:c>
      <x:c r="J52" s="63" t="n">
        <x:f>'Datos_fuente'!J52</x:f>
        <x:v>3.601588988</x:v>
      </x:c>
      <x:c r="K52" s="63" t="n">
        <x:f>IF(OR(J52="",J51=""),"",J52-J51)</x:f>
        <x:v>0.5227218690000002</x:v>
      </x:c>
      <x:c r="L52" s="98" t="n">
        <x:f>IF('Datos_fuente'!K52="","",LN('Datos_fuente'!K52))</x:f>
        <x:v>4.52460809737629</x:v>
      </x:c>
      <x:c r="M52" s="98" t="n">
        <x:f>IF(OR(L52="",L51=""),"",L52-L51)</x:f>
        <x:v>-0.015103677838797402</x:v>
      </x:c>
      <x:c r="N52" s="98" t="n">
        <x:f>IF('Datos_fuente'!L52="","",LN('Datos_fuente'!L52))</x:f>
        <x:v>3.1885103338167124</x:v>
      </x:c>
      <x:c r="O52" s="98" t="n">
        <x:f>IF(OR(N52="",N51=""),"",N52-N51)</x:f>
        <x:v>-0.02742784719787128</x:v>
      </x:c>
      <x:c r="P52" s="96" t="n">
        <x:f>'Datos_fuente'!M52</x:f>
        <x:v>0</x:v>
      </x:c>
      <x:c r="Q52" s="98" t="n">
        <x:f>IF('Datos_fuente'!N52="","",LN('Datos_fuente'!N52))</x:f>
        <x:v>10.134034431466603</x:v>
      </x:c>
      <x:c r="R52" s="98" t="n">
        <x:f>IF(OR(Q52="",Q51=""),"",Q52-Q51)</x:f>
        <x:v>0.0025113130558391816</x:v>
      </x:c>
      <x:c r="S52" s="63" t="n">
        <x:f>'Datos_fuente'!P52</x:f>
        <x:v>2.183636364</x:v>
      </x:c>
      <x:c r="T52" s="63" t="n">
        <x:f>IF(OR(S52="",S51=""),"",S52-S51)</x:f>
        <x:v>-0.319545454</x:v>
      </x:c>
      <x:c r="U52" s="98" t="n">
        <x:f>IF('Datos_fuente'!Q52="","",ASINH('Datos_fuente'!Q52/1000))</x:f>
        <x:v>-0.6218166229904061</x:v>
      </x:c>
      <x:c r="V52" s="98" t="n">
        <x:f>IF(OR(U52="",U51=""),"",U52-U51)</x:f>
        <x:v>0.1125062190761521</x:v>
      </x:c>
      <x:c r="W52" s="98" t="n">
        <x:f>IF('Datos_fuente'!R52="","",ASINH('Datos_fuente'!R52/1000))</x:f>
        <x:v>0.7333552731179949</x:v>
      </x:c>
      <x:c r="X52" s="98" t="n">
        <x:f>IF(OR(W52="",W51=""),"",W52-W51)</x:f>
        <x:v>0.05685041631832333</x:v>
      </x:c>
      <x:c r="Y52" s="63" t="n">
        <x:f>'Datos_fuente'!W52</x:f>
        <x:v>2.971033333</x:v>
      </x:c>
      <x:c r="Z52" s="63" t="n">
        <x:f>IF(OR(Y52="",Y51=""),"",Y52-Y51)</x:f>
        <x:v>-0.46682801100000004</x:v>
      </x:c>
      <x:c r="AA52" s="98" t="n">
        <x:f>'Datos_fuente'!AB52</x:f>
        <x:v>-0.7617096426</x:v>
      </x:c>
      <x:c r="AB52" s="98" t="n">
        <x:f>'Datos_fuente'!AC52</x:f>
        <x:v>-0.8298014733</x:v>
      </x:c>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t="str">
        <x:f>'Datos_fuente'!A53</x:f>
        <x:v>2009-11</x:v>
      </x:c>
      <x:c r="B53" s="98" t="n">
        <x:f>IF('Datos_fuente'!B53="","",LN('Datos_fuente'!B53))</x:f>
        <x:v>7.589274785900698</x:v>
      </x:c>
      <x:c r="C53" s="98" t="n">
        <x:f>IF(OR(B53="",B52=""),"",B53-B52)</x:f>
        <x:v>0.0389288801009533</x:v>
      </x:c>
      <x:c r="D53" s="98" t="n">
        <x:f>IF('Datos_fuente'!C53="","",LN('Datos_fuente'!C53))</x:f>
        <x:v>5.033961119399752</x:v>
      </x:c>
      <x:c r="E53" s="98" t="n">
        <x:f>IF(OR(D53="",D52=""),"",D53-D52)</x:f>
        <x:v>-0.005650282933021167</x:v>
      </x:c>
      <x:c r="F53" s="98" t="n">
        <x:f>IF('Datos_fuente'!E53="","",LN('Datos_fuente'!E53))</x:f>
        <x:v>8.322318776130032</x:v>
      </x:c>
      <x:c r="G53" s="98" t="n">
        <x:f>IF(OR(F53="",F52=""),"",F53-F52)</x:f>
        <x:v>0.005715394558386322</x:v>
      </x:c>
      <x:c r="H53" s="63" t="n">
        <x:f>'Datos_fuente'!H53</x:f>
        <x:v>3.763333333</x:v>
      </x:c>
      <x:c r="I53" s="63" t="n">
        <x:f>IF(OR(H53="",H52=""),"",H53-H52)</x:f>
        <x:v>-0.11666666700000006</x:v>
      </x:c>
      <x:c r="J53" s="63" t="n">
        <x:f>'Datos_fuente'!J53</x:f>
        <x:v>3.348767122</x:v>
      </x:c>
      <x:c r="K53" s="63" t="n">
        <x:f>IF(OR(J53="",J52=""),"",J53-J52)</x:f>
        <x:v>-0.2528218660000001</x:v>
      </x:c>
      <x:c r="L53" s="98" t="n">
        <x:f>IF('Datos_fuente'!K53="","",LN('Datos_fuente'!K53))</x:f>
        <x:v>4.519608055024852</x:v>
      </x:c>
      <x:c r="M53" s="98" t="n">
        <x:f>IF(OR(L53="",L52=""),"",L53-L52)</x:f>
        <x:v>-0.005000042351437806</x:v>
      </x:c>
      <x:c r="N53" s="98" t="n">
        <x:f>IF('Datos_fuente'!L53="","",LN('Datos_fuente'!L53))</x:f>
        <x:v>3.1692232889631295</x:v>
      </x:c>
      <x:c r="O53" s="98" t="n">
        <x:f>IF(OR(N53="",N52=""),"",N53-N52)</x:f>
        <x:v>-0.019287044853582902</x:v>
      </x:c>
      <x:c r="P53" s="96" t="n">
        <x:f>'Datos_fuente'!M53</x:f>
        <x:v>0</x:v>
      </x:c>
      <x:c r="Q53" s="98" t="n">
        <x:f>IF('Datos_fuente'!N53="","",LN('Datos_fuente'!N53))</x:f>
        <x:v>10.144099243643875</x:v>
      </x:c>
      <x:c r="R53" s="98" t="n">
        <x:f>IF(OR(Q53="",Q52=""),"",Q53-Q52)</x:f>
        <x:v>0.010064812177272842</x:v>
      </x:c>
      <x:c r="S53" s="63" t="n">
        <x:f>'Datos_fuente'!P53</x:f>
        <x:v>2.133333333</x:v>
      </x:c>
      <x:c r="T53" s="63" t="n">
        <x:f>IF(OR(S53="",S52=""),"",S53-S52)</x:f>
        <x:v>-0.05030303099999989</x:v>
      </x:c>
      <x:c r="U53" s="98" t="n">
        <x:f>IF('Datos_fuente'!Q53="","",ASINH('Datos_fuente'!Q53/1000))</x:f>
        <x:v>-0.5824622203074259</x:v>
      </x:c>
      <x:c r="V53" s="98" t="n">
        <x:f>IF(OR(U53="",U52=""),"",U53-U52)</x:f>
        <x:v>0.03935440268298018</x:v>
      </x:c>
      <x:c r="W53" s="98" t="n">
        <x:f>IF('Datos_fuente'!R53="","",ASINH('Datos_fuente'!R53/1000))</x:f>
        <x:v>0.6208577467389507</x:v>
      </x:c>
      <x:c r="X53" s="98" t="n">
        <x:f>IF(OR(W53="",W52=""),"",W53-W52)</x:f>
        <x:v>-0.1124975263790442</x:v>
      </x:c>
      <x:c r="Y53" s="63" t="n">
        <x:f>'Datos_fuente'!W53</x:f>
        <x:v>1.90647894</x:v>
      </x:c>
      <x:c r="Z53" s="63" t="n">
        <x:f>IF(OR(Y53="",Y52=""),"",Y53-Y52)</x:f>
        <x:v>-1.0645543929999999</x:v>
      </x:c>
      <x:c r="AA53" s="98" t="n">
        <x:f>'Datos_fuente'!AB53</x:f>
        <x:v>-1.203479883</x:v>
      </x:c>
      <x:c r="AB53" s="98" t="n">
        <x:f>'Datos_fuente'!AC53</x:f>
        <x:v>-0.814190776</x:v>
      </x:c>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t="str">
        <x:f>'Datos_fuente'!A54</x:f>
        <x:v>2009-12</x:v>
      </x:c>
      <x:c r="B54" s="98" t="n">
        <x:f>IF('Datos_fuente'!B54="","",LN('Datos_fuente'!B54))</x:f>
        <x:v>7.609868435284606</x:v>
      </x:c>
      <x:c r="C54" s="98" t="n">
        <x:f>IF(OR(B54="",B53=""),"",B54-B53)</x:f>
        <x:v>0.020593649383908286</x:v>
      </x:c>
      <x:c r="D54" s="98" t="n">
        <x:f>IF('Datos_fuente'!C54="","",LN('Datos_fuente'!C54))</x:f>
        <x:v>5.031091302663638</x:v>
      </x:c>
      <x:c r="E54" s="98" t="n">
        <x:f>IF(OR(D54="",D53=""),"",D54-D53)</x:f>
        <x:v>-0.0028698167361138616</x:v>
      </x:c>
      <x:c r="F54" s="98" t="n">
        <x:f>IF('Datos_fuente'!E54="","",LN('Datos_fuente'!E54))</x:f>
        <x:v>8.316368706351295</x:v>
      </x:c>
      <x:c r="G54" s="98" t="n">
        <x:f>IF(OR(F54="",F53=""),"",F54-F53)</x:f>
        <x:v>-0.005950069778737799</x:v>
      </x:c>
      <x:c r="H54" s="63" t="n">
        <x:f>'Datos_fuente'!H54</x:f>
        <x:v>3.38</x:v>
      </x:c>
      <x:c r="I54" s="63" t="n">
        <x:f>IF(OR(H54="",H53=""),"",H54-H53)</x:f>
        <x:v>-0.38333333299999994</x:v>
      </x:c>
      <x:c r="J54" s="63" t="n">
        <x:f>'Datos_fuente'!J54</x:f>
        <x:v>4.13000348</x:v>
      </x:c>
      <x:c r="K54" s="63" t="n">
        <x:f>IF(OR(J54="",J53=""),"",J54-J53)</x:f>
        <x:v>0.7812363580000001</x:v>
      </x:c>
      <x:c r="L54" s="98" t="n">
        <x:f>IF('Datos_fuente'!K54="","",LN('Datos_fuente'!K54))</x:f>
        <x:v>4.524595709992506</x:v>
      </x:c>
      <x:c r="M54" s="98" t="n">
        <x:f>IF(OR(L54="",L53=""),"",L54-L53)</x:f>
        <x:v>0.004987654967654187</x:v>
      </x:c>
      <x:c r="N54" s="98" t="n">
        <x:f>IF('Datos_fuente'!L54="","",LN('Datos_fuente'!L54))</x:f>
        <x:v>3.055864795485607</x:v>
      </x:c>
      <x:c r="O54" s="98" t="n">
        <x:f>IF(OR(N54="",N53=""),"",N54-N53)</x:f>
        <x:v>-0.11335849347752269</x:v>
      </x:c>
      <x:c r="P54" s="96" t="n">
        <x:f>'Datos_fuente'!M54</x:f>
        <x:v>0</x:v>
      </x:c>
      <x:c r="Q54" s="98" t="n">
        <x:f>IF('Datos_fuente'!N54="","",LN('Datos_fuente'!N54))</x:f>
        <x:v>10.140760413368206</x:v>
      </x:c>
      <x:c r="R54" s="98" t="n">
        <x:f>IF(OR(Q54="",Q53=""),"",Q54-Q53)</x:f>
        <x:v>-0.003338830275669835</x:v>
      </x:c>
      <x:c r="S54" s="63" t="n">
        <x:f>'Datos_fuente'!P54</x:f>
        <x:v>2.081304348</x:v>
      </x:c>
      <x:c r="T54" s="63" t="n">
        <x:f>IF(OR(S54="",S53=""),"",S54-S53)</x:f>
        <x:v>-0.05202898499999975</x:v>
      </x:c>
      <x:c r="U54" s="98" t="n">
        <x:f>IF('Datos_fuente'!Q54="","",ASINH('Datos_fuente'!Q54/1000))</x:f>
        <x:v>-0.652543676964449</x:v>
      </x:c>
      <x:c r="V54" s="98" t="n">
        <x:f>IF(OR(U54="",U53=""),"",U54-U53)</x:f>
        <x:v>-0.07008145665702314</x:v>
      </x:c>
      <x:c r="W54" s="98" t="n">
        <x:f>IF('Datos_fuente'!R54="","",ASINH('Datos_fuente'!R54/1000))</x:f>
        <x:v>0.4015791369670748</x:v>
      </x:c>
      <x:c r="X54" s="98" t="n">
        <x:f>IF(OR(W54="",W53=""),"",W54-W53)</x:f>
        <x:v>-0.21927860977187585</x:v>
      </x:c>
      <x:c r="Y54" s="63" t="n">
        <x:f>'Datos_fuente'!W54</x:f>
        <x:v>1.815842852</x:v>
      </x:c>
      <x:c r="Z54" s="63" t="n">
        <x:f>IF(OR(Y54="",Y53=""),"",Y54-Y53)</x:f>
        <x:v>-0.09063608799999989</x:v>
      </x:c>
      <x:c r="AA54" s="98" t="n">
        <x:f>'Datos_fuente'!AB54</x:f>
        <x:v>-0.2853463917</x:v>
      </x:c>
      <x:c r="AB54" s="98" t="n">
        <x:f>'Datos_fuente'!AC54</x:f>
        <x:v>-0.2584688735</x:v>
      </x:c>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t="str">
        <x:f>'Datos_fuente'!A55</x:f>
        <x:v>2010-01</x:v>
      </x:c>
      <x:c r="B55" s="98" t="n">
        <x:f>IF('Datos_fuente'!B55="","",LN('Datos_fuente'!B55))</x:f>
        <x:v>7.592581321702962</x:v>
      </x:c>
      <x:c r="C55" s="98" t="n">
        <x:f>IF(OR(B55="",B54=""),"",B55-B54)</x:f>
        <x:v>-0.017287113581644142</x:v>
      </x:c>
      <x:c r="D55" s="98" t="n">
        <x:f>IF('Datos_fuente'!C55="","",LN('Datos_fuente'!C55))</x:f>
        <x:v>5.066763547873856</x:v>
      </x:c>
      <x:c r="E55" s="98" t="n">
        <x:f>IF(OR(D55="",D54=""),"",D55-D54)</x:f>
        <x:v>0.03567224521021828</x:v>
      </x:c>
      <x:c r="F55" s="98" t="n">
        <x:f>IF('Datos_fuente'!E55="","",LN('Datos_fuente'!E55))</x:f>
        <x:v>8.30309609723786</x:v>
      </x:c>
      <x:c r="G55" s="98" t="n">
        <x:f>IF(OR(F55="",F54=""),"",F55-F54)</x:f>
        <x:v>-0.013272609113434086</x:v>
      </x:c>
      <x:c r="H55" s="63" t="n">
        <x:f>'Datos_fuente'!H55</x:f>
        <x:v>3.39</x:v>
      </x:c>
      <x:c r="I55" s="63" t="n">
        <x:f>IF(OR(H55="",H54=""),"",H55-H54)</x:f>
        <x:v>0.010000000000000231</x:v>
      </x:c>
      <x:c r="J55" s="63" t="n">
        <x:f>'Datos_fuente'!J55</x:f>
        <x:v>3.616995811</x:v>
      </x:c>
      <x:c r="K55" s="63" t="n">
        <x:f>IF(OR(J55="",J54=""),"",J55-J54)</x:f>
        <x:v>-0.5130076690000003</x:v>
      </x:c>
      <x:c r="L55" s="98" t="n">
        <x:f>IF('Datos_fuente'!K55="","",LN('Datos_fuente'!K55))</x:f>
        <x:v>4.526563030749248</x:v>
      </x:c>
      <x:c r="M55" s="98" t="n">
        <x:f>IF(OR(L55="",L54=""),"",L55-L54)</x:f>
        <x:v>0.001967320756741664</x:v>
      </x:c>
      <x:c r="N55" s="98" t="n">
        <x:f>IF('Datos_fuente'!L55="","",LN('Datos_fuente'!L55))</x:f>
        <x:v>3.02738392745679</x:v>
      </x:c>
      <x:c r="O55" s="98" t="n">
        <x:f>IF(OR(N55="",N54=""),"",N55-N54)</x:f>
        <x:v>-0.028480868028816886</x:v>
      </x:c>
      <x:c r="P55" s="96" t="n">
        <x:f>'Datos_fuente'!M55</x:f>
        <x:v>0</x:v>
      </x:c>
      <x:c r="Q55" s="98" t="n">
        <x:f>IF('Datos_fuente'!N55="","",LN('Datos_fuente'!N55))</x:f>
        <x:v>10.136945328882026</x:v>
      </x:c>
      <x:c r="R55" s="98" t="n">
        <x:f>IF(OR(Q55="",Q54=""),"",Q55-Q54)</x:f>
        <x:v>-0.0038150844861792876</x:v>
      </x:c>
      <x:c r="S55" s="63" t="n">
        <x:f>'Datos_fuente'!P55</x:f>
        <x:v>2.097142857</x:v>
      </x:c>
      <x:c r="T55" s="63" t="n">
        <x:f>IF(OR(S55="",S54=""),"",S55-S54)</x:f>
        <x:v>0.015838508999999945</x:v>
      </x:c>
      <x:c r="U55" s="98" t="n">
        <x:f>IF('Datos_fuente'!Q55="","",ASINH('Datos_fuente'!Q55/1000))</x:f>
        <x:v>-0.7581378380562491</x:v>
      </x:c>
      <x:c r="V55" s="98" t="n">
        <x:f>IF(OR(U55="",U54=""),"",U55-U54)</x:f>
        <x:v>-0.10559416109180009</x:v>
      </x:c>
      <x:c r="W55" s="98" t="n">
        <x:f>IF('Datos_fuente'!R55="","",ASINH('Datos_fuente'!R55/1000))</x:f>
        <x:v>0.6668223095258431</x:v>
      </x:c>
      <x:c r="X55" s="98" t="n">
        <x:f>IF(OR(W55="",W54=""),"",W55-W54)</x:f>
        <x:v>0.2652431725587683</x:v>
      </x:c>
      <x:c r="Y55" s="63" t="n">
        <x:f>'Datos_fuente'!W55</x:f>
        <x:v>2.428040943</x:v>
      </x:c>
      <x:c r="Z55" s="63" t="n">
        <x:f>IF(OR(Y55="",Y54=""),"",Y55-Y54)</x:f>
        <x:v>0.612198091</x:v>
      </x:c>
      <x:c r="AA55" s="98" t="n">
        <x:f>'Datos_fuente'!AB55</x:f>
        <x:v>-0.003769763674</x:v>
      </x:c>
      <x:c r="AB55" s="98" t="n">
        <x:f>'Datos_fuente'!AC55</x:f>
        <x:v>-0.1499648446</x:v>
      </x:c>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t="str">
        <x:f>'Datos_fuente'!A56</x:f>
        <x:v>2010-02</x:v>
      </x:c>
      <x:c r="B56" s="98" t="n">
        <x:f>IF('Datos_fuente'!B56="","",LN('Datos_fuente'!B56))</x:f>
        <x:v>7.576468327155324</x:v>
      </x:c>
      <x:c r="C56" s="98" t="n">
        <x:f>IF(OR(B56="",B55=""),"",B56-B55)</x:f>
        <x:v>-0.016112994547637705</x:v>
      </x:c>
      <x:c r="D56" s="98" t="n">
        <x:f>IF('Datos_fuente'!C56="","",LN('Datos_fuente'!C56))</x:f>
        <x:v>5.040517668578126</x:v>
      </x:c>
      <x:c r="E56" s="98" t="n">
        <x:f>IF(OR(D56="",D55=""),"",D56-D55)</x:f>
        <x:v>-0.026245879295730745</x:v>
      </x:c>
      <x:c r="F56" s="98" t="n">
        <x:f>IF('Datos_fuente'!E56="","",LN('Datos_fuente'!E56))</x:f>
        <x:v>8.277625499287858</x:v>
      </x:c>
      <x:c r="G56" s="98" t="n">
        <x:f>IF(OR(F56="",F55=""),"",F56-F55)</x:f>
        <x:v>-0.025470597950002727</x:v>
      </x:c>
      <x:c r="H56" s="63" t="n">
        <x:f>'Datos_fuente'!H56</x:f>
        <x:v>3.37</x:v>
      </x:c>
      <x:c r="I56" s="63" t="n">
        <x:f>IF(OR(H56="",H55=""),"",H56-H55)</x:f>
        <x:v>-0.020000000000000018</x:v>
      </x:c>
      <x:c r="J56" s="63" t="n">
        <x:f>'Datos_fuente'!J56</x:f>
        <x:v>3.109598706</x:v>
      </x:c>
      <x:c r="K56" s="63" t="n">
        <x:f>IF(OR(J56="",J55=""),"",J56-J55)</x:f>
        <x:v>-0.5073971049999999</x:v>
      </x:c>
      <x:c r="L56" s="98" t="n">
        <x:f>IF('Datos_fuente'!K56="","",LN('Datos_fuente'!K56))</x:f>
        <x:v>4.5420885231169805</x:v>
      </x:c>
      <x:c r="M56" s="98" t="n">
        <x:f>IF(OR(L56="",L55=""),"",L56-L55)</x:f>
        <x:v>0.015525492367732596</x:v>
      </x:c>
      <x:c r="N56" s="98" t="n">
        <x:f>IF('Datos_fuente'!L56="","",LN('Datos_fuente'!L56))</x:f>
        <x:v>3.11529150861163</x:v>
      </x:c>
      <x:c r="O56" s="98" t="n">
        <x:f>IF(OR(N56="",N55=""),"",N56-N55)</x:f>
        <x:v>0.08790758115484021</x:v>
      </x:c>
      <x:c r="P56" s="96" t="n">
        <x:f>'Datos_fuente'!M56</x:f>
        <x:v>0</x:v>
      </x:c>
      <x:c r="Q56" s="98" t="n">
        <x:f>IF('Datos_fuente'!N56="","",LN('Datos_fuente'!N56))</x:f>
        <x:v>10.134809568846215</x:v>
      </x:c>
      <x:c r="R56" s="98" t="n">
        <x:f>IF(OR(Q56="",Q55=""),"",Q56-Q55)</x:f>
        <x:v>-0.002135760035811174</x:v>
      </x:c>
      <x:c r="S56" s="63" t="n">
        <x:f>'Datos_fuente'!P56</x:f>
        <x:v>2.351</x:v>
      </x:c>
      <x:c r="T56" s="63" t="n">
        <x:f>IF(OR(S56="",S55=""),"",S56-S55)</x:f>
        <x:v>0.25385714299999984</x:v>
      </x:c>
      <x:c r="U56" s="98" t="n">
        <x:f>IF('Datos_fuente'!Q56="","",ASINH('Datos_fuente'!Q56/1000))</x:f>
        <x:v>-0.7646708390169459</x:v>
      </x:c>
      <x:c r="V56" s="98" t="n">
        <x:f>IF(OR(U56="",U55=""),"",U56-U55)</x:f>
        <x:v>-0.006533000960696755</x:v>
      </x:c>
      <x:c r="W56" s="98" t="n">
        <x:f>IF('Datos_fuente'!R56="","",ASINH('Datos_fuente'!R56/1000))</x:f>
        <x:v>0.7632316399408661</x:v>
      </x:c>
      <x:c r="X56" s="98" t="n">
        <x:f>IF(OR(W56="",W55=""),"",W56-W55)</x:f>
        <x:v>0.09640933041502298</x:v>
      </x:c>
      <x:c r="Y56" s="63" t="n">
        <x:f>'Datos_fuente'!W56</x:f>
        <x:v>3.211815796</x:v>
      </x:c>
      <x:c r="Z56" s="63" t="n">
        <x:f>IF(OR(Y56="",Y55=""),"",Y56-Y55)</x:f>
        <x:v>0.7837748529999997</x:v>
      </x:c>
      <x:c r="AA56" s="98" t="n">
        <x:f>'Datos_fuente'!AB56</x:f>
        <x:v>1.025260927</x:v>
      </x:c>
      <x:c r="AB56" s="98" t="n">
        <x:f>'Datos_fuente'!AC56</x:f>
        <x:v>0.7554181934</x:v>
      </x:c>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t="str">
        <x:f>'Datos_fuente'!A57</x:f>
        <x:v>2010-03</x:v>
      </x:c>
      <x:c r="B57" s="98" t="n">
        <x:f>IF('Datos_fuente'!B57="","",LN('Datos_fuente'!B57))</x:f>
        <x:v>7.554330598991837</x:v>
      </x:c>
      <x:c r="C57" s="98" t="n">
        <x:f>IF(OR(B57="",B56=""),"",B57-B56)</x:f>
        <x:v>-0.02213772816348758</x:v>
      </x:c>
      <x:c r="D57" s="98" t="n">
        <x:f>IF('Datos_fuente'!C57="","",LN('Datos_fuente'!C57))</x:f>
        <x:v>5.0722946744829835</x:v>
      </x:c>
      <x:c r="E57" s="98" t="n">
        <x:f>IF(OR(D57="",D56=""),"",D57-D56)</x:f>
        <x:v>0.03177700590485788</x:v>
      </x:c>
      <x:c r="F57" s="98" t="n">
        <x:f>IF('Datos_fuente'!E57="","",LN('Datos_fuente'!E57))</x:f>
        <x:v>8.271290095431384</x:v>
      </x:c>
      <x:c r="G57" s="98" t="n">
        <x:f>IF(OR(F57="",F56=""),"",F57-F56)</x:f>
        <x:v>-0.006335403856473576</x:v>
      </x:c>
      <x:c r="H57" s="63" t="n">
        <x:f>'Datos_fuente'!H57</x:f>
        <x:v>3.34</x:v>
      </x:c>
      <x:c r="I57" s="63" t="n">
        <x:f>IF(OR(H57="",H56=""),"",H57-H56)</x:f>
        <x:v>-0.03000000000000025</x:v>
      </x:c>
      <x:c r="J57" s="63" t="n">
        <x:f>'Datos_fuente'!J57</x:f>
        <x:v>3.076223761</x:v>
      </x:c>
      <x:c r="K57" s="63" t="n">
        <x:f>IF(OR(J57="",J56=""),"",J57-J56)</x:f>
        <x:v>-0.03337494499999982</x:v>
      </x:c>
      <x:c r="L57" s="98" t="n">
        <x:f>IF('Datos_fuente'!K57="","",LN('Datos_fuente'!K57))</x:f>
        <x:v>4.534209790122428</x:v>
      </x:c>
      <x:c r="M57" s="98" t="n">
        <x:f>IF(OR(L57="",L56=""),"",L57-L56)</x:f>
        <x:v>-0.007878732994552884</x:v>
      </x:c>
      <x:c r="N57" s="98" t="n">
        <x:f>IF('Datos_fuente'!L57="","",LN('Datos_fuente'!L57))</x:f>
        <x:v>2.8773648277882806</x:v>
      </x:c>
      <x:c r="O57" s="98" t="n">
        <x:f>IF(OR(N57="",N56=""),"",N57-N56)</x:f>
        <x:v>-0.23792668082334956</x:v>
      </x:c>
      <x:c r="P57" s="96" t="n">
        <x:f>'Datos_fuente'!M57</x:f>
        <x:v>0</x:v>
      </x:c>
      <x:c r="Q57" s="98" t="n">
        <x:f>IF('Datos_fuente'!N57="","",LN('Datos_fuente'!N57))</x:f>
        <x:v>10.146474514628586</x:v>
      </x:c>
      <x:c r="R57" s="98" t="n">
        <x:f>IF(OR(Q57="",Q56=""),"",Q57-Q56)</x:f>
        <x:v>0.011664945782371205</x:v>
      </x:c>
      <x:c r="S57" s="63" t="n">
        <x:f>'Datos_fuente'!P57</x:f>
        <x:v>1.89</x:v>
      </x:c>
      <x:c r="T57" s="63" t="n">
        <x:f>IF(OR(S57="",S56=""),"",S57-S56)</x:f>
        <x:v>-0.4610000000000001</x:v>
      </x:c>
      <x:c r="U57" s="98" t="n">
        <x:f>IF('Datos_fuente'!Q57="","",ASINH('Datos_fuente'!Q57/1000))</x:f>
        <x:v>-0.6944586641871235</x:v>
      </x:c>
      <x:c r="V57" s="98" t="n">
        <x:f>IF(OR(U57="",U56=""),"",U57-U56)</x:f>
        <x:v>0.07021217482982234</x:v>
      </x:c>
      <x:c r="W57" s="98" t="n">
        <x:f>IF('Datos_fuente'!R57="","",ASINH('Datos_fuente'!R57/1000))</x:f>
        <x:v>1.0724923426846238</x:v>
      </x:c>
      <x:c r="X57" s="98" t="n">
        <x:f>IF(OR(W57="",W56=""),"",W57-W56)</x:f>
        <x:v>0.3092607027437577</x:v>
      </x:c>
      <x:c r="Y57" s="63" t="n">
        <x:f>'Datos_fuente'!W57</x:f>
        <x:v>2.985891599</x:v>
      </x:c>
      <x:c r="Z57" s="63" t="n">
        <x:f>IF(OR(Y57="",Y56=""),"",Y57-Y56)</x:f>
        <x:v>-0.22592419699999988</x:v>
      </x:c>
      <x:c r="AA57" s="98" t="n">
        <x:f>'Datos_fuente'!AB57</x:f>
        <x:v>-0.9384199028</x:v>
      </x:c>
      <x:c r="AB57" s="98" t="n">
        <x:f>'Datos_fuente'!AC57</x:f>
        <x:v>-0.8052634607</x:v>
      </x:c>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t="str">
        <x:f>'Datos_fuente'!A58</x:f>
        <x:v>2010-04</x:v>
      </x:c>
      <x:c r="B58" s="98" t="n">
        <x:f>IF('Datos_fuente'!B58="","",LN('Datos_fuente'!B58))</x:f>
        <x:v>7.569127438300412</x:v>
      </x:c>
      <x:c r="C58" s="98" t="n">
        <x:f>IF(OR(B58="",B57=""),"",B58-B57)</x:f>
        <x:v>0.014796839308575116</x:v>
      </x:c>
      <x:c r="D58" s="98" t="n">
        <x:f>IF('Datos_fuente'!C58="","",LN('Datos_fuente'!C58))</x:f>
        <x:v>5.103639787544498</x:v>
      </x:c>
      <x:c r="E58" s="98" t="n">
        <x:f>IF(OR(D58="",D57=""),"",D58-D57)</x:f>
        <x:v>0.03134511306151477</x:v>
      </x:c>
      <x:c r="F58" s="98" t="n">
        <x:f>IF('Datos_fuente'!E58="","",LN('Datos_fuente'!E58))</x:f>
        <x:v>8.265508694668442</x:v>
      </x:c>
      <x:c r="G58" s="98" t="n">
        <x:f>IF(OR(F58="",F57=""),"",F58-F57)</x:f>
        <x:v>-0.005781400762941757</x:v>
      </x:c>
      <x:c r="H58" s="63" t="n">
        <x:f>'Datos_fuente'!H58</x:f>
        <x:v>3.3</x:v>
      </x:c>
      <x:c r="I58" s="63" t="n">
        <x:f>IF(OR(H58="",H57=""),"",H58-H57)</x:f>
        <x:v>-0.040000000000000036</x:v>
      </x:c>
      <x:c r="J58" s="63" t="n">
        <x:f>'Datos_fuente'!J58</x:f>
        <x:v>3.553742597</x:v>
      </x:c>
      <x:c r="K58" s="63" t="n">
        <x:f>IF(OR(J58="",J57=""),"",J58-J57)</x:f>
        <x:v>0.4775188359999998</x:v>
      </x:c>
      <x:c r="L58" s="98" t="n">
        <x:f>IF('Datos_fuente'!K58="","",LN('Datos_fuente'!K58))</x:f>
        <x:v>4.528711151513531</x:v>
      </x:c>
      <x:c r="M58" s="98" t="n">
        <x:f>IF(OR(L58="",L57=""),"",L58-L57)</x:f>
        <x:v>-0.0054986386088966555</x:v>
      </x:c>
      <x:c r="N58" s="98" t="n">
        <x:f>IF('Datos_fuente'!L58="","",LN('Datos_fuente'!L58))</x:f>
        <x:v>2.8578649635538715</x:v>
      </x:c>
      <x:c r="O58" s="98" t="n">
        <x:f>IF(OR(N58="",N57=""),"",N58-N57)</x:f>
        <x:v>-0.01949986423440908</x:v>
      </x:c>
      <x:c r="P58" s="96" t="n">
        <x:f>'Datos_fuente'!M58</x:f>
        <x:v>0</x:v>
      </x:c>
      <x:c r="Q58" s="98" t="n">
        <x:f>IF('Datos_fuente'!N58="","",LN('Datos_fuente'!N58))</x:f>
        <x:v>10.162211352392337</x:v>
      </x:c>
      <x:c r="R58" s="98" t="n">
        <x:f>IF(OR(Q58="",Q57=""),"",Q58-Q57)</x:f>
        <x:v>0.015736837763750344</x:v>
      </x:c>
      <x:c r="S58" s="63" t="n">
        <x:f>'Datos_fuente'!P58</x:f>
        <x:v>1.727727273</x:v>
      </x:c>
      <x:c r="T58" s="63" t="n">
        <x:f>IF(OR(S58="",S57=""),"",S58-S57)</x:f>
        <x:v>-0.16227272699999995</x:v>
      </x:c>
      <x:c r="U58" s="98" t="n">
        <x:f>IF('Datos_fuente'!Q58="","",ASINH('Datos_fuente'!Q58/1000))</x:f>
        <x:v>-0.6000138492386364</x:v>
      </x:c>
      <x:c r="V58" s="98" t="n">
        <x:f>IF(OR(U58="",U57=""),"",U58-U57)</x:f>
        <x:v>0.09444481494848711</x:v>
      </x:c>
      <x:c r="W58" s="98" t="n">
        <x:f>IF('Datos_fuente'!R58="","",ASINH('Datos_fuente'!R58/1000))</x:f>
        <x:v>0.9209930533510569</x:v>
      </x:c>
      <x:c r="X58" s="98" t="n">
        <x:f>IF(OR(W58="",W57=""),"",W58-W57)</x:f>
        <x:v>-0.15149928933356693</x:v>
      </x:c>
      <x:c r="Y58" s="63" t="n">
        <x:f>'Datos_fuente'!W58</x:f>
        <x:v>2.036054063</x:v>
      </x:c>
      <x:c r="Z58" s="63" t="n">
        <x:f>IF(OR(Y58="",Y57=""),"",Y58-Y57)</x:f>
        <x:v>-0.949837536</x:v>
      </x:c>
      <x:c r="AA58" s="98" t="n">
        <x:f>'Datos_fuente'!AB58</x:f>
        <x:v>-0.6159872758</x:v>
      </x:c>
      <x:c r="AB58" s="98" t="n">
        <x:f>'Datos_fuente'!AC58</x:f>
        <x:v>-0.4558311011</x:v>
      </x:c>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t="str">
        <x:f>'Datos_fuente'!A59</x:f>
        <x:v>2010-05</x:v>
      </x:c>
      <x:c r="B59" s="98" t="n">
        <x:f>IF('Datos_fuente'!B59="","",LN('Datos_fuente'!B59))</x:f>
        <x:v>7.592665239606123</x:v>
      </x:c>
      <x:c r="C59" s="98" t="n">
        <x:f>IF(OR(B59="",B58=""),"",B59-B58)</x:f>
        <x:v>0.023537801305710815</x:v>
      </x:c>
      <x:c r="D59" s="98" t="n">
        <x:f>IF('Datos_fuente'!C59="","",LN('Datos_fuente'!C59))</x:f>
        <x:v>5.046259805069185</x:v>
      </x:c>
      <x:c r="E59" s="98" t="n">
        <x:f>IF(OR(D59="",D58=""),"",D59-D58)</x:f>
        <x:v>-0.05737998247531362</x:v>
      </x:c>
      <x:c r="F59" s="98" t="n">
        <x:f>IF('Datos_fuente'!E59="","",LN('Datos_fuente'!E59))</x:f>
        <x:v>8.262481570634366</x:v>
      </x:c>
      <x:c r="G59" s="98" t="n">
        <x:f>IF(OR(F59="",F58=""),"",F59-F58)</x:f>
        <x:v>-0.003027124034076678</x:v>
      </x:c>
      <x:c r="H59" s="63" t="n">
        <x:f>'Datos_fuente'!H59</x:f>
        <x:v>2.832258065</x:v>
      </x:c>
      <x:c r="I59" s="63" t="n">
        <x:f>IF(OR(H59="",H58=""),"",H59-H58)</x:f>
        <x:v>-0.46774193499999983</x:v>
      </x:c>
      <x:c r="J59" s="63" t="n">
        <x:f>'Datos_fuente'!J59</x:f>
        <x:v>3.538401375</x:v>
      </x:c>
      <x:c r="K59" s="63" t="n">
        <x:f>IF(OR(J59="",J58=""),"",J59-J58)</x:f>
        <x:v>-0.015341221999999988</x:v>
      </x:c>
      <x:c r="L59" s="98" t="n">
        <x:f>IF('Datos_fuente'!K59="","",LN('Datos_fuente'!K59))</x:f>
        <x:v>4.559447033725612</x:v>
      </x:c>
      <x:c r="M59" s="98" t="n">
        <x:f>IF(OR(L59="",L58=""),"",L59-L58)</x:f>
        <x:v>0.030735882212081123</x:v>
      </x:c>
      <x:c r="N59" s="98" t="n">
        <x:f>IF('Datos_fuente'!L59="","",LN('Datos_fuente'!L59))</x:f>
        <x:v>3.463530347349464</x:v>
      </x:c>
      <x:c r="O59" s="98" t="n">
        <x:f>IF(OR(N59="",N58=""),"",N59-N58)</x:f>
        <x:v>0.6056653837955923</x:v>
      </x:c>
      <x:c r="P59" s="96" t="n">
        <x:f>'Datos_fuente'!M59</x:f>
        <x:v>0</x:v>
      </x:c>
      <x:c r="Q59" s="98" t="n">
        <x:f>IF('Datos_fuente'!N59="","",LN('Datos_fuente'!N59))</x:f>
        <x:v>10.163304729775449</x:v>
      </x:c>
      <x:c r="R59" s="98" t="n">
        <x:f>IF(OR(Q59="",Q58=""),"",Q59-Q58)</x:f>
        <x:v>0.0010933773831123261</x:v>
      </x:c>
      <x:c r="S59" s="63" t="n">
        <x:f>'Datos_fuente'!P59</x:f>
        <x:v>2.31047619</x:v>
      </x:c>
      <x:c r="T59" s="63" t="n">
        <x:f>IF(OR(S59="",S58=""),"",S59-S58)</x:f>
        <x:v>0.5827489170000002</x:v>
      </x:c>
      <x:c r="U59" s="98" t="n">
        <x:f>IF('Datos_fuente'!Q59="","",ASINH('Datos_fuente'!Q59/1000))</x:f>
        <x:v>-0.7050722353353694</x:v>
      </x:c>
      <x:c r="V59" s="98" t="n">
        <x:f>IF(OR(U59="",U58=""),"",U59-U58)</x:f>
        <x:v>-0.10505838609673301</x:v>
      </x:c>
      <x:c r="W59" s="98" t="n">
        <x:f>IF('Datos_fuente'!R59="","",ASINH('Datos_fuente'!R59/1000))</x:f>
        <x:v>0.8039531378320676</x:v>
      </x:c>
      <x:c r="X59" s="98" t="n">
        <x:f>IF(OR(W59="",W58=""),"",W59-W58)</x:f>
        <x:v>-0.11703991551898929</x:v>
      </x:c>
      <x:c r="Y59" s="63" t="n">
        <x:f>'Datos_fuente'!W59</x:f>
        <x:v>2.057771595</x:v>
      </x:c>
      <x:c r="Z59" s="63" t="n">
        <x:f>IF(OR(Y59="",Y58=""),"",Y59-Y58)</x:f>
        <x:v>0.02171753200000026</x:v>
      </x:c>
      <x:c r="AA59" s="98" t="n">
        <x:f>'Datos_fuente'!AB59</x:f>
        <x:v>0.9632611718</x:v>
      </x:c>
      <x:c r="AB59" s="98" t="n">
        <x:f>'Datos_fuente'!AC59</x:f>
        <x:v>0.7649034159</x:v>
      </x:c>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t="str">
        <x:f>'Datos_fuente'!A60</x:f>
        <x:v>2010-06</x:v>
      </x:c>
      <x:c r="B60" s="98" t="n">
        <x:f>IF('Datos_fuente'!B60="","",LN('Datos_fuente'!B60))</x:f>
        <x:v>7.563639748251453</x:v>
      </x:c>
      <x:c r="C60" s="98" t="n">
        <x:f>IF(OR(B60="",B59=""),"",B60-B59)</x:f>
        <x:v>-0.029025491354669697</x:v>
      </x:c>
      <x:c r="D60" s="98" t="n">
        <x:f>IF('Datos_fuente'!C60="","",LN('Datos_fuente'!C60))</x:f>
        <x:v>5.0762981828955365</x:v>
      </x:c>
      <x:c r="E60" s="98" t="n">
        <x:f>IF(OR(D60="",D59=""),"",D60-D59)</x:f>
        <x:v>0.03003837782635177</x:v>
      </x:c>
      <x:c r="F60" s="98" t="n">
        <x:f>IF('Datos_fuente'!E60="","",LN('Datos_fuente'!E60))</x:f>
        <x:v>8.264025904795854</x:v>
      </x:c>
      <x:c r="G60" s="98" t="n">
        <x:f>IF(OR(F60="",F59=""),"",F60-F59)</x:f>
        <x:v>0.0015443341614886918</x:v>
      </x:c>
      <x:c r="H60" s="63" t="n">
        <x:f>'Datos_fuente'!H60</x:f>
        <x:v>2.82</x:v>
      </x:c>
      <x:c r="I60" s="63" t="n">
        <x:f>IF(OR(H60="",H59=""),"",H60-H59)</x:f>
        <x:v>-0.012258065000000151</x:v>
      </x:c>
      <x:c r="J60" s="63" t="n">
        <x:f>'Datos_fuente'!J60</x:f>
        <x:v>3.831127284</x:v>
      </x:c>
      <x:c r="K60" s="63" t="n">
        <x:f>IF(OR(J60="",J59=""),"",J60-J59)</x:f>
        <x:v>0.29272590900000006</x:v>
      </x:c>
      <x:c r="L60" s="98" t="n">
        <x:f>IF('Datos_fuente'!K60="","",LN('Datos_fuente'!K60))</x:f>
        <x:v>4.56497952619662</x:v>
      </x:c>
      <x:c r="M60" s="98" t="n">
        <x:f>IF(OR(L60="",L59=""),"",L60-L59)</x:f>
        <x:v>0.005532492471007622</x:v>
      </x:c>
      <x:c r="N60" s="98" t="n">
        <x:f>IF('Datos_fuente'!L60="","",LN('Datos_fuente'!L60))</x:f>
        <x:v>3.39840560962391</x:v>
      </x:c>
      <x:c r="O60" s="98" t="n">
        <x:f>IF(OR(N60="",N59=""),"",N60-N59)</x:f>
        <x:v>-0.06512473772555394</x:v>
      </x:c>
      <x:c r="P60" s="96" t="n">
        <x:f>'Datos_fuente'!M60</x:f>
        <x:v>0</x:v>
      </x:c>
      <x:c r="Q60" s="98" t="n">
        <x:f>IF('Datos_fuente'!N60="","",LN('Datos_fuente'!N60))</x:f>
        <x:v>10.181203376508057</x:v>
      </x:c>
      <x:c r="R60" s="98" t="n">
        <x:f>IF(OR(Q60="",Q59=""),"",Q60-Q59)</x:f>
        <x:v>0.01789864673260766</x:v>
      </x:c>
      <x:c r="S60" s="63" t="n">
        <x:f>'Datos_fuente'!P60</x:f>
        <x:v>2.230454545</x:v>
      </x:c>
      <x:c r="T60" s="63" t="n">
        <x:f>IF(OR(S60="",S59=""),"",S60-S59)</x:f>
        <x:v>-0.08002164499999997</x:v>
      </x:c>
      <x:c r="U60" s="98" t="n">
        <x:f>IF('Datos_fuente'!Q60="","",ASINH('Datos_fuente'!Q60/1000))</x:f>
        <x:v>-0.8721654934789171</x:v>
      </x:c>
      <x:c r="V60" s="98" t="n">
        <x:f>IF(OR(U60="",U59=""),"",U60-U59)</x:f>
        <x:v>-0.1670932581435477</x:v>
      </x:c>
      <x:c r="W60" s="98" t="n">
        <x:f>IF('Datos_fuente'!R60="","",ASINH('Datos_fuente'!R60/1000))</x:f>
        <x:v>1.2739081744397098</x:v>
      </x:c>
      <x:c r="X60" s="98" t="n">
        <x:f>IF(OR(W60="",W59=""),"",W60-W59)</x:f>
        <x:v>0.46995503660764226</x:v>
      </x:c>
      <x:c r="Y60" s="63" t="n">
        <x:f>'Datos_fuente'!W60</x:f>
        <x:v>2.179572251</x:v>
      </x:c>
      <x:c r="Z60" s="63" t="n">
        <x:f>IF(OR(Y60="",Y59=""),"",Y60-Y59)</x:f>
        <x:v>0.12180065600000001</x:v>
      </x:c>
      <x:c r="AA60" s="98" t="n">
        <x:f>'Datos_fuente'!AB60</x:f>
        <x:v>-0.06941040029</x:v>
      </x:c>
      <x:c r="AB60" s="98" t="n">
        <x:f>'Datos_fuente'!AC60</x:f>
        <x:v>-0.1021988389</x:v>
      </x:c>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t="str">
        <x:f>'Datos_fuente'!A61</x:f>
        <x:v>2010-07</x:v>
      </x:c>
      <x:c r="B61" s="98" t="n">
        <x:f>IF('Datos_fuente'!B61="","",LN('Datos_fuente'!B61))</x:f>
        <x:v>7.536049910436223</x:v>
      </x:c>
      <x:c r="C61" s="98" t="n">
        <x:f>IF(OR(B61="",B60=""),"",B61-B60)</x:f>
        <x:v>-0.02758983781523039</x:v>
      </x:c>
      <x:c r="D61" s="98" t="n">
        <x:f>IF('Datos_fuente'!C61="","",LN('Datos_fuente'!C61))</x:f>
        <x:v>5.047481395216918</x:v>
      </x:c>
      <x:c r="E61" s="98" t="n">
        <x:f>IF(OR(D61="",D60=""),"",D61-D60)</x:f>
        <x:v>-0.028816787678618283</x:v>
      </x:c>
      <x:c r="F61" s="98" t="n">
        <x:f>IF('Datos_fuente'!E61="","",LN('Datos_fuente'!E61))</x:f>
        <x:v>8.270988258830126</x:v>
      </x:c>
      <x:c r="G61" s="98" t="n">
        <x:f>IF(OR(F61="",F60=""),"",F61-F60)</x:f>
        <x:v>0.0069623540342718115</x:v>
      </x:c>
      <x:c r="H61" s="63" t="n">
        <x:f>'Datos_fuente'!H61</x:f>
        <x:v>2.82</x:v>
      </x:c>
      <x:c r="I61" s="63" t="n">
        <x:f>IF(OR(H61="",H60=""),"",H61-H60)</x:f>
        <x:v>0</x:v>
      </x:c>
      <x:c r="J61" s="63" t="n">
        <x:f>'Datos_fuente'!J61</x:f>
        <x:v>3.723117998</x:v>
      </x:c>
      <x:c r="K61" s="63" t="n">
        <x:f>IF(OR(J61="",J60=""),"",J61-J60)</x:f>
        <x:v>-0.1080092859999997</x:v>
      </x:c>
      <x:c r="L61" s="98" t="n">
        <x:f>IF('Datos_fuente'!K61="","",LN('Datos_fuente'!K61))</x:f>
        <x:v>4.548120253699101</x:v>
      </x:c>
      <x:c r="M61" s="98" t="n">
        <x:f>IF(OR(L61="",L60=""),"",L61-L60)</x:f>
        <x:v>-0.01685927249751895</x:v>
      </x:c>
      <x:c r="N61" s="98" t="n">
        <x:f>IF('Datos_fuente'!L61="","",LN('Datos_fuente'!L61))</x:f>
        <x:v>3.2412335420031626</x:v>
      </x:c>
      <x:c r="O61" s="98" t="n">
        <x:f>IF(OR(N61="",N60=""),"",N61-N60)</x:f>
        <x:v>-0.1571720676207473</x:v>
      </x:c>
      <x:c r="P61" s="96" t="n">
        <x:f>'Datos_fuente'!M61</x:f>
        <x:v>0</x:v>
      </x:c>
      <x:c r="Q61" s="98" t="n">
        <x:f>IF('Datos_fuente'!N61="","",LN('Datos_fuente'!N61))</x:f>
        <x:v>10.191107873081299</x:v>
      </x:c>
      <x:c r="R61" s="98" t="n">
        <x:f>IF(OR(Q61="",Q60=""),"",Q61-Q60)</x:f>
        <x:v>0.009904496573241772</x:v>
      </x:c>
      <x:c r="S61" s="63" t="n">
        <x:f>'Datos_fuente'!P61</x:f>
        <x:v>1.990454545</x:v>
      </x:c>
      <x:c r="T61" s="63" t="n">
        <x:f>IF(OR(S61="",S60=""),"",S61-S60)</x:f>
        <x:v>-0.2400000000000002</x:v>
      </x:c>
      <x:c r="U61" s="98" t="n">
        <x:f>IF('Datos_fuente'!Q61="","",ASINH('Datos_fuente'!Q61/1000))</x:f>
        <x:v>-0.9013971744695232</x:v>
      </x:c>
      <x:c r="V61" s="98" t="n">
        <x:f>IF(OR(U61="",U60=""),"",U61-U60)</x:f>
        <x:v>-0.029231680990606024</x:v>
      </x:c>
      <x:c r="W61" s="98" t="n">
        <x:f>IF('Datos_fuente'!R61="","",ASINH('Datos_fuente'!R61/1000))</x:f>
        <x:v>1.1139002031920278</x:v>
      </x:c>
      <x:c r="X61" s="98" t="n">
        <x:f>IF(OR(W61="",W60=""),"",W61-W60)</x:f>
        <x:v>-0.16000797124768207</x:v>
      </x:c>
      <x:c r="Y61" s="63" t="n">
        <x:f>'Datos_fuente'!W61</x:f>
        <x:v>2.609319058</x:v>
      </x:c>
      <x:c r="Z61" s="63" t="n">
        <x:f>IF(OR(Y61="",Y60=""),"",Y61-Y60)</x:f>
        <x:v>0.4297468069999999</x:v>
      </x:c>
      <x:c r="AA61" s="98" t="n">
        <x:f>'Datos_fuente'!AB61</x:f>
        <x:v>-0.3588252628</x:v>
      </x:c>
      <x:c r="AB61" s="98" t="n">
        <x:f>'Datos_fuente'!AC61</x:f>
        <x:v>-0.3732728373</x:v>
      </x:c>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t="str">
        <x:f>'Datos_fuente'!A62</x:f>
        <x:v>2010-08</x:v>
      </x:c>
      <x:c r="B62" s="98" t="n">
        <x:f>IF('Datos_fuente'!B62="","",LN('Datos_fuente'!B62))</x:f>
        <x:v>7.507251257622655</x:v>
      </x:c>
      <x:c r="C62" s="98" t="n">
        <x:f>IF(OR(B62="",B61=""),"",B62-B61)</x:f>
        <x:v>-0.02879865281356775</x:v>
      </x:c>
      <x:c r="D62" s="98" t="n">
        <x:f>IF('Datos_fuente'!C62="","",LN('Datos_fuente'!C62))</x:f>
        <x:v>5.068778408144967</x:v>
      </x:c>
      <x:c r="E62" s="98" t="n">
        <x:f>IF(OR(D62="",D61=""),"",D62-D61)</x:f>
        <x:v>0.02129701292804853</x:v>
      </x:c>
      <x:c r="F62" s="98" t="n">
        <x:f>IF('Datos_fuente'!E62="","",LN('Datos_fuente'!E62))</x:f>
        <x:v>8.279382603058624</x:v>
      </x:c>
      <x:c r="G62" s="98" t="n">
        <x:f>IF(OR(F62="",F61=""),"",F62-F61)</x:f>
        <x:v>0.008394344228497275</x:v>
      </x:c>
      <x:c r="H62" s="63" t="n">
        <x:f>'Datos_fuente'!H62</x:f>
        <x:v>2.81</x:v>
      </x:c>
      <x:c r="I62" s="63" t="n">
        <x:f>IF(OR(H62="",H61=""),"",H62-H61)</x:f>
        <x:v>-0.009999999999999787</x:v>
      </x:c>
      <x:c r="J62" s="63" t="n">
        <x:f>'Datos_fuente'!J62</x:f>
        <x:v>3.835619272</x:v>
      </x:c>
      <x:c r="K62" s="63" t="n">
        <x:f>IF(OR(J62="",J61=""),"",J62-J61)</x:f>
        <x:v>0.11250127399999998</x:v>
      </x:c>
      <x:c r="L62" s="98" t="n">
        <x:f>IF('Datos_fuente'!K62="","",LN('Datos_fuente'!K62))</x:f>
        <x:v>4.539908542874167</x:v>
      </x:c>
      <x:c r="M62" s="98" t="n">
        <x:f>IF(OR(L62="",L61=""),"",L62-L61)</x:f>
        <x:v>-0.008211710824934215</x:v>
      </x:c>
      <x:c r="N62" s="98" t="n">
        <x:f>IF('Datos_fuente'!L62="","",LN('Datos_fuente'!L62))</x:f>
        <x:v>3.2086601860599893</x:v>
      </x:c>
      <x:c r="O62" s="98" t="n">
        <x:f>IF(OR(N62="",N61=""),"",N62-N61)</x:f>
        <x:v>-0.03257335594317334</x:v>
      </x:c>
      <x:c r="P62" s="96" t="n">
        <x:f>'Datos_fuente'!M62</x:f>
        <x:v>0</x:v>
      </x:c>
      <x:c r="Q62" s="98" t="n">
        <x:f>IF('Datos_fuente'!N62="","",LN('Datos_fuente'!N62))</x:f>
        <x:v>10.192490002905203</x:v>
      </x:c>
      <x:c r="R62" s="98" t="n">
        <x:f>IF(OR(Q62="",Q61=""),"",Q62-Q61)</x:f>
        <x:v>0.0013821298239040658</x:v>
      </x:c>
      <x:c r="S62" s="63" t="n">
        <x:f>'Datos_fuente'!P62</x:f>
        <x:v>1.657727273</x:v>
      </x:c>
      <x:c r="T62" s="63" t="n">
        <x:f>IF(OR(S62="",S61=""),"",S62-S61)</x:f>
        <x:v>-0.3327272720000001</x:v>
      </x:c>
      <x:c r="U62" s="98" t="n">
        <x:f>IF('Datos_fuente'!Q62="","",ASINH('Datos_fuente'!Q62/1000))</x:f>
        <x:v>-0.8094391625900286</x:v>
      </x:c>
      <x:c r="V62" s="98" t="n">
        <x:f>IF(OR(U62="",U61=""),"",U62-U61)</x:f>
        <x:v>0.0919580118794946</x:v>
      </x:c>
      <x:c r="W62" s="98" t="n">
        <x:f>IF('Datos_fuente'!R62="","",ASINH('Datos_fuente'!R62/1000))</x:f>
        <x:v>0.8800789894220586</x:v>
      </x:c>
      <x:c r="X62" s="98" t="n">
        <x:f>IF(OR(W62="",W61=""),"",W62-W61)</x:f>
        <x:v>-0.23382121376996912</x:v>
      </x:c>
      <x:c r="Y62" s="63" t="n">
        <x:f>'Datos_fuente'!W62</x:f>
        <x:v>2.555228007</x:v>
      </x:c>
      <x:c r="Z62" s="63" t="n">
        <x:f>IF(OR(Y62="",Y61=""),"",Y62-Y61)</x:f>
        <x:v>-0.05409105099999989</x:v>
      </x:c>
      <x:c r="AA62" s="98" t="n">
        <x:f>'Datos_fuente'!AB62</x:f>
        <x:v>-0.740102386</x:v>
      </x:c>
      <x:c r="AB62" s="98" t="n">
        <x:f>'Datos_fuente'!AC62</x:f>
        <x:v>-0.7039985068</x:v>
      </x:c>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t="str">
        <x:f>'Datos_fuente'!A63</x:f>
        <x:v>2010-09</x:v>
      </x:c>
      <x:c r="B63" s="98" t="n">
        <x:f>IF('Datos_fuente'!B63="","",LN('Datos_fuente'!B63))</x:f>
        <x:v>7.498743664568723</x:v>
      </x:c>
      <x:c r="C63" s="98" t="n">
        <x:f>IF(OR(B63="",B62=""),"",B63-B62)</x:f>
        <x:v>-0.008507593053932005</x:v>
      </x:c>
      <x:c r="D63" s="98" t="n">
        <x:f>IF('Datos_fuente'!C63="","",LN('Datos_fuente'!C63))</x:f>
        <x:v>5.0672676436627295</x:v>
      </x:c>
      <x:c r="E63" s="98" t="n">
        <x:f>IF(OR(D63="",D62=""),"",D63-D62)</x:f>
        <x:v>-0.0015107644822371924</x:v>
      </x:c>
      <x:c r="F63" s="98" t="n">
        <x:f>IF('Datos_fuente'!E63="","",LN('Datos_fuente'!E63))</x:f>
        <x:v>8.283592655921735</x:v>
      </x:c>
      <x:c r="G63" s="98" t="n">
        <x:f>IF(OR(F63="",F62=""),"",F63-F62)</x:f>
        <x:v>0.004210052863111713</x:v>
      </x:c>
      <x:c r="H63" s="63" t="n">
        <x:f>'Datos_fuente'!H63</x:f>
        <x:v>2.81</x:v>
      </x:c>
      <x:c r="I63" s="63" t="n">
        <x:f>IF(OR(H63="",H62=""),"",H63-H62)</x:f>
        <x:v>0</x:v>
      </x:c>
      <x:c r="J63" s="63" t="n">
        <x:f>'Datos_fuente'!J63</x:f>
        <x:v>3.519088865</x:v>
      </x:c>
      <x:c r="K63" s="63" t="n">
        <x:f>IF(OR(J63="",J62=""),"",J63-J62)</x:f>
        <x:v>-0.3165304070000001</x:v>
      </x:c>
      <x:c r="L63" s="98" t="n">
        <x:f>IF('Datos_fuente'!K63="","",LN('Datos_fuente'!K63))</x:f>
        <x:v>4.530043490003716</x:v>
      </x:c>
      <x:c r="M63" s="98" t="n">
        <x:f>IF(OR(L63="",L62=""),"",L63-L62)</x:f>
        <x:v>-0.009865052870450697</x:v>
      </x:c>
      <x:c r="N63" s="98" t="n">
        <x:f>IF('Datos_fuente'!L63="","",LN('Datos_fuente'!L63))</x:f>
        <x:v>3.1142980716607855</x:v>
      </x:c>
      <x:c r="O63" s="98" t="n">
        <x:f>IF(OR(N63="",N62=""),"",N63-N62)</x:f>
        <x:v>-0.09436211439920372</x:v>
      </x:c>
      <x:c r="P63" s="96" t="n">
        <x:f>'Datos_fuente'!M63</x:f>
        <x:v>0</x:v>
      </x:c>
      <x:c r="Q63" s="98" t="n">
        <x:f>IF('Datos_fuente'!N63="","",LN('Datos_fuente'!N63))</x:f>
        <x:v>10.214131961024993</x:v>
      </x:c>
      <x:c r="R63" s="98" t="n">
        <x:f>IF(OR(Q63="",Q62=""),"",Q63-Q62)</x:f>
        <x:v>0.021641958119790417</x:v>
      </x:c>
      <x:c r="S63" s="63" t="n">
        <x:f>'Datos_fuente'!P63</x:f>
        <x:v>1.757727273</x:v>
      </x:c>
      <x:c r="T63" s="63" t="n">
        <x:f>IF(OR(S63="",S62=""),"",S63-S62)</x:f>
        <x:v>0.10000000000000009</x:v>
      </x:c>
      <x:c r="U63" s="98" t="n">
        <x:f>IF('Datos_fuente'!Q63="","",ASINH('Datos_fuente'!Q63/1000))</x:f>
        <x:v>-0.9637403444661807</x:v>
      </x:c>
      <x:c r="V63" s="98" t="n">
        <x:f>IF(OR(U63="",U62=""),"",U63-U62)</x:f>
        <x:v>-0.15430118187615216</x:v>
      </x:c>
      <x:c r="W63" s="98" t="n">
        <x:f>IF('Datos_fuente'!R63="","",ASINH('Datos_fuente'!R63/1000))</x:f>
        <x:v>1.308919600783264</x:v>
      </x:c>
      <x:c r="X63" s="98" t="n">
        <x:f>IF(OR(W63="",W62=""),"",W63-W62)</x:f>
        <x:v>0.4288406113612053</x:v>
      </x:c>
      <x:c r="Y63" s="63" t="n">
        <x:f>'Datos_fuente'!W63</x:f>
        <x:v>2.536659741</x:v>
      </x:c>
      <x:c r="Z63" s="63" t="n">
        <x:f>IF(OR(Y63="",Y62=""),"",Y63-Y62)</x:f>
        <x:v>-0.01856826600000039</x:v>
      </x:c>
      <x:c r="AA63" s="98" t="n">
        <x:f>'Datos_fuente'!AB63</x:f>
        <x:v>-0.6491606132</x:v>
      </x:c>
      <x:c r="AB63" s="98" t="n">
        <x:f>'Datos_fuente'!AC63</x:f>
        <x:v>-0.565376246</x:v>
      </x:c>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t="str">
        <x:f>'Datos_fuente'!A64</x:f>
        <x:v>2010-10</x:v>
      </x:c>
      <x:c r="B64" s="98" t="n">
        <x:f>IF('Datos_fuente'!B64="","",LN('Datos_fuente'!B64))</x:f>
        <x:v>7.500312268328317</x:v>
      </x:c>
      <x:c r="C64" s="98" t="n">
        <x:f>IF(OR(B64="",B63=""),"",B64-B63)</x:f>
        <x:v>0.0015686037595941116</x:v>
      </x:c>
      <x:c r="D64" s="98" t="n">
        <x:f>IF('Datos_fuente'!C64="","",LN('Datos_fuente'!C64))</x:f>
        <x:v>5.099500507224884</x:v>
      </x:c>
      <x:c r="E64" s="98" t="n">
        <x:f>IF(OR(D64="",D63=""),"",D64-D63)</x:f>
        <x:v>0.03223286356215471</x:v>
      </x:c>
      <x:c r="F64" s="98" t="n">
        <x:f>IF('Datos_fuente'!E64="","",LN('Datos_fuente'!E64))</x:f>
        <x:v>8.285818355841236</x:v>
      </x:c>
      <x:c r="G64" s="98" t="n">
        <x:f>IF(OR(F64="",F63=""),"",F64-F63)</x:f>
        <x:v>0.0022256999195011673</x:v>
      </x:c>
      <x:c r="H64" s="63" t="n">
        <x:f>'Datos_fuente'!H64</x:f>
        <x:v>2.81</x:v>
      </x:c>
      <x:c r="I64" s="63" t="n">
        <x:f>IF(OR(H64="",H63=""),"",H64-H63)</x:f>
        <x:v>0</x:v>
      </x:c>
      <x:c r="J64" s="63" t="n">
        <x:f>'Datos_fuente'!J64</x:f>
        <x:v>3.296175502</x:v>
      </x:c>
      <x:c r="K64" s="63" t="n">
        <x:f>IF(OR(J64="",J63=""),"",J64-J63)</x:f>
        <x:v>-0.22291336299999998</x:v>
      </x:c>
      <x:c r="L64" s="98" t="n">
        <x:f>IF('Datos_fuente'!K64="","",LN('Datos_fuente'!K64))</x:f>
        <x:v>4.5023522131050315</x:v>
      </x:c>
      <x:c r="M64" s="98" t="n">
        <x:f>IF(OR(L64="",L63=""),"",L64-L63)</x:f>
        <x:v>-0.027691276898684336</x:v>
      </x:c>
      <x:c r="N64" s="98" t="n">
        <x:f>IF('Datos_fuente'!L64="","",LN('Datos_fuente'!L64))</x:f>
        <x:v>3.014226856026543</x:v>
      </x:c>
      <x:c r="O64" s="98" t="n">
        <x:f>IF(OR(N64="",N63=""),"",N64-N63)</x:f>
        <x:v>-0.1000712156342427</x:v>
      </x:c>
      <x:c r="P64" s="96" t="n">
        <x:f>'Datos_fuente'!M64</x:f>
        <x:v>0</x:v>
      </x:c>
      <x:c r="Q64" s="98" t="n">
        <x:f>IF('Datos_fuente'!N64="","",LN('Datos_fuente'!N64))</x:f>
        <x:v>10.234188165334091</x:v>
      </x:c>
      <x:c r="R64" s="98" t="n">
        <x:f>IF(OR(Q64="",Q63=""),"",Q64-Q63)</x:f>
        <x:v>0.020056204309097936</x:v>
      </x:c>
      <x:c r="S64" s="63" t="n">
        <x:f>'Datos_fuente'!P64</x:f>
        <x:v>1.581428571</x:v>
      </x:c>
      <x:c r="T64" s="63" t="n">
        <x:f>IF(OR(S64="",S63=""),"",S64-S63)</x:f>
        <x:v>-0.17629870199999997</x:v>
      </x:c>
      <x:c r="U64" s="98" t="n">
        <x:f>IF('Datos_fuente'!Q64="","",ASINH('Datos_fuente'!Q64/1000))</x:f>
        <x:v>-0.8401031763536654</x:v>
      </x:c>
      <x:c r="V64" s="98" t="n">
        <x:f>IF(OR(U64="",U63=""),"",U64-U63)</x:f>
        <x:v>0.12363716811251535</x:v>
      </x:c>
      <x:c r="W64" s="98" t="n">
        <x:f>IF('Datos_fuente'!R64="","",ASINH('Datos_fuente'!R64/1000))</x:f>
        <x:v>1.2493701636733863</x:v>
      </x:c>
      <x:c r="X64" s="98" t="n">
        <x:f>IF(OR(W64="",W63=""),"",W64-W63)</x:f>
        <x:v>-0.0595494371098777</x:v>
      </x:c>
      <x:c r="Y64" s="63" t="n">
        <x:f>'Datos_fuente'!W64</x:f>
        <x:v>2.031929996</x:v>
      </x:c>
      <x:c r="Z64" s="63" t="n">
        <x:f>IF(OR(Y64="",Y63=""),"",Y64-Y63)</x:f>
        <x:v>-0.5047297449999997</x:v>
      </x:c>
      <x:c r="AA64" s="98" t="n">
        <x:f>'Datos_fuente'!AB64</x:f>
        <x:v>-0.8488139257</x:v>
      </x:c>
      <x:c r="AB64" s="98" t="n">
        <x:f>'Datos_fuente'!AC64</x:f>
        <x:v>-0.6266588473</x:v>
      </x:c>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t="str">
        <x:f>'Datos_fuente'!A65</x:f>
        <x:v>2010-11</x:v>
      </x:c>
      <x:c r="B65" s="98" t="n">
        <x:f>IF('Datos_fuente'!B65="","",LN('Datos_fuente'!B65))</x:f>
        <x:v>7.529940149984486</x:v>
      </x:c>
      <x:c r="C65" s="98" t="n">
        <x:f>IF(OR(B65="",B64=""),"",B65-B64)</x:f>
        <x:v>0.02962788165616903</x:v>
      </x:c>
      <x:c r="D65" s="98" t="n">
        <x:f>IF('Datos_fuente'!C65="","",LN('Datos_fuente'!C65))</x:f>
        <x:v>5.116195789756748</x:v>
      </x:c>
      <x:c r="E65" s="98" t="n">
        <x:f>IF(OR(D65="",D64=""),"",D65-D64)</x:f>
        <x:v>0.01669528253186403</x:v>
      </x:c>
      <x:c r="F65" s="98" t="n">
        <x:f>IF('Datos_fuente'!E65="","",LN('Datos_fuente'!E65))</x:f>
        <x:v>8.290852033201821</x:v>
      </x:c>
      <x:c r="G65" s="98" t="n">
        <x:f>IF(OR(F65="",F64=""),"",F65-F64)</x:f>
        <x:v>0.005033677360584576</x:v>
      </x:c>
      <x:c r="H65" s="63" t="n">
        <x:f>'Datos_fuente'!H65</x:f>
        <x:v>2.81</x:v>
      </x:c>
      <x:c r="I65" s="63" t="n">
        <x:f>IF(OR(H65="",H64=""),"",H65-H64)</x:f>
        <x:v>0</x:v>
      </x:c>
      <x:c r="J65" s="63" t="n">
        <x:f>'Datos_fuente'!J65</x:f>
        <x:v>3.142361823</x:v>
      </x:c>
      <x:c r="K65" s="63" t="n">
        <x:f>IF(OR(J65="",J64=""),"",J65-J64)</x:f>
        <x:v>-0.1538136790000002</x:v>
      </x:c>
      <x:c r="L65" s="98" t="n">
        <x:f>IF('Datos_fuente'!K65="","",LN('Datos_fuente'!K65))</x:f>
        <x:v>4.505455204272021</x:v>
      </x:c>
      <x:c r="M65" s="98" t="n">
        <x:f>IF(OR(L65="",L64=""),"",L65-L64)</x:f>
        <x:v>0.0031029911669895327</x:v>
      </x:c>
      <x:c r="N65" s="98" t="n">
        <x:f>IF('Datos_fuente'!L65="","",LN('Datos_fuente'!L65))</x:f>
        <x:v>3.0005065729275566</x:v>
      </x:c>
      <x:c r="O65" s="98" t="n">
        <x:f>IF(OR(N65="",N64=""),"",N65-N64)</x:f>
        <x:v>-0.013720283098986208</x:v>
      </x:c>
      <x:c r="P65" s="96" t="n">
        <x:f>'Datos_fuente'!M65</x:f>
        <x:v>0</x:v>
      </x:c>
      <x:c r="Q65" s="98" t="n">
        <x:f>IF('Datos_fuente'!N65="","",LN('Datos_fuente'!N65))</x:f>
        <x:v>10.235344153480753</x:v>
      </x:c>
      <x:c r="R65" s="98" t="n">
        <x:f>IF(OR(Q65="",Q64=""),"",Q65-Q64)</x:f>
        <x:v>0.001155988146662068</x:v>
      </x:c>
      <x:c r="S65" s="63" t="n">
        <x:f>'Datos_fuente'!P65</x:f>
        <x:v>1.516363636</x:v>
      </x:c>
      <x:c r="T65" s="63" t="n">
        <x:f>IF(OR(S65="",S64=""),"",S65-S64)</x:f>
        <x:v>-0.0650649350000001</x:v>
      </x:c>
      <x:c r="U65" s="98" t="n">
        <x:f>IF('Datos_fuente'!Q65="","",ASINH('Datos_fuente'!Q65/1000))</x:f>
        <x:v>-0.8347737549466689</x:v>
      </x:c>
      <x:c r="V65" s="98" t="n">
        <x:f>IF(OR(U65="",U64=""),"",U65-U64)</x:f>
        <x:v>0.005329421406996437</x:v>
      </x:c>
      <x:c r="W65" s="98" t="n">
        <x:f>IF('Datos_fuente'!R65="","",ASINH('Datos_fuente'!R65/1000))</x:f>
        <x:v>0.7781327718238205</x:v>
      </x:c>
      <x:c r="X65" s="98" t="n">
        <x:f>IF(OR(W65="",W64=""),"",W65-W64)</x:f>
        <x:v>-0.4712373918495658</x:v>
      </x:c>
      <x:c r="Y65" s="63" t="n">
        <x:f>'Datos_fuente'!W65</x:f>
        <x:v>2.075967952</x:v>
      </x:c>
      <x:c r="Z65" s="63" t="n">
        <x:f>IF(OR(Y65="",Y64=""),"",Y65-Y64)</x:f>
        <x:v>0.044037955999999934</x:v>
      </x:c>
      <x:c r="AA65" s="98" t="n">
        <x:f>'Datos_fuente'!AB65</x:f>
        <x:v>-0.1024320116</x:v>
      </x:c>
      <x:c r="AB65" s="98" t="n">
        <x:f>'Datos_fuente'!AC65</x:f>
        <x:v>0.02761029498</x:v>
      </x:c>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t="str">
        <x:f>'Datos_fuente'!A66</x:f>
        <x:v>2010-12</x:v>
      </x:c>
      <x:c r="B66" s="98" t="n">
        <x:f>IF('Datos_fuente'!B66="","",LN('Datos_fuente'!B66))</x:f>
        <x:v>7.5612939420024</x:v>
      </x:c>
      <x:c r="C66" s="98" t="n">
        <x:f>IF(OR(B66="",B65=""),"",B66-B65)</x:f>
        <x:v>0.03135379201791366</x:v>
      </x:c>
      <x:c r="D66" s="98" t="n">
        <x:f>IF('Datos_fuente'!C66="","",LN('Datos_fuente'!C66))</x:f>
        <x:v>5.1236067727554175</x:v>
      </x:c>
      <x:c r="E66" s="98" t="n">
        <x:f>IF(OR(D66="",D65=""),"",D66-D65)</x:f>
        <x:v>0.007410982998669269</x:v>
      </x:c>
      <x:c r="F66" s="98" t="n">
        <x:f>IF('Datos_fuente'!E66="","",LN('Datos_fuente'!E66))</x:f>
        <x:v>8.293134221233998</x:v>
      </x:c>
      <x:c r="G66" s="98" t="n">
        <x:f>IF(OR(F66="",F65=""),"",F66-F65)</x:f>
        <x:v>0.002282188032177501</x:v>
      </x:c>
      <x:c r="H66" s="63" t="n">
        <x:f>'Datos_fuente'!H66</x:f>
        <x:v>2.82</x:v>
      </x:c>
      <x:c r="I66" s="63" t="n">
        <x:f>IF(OR(H66="",H65=""),"",H66-H65)</x:f>
        <x:v>0.009999999999999787</x:v>
      </x:c>
      <x:c r="J66" s="63" t="n">
        <x:f>'Datos_fuente'!J66</x:f>
        <x:v>3.863366127</x:v>
      </x:c>
      <x:c r="K66" s="63" t="n">
        <x:f>IF(OR(J66="",J65=""),"",J66-J65)</x:f>
        <x:v>0.721004304</x:v>
      </x:c>
      <x:c r="L66" s="98" t="n">
        <x:f>IF('Datos_fuente'!K66="","",LN('Datos_fuente'!K66))</x:f>
        <x:v>4.512873646335186</x:v>
      </x:c>
      <x:c r="M66" s="98" t="n">
        <x:f>IF(OR(L66="",L65=""),"",L66-L65)</x:f>
        <x:v>0.007418442063165109</x:v>
      </x:c>
      <x:c r="N66" s="98" t="n">
        <x:f>IF('Datos_fuente'!L66="","",LN('Datos_fuente'!L66))</x:f>
        <x:v>2.8661670310618463</x:v>
      </x:c>
      <x:c r="O66" s="98" t="n">
        <x:f>IF(OR(N66="",N65=""),"",N66-N65)</x:f>
        <x:v>-0.1343395418657103</x:v>
      </x:c>
      <x:c r="P66" s="96" t="n">
        <x:f>'Datos_fuente'!M66</x:f>
        <x:v>0</x:v>
      </x:c>
      <x:c r="Q66" s="98" t="n">
        <x:f>IF('Datos_fuente'!N66="","",LN('Datos_fuente'!N66))</x:f>
        <x:v>10.255968112331338</x:v>
      </x:c>
      <x:c r="R66" s="98" t="n">
        <x:f>IF(OR(Q66="",Q65=""),"",Q66-Q65)</x:f>
        <x:v>0.02062395885058521</x:v>
      </x:c>
      <x:c r="S66" s="63" t="n">
        <x:f>'Datos_fuente'!P66</x:f>
        <x:v>1.607391304</x:v>
      </x:c>
      <x:c r="T66" s="63" t="n">
        <x:f>IF(OR(S66="",S65=""),"",S66-S65)</x:f>
        <x:v>0.09102766800000017</x:v>
      </x:c>
      <x:c r="U66" s="98" t="n">
        <x:f>IF('Datos_fuente'!Q66="","",ASINH('Datos_fuente'!Q66/1000))</x:f>
        <x:v>-0.9620942838629954</x:v>
      </x:c>
      <x:c r="V66" s="98" t="n">
        <x:f>IF(OR(U66="",U65=""),"",U66-U65)</x:f>
        <x:v>-0.1273205289163265</x:v>
      </x:c>
      <x:c r="W66" s="98" t="n">
        <x:f>IF('Datos_fuente'!R66="","",ASINH('Datos_fuente'!R66/1000))</x:f>
        <x:v>1.5118644407028943</x:v>
      </x:c>
      <x:c r="X66" s="98" t="n">
        <x:f>IF(OR(W66="",W65=""),"",W66-W65)</x:f>
        <x:v>0.7337316688790738</x:v>
      </x:c>
      <x:c r="Y66" s="63" t="n">
        <x:f>'Datos_fuente'!W66</x:f>
        <x:v>2.534343466</x:v>
      </x:c>
      <x:c r="Z66" s="63" t="n">
        <x:f>IF(OR(Y66="",Y65=""),"",Y66-Y65)</x:f>
        <x:v>0.4583755140000001</x:v>
      </x:c>
      <x:c r="AA66" s="98" t="n">
        <x:f>'Datos_fuente'!AB66</x:f>
        <x:v>-0.3956209811</x:v>
      </x:c>
      <x:c r="AB66" s="98" t="n">
        <x:f>'Datos_fuente'!AC66</x:f>
        <x:v>-0.2252961463</x:v>
      </x:c>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t="str">
        <x:f>'Datos_fuente'!A67</x:f>
        <x:v>2011-01</x:v>
      </x:c>
      <x:c r="B67" s="98" t="n">
        <x:f>IF('Datos_fuente'!B67="","",LN('Datos_fuente'!B67))</x:f>
        <x:v>7.532129264281685</x:v>
      </x:c>
      <x:c r="C67" s="98" t="n">
        <x:f>IF(OR(B67="",B66=""),"",B67-B66)</x:f>
        <x:v>-0.02916467772071485</x:v>
      </x:c>
      <x:c r="D67" s="98" t="n">
        <x:f>IF('Datos_fuente'!C67="","",LN('Datos_fuente'!C67))</x:f>
        <x:v>5.1253915313944445</x:v>
      </x:c>
      <x:c r="E67" s="98" t="n">
        <x:f>IF(OR(D67="",D66=""),"",D67-D66)</x:f>
        <x:v>0.0017847586390269399</x:v>
      </x:c>
      <x:c r="F67" s="98" t="n">
        <x:f>IF('Datos_fuente'!E67="","",LN('Datos_fuente'!E67))</x:f>
        <x:v>8.299634018395928</x:v>
      </x:c>
      <x:c r="G67" s="98" t="n">
        <x:f>IF(OR(F67="",F66=""),"",F67-F66)</x:f>
        <x:v>0.006499797161929166</x:v>
      </x:c>
      <x:c r="H67" s="63" t="n">
        <x:f>'Datos_fuente'!H67</x:f>
        <x:v>2.83</x:v>
      </x:c>
      <x:c r="I67" s="63" t="n">
        <x:f>IF(OR(H67="",H66=""),"",H67-H66)</x:f>
        <x:v>0.010000000000000231</x:v>
      </x:c>
      <x:c r="J67" s="63" t="n">
        <x:f>'Datos_fuente'!J67</x:f>
        <x:v>3.08770208</x:v>
      </x:c>
      <x:c r="K67" s="63" t="n">
        <x:f>IF(OR(J67="",J66=""),"",J67-J66)</x:f>
        <x:v>-0.7756640469999998</x:v>
      </x:c>
      <x:c r="L67" s="98" t="n">
        <x:f>IF('Datos_fuente'!K67="","",LN('Datos_fuente'!K67))</x:f>
        <x:v>4.501044685163174</x:v>
      </x:c>
      <x:c r="M67" s="98" t="n">
        <x:f>IF(OR(L67="",L66=""),"",L67-L66)</x:f>
        <x:v>-0.011828961172012598</x:v>
      </x:c>
      <x:c r="N67" s="98" t="n">
        <x:f>IF('Datos_fuente'!L67="","",LN('Datos_fuente'!L67))</x:f>
        <x:v>2.8516020541339673</x:v>
      </x:c>
      <x:c r="O67" s="98" t="n">
        <x:f>IF(OR(N67="",N66=""),"",N67-N66)</x:f>
        <x:v>-0.014564976927879059</x:v>
      </x:c>
      <x:c r="P67" s="96" t="n">
        <x:f>'Datos_fuente'!M67</x:f>
        <x:v>0</x:v>
      </x:c>
      <x:c r="Q67" s="98" t="n">
        <x:f>IF('Datos_fuente'!N67="","",LN('Datos_fuente'!N67))</x:f>
        <x:v>10.271465723632165</x:v>
      </x:c>
      <x:c r="R67" s="98" t="n">
        <x:f>IF(OR(Q67="",Q66=""),"",Q67-Q66)</x:f>
        <x:v>0.015497611300826719</x:v>
      </x:c>
      <x:c r="S67" s="63" t="n">
        <x:f>'Datos_fuente'!P67</x:f>
        <x:v>1.457619048</x:v>
      </x:c>
      <x:c r="T67" s="63" t="n">
        <x:f>IF(OR(S67="",S66=""),"",S67-S66)</x:f>
        <x:v>-0.1497722560000001</x:v>
      </x:c>
      <x:c r="U67" s="98" t="n">
        <x:f>IF('Datos_fuente'!Q67="","",ASINH('Datos_fuente'!Q67/1000))</x:f>
        <x:v>-1.0097935294643408</x:v>
      </x:c>
      <x:c r="V67" s="98" t="n">
        <x:f>IF(OR(U67="",U66=""),"",U67-U66)</x:f>
        <x:v>-0.04769924560134531</x:v>
      </x:c>
      <x:c r="W67" s="98" t="n">
        <x:f>IF('Datos_fuente'!R67="","",ASINH('Datos_fuente'!R67/1000))</x:f>
        <x:v>1.2830871584243702</x:v>
      </x:c>
      <x:c r="X67" s="98" t="n">
        <x:f>IF(OR(W67="",W66=""),"",W67-W66)</x:f>
        <x:v>-0.22877728227852412</x:v>
      </x:c>
      <x:c r="Y67" s="63" t="n">
        <x:f>'Datos_fuente'!W67</x:f>
        <x:v>2.88298499</x:v>
      </x:c>
      <x:c r="Z67" s="63" t="n">
        <x:f>IF(OR(Y67="",Y66=""),"",Y67-Y66)</x:f>
        <x:v>0.34864152400000004</x:v>
      </x:c>
      <x:c r="AA67" s="98" t="n">
        <x:f>'Datos_fuente'!AB67</x:f>
        <x:v>-0.02879319328</x:v>
      </x:c>
      <x:c r="AB67" s="98" t="n">
        <x:f>'Datos_fuente'!AC67</x:f>
        <x:v>-0.2258149193</x:v>
      </x:c>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t="str">
        <x:f>'Datos_fuente'!A68</x:f>
        <x:v>2011-02</x:v>
      </x:c>
      <x:c r="B68" s="98" t="n">
        <x:f>IF('Datos_fuente'!B68="","",LN('Datos_fuente'!B68))</x:f>
        <x:v>7.540287659333665</x:v>
      </x:c>
      <x:c r="C68" s="98" t="n">
        <x:f>IF(OR(B68="",B67=""),"",B68-B67)</x:f>
        <x:v>0.00815839505198035</x:v>
      </x:c>
      <x:c r="D68" s="98" t="n">
        <x:f>IF('Datos_fuente'!C68="","",LN('Datos_fuente'!C68))</x:f>
        <x:v>5.156350495102412</x:v>
      </x:c>
      <x:c r="E68" s="98" t="n">
        <x:f>IF(OR(D68="",D67=""),"",D68-D67)</x:f>
        <x:v>0.03095896370796769</x:v>
      </x:c>
      <x:c r="F68" s="98" t="n">
        <x:f>IF('Datos_fuente'!E68="","",LN('Datos_fuente'!E68))</x:f>
        <x:v>8.311223816044516</x:v>
      </x:c>
      <x:c r="G68" s="98" t="n">
        <x:f>IF(OR(F68="",F67=""),"",F68-F67)</x:f>
        <x:v>0.011589797648587918</x:v>
      </x:c>
      <x:c r="H68" s="63" t="n">
        <x:f>'Datos_fuente'!H68</x:f>
        <x:v>2.848928571</x:v>
      </x:c>
      <x:c r="I68" s="63" t="n">
        <x:f>IF(OR(H68="",H67=""),"",H68-H67)</x:f>
        <x:v>0.018928571000000005</x:v>
      </x:c>
      <x:c r="J68" s="63" t="n">
        <x:f>'Datos_fuente'!J68</x:f>
        <x:v>3.142188177</x:v>
      </x:c>
      <x:c r="K68" s="63" t="n">
        <x:f>IF(OR(J68="",J67=""),"",J68-J67)</x:f>
        <x:v>0.054486096999999845</x:v>
      </x:c>
      <x:c r="L68" s="98" t="n">
        <x:f>IF('Datos_fuente'!K68="","",LN('Datos_fuente'!K68))</x:f>
        <x:v>4.493083650956908</x:v>
      </x:c>
      <x:c r="M68" s="98" t="n">
        <x:f>IF(OR(L68="",L67=""),"",L68-L67)</x:f>
        <x:v>-0.00796103420626526</x:v>
      </x:c>
      <x:c r="N68" s="98" t="n">
        <x:f>IF('Datos_fuente'!L68="","",LN('Datos_fuente'!L68))</x:f>
        <x:v>2.8581928595319295</x:v>
      </x:c>
      <x:c r="O68" s="98" t="n">
        <x:f>IF(OR(N68="",N67=""),"",N68-N67)</x:f>
        <x:v>0.006590805397962196</x:v>
      </x:c>
      <x:c r="P68" s="96" t="n">
        <x:f>'Datos_fuente'!M68</x:f>
        <x:v>0</x:v>
      </x:c>
      <x:c r="Q68" s="98" t="n">
        <x:f>IF('Datos_fuente'!N68="","",LN('Datos_fuente'!N68))</x:f>
        <x:v>10.285748855895985</x:v>
      </x:c>
      <x:c r="R68" s="98" t="n">
        <x:f>IF(OR(Q68="",Q67=""),"",Q68-Q67)</x:f>
        <x:v>0.014283132263820164</x:v>
      </x:c>
      <x:c r="S68" s="63" t="n">
        <x:f>'Datos_fuente'!P68</x:f>
        <x:v>1.5095</x:v>
      </x:c>
      <x:c r="T68" s="63" t="n">
        <x:f>IF(OR(S68="",S67=""),"",S68-S67)</x:f>
        <x:v>0.05188095200000009</x:v>
      </x:c>
      <x:c r="U68" s="98" t="n">
        <x:f>IF('Datos_fuente'!Q68="","",ASINH('Datos_fuente'!Q68/1000))</x:f>
        <x:v>-0.7374556136068944</x:v>
      </x:c>
      <x:c r="V68" s="98" t="n">
        <x:f>IF(OR(U68="",U67=""),"",U68-U67)</x:f>
        <x:v>0.2723379158574464</x:v>
      </x:c>
      <x:c r="W68" s="98" t="n">
        <x:f>IF('Datos_fuente'!R68="","",ASINH('Datos_fuente'!R68/1000))</x:f>
        <x:v>0.9022613060960093</x:v>
      </x:c>
      <x:c r="X68" s="98" t="n">
        <x:f>IF(OR(W68="",W67=""),"",W68-W67)</x:f>
        <x:v>-0.38082585232836086</x:v>
      </x:c>
      <x:c r="Y68" s="63" t="n">
        <x:f>'Datos_fuente'!W68</x:f>
        <x:v>2.774668429</x:v>
      </x:c>
      <x:c r="Z68" s="63" t="n">
        <x:f>IF(OR(Y68="",Y67=""),"",Y68-Y67)</x:f>
        <x:v>-0.10831656100000009</x:v>
      </x:c>
      <x:c r="AA68" s="98" t="n">
        <x:f>'Datos_fuente'!AB68</x:f>
        <x:v>-0.6035450963</x:v>
      </x:c>
      <x:c r="AB68" s="98" t="n">
        <x:f>'Datos_fuente'!AC68</x:f>
        <x:v>-0.5679079487</x:v>
      </x:c>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t="str">
        <x:f>'Datos_fuente'!A69</x:f>
        <x:v>2011-03</x:v>
      </x:c>
      <x:c r="B69" s="98" t="n">
        <x:f>IF('Datos_fuente'!B69="","",LN('Datos_fuente'!B69))</x:f>
        <x:v>7.539991930076701</x:v>
      </x:c>
      <x:c r="C69" s="98" t="n">
        <x:f>IF(OR(B69="",B68=""),"",B69-B68)</x:f>
        <x:v>-0.00029572925696452756</x:v>
      </x:c>
      <x:c r="D69" s="98" t="n">
        <x:f>IF('Datos_fuente'!C69="","",LN('Datos_fuente'!C69))</x:f>
        <x:v>5.220193649766458</x:v>
      </x:c>
      <x:c r="E69" s="98" t="n">
        <x:f>IF(OR(D69="",D68=""),"",D69-D68)</x:f>
        <x:v>0.06384315466404544</x:v>
      </x:c>
      <x:c r="F69" s="98" t="n">
        <x:f>IF('Datos_fuente'!E69="","",LN('Datos_fuente'!E69))</x:f>
        <x:v>8.310727291704623</x:v>
      </x:c>
      <x:c r="G69" s="98" t="n">
        <x:f>IF(OR(F69="",F68=""),"",F69-F68)</x:f>
        <x:v>-0.0004965243398924457</x:v>
      </x:c>
      <x:c r="H69" s="63" t="n">
        <x:f>'Datos_fuente'!H69</x:f>
        <x:v>3.190645161</x:v>
      </x:c>
      <x:c r="I69" s="63" t="n">
        <x:f>IF(OR(H69="",H68=""),"",H69-H68)</x:f>
        <x:v>0.3417165899999999</x:v>
      </x:c>
      <x:c r="J69" s="63" t="n">
        <x:f>'Datos_fuente'!J69</x:f>
        <x:v>2.906603181</x:v>
      </x:c>
      <x:c r="K69" s="63" t="n">
        <x:f>IF(OR(J69="",J68=""),"",J69-J68)</x:f>
        <x:v>-0.23558499600000005</x:v>
      </x:c>
      <x:c r="L69" s="98" t="n">
        <x:f>IF('Datos_fuente'!K69="","",LN('Datos_fuente'!K69))</x:f>
        <x:v>4.482858203630055</x:v>
      </x:c>
      <x:c r="M69" s="98" t="n">
        <x:f>IF(OR(L69="",L68=""),"",L69-L68)</x:f>
        <x:v>-0.010225447326853043</x:v>
      </x:c>
      <x:c r="N69" s="98" t="n">
        <x:f>IF('Datos_fuente'!L69="","",LN('Datos_fuente'!L69))</x:f>
        <x:v>3.031267272993862</x:v>
      </x:c>
      <x:c r="O69" s="98" t="n">
        <x:f>IF(OR(N69="",N68=""),"",N69-N68)</x:f>
        <x:v>0.17307441346193242</x:v>
      </x:c>
      <x:c r="P69" s="96" t="n">
        <x:f>'Datos_fuente'!M69</x:f>
        <x:v>0</x:v>
      </x:c>
      <x:c r="Q69" s="98" t="n">
        <x:f>IF('Datos_fuente'!N69="","",LN('Datos_fuente'!N69))</x:f>
        <x:v>10.303826544532237</x:v>
      </x:c>
      <x:c r="R69" s="98" t="n">
        <x:f>IF(OR(Q69="",Q68=""),"",Q69-Q68)</x:f>
        <x:v>0.01807768863625192</x:v>
      </x:c>
      <x:c r="S69" s="63" t="n">
        <x:f>'Datos_fuente'!P69</x:f>
        <x:v>1.551304348</x:v>
      </x:c>
      <x:c r="T69" s="63" t="n">
        <x:f>IF(OR(S69="",S68=""),"",S69-S68)</x:f>
        <x:v>0.04180434799999988</x:v>
      </x:c>
      <x:c r="U69" s="98" t="n">
        <x:f>IF('Datos_fuente'!Q69="","",ASINH('Datos_fuente'!Q69/1000))</x:f>
        <x:v>-0.9999279385065671</x:v>
      </x:c>
      <x:c r="V69" s="98" t="n">
        <x:f>IF(OR(U69="",U68=""),"",U69-U68)</x:f>
        <x:v>-0.26247232489967276</x:v>
      </x:c>
      <x:c r="W69" s="98" t="n">
        <x:f>IF('Datos_fuente'!R69="","",ASINH('Datos_fuente'!R69/1000))</x:f>
        <x:v>1.4157565328993698</x:v>
      </x:c>
      <x:c r="X69" s="98" t="n">
        <x:f>IF(OR(W69="",W68=""),"",W69-W68)</x:f>
        <x:v>0.5134952268033605</x:v>
      </x:c>
      <x:c r="Y69" s="63" t="n">
        <x:f>'Datos_fuente'!W69</x:f>
        <x:v>2.183631076</x:v>
      </x:c>
      <x:c r="Z69" s="63" t="n">
        <x:f>IF(OR(Y69="",Y68=""),"",Y69-Y68)</x:f>
        <x:v>-0.5910373529999999</x:v>
      </x:c>
      <x:c r="AA69" s="98" t="n">
        <x:f>'Datos_fuente'!AB69</x:f>
        <x:v>-0.1036843936</x:v>
      </x:c>
      <x:c r="AB69" s="98" t="n">
        <x:f>'Datos_fuente'!AC69</x:f>
        <x:v>-0.009351239486</x:v>
      </x:c>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t="str">
        <x:f>'Datos_fuente'!A70</x:f>
        <x:v>2011-04</x:v>
      </x:c>
      <x:c r="B70" s="98" t="n">
        <x:f>IF('Datos_fuente'!B70="","",LN('Datos_fuente'!B70))</x:f>
        <x:v>7.500990407346822</x:v>
      </x:c>
      <x:c r="C70" s="98" t="n">
        <x:f>IF(OR(B70="",B69=""),"",B70-B69)</x:f>
        <x:v>-0.03900152272987878</x:v>
      </x:c>
      <x:c r="D70" s="98" t="n">
        <x:f>IF('Datos_fuente'!C70="","",LN('Datos_fuente'!C70))</x:f>
        <x:v>5.2626383740910185</x:v>
      </x:c>
      <x:c r="E70" s="98" t="n">
        <x:f>IF(OR(D70="",D69=""),"",D70-D69)</x:f>
        <x:v>0.04244472432456092</x:v>
      </x:c>
      <x:c r="F70" s="98" t="n">
        <x:f>IF('Datos_fuente'!E70="","",LN('Datos_fuente'!E70))</x:f>
        <x:v>8.308381447362207</x:v>
      </x:c>
      <x:c r="G70" s="98" t="n">
        <x:f>IF(OR(F70="",F69=""),"",F70-F69)</x:f>
        <x:v>-0.00234584434241647</x:v>
      </x:c>
      <x:c r="H70" s="63" t="n">
        <x:f>'Datos_fuente'!H70</x:f>
        <x:v>3.4</x:v>
      </x:c>
      <x:c r="I70" s="63" t="n">
        <x:f>IF(OR(H70="",H69=""),"",H70-H69)</x:f>
        <x:v>0.20935483899999996</x:v>
      </x:c>
      <x:c r="J70" s="63" t="n">
        <x:f>'Datos_fuente'!J70</x:f>
        <x:v>2.322726513</x:v>
      </x:c>
      <x:c r="K70" s="63" t="n">
        <x:f>IF(OR(J70="",J69=""),"",J70-J69)</x:f>
        <x:v>-0.5838766679999998</x:v>
      </x:c>
      <x:c r="L70" s="98" t="n">
        <x:f>IF('Datos_fuente'!K70="","",LN('Datos_fuente'!K70))</x:f>
        <x:v>4.465003878573409</x:v>
      </x:c>
      <x:c r="M70" s="98" t="n">
        <x:f>IF(OR(L70="",L69=""),"",L70-L69)</x:f>
        <x:v>-0.017854325056646303</x:v>
      </x:c>
      <x:c r="N70" s="98" t="n">
        <x:f>IF('Datos_fuente'!L70="","",LN('Datos_fuente'!L70))</x:f>
        <x:v>2.7877236098240514</x:v>
      </x:c>
      <x:c r="O70" s="98" t="n">
        <x:f>IF(OR(N70="",N69=""),"",N70-N69)</x:f>
        <x:v>-0.24354366316981046</x:v>
      </x:c>
      <x:c r="P70" s="96" t="n">
        <x:f>'Datos_fuente'!M70</x:f>
        <x:v>0</x:v>
      </x:c>
      <x:c r="Q70" s="98" t="n">
        <x:f>IF('Datos_fuente'!N70="","",LN('Datos_fuente'!N70))</x:f>
        <x:v>10.327300308402286</x:v>
      </x:c>
      <x:c r="R70" s="98" t="n">
        <x:f>IF(OR(Q70="",Q69=""),"",Q70-Q69)</x:f>
        <x:v>0.02347376387004907</x:v>
      </x:c>
      <x:c r="S70" s="63" t="n">
        <x:f>'Datos_fuente'!P70</x:f>
        <x:v>1.515238095</x:v>
      </x:c>
      <x:c r="T70" s="63" t="n">
        <x:f>IF(OR(S70="",S69=""),"",S70-S69)</x:f>
        <x:v>-0.03606625299999999</x:v>
      </x:c>
      <x:c r="U70" s="98" t="n">
        <x:f>IF('Datos_fuente'!Q70="","",ASINH('Datos_fuente'!Q70/1000))</x:f>
        <x:v>-1.020669998546239</x:v>
      </x:c>
      <x:c r="V70" s="98" t="n">
        <x:f>IF(OR(U70="",U69=""),"",U70-U69)</x:f>
        <x:v>-0.02074206003967194</x:v>
      </x:c>
      <x:c r="W70" s="98" t="n">
        <x:f>IF('Datos_fuente'!R70="","",ASINH('Datos_fuente'!R70/1000))</x:f>
        <x:v>1.5087015773700088</x:v>
      </x:c>
      <x:c r="X70" s="98" t="n">
        <x:f>IF(OR(W70="",W69=""),"",W70-W69)</x:f>
        <x:v>0.092945044470639</x:v>
      </x:c>
      <x:c r="Y70" s="63" t="n">
        <x:f>'Datos_fuente'!W70</x:f>
        <x:v>1.644251828</x:v>
      </x:c>
      <x:c r="Z70" s="63" t="n">
        <x:f>IF(OR(Y70="",Y69=""),"",Y70-Y69)</x:f>
        <x:v>-0.5393792480000001</x:v>
      </x:c>
      <x:c r="AA70" s="98" t="n">
        <x:f>'Datos_fuente'!AB70</x:f>
        <x:v>-1.065286415</x:v>
      </x:c>
      <x:c r="AB70" s="98" t="n">
        <x:f>'Datos_fuente'!AC70</x:f>
        <x:v>-0.5352875091</x:v>
      </x:c>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t="str">
        <x:f>'Datos_fuente'!A71</x:f>
        <x:v>2011-05</x:v>
      </x:c>
      <x:c r="B71" s="98" t="n">
        <x:f>IF('Datos_fuente'!B71="","",LN('Datos_fuente'!B71))</x:f>
        <x:v>7.495824520622356</x:v>
      </x:c>
      <x:c r="C71" s="98" t="n">
        <x:f>IF(OR(B71="",B70=""),"",B71-B70)</x:f>
        <x:v>-0.005165886724466162</x:v>
      </x:c>
      <x:c r="D71" s="98" t="n">
        <x:f>IF('Datos_fuente'!C71="","",LN('Datos_fuente'!C71))</x:f>
        <x:v>5.239044955082965</x:v>
      </x:c>
      <x:c r="E71" s="98" t="n">
        <x:f>IF(OR(D71="",D70=""),"",D71-D70)</x:f>
        <x:v>-0.023593419008053118</x:v>
      </x:c>
      <x:c r="F71" s="98" t="n">
        <x:f>IF('Datos_fuente'!E71="","",LN('Datos_fuente'!E71))</x:f>
        <x:v>8.313249144379608</x:v>
      </x:c>
      <x:c r="G71" s="98" t="n">
        <x:f>IF(OR(F71="",F70=""),"",F71-F70)</x:f>
        <x:v>0.004867697017401085</x:v>
      </x:c>
      <x:c r="H71" s="63" t="n">
        <x:f>'Datos_fuente'!H71</x:f>
        <x:v>3.66</x:v>
      </x:c>
      <x:c r="I71" s="63" t="n">
        <x:f>IF(OR(H71="",H70=""),"",H71-H70)</x:f>
        <x:v>0.26000000000000023</x:v>
      </x:c>
      <x:c r="J71" s="63" t="n">
        <x:f>'Datos_fuente'!J71</x:f>
        <x:v>2.01589302</x:v>
      </x:c>
      <x:c r="K71" s="63" t="n">
        <x:f>IF(OR(J71="",J70=""),"",J71-J70)</x:f>
        <x:v>-0.30683349300000007</x:v>
      </x:c>
      <x:c r="L71" s="98" t="n">
        <x:f>IF('Datos_fuente'!K71="","",LN('Datos_fuente'!K71))</x:f>
        <x:v>4.465291891584298</x:v>
      </x:c>
      <x:c r="M71" s="98" t="n">
        <x:f>IF(OR(L71="",L70=""),"",L71-L70)</x:f>
        <x:v>0.0002880130108886547</x:v>
      </x:c>
      <x:c r="N71" s="98" t="n">
        <x:f>IF('Datos_fuente'!L71="","",LN('Datos_fuente'!L71))</x:f>
        <x:v>2.827989640122792</x:v>
      </x:c>
      <x:c r="O71" s="98" t="n">
        <x:f>IF(OR(N71="",N70=""),"",N71-N70)</x:f>
        <x:v>0.04026603029874076</x:v>
      </x:c>
      <x:c r="P71" s="96" t="n">
        <x:f>'Datos_fuente'!M71</x:f>
        <x:v>0</x:v>
      </x:c>
      <x:c r="Q71" s="98" t="n">
        <x:f>IF('Datos_fuente'!N71="","",LN('Datos_fuente'!N71))</x:f>
        <x:v>10.335648144197643</x:v>
      </x:c>
      <x:c r="R71" s="98" t="n">
        <x:f>IF(OR(Q71="",Q70=""),"",Q71-Q70)</x:f>
        <x:v>0.008347835795357028</x:v>
      </x:c>
      <x:c r="S71" s="63" t="n">
        <x:f>'Datos_fuente'!P71</x:f>
        <x:v>1.475909091</x:v>
      </x:c>
      <x:c r="T71" s="63" t="n">
        <x:f>IF(OR(S71="",S70=""),"",S71-S70)</x:f>
        <x:v>-0.039329004000000056</x:v>
      </x:c>
      <x:c r="U71" s="98" t="n">
        <x:f>IF('Datos_fuente'!Q71="","",ASINH('Datos_fuente'!Q71/1000))</x:f>
        <x:v>-0.9755959459675599</x:v>
      </x:c>
      <x:c r="V71" s="98" t="n">
        <x:f>IF(OR(U71="",U70=""),"",U71-U70)</x:f>
        <x:v>0.045074052578679136</x:v>
      </x:c>
      <x:c r="W71" s="98" t="n">
        <x:f>IF('Datos_fuente'!R71="","",ASINH('Datos_fuente'!R71/1000))</x:f>
        <x:v>1.1613729991741142</x:v>
      </x:c>
      <x:c r="X71" s="98" t="n">
        <x:f>IF(OR(W71="",W70=""),"",W71-W70)</x:f>
        <x:v>-0.3473285781958946</x:v>
      </x:c>
      <x:c r="Y71" s="63" t="n">
        <x:f>'Datos_fuente'!W71</x:f>
        <x:v>1.775480524</x:v>
      </x:c>
      <x:c r="Z71" s="63" t="n">
        <x:f>IF(OR(Y71="",Y70=""),"",Y71-Y70)</x:f>
        <x:v>0.13122869599999998</x:v>
      </x:c>
      <x:c r="AA71" s="98" t="n">
        <x:f>'Datos_fuente'!AB71</x:f>
        <x:v>-0.0367921051</x:v>
      </x:c>
      <x:c r="AB71" s="98" t="n">
        <x:f>'Datos_fuente'!AC71</x:f>
        <x:v>-0.3234146804</x:v>
      </x:c>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t="str">
        <x:f>'Datos_fuente'!A72</x:f>
        <x:v>2011-06</x:v>
      </x:c>
      <x:c r="B72" s="98" t="n">
        <x:f>IF('Datos_fuente'!B72="","",LN('Datos_fuente'!B72))</x:f>
        <x:v>7.48614197618128</x:v>
      </x:c>
      <x:c r="C72" s="98" t="n">
        <x:f>IF(OR(B72="",B71=""),"",B72-B71)</x:f>
        <x:v>-0.009682544441075969</x:v>
      </x:c>
      <x:c r="D72" s="98" t="n">
        <x:f>IF('Datos_fuente'!C72="","",LN('Datos_fuente'!C72))</x:f>
        <x:v>5.224186317204961</x:v>
      </x:c>
      <x:c r="E72" s="98" t="n">
        <x:f>IF(OR(D72="",D71=""),"",D72-D71)</x:f>
        <x:v>-0.01485863787800401</x:v>
      </x:c>
      <x:c r="F72" s="98" t="n">
        <x:f>IF('Datos_fuente'!E72="","",LN('Datos_fuente'!E72))</x:f>
        <x:v>8.315101486798639</x:v>
      </x:c>
      <x:c r="G72" s="98" t="n">
        <x:f>IF(OR(F72="",F71=""),"",F72-F71)</x:f>
        <x:v>0.0018523424190313165</x:v>
      </x:c>
      <x:c r="H72" s="63" t="n">
        <x:f>'Datos_fuente'!H72</x:f>
        <x:v>4.001666667</x:v>
      </x:c>
      <x:c r="I72" s="63" t="n">
        <x:f>IF(OR(H72="",H71=""),"",H72-H71)</x:f>
        <x:v>0.34166666700000015</x:v>
      </x:c>
      <x:c r="J72" s="63" t="n">
        <x:f>'Datos_fuente'!J72</x:f>
        <x:v>1.400903244</x:v>
      </x:c>
      <x:c r="K72" s="63" t="n">
        <x:f>IF(OR(J72="",J71=""),"",J72-J71)</x:f>
        <x:v>-0.614989776</x:v>
      </x:c>
      <x:c r="L72" s="98" t="n">
        <x:f>IF('Datos_fuente'!K72="","",LN('Datos_fuente'!K72))</x:f>
        <x:v>4.465232655523247</x:v>
      </x:c>
      <x:c r="M72" s="98" t="n">
        <x:f>IF(OR(L72="",L71=""),"",L72-L71)</x:f>
        <x:v>-0.00005923606105096013</x:v>
      </x:c>
      <x:c r="N72" s="98" t="n">
        <x:f>IF('Datos_fuente'!L72="","",LN('Datos_fuente'!L72))</x:f>
        <x:v>2.952468854305278</x:v>
      </x:c>
      <x:c r="O72" s="98" t="n">
        <x:f>IF(OR(N72="",N71=""),"",N72-N71)</x:f>
        <x:v>0.12447921418248598</x:v>
      </x:c>
      <x:c r="P72" s="96" t="n">
        <x:f>'Datos_fuente'!M72</x:f>
        <x:v>0</x:v>
      </x:c>
      <x:c r="Q72" s="98" t="n">
        <x:f>IF('Datos_fuente'!N72="","",LN('Datos_fuente'!N72))</x:f>
        <x:v>10.34810382009672</x:v>
      </x:c>
      <x:c r="R72" s="98" t="n">
        <x:f>IF(OR(Q72="",Q71=""),"",Q72-Q71)</x:f>
        <x:v>0.012455675899076368</x:v>
      </x:c>
      <x:c r="S72" s="63" t="n">
        <x:f>'Datos_fuente'!P72</x:f>
        <x:v>1.446363636</x:v>
      </x:c>
      <x:c r="T72" s="63" t="n">
        <x:f>IF(OR(S72="",S71=""),"",S72-S71)</x:f>
        <x:v>-0.02954545499999983</x:v>
      </x:c>
      <x:c r="U72" s="98" t="n">
        <x:f>IF('Datos_fuente'!Q72="","",ASINH('Datos_fuente'!Q72/1000))</x:f>
        <x:v>-0.9918408856076459</x:v>
      </x:c>
      <x:c r="V72" s="98" t="n">
        <x:f>IF(OR(U72="",U71=""),"",U72-U71)</x:f>
        <x:v>-0.016244939640085998</x:v>
      </x:c>
      <x:c r="W72" s="98" t="n">
        <x:f>IF('Datos_fuente'!R72="","",ASINH('Datos_fuente'!R72/1000))</x:f>
        <x:v>1.3150809687991802</x:v>
      </x:c>
      <x:c r="X72" s="98" t="n">
        <x:f>IF(OR(W72="",W71=""),"",W72-W71)</x:f>
        <x:v>0.15370796962506605</x:v>
      </x:c>
      <x:c r="Y72" s="63" t="n">
        <x:f>'Datos_fuente'!W72</x:f>
        <x:v>1.817646179</x:v>
      </x:c>
      <x:c r="Z72" s="63" t="n">
        <x:f>IF(OR(Y72="",Y71=""),"",Y72-Y71)</x:f>
        <x:v>0.042165655000000024</x:v>
      </x:c>
      <x:c r="AA72" s="98" t="n">
        <x:f>'Datos_fuente'!AB72</x:f>
        <x:v>-0.06070425238</x:v>
      </x:c>
      <x:c r="AB72" s="98" t="n">
        <x:f>'Datos_fuente'!AC72</x:f>
        <x:v>-0.1198146521</x:v>
      </x:c>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t="str">
        <x:f>'Datos_fuente'!A73</x:f>
        <x:v>2011-07</x:v>
      </x:c>
      <x:c r="B73" s="98" t="n">
        <x:f>IF('Datos_fuente'!B73="","",LN('Datos_fuente'!B73))</x:f>
        <x:v>7.47397428673893</x:v>
      </x:c>
      <x:c r="C73" s="98" t="n">
        <x:f>IF(OR(B73="",B72=""),"",B73-B72)</x:f>
        <x:v>-0.012167689442350138</x:v>
      </x:c>
      <x:c r="D73" s="98" t="n">
        <x:f>IF('Datos_fuente'!C73="","",LN('Datos_fuente'!C73))</x:f>
        <x:v>5.222785303935599</x:v>
      </x:c>
      <x:c r="E73" s="98" t="n">
        <x:f>IF(OR(D73="",D72=""),"",D73-D72)</x:f>
        <x:v>-0.0014010132693620392</x:v>
      </x:c>
      <x:c r="F73" s="98" t="n">
        <x:f>IF('Datos_fuente'!E73="","",LN('Datos_fuente'!E73))</x:f>
        <x:v>8.30965966719053</x:v>
      </x:c>
      <x:c r="G73" s="98" t="n">
        <x:f>IF(OR(F73="",F72=""),"",F73-F72)</x:f>
        <x:v>-0.005441819608108744</x:v>
      </x:c>
      <x:c r="H73" s="63" t="n">
        <x:f>'Datos_fuente'!H73</x:f>
        <x:v>4.18</x:v>
      </x:c>
      <x:c r="I73" s="63" t="n">
        <x:f>IF(OR(H73="",H72=""),"",H73-H72)</x:f>
        <x:v>0.17833333299999943</x:v>
      </x:c>
      <x:c r="J73" s="63" t="n">
        <x:f>'Datos_fuente'!J73</x:f>
        <x:v>1.073446088</x:v>
      </x:c>
      <x:c r="K73" s="63" t="n">
        <x:f>IF(OR(J73="",J72=""),"",J73-J72)</x:f>
        <x:v>-0.3274571559999999</x:v>
      </x:c>
      <x:c r="L73" s="98" t="n">
        <x:f>IF('Datos_fuente'!K73="","",LN('Datos_fuente'!K73))</x:f>
        <x:v>4.4580358919889385</x:v>
      </x:c>
      <x:c r="M73" s="98" t="n">
        <x:f>IF(OR(L73="",L72=""),"",L73-L72)</x:f>
        <x:v>-0.007196763534308204</x:v>
      </x:c>
      <x:c r="N73" s="98" t="n">
        <x:f>IF('Datos_fuente'!L73="","",LN('Datos_fuente'!L73))</x:f>
        <x:v>2.956341545949072</x:v>
      </x:c>
      <x:c r="O73" s="98" t="n">
        <x:f>IF(OR(N73="",N72=""),"",N73-N72)</x:f>
        <x:v>0.0038726916437936687</x:v>
      </x:c>
      <x:c r="P73" s="96" t="n">
        <x:f>'Datos_fuente'!M73</x:f>
        <x:v>0</x:v>
      </x:c>
      <x:c r="Q73" s="98" t="n">
        <x:f>IF('Datos_fuente'!N73="","",LN('Datos_fuente'!N73))</x:f>
        <x:v>10.377999752883495</x:v>
      </x:c>
      <x:c r="R73" s="98" t="n">
        <x:f>IF(OR(Q73="",Q72=""),"",Q73-Q72)</x:f>
        <x:v>0.029895932786775603</x:v>
      </x:c>
      <x:c r="S73" s="63" t="n">
        <x:f>'Datos_fuente'!P73</x:f>
        <x:v>1.407142857</x:v>
      </x:c>
      <x:c r="T73" s="63" t="n">
        <x:f>IF(OR(S73="",S72=""),"",S73-S72)</x:f>
        <x:v>-0.039220779000000094</x:v>
      </x:c>
      <x:c r="U73" s="98" t="n">
        <x:f>IF('Datos_fuente'!Q73="","",ASINH('Datos_fuente'!Q73/1000))</x:f>
        <x:v>-0.7286652132588881</x:v>
      </x:c>
      <x:c r="V73" s="98" t="n">
        <x:f>IF(OR(U73="",U72=""),"",U73-U72)</x:f>
        <x:v>0.2631756723487578</x:v>
      </x:c>
      <x:c r="W73" s="98" t="n">
        <x:f>IF('Datos_fuente'!R73="","",ASINH('Datos_fuente'!R73/1000))</x:f>
        <x:v>1.3687906724544645</x:v>
      </x:c>
      <x:c r="X73" s="98" t="n">
        <x:f>IF(OR(W73="",W72=""),"",W73-W72)</x:f>
        <x:v>0.05370970365528427</x:v>
      </x:c>
      <x:c r="Y73" s="63" t="n">
        <x:f>'Datos_fuente'!W73</x:f>
        <x:v>1.509682321</x:v>
      </x:c>
      <x:c r="Z73" s="63" t="n">
        <x:f>IF(OR(Y73="",Y72=""),"",Y73-Y72)</x:f>
        <x:v>-0.3079638579999999</x:v>
      </x:c>
      <x:c r="AA73" s="98" t="n">
        <x:f>'Datos_fuente'!AB73</x:f>
        <x:v>-0.5802948451</x:v>
      </x:c>
      <x:c r="AB73" s="98" t="n">
        <x:f>'Datos_fuente'!AC73</x:f>
        <x:v>-0.5965692081</x:v>
      </x:c>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t="str">
        <x:f>'Datos_fuente'!A74</x:f>
        <x:v>2011-08</x:v>
      </x:c>
      <x:c r="B74" s="98" t="n">
        <x:f>IF('Datos_fuente'!B74="","",LN('Datos_fuente'!B74))</x:f>
        <x:v>7.487487370502384</x:v>
      </x:c>
      <x:c r="C74" s="98" t="n">
        <x:f>IF(OR(B74="",B73=""),"",B74-B73)</x:f>
        <x:v>0.013513083763454503</x:v>
      </x:c>
      <x:c r="D74" s="98" t="n">
        <x:f>IF('Datos_fuente'!C74="","",LN('Datos_fuente'!C74))</x:f>
        <x:v>5.1966168117216975</x:v>
      </x:c>
      <x:c r="E74" s="98" t="n">
        <x:f>IF(OR(D74="",D73=""),"",D74-D73)</x:f>
        <x:v>-0.02616849221390183</x:v>
      </x:c>
      <x:c r="F74" s="98" t="n">
        <x:f>IF('Datos_fuente'!E74="","",LN('Datos_fuente'!E74))</x:f>
        <x:v>8.317663622399355</x:v>
      </x:c>
      <x:c r="G74" s="98" t="n">
        <x:f>IF(OR(F74="",F73=""),"",F74-F73)</x:f>
        <x:v>0.008003955208824465</x:v>
      </x:c>
      <x:c r="H74" s="63" t="n">
        <x:f>'Datos_fuente'!H74</x:f>
        <x:v>4.4</x:v>
      </x:c>
      <x:c r="I74" s="63" t="n">
        <x:f>IF(OR(H74="",H73=""),"",H74-H73)</x:f>
        <x:v>0.22000000000000064</x:v>
      </x:c>
      <x:c r="J74" s="63" t="n">
        <x:f>'Datos_fuente'!J74</x:f>
        <x:v>1.627614564</x:v>
      </x:c>
      <x:c r="K74" s="63" t="n">
        <x:f>IF(OR(J74="",J73=""),"",J74-J73)</x:f>
        <x:v>0.5541684759999999</x:v>
      </x:c>
      <x:c r="L74" s="98" t="n">
        <x:f>IF('Datos_fuente'!K74="","",LN('Datos_fuente'!K74))</x:f>
        <x:v>4.464737818948532</x:v>
      </x:c>
      <x:c r="M74" s="98" t="n">
        <x:f>IF(OR(L74="",L73=""),"",L74-L73)</x:f>
        <x:v>0.006701926959593152</x:v>
      </x:c>
      <x:c r="N74" s="98" t="n">
        <x:f>IF('Datos_fuente'!L74="","",LN('Datos_fuente'!L74))</x:f>
        <x:v>3.5561800133214967</x:v>
      </x:c>
      <x:c r="O74" s="98" t="n">
        <x:f>IF(OR(N74="",N73=""),"",N74-N73)</x:f>
        <x:v>0.5998384673724249</x:v>
      </x:c>
      <x:c r="P74" s="96" t="n">
        <x:f>'Datos_fuente'!M74</x:f>
        <x:v>0</x:v>
      </x:c>
      <x:c r="Q74" s="98" t="n">
        <x:f>IF('Datos_fuente'!N74="","",LN('Datos_fuente'!N74))</x:f>
        <x:v>10.384532192380053</x:v>
      </x:c>
      <x:c r="R74" s="98" t="n">
        <x:f>IF(OR(Q74="",Q73=""),"",Q74-Q73)</x:f>
        <x:v>0.00653243949655824</x:v>
      </x:c>
      <x:c r="S74" s="63" t="n">
        <x:f>'Datos_fuente'!P74</x:f>
        <x:v>1.70826087</x:v>
      </x:c>
      <x:c r="T74" s="63" t="n">
        <x:f>IF(OR(S74="",S73=""),"",S74-S73)</x:f>
        <x:v>0.30111801299999996</x:v>
      </x:c>
      <x:c r="U74" s="98" t="n">
        <x:f>IF('Datos_fuente'!Q74="","",ASINH('Datos_fuente'!Q74/1000))</x:f>
        <x:v>-0.7555000281136546</x:v>
      </x:c>
      <x:c r="V74" s="98" t="n">
        <x:f>IF(OR(U74="",U73=""),"",U74-U73)</x:f>
        <x:v>-0.026834814854766464</x:v>
      </x:c>
      <x:c r="W74" s="98" t="n">
        <x:f>IF('Datos_fuente'!R74="","",ASINH('Datos_fuente'!R74/1000))</x:f>
        <x:v>0.7918385268650455</x:v>
      </x:c>
      <x:c r="X74" s="98" t="n">
        <x:f>IF(OR(W74="",W73=""),"",W74-W73)</x:f>
        <x:v>-0.576952145589419</x:v>
      </x:c>
      <x:c r="Y74" s="63" t="n">
        <x:f>'Datos_fuente'!W74</x:f>
        <x:v>1.656193041</x:v>
      </x:c>
      <x:c r="Z74" s="63" t="n">
        <x:f>IF(OR(Y74="",Y73=""),"",Y74-Y73)</x:f>
        <x:v>0.14651071999999998</x:v>
      </x:c>
      <x:c r="AA74" s="98" t="n">
        <x:f>'Datos_fuente'!AB74</x:f>
        <x:v>0.7798503499</x:v>
      </x:c>
      <x:c r="AB74" s="98" t="n">
        <x:f>'Datos_fuente'!AC74</x:f>
        <x:v>0.5735079299</x:v>
      </x:c>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t="str">
        <x:f>'Datos_fuente'!A75</x:f>
        <x:v>2011-09</x:v>
      </x:c>
      <x:c r="B75" s="98" t="n">
        <x:f>IF('Datos_fuente'!B75="","",LN('Datos_fuente'!B75))</x:f>
        <x:v>7.513883628161032</x:v>
      </x:c>
      <x:c r="C75" s="98" t="n">
        <x:f>IF(OR(B75="",B74=""),"",B75-B74)</x:f>
        <x:v>0.02639625765864828</x:v>
      </x:c>
      <x:c r="D75" s="98" t="n">
        <x:f>IF('Datos_fuente'!C75="","",LN('Datos_fuente'!C75))</x:f>
        <x:v>5.229449487249236</x:v>
      </x:c>
      <x:c r="E75" s="98" t="n">
        <x:f>IF(OR(D75="",D74=""),"",D75-D74)</x:f>
        <x:v>0.03283267552753877</x:v>
      </x:c>
      <x:c r="F75" s="98" t="n">
        <x:f>IF('Datos_fuente'!E75="","",LN('Datos_fuente'!E75))</x:f>
        <x:v>8.319863574995008</x:v>
      </x:c>
      <x:c r="G75" s="98" t="n">
        <x:f>IF(OR(F75="",F74=""),"",F75-F74)</x:f>
        <x:v>0.0021999525956530874</x:v>
      </x:c>
      <x:c r="H75" s="63" t="n">
        <x:f>'Datos_fuente'!H75</x:f>
        <x:v>4.42</x:v>
      </x:c>
      <x:c r="I75" s="63" t="n">
        <x:f>IF(OR(H75="",H74=""),"",H75-H74)</x:f>
        <x:v>0.019999999999999574</x:v>
      </x:c>
      <x:c r="J75" s="63" t="n">
        <x:f>'Datos_fuente'!J75</x:f>
        <x:v>1.490459654</x:v>
      </x:c>
      <x:c r="K75" s="63" t="n">
        <x:f>IF(OR(J75="",J74=""),"",J75-J74)</x:f>
        <x:v>-0.13715491000000002</x:v>
      </x:c>
      <x:c r="L75" s="98" t="n">
        <x:f>IF('Datos_fuente'!K75="","",LN('Datos_fuente'!K75))</x:f>
        <x:v>4.496752409110614</x:v>
      </x:c>
      <x:c r="M75" s="98" t="n">
        <x:f>IF(OR(L75="",L74=""),"",L75-L74)</x:f>
        <x:v>0.03201459016208208</x:v>
      </x:c>
      <x:c r="N75" s="98" t="n">
        <x:f>IF('Datos_fuente'!L75="","",LN('Datos_fuente'!L75))</x:f>
        <x:v>3.5981338408071912</x:v>
      </x:c>
      <x:c r="O75" s="98" t="n">
        <x:f>IF(OR(N75="",N74=""),"",N75-N74)</x:f>
        <x:v>0.04195382748569454</x:v>
      </x:c>
      <x:c r="P75" s="96" t="n">
        <x:f>'Datos_fuente'!M75</x:f>
        <x:v>0</x:v>
      </x:c>
      <x:c r="Q75" s="98" t="n">
        <x:f>IF('Datos_fuente'!N75="","",LN('Datos_fuente'!N75))</x:f>
        <x:v>10.386965925776313</x:v>
      </x:c>
      <x:c r="R75" s="98" t="n">
        <x:f>IF(OR(Q75="",Q74=""),"",Q75-Q74)</x:f>
        <x:v>0.0024337333962591856</x:v>
      </x:c>
      <x:c r="S75" s="63" t="n">
        <x:f>'Datos_fuente'!P75</x:f>
        <x:v>2.148181818</x:v>
      </x:c>
      <x:c r="T75" s="63" t="n">
        <x:f>IF(OR(S75="",S74=""),"",S75-S74)</x:f>
        <x:v>0.4399209479999999</x:v>
      </x:c>
      <x:c r="U75" s="98" t="n">
        <x:f>IF('Datos_fuente'!Q75="","",ASINH('Datos_fuente'!Q75/1000))</x:f>
        <x:v>-0.5472957231778587</x:v>
      </x:c>
      <x:c r="V75" s="98" t="n">
        <x:f>IF(OR(U75="",U74=""),"",U75-U74)</x:f>
        <x:v>0.2082043049357959</x:v>
      </x:c>
      <x:c r="W75" s="98" t="n">
        <x:f>IF('Datos_fuente'!R75="","",ASINH('Datos_fuente'!R75/1000))</x:f>
        <x:v>0.5651170010116018</x:v>
      </x:c>
      <x:c r="X75" s="98" t="n">
        <x:f>IF(OR(W75="",W74=""),"",W75-W74)</x:f>
        <x:v>-0.22672152585344374</x:v>
      </x:c>
      <x:c r="Y75" s="63" t="n">
        <x:f>'Datos_fuente'!W75</x:f>
        <x:v>1.780298739</x:v>
      </x:c>
      <x:c r="Z75" s="63" t="n">
        <x:f>IF(OR(Y75="",Y74=""),"",Y75-Y74)</x:f>
        <x:v>0.12410569799999993</x:v>
      </x:c>
      <x:c r="AA75" s="98" t="n">
        <x:f>'Datos_fuente'!AB75</x:f>
        <x:v>2.031721955</x:v>
      </x:c>
      <x:c r="AB75" s="98" t="n">
        <x:f>'Datos_fuente'!AC75</x:f>
        <x:v>1.560226337</x:v>
      </x:c>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t="str">
        <x:f>'Datos_fuente'!A76</x:f>
        <x:v>2011-10</x:v>
      </x:c>
      <x:c r="B76" s="98" t="n">
        <x:f>IF('Datos_fuente'!B76="","",LN('Datos_fuente'!B76))</x:f>
        <x:v>7.55360592115809</x:v>
      </x:c>
      <x:c r="C76" s="98" t="n">
        <x:f>IF(OR(B76="",B75=""),"",B76-B75)</x:f>
        <x:v>0.039722292997057984</x:v>
      </x:c>
      <x:c r="D76" s="98" t="n">
        <x:f>IF('Datos_fuente'!C76="","",LN('Datos_fuente'!C76))</x:f>
        <x:v>5.222191976158546</x:v>
      </x:c>
      <x:c r="E76" s="98" t="n">
        <x:f>IF(OR(D76="",D75=""),"",D76-D75)</x:f>
        <x:v>-0.007257511090690727</x:v>
      </x:c>
      <x:c r="F76" s="98" t="n">
        <x:f>IF('Datos_fuente'!E76="","",LN('Datos_fuente'!E76))</x:f>
        <x:v>8.321669670936402</x:v>
      </x:c>
      <x:c r="G76" s="98" t="n">
        <x:f>IF(OR(F76="",F75=""),"",F76-F75)</x:f>
        <x:v>0.0018060959413936928</x:v>
      </x:c>
      <x:c r="H76" s="63" t="n">
        <x:f>'Datos_fuente'!H76</x:f>
        <x:v>4.43</x:v>
      </x:c>
      <x:c r="I76" s="63" t="n">
        <x:f>IF(OR(H76="",H75=""),"",H76-H75)</x:f>
        <x:v>0.009999999999999787</x:v>
      </x:c>
      <x:c r="J76" s="63" t="n">
        <x:f>'Datos_fuente'!J76</x:f>
        <x:v>1.604418414</x:v>
      </x:c>
      <x:c r="K76" s="63" t="n">
        <x:f>IF(OR(J76="",J75=""),"",J76-J75)</x:f>
        <x:v>0.11395876000000005</x:v>
      </x:c>
      <x:c r="L76" s="98" t="n">
        <x:f>IF('Datos_fuente'!K76="","",LN('Datos_fuente'!K76))</x:f>
        <x:v>4.50656287160454</x:v>
      </x:c>
      <x:c r="M76" s="98" t="n">
        <x:f>IF(OR(L76="",L75=""),"",L76-L75)</x:f>
        <x:v>0.009810462493926586</x:v>
      </x:c>
      <x:c r="N76" s="98" t="n">
        <x:f>IF('Datos_fuente'!L76="","",LN('Datos_fuente'!L76))</x:f>
        <x:v>3.491313721650136</x:v>
      </x:c>
      <x:c r="O76" s="98" t="n">
        <x:f>IF(OR(N76="",N75=""),"",N76-N75)</x:f>
        <x:v>-0.10682011915705525</x:v>
      </x:c>
      <x:c r="P76" s="96" t="n">
        <x:f>'Datos_fuente'!M76</x:f>
        <x:v>0</x:v>
      </x:c>
      <x:c r="Q76" s="98" t="n">
        <x:f>IF('Datos_fuente'!N76="","",LN('Datos_fuente'!N76))</x:f>
        <x:v>10.39632291767322</x:v>
      </x:c>
      <x:c r="R76" s="98" t="n">
        <x:f>IF(OR(Q76="",Q75=""),"",Q76-Q75)</x:f>
        <x:v>0.009356991896908085</x:v>
      </x:c>
      <x:c r="S76" s="63" t="n">
        <x:f>'Datos_fuente'!P76</x:f>
        <x:v>2.070952381</x:v>
      </x:c>
      <x:c r="T76" s="63" t="n">
        <x:f>IF(OR(S76="",S75=""),"",S76-S75)</x:f>
        <x:v>-0.07722943699999973</x:v>
      </x:c>
      <x:c r="U76" s="98" t="n">
        <x:f>IF('Datos_fuente'!Q76="","",ASINH('Datos_fuente'!Q76/1000))</x:f>
        <x:v>-0.7103455948834508</x:v>
      </x:c>
      <x:c r="V76" s="98" t="n">
        <x:f>IF(OR(U76="",U75=""),"",U76-U75)</x:f>
        <x:v>-0.16304987170559215</x:v>
      </x:c>
      <x:c r="W76" s="98" t="n">
        <x:f>IF('Datos_fuente'!R76="","",ASINH('Datos_fuente'!R76/1000))</x:f>
        <x:v>0.9875039272228813</x:v>
      </x:c>
      <x:c r="X76" s="98" t="n">
        <x:f>IF(OR(W76="",W75=""),"",W76-W75)</x:f>
        <x:v>0.4223869262112795</x:v>
      </x:c>
      <x:c r="Y76" s="63" t="n">
        <x:f>'Datos_fuente'!W76</x:f>
        <x:v>2.032822071</x:v>
      </x:c>
      <x:c r="Z76" s="63" t="n">
        <x:f>IF(OR(Y76="",Y75=""),"",Y76-Y75)</x:f>
        <x:v>0.252523332</x:v>
      </x:c>
      <x:c r="AA76" s="98" t="n">
        <x:f>'Datos_fuente'!AB76</x:f>
        <x:v>0.9328167599</x:v>
      </x:c>
      <x:c r="AB76" s="98" t="n">
        <x:f>'Datos_fuente'!AC76</x:f>
        <x:v>0.6064194266</x:v>
      </x:c>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t="str">
        <x:f>'Datos_fuente'!A77</x:f>
        <x:v>2011-11</x:v>
      </x:c>
      <x:c r="B77" s="98" t="n">
        <x:f>IF('Datos_fuente'!B77="","",LN('Datos_fuente'!B77))</x:f>
        <x:v>7.559806990130978</x:v>
      </x:c>
      <x:c r="C77" s="98" t="n">
        <x:f>IF(OR(B77="",B76=""),"",B77-B76)</x:f>
        <x:v>0.006201068972887747</x:v>
      </x:c>
      <x:c r="D77" s="98" t="n">
        <x:f>IF('Datos_fuente'!C77="","",LN('Datos_fuente'!C77))</x:f>
        <x:v>5.2552010754744085</x:v>
      </x:c>
      <x:c r="E77" s="98" t="n">
        <x:f>IF(OR(D77="",D76=""),"",D77-D76)</x:f>
        <x:v>0.03300909931586293</x:v>
      </x:c>
      <x:c r="F77" s="98" t="n">
        <x:f>IF('Datos_fuente'!E77="","",LN('Datos_fuente'!E77))</x:f>
        <x:v>8.319995126055279</x:v>
      </x:c>
      <x:c r="G77" s="98" t="n">
        <x:f>IF(OR(F77="",F76=""),"",F77-F76)</x:f>
        <x:v>-0.0016745448811228414</x:v>
      </x:c>
      <x:c r="H77" s="63" t="n">
        <x:f>'Datos_fuente'!H77</x:f>
        <x:v>4.445</x:v>
      </x:c>
      <x:c r="I77" s="63" t="n">
        <x:f>IF(OR(H77="",H76=""),"",H77-H76)</x:f>
        <x:v>0.015000000000000568</x:v>
      </x:c>
      <x:c r="J77" s="63" t="n">
        <x:f>'Datos_fuente'!J77</x:f>
        <x:v>2.652862846</x:v>
      </x:c>
      <x:c r="K77" s="63" t="n">
        <x:f>IF(OR(J77="",J76=""),"",J77-J76)</x:f>
        <x:v>1.0484444320000001</x:v>
      </x:c>
      <x:c r="L77" s="98" t="n">
        <x:f>IF('Datos_fuente'!K77="","",LN('Datos_fuente'!K77))</x:f>
        <x:v>4.51376604766153</x:v>
      </x:c>
      <x:c r="M77" s="98" t="n">
        <x:f>IF(OR(L77="",L76=""),"",L77-L76)</x:f>
        <x:v>0.007203176056989946</x:v>
      </x:c>
      <x:c r="N77" s="98" t="n">
        <x:f>IF('Datos_fuente'!L77="","",LN('Datos_fuente'!L77))</x:f>
        <x:v>3.463918776575424</x:v>
      </x:c>
      <x:c r="O77" s="98" t="n">
        <x:f>IF(OR(N77="",N76=""),"",N77-N76)</x:f>
        <x:v>-0.027394945074711963</x:v>
      </x:c>
      <x:c r="P77" s="96" t="n">
        <x:f>'Datos_fuente'!M77</x:f>
        <x:v>0</x:v>
      </x:c>
      <x:c r="Q77" s="98" t="n">
        <x:f>IF('Datos_fuente'!N77="","",LN('Datos_fuente'!N77))</x:f>
        <x:v>10.391728859693087</x:v>
      </x:c>
      <x:c r="R77" s="98" t="n">
        <x:f>IF(OR(Q77="",Q76=""),"",Q77-Q76)</x:f>
        <x:v>-0.00459405798013357</x:v>
      </x:c>
      <x:c r="S77" s="63" t="n">
        <x:f>'Datos_fuente'!P77</x:f>
        <x:v>1.970454545</x:v>
      </x:c>
      <x:c r="T77" s="63" t="n">
        <x:f>IF(OR(S77="",S76=""),"",S77-S76)</x:f>
        <x:v>-0.10049783600000017</x:v>
      </x:c>
      <x:c r="U77" s="98" t="n">
        <x:f>IF('Datos_fuente'!Q77="","",ASINH('Datos_fuente'!Q77/1000))</x:f>
        <x:v>-0.5019897214048097</x:v>
      </x:c>
      <x:c r="V77" s="98" t="n">
        <x:f>IF(OR(U77="",U76=""),"",U77-U76)</x:f>
        <x:v>0.20835587347864115</x:v>
      </x:c>
      <x:c r="W77" s="98" t="n">
        <x:f>IF('Datos_fuente'!R77="","",ASINH('Datos_fuente'!R77/1000))</x:f>
        <x:v>0.23771485348379873</x:v>
      </x:c>
      <x:c r="X77" s="98" t="n">
        <x:f>IF(OR(W77="",W76=""),"",W77-W76)</x:f>
        <x:v>-0.7497890737390825</x:v>
      </x:c>
      <x:c r="Y77" s="63" t="n">
        <x:f>'Datos_fuente'!W77</x:f>
        <x:v>2.289379742</x:v>
      </x:c>
      <x:c r="Z77" s="63" t="n">
        <x:f>IF(OR(Y77="",Y76=""),"",Y77-Y76)</x:f>
        <x:v>0.25655767099999993</x:v>
      </x:c>
      <x:c r="AA77" s="98" t="n">
        <x:f>'Datos_fuente'!AB77</x:f>
        <x:v>0.1826083147</x:v>
      </x:c>
      <x:c r="AB77" s="98" t="n">
        <x:f>'Datos_fuente'!AC77</x:f>
        <x:v>-0.05315976247</x:v>
      </x:c>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t="str">
        <x:f>'Datos_fuente'!A78</x:f>
        <x:v>2011-12</x:v>
      </x:c>
      <x:c r="B78" s="98" t="n">
        <x:f>IF('Datos_fuente'!B78="","",LN('Datos_fuente'!B78))</x:f>
        <x:v>7.567010195754303</x:v>
      </x:c>
      <x:c r="C78" s="98" t="n">
        <x:f>IF(OR(B78="",B77=""),"",B78-B77)</x:f>
        <x:v>0.007203205623325104</x:v>
      </x:c>
      <x:c r="D78" s="98" t="n">
        <x:f>IF('Datos_fuente'!C78="","",LN('Datos_fuente'!C78))</x:f>
        <x:v>5.212977319381022</x:v>
      </x:c>
      <x:c r="E78" s="98" t="n">
        <x:f>IF(OR(D78="",D77=""),"",D78-D77)</x:f>
        <x:v>-0.04222375609338691</x:v>
      </x:c>
      <x:c r="F78" s="98" t="n">
        <x:f>IF('Datos_fuente'!E78="","",LN('Datos_fuente'!E78))</x:f>
        <x:v>8.309947595254801</x:v>
      </x:c>
      <x:c r="G78" s="98" t="n">
        <x:f>IF(OR(F78="",F77=""),"",F78-F77)</x:f>
        <x:v>-0.010047530800477489</x:v>
      </x:c>
      <x:c r="H78" s="63" t="n">
        <x:f>'Datos_fuente'!H78</x:f>
        <x:v>4.68</x:v>
      </x:c>
      <x:c r="I78" s="63" t="n">
        <x:f>IF(OR(H78="",H77=""),"",H78-H77)</x:f>
        <x:v>0.23499999999999943</x:v>
      </x:c>
      <x:c r="J78" s="63" t="n">
        <x:f>'Datos_fuente'!J78</x:f>
        <x:v>2.82812027</x:v>
      </x:c>
      <x:c r="K78" s="63" t="n">
        <x:f>IF(OR(J78="",J77=""),"",J78-J77)</x:f>
        <x:v>0.17525742399999977</x:v>
      </x:c>
      <x:c r="L78" s="98" t="n">
        <x:f>IF('Datos_fuente'!K78="","",LN('Datos_fuente'!K78))</x:f>
        <x:v>4.524020762997684</x:v>
      </x:c>
      <x:c r="M78" s="98" t="n">
        <x:f>IF(OR(L78="",L77=""),"",L78-L77)</x:f>
        <x:v>0.01025471533615363</x:v>
      </x:c>
      <x:c r="N78" s="98" t="n">
        <x:f>IF('Datos_fuente'!L78="","",LN('Datos_fuente'!L78))</x:f>
        <x:v>3.220778775109344</x:v>
      </x:c>
      <x:c r="O78" s="98" t="n">
        <x:f>IF(OR(N78="",N77=""),"",N78-N77)</x:f>
        <x:v>-0.24314000146608006</x:v>
      </x:c>
      <x:c r="P78" s="96" t="n">
        <x:f>'Datos_fuente'!M78</x:f>
        <x:v>0</x:v>
      </x:c>
      <x:c r="Q78" s="98" t="n">
        <x:f>IF('Datos_fuente'!N78="","",LN('Datos_fuente'!N78))</x:f>
        <x:v>10.382836131408986</x:v>
      </x:c>
      <x:c r="R78" s="98" t="n">
        <x:f>IF(OR(Q78="",Q77=""),"",Q78-Q77)</x:f>
        <x:v>-0.008892728284100926</x:v>
      </x:c>
      <x:c r="S78" s="63" t="n">
        <x:f>'Datos_fuente'!P78</x:f>
        <x:v>1.871363636</x:v>
      </x:c>
      <x:c r="T78" s="63" t="n">
        <x:f>IF(OR(S78="",S77=""),"",S78-S77)</x:f>
        <x:v>-0.09909090899999984</x:v>
      </x:c>
      <x:c r="U78" s="98" t="n">
        <x:f>IF('Datos_fuente'!Q78="","",ASINH('Datos_fuente'!Q78/1000))</x:f>
        <x:v>-0.786876402306501</x:v>
      </x:c>
      <x:c r="V78" s="98" t="n">
        <x:f>IF(OR(U78="",U77=""),"",U78-U77)</x:f>
        <x:v>-0.28488668090169134</x:v>
      </x:c>
      <x:c r="W78" s="98" t="n">
        <x:f>IF('Datos_fuente'!R78="","",ASINH('Datos_fuente'!R78/1000))</x:f>
        <x:v>0.5819683214090142</x:v>
      </x:c>
      <x:c r="X78" s="98" t="n">
        <x:f>IF(OR(W78="",W77=""),"",W78-W77)</x:f>
        <x:v>0.3442534679252155</x:v>
      </x:c>
      <x:c r="Y78" s="63" t="n">
        <x:f>'Datos_fuente'!W78</x:f>
        <x:v>2.369671423</x:v>
      </x:c>
      <x:c r="Z78" s="63" t="n">
        <x:f>IF(OR(Y78="",Y77=""),"",Y78-Y77)</x:f>
        <x:v>0.08029168100000028</x:v>
      </x:c>
      <x:c r="AA78" s="98" t="n">
        <x:f>'Datos_fuente'!AB78</x:f>
        <x:v>0.4194774238</x:v>
      </x:c>
      <x:c r="AB78" s="98" t="n">
        <x:f>'Datos_fuente'!AC78</x:f>
        <x:v>0.2505962464</x:v>
      </x:c>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t="str">
        <x:f>'Datos_fuente'!A79</x:f>
        <x:v>2012-01</x:v>
      </x:c>
      <x:c r="B79" s="98" t="n">
        <x:f>IF('Datos_fuente'!B79="","",LN('Datos_fuente'!B79))</x:f>
        <x:v>7.524713539563678</x:v>
      </x:c>
      <x:c r="C79" s="98" t="n">
        <x:f>IF(OR(B79="",B78=""),"",B79-B78)</x:f>
        <x:v>-0.04229665619062484</x:v>
      </x:c>
      <x:c r="D79" s="98" t="n">
        <x:f>IF('Datos_fuente'!C79="","",LN('Datos_fuente'!C79))</x:f>
        <x:v>5.240900095678086</x:v>
      </x:c>
      <x:c r="E79" s="98" t="n">
        <x:f>IF(OR(D79="",D78=""),"",D79-D78)</x:f>
        <x:v>0.02792277629706419</x:v>
      </x:c>
      <x:c r="F79" s="98" t="n">
        <x:f>IF('Datos_fuente'!E79="","",LN('Datos_fuente'!E79))</x:f>
        <x:v>8.310727291704623</x:v>
      </x:c>
      <x:c r="G79" s="98" t="n">
        <x:f>IF(OR(F79="",F78=""),"",F79-F78)</x:f>
        <x:v>0.0007796964498218983</x:v>
      </x:c>
      <x:c r="H79" s="63" t="n">
        <x:f>'Datos_fuente'!H79</x:f>
        <x:v>4.678064516</x:v>
      </x:c>
      <x:c r="I79" s="63" t="n">
        <x:f>IF(OR(H79="",H78=""),"",H79-H78)</x:f>
        <x:v>-0.0019354839999996543</x:v>
      </x:c>
      <x:c r="J79" s="63" t="n">
        <x:f>'Datos_fuente'!J79</x:f>
        <x:v>2.641034086</x:v>
      </x:c>
      <x:c r="K79" s="63" t="n">
        <x:f>IF(OR(J79="",J78=""),"",J79-J78)</x:f>
        <x:v>-0.187086184</x:v>
      </x:c>
      <x:c r="L79" s="98" t="n">
        <x:f>IF('Datos_fuente'!K79="","",LN('Datos_fuente'!K79))</x:f>
        <x:v>4.517936220591136</x:v>
      </x:c>
      <x:c r="M79" s="98" t="n">
        <x:f>IF(OR(L79="",L78=""),"",L79-L78)</x:f>
        <x:v>-0.006084542406547655</x:v>
      </x:c>
      <x:c r="N79" s="98" t="n">
        <x:f>IF('Datos_fuente'!L79="","",LN('Datos_fuente'!L79))</x:f>
        <x:v>3.0070677832177366</x:v>
      </x:c>
      <x:c r="O79" s="98" t="n">
        <x:f>IF(OR(N79="",N78=""),"",N79-N78)</x:f>
        <x:v>-0.21371099189160736</x:v>
      </x:c>
      <x:c r="P79" s="96" t="n">
        <x:f>'Datos_fuente'!M79</x:f>
        <x:v>0</x:v>
      </x:c>
      <x:c r="Q79" s="98" t="n">
        <x:f>IF('Datos_fuente'!N79="","",LN('Datos_fuente'!N79))</x:f>
        <x:v>10.389559209329606</x:v>
      </x:c>
      <x:c r="R79" s="98" t="n">
        <x:f>IF(OR(Q79="",Q78=""),"",Q79-Q78)</x:f>
        <x:v>0.006723077920620213</x:v>
      </x:c>
      <x:c r="S79" s="63" t="n">
        <x:f>'Datos_fuente'!P79</x:f>
        <x:v>1.971363636</x:v>
      </x:c>
      <x:c r="T79" s="63" t="n">
        <x:f>IF(OR(S79="",S78=""),"",S79-S78)</x:f>
        <x:v>0.09999999999999987</x:v>
      </x:c>
      <x:c r="U79" s="98" t="n">
        <x:f>IF('Datos_fuente'!Q79="","",ASINH('Datos_fuente'!Q79/1000))</x:f>
        <x:v>-0.8226799778091564</x:v>
      </x:c>
      <x:c r="V79" s="98" t="n">
        <x:f>IF(OR(U79="",U78=""),"",U79-U78)</x:f>
        <x:v>-0.03580357550265534</x:v>
      </x:c>
      <x:c r="W79" s="98" t="n">
        <x:f>IF('Datos_fuente'!R79="","",ASINH('Datos_fuente'!R79/1000))</x:f>
        <x:v>1.0465555988601705</x:v>
      </x:c>
      <x:c r="X79" s="98" t="n">
        <x:f>IF(OR(W79="",W78=""),"",W79-W78)</x:f>
        <x:v>0.46458727745115624</x:v>
      </x:c>
      <x:c r="Y79" s="63" t="n">
        <x:f>'Datos_fuente'!W79</x:f>
        <x:v>2.310814915</x:v>
      </x:c>
      <x:c r="Z79" s="63" t="n">
        <x:f>IF(OR(Y79="",Y78=""),"",Y79-Y78)</x:f>
        <x:v>-0.05885650800000031</x:v>
      </x:c>
      <x:c r="AA79" s="98" t="n">
        <x:f>'Datos_fuente'!AB79</x:f>
        <x:v>-1.095017501</x:v>
      </x:c>
      <x:c r="AB79" s="98" t="n">
        <x:f>'Datos_fuente'!AC79</x:f>
        <x:v>-0.8462626431</x:v>
      </x:c>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t="str">
        <x:f>'Datos_fuente'!A80</x:f>
        <x:v>2012-02</x:v>
      </x:c>
      <x:c r="B80" s="98" t="n">
        <x:f>IF('Datos_fuente'!B80="","",LN('Datos_fuente'!B80))</x:f>
        <x:v>7.485915103080317</x:v>
      </x:c>
      <x:c r="C80" s="98" t="n">
        <x:f>IF(OR(B80="",B79=""),"",B80-B79)</x:f>
        <x:v>-0.03879843648336134</x:v>
      </x:c>
      <x:c r="D80" s="98" t="n">
        <x:f>IF('Datos_fuente'!C80="","",LN('Datos_fuente'!C80))</x:f>
        <x:v>5.253633758921397</x:v>
      </x:c>
      <x:c r="E80" s="98" t="n">
        <x:f>IF(OR(D80="",D79=""),"",D80-D79)</x:f>
        <x:v>0.012733663243310822</x:v>
      </x:c>
      <x:c r="F80" s="98" t="n">
        <x:f>IF('Datos_fuente'!E80="","",LN('Datos_fuente'!E80))</x:f>
        <x:v>8.306398083282891</x:v>
      </x:c>
      <x:c r="G80" s="98" t="n">
        <x:f>IF(OR(F80="",F79=""),"",F80-F79)</x:f>
        <x:v>-0.004329208421731678</x:v>
      </x:c>
      <x:c r="H80" s="63" t="n">
        <x:f>'Datos_fuente'!H80</x:f>
        <x:v>4.925862069</x:v>
      </x:c>
      <x:c r="I80" s="63" t="n">
        <x:f>IF(OR(H80="",H79=""),"",H80-H79)</x:f>
        <x:v>0.24779755299999984</x:v>
      </x:c>
      <x:c r="J80" s="63" t="n">
        <x:f>'Datos_fuente'!J80</x:f>
        <x:v>2.578632323</x:v>
      </x:c>
      <x:c r="K80" s="63" t="n">
        <x:f>IF(OR(J80="",J79=""),"",J80-J79)</x:f>
        <x:v>-0.062401763</x:v>
      </x:c>
      <x:c r="L80" s="98" t="n">
        <x:f>IF('Datos_fuente'!K80="","",LN('Datos_fuente'!K80))</x:f>
        <x:v>4.499370685101458</x:v>
      </x:c>
      <x:c r="M80" s="98" t="n">
        <x:f>IF(OR(L80="",L79=""),"",L80-L79)</x:f>
        <x:v>-0.018565535489678098</x:v>
      </x:c>
      <x:c r="N80" s="98" t="n">
        <x:f>IF('Datos_fuente'!L80="","",LN('Datos_fuente'!L80))</x:f>
        <x:v>2.91346417486701</x:v>
      </x:c>
      <x:c r="O80" s="98" t="n">
        <x:f>IF(OR(N80="",N79=""),"",N80-N79)</x:f>
        <x:v>-0.09360360835072656</x:v>
      </x:c>
      <x:c r="P80" s="96" t="n">
        <x:f>'Datos_fuente'!M80</x:f>
        <x:v>0</x:v>
      </x:c>
      <x:c r="Q80" s="98" t="n">
        <x:f>IF('Datos_fuente'!N80="","",LN('Datos_fuente'!N80))</x:f>
        <x:v>10.398741260910107</x:v>
      </x:c>
      <x:c r="R80" s="98" t="n">
        <x:f>IF(OR(Q80="",Q79=""),"",Q80-Q79)</x:f>
        <x:v>0.009182051580500783</x:v>
      </x:c>
      <x:c r="S80" s="63" t="n">
        <x:f>'Datos_fuente'!P80</x:f>
        <x:v>1.755714286</x:v>
      </x:c>
      <x:c r="T80" s="63" t="n">
        <x:f>IF(OR(S80="",S79=""),"",S80-S79)</x:f>
        <x:v>-0.21564935000000007</x:v>
      </x:c>
      <x:c r="U80" s="98" t="n">
        <x:f>IF('Datos_fuente'!Q80="","",ASINH('Datos_fuente'!Q80/1000))</x:f>
        <x:v>-0.6123977593387047</x:v>
      </x:c>
      <x:c r="V80" s="98" t="n">
        <x:f>IF(OR(U80="",U79=""),"",U80-U79)</x:f>
        <x:v>0.2102822184704517</x:v>
      </x:c>
      <x:c r="W80" s="98" t="n">
        <x:f>IF('Datos_fuente'!R80="","",ASINH('Datos_fuente'!R80/1000))</x:f>
        <x:v>0.8162444403377286</x:v>
      </x:c>
      <x:c r="X80" s="98" t="n">
        <x:f>IF(OR(W80="",W79=""),"",W80-W79)</x:f>
        <x:v>-0.23031115852244188</x:v>
      </x:c>
      <x:c r="Y80" s="63" t="n">
        <x:f>'Datos_fuente'!W80</x:f>
        <x:v>1.932449318</x:v>
      </x:c>
      <x:c r="Z80" s="63" t="n">
        <x:f>IF(OR(Y80="",Y79=""),"",Y80-Y79)</x:f>
        <x:v>-0.37836559699999994</x:v>
      </x:c>
      <x:c r="AA80" s="98" t="n">
        <x:f>'Datos_fuente'!AB80</x:f>
        <x:v>-1.534431971</x:v>
      </x:c>
      <x:c r="AB80" s="98" t="n">
        <x:f>'Datos_fuente'!AC80</x:f>
        <x:v>-1.217416785</x:v>
      </x:c>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t="str">
        <x:f>'Datos_fuente'!A81</x:f>
        <x:v>2012-03</x:v>
      </x:c>
      <x:c r="B81" s="98" t="n">
        <x:f>IF('Datos_fuente'!B81="","",LN('Datos_fuente'!B81))</x:f>
        <x:v>7.476660139866827</x:v>
      </x:c>
      <x:c r="C81" s="98" t="n">
        <x:f>IF(OR(B81="",B80=""),"",B81-B80)</x:f>
        <x:v>-0.00925496321348973</x:v>
      </x:c>
      <x:c r="D81" s="98" t="n">
        <x:f>IF('Datos_fuente'!C81="","",LN('Datos_fuente'!C81))</x:f>
        <x:v>5.263259974732634</x:v>
      </x:c>
      <x:c r="E81" s="98" t="n">
        <x:f>IF(OR(D81="",D80=""),"",D81-D80)</x:f>
        <x:v>0.009626215811237238</x:v>
      </x:c>
      <x:c r="F81" s="98" t="n">
        <x:f>IF('Datos_fuente'!E81="","",LN('Datos_fuente'!E81))</x:f>
        <x:v>8.301305750741793</x:v>
      </x:c>
      <x:c r="G81" s="98" t="n">
        <x:f>IF(OR(F81="",F80=""),"",F81-F80)</x:f>
        <x:v>-0.005092332541098088</x:v>
      </x:c>
      <x:c r="H81" s="63" t="n">
        <x:f>'Datos_fuente'!H81</x:f>
        <x:v>5.12</x:v>
      </x:c>
      <x:c r="I81" s="63" t="n">
        <x:f>IF(OR(H81="",H80=""),"",H81-H80)</x:f>
        <x:v>0.1941379310000002</x:v>
      </x:c>
      <x:c r="J81" s="63" t="n">
        <x:f>'Datos_fuente'!J81</x:f>
        <x:v>2.738779895</x:v>
      </x:c>
      <x:c r="K81" s="63" t="n">
        <x:f>IF(OR(J81="",J80=""),"",J81-J80)</x:f>
        <x:v>0.16014757200000007</x:v>
      </x:c>
      <x:c r="L81" s="98" t="n">
        <x:f>IF('Datos_fuente'!K81="","",LN('Datos_fuente'!K81))</x:f>
        <x:v>4.505473750654274</x:v>
      </x:c>
      <x:c r="M81" s="98" t="n">
        <x:f>IF(OR(L81="",L80=""),"",L81-L80)</x:f>
        <x:v>0.006103065552816034</x:v>
      </x:c>
      <x:c r="N81" s="98" t="n">
        <x:f>IF('Datos_fuente'!L81="","",LN('Datos_fuente'!L81))</x:f>
        <x:v>2.7829889970262616</x:v>
      </x:c>
      <x:c r="O81" s="98" t="n">
        <x:f>IF(OR(N81="",N80=""),"",N81-N80)</x:f>
        <x:v>-0.13047517784074847</x:v>
      </x:c>
      <x:c r="P81" s="96" t="n">
        <x:f>'Datos_fuente'!M81</x:f>
        <x:v>0</x:v>
      </x:c>
      <x:c r="Q81" s="98" t="n">
        <x:f>IF('Datos_fuente'!N81="","",LN('Datos_fuente'!N81))</x:f>
        <x:v>10.4079451433511</x:v>
      </x:c>
      <x:c r="R81" s="98" t="n">
        <x:f>IF(OR(Q81="",Q80=""),"",Q81-Q80)</x:f>
        <x:v>0.009203882440992572</x:v>
      </x:c>
      <x:c r="S81" s="63" t="n">
        <x:f>'Datos_fuente'!P81</x:f>
        <x:v>1.490909091</x:v>
      </x:c>
      <x:c r="T81" s="63" t="n">
        <x:f>IF(OR(S81="",S80=""),"",S81-S80)</x:f>
        <x:v>-0.2648051949999999</x:v>
      </x:c>
      <x:c r="U81" s="98" t="n">
        <x:f>IF('Datos_fuente'!Q81="","",ASINH('Datos_fuente'!Q81/1000))</x:f>
        <x:v>-0.5436688310965867</x:v>
      </x:c>
      <x:c r="V81" s="98" t="n">
        <x:f>IF(OR(U81="",U80=""),"",U81-U80)</x:f>
        <x:v>0.06872892824211796</x:v>
      </x:c>
      <x:c r="W81" s="98" t="n">
        <x:f>IF('Datos_fuente'!R81="","",ASINH('Datos_fuente'!R81/1000))</x:f>
        <x:v>0.8001151547027019</x:v>
      </x:c>
      <x:c r="X81" s="98" t="n">
        <x:f>IF(OR(W81="",W80=""),"",W81-W80)</x:f>
        <x:v>-0.01612928563502669</x:v>
      </x:c>
      <x:c r="Y81" s="63" t="n">
        <x:f>'Datos_fuente'!W81</x:f>
        <x:v>1.389129079</x:v>
      </x:c>
      <x:c r="Z81" s="63" t="n">
        <x:f>IF(OR(Y81="",Y80=""),"",Y81-Y80)</x:f>
        <x:v>-0.543320239</x:v>
      </x:c>
      <x:c r="AA81" s="98" t="n">
        <x:f>'Datos_fuente'!AB81</x:f>
        <x:v>0.3981916376</x:v>
      </x:c>
      <x:c r="AB81" s="98" t="n">
        <x:f>'Datos_fuente'!AC81</x:f>
        <x:v>0.2079542913</x:v>
      </x:c>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t="str">
        <x:f>'Datos_fuente'!A82</x:f>
        <x:v>2012-04</x:v>
      </x:c>
      <x:c r="B82" s="98" t="n">
        <x:f>IF('Datos_fuente'!B82="","",LN('Datos_fuente'!B82))</x:f>
        <x:v>7.481132513786503</x:v>
      </x:c>
      <x:c r="C82" s="98" t="n">
        <x:f>IF(OR(B82="",B81=""),"",B82-B81)</x:f>
        <x:v>0.004472373919675476</x:v>
      </x:c>
      <x:c r="D82" s="98" t="n">
        <x:f>IF('Datos_fuente'!C82="","",LN('Datos_fuente'!C82))</x:f>
        <x:v>5.244283478055551</x:v>
      </x:c>
      <x:c r="E82" s="98" t="n">
        <x:f>IF(OR(D82="",D81=""),"",D82-D81)</x:f>
        <x:v>-0.0189764966770829</x:v>
      </x:c>
      <x:c r="F82" s="98" t="n">
        <x:f>IF('Datos_fuente'!E82="","",LN('Datos_fuente'!E82))</x:f>
        <x:v>8.30689676130276</x:v>
      </x:c>
      <x:c r="G82" s="98" t="n">
        <x:f>IF(OR(F82="",F81=""),"",F82-F81)</x:f>
        <x:v>0.005591010560966225</x:v>
      </x:c>
      <x:c r="H82" s="63" t="n">
        <x:f>'Datos_fuente'!H82</x:f>
        <x:v>5.11</x:v>
      </x:c>
      <x:c r="I82" s="63" t="n">
        <x:f>IF(OR(H82="",H81=""),"",H82-H81)</x:f>
        <x:v>-0.009999999999999787</x:v>
      </x:c>
      <x:c r="J82" s="63" t="n">
        <x:f>'Datos_fuente'!J82</x:f>
        <x:v>1.86842231</x:v>
      </x:c>
      <x:c r="K82" s="63" t="n">
        <x:f>IF(OR(J82="",J81=""),"",J82-J81)</x:f>
        <x:v>-0.870357585</x:v>
      </x:c>
      <x:c r="L82" s="98" t="n">
        <x:f>IF('Datos_fuente'!K82="","",LN('Datos_fuente'!K82))</x:f>
        <x:v>4.5088311818454585</x:v>
      </x:c>
      <x:c r="M82" s="98" t="n">
        <x:f>IF(OR(L82="",L81=""),"",L82-L81)</x:f>
        <x:v>0.003357431191184368</x:v>
      </x:c>
      <x:c r="N82" s="98" t="n">
        <x:f>IF('Datos_fuente'!L82="","",LN('Datos_fuente'!L82))</x:f>
        <x:v>2.880489758041714</x:v>
      </x:c>
      <x:c r="O82" s="98" t="n">
        <x:f>IF(OR(N82="",N81=""),"",N82-N81)</x:f>
        <x:v>0.09750076101545258</x:v>
      </x:c>
      <x:c r="P82" s="96" t="n">
        <x:f>'Datos_fuente'!M82</x:f>
        <x:v>0</x:v>
      </x:c>
      <x:c r="Q82" s="98" t="n">
        <x:f>IF('Datos_fuente'!N82="","",LN('Datos_fuente'!N82))</x:f>
        <x:v>10.420926857617427</x:v>
      </x:c>
      <x:c r="R82" s="98" t="n">
        <x:f>IF(OR(Q82="",Q81=""),"",Q82-Q81)</x:f>
        <x:v>0.01298171426632777</x:v>
      </x:c>
      <x:c r="S82" s="63" t="n">
        <x:f>'Datos_fuente'!P82</x:f>
        <x:v>1.474761905</x:v>
      </x:c>
      <x:c r="T82" s="63" t="n">
        <x:f>IF(OR(S82="",S81=""),"",S82-S81)</x:f>
        <x:v>-0.01614718599999998</x:v>
      </x:c>
      <x:c r="U82" s="98" t="n">
        <x:f>IF('Datos_fuente'!Q82="","",ASINH('Datos_fuente'!Q82/1000))</x:f>
        <x:v>-0.48775834647096505</x:v>
      </x:c>
      <x:c r="V82" s="98" t="n">
        <x:f>IF(OR(U82="",U81=""),"",U82-U81)</x:f>
        <x:v>0.05591048462562165</x:v>
      </x:c>
      <x:c r="W82" s="98" t="n">
        <x:f>IF('Datos_fuente'!R82="","",ASINH('Datos_fuente'!R82/1000))</x:f>
        <x:v>0.8739720913030834</x:v>
      </x:c>
      <x:c r="X82" s="98" t="n">
        <x:f>IF(OR(W82="",W81=""),"",W82-W81)</x:f>
        <x:v>0.0738569366003815</x:v>
      </x:c>
      <x:c r="Y82" s="63" t="n">
        <x:f>'Datos_fuente'!W82</x:f>
        <x:v>1.233787886</x:v>
      </x:c>
      <x:c r="Z82" s="63" t="n">
        <x:f>IF(OR(Y82="",Y81=""),"",Y82-Y81)</x:f>
        <x:v>-0.15534119299999993</x:v>
      </x:c>
      <x:c r="AA82" s="98" t="n">
        <x:f>'Datos_fuente'!AB82</x:f>
        <x:v>0.4744600182</x:v>
      </x:c>
      <x:c r="AB82" s="98" t="n">
        <x:f>'Datos_fuente'!AC82</x:f>
        <x:v>0.2507070853</x:v>
      </x:c>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t="str">
        <x:f>'Datos_fuente'!A83</x:f>
        <x:v>2012-05</x:v>
      </x:c>
      <x:c r="B83" s="98" t="n">
        <x:f>IF('Datos_fuente'!B83="","",LN('Datos_fuente'!B83))</x:f>
        <x:v>7.491799825328656</x:v>
      </x:c>
      <x:c r="C83" s="98" t="n">
        <x:f>IF(OR(B83="",B82=""),"",B83-B82)</x:f>
        <x:v>0.010667311542153612</x:v>
      </x:c>
      <x:c r="D83" s="98" t="n">
        <x:f>IF('Datos_fuente'!C83="","",LN('Datos_fuente'!C83))</x:f>
        <x:v>5.149701342219253</x:v>
      </x:c>
      <x:c r="E83" s="98" t="n">
        <x:f>IF(OR(D83="",D82=""),"",D83-D82)</x:f>
        <x:v>-0.09458213583629771</x:v>
      </x:c>
      <x:c r="F83" s="98" t="n">
        <x:f>IF('Datos_fuente'!E83="","",LN('Datos_fuente'!E83))</x:f>
        <x:v>8.308046229245457</x:v>
      </x:c>
      <x:c r="G83" s="98" t="n">
        <x:f>IF(OR(F83="",F82=""),"",F83-F82)</x:f>
        <x:v>0.0011494679426977683</x:v>
      </x:c>
      <x:c r="H83" s="63" t="n">
        <x:f>'Datos_fuente'!H83</x:f>
        <x:v>5.09</x:v>
      </x:c>
      <x:c r="I83" s="63" t="n">
        <x:f>IF(OR(H83="",H82=""),"",H83-H82)</x:f>
        <x:v>-0.020000000000000462</x:v>
      </x:c>
      <x:c r="J83" s="63" t="n">
        <x:f>'Datos_fuente'!J83</x:f>
        <x:v>1.767762633</x:v>
      </x:c>
      <x:c r="K83" s="63" t="n">
        <x:f>IF(OR(J83="",J82=""),"",J83-J82)</x:f>
        <x:v>-0.10065967699999989</x:v>
      </x:c>
      <x:c r="L83" s="98" t="n">
        <x:f>IF('Datos_fuente'!K83="","",LN('Datos_fuente'!K83))</x:f>
        <x:v>4.527130656180071</x:v>
      </x:c>
      <x:c r="M83" s="98" t="n">
        <x:f>IF(OR(L83="",L82=""),"",L83-L82)</x:f>
        <x:v>0.01829947433461232</x:v>
      </x:c>
      <x:c r="N83" s="98" t="n">
        <x:f>IF('Datos_fuente'!L83="","",LN('Datos_fuente'!L83))</x:f>
        <x:v>3.0446090139755912</x:v>
      </x:c>
      <x:c r="O83" s="98" t="n">
        <x:f>IF(OR(N83="",N82=""),"",N83-N82)</x:f>
        <x:v>0.1641192559338771</x:v>
      </x:c>
      <x:c r="P83" s="96" t="n">
        <x:f>'Datos_fuente'!M83</x:f>
        <x:v>0</x:v>
      </x:c>
      <x:c r="Q83" s="98" t="n">
        <x:f>IF('Datos_fuente'!N83="","",LN('Datos_fuente'!N83))</x:f>
        <x:v>10.424337266811214</x:v>
      </x:c>
      <x:c r="R83" s="98" t="n">
        <x:f>IF(OR(Q83="",Q82=""),"",Q83-Q82)</x:f>
        <x:v>0.0034104091937869896</x:v>
      </x:c>
      <x:c r="S83" s="63" t="n">
        <x:f>'Datos_fuente'!P83</x:f>
        <x:v>1.743043478</x:v>
      </x:c>
      <x:c r="T83" s="63" t="n">
        <x:f>IF(OR(S83="",S82=""),"",S83-S82)</x:f>
        <x:v>0.2682815729999999</x:v>
      </x:c>
      <x:c r="U83" s="98" t="n">
        <x:f>IF('Datos_fuente'!Q83="","",ASINH('Datos_fuente'!Q83/1000))</x:f>
        <x:v>-0.4053389512016597</x:v>
      </x:c>
      <x:c r="V83" s="98" t="n">
        <x:f>IF(OR(U83="",U82=""),"",U83-U82)</x:f>
        <x:v>0.08241939526930536</x:v>
      </x:c>
      <x:c r="W83" s="98" t="n">
        <x:f>IF('Datos_fuente'!R83="","",ASINH('Datos_fuente'!R83/1000))</x:f>
        <x:v>0.4781597501417175</x:v>
      </x:c>
      <x:c r="X83" s="98" t="n">
        <x:f>IF(OR(W83="",W82=""),"",W83-W82)</x:f>
        <x:v>-0.3958123411613659</x:v>
      </x:c>
      <x:c r="Y83" s="63" t="n">
        <x:f>'Datos_fuente'!W83</x:f>
        <x:v>1.375176832</x:v>
      </x:c>
      <x:c r="Z83" s="63" t="n">
        <x:f>IF(OR(Y83="",Y82=""),"",Y83-Y82)</x:f>
        <x:v>0.14138894599999996</x:v>
      </x:c>
      <x:c r="AA83" s="98" t="n">
        <x:f>'Datos_fuente'!AB83</x:f>
        <x:v>1.341861733</x:v>
      </x:c>
      <x:c r="AB83" s="98" t="n">
        <x:f>'Datos_fuente'!AC83</x:f>
        <x:v>1.107902435</x:v>
      </x:c>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t="str">
        <x:f>'Datos_fuente'!A84</x:f>
        <x:v>2012-06</x:v>
      </x:c>
      <x:c r="B84" s="98" t="n">
        <x:f>IF('Datos_fuente'!B84="","",LN('Datos_fuente'!B84))</x:f>
        <x:v>7.491392606723445</x:v>
      </x:c>
      <x:c r="C84" s="98" t="n">
        <x:f>IF(OR(B84="",B83=""),"",B84-B83)</x:f>
        <x:v>-0.0004072186052113125</x:v>
      </x:c>
      <x:c r="D84" s="98" t="n">
        <x:f>IF('Datos_fuente'!C84="","",LN('Datos_fuente'!C84))</x:f>
        <x:v>5.078356245925126</x:v>
      </x:c>
      <x:c r="E84" s="98" t="n">
        <x:f>IF(OR(D84="",D83=""),"",D84-D83)</x:f>
        <x:v>-0.07134509629412733</x:v>
      </x:c>
      <x:c r="F84" s="98" t="n">
        <x:f>IF('Datos_fuente'!E84="","",LN('Datos_fuente'!E84))</x:f>
        <x:v>8.306328939968529</x:v>
      </x:c>
      <x:c r="G84" s="98" t="n">
        <x:f>IF(OR(F84="",F83=""),"",F84-F83)</x:f>
        <x:v>-0.001717289276928824</x:v>
      </x:c>
      <x:c r="H84" s="63" t="n">
        <x:f>'Datos_fuente'!H84</x:f>
        <x:v>5.09</x:v>
      </x:c>
      <x:c r="I84" s="63" t="n">
        <x:f>IF(OR(H84="",H83=""),"",H84-H83)</x:f>
        <x:v>0</x:v>
      </x:c>
      <x:c r="J84" s="63" t="n">
        <x:f>'Datos_fuente'!J84</x:f>
        <x:v>1.408046888</x:v>
      </x:c>
      <x:c r="K84" s="63" t="n">
        <x:f>IF(OR(J84="",J83=""),"",J84-J83)</x:f>
        <x:v>-0.3597157449999999</x:v>
      </x:c>
      <x:c r="L84" s="98" t="n">
        <x:f>IF('Datos_fuente'!K84="","",LN('Datos_fuente'!K84))</x:f>
        <x:v>4.54202660261895</x:v>
      </x:c>
      <x:c r="M84" s="98" t="n">
        <x:f>IF(OR(L84="",L83=""),"",L84-L83)</x:f>
        <x:v>0.01489594643887937</x:v>
      </x:c>
      <x:c r="N84" s="98" t="n">
        <x:f>IF('Datos_fuente'!L84="","",LN('Datos_fuente'!L84))</x:f>
        <x:v>3.050738903021132</x:v>
      </x:c>
      <x:c r="O84" s="98" t="n">
        <x:f>IF(OR(N84="",N83=""),"",N84-N83)</x:f>
        <x:v>0.006129889045540793</x:v>
      </x:c>
      <x:c r="P84" s="96" t="n">
        <x:f>'Datos_fuente'!M84</x:f>
        <x:v>0</x:v>
      </x:c>
      <x:c r="Q84" s="98" t="n">
        <x:f>IF('Datos_fuente'!N84="","",LN('Datos_fuente'!N84))</x:f>
        <x:v>10.44189517157869</x:v>
      </x:c>
      <x:c r="R84" s="98" t="n">
        <x:f>IF(OR(Q84="",Q83=""),"",Q84-Q83)</x:f>
        <x:v>0.017557904767475208</x:v>
      </x:c>
      <x:c r="S84" s="63" t="n">
        <x:f>'Datos_fuente'!P84</x:f>
        <x:v>1.727619048</x:v>
      </x:c>
      <x:c r="T84" s="63" t="n">
        <x:f>IF(OR(S84="",S83=""),"",S84-S83)</x:f>
        <x:v>-0.015424429999999933</x:v>
      </x:c>
      <x:c r="U84" s="98" t="n">
        <x:f>IF('Datos_fuente'!Q84="","",ASINH('Datos_fuente'!Q84/1000))</x:f>
        <x:v>-0.4705249179977622</x:v>
      </x:c>
      <x:c r="V84" s="98" t="n">
        <x:f>IF(OR(U84="",U83=""),"",U84-U83)</x:f>
        <x:v>-0.0651859667961025</x:v>
      </x:c>
      <x:c r="W84" s="98" t="n">
        <x:f>IF('Datos_fuente'!R84="","",ASINH('Datos_fuente'!R84/1000))</x:f>
        <x:v>1.0575616628613924</x:v>
      </x:c>
      <x:c r="X84" s="98" t="n">
        <x:f>IF(OR(W84="",W83=""),"",W84-W83)</x:f>
        <x:v>0.5794019127196749</x:v>
      </x:c>
      <x:c r="Y84" s="63" t="n">
        <x:f>'Datos_fuente'!W84</x:f>
        <x:v>1.393817791</x:v>
      </x:c>
      <x:c r="Z84" s="63" t="n">
        <x:f>IF(OR(Y84="",Y83=""),"",Y84-Y83)</x:f>
        <x:v>0.018640959000000068</x:v>
      </x:c>
      <x:c r="AA84" s="98" t="n">
        <x:f>'Datos_fuente'!AB84</x:f>
        <x:v>0.6053731685</x:v>
      </x:c>
      <x:c r="AB84" s="98" t="n">
        <x:f>'Datos_fuente'!AC84</x:f>
        <x:v>0.4657101043</x:v>
      </x:c>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t="str">
        <x:f>'Datos_fuente'!A85</x:f>
        <x:v>2012-07</x:v>
      </x:c>
      <x:c r="B85" s="98" t="n">
        <x:f>IF('Datos_fuente'!B85="","",LN('Datos_fuente'!B85))</x:f>
        <x:v>7.486512592260603</x:v>
      </x:c>
      <x:c r="C85" s="98" t="n">
        <x:f>IF(OR(B85="",B84=""),"",B85-B84)</x:f>
        <x:v>-0.004880014462842475</x:v>
      </x:c>
      <x:c r="D85" s="98" t="n">
        <x:f>IF('Datos_fuente'!C85="","",LN('Datos_fuente'!C85))</x:f>
        <x:v>5.088460159559561</x:v>
      </x:c>
      <x:c r="E85" s="98" t="n">
        <x:f>IF(OR(D85="",D84=""),"",D85-D84)</x:f>
        <x:v>0.010103913634434747</x:v>
      </x:c>
      <x:c r="F85" s="98" t="n">
        <x:f>IF('Datos_fuente'!E85="","",LN('Datos_fuente'!E85))</x:f>
        <x:v>8.309034307095697</x:v>
      </x:c>
      <x:c r="G85" s="98" t="n">
        <x:f>IF(OR(F85="",F84=""),"",F85-F84)</x:f>
        <x:v>0.002705367127168401</x:v>
      </x:c>
      <x:c r="H85" s="63" t="n">
        <x:f>'Datos_fuente'!H85</x:f>
        <x:v>5.073870968</x:v>
      </x:c>
      <x:c r="I85" s="63" t="n">
        <x:f>IF(OR(H85="",H84=""),"",H85-H84)</x:f>
        <x:v>-0.016129032000000265</x:v>
      </x:c>
      <x:c r="J85" s="63" t="n">
        <x:f>'Datos_fuente'!J85</x:f>
        <x:v>1.500560281</x:v>
      </x:c>
      <x:c r="K85" s="63" t="n">
        <x:f>IF(OR(J85="",J84=""),"",J85-J84)</x:f>
        <x:v>0.09251339299999994</x:v>
      </x:c>
      <x:c r="L85" s="98" t="n">
        <x:f>IF('Datos_fuente'!K85="","",LN('Datos_fuente'!K85))</x:f>
        <x:v>4.536957367359357</x:v>
      </x:c>
      <x:c r="M85" s="98" t="n">
        <x:f>IF(OR(L85="",L84=""),"",L85-L84)</x:f>
        <x:v>-0.005069235259592908</x:v>
      </x:c>
      <x:c r="N85" s="98" t="n">
        <x:f>IF('Datos_fuente'!L85="","",LN('Datos_fuente'!L85))</x:f>
        <x:v>2.8659218409917013</x:v>
      </x:c>
      <x:c r="O85" s="98" t="n">
        <x:f>IF(OR(N85="",N84=""),"",N85-N84)</x:f>
        <x:v>-0.1848170620294307</x:v>
      </x:c>
      <x:c r="P85" s="96" t="n">
        <x:f>'Datos_fuente'!M85</x:f>
        <x:v>0</x:v>
      </x:c>
      <x:c r="Q85" s="98" t="n">
        <x:f>IF('Datos_fuente'!N85="","",LN('Datos_fuente'!N85))</x:f>
        <x:v>10.454856860097536</x:v>
      </x:c>
      <x:c r="R85" s="98" t="n">
        <x:f>IF(OR(Q85="",Q84=""),"",Q85-Q84)</x:f>
        <x:v>0.01296168851884616</x:v>
      </x:c>
      <x:c r="S85" s="63" t="n">
        <x:f>'Datos_fuente'!P85</x:f>
        <x:v>1.509545455</x:v>
      </x:c>
      <x:c r="T85" s="63" t="n">
        <x:f>IF(OR(S85="",S84=""),"",S85-S84)</x:f>
        <x:v>-0.21807359299999995</x:v>
      </x:c>
      <x:c r="U85" s="98" t="n">
        <x:f>IF('Datos_fuente'!Q85="","",ASINH('Datos_fuente'!Q85/1000))</x:f>
        <x:v>-0.49072603429733885</x:v>
      </x:c>
      <x:c r="V85" s="98" t="n">
        <x:f>IF(OR(U85="",U84=""),"",U85-U84)</x:f>
        <x:v>-0.02020111629957666</x:v>
      </x:c>
      <x:c r="W85" s="98" t="n">
        <x:f>IF('Datos_fuente'!R85="","",ASINH('Datos_fuente'!R85/1000))</x:f>
        <x:v>0.9490345810651302</x:v>
      </x:c>
      <x:c r="X85" s="98" t="n">
        <x:f>IF(OR(W85="",W84=""),"",W85-W84)</x:f>
        <x:v>-0.10852708179626225</x:v>
      </x:c>
      <x:c r="Y85" s="63" t="n">
        <x:f>'Datos_fuente'!W85</x:f>
        <x:v>1.105386896</x:v>
      </x:c>
      <x:c r="Z85" s="63" t="n">
        <x:f>IF(OR(Y85="",Y84=""),"",Y85-Y84)</x:f>
        <x:v>-0.2884308950000001</x:v>
      </x:c>
      <x:c r="AA85" s="98" t="n">
        <x:f>'Datos_fuente'!AB85</x:f>
        <x:v>-1.023997101</x:v>
      </x:c>
      <x:c r="AB85" s="98" t="n">
        <x:f>'Datos_fuente'!AC85</x:f>
        <x:v>-1.038272808</x:v>
      </x:c>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t="str">
        <x:f>'Datos_fuente'!A86</x:f>
        <x:v>2012-08</x:v>
      </x:c>
      <x:c r="B86" s="98" t="n">
        <x:f>IF('Datos_fuente'!B86="","",LN('Datos_fuente'!B86))</x:f>
        <x:v>7.498605704661357</x:v>
      </x:c>
      <x:c r="C86" s="98" t="n">
        <x:f>IF(OR(B86="",B85=""),"",B86-B85)</x:f>
        <x:v>0.012093112400754613</x:v>
      </x:c>
      <x:c r="D86" s="98" t="n">
        <x:f>IF('Datos_fuente'!C86="","",LN('Datos_fuente'!C86))</x:f>
        <x:v>5.047738382047758</x:v>
      </x:c>
      <x:c r="E86" s="98" t="n">
        <x:f>IF(OR(D86="",D85=""),"",D86-D85)</x:f>
        <x:v>-0.04072177751180295</x:v>
      </x:c>
      <x:c r="F86" s="98" t="n">
        <x:f>IF('Datos_fuente'!E86="","",LN('Datos_fuente'!E86))</x:f>
        <x:v>8.303385921079014</x:v>
      </x:c>
      <x:c r="G86" s="98" t="n">
        <x:f>IF(OR(F86="",F85=""),"",F86-F85)</x:f>
        <x:v>-0.005648386016682494</x:v>
      </x:c>
      <x:c r="H86" s="63" t="n">
        <x:f>'Datos_fuente'!H86</x:f>
        <x:v>4.829677419</x:v>
      </x:c>
      <x:c r="I86" s="63" t="n">
        <x:f>IF(OR(H86="",H85=""),"",H86-H85)</x:f>
        <x:v>-0.24419354899999934</x:v>
      </x:c>
      <x:c r="J86" s="63" t="n">
        <x:f>'Datos_fuente'!J86</x:f>
        <x:v>1.515547366</x:v>
      </x:c>
      <x:c r="K86" s="63" t="n">
        <x:f>IF(OR(J86="",J85=""),"",J86-J85)</x:f>
        <x:v>0.014987085000000011</x:v>
      </x:c>
      <x:c r="L86" s="98" t="n">
        <x:f>IF('Datos_fuente'!K86="","",LN('Datos_fuente'!K86))</x:f>
        <x:v>4.527514167787338</x:v>
      </x:c>
      <x:c r="M86" s="98" t="n">
        <x:f>IF(OR(L86="",L85=""),"",L86-L85)</x:f>
        <x:v>-0.009443199572019445</x:v>
      </x:c>
      <x:c r="N86" s="98" t="n">
        <x:f>IF('Datos_fuente'!L86="","",LN('Datos_fuente'!L86))</x:f>
        <x:v>2.752995855717272</x:v>
      </x:c>
      <x:c r="O86" s="98" t="n">
        <x:f>IF(OR(N86="",N85=""),"",N86-N85)</x:f>
        <x:v>-0.11292598527442932</x:v>
      </x:c>
      <x:c r="P86" s="96" t="n">
        <x:f>'Datos_fuente'!M86</x:f>
        <x:v>0</x:v>
      </x:c>
      <x:c r="Q86" s="98" t="n">
        <x:f>IF('Datos_fuente'!N86="","",LN('Datos_fuente'!N86))</x:f>
        <x:v>10.470789157337762</x:v>
      </x:c>
      <x:c r="R86" s="98" t="n">
        <x:f>IF(OR(Q86="",Q85=""),"",Q86-Q85)</x:f>
        <x:v>0.01593229724022649</x:v>
      </x:c>
      <x:c r="S86" s="63" t="n">
        <x:f>'Datos_fuente'!P86</x:f>
        <x:v>1.287826087</x:v>
      </x:c>
      <x:c r="T86" s="63" t="n">
        <x:f>IF(OR(S86="",S85=""),"",S86-S85)</x:f>
        <x:v>-0.22171936800000003</x:v>
      </x:c>
      <x:c r="U86" s="98" t="n">
        <x:f>IF('Datos_fuente'!Q86="","",ASINH('Datos_fuente'!Q86/1000))</x:f>
        <x:v>-0.3786096324966266</x:v>
      </x:c>
      <x:c r="V86" s="98" t="n">
        <x:f>IF(OR(U86="",U85=""),"",U86-U85)</x:f>
        <x:v>0.11211640180071225</x:v>
      </x:c>
      <x:c r="W86" s="98" t="n">
        <x:f>IF('Datos_fuente'!R86="","",ASINH('Datos_fuente'!R86/1000))</x:f>
        <x:v>0.784257051854449</x:v>
      </x:c>
      <x:c r="X86" s="98" t="n">
        <x:f>IF(OR(W86="",W85=""),"",W86-W85)</x:f>
        <x:v>-0.16477752921068112</x:v>
      </x:c>
      <x:c r="Y86" s="63" t="n">
        <x:f>'Datos_fuente'!W86</x:f>
        <x:v>0.8706873705</x:v>
      </x:c>
      <x:c r="Z86" s="63" t="n">
        <x:f>IF(OR(Y86="",Y85=""),"",Y86-Y85)</x:f>
        <x:v>-0.23469952549999995</x:v>
      </x:c>
      <x:c r="AA86" s="98" t="n">
        <x:f>'Datos_fuente'!AB86</x:f>
        <x:v>-0.5212470283</x:v>
      </x:c>
      <x:c r="AB86" s="98" t="n">
        <x:f>'Datos_fuente'!AC86</x:f>
        <x:v>-0.5348684544</x:v>
      </x:c>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t="str">
        <x:f>'Datos_fuente'!A87</x:f>
        <x:v>2012-09</x:v>
      </x:c>
      <x:c r="B87" s="98" t="n">
        <x:f>IF('Datos_fuente'!B87="","",LN('Datos_fuente'!B87))</x:f>
        <x:v>7.497066521680253</x:v>
      </x:c>
      <x:c r="C87" s="98" t="n">
        <x:f>IF(OR(B87="",B86=""),"",B87-B86)</x:f>
        <x:v>-0.0015391829811042257</x:v>
      </x:c>
      <x:c r="D87" s="98" t="n">
        <x:f>IF('Datos_fuente'!C87="","",LN('Datos_fuente'!C87))</x:f>
        <x:v>5.131140547080535</x:v>
      </x:c>
      <x:c r="E87" s="98" t="n">
        <x:f>IF(OR(D87="",D86=""),"",D87-D86)</x:f>
        <x:v>0.0834021650327772</x:v>
      </x:c>
      <x:c r="F87" s="98" t="n">
        <x:f>IF('Datos_fuente'!E87="","",LN('Datos_fuente'!E87))</x:f>
        <x:v>8.296863178388577</x:v>
      </x:c>
      <x:c r="G87" s="98" t="n">
        <x:f>IF(OR(F87="",F86=""),"",F87-F86)</x:f>
        <x:v>-0.006522742690437511</x:v>
      </x:c>
      <x:c r="H87" s="63" t="n">
        <x:f>'Datos_fuente'!H87</x:f>
        <x:v>4.61</x:v>
      </x:c>
      <x:c r="I87" s="63" t="n">
        <x:f>IF(OR(H87="",H86=""),"",H87-H86)</x:f>
        <x:v>-0.21967741899999993</x:v>
      </x:c>
      <x:c r="J87" s="63" t="n">
        <x:f>'Datos_fuente'!J87</x:f>
        <x:v>1.617997108</x:v>
      </x:c>
      <x:c r="K87" s="63" t="n">
        <x:f>IF(OR(J87="",J86=""),"",J87-J86)</x:f>
        <x:v>0.1024497419999999</x:v>
      </x:c>
      <x:c r="L87" s="98" t="n">
        <x:f>IF('Datos_fuente'!K87="","",LN('Datos_fuente'!K87))</x:f>
        <x:v>4.510641900424779</x:v>
      </x:c>
      <x:c r="M87" s="98" t="n">
        <x:f>IF(OR(L87="",L86=""),"",L87-L86)</x:f>
        <x:v>-0.01687226736255898</x:v>
      </x:c>
      <x:c r="N87" s="98" t="n">
        <x:f>IF('Datos_fuente'!L87="","",LN('Datos_fuente'!L87))</x:f>
        <x:v>2.7268547383152923</x:v>
      </x:c>
      <x:c r="O87" s="98" t="n">
        <x:f>IF(OR(N87="",N86=""),"",N87-N86)</x:f>
        <x:v>-0.026141117401979663</x:v>
      </x:c>
      <x:c r="P87" s="96" t="n">
        <x:f>'Datos_fuente'!M87</x:f>
        <x:v>0</x:v>
      </x:c>
      <x:c r="Q87" s="98" t="n">
        <x:f>IF('Datos_fuente'!N87="","",LN('Datos_fuente'!N87))</x:f>
        <x:v>10.486525739016017</x:v>
      </x:c>
      <x:c r="R87" s="98" t="n">
        <x:f>IF(OR(Q87="",Q86=""),"",Q87-Q86)</x:f>
        <x:v>0.015736581678254424</x:v>
      </x:c>
      <x:c r="S87" s="63" t="n">
        <x:f>'Datos_fuente'!P87</x:f>
        <x:v>1.265</x:v>
      </x:c>
      <x:c r="T87" s="63" t="n">
        <x:f>IF(OR(S87="",S86=""),"",S87-S86)</x:f>
        <x:v>-0.022826087000000106</x:v>
      </x:c>
      <x:c r="U87" s="98" t="n">
        <x:f>IF('Datos_fuente'!Q87="","",ASINH('Datos_fuente'!Q87/1000))</x:f>
        <x:v>-0.40805151109298476</x:v>
      </x:c>
      <x:c r="V87" s="98" t="n">
        <x:f>IF(OR(U87="",U86=""),"",U87-U86)</x:f>
        <x:v>-0.029441878596358162</x:v>
      </x:c>
      <x:c r="W87" s="98" t="n">
        <x:f>IF('Datos_fuente'!R87="","",ASINH('Datos_fuente'!R87/1000))</x:f>
        <x:v>0.8801851485529915</x:v>
      </x:c>
      <x:c r="X87" s="98" t="n">
        <x:f>IF(OR(W87="",W86=""),"",W87-W86)</x:f>
        <x:v>0.09592809669854241</x:v>
      </x:c>
      <x:c r="Y87" s="63" t="n">
        <x:f>'Datos_fuente'!W87</x:f>
        <x:v>0.9785158056</x:v>
      </x:c>
      <x:c r="Z87" s="63" t="n">
        <x:f>IF(OR(Y87="",Y86=""),"",Y87-Y86)</x:f>
        <x:v>0.10782843509999995</x:v>
      </x:c>
      <x:c r="AA87" s="98" t="n">
        <x:f>'Datos_fuente'!AB87</x:f>
        <x:v>-0.5246747376</x:v>
      </x:c>
      <x:c r="AB87" s="98" t="n">
        <x:f>'Datos_fuente'!AC87</x:f>
        <x:v>-0.4928404222</x:v>
      </x:c>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t="str">
        <x:f>'Datos_fuente'!A88</x:f>
        <x:v>2012-10</x:v>
      </x:c>
      <x:c r="B88" s="98" t="n">
        <x:f>IF('Datos_fuente'!B88="","",LN('Datos_fuente'!B88))</x:f>
        <x:v>7.497983942000513</x:v>
      </x:c>
      <x:c r="C88" s="98" t="n">
        <x:f>IF(OR(B88="",B87=""),"",B88-B87)</x:f>
        <x:v>0.0009174203202597653</x:v>
      </x:c>
      <x:c r="D88" s="98" t="n">
        <x:f>IF('Datos_fuente'!C88="","",LN('Datos_fuente'!C88))</x:f>
        <x:v>5.136210117004322</x:v>
      </x:c>
      <x:c r="E88" s="98" t="n">
        <x:f>IF(OR(D88="",D87=""),"",D88-D87)</x:f>
        <x:v>0.005069569923787043</x:v>
      </x:c>
      <x:c r="F88" s="98" t="n">
        <x:f>IF('Datos_fuente'!E88="","",LN('Datos_fuente'!E88))</x:f>
        <x:v>8.297473771068722</x:v>
      </x:c>
      <x:c r="G88" s="98" t="n">
        <x:f>IF(OR(F88="",F87=""),"",F88-F87)</x:f>
        <x:v>0.0006105926801449613</x:v>
      </x:c>
      <x:c r="H88" s="63" t="n">
        <x:f>'Datos_fuente'!H88</x:f>
        <x:v>4.59</x:v>
      </x:c>
      <x:c r="I88" s="63" t="n">
        <x:f>IF(OR(H88="",H87=""),"",H88-H87)</x:f>
        <x:v>-0.020000000000000462</x:v>
      </x:c>
      <x:c r="J88" s="63" t="n">
        <x:f>'Datos_fuente'!J88</x:f>
        <x:v>1.981446547</x:v>
      </x:c>
      <x:c r="K88" s="63" t="n">
        <x:f>IF(OR(J88="",J87=""),"",J88-J87)</x:f>
        <x:v>0.36344943900000004</x:v>
      </x:c>
      <x:c r="L88" s="98" t="n">
        <x:f>IF('Datos_fuente'!K88="","",LN('Datos_fuente'!K88))</x:f>
        <x:v>4.508181528327605</x:v>
      </x:c>
      <x:c r="M88" s="98" t="n">
        <x:f>IF(OR(L88="",L87=""),"",L88-L87)</x:f>
        <x:v>-0.0024603720971736465</x:v>
      </x:c>
      <x:c r="N88" s="98" t="n">
        <x:f>IF('Datos_fuente'!L88="","",LN('Datos_fuente'!L88))</x:f>
        <x:v>2.7897033331921226</x:v>
      </x:c>
      <x:c r="O88" s="98" t="n">
        <x:f>IF(OR(N88="",N87=""),"",N88-N87)</x:f>
        <x:v>0.06284859487683025</x:v>
      </x:c>
      <x:c r="P88" s="96" t="n">
        <x:f>'Datos_fuente'!M88</x:f>
        <x:v>0</x:v>
      </x:c>
      <x:c r="Q88" s="98" t="n">
        <x:f>IF('Datos_fuente'!N88="","",LN('Datos_fuente'!N88))</x:f>
        <x:v>10.50219574869081</x:v>
      </x:c>
      <x:c r="R88" s="98" t="n">
        <x:f>IF(OR(Q88="",Q87=""),"",Q88-Q87)</x:f>
        <x:v>0.015670009674792595</x:v>
      </x:c>
      <x:c r="S88" s="63" t="n">
        <x:f>'Datos_fuente'!P88</x:f>
        <x:v>1.106521739</x:v>
      </x:c>
      <x:c r="T88" s="63" t="n">
        <x:f>IF(OR(S88="",S87=""),"",S88-S87)</x:f>
        <x:v>-0.15847826099999995</x:v>
      </x:c>
      <x:c r="U88" s="98" t="n">
        <x:f>IF('Datos_fuente'!Q88="","",ASINH('Datos_fuente'!Q88/1000))</x:f>
        <x:v>-0.289758267477951</x:v>
      </x:c>
      <x:c r="V88" s="98" t="n">
        <x:f>IF(OR(U88="",U87=""),"",U88-U87)</x:f>
        <x:v>0.11829324361503374</x:v>
      </x:c>
      <x:c r="W88" s="98" t="n">
        <x:f>IF('Datos_fuente'!R88="","",ASINH('Datos_fuente'!R88/1000))</x:f>
        <x:v>0.8774224218825192</x:v>
      </x:c>
      <x:c r="X88" s="98" t="n">
        <x:f>IF(OR(W88="",W87=""),"",W88-W87)</x:f>
        <x:v>-0.002762726670472282</x:v>
      </x:c>
      <x:c r="Y88" s="63" t="n">
        <x:f>'Datos_fuente'!W88</x:f>
        <x:v>1.003453685</x:v>
      </x:c>
      <x:c r="Z88" s="63" t="n">
        <x:f>IF(OR(Y88="",Y87=""),"",Y88-Y87)</x:f>
        <x:v>0.02493787940000003</x:v>
      </x:c>
      <x:c r="AA88" s="98" t="n">
        <x:f>'Datos_fuente'!AB88</x:f>
        <x:v>-0.08289523778</x:v>
      </x:c>
      <x:c r="AB88" s="98" t="n">
        <x:f>'Datos_fuente'!AC88</x:f>
        <x:v>-0.176039286</x:v>
      </x:c>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t="str">
        <x:f>'Datos_fuente'!A89</x:f>
        <x:v>2012-11</x:v>
      </x:c>
      <x:c r="B89" s="98" t="n">
        <x:f>IF('Datos_fuente'!B89="","",LN('Datos_fuente'!B89))</x:f>
        <x:v>7.507148584916358</x:v>
      </x:c>
      <x:c r="C89" s="98" t="n">
        <x:f>IF(OR(B89="",B88=""),"",B89-B88)</x:f>
        <x:v>0.009164642915845178</x:v>
      </x:c>
      <x:c r="D89" s="98" t="n">
        <x:f>IF('Datos_fuente'!C89="","",LN('Datos_fuente'!C89))</x:f>
        <x:v>5.118173437001857</x:v>
      </x:c>
      <x:c r="E89" s="98" t="n">
        <x:f>IF(OR(D89="",D88=""),"",D89-D88)</x:f>
        <x:v>-0.01803668000246539</x:v>
      </x:c>
      <x:c r="F89" s="98" t="n">
        <x:f>IF('Datos_fuente'!E89="","",LN('Datos_fuente'!E89))</x:f>
        <x:v>8.290781806545258</x:v>
      </x:c>
      <x:c r="G89" s="98" t="n">
        <x:f>IF(OR(F89="",F88=""),"",F89-F88)</x:f>
        <x:v>-0.006691964523463767</x:v>
      </x:c>
      <x:c r="H89" s="63" t="n">
        <x:f>'Datos_fuente'!H89</x:f>
        <x:v>4.548333333</x:v>
      </x:c>
      <x:c r="I89" s="63" t="n">
        <x:f>IF(OR(H89="",H88=""),"",H89-H88)</x:f>
        <x:v>-0.041666666999999435</x:v>
      </x:c>
      <x:c r="J89" s="63" t="n">
        <x:f>'Datos_fuente'!J89</x:f>
        <x:v>1.037831214</x:v>
      </x:c>
      <x:c r="K89" s="63" t="n">
        <x:f>IF(OR(J89="",J88=""),"",J89-J88)</x:f>
        <x:v>-0.9436153330000001</x:v>
      </x:c>
      <x:c r="L89" s="98" t="n">
        <x:f>IF('Datos_fuente'!K89="","",LN('Datos_fuente'!K89))</x:f>
        <x:v>4.516066585460778</x:v>
      </x:c>
      <x:c r="M89" s="98" t="n">
        <x:f>IF(OR(L89="",L88=""),"",L89-L88)</x:f>
        <x:v>0.00788505713317278</x:v>
      </x:c>
      <x:c r="N89" s="98" t="n">
        <x:f>IF('Datos_fuente'!L89="","",LN('Datos_fuente'!L89))</x:f>
        <x:v>2.815522770403679</x:v>
      </x:c>
      <x:c r="O89" s="98" t="n">
        <x:f>IF(OR(N89="",N88=""),"",N89-N88)</x:f>
        <x:v>0.02581943721155655</x:v>
      </x:c>
      <x:c r="P89" s="96" t="n">
        <x:f>'Datos_fuente'!M89</x:f>
        <x:v>0</x:v>
      </x:c>
      <x:c r="Q89" s="98" t="n">
        <x:f>IF('Datos_fuente'!N89="","",LN('Datos_fuente'!N89))</x:f>
        <x:v>10.515691724439868</x:v>
      </x:c>
      <x:c r="R89" s="98" t="n">
        <x:f>IF(OR(Q89="",Q88=""),"",Q89-Q88)</x:f>
        <x:v>0.013495975749059141</x:v>
      </x:c>
      <x:c r="S89" s="63" t="n">
        <x:f>'Datos_fuente'!P89</x:f>
        <x:v>1.228181818</x:v>
      </x:c>
      <x:c r="T89" s="63" t="n">
        <x:f>IF(OR(S89="",S88=""),"",S89-S88)</x:f>
        <x:v>0.12166007899999998</x:v>
      </x:c>
      <x:c r="U89" s="98" t="n">
        <x:f>IF('Datos_fuente'!Q89="","",ASINH('Datos_fuente'!Q89/1000))</x:f>
        <x:v>-0.35557003724487235</x:v>
      </x:c>
      <x:c r="V89" s="98" t="n">
        <x:f>IF(OR(U89="",U88=""),"",U89-U88)</x:f>
        <x:v>-0.06581176976692132</x:v>
      </x:c>
      <x:c r="W89" s="98" t="n">
        <x:f>IF('Datos_fuente'!R89="","",ASINH('Datos_fuente'!R89/1000))</x:f>
        <x:v>0.7797324437778991</x:v>
      </x:c>
      <x:c r="X89" s="98" t="n">
        <x:f>IF(OR(W89="",W88=""),"",W89-W88)</x:f>
        <x:v>-0.0976899781046201</x:v>
      </x:c>
      <x:c r="Y89" s="63" t="n">
        <x:f>'Datos_fuente'!W89</x:f>
        <x:v>1.134579988</x:v>
      </x:c>
      <x:c r="Z89" s="63" t="n">
        <x:f>IF(OR(Y89="",Y88=""),"",Y89-Y88)</x:f>
        <x:v>0.13112630300000006</x:v>
      </x:c>
      <x:c r="AA89" s="98" t="n">
        <x:f>'Datos_fuente'!AB89</x:f>
        <x:v>0.3461067737</x:v>
      </x:c>
      <x:c r="AB89" s="98" t="n">
        <x:f>'Datos_fuente'!AC89</x:f>
        <x:v>0.3469369418</x:v>
      </x:c>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t="str">
        <x:f>'Datos_fuente'!A90</x:f>
        <x:v>2012-12</x:v>
      </x:c>
      <x:c r="B90" s="98" t="n">
        <x:f>IF('Datos_fuente'!B90="","",LN('Datos_fuente'!B90))</x:f>
        <x:v>7.491363693250663</x:v>
      </x:c>
      <x:c r="C90" s="98" t="n">
        <x:f>IF(OR(B90="",B89=""),"",B90-B89)</x:f>
        <x:v>-0.015784891665695078</x:v>
      </x:c>
      <x:c r="D90" s="98" t="n">
        <x:f>IF('Datos_fuente'!C90="","",LN('Datos_fuente'!C90))</x:f>
        <x:v>5.115115422326775</x:v>
      </x:c>
      <x:c r="E90" s="98" t="n">
        <x:f>IF(OR(D90="",D89=""),"",D90-D89)</x:f>
        <x:v>-0.0030580146750818216</x:v>
      </x:c>
      <x:c r="F90" s="98" t="n">
        <x:f>IF('Datos_fuente'!E90="","",LN('Datos_fuente'!E90))</x:f>
        <x:v>8.2864382468006</x:v>
      </x:c>
      <x:c r="G90" s="98" t="n">
        <x:f>IF(OR(F90="",F89=""),"",F90-F89)</x:f>
        <x:v>-0.004343559744658165</x:v>
      </x:c>
      <x:c r="H90" s="63" t="n">
        <x:f>'Datos_fuente'!H90</x:f>
        <x:v>4.275483871</x:v>
      </x:c>
      <x:c r="I90" s="63" t="n">
        <x:f>IF(OR(H90="",H89=""),"",H90-H89)</x:f>
        <x:v>-0.2728494620000008</x:v>
      </x:c>
      <x:c r="J90" s="63" t="n">
        <x:f>'Datos_fuente'!J90</x:f>
        <x:v>2.316502485</x:v>
      </x:c>
      <x:c r="K90" s="63" t="n">
        <x:f>IF(OR(J90="",J89=""),"",J90-J89)</x:f>
        <x:v>1.278671271</x:v>
      </x:c>
      <x:c r="L90" s="98" t="n">
        <x:f>IF('Datos_fuente'!K90="","",LN('Datos_fuente'!K90))</x:f>
        <x:v>4.509544246336873</x:v>
      </x:c>
      <x:c r="M90" s="98" t="n">
        <x:f>IF(OR(L90="",L89=""),"",L90-L89)</x:f>
        <x:v>-0.0065223391239053186</x:v>
      </x:c>
      <x:c r="N90" s="98" t="n">
        <x:f>IF('Datos_fuente'!L90="","",LN('Datos_fuente'!L90))</x:f>
        <x:v>2.851111043942862</x:v>
      </x:c>
      <x:c r="O90" s="98" t="n">
        <x:f>IF(OR(N90="",N89=""),"",N90-N89)</x:f>
        <x:v>0.035588273539183035</x:v>
      </x:c>
      <x:c r="P90" s="96" t="n">
        <x:f>'Datos_fuente'!M90</x:f>
        <x:v>0</x:v>
      </x:c>
      <x:c r="Q90" s="98" t="n">
        <x:f>IF('Datos_fuente'!N90="","",LN('Datos_fuente'!N90))</x:f>
        <x:v>10.531205415316958</x:v>
      </x:c>
      <x:c r="R90" s="98" t="n">
        <x:f>IF(OR(Q90="",Q89=""),"",Q90-Q89)</x:f>
        <x:v>0.015513690877089203</x:v>
      </x:c>
      <x:c r="S90" s="63" t="n">
        <x:f>'Datos_fuente'!P90</x:f>
        <x:v>1.161428571</x:v>
      </x:c>
      <x:c r="T90" s="63" t="n">
        <x:f>IF(OR(S90="",S89=""),"",S90-S89)</x:f>
        <x:v>-0.06675324699999985</x:v>
      </x:c>
      <x:c r="U90" s="98" t="n">
        <x:f>IF('Datos_fuente'!Q90="","",ASINH('Datos_fuente'!Q90/1000))</x:f>
        <x:v>-0.550500669259655</x:v>
      </x:c>
      <x:c r="V90" s="98" t="n">
        <x:f>IF(OR(U90="",U89=""),"",U90-U89)</x:f>
        <x:v>-0.19493063201478267</x:v>
      </x:c>
      <x:c r="W90" s="98" t="n">
        <x:f>IF('Datos_fuente'!R90="","",ASINH('Datos_fuente'!R90/1000))</x:f>
        <x:v>1.0207274060948501</x:v>
      </x:c>
      <x:c r="X90" s="98" t="n">
        <x:f>IF(OR(W90="",W89=""),"",W90-W89)</x:f>
        <x:v>0.24099496231695106</x:v>
      </x:c>
      <x:c r="Y90" s="63" t="n">
        <x:f>'Datos_fuente'!W90</x:f>
        <x:v>0.6969495943</x:v>
      </x:c>
      <x:c r="Z90" s="63" t="n">
        <x:f>IF(OR(Y90="",Y89=""),"",Y90-Y89)</x:f>
        <x:v>-0.4376303937</x:v>
      </x:c>
      <x:c r="AA90" s="98" t="n">
        <x:f>'Datos_fuente'!AB90</x:f>
        <x:v>-0.3382040945</x:v>
      </x:c>
      <x:c r="AB90" s="98" t="n">
        <x:f>'Datos_fuente'!AC90</x:f>
        <x:v>-0.5007506455</x:v>
      </x:c>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t="str">
        <x:f>'Datos_fuente'!A91</x:f>
        <x:v>2013-01</x:v>
      </x:c>
      <x:c r="B91" s="98" t="n">
        <x:f>IF('Datos_fuente'!B91="","",LN('Datos_fuente'!B91))</x:f>
        <x:v>7.478549825970629</x:v>
      </x:c>
      <x:c r="C91" s="98" t="n">
        <x:f>IF(OR(B91="",B90=""),"",B91-B90)</x:f>
        <x:v>-0.012813867280033975</x:v>
      </x:c>
      <x:c r="D91" s="98" t="n">
        <x:f>IF('Datos_fuente'!C91="","",LN('Datos_fuente'!C91))</x:f>
        <x:v>5.120565353468452</x:v>
      </x:c>
      <x:c r="E91" s="98" t="n">
        <x:f>IF(OR(D91="",D90=""),"",D91-D90)</x:f>
        <x:v>0.0054499311416771334</x:v>
      </x:c>
      <x:c r="F91" s="98" t="n">
        <x:f>IF('Datos_fuente'!E91="","",LN('Datos_fuente'!E91))</x:f>
        <x:v>8.295181499307656</x:v>
      </x:c>
      <x:c r="G91" s="98" t="n">
        <x:f>IF(OR(F91="",F90=""),"",F91-F90)</x:f>
        <x:v>0.008743252507056098</x:v>
      </x:c>
      <x:c r="H91" s="63" t="n">
        <x:f>'Datos_fuente'!H91</x:f>
        <x:v>4.085806452</x:v>
      </x:c>
      <x:c r="I91" s="63" t="n">
        <x:f>IF(OR(H91="",H90=""),"",H91-H90)</x:f>
        <x:v>-0.18967741899999968</x:v>
      </x:c>
      <x:c r="J91" s="63" t="n">
        <x:f>'Datos_fuente'!J91</x:f>
        <x:v>1.469951168</x:v>
      </x:c>
      <x:c r="K91" s="63" t="n">
        <x:f>IF(OR(J91="",J90=""),"",J91-J90)</x:f>
        <x:v>-0.8465513170000001</x:v>
      </x:c>
      <x:c r="L91" s="98" t="n">
        <x:f>IF('Datos_fuente'!K91="","",LN('Datos_fuente'!K91))</x:f>
        <x:v>4.50894024051898</x:v>
      </x:c>
      <x:c r="M91" s="98" t="n">
        <x:f>IF(OR(L91="",L90=""),"",L91-L90)</x:f>
        <x:v>-0.0006040058178928831</x:v>
      </x:c>
      <x:c r="N91" s="98" t="n">
        <x:f>IF('Datos_fuente'!L91="","",LN('Datos_fuente'!L91))</x:f>
        <x:v>2.603077617596383</x:v>
      </x:c>
      <x:c r="O91" s="98" t="n">
        <x:f>IF(OR(N91="",N90=""),"",N91-N90)</x:f>
        <x:v>-0.2480334263464794</x:v>
      </x:c>
      <x:c r="P91" s="96" t="n">
        <x:f>'Datos_fuente'!M91</x:f>
        <x:v>0</x:v>
      </x:c>
      <x:c r="Q91" s="98" t="n">
        <x:f>IF('Datos_fuente'!N91="","",LN('Datos_fuente'!N91))</x:f>
        <x:v>10.541716719449028</x:v>
      </x:c>
      <x:c r="R91" s="98" t="n">
        <x:f>IF(OR(Q91="",Q90=""),"",Q91-Q90)</x:f>
        <x:v>0.01051130413206991</x:v>
      </x:c>
      <x:c r="S91" s="63" t="n">
        <x:f>'Datos_fuente'!P91</x:f>
        <x:v>1.124347826</x:v>
      </x:c>
      <x:c r="T91" s="63" t="n">
        <x:f>IF(OR(S91="",S90=""),"",S91-S90)</x:f>
        <x:v>-0.03708074500000014</x:v>
      </x:c>
      <x:c r="U91" s="98" t="n">
        <x:f>IF('Datos_fuente'!Q91="","",ASINH('Datos_fuente'!Q91/1000))</x:f>
        <x:v>-0.44728575853010144</x:v>
      </x:c>
      <x:c r="V91" s="98" t="n">
        <x:f>IF(OR(U91="",U90=""),"",U91-U90)</x:f>
        <x:v>0.10321491072955358</x:v>
      </x:c>
      <x:c r="W91" s="98" t="n">
        <x:f>IF('Datos_fuente'!R91="","",ASINH('Datos_fuente'!R91/1000))</x:f>
        <x:v>0.863914298360071</x:v>
      </x:c>
      <x:c r="X91" s="98" t="n">
        <x:f>IF(OR(W91="",W90=""),"",W91-W90)</x:f>
        <x:v>-0.15681310773477908</x:v>
      </x:c>
      <x:c r="Y91" s="63" t="n">
        <x:f>'Datos_fuente'!W91</x:f>
        <x:v>0.4783159593</x:v>
      </x:c>
      <x:c r="Z91" s="63" t="n">
        <x:f>IF(OR(Y91="",Y90=""),"",Y91-Y90)</x:f>
        <x:v>-0.21863363500000005</x:v>
      </x:c>
      <x:c r="AA91" s="98" t="n">
        <x:f>'Datos_fuente'!AB91</x:f>
        <x:v>-0.5923571245</x:v>
      </x:c>
      <x:c r="AB91" s="98" t="n">
        <x:f>'Datos_fuente'!AC91</x:f>
        <x:v>-0.5548777429</x:v>
      </x:c>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t="str">
        <x:f>'Datos_fuente'!A92</x:f>
        <x:v>2013-02</x:v>
      </x:c>
      <x:c r="B92" s="98" t="n">
        <x:f>IF('Datos_fuente'!B92="","",LN('Datos_fuente'!B92))</x:f>
        <x:v>7.4902769173694805</x:v>
      </x:c>
      <x:c r="C92" s="98" t="n">
        <x:f>IF(OR(B92="",B91=""),"",B92-B91)</x:f>
        <x:v>0.011727091398851641</x:v>
      </x:c>
      <x:c r="D92" s="98" t="n">
        <x:f>IF('Datos_fuente'!C92="","",LN('Datos_fuente'!C92))</x:f>
        <x:v>5.137502866038513</x:v>
      </x:c>
      <x:c r="E92" s="98" t="n">
        <x:f>IF(OR(D92="",D91=""),"",D92-D91)</x:f>
        <x:v>0.016937512570061486</x:v>
      </x:c>
      <x:c r="F92" s="98" t="n">
        <x:f>IF('Datos_fuente'!E92="","",LN('Datos_fuente'!E92))</x:f>
        <x:v>8.298870501055967</x:v>
      </x:c>
      <x:c r="G92" s="98" t="n">
        <x:f>IF(OR(F92="",F91=""),"",F92-F91)</x:f>
        <x:v>0.003689001748311327</x:v>
      </x:c>
      <x:c r="H92" s="63" t="n">
        <x:f>'Datos_fuente'!H92</x:f>
        <x:v>3.814285714</x:v>
      </x:c>
      <x:c r="I92" s="63" t="n">
        <x:f>IF(OR(H92="",H91=""),"",H92-H91)</x:f>
        <x:v>-0.271520738</x:v>
      </x:c>
      <x:c r="J92" s="63" t="n">
        <x:f>'Datos_fuente'!J92</x:f>
        <x:v>1.680938137</x:v>
      </x:c>
      <x:c r="K92" s="63" t="n">
        <x:f>IF(OR(J92="",J91=""),"",J92-J91)</x:f>
        <x:v>0.21098696900000014</x:v>
      </x:c>
      <x:c r="L92" s="98" t="n">
        <x:f>IF('Datos_fuente'!K92="","",LN('Datos_fuente'!K92))</x:f>
        <x:v>4.51689481427542</x:v>
      </x:c>
      <x:c r="M92" s="98" t="n">
        <x:f>IF(OR(L92="",L91=""),"",L92-L91)</x:f>
        <x:v>0.007954573756440375</x:v>
      </x:c>
      <x:c r="N92" s="98" t="n">
        <x:f>IF('Datos_fuente'!L92="","",LN('Datos_fuente'!L92))</x:f>
        <x:v>2.644231888463336</x:v>
      </x:c>
      <x:c r="O92" s="98" t="n">
        <x:f>IF(OR(N92="",N91=""),"",N92-N91)</x:f>
        <x:v>0.041154270866953</x:v>
      </x:c>
      <x:c r="P92" s="96" t="n">
        <x:f>'Datos_fuente'!M92</x:f>
        <x:v>0</x:v>
      </x:c>
      <x:c r="Q92" s="98" t="n">
        <x:f>IF('Datos_fuente'!N92="","",LN('Datos_fuente'!N92))</x:f>
        <x:v>10.559342698845343</x:v>
      </x:c>
      <x:c r="R92" s="98" t="n">
        <x:f>IF(OR(Q92="",Q91=""),"",Q92-Q91)</x:f>
        <x:v>0.017625979396315827</x:v>
      </x:c>
      <x:c r="S92" s="63" t="n">
        <x:f>'Datos_fuente'!P92</x:f>
        <x:v>1.313</x:v>
      </x:c>
      <x:c r="T92" s="63" t="n">
        <x:f>IF(OR(S92="",S91=""),"",S92-S91)</x:f>
        <x:v>0.188652174</x:v>
      </x:c>
      <x:c r="U92" s="98" t="n">
        <x:f>IF('Datos_fuente'!Q92="","",ASINH('Datos_fuente'!Q92/1000))</x:f>
        <x:v>-0.2580563214172582</x:v>
      </x:c>
      <x:c r="V92" s="98" t="n">
        <x:f>IF(OR(U92="",U91=""),"",U92-U91)</x:f>
        <x:v>0.18922943711284324</x:v>
      </x:c>
      <x:c r="W92" s="98" t="n">
        <x:f>IF('Datos_fuente'!R92="","",ASINH('Datos_fuente'!R92/1000))</x:f>
        <x:v>0.6828596115204223</x:v>
      </x:c>
      <x:c r="X92" s="98" t="n">
        <x:f>IF(OR(W92="",W91=""),"",W92-W91)</x:f>
        <x:v>-0.18105468683964876</x:v>
      </x:c>
      <x:c r="Y92" s="63" t="n">
        <x:f>'Datos_fuente'!W92</x:f>
        <x:v>0.2194234659</x:v>
      </x:c>
      <x:c r="Z92" s="63" t="n">
        <x:f>IF(OR(Y92="",Y91=""),"",Y92-Y91)</x:f>
        <x:v>-0.2588924934</x:v>
      </x:c>
      <x:c r="AA92" s="98" t="n">
        <x:f>'Datos_fuente'!AB92</x:f>
        <x:v>-0.3363675092</x:v>
      </x:c>
      <x:c r="AB92" s="98" t="n">
        <x:f>'Datos_fuente'!AC92</x:f>
        <x:v>-0.04458517608</x:v>
      </x:c>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t="str">
        <x:f>'Datos_fuente'!A93</x:f>
        <x:v>2013-03</x:v>
      </x:c>
      <x:c r="B93" s="98" t="n">
        <x:f>IF('Datos_fuente'!B93="","",LN('Datos_fuente'!B93))</x:f>
        <x:v>7.503151092964512</x:v>
      </x:c>
      <x:c r="C93" s="98" t="n">
        <x:f>IF(OR(B93="",B92=""),"",B93-B92)</x:f>
        <x:v>0.0128741755950319</x:v>
      </x:c>
      <x:c r="D93" s="98" t="n">
        <x:f>IF('Datos_fuente'!C93="","",LN('Datos_fuente'!C93))</x:f>
        <x:v>5.104793295246089</x:v>
      </x:c>
      <x:c r="E93" s="98" t="n">
        <x:f>IF(OR(D93="",D92=""),"",D93-D92)</x:f>
        <x:v>-0.032709570792424536</x:v>
      </x:c>
      <x:c r="F93" s="98" t="n">
        <x:f>IF('Datos_fuente'!E93="","",LN('Datos_fuente'!E93))</x:f>
        <x:v>8.297800098333022</x:v>
      </x:c>
      <x:c r="G93" s="98" t="n">
        <x:f>IF(OR(F93="",F92=""),"",F93-F92)</x:f>
        <x:v>-0.0010704027229451185</x:v>
      </x:c>
      <x:c r="H93" s="63" t="n">
        <x:f>'Datos_fuente'!H93</x:f>
        <x:v>3.513225806</x:v>
      </x:c>
      <x:c r="I93" s="63" t="n">
        <x:f>IF(OR(H93="",H92=""),"",H93-H92)</x:f>
        <x:v>-0.30105990800000004</x:v>
      </x:c>
      <x:c r="J93" s="63" t="n">
        <x:f>'Datos_fuente'!J93</x:f>
        <x:v>2.144560764</x:v>
      </x:c>
      <x:c r="K93" s="63" t="n">
        <x:f>IF(OR(J93="",J92=""),"",J93-J92)</x:f>
        <x:v>0.4636226269999999</x:v>
      </x:c>
      <x:c r="L93" s="98" t="n">
        <x:f>IF('Datos_fuente'!K93="","",LN('Datos_fuente'!K93))</x:f>
        <x:v>4.526269609168063</x:v>
      </x:c>
      <x:c r="M93" s="98" t="n">
        <x:f>IF(OR(L93="",L92=""),"",L93-L92)</x:f>
        <x:v>0.00937479489264259</x:v>
      </x:c>
      <x:c r="N93" s="98" t="n">
        <x:f>IF('Datos_fuente'!L93="","",LN('Datos_fuente'!L93))</x:f>
        <x:v>2.56736950346733</x:v>
      </x:c>
      <x:c r="O93" s="98" t="n">
        <x:f>IF(OR(N93="",N92=""),"",N93-N92)</x:f>
        <x:v>-0.07686238499600595</x:v>
      </x:c>
      <x:c r="P93" s="96" t="n">
        <x:f>'Datos_fuente'!M93</x:f>
        <x:v>0</x:v>
      </x:c>
      <x:c r="Q93" s="98" t="n">
        <x:f>IF('Datos_fuente'!N93="","",LN('Datos_fuente'!N93))</x:f>
        <x:v>10.57986820717615</x:v>
      </x:c>
      <x:c r="R93" s="98" t="n">
        <x:f>IF(OR(Q93="",Q92=""),"",Q93-Q92)</x:f>
        <x:v>0.02052550833080602</x:v>
      </x:c>
      <x:c r="S93" s="63" t="n">
        <x:f>'Datos_fuente'!P93</x:f>
        <x:v>1.418095238</x:v>
      </x:c>
      <x:c r="T93" s="63" t="n">
        <x:f>IF(OR(S93="",S92=""),"",S93-S92)</x:f>
        <x:v>0.10509523800000009</x:v>
      </x:c>
      <x:c r="U93" s="98" t="n">
        <x:f>IF('Datos_fuente'!Q93="","",ASINH('Datos_fuente'!Q93/1000))</x:f>
        <x:v>-0.13332466412577357</x:v>
      </x:c>
      <x:c r="V93" s="98" t="n">
        <x:f>IF(OR(U93="",U92=""),"",U93-U92)</x:f>
        <x:v>0.12473165729148464</x:v>
      </x:c>
      <x:c r="W93" s="98" t="n">
        <x:f>IF('Datos_fuente'!R93="","",ASINH('Datos_fuente'!R93/1000))</x:f>
        <x:v>0.8990459802991351</x:v>
      </x:c>
      <x:c r="X93" s="98" t="n">
        <x:f>IF(OR(W93="",W92=""),"",W93-W92)</x:f>
        <x:v>0.21618636877871278</x:v>
      </x:c>
      <x:c r="Y93" s="63" t="n">
        <x:f>'Datos_fuente'!W93</x:f>
        <x:v>0.2912759795</x:v>
      </x:c>
      <x:c r="Z93" s="63" t="n">
        <x:f>IF(OR(Y93="",Y92=""),"",Y93-Y92)</x:f>
        <x:v>0.0718525136</x:v>
      </x:c>
      <x:c r="AA93" s="98" t="n">
        <x:f>'Datos_fuente'!AB93</x:f>
        <x:v>-0.2519671956</x:v>
      </x:c>
      <x:c r="AB93" s="98" t="n">
        <x:f>'Datos_fuente'!AC93</x:f>
        <x:v>-0.06343102824</x:v>
      </x:c>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t="str">
        <x:f>'Datos_fuente'!A94</x:f>
        <x:v>2013-04</x:v>
      </x:c>
      <x:c r="B94" s="98" t="n">
        <x:f>IF('Datos_fuente'!B94="","",LN('Datos_fuente'!B94))</x:f>
        <x:v>7.512197649321619</x:v>
      </x:c>
      <x:c r="C94" s="98" t="n">
        <x:f>IF(OR(B94="",B93=""),"",B94-B93)</x:f>
        <x:v>0.009046556357106716</x:v>
      </x:c>
      <x:c r="D94" s="98" t="n">
        <x:f>IF('Datos_fuente'!C94="","",LN('Datos_fuente'!C94))</x:f>
        <x:v>5.055990995817053</x:v>
      </x:c>
      <x:c r="E94" s="98" t="n">
        <x:f>IF(OR(D94="",D93=""),"",D94-D93)</x:f>
        <x:v>-0.04880229942903558</x:v>
      </x:c>
      <x:c r="F94" s="98" t="n">
        <x:f>IF('Datos_fuente'!E94="","",LN('Datos_fuente'!E94))</x:f>
        <x:v>8.311781497382173</x:v>
      </x:c>
      <x:c r="G94" s="98" t="n">
        <x:f>IF(OR(F94="",F93=""),"",F94-F93)</x:f>
        <x:v>0.013981399049150411</x:v>
      </x:c>
      <x:c r="H94" s="63" t="n">
        <x:f>'Datos_fuente'!H94</x:f>
        <x:v>3.1</x:v>
      </x:c>
      <x:c r="I94" s="63" t="n">
        <x:f>IF(OR(H94="",H93=""),"",H94-H93)</x:f>
        <x:v>-0.4132258059999998</x:v>
      </x:c>
      <x:c r="J94" s="63" t="n">
        <x:f>'Datos_fuente'!J94</x:f>
        <x:v>2.953051089</x:v>
      </x:c>
      <x:c r="K94" s="63" t="n">
        <x:f>IF(OR(J94="",J93=""),"",J94-J93)</x:f>
        <x:v>0.8084903250000002</x:v>
      </x:c>
      <x:c r="L94" s="98" t="n">
        <x:f>IF('Datos_fuente'!K94="","",LN('Datos_fuente'!K94))</x:f>
        <x:v>4.522308254276044</x:v>
      </x:c>
      <x:c r="M94" s="98" t="n">
        <x:f>IF(OR(L94="",L93=""),"",L94-L93)</x:f>
        <x:v>-0.003961354892018321</x:v>
      </x:c>
      <x:c r="N94" s="98" t="n">
        <x:f>IF('Datos_fuente'!L94="","",LN('Datos_fuente'!L94))</x:f>
        <x:v>2.636716930874595</x:v>
      </x:c>
      <x:c r="O94" s="98" t="n">
        <x:f>IF(OR(N94="",N93=""),"",N94-N93)</x:f>
        <x:v>0.06934742740726518</x:v>
      </x:c>
      <x:c r="P94" s="96" t="n">
        <x:f>'Datos_fuente'!M94</x:f>
        <x:v>0</x:v>
      </x:c>
      <x:c r="Q94" s="98" t="n">
        <x:f>IF('Datos_fuente'!N94="","",LN('Datos_fuente'!N94))</x:f>
        <x:v>10.598873724682655</x:v>
      </x:c>
      <x:c r="R94" s="98" t="n">
        <x:f>IF(OR(Q94="",Q93=""),"",Q94-Q93)</x:f>
        <x:v>0.019005517506505143</x:v>
      </x:c>
      <x:c r="S94" s="63" t="n">
        <x:f>'Datos_fuente'!P94</x:f>
        <x:v>1.319545455</x:v>
      </x:c>
      <x:c r="T94" s="63" t="n">
        <x:f>IF(OR(S94="",S93=""),"",S94-S93)</x:f>
        <x:v>-0.09854978299999995</x:v>
      </x:c>
      <x:c r="U94" s="98" t="n">
        <x:f>IF('Datos_fuente'!Q94="","",ASINH('Datos_fuente'!Q94/1000))</x:f>
        <x:v>-0.4288714550410456</x:v>
      </x:c>
      <x:c r="V94" s="98" t="n">
        <x:f>IF(OR(U94="",U93=""),"",U94-U93)</x:f>
        <x:v>-0.29554679091527203</x:v>
      </x:c>
      <x:c r="W94" s="98" t="n">
        <x:f>IF('Datos_fuente'!R94="","",ASINH('Datos_fuente'!R94/1000))</x:f>
        <x:v>1.0447349709453837</x:v>
      </x:c>
      <x:c r="X94" s="98" t="n">
        <x:f>IF(OR(W94="",W93=""),"",W94-W93)</x:f>
        <x:v>0.14568899064624863</x:v>
      </x:c>
      <x:c r="Y94" s="63" t="n">
        <x:f>'Datos_fuente'!W94</x:f>
        <x:v>0.4617697109</x:v>
      </x:c>
      <x:c r="Z94" s="63" t="n">
        <x:f>IF(OR(Y94="",Y93=""),"",Y94-Y93)</x:f>
        <x:v>0.17049373140000001</x:v>
      </x:c>
      <x:c r="AA94" s="98" t="n">
        <x:f>'Datos_fuente'!AB94</x:f>
        <x:v>-0.3097547991</x:v>
      </x:c>
      <x:c r="AB94" s="98" t="n">
        <x:f>'Datos_fuente'!AC94</x:f>
        <x:v>-0.1996801271</x:v>
      </x:c>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t="str">
        <x:f>'Datos_fuente'!A95</x:f>
        <x:v>2013-05</x:v>
      </x:c>
      <x:c r="B95" s="98" t="n">
        <x:f>IF('Datos_fuente'!B95="","",LN('Datos_fuente'!B95))</x:f>
        <x:v>7.521816659303223</x:v>
      </x:c>
      <x:c r="C95" s="98" t="n">
        <x:f>IF(OR(B95="",B94=""),"",B95-B94)</x:f>
        <x:v>0.00961900998160381</x:v>
      </x:c>
      <x:c r="D95" s="98" t="n">
        <x:f>IF('Datos_fuente'!C95="","",LN('Datos_fuente'!C95))</x:f>
        <x:v>5.0534393230878205</x:v>
      </x:c>
      <x:c r="E95" s="98" t="n">
        <x:f>IF(OR(D95="",D94=""),"",D95-D94)</x:f>
        <x:v>-0.0025516727292327346</x:v>
      </x:c>
      <x:c r="F95" s="98" t="n">
        <x:f>IF('Datos_fuente'!E95="","",LN('Datos_fuente'!E95))</x:f>
        <x:v>8.321912830849286</x:v>
      </x:c>
      <x:c r="G95" s="98" t="n">
        <x:f>IF(OR(F95="",F94=""),"",F95-F94)</x:f>
        <x:v>0.010131333467112924</x:v>
      </x:c>
      <x:c r="H95" s="63" t="n">
        <x:f>'Datos_fuente'!H95</x:f>
        <x:v>3.14</x:v>
      </x:c>
      <x:c r="I95" s="63" t="n">
        <x:f>IF(OR(H95="",H94=""),"",H95-H94)</x:f>
        <x:v>0.040000000000000036</x:v>
      </x:c>
      <x:c r="J95" s="63" t="n">
        <x:f>'Datos_fuente'!J95</x:f>
        <x:v>2.98816712</x:v>
      </x:c>
      <x:c r="K95" s="63" t="n">
        <x:f>IF(OR(J95="",J94=""),"",J95-J94)</x:f>
        <x:v>0.035116030999999825</x:v>
      </x:c>
      <x:c r="L95" s="98" t="n">
        <x:f>IF('Datos_fuente'!K95="","",LN('Datos_fuente'!K95))</x:f>
        <x:v>4.527521765004557</x:v>
      </x:c>
      <x:c r="M95" s="98" t="n">
        <x:f>IF(OR(L95="",L94=""),"",L95-L94)</x:f>
        <x:v>0.005213510728512283</x:v>
      </x:c>
      <x:c r="N95" s="98" t="n">
        <x:f>IF('Datos_fuente'!L95="","",LN('Datos_fuente'!L95))</x:f>
        <x:v>2.602218193568816</x:v>
      </x:c>
      <x:c r="O95" s="98" t="n">
        <x:f>IF(OR(N95="",N94=""),"",N95-N94)</x:f>
        <x:v>-0.03449873730577924</x:v>
      </x:c>
      <x:c r="P95" s="96" t="n">
        <x:f>'Datos_fuente'!M95</x:f>
        <x:v>0</x:v>
      </x:c>
      <x:c r="Q95" s="98" t="n">
        <x:f>IF('Datos_fuente'!N95="","",LN('Datos_fuente'!N95))</x:f>
        <x:v>10.609285868935347</x:v>
      </x:c>
      <x:c r="R95" s="98" t="n">
        <x:f>IF(OR(Q95="",Q94=""),"",Q95-Q94)</x:f>
        <x:v>0.010412144252692102</x:v>
      </x:c>
      <x:c r="S95" s="63" t="n">
        <x:f>'Datos_fuente'!P95</x:f>
        <x:v>1.353913043</x:v>
      </x:c>
      <x:c r="T95" s="63" t="n">
        <x:f>IF(OR(S95="",S94=""),"",S95-S94)</x:f>
        <x:v>0.03436758799999984</x:v>
      </x:c>
      <x:c r="U95" s="98" t="n">
        <x:f>IF('Datos_fuente'!Q95="","",ASINH('Datos_fuente'!Q95/1000))</x:f>
        <x:v>-0.25857879254696453</x:v>
      </x:c>
      <x:c r="V95" s="98" t="n">
        <x:f>IF(OR(U95="",U94=""),"",U95-U94)</x:f>
        <x:v>0.1702926624940811</x:v>
      </x:c>
      <x:c r="W95" s="98" t="n">
        <x:f>IF('Datos_fuente'!R95="","",ASINH('Datos_fuente'!R95/1000))</x:f>
        <x:v>0.5209805964393922</x:v>
      </x:c>
      <x:c r="X95" s="98" t="n">
        <x:f>IF(OR(W95="",W94=""),"",W95-W94)</x:f>
        <x:v>-0.5237543745059915</x:v>
      </x:c>
      <x:c r="Y95" s="63" t="n">
        <x:f>'Datos_fuente'!W95</x:f>
        <x:v>0.717264525</x:v>
      </x:c>
      <x:c r="Z95" s="63" t="n">
        <x:f>IF(OR(Y95="",Y94=""),"",Y95-Y94)</x:f>
        <x:v>0.2554948141</x:v>
      </x:c>
      <x:c r="AA95" s="98" t="n">
        <x:f>'Datos_fuente'!AB95</x:f>
        <x:v>0.4110659314</x:v>
      </x:c>
      <x:c r="AB95" s="98" t="n">
        <x:f>'Datos_fuente'!AC95</x:f>
        <x:v>0.6763080216</x:v>
      </x:c>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t="str">
        <x:f>'Datos_fuente'!A96</x:f>
        <x:v>2013-06</x:v>
      </x:c>
      <x:c r="B96" s="98" t="n">
        <x:f>IF('Datos_fuente'!B96="","",LN('Datos_fuente'!B96))</x:f>
        <x:v>7.554779634683156</x:v>
      </x:c>
      <x:c r="C96" s="98" t="n">
        <x:f>IF(OR(B96="",B95=""),"",B96-B95)</x:f>
        <x:v>0.03296297537993276</x:v>
      </x:c>
      <x:c r="D96" s="98" t="n">
        <x:f>IF('Datos_fuente'!C96="","",LN('Datos_fuente'!C96))</x:f>
        <x:v>5.061328408411774</x:v>
      </x:c>
      <x:c r="E96" s="98" t="n">
        <x:f>IF(OR(D96="",D95=""),"",D96-D95)</x:f>
        <x:v>0.007889085323953715</x:v>
      </x:c>
      <x:c r="F96" s="98" t="n">
        <x:f>IF('Datos_fuente'!E96="","",LN('Datos_fuente'!E96))</x:f>
        <x:v>8.334764428875951</x:v>
      </x:c>
      <x:c r="G96" s="98" t="n">
        <x:f>IF(OR(F96="",F95=""),"",F96-F95)</x:f>
        <x:v>0.012851598026665911</x:v>
      </x:c>
      <x:c r="H96" s="63" t="n">
        <x:f>'Datos_fuente'!H96</x:f>
        <x:v>3.16</x:v>
      </x:c>
      <x:c r="I96" s="63" t="n">
        <x:f>IF(OR(H96="",H95=""),"",H96-H95)</x:f>
        <x:v>0.020000000000000018</x:v>
      </x:c>
      <x:c r="J96" s="63" t="n">
        <x:f>'Datos_fuente'!J96</x:f>
        <x:v>3.064526836</x:v>
      </x:c>
      <x:c r="K96" s="63" t="n">
        <x:f>IF(OR(J96="",J95=""),"",J96-J95)</x:f>
        <x:v>0.07635971600000024</x:v>
      </x:c>
      <x:c r="L96" s="98" t="n">
        <x:f>IF('Datos_fuente'!K96="","",LN('Datos_fuente'!K96))</x:f>
        <x:v>4.535644476139419</x:v>
      </x:c>
      <x:c r="M96" s="98" t="n">
        <x:f>IF(OR(L96="",L95=""),"",L96-L95)</x:f>
        <x:v>0.008122711134862293</x:v>
      </x:c>
      <x:c r="N96" s="98" t="n">
        <x:f>IF('Datos_fuente'!L96="","",LN('Datos_fuente'!L96))</x:f>
        <x:v>2.8490577442061786</x:v>
      </x:c>
      <x:c r="O96" s="98" t="n">
        <x:f>IF(OR(N96="",N95=""),"",N96-N95)</x:f>
        <x:v>0.24683955063736285</x:v>
      </x:c>
      <x:c r="P96" s="96" t="n">
        <x:f>'Datos_fuente'!M96</x:f>
        <x:v>0</x:v>
      </x:c>
      <x:c r="Q96" s="98" t="n">
        <x:f>IF('Datos_fuente'!N96="","",LN('Datos_fuente'!N96))</x:f>
        <x:v>10.616847815359773</x:v>
      </x:c>
      <x:c r="R96" s="98" t="n">
        <x:f>IF(OR(Q96="",Q95=""),"",Q96-Q95)</x:f>
        <x:v>0.007561946424425869</x:v>
      </x:c>
      <x:c r="S96" s="63" t="n">
        <x:f>'Datos_fuente'!P96</x:f>
        <x:v>1.8</x:v>
      </x:c>
      <x:c r="T96" s="63" t="n">
        <x:f>IF(OR(S96="",S95=""),"",S96-S95)</x:f>
        <x:v>0.4460869570000001</x:v>
      </x:c>
      <x:c r="U96" s="98" t="n">
        <x:f>IF('Datos_fuente'!Q96="","",ASINH('Datos_fuente'!Q96/1000))</x:f>
        <x:v>-0.2820648845879499</x:v>
      </x:c>
      <x:c r="V96" s="98" t="n">
        <x:f>IF(OR(U96="",U95=""),"",U96-U95)</x:f>
        <x:v>-0.023486092040985396</x:v>
      </x:c>
      <x:c r="W96" s="98" t="n">
        <x:f>IF('Datos_fuente'!R96="","",ASINH('Datos_fuente'!R96/1000))</x:f>
        <x:v>0.6320075111743576</x:v>
      </x:c>
      <x:c r="X96" s="98" t="n">
        <x:f>IF(OR(W96="",W95=""),"",W96-W95)</x:f>
        <x:v>0.1110269147349654</x:v>
      </x:c>
      <x:c r="Y96" s="63" t="n">
        <x:f>'Datos_fuente'!W96</x:f>
        <x:v>1.332673341</x:v>
      </x:c>
      <x:c r="Z96" s="63" t="n">
        <x:f>IF(OR(Y96="",Y95=""),"",Y96-Y95)</x:f>
        <x:v>0.615408816</x:v>
      </x:c>
      <x:c r="AA96" s="98" t="n">
        <x:f>'Datos_fuente'!AB96</x:f>
        <x:v>1.636875579</x:v>
      </x:c>
      <x:c r="AB96" s="98" t="n">
        <x:f>'Datos_fuente'!AC96</x:f>
        <x:v>1.996573665</x:v>
      </x:c>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t="str">
        <x:f>'Datos_fuente'!A97</x:f>
        <x:v>2013-07</x:v>
      </x:c>
      <x:c r="B97" s="98" t="n">
        <x:f>IF('Datos_fuente'!B97="","",LN('Datos_fuente'!B97))</x:f>
        <x:v>7.550420720491239</x:v>
      </x:c>
      <x:c r="C97" s="98" t="n">
        <x:f>IF(OR(B97="",B96=""),"",B97-B96)</x:f>
        <x:v>-0.004358914191916696</x:v>
      </x:c>
      <x:c r="D97" s="98" t="n">
        <x:f>IF('Datos_fuente'!C97="","",LN('Datos_fuente'!C97))</x:f>
        <x:v>5.077920040901852</x:v>
      </x:c>
      <x:c r="E97" s="98" t="n">
        <x:f>IF(OR(D97="",D96=""),"",D97-D96)</x:f>
        <x:v>0.016591632490078112</x:v>
      </x:c>
      <x:c r="F97" s="98" t="n">
        <x:f>IF('Datos_fuente'!E97="","",LN('Datos_fuente'!E97))</x:f>
        <x:v>8.34997145633689</x:v>
      </x:c>
      <x:c r="G97" s="98" t="n">
        <x:f>IF(OR(F97="",F96=""),"",F97-F96)</x:f>
        <x:v>0.015207027460938605</x:v>
      </x:c>
      <x:c r="H97" s="63" t="n">
        <x:f>'Datos_fuente'!H97</x:f>
        <x:v>3.16</x:v>
      </x:c>
      <x:c r="I97" s="63" t="n">
        <x:f>IF(OR(H97="",H96=""),"",H97-H96)</x:f>
        <x:v>0</x:v>
      </x:c>
      <x:c r="J97" s="63" t="n">
        <x:f>'Datos_fuente'!J97</x:f>
        <x:v>3.398081706</x:v>
      </x:c>
      <x:c r="K97" s="63" t="n">
        <x:f>IF(OR(J97="",J96=""),"",J97-J96)</x:f>
        <x:v>0.33355486999999995</x:v>
      </x:c>
      <x:c r="L97" s="98" t="n">
        <x:f>IF('Datos_fuente'!K97="","",LN('Datos_fuente'!K97))</x:f>
        <x:v>4.541936267992317</x:v>
      </x:c>
      <x:c r="M97" s="98" t="n">
        <x:f>IF(OR(L97="",L96=""),"",L97-L96)</x:f>
        <x:v>0.0062917918528979655</x:v>
      </x:c>
      <x:c r="N97" s="98" t="n">
        <x:f>IF('Datos_fuente'!L97="","",LN('Datos_fuente'!L97))</x:f>
        <x:v>2.637237492573006</x:v>
      </x:c>
      <x:c r="O97" s="98" t="n">
        <x:f>IF(OR(N97="",N96=""),"",N97-N96)</x:f>
        <x:v>-0.21182025163317242</x:v>
      </x:c>
      <x:c r="P97" s="96" t="n">
        <x:f>'Datos_fuente'!M97</x:f>
        <x:v>0</x:v>
      </x:c>
      <x:c r="Q97" s="98" t="n">
        <x:f>IF('Datos_fuente'!N97="","",LN('Datos_fuente'!N97))</x:f>
        <x:v>10.634027574786625</x:v>
      </x:c>
      <x:c r="R97" s="98" t="n">
        <x:f>IF(OR(Q97="",Q96=""),"",Q97-Q96)</x:f>
        <x:v>0.01717975942685257</x:v>
      </x:c>
      <x:c r="S97" s="63" t="n">
        <x:f>'Datos_fuente'!P97</x:f>
        <x:v>1.695217391</x:v>
      </x:c>
      <x:c r="T97" s="63" t="n">
        <x:f>IF(OR(S97="",S96=""),"",S97-S96)</x:f>
        <x:v>-0.10478260900000014</x:v>
      </x:c>
      <x:c r="U97" s="98" t="n">
        <x:f>IF('Datos_fuente'!Q97="","",ASINH('Datos_fuente'!Q97/1000))</x:f>
        <x:v>-0.5093133215051354</x:v>
      </x:c>
      <x:c r="V97" s="98" t="n">
        <x:f>IF(OR(U97="",U96=""),"",U97-U96)</x:f>
        <x:v>-0.2272484369171855</x:v>
      </x:c>
      <x:c r="W97" s="98" t="n">
        <x:f>IF('Datos_fuente'!R97="","",ASINH('Datos_fuente'!R97/1000))</x:f>
        <x:v>1.1057538272469893</x:v>
      </x:c>
      <x:c r="X97" s="98" t="n">
        <x:f>IF(OR(W97="",W96=""),"",W97-W96)</x:f>
        <x:v>0.47374631607263173</x:v>
      </x:c>
      <x:c r="Y97" s="63" t="n">
        <x:f>'Datos_fuente'!W97</x:f>
        <x:v>1.172951341</x:v>
      </x:c>
      <x:c r="Z97" s="63" t="n">
        <x:f>IF(OR(Y97="",Y96=""),"",Y97-Y96)</x:f>
        <x:v>-0.15972199999999992</x:v>
      </x:c>
      <x:c r="AA97" s="98" t="n">
        <x:f>'Datos_fuente'!AB97</x:f>
        <x:v>0.09269878677</x:v>
      </x:c>
      <x:c r="AB97" s="98" t="n">
        <x:f>'Datos_fuente'!AC97</x:f>
        <x:v>0.2787611899</x:v>
      </x:c>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t="str">
        <x:f>'Datos_fuente'!A98</x:f>
        <x:v>2013-08</x:v>
      </x:c>
      <x:c r="B98" s="98" t="n">
        <x:f>IF('Datos_fuente'!B98="","",LN('Datos_fuente'!B98))</x:f>
        <x:v>7.550716022887756</x:v>
      </x:c>
      <x:c r="C98" s="98" t="n">
        <x:f>IF(OR(B98="",B97=""),"",B98-B97)</x:f>
        <x:v>0.0002953023965170942</x:v>
      </x:c>
      <x:c r="D98" s="98" t="n">
        <x:f>IF('Datos_fuente'!C98="","",LN('Datos_fuente'!C98))</x:f>
        <x:v>5.090678001769792</x:v>
      </x:c>
      <x:c r="E98" s="98" t="n">
        <x:f>IF(OR(D98="",D97=""),"",D98-D97)</x:f>
        <x:v>0.012757960867939566</x:v>
      </x:c>
      <x:c r="F98" s="98" t="n">
        <x:f>IF('Datos_fuente'!E98="","",LN('Datos_fuente'!E98))</x:f>
        <x:v>8.355969892814384</x:v>
      </x:c>
      <x:c r="G98" s="98" t="n">
        <x:f>IF(OR(F98="",F97=""),"",F98-F97)</x:f>
        <x:v>0.005998436477494096</x:v>
      </x:c>
      <x:c r="H98" s="63" t="n">
        <x:f>'Datos_fuente'!H98</x:f>
        <x:v>3.17</x:v>
      </x:c>
      <x:c r="I98" s="63" t="n">
        <x:f>IF(OR(H98="",H97=""),"",H98-H97)</x:f>
        <x:v>0.009999999999999787</x:v>
      </x:c>
      <x:c r="J98" s="63" t="n">
        <x:f>'Datos_fuente'!J98</x:f>
        <x:v>3.383563558</x:v>
      </x:c>
      <x:c r="K98" s="63" t="n">
        <x:f>IF(OR(J98="",J97=""),"",J98-J97)</x:f>
        <x:v>-0.014518148000000064</x:v>
      </x:c>
      <x:c r="L98" s="98" t="n">
        <x:f>IF('Datos_fuente'!K98="","",LN('Datos_fuente'!K98))</x:f>
        <x:v>4.540257049197504</x:v>
      </x:c>
      <x:c r="M98" s="98" t="n">
        <x:f>IF(OR(L98="",L97=""),"",L98-L97)</x:f>
        <x:v>-0.001679218794812698</x:v>
      </x:c>
      <x:c r="N98" s="98" t="n">
        <x:f>IF('Datos_fuente'!L98="","",LN('Datos_fuente'!L98))</x:f>
        <x:v>2.6539459421090092</x:v>
      </x:c>
      <x:c r="O98" s="98" t="n">
        <x:f>IF(OR(N98="",N97=""),"",N98-N97)</x:f>
        <x:v>0.016708449536003034</x:v>
      </x:c>
      <x:c r="P98" s="96" t="n">
        <x:f>'Datos_fuente'!M98</x:f>
        <x:v>0</x:v>
      </x:c>
      <x:c r="Q98" s="98" t="n">
        <x:f>IF('Datos_fuente'!N98="","",LN('Datos_fuente'!N98))</x:f>
        <x:v>10.647634121797578</x:v>
      </x:c>
      <x:c r="R98" s="98" t="n">
        <x:f>IF(OR(Q98="",Q97=""),"",Q98-Q97)</x:f>
        <x:v>0.013606547010953207</x:v>
      </x:c>
      <x:c r="S98" s="63" t="n">
        <x:f>'Datos_fuente'!P98</x:f>
        <x:v>1.829545455</x:v>
      </x:c>
      <x:c r="T98" s="63" t="n">
        <x:f>IF(OR(S98="",S97=""),"",S98-S97)</x:f>
        <x:v>0.1343280640000002</x:v>
      </x:c>
      <x:c r="U98" s="98" t="n">
        <x:f>IF('Datos_fuente'!Q98="","",ASINH('Datos_fuente'!Q98/1000))</x:f>
        <x:v>-0.297310544532486</x:v>
      </x:c>
      <x:c r="V98" s="98" t="n">
        <x:f>IF(OR(U98="",U97=""),"",U98-U97)</x:f>
        <x:v>0.2120027769726494</x:v>
      </x:c>
      <x:c r="W98" s="98" t="n">
        <x:f>IF('Datos_fuente'!R98="","",ASINH('Datos_fuente'!R98/1000))</x:f>
        <x:v>0.738070534852766</x:v>
      </x:c>
      <x:c r="X98" s="98" t="n">
        <x:f>IF(OR(W98="",W97=""),"",W98-W97)</x:f>
        <x:v>-0.36768329239422337</x:v>
      </x:c>
      <x:c r="Y98" s="63" t="n">
        <x:f>'Datos_fuente'!W98</x:f>
        <x:v>1.206773225</x:v>
      </x:c>
      <x:c r="Z98" s="63" t="n">
        <x:f>IF(OR(Y98="",Y97=""),"",Y98-Y97)</x:f>
        <x:v>0.03382188399999997</x:v>
      </x:c>
      <x:c r="AA98" s="98" t="n">
        <x:f>'Datos_fuente'!AB98</x:f>
        <x:v>0.5769155335</x:v>
      </x:c>
      <x:c r="AB98" s="98" t="n">
        <x:f>'Datos_fuente'!AC98</x:f>
        <x:v>0.616134766</x:v>
      </x:c>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t="str">
        <x:f>'Datos_fuente'!A99</x:f>
        <x:v>2013-09</x:v>
      </x:c>
      <x:c r="B99" s="98" t="n">
        <x:f>IF('Datos_fuente'!B99="","",LN('Datos_fuente'!B99))</x:f>
        <x:v>7.559826439530918</x:v>
      </x:c>
      <x:c r="C99" s="98" t="n">
        <x:f>IF(OR(B99="",B98=""),"",B99-B98)</x:f>
        <x:v>0.009110416643161479</x:v>
      </x:c>
      <x:c r="D99" s="98" t="n">
        <x:f>IF('Datos_fuente'!C99="","",LN('Datos_fuente'!C99))</x:f>
        <x:v>5.079165836503364</x:v>
      </x:c>
      <x:c r="E99" s="98" t="n">
        <x:f>IF(OR(D99="",D98=""),"",D99-D98)</x:f>
        <x:v>-0.011512165266427843</x:v>
      </x:c>
      <x:c r="F99" s="98" t="n">
        <x:f>IF('Datos_fuente'!E99="","",LN('Datos_fuente'!E99))</x:f>
        <x:v>8.365567654064826</x:v>
      </x:c>
      <x:c r="G99" s="98" t="n">
        <x:f>IF(OR(F99="",F98=""),"",F99-F98)</x:f>
        <x:v>0.00959776125044165</x:v>
      </x:c>
      <x:c r="H99" s="63" t="n">
        <x:f>'Datos_fuente'!H99</x:f>
        <x:v>3.17</x:v>
      </x:c>
      <x:c r="I99" s="63" t="n">
        <x:f>IF(OR(H99="",H98=""),"",H99-H98)</x:f>
        <x:v>0</x:v>
      </x:c>
      <x:c r="J99" s="63" t="n">
        <x:f>'Datos_fuente'!J99</x:f>
        <x:v>3.209636489</x:v>
      </x:c>
      <x:c r="K99" s="63" t="n">
        <x:f>IF(OR(J99="",J98=""),"",J99-J98)</x:f>
        <x:v>-0.17392706899999988</x:v>
      </x:c>
      <x:c r="L99" s="98" t="n">
        <x:f>IF('Datos_fuente'!K99="","",LN('Datos_fuente'!K99))</x:f>
        <x:v>4.5376465738964535</x:v>
      </x:c>
      <x:c r="M99" s="98" t="n">
        <x:f>IF(OR(L99="",L98=""),"",L99-L98)</x:f>
        <x:v>-0.002610475301050741</x:v>
      </x:c>
      <x:c r="N99" s="98" t="n">
        <x:f>IF('Datos_fuente'!L99="","",LN('Datos_fuente'!L99))</x:f>
        <x:v>2.687303127957421</x:v>
      </x:c>
      <x:c r="O99" s="98" t="n">
        <x:f>IF(OR(N99="",N98=""),"",N99-N98)</x:f>
        <x:v>0.03335718584841185</x:v>
      </x:c>
      <x:c r="P99" s="96" t="n">
        <x:f>'Datos_fuente'!M99</x:f>
        <x:v>0</x:v>
      </x:c>
      <x:c r="Q99" s="98" t="n">
        <x:f>IF('Datos_fuente'!N99="","",LN('Datos_fuente'!N99))</x:f>
        <x:v>10.670459611611143</x:v>
      </x:c>
      <x:c r="R99" s="98" t="n">
        <x:f>IF(OR(Q99="",Q98=""),"",Q99-Q98)</x:f>
        <x:v>0.022825489813564914</x:v>
      </x:c>
      <x:c r="S99" s="63" t="n">
        <x:f>'Datos_fuente'!P99</x:f>
        <x:v>1.813809524</x:v>
      </x:c>
      <x:c r="T99" s="63" t="n">
        <x:f>IF(OR(S99="",S98=""),"",S99-S98)</x:f>
        <x:v>-0.015735931000000036</x:v>
      </x:c>
      <x:c r="U99" s="98" t="n">
        <x:f>IF('Datos_fuente'!Q99="","",ASINH('Datos_fuente'!Q99/1000))</x:f>
        <x:v>-0.43851061179755085</x:v>
      </x:c>
      <x:c r="V99" s="98" t="n">
        <x:f>IF(OR(U99="",U98=""),"",U99-U98)</x:f>
        <x:v>-0.14120006726506484</x:v>
      </x:c>
      <x:c r="W99" s="98" t="n">
        <x:f>IF('Datos_fuente'!R99="","",ASINH('Datos_fuente'!R99/1000))</x:f>
        <x:v>1.1384237079407695</x:v>
      </x:c>
      <x:c r="X99" s="98" t="n">
        <x:f>IF(OR(W99="",W98=""),"",W99-W98)</x:f>
        <x:v>0.40035317308800356</x:v>
      </x:c>
      <x:c r="Y99" s="63" t="n">
        <x:f>'Datos_fuente'!W99</x:f>
        <x:v>0.9889771435</x:v>
      </x:c>
      <x:c r="Z99" s="63" t="n">
        <x:f>IF(OR(Y99="",Y98=""),"",Y99-Y98)</x:f>
        <x:v>-0.21779608150000007</x:v>
      </x:c>
      <x:c r="AA99" s="98" t="n">
        <x:f>'Datos_fuente'!AB99</x:f>
        <x:v>-0.4598737282</x:v>
      </x:c>
      <x:c r="AB99" s="98" t="n">
        <x:f>'Datos_fuente'!AC99</x:f>
        <x:v>-0.5105649621</x:v>
      </x:c>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t="str">
        <x:f>'Datos_fuente'!A100</x:f>
        <x:v>2013-10</x:v>
      </x:c>
      <x:c r="B100" s="98" t="n">
        <x:f>IF('Datos_fuente'!B100="","",LN('Datos_fuente'!B100))</x:f>
        <x:v>7.541752747324046</x:v>
      </x:c>
      <x:c r="C100" s="98" t="n">
        <x:f>IF(OR(B100="",B99=""),"",B100-B99)</x:f>
        <x:v>-0.018073692206871605</x:v>
      </x:c>
      <x:c r="D100" s="98" t="n">
        <x:f>IF('Datos_fuente'!C100="","",LN('Datos_fuente'!C100))</x:f>
        <x:v>5.074923783978617</x:v>
      </x:c>
      <x:c r="E100" s="98" t="n">
        <x:f>IF(OR(D100="",D99=""),"",D100-D99)</x:f>
        <x:v>-0.004242052524746853</x:v>
      </x:c>
      <x:c r="F100" s="98" t="n">
        <x:f>IF('Datos_fuente'!E100="","",LN('Datos_fuente'!E100))</x:f>
        <x:v>8.368978525214485</x:v>
      </x:c>
      <x:c r="G100" s="98" t="n">
        <x:f>IF(OR(F100="",F99=""),"",F100-F99)</x:f>
        <x:v>0.0034108711496596555</x:v>
      </x:c>
      <x:c r="H100" s="63" t="n">
        <x:f>'Datos_fuente'!H100</x:f>
        <x:v>3.16</x:v>
      </x:c>
      <x:c r="I100" s="63" t="n">
        <x:f>IF(OR(H100="",H99=""),"",H100-H99)</x:f>
        <x:v>-0.009999999999999787</x:v>
      </x:c>
      <x:c r="J100" s="63" t="n">
        <x:f>'Datos_fuente'!J100</x:f>
        <x:v>3.29885302</x:v>
      </x:c>
      <x:c r="K100" s="63" t="n">
        <x:f>IF(OR(J100="",J99=""),"",J100-J99)</x:f>
        <x:v>0.08921653099999993</x:v>
      </x:c>
      <x:c r="L100" s="98" t="n">
        <x:f>IF('Datos_fuente'!K100="","",LN('Datos_fuente'!K100))</x:f>
        <x:v>4.527200732919515</x:v>
      </x:c>
      <x:c r="M100" s="98" t="n">
        <x:f>IF(OR(L100="",L99=""),"",L100-L99)</x:f>
        <x:v>-0.01044584097693857</x:v>
      </x:c>
      <x:c r="N100" s="98" t="n">
        <x:f>IF('Datos_fuente'!L100="","",LN('Datos_fuente'!L100))</x:f>
        <x:v>2.734875567998302</x:v>
      </x:c>
      <x:c r="O100" s="98" t="n">
        <x:f>IF(OR(N100="",N99=""),"",N100-N99)</x:f>
        <x:v>0.04757244004088079</x:v>
      </x:c>
      <x:c r="P100" s="96" t="n">
        <x:f>'Datos_fuente'!M100</x:f>
        <x:v>0</x:v>
      </x:c>
      <x:c r="Q100" s="98" t="n">
        <x:f>IF('Datos_fuente'!N100="","",LN('Datos_fuente'!N100))</x:f>
        <x:v>10.675742773334829</x:v>
      </x:c>
      <x:c r="R100" s="98" t="n">
        <x:f>IF(OR(Q100="",Q99=""),"",Q100-Q99)</x:f>
        <x:v>0.005283161723685481</x:v>
      </x:c>
      <x:c r="S100" s="63" t="n">
        <x:f>'Datos_fuente'!P100</x:f>
        <x:v>1.713043478</x:v>
      </x:c>
      <x:c r="T100" s="63" t="n">
        <x:f>IF(OR(S100="",S99=""),"",S100-S99)</x:f>
        <x:v>-0.10076604600000016</x:v>
      </x:c>
      <x:c r="U100" s="98" t="n">
        <x:f>IF('Datos_fuente'!Q100="","",ASINH('Datos_fuente'!Q100/1000))</x:f>
        <x:v>-0.6125234411054358</x:v>
      </x:c>
      <x:c r="V100" s="98" t="n">
        <x:f>IF(OR(U100="",U99=""),"",U100-U99)</x:f>
        <x:v>-0.17401282930788492</x:v>
      </x:c>
      <x:c r="W100" s="98" t="n">
        <x:f>IF('Datos_fuente'!R100="","",ASINH('Datos_fuente'!R100/1000))</x:f>
        <x:v>0.9089471340498292</x:v>
      </x:c>
      <x:c r="X100" s="98" t="n">
        <x:f>IF(OR(W100="",W99=""),"",W100-W99)</x:f>
        <x:v>-0.22947657389094034</x:v>
      </x:c>
      <x:c r="Y100" s="63" t="n">
        <x:f>'Datos_fuente'!W100</x:f>
        <x:v>0.9445045502</x:v>
      </x:c>
      <x:c r="Z100" s="63" t="n">
        <x:f>IF(OR(Y100="",Y99=""),"",Y100-Y99)</x:f>
        <x:v>-0.044472593299999974</x:v>
      </x:c>
      <x:c r="AA100" s="98" t="n">
        <x:f>'Datos_fuente'!AB100</x:f>
        <x:v>-0.5606630627</x:v>
      </x:c>
      <x:c r="AB100" s="98" t="n">
        <x:f>'Datos_fuente'!AC100</x:f>
        <x:v>-0.4876083199</x:v>
      </x:c>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t="str">
        <x:f>'Datos_fuente'!A101</x:f>
        <x:v>2013-11</x:v>
      </x:c>
      <x:c r="B101" s="98" t="n">
        <x:f>IF('Datos_fuente'!B101="","",LN('Datos_fuente'!B101))</x:f>
        <x:v>7.560993069305166</x:v>
      </x:c>
      <x:c r="C101" s="98" t="n">
        <x:f>IF(OR(B101="",B100=""),"",B101-B100)</x:f>
        <x:v>0.019240321981119912</x:v>
      </x:c>
      <x:c r="D101" s="98" t="n">
        <x:f>IF('Datos_fuente'!C101="","",LN('Datos_fuente'!C101))</x:f>
        <x:v>5.068338004224545</x:v>
      </x:c>
      <x:c r="E101" s="98" t="n">
        <x:f>IF(OR(D101="",D100=""),"",D101-D100)</x:f>
        <x:v>-0.006585779754072263</x:v>
      </x:c>
      <x:c r="F101" s="98" t="n">
        <x:f>IF('Datos_fuente'!E101="","",LN('Datos_fuente'!E101))</x:f>
        <x:v>8.37668897362283</x:v>
      </x:c>
      <x:c r="G101" s="98" t="n">
        <x:f>IF(OR(F101="",F100=""),"",F101-F100)</x:f>
        <x:v>0.007710448408344561</x:v>
      </x:c>
      <x:c r="H101" s="63" t="n">
        <x:f>'Datos_fuente'!H101</x:f>
        <x:v>3.17</x:v>
      </x:c>
      <x:c r="I101" s="63" t="n">
        <x:f>IF(OR(H101="",H100=""),"",H101-H100)</x:f>
        <x:v>0.009999999999999787</x:v>
      </x:c>
      <x:c r="J101" s="63" t="n">
        <x:f>'Datos_fuente'!J101</x:f>
        <x:v>3.267082136</x:v>
      </x:c>
      <x:c r="K101" s="63" t="n">
        <x:f>IF(OR(J101="",J100=""),"",J101-J100)</x:f>
        <x:v>-0.031770884000000166</x:v>
      </x:c>
      <x:c r="L101" s="98" t="n">
        <x:f>IF('Datos_fuente'!K101="","",LN('Datos_fuente'!K101))</x:f>
        <x:v>4.53660938278905</x:v>
      </x:c>
      <x:c r="M101" s="98" t="n">
        <x:f>IF(OR(L101="",L100=""),"",L101-L100)</x:f>
        <x:v>0.009408649869534713</x:v>
      </x:c>
      <x:c r="N101" s="98" t="n">
        <x:f>IF('Datos_fuente'!L101="","",LN('Datos_fuente'!L101))</x:f>
        <x:v>2.5590860479622517</x:v>
      </x:c>
      <x:c r="O101" s="98" t="n">
        <x:f>IF(OR(N101="",N100=""),"",N101-N100)</x:f>
        <x:v>-0.1757895200360502</x:v>
      </x:c>
      <x:c r="P101" s="96" t="n">
        <x:f>'Datos_fuente'!M101</x:f>
        <x:v>0</x:v>
      </x:c>
      <x:c r="Q101" s="98" t="n">
        <x:f>IF('Datos_fuente'!N101="","",LN('Datos_fuente'!N101))</x:f>
        <x:v>10.678613488496072</x:v>
      </x:c>
      <x:c r="R101" s="98" t="n">
        <x:f>IF(OR(Q101="",Q100=""),"",Q101-Q100)</x:f>
        <x:v>0.0028707151612437087</x:v>
      </x:c>
      <x:c r="S101" s="63" t="n">
        <x:f>'Datos_fuente'!P101</x:f>
        <x:v>1.831428571</x:v>
      </x:c>
      <x:c r="T101" s="63" t="n">
        <x:f>IF(OR(S101="",S100=""),"",S101-S100)</x:f>
        <x:v>0.11838509300000011</x:v>
      </x:c>
      <x:c r="U101" s="98" t="n">
        <x:f>IF('Datos_fuente'!Q101="","",ASINH('Datos_fuente'!Q101/1000))</x:f>
        <x:v>-0.3673986814151919</x:v>
      </x:c>
      <x:c r="V101" s="98" t="n">
        <x:f>IF(OR(U101="",U100=""),"",U101-U100)</x:f>
        <x:v>0.2451247596902439</x:v>
      </x:c>
      <x:c r="W101" s="98" t="n">
        <x:f>IF('Datos_fuente'!R101="","",ASINH('Datos_fuente'!R101/1000))</x:f>
        <x:v>0.3527676430822438</x:v>
      </x:c>
      <x:c r="X101" s="98" t="n">
        <x:f>IF(OR(W101="",W100=""),"",W101-W100)</x:f>
        <x:v>-0.5561794909675855</x:v>
      </x:c>
      <x:c r="Y101" s="63" t="n">
        <x:f>'Datos_fuente'!W101</x:f>
        <x:v>1.013736851</x:v>
      </x:c>
      <x:c r="Z101" s="63" t="n">
        <x:f>IF(OR(Y101="",Y100=""),"",Y101-Y100)</x:f>
        <x:v>0.06923230079999998</x:v>
      </x:c>
      <x:c r="AA101" s="98" t="n">
        <x:f>'Datos_fuente'!AB101</x:f>
        <x:v>0.8652023057</x:v>
      </x:c>
      <x:c r="AB101" s="98" t="n">
        <x:f>'Datos_fuente'!AC101</x:f>
        <x:v>0.8658236614</x:v>
      </x:c>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t="str">
        <x:f>'Datos_fuente'!A102</x:f>
        <x:v>2013-12</x:v>
      </x:c>
      <x:c r="B102" s="98" t="n">
        <x:f>IF('Datos_fuente'!B102="","",LN('Datos_fuente'!B102))</x:f>
        <x:v>7.566805783141155</x:v>
      </x:c>
      <x:c r="C102" s="98" t="n">
        <x:f>IF(OR(B102="",B101=""),"",B102-B101)</x:f>
        <x:v>0.005812713835989136</x:v>
      </x:c>
      <x:c r="D102" s="98" t="n">
        <x:f>IF('Datos_fuente'!C102="","",LN('Datos_fuente'!C102))</x:f>
        <x:v>5.07104028395222</x:v>
      </x:c>
      <x:c r="E102" s="98" t="n">
        <x:f>IF(OR(D102="",D101=""),"",D102-D101)</x:f>
        <x:v>0.0027022797276750055</x:v>
      </x:c>
      <x:c r="F102" s="98" t="n">
        <x:f>IF('Datos_fuente'!E102="","",LN('Datos_fuente'!E102))</x:f>
        <x:v>8.389596155613233</x:v>
      </x:c>
      <x:c r="G102" s="98" t="n">
        <x:f>IF(OR(F102="",F101=""),"",F102-F101)</x:f>
        <x:v>0.012907181990403416</x:v>
      </x:c>
      <x:c r="H102" s="63" t="n">
        <x:f>'Datos_fuente'!H102</x:f>
        <x:v>3.16</x:v>
      </x:c>
      <x:c r="I102" s="63" t="n">
        <x:f>IF(OR(H102="",H101=""),"",H102-H101)</x:f>
        <x:v>-0.009999999999999787</x:v>
      </x:c>
      <x:c r="J102" s="63" t="n">
        <x:f>'Datos_fuente'!J102</x:f>
        <x:v>2.330987593</x:v>
      </x:c>
      <x:c r="K102" s="63" t="n">
        <x:f>IF(OR(J102="",J101=""),"",J102-J101)</x:f>
        <x:v>-0.9360945429999998</x:v>
      </x:c>
      <x:c r="L102" s="98" t="n">
        <x:f>IF('Datos_fuente'!K102="","",LN('Datos_fuente'!K102))</x:f>
        <x:v>4.538325220384564</x:v>
      </x:c>
      <x:c r="M102" s="98" t="n">
        <x:f>IF(OR(L102="",L101=""),"",L102-L101)</x:f>
        <x:v>0.0017158375955146354</x:v>
      </x:c>
      <x:c r="N102" s="98" t="n">
        <x:f>IF('Datos_fuente'!L102="","",LN('Datos_fuente'!L102))</x:f>
        <x:v>2.652705267794341</x:v>
      </x:c>
      <x:c r="O102" s="98" t="n">
        <x:f>IF(OR(N102="",N101=""),"",N102-N101)</x:f>
        <x:v>0.09361921983208932</x:v>
      </x:c>
      <x:c r="P102" s="96" t="n">
        <x:f>'Datos_fuente'!M102</x:f>
        <x:v>0</x:v>
      </x:c>
      <x:c r="Q102" s="98" t="n">
        <x:f>IF('Datos_fuente'!N102="","",LN('Datos_fuente'!N102))</x:f>
        <x:v>10.683563064970887</x:v>
      </x:c>
      <x:c r="R102" s="98" t="n">
        <x:f>IF(OR(Q102="",Q101=""),"",Q102-Q101)</x:f>
        <x:v>0.004949576474814421</x:v>
      </x:c>
      <x:c r="S102" s="63" t="n">
        <x:f>'Datos_fuente'!P102</x:f>
        <x:v>1.770909091</x:v>
      </x:c>
      <x:c r="T102" s="63" t="n">
        <x:f>IF(OR(S102="",S101=""),"",S102-S101)</x:f>
        <x:v>-0.06051947999999996</x:v>
      </x:c>
      <x:c r="U102" s="98" t="n">
        <x:f>IF('Datos_fuente'!Q102="","",ASINH('Datos_fuente'!Q102/1000))</x:f>
        <x:v>-0.597287207756461</x:v>
      </x:c>
      <x:c r="V102" s="98" t="n">
        <x:f>IF(OR(U102="",U101=""),"",U102-U101)</x:f>
        <x:v>-0.22988852634126916</x:v>
      </x:c>
      <x:c r="W102" s="98" t="n">
        <x:f>IF('Datos_fuente'!R102="","",ASINH('Datos_fuente'!R102/1000))</x:f>
        <x:v>0.721360622109817</x:v>
      </x:c>
      <x:c r="X102" s="98" t="n">
        <x:f>IF(OR(W102="",W101=""),"",W102-W101)</x:f>
        <x:v>0.3685929790275732</x:v>
      </x:c>
      <x:c r="Y102" s="63" t="n">
        <x:f>'Datos_fuente'!W102</x:f>
        <x:v>1.194253878</x:v>
      </x:c>
      <x:c r="Z102" s="63" t="n">
        <x:f>IF(OR(Y102="",Y101=""),"",Y102-Y101)</x:f>
        <x:v>0.18051702700000005</x:v>
      </x:c>
      <x:c r="AA102" s="98" t="n">
        <x:f>'Datos_fuente'!AB102</x:f>
        <x:v>0.2345250256</x:v>
      </x:c>
      <x:c r="AB102" s="98" t="n">
        <x:f>'Datos_fuente'!AC102</x:f>
        <x:v>0.0839213086</x:v>
      </x:c>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t="str">
        <x:f>'Datos_fuente'!A103</x:f>
        <x:v>2014-01</x:v>
      </x:c>
      <x:c r="B103" s="98" t="n">
        <x:f>IF('Datos_fuente'!B103="","",LN('Datos_fuente'!B103))</x:f>
        <x:v>7.579314659242331</x:v>
      </x:c>
      <x:c r="C103" s="98" t="n">
        <x:f>IF(OR(B103="",B102=""),"",B103-B102)</x:f>
        <x:v>0.012508876101176014</x:v>
      </x:c>
      <x:c r="D103" s="98" t="n">
        <x:f>IF('Datos_fuente'!C103="","",LN('Datos_fuente'!C103))</x:f>
        <x:v>5.0384449947355225</x:v>
      </x:c>
      <x:c r="E103" s="98" t="n">
        <x:f>IF(OR(D103="",D102=""),"",D103-D102)</x:f>
        <x:v>-0.03259528921669741</x:v>
      </x:c>
      <x:c r="F103" s="98" t="n">
        <x:f>IF('Datos_fuente'!E103="","",LN('Datos_fuente'!E103))</x:f>
        <x:v>8.394847010430015</x:v>
      </x:c>
      <x:c r="G103" s="98" t="n">
        <x:f>IF(OR(F103="",F102=""),"",F103-F102)</x:f>
        <x:v>0.005250854816781114</x:v>
      </x:c>
      <x:c r="H103" s="63" t="n">
        <x:f>'Datos_fuente'!H103</x:f>
        <x:v>3.18</x:v>
      </x:c>
      <x:c r="I103" s="63" t="n">
        <x:f>IF(OR(H103="",H102=""),"",H103-H102)</x:f>
        <x:v>0.020000000000000018</x:v>
      </x:c>
      <x:c r="J103" s="63" t="n">
        <x:f>'Datos_fuente'!J103</x:f>
        <x:v>2.382871769</x:v>
      </x:c>
      <x:c r="K103" s="63" t="n">
        <x:f>IF(OR(J103="",J102=""),"",J103-J102)</x:f>
        <x:v>0.051884175999999727</x:v>
      </x:c>
      <x:c r="L103" s="98" t="n">
        <x:f>IF('Datos_fuente'!K103="","",LN('Datos_fuente'!K103))</x:f>
        <x:v>4.548226723844372</x:v>
      </x:c>
      <x:c r="M103" s="98" t="n">
        <x:f>IF(OR(L103="",L102=""),"",L103-L102)</x:f>
        <x:v>0.009901503459807337</x:v>
      </x:c>
      <x:c r="N103" s="98" t="n">
        <x:f>IF('Datos_fuente'!L103="","",LN('Datos_fuente'!L103))</x:f>
        <x:v>2.6561217843653986</x:v>
      </x:c>
      <x:c r="O103" s="98" t="n">
        <x:f>IF(OR(N103="",N102=""),"",N103-N102)</x:f>
        <x:v>0.0034165165710575707</x:v>
      </x:c>
      <x:c r="P103" s="96" t="n">
        <x:f>'Datos_fuente'!M103</x:f>
        <x:v>0</x:v>
      </x:c>
      <x:c r="Q103" s="98" t="n">
        <x:f>IF('Datos_fuente'!N103="","",LN('Datos_fuente'!N103))</x:f>
        <x:v>10.685343626821906</x:v>
      </x:c>
      <x:c r="R103" s="98" t="n">
        <x:f>IF(OR(Q103="",Q102=""),"",Q103-Q102)</x:f>
        <x:v>0.0017805618510191579</x:v>
      </x:c>
      <x:c r="S103" s="63" t="n">
        <x:f>'Datos_fuente'!P103</x:f>
        <x:v>1.820869565</x:v>
      </x:c>
      <x:c r="T103" s="63" t="n">
        <x:f>IF(OR(S103="",S102=""),"",S103-S102)</x:f>
        <x:v>0.04996047399999992</x:v>
      </x:c>
      <x:c r="U103" s="98" t="n">
        <x:f>IF('Datos_fuente'!Q103="","",ASINH('Datos_fuente'!Q103/1000))</x:f>
        <x:v>-0.4381097392247459</x:v>
      </x:c>
      <x:c r="V103" s="98" t="n">
        <x:f>IF(OR(U103="",U102=""),"",U103-U102)</x:f>
        <x:v>0.15917746853171516</x:v>
      </x:c>
      <x:c r="W103" s="98" t="n">
        <x:f>IF('Datos_fuente'!R103="","",ASINH('Datos_fuente'!R103/1000))</x:f>
        <x:v>0.5144548695778417</x:v>
      </x:c>
      <x:c r="X103" s="98" t="n">
        <x:f>IF(OR(W103="",W102=""),"",W103-W102)</x:f>
        <x:v>-0.2069057525319753</x:v>
      </x:c>
      <x:c r="Y103" s="63" t="n">
        <x:f>'Datos_fuente'!W103</x:f>
        <x:v>1.309361905</x:v>
      </x:c>
      <x:c r="Z103" s="63" t="n">
        <x:f>IF(OR(Y103="",Y102=""),"",Y103-Y102)</x:f>
        <x:v>0.115108027</x:v>
      </x:c>
      <x:c r="AA103" s="98" t="n">
        <x:f>'Datos_fuente'!AB103</x:f>
        <x:v>0.4432168626</x:v>
      </x:c>
      <x:c r="AB103" s="98" t="n">
        <x:f>'Datos_fuente'!AC103</x:f>
        <x:v>0.5048247816</x:v>
      </x:c>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t="str">
        <x:f>'Datos_fuente'!A104</x:f>
        <x:v>2014-02</x:v>
      </x:c>
      <x:c r="B104" s="98" t="n">
        <x:f>IF('Datos_fuente'!B104="","",LN('Datos_fuente'!B104))</x:f>
        <x:v>7.619965843076676</x:v>
      </x:c>
      <x:c r="C104" s="98" t="n">
        <x:f>IF(OR(B104="",B103=""),"",B104-B103)</x:f>
        <x:v>0.04065118383434463</x:v>
      </x:c>
      <x:c r="D104" s="98" t="n">
        <x:f>IF('Datos_fuente'!C104="","",LN('Datos_fuente'!C104))</x:f>
        <x:v>5.039935163141118</x:v>
      </x:c>
      <x:c r="E104" s="98" t="n">
        <x:f>IF(OR(D104="",D103=""),"",D104-D103)</x:f>
        <x:v>0.001490168405595682</x:v>
      </x:c>
      <x:c r="F104" s="98" t="n">
        <x:f>IF('Datos_fuente'!E104="","",LN('Datos_fuente'!E104))</x:f>
        <x:v>8.39775854259741</x:v>
      </x:c>
      <x:c r="G104" s="98" t="n">
        <x:f>IF(OR(F104="",F103=""),"",F104-F103)</x:f>
        <x:v>0.002911532167395592</x:v>
      </x:c>
      <x:c r="H104" s="63" t="n">
        <x:f>'Datos_fuente'!H104</x:f>
        <x:v>3.18</x:v>
      </x:c>
      <x:c r="I104" s="63" t="n">
        <x:f>IF(OR(H104="",H103=""),"",H104-H103)</x:f>
        <x:v>0</x:v>
      </x:c>
      <x:c r="J104" s="63" t="n">
        <x:f>'Datos_fuente'!J104</x:f>
        <x:v>2.497874675</x:v>
      </x:c>
      <x:c r="K104" s="63" t="n">
        <x:f>IF(OR(J104="",J103=""),"",J104-J103)</x:f>
        <x:v>0.11500290599999996</x:v>
      </x:c>
      <x:c r="L104" s="98" t="n">
        <x:f>IF('Datos_fuente'!K104="","",LN('Datos_fuente'!K104))</x:f>
        <x:v>4.550139203032016</x:v>
      </x:c>
      <x:c r="M104" s="98" t="n">
        <x:f>IF(OR(L104="",L103=""),"",L104-L103)</x:f>
        <x:v>0.001912479187644145</x:v>
      </x:c>
      <x:c r="N104" s="98" t="n">
        <x:f>IF('Datos_fuente'!L104="","",LN('Datos_fuente'!L104))</x:f>
        <x:v>2.738902664584975</x:v>
      </x:c>
      <x:c r="O104" s="98" t="n">
        <x:f>IF(OR(N104="",N103=""),"",N104-N103)</x:f>
        <x:v>0.08278088021957641</x:v>
      </x:c>
      <x:c r="P104" s="96" t="n">
        <x:f>'Datos_fuente'!M104</x:f>
        <x:v>0</x:v>
      </x:c>
      <x:c r="Q104" s="98" t="n">
        <x:f>IF('Datos_fuente'!N104="","",LN('Datos_fuente'!N104))</x:f>
        <x:v>10.692555181194273</x:v>
      </x:c>
      <x:c r="R104" s="98" t="n">
        <x:f>IF(OR(Q104="",Q103=""),"",Q104-Q103)</x:f>
        <x:v>0.007211554372366535</x:v>
      </x:c>
      <x:c r="S104" s="63" t="n">
        <x:f>'Datos_fuente'!P104</x:f>
        <x:v>1.8825</x:v>
      </x:c>
      <x:c r="T104" s="63" t="n">
        <x:f>IF(OR(S104="",S103=""),"",S104-S103)</x:f>
        <x:v>0.061630435000000094</x:v>
      </x:c>
      <x:c r="U104" s="98" t="n">
        <x:f>IF('Datos_fuente'!Q104="","",ASINH('Datos_fuente'!Q104/1000))</x:f>
        <x:v>-0.38425402036751355</x:v>
      </x:c>
      <x:c r="V104" s="98" t="n">
        <x:f>IF(OR(U104="",U103=""),"",U104-U103)</x:f>
        <x:v>0.05385571885723234</x:v>
      </x:c>
      <x:c r="W104" s="98" t="n">
        <x:f>IF('Datos_fuente'!R104="","",ASINH('Datos_fuente'!R104/1000))</x:f>
        <x:v>0.5873856790438978</x:v>
      </x:c>
      <x:c r="X104" s="98" t="n">
        <x:f>IF(OR(W104="",W103=""),"",W104-W103)</x:f>
        <x:v>0.07293080946605612</x:v>
      </x:c>
      <x:c r="Y104" s="63" t="n">
        <x:f>'Datos_fuente'!W104</x:f>
        <x:v>1.360657901</x:v>
      </x:c>
      <x:c r="Z104" s="63" t="n">
        <x:f>IF(OR(Y104="",Y103=""),"",Y104-Y103)</x:f>
        <x:v>0.0512959959999999</x:v>
      </x:c>
      <x:c r="AA104" s="98" t="n">
        <x:f>'Datos_fuente'!AB104</x:f>
        <x:v>0.3327563874</x:v>
      </x:c>
      <x:c r="AB104" s="98" t="n">
        <x:f>'Datos_fuente'!AC104</x:f>
        <x:v>0.2754486755</x:v>
      </x:c>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t="str">
        <x:f>'Datos_fuente'!A105</x:f>
        <x:v>2014-03</x:v>
      </x:c>
      <x:c r="B105" s="98" t="n">
        <x:f>IF('Datos_fuente'!B105="","",LN('Datos_fuente'!B105))</x:f>
        <x:v>7.610710812990203</x:v>
      </x:c>
      <x:c r="C105" s="98" t="n">
        <x:f>IF(OR(B105="",B104=""),"",B105-B104)</x:f>
        <x:v>-0.009255030086472438</x:v>
      </x:c>
      <x:c r="D105" s="98" t="n">
        <x:f>IF('Datos_fuente'!C105="","",LN('Datos_fuente'!C105))</x:f>
        <x:v>5.056436869896863</x:v>
      </x:c>
      <x:c r="E105" s="98" t="n">
        <x:f>IF(OR(D105="",D104=""),"",D105-D104)</x:f>
        <x:v>0.016501706755744472</x:v>
      </x:c>
      <x:c r="F105" s="98" t="n">
        <x:f>IF('Datos_fuente'!E105="","",LN('Datos_fuente'!E105))</x:f>
        <x:v>8.398778956595567</x:v>
      </x:c>
      <x:c r="G105" s="98" t="n">
        <x:f>IF(OR(F105="",F104=""),"",F105-F104)</x:f>
        <x:v>0.0010204139981571103</x:v>
      </x:c>
      <x:c r="H105" s="63" t="n">
        <x:f>'Datos_fuente'!H105</x:f>
        <x:v>3.17</x:v>
      </x:c>
      <x:c r="I105" s="63" t="n">
        <x:f>IF(OR(H105="",H104=""),"",H105-H104)</x:f>
        <x:v>-0.010000000000000231</x:v>
      </x:c>
      <x:c r="J105" s="63" t="n">
        <x:f>'Datos_fuente'!J105</x:f>
        <x:v>2.523444032</x:v>
      </x:c>
      <x:c r="K105" s="63" t="n">
        <x:f>IF(OR(J105="",J104=""),"",J105-J104)</x:f>
        <x:v>0.02556935700000018</x:v>
      </x:c>
      <x:c r="L105" s="98" t="n">
        <x:f>IF('Datos_fuente'!K105="","",LN('Datos_fuente'!K105))</x:f>
        <x:v>4.547973406059232</x:v>
      </x:c>
      <x:c r="M105" s="98" t="n">
        <x:f>IF(OR(L105="",L104=""),"",L105-L104)</x:f>
        <x:v>-0.002165796972783518</x:v>
      </x:c>
      <x:c r="N105" s="98" t="n">
        <x:f>IF('Datos_fuente'!L105="","",LN('Datos_fuente'!L105))</x:f>
        <x:v>2.6971015945843217</x:v>
      </x:c>
      <x:c r="O105" s="98" t="n">
        <x:f>IF(OR(N105="",N104=""),"",N105-N104)</x:f>
        <x:v>-0.04180107000065325</x:v>
      </x:c>
      <x:c r="P105" s="96" t="n">
        <x:f>'Datos_fuente'!M105</x:f>
        <x:v>0</x:v>
      </x:c>
      <x:c r="Q105" s="98" t="n">
        <x:f>IF('Datos_fuente'!N105="","",LN('Datos_fuente'!N105))</x:f>
        <x:v>10.698703386515811</x:v>
      </x:c>
      <x:c r="R105" s="98" t="n">
        <x:f>IF(OR(Q105="",Q104=""),"",Q105-Q104)</x:f>
        <x:v>0.006148205321538924</x:v>
      </x:c>
      <x:c r="S105" s="63" t="n">
        <x:f>'Datos_fuente'!P105</x:f>
        <x:v>1.767619048</x:v>
      </x:c>
      <x:c r="T105" s="63" t="n">
        <x:f>IF(OR(S105="",S104=""),"",S105-S104)</x:f>
        <x:v>-0.11488095200000004</x:v>
      </x:c>
      <x:c r="U105" s="98" t="n">
        <x:f>IF('Datos_fuente'!Q105="","",ASINH('Datos_fuente'!Q105/1000))</x:f>
        <x:v>-0.5246829383307722</x:v>
      </x:c>
      <x:c r="V105" s="98" t="n">
        <x:f>IF(OR(U105="",U104=""),"",U105-U104)</x:f>
        <x:v>-0.14042891796325863</x:v>
      </x:c>
      <x:c r="W105" s="98" t="n">
        <x:f>IF('Datos_fuente'!R105="","",ASINH('Datos_fuente'!R105/1000))</x:f>
        <x:v>0.7996889380313932</x:v>
      </x:c>
      <x:c r="X105" s="98" t="n">
        <x:f>IF(OR(W105="",W104=""),"",W105-W104)</x:f>
        <x:v>0.21230325898749536</x:v>
      </x:c>
      <x:c r="Y105" s="63" t="n">
        <x:f>'Datos_fuente'!W105</x:f>
        <x:v>1.233033341</x:v>
      </x:c>
      <x:c r="Z105" s="63" t="n">
        <x:f>IF(OR(Y105="",Y104=""),"",Y105-Y104)</x:f>
        <x:v>-0.1276245599999999</x:v>
      </x:c>
      <x:c r="AA105" s="98" t="n">
        <x:f>'Datos_fuente'!AB105</x:f>
        <x:v>-0.1911925957</x:v>
      </x:c>
      <x:c r="AB105" s="98" t="n">
        <x:f>'Datos_fuente'!AC105</x:f>
        <x:v>-0.1837303259</x:v>
      </x:c>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t="str">
        <x:f>'Datos_fuente'!A106</x:f>
        <x:v>2014-04</x:v>
      </x:c>
      <x:c r="B106" s="98" t="n">
        <x:f>IF('Datos_fuente'!B106="","",LN('Datos_fuente'!B106))</x:f>
        <x:v>7.569597705508365</x:v>
      </x:c>
      <x:c r="C106" s="98" t="n">
        <x:f>IF(OR(B106="",B105=""),"",B106-B105)</x:f>
        <x:v>-0.04111310748183783</x:v>
      </x:c>
      <x:c r="D106" s="98" t="n">
        <x:f>IF('Datos_fuente'!C106="","",LN('Datos_fuente'!C106))</x:f>
        <x:v>5.041875529832312</x:v>
      </x:c>
      <x:c r="E106" s="98" t="n">
        <x:f>IF(OR(D106="",D105=""),"",D106-D105)</x:f>
        <x:v>-0.014561340064550343</x:v>
      </x:c>
      <x:c r="F106" s="98" t="n">
        <x:f>IF('Datos_fuente'!E106="","",LN('Datos_fuente'!E106))</x:f>
        <x:v>8.382870628756368</x:v>
      </x:c>
      <x:c r="G106" s="98" t="n">
        <x:f>IF(OR(F106="",F105=""),"",F106-F105)</x:f>
        <x:v>-0.015908327839198932</x:v>
      </x:c>
      <x:c r="H106" s="63" t="n">
        <x:f>'Datos_fuente'!H106</x:f>
        <x:v>3.185</x:v>
      </x:c>
      <x:c r="I106" s="63" t="n">
        <x:f>IF(OR(H106="",H105=""),"",H106-H105)</x:f>
        <x:v>0.015000000000000124</x:v>
      </x:c>
      <x:c r="J106" s="63" t="n">
        <x:f>'Datos_fuente'!J106</x:f>
        <x:v>2.707866792</x:v>
      </x:c>
      <x:c r="K106" s="63" t="n">
        <x:f>IF(OR(J106="",J105=""),"",J106-J105)</x:f>
        <x:v>0.1844227599999999</x:v>
      </x:c>
      <x:c r="L106" s="98" t="n">
        <x:f>IF('Datos_fuente'!K106="","",LN('Datos_fuente'!K106))</x:f>
        <x:v>4.543247440723879</x:v>
      </x:c>
      <x:c r="M106" s="98" t="n">
        <x:f>IF(OR(L106="",L105=""),"",L106-L105)</x:f>
        <x:v>-0.004725965335353521</x:v>
      </x:c>
      <x:c r="N106" s="98" t="n">
        <x:f>IF('Datos_fuente'!L106="","",LN('Datos_fuente'!L106))</x:f>
        <x:v>2.653107817581736</x:v>
      </x:c>
      <x:c r="O106" s="98" t="n">
        <x:f>IF(OR(N106="",N105=""),"",N106-N105)</x:f>
        <x:v>-0.04399377700258578</x:v>
      </x:c>
      <x:c r="P106" s="96" t="n">
        <x:f>'Datos_fuente'!M106</x:f>
        <x:v>0</x:v>
      </x:c>
      <x:c r="Q106" s="98" t="n">
        <x:f>IF('Datos_fuente'!N106="","",LN('Datos_fuente'!N106))</x:f>
        <x:v>10.70643935905085</x:v>
      </x:c>
      <x:c r="R106" s="98" t="n">
        <x:f>IF(OR(Q106="",Q105=""),"",Q106-Q105)</x:f>
        <x:v>0.007735972535039437</x:v>
      </x:c>
      <x:c r="S106" s="63" t="n">
        <x:f>'Datos_fuente'!P106</x:f>
        <x:v>1.615454545</x:v>
      </x:c>
      <x:c r="T106" s="63" t="n">
        <x:f>IF(OR(S106="",S105=""),"",S106-S105)</x:f>
        <x:v>-0.15216450300000006</x:v>
      </x:c>
      <x:c r="U106" s="98" t="n">
        <x:f>IF('Datos_fuente'!Q106="","",ASINH('Datos_fuente'!Q106/1000))</x:f>
        <x:v>-0.39549847800929455</x:v>
      </x:c>
      <x:c r="V106" s="98" t="n">
        <x:f>IF(OR(U106="",U105=""),"",U106-U105)</x:f>
        <x:v>0.12918446032147762</x:v>
      </x:c>
      <x:c r="W106" s="98" t="n">
        <x:f>IF('Datos_fuente'!R106="","",ASINH('Datos_fuente'!R106/1000))</x:f>
        <x:v>0.8105829593254846</x:v>
      </x:c>
      <x:c r="X106" s="98" t="n">
        <x:f>IF(OR(W106="",W105=""),"",W106-W105)</x:f>
        <x:v>0.01089402129409145</x:v>
      </x:c>
      <x:c r="Y106" s="63" t="n">
        <x:f>'Datos_fuente'!W106</x:f>
        <x:v>1.062454891</x:v>
      </x:c>
      <x:c r="Z106" s="63" t="n">
        <x:f>IF(OR(Y106="",Y105=""),"",Y106-Y105)</x:f>
        <x:v>-0.17057845000000005</x:v>
      </x:c>
      <x:c r="AA106" s="98" t="n">
        <x:f>'Datos_fuente'!AB106</x:f>
        <x:v>-0.7843421155</x:v>
      </x:c>
      <x:c r="AB106" s="98" t="n">
        <x:f>'Datos_fuente'!AC106</x:f>
        <x:v>-0.6729206814</x:v>
      </x:c>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t="str">
        <x:f>'Datos_fuente'!A107</x:f>
        <x:v>2014-05</x:v>
      </x:c>
      <x:c r="B107" s="98" t="n">
        <x:f>IF('Datos_fuente'!B107="","",LN('Datos_fuente'!B107))</x:f>
        <x:v>7.557661378890953</x:v>
      </x:c>
      <x:c r="C107" s="98" t="n">
        <x:f>IF(OR(B107="",B106=""),"",B107-B106)</x:f>
        <x:v>-0.011936326617412618</x:v>
      </x:c>
      <x:c r="D107" s="98" t="n">
        <x:f>IF('Datos_fuente'!C107="","",LN('Datos_fuente'!C107))</x:f>
        <x:v>5.00428182012408</x:v>
      </x:c>
      <x:c r="E107" s="98" t="n">
        <x:f>IF(OR(D107="",D106=""),"",D107-D106)</x:f>
        <x:v>-0.03759370970823195</x:v>
      </x:c>
      <x:c r="F107" s="98" t="n">
        <x:f>IF('Datos_fuente'!E107="","",LN('Datos_fuente'!E107))</x:f>
        <x:v>8.368433288539265</x:v>
      </x:c>
      <x:c r="G107" s="98" t="n">
        <x:f>IF(OR(F107="",F106=""),"",F107-F106)</x:f>
        <x:v>-0.014437340217103412</x:v>
      </x:c>
      <x:c r="H107" s="63" t="n">
        <x:f>'Datos_fuente'!H107</x:f>
        <x:v>3.41</x:v>
      </x:c>
      <x:c r="I107" s="63" t="n">
        <x:f>IF(OR(H107="",H106=""),"",H107-H106)</x:f>
        <x:v>0.2250000000000001</x:v>
      </x:c>
      <x:c r="J107" s="63" t="n">
        <x:f>'Datos_fuente'!J107</x:f>
        <x:v>2.882476329</x:v>
      </x:c>
      <x:c r="K107" s="63" t="n">
        <x:f>IF(OR(J107="",J106=""),"",J107-J106)</x:f>
        <x:v>0.17460953700000026</x:v>
      </x:c>
      <x:c r="L107" s="98" t="n">
        <x:f>IF('Datos_fuente'!K107="","",LN('Datos_fuente'!K107))</x:f>
        <x:v>4.539778272227932</x:v>
      </x:c>
      <x:c r="M107" s="98" t="n">
        <x:f>IF(OR(L107="",L106=""),"",L107-L106)</x:f>
        <x:v>-0.003469168495946917</x:v>
      </x:c>
      <x:c r="N107" s="98" t="n">
        <x:f>IF('Datos_fuente'!L107="","",LN('Datos_fuente'!L107))</x:f>
        <x:v>2.5237457276277886</x:v>
      </x:c>
      <x:c r="O107" s="98" t="n">
        <x:f>IF(OR(N107="",N106=""),"",N107-N106)</x:f>
        <x:v>-0.12936208995394738</x:v>
      </x:c>
      <x:c r="P107" s="96" t="n">
        <x:f>'Datos_fuente'!M107</x:f>
        <x:v>0</x:v>
      </x:c>
      <x:c r="Q107" s="98" t="n">
        <x:f>IF('Datos_fuente'!N107="","",LN('Datos_fuente'!N107))</x:f>
        <x:v>10.715221223673868</x:v>
      </x:c>
      <x:c r="R107" s="98" t="n">
        <x:f>IF(OR(Q107="",Q106=""),"",Q107-Q106)</x:f>
        <x:v>0.008781864623017555</x:v>
      </x:c>
      <x:c r="S107" s="63" t="n">
        <x:f>'Datos_fuente'!P107</x:f>
        <x:v>1.54</x:v>
      </x:c>
      <x:c r="T107" s="63" t="n">
        <x:f>IF(OR(S107="",S106=""),"",S107-S106)</x:f>
        <x:v>-0.07545454499999993</x:v>
      </x:c>
      <x:c r="U107" s="98" t="n">
        <x:f>IF('Datos_fuente'!Q107="","",ASINH('Datos_fuente'!Q107/1000))</x:f>
        <x:v>-0.44317952337704486</x:v>
      </x:c>
      <x:c r="V107" s="98" t="n">
        <x:f>IF(OR(U107="",U106=""),"",U107-U106)</x:f>
        <x:v>-0.04768104536775031</x:v>
      </x:c>
      <x:c r="W107" s="98" t="n">
        <x:f>IF('Datos_fuente'!R107="","",ASINH('Datos_fuente'!R107/1000))</x:f>
        <x:v>0.8489400331897689</x:v>
      </x:c>
      <x:c r="X107" s="98" t="n">
        <x:f>IF(OR(W107="",W106=""),"",W107-W106)</x:f>
        <x:v>0.03835707386428422</x:v>
      </x:c>
      <x:c r="Y107" s="63" t="n">
        <x:f>'Datos_fuente'!W107</x:f>
        <x:v>1.100671449</x:v>
      </x:c>
      <x:c r="Z107" s="63" t="n">
        <x:f>IF(OR(Y107="",Y106=""),"",Y107-Y106)</x:f>
        <x:v>0.03821655800000001</x:v>
      </x:c>
      <x:c r="AA107" s="98" t="n">
        <x:f>'Datos_fuente'!AB107</x:f>
        <x:v>-0.2817255492</x:v>
      </x:c>
      <x:c r="AB107" s="98" t="n">
        <x:f>'Datos_fuente'!AC107</x:f>
        <x:v>-0.2627954228</x:v>
      </x:c>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t="str">
        <x:f>'Datos_fuente'!A108</x:f>
        <x:v>2014-06</x:v>
      </x:c>
      <x:c r="B108" s="98" t="n">
        <x:f>IF('Datos_fuente'!B108="","",LN('Datos_fuente'!B108))</x:f>
        <x:v>7.542764389348451</x:v>
      </x:c>
      <x:c r="C108" s="98" t="n">
        <x:f>IF(OR(B108="",B107=""),"",B108-B107)</x:f>
        <x:v>-0.014896989542501515</x:v>
      </x:c>
      <x:c r="D108" s="98" t="n">
        <x:f>IF('Datos_fuente'!C108="","",LN('Datos_fuente'!C108))</x:f>
        <x:v>5.090493369341659</x:v>
      </x:c>
      <x:c r="E108" s="98" t="n">
        <x:f>IF(OR(D108="",D107=""),"",D108-D107)</x:f>
        <x:v>0.08621154921757856</x:v>
      </x:c>
      <x:c r="F108" s="98" t="n">
        <x:f>IF('Datos_fuente'!E108="","",LN('Datos_fuente'!E108))</x:f>
        <x:v>8.350996920543778</x:v>
      </x:c>
      <x:c r="G108" s="98" t="n">
        <x:f>IF(OR(F108="",F107=""),"",F108-F107)</x:f>
        <x:v>-0.017436367995486535</x:v>
      </x:c>
      <x:c r="H108" s="63" t="n">
        <x:f>'Datos_fuente'!H108</x:f>
        <x:v>3.691666667</x:v>
      </x:c>
      <x:c r="I108" s="63" t="n">
        <x:f>IF(OR(H108="",H107=""),"",H108-H107)</x:f>
        <x:v>0.28166666699999965</x:v>
      </x:c>
      <x:c r="J108" s="63" t="n">
        <x:f>'Datos_fuente'!J108</x:f>
        <x:v>3.305413646</x:v>
      </x:c>
      <x:c r="K108" s="63" t="n">
        <x:f>IF(OR(J108="",J107=""),"",J108-J107)</x:f>
        <x:v>0.4229373169999997</x:v>
      </x:c>
      <x:c r="L108" s="98" t="n">
        <x:f>IF('Datos_fuente'!K108="","",LN('Datos_fuente'!K108))</x:f>
        <x:v>4.541456974961752</x:v>
      </x:c>
      <x:c r="M108" s="98" t="n">
        <x:f>IF(OR(L108="",L107=""),"",L108-L107)</x:f>
        <x:v>0.0016787027338205363</x:v>
      </x:c>
      <x:c r="N108" s="98" t="n">
        <x:f>IF('Datos_fuente'!L108="","",LN('Datos_fuente'!L108))</x:f>
        <x:v>2.4459430463125265</x:v>
      </x:c>
      <x:c r="O108" s="98" t="n">
        <x:f>IF(OR(N108="",N107=""),"",N108-N107)</x:f>
        <x:v>-0.07780268131526213</x:v>
      </x:c>
      <x:c r="P108" s="96" t="n">
        <x:f>'Datos_fuente'!M108</x:f>
        <x:v>0</x:v>
      </x:c>
      <x:c r="Q108" s="98" t="n">
        <x:f>IF('Datos_fuente'!N108="","",LN('Datos_fuente'!N108))</x:f>
        <x:v>10.725503648245517</x:v>
      </x:c>
      <x:c r="R108" s="98" t="n">
        <x:f>IF(OR(Q108="",Q107=""),"",Q108-Q107)</x:f>
        <x:v>0.010282424571649074</x:v>
      </x:c>
      <x:c r="S108" s="63" t="n">
        <x:f>'Datos_fuente'!P108</x:f>
        <x:v>1.442380952</x:v>
      </x:c>
      <x:c r="T108" s="63" t="n">
        <x:f>IF(OR(S108="",S107=""),"",S108-S107)</x:f>
        <x:v>-0.0976190480000001</x:v>
      </x:c>
      <x:c r="U108" s="98" t="n">
        <x:f>IF('Datos_fuente'!Q108="","",ASINH('Datos_fuente'!Q108/1000))</x:f>
        <x:v>-0.41110204457562266</x:v>
      </x:c>
      <x:c r="V108" s="98" t="n">
        <x:f>IF(OR(U108="",U107=""),"",U108-U107)</x:f>
        <x:v>0.0320774788014222</x:v>
      </x:c>
      <x:c r="W108" s="98" t="n">
        <x:f>IF('Datos_fuente'!R108="","",ASINH('Datos_fuente'!R108/1000))</x:f>
        <x:v>0.9546451872544084</x:v>
      </x:c>
      <x:c r="X108" s="98" t="n">
        <x:f>IF(OR(W108="",W107=""),"",W108-W107)</x:f>
        <x:v>0.10570515406463954</x:v>
      </x:c>
      <x:c r="Y108" s="63" t="n">
        <x:f>'Datos_fuente'!W108</x:f>
        <x:v>1.100546045</x:v>
      </x:c>
      <x:c r="Z108" s="63" t="n">
        <x:f>IF(OR(Y108="",Y107=""),"",Y108-Y107)</x:f>
        <x:v>-0.00012540400000005114</x:v>
      </x:c>
      <x:c r="AA108" s="98" t="n">
        <x:f>'Datos_fuente'!AB108</x:f>
        <x:v>-0.02481825408</x:v>
      </x:c>
      <x:c r="AB108" s="98" t="n">
        <x:f>'Datos_fuente'!AC108</x:f>
        <x:v>0.03841827441</x:v>
      </x:c>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t="str">
        <x:f>'Datos_fuente'!A109</x:f>
        <x:v>2014-07</x:v>
      </x:c>
      <x:c r="B109" s="98" t="n">
        <x:f>IF('Datos_fuente'!B109="","",LN('Datos_fuente'!B109))</x:f>
        <x:v>7.527064401573634</x:v>
      </x:c>
      <x:c r="C109" s="98" t="n">
        <x:f>IF(OR(B109="",B108=""),"",B109-B108)</x:f>
        <x:v>-0.01569998777481718</x:v>
      </x:c>
      <x:c r="D109" s="98" t="n">
        <x:f>IF('Datos_fuente'!C109="","",LN('Datos_fuente'!C109))</x:f>
        <x:v>5.001527275065528</x:v>
      </x:c>
      <x:c r="E109" s="98" t="n">
        <x:f>IF(OR(D109="",D108=""),"",D109-D108)</x:f>
        <x:v>-0.088966094276131</x:v>
      </x:c>
      <x:c r="F109" s="98" t="n">
        <x:f>IF('Datos_fuente'!E109="","",LN('Datos_fuente'!E109))</x:f>
        <x:v>8.339591677672232</x:v>
      </x:c>
      <x:c r="G109" s="98" t="n">
        <x:f>IF(OR(F109="",F108=""),"",F109-F108)</x:f>
        <x:v>-0.011405242871546761</x:v>
      </x:c>
      <x:c r="H109" s="63" t="n">
        <x:f>'Datos_fuente'!H109</x:f>
        <x:v>3.91</x:v>
      </x:c>
      <x:c r="I109" s="63" t="n">
        <x:f>IF(OR(H109="",H108=""),"",H109-H108)</x:f>
        <x:v>0.21833333300000035</x:v>
      </x:c>
      <x:c r="J109" s="63" t="n">
        <x:f>'Datos_fuente'!J109</x:f>
        <x:v>3.251003553</x:v>
      </x:c>
      <x:c r="K109" s="63" t="n">
        <x:f>IF(OR(J109="",J108=""),"",J109-J108)</x:f>
        <x:v>-0.05441009299999999</x:v>
      </x:c>
      <x:c r="L109" s="98" t="n">
        <x:f>IF('Datos_fuente'!K109="","",LN('Datos_fuente'!K109))</x:f>
        <x:v>4.539071612227647</x:v>
      </x:c>
      <x:c r="M109" s="98" t="n">
        <x:f>IF(OR(L109="",L108=""),"",L109-L108)</x:f>
        <x:v>-0.0023853627341052785</x:v>
      </x:c>
      <x:c r="N109" s="98" t="n">
        <x:f>IF('Datos_fuente'!L109="","",LN('Datos_fuente'!L109))</x:f>
        <x:v>2.50930357964415</x:v>
      </x:c>
      <x:c r="O109" s="98" t="n">
        <x:f>IF(OR(N109="",N108=""),"",N109-N108)</x:f>
        <x:v>0.06336053333162361</x:v>
      </x:c>
      <x:c r="P109" s="96" t="n">
        <x:f>'Datos_fuente'!M109</x:f>
        <x:v>0</x:v>
      </x:c>
      <x:c r="Q109" s="98" t="n">
        <x:f>IF('Datos_fuente'!N109="","",LN('Datos_fuente'!N109))</x:f>
        <x:v>10.738394244219032</x:v>
      </x:c>
      <x:c r="R109" s="98" t="n">
        <x:f>IF(OR(Q109="",Q108=""),"",Q109-Q108)</x:f>
        <x:v>0.012890595973514607</x:v>
      </x:c>
      <x:c r="S109" s="63" t="n">
        <x:f>'Datos_fuente'!P109</x:f>
        <x:v>1.454782609</x:v>
      </x:c>
      <x:c r="T109" s="63" t="n">
        <x:f>IF(OR(S109="",S108=""),"",S109-S108)</x:f>
        <x:v>0.012401657000000066</x:v>
      </x:c>
      <x:c r="U109" s="98" t="n">
        <x:f>IF('Datos_fuente'!Q109="","",ASINH('Datos_fuente'!Q109/1000))</x:f>
        <x:v>-0.49507673773224925</x:v>
      </x:c>
      <x:c r="V109" s="98" t="n">
        <x:f>IF(OR(U109="",U108=""),"",U109-U108)</x:f>
        <x:v>-0.08397469315662659</x:v>
      </x:c>
      <x:c r="W109" s="98" t="n">
        <x:f>IF('Datos_fuente'!R109="","",ASINH('Datos_fuente'!R109/1000))</x:f>
        <x:v>1.0424665216707982</x:v>
      </x:c>
      <x:c r="X109" s="98" t="n">
        <x:f>IF(OR(W109="",W108=""),"",W109-W108)</x:f>
        <x:v>0.08782133441638984</x:v>
      </x:c>
      <x:c r="Y109" s="63" t="n">
        <x:f>'Datos_fuente'!W109</x:f>
        <x:v>1.032578672</x:v>
      </x:c>
      <x:c r="Z109" s="63" t="n">
        <x:f>IF(OR(Y109="",Y108=""),"",Y109-Y108)</x:f>
        <x:v>-0.06796737299999989</x:v>
      </x:c>
      <x:c r="AA109" s="98" t="n">
        <x:f>'Datos_fuente'!AB109</x:f>
        <x:v>-0.03860818642</x:v>
      </x:c>
      <x:c r="AB109" s="98" t="n">
        <x:f>'Datos_fuente'!AC109</x:f>
        <x:v>-0.08508186806</x:v>
      </x:c>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t="str">
        <x:f>'Datos_fuente'!A110</x:f>
        <x:v>2014-08</x:v>
      </x:c>
      <x:c r="B110" s="98" t="n">
        <x:f>IF('Datos_fuente'!B110="","",LN('Datos_fuente'!B110))</x:f>
        <x:v>7.5486219206205565</x:v>
      </x:c>
      <x:c r="C110" s="98" t="n">
        <x:f>IF(OR(B110="",B109=""),"",B110-B109)</x:f>
        <x:v>0.02155751904692238</x:v>
      </x:c>
      <x:c r="D110" s="98" t="n">
        <x:f>IF('Datos_fuente'!C110="","",LN('Datos_fuente'!C110))</x:f>
        <x:v>5.020915603503812</x:v>
      </x:c>
      <x:c r="E110" s="98" t="n">
        <x:f>IF(OR(D110="",D109=""),"",D110-D109)</x:f>
        <x:v>0.019388328438283864</x:v>
      </x:c>
      <x:c r="F110" s="98" t="n">
        <x:f>IF('Datos_fuente'!E110="","",LN('Datos_fuente'!E110))</x:f>
        <x:v>8.325889818607168</x:v>
      </x:c>
      <x:c r="G110" s="98" t="n">
        <x:f>IF(OR(F110="",F109=""),"",F110-F109)</x:f>
        <x:v>-0.013701859065063715</x:v>
      </x:c>
      <x:c r="H110" s="63" t="n">
        <x:f>'Datos_fuente'!H110</x:f>
        <x:v>4.16</x:v>
      </x:c>
      <x:c r="I110" s="63" t="n">
        <x:f>IF(OR(H110="",H109=""),"",H110-H109)</x:f>
        <x:v>0.25</x:v>
      </x:c>
      <x:c r="J110" s="63" t="n">
        <x:f>'Datos_fuente'!J110</x:f>
        <x:v>3.559866605</x:v>
      </x:c>
      <x:c r="K110" s="63" t="n">
        <x:f>IF(OR(J110="",J109=""),"",J110-J109)</x:f>
        <x:v>0.30886305199999997</x:v>
      </x:c>
      <x:c r="L110" s="98" t="n">
        <x:f>IF('Datos_fuente'!K110="","",LN('Datos_fuente'!K110))</x:f>
        <x:v>4.549454596282505</x:v>
      </x:c>
      <x:c r="M110" s="98" t="n">
        <x:f>IF(OR(L110="",L109=""),"",L110-L109)</x:f>
        <x:v>0.010382984054857936</x:v>
      </x:c>
      <x:c r="N110" s="98" t="n">
        <x:f>IF('Datos_fuente'!L110="","",LN('Datos_fuente'!L110))</x:f>
        <x:v>2.6020898581765644</x:v>
      </x:c>
      <x:c r="O110" s="98" t="n">
        <x:f>IF(OR(N110="",N109=""),"",N110-N109)</x:f>
        <x:v>0.09278627853241428</x:v>
      </x:c>
      <x:c r="P110" s="96" t="n">
        <x:f>'Datos_fuente'!M110</x:f>
        <x:v>0</x:v>
      </x:c>
      <x:c r="Q110" s="98" t="n">
        <x:f>IF('Datos_fuente'!N110="","",LN('Datos_fuente'!N110))</x:f>
        <x:v>10.751607788965154</x:v>
      </x:c>
      <x:c r="R110" s="98" t="n">
        <x:f>IF(OR(Q110="",Q109=""),"",Q110-Q109)</x:f>
        <x:v>0.013213544746122352</x:v>
      </x:c>
      <x:c r="S110" s="63" t="n">
        <x:f>'Datos_fuente'!P110</x:f>
        <x:v>1.535714286</x:v>
      </x:c>
      <x:c r="T110" s="63" t="n">
        <x:f>IF(OR(S110="",S109=""),"",S110-S109)</x:f>
        <x:v>0.08093167699999992</x:v>
      </x:c>
      <x:c r="U110" s="98" t="n">
        <x:f>IF('Datos_fuente'!Q110="","",ASINH('Datos_fuente'!Q110/1000))</x:f>
        <x:v>-0.393885735456743</x:v>
      </x:c>
      <x:c r="V110" s="98" t="n">
        <x:f>IF(OR(U110="",U109=""),"",U110-U109)</x:f>
        <x:v>0.10119100227550626</x:v>
      </x:c>
      <x:c r="W110" s="98" t="n">
        <x:f>IF('Datos_fuente'!R110="","",ASINH('Datos_fuente'!R110/1000))</x:f>
        <x:v>1.1776405168864579</x:v>
      </x:c>
      <x:c r="X110" s="98" t="n">
        <x:f>IF(OR(W110="",W109=""),"",W110-W109)</x:f>
        <x:v>0.13517399521565965</x:v>
      </x:c>
      <x:c r="Y110" s="63" t="n">
        <x:f>'Datos_fuente'!W110</x:f>
        <x:v>1.165950896</x:v>
      </x:c>
      <x:c r="Z110" s="63" t="n">
        <x:f>IF(OR(Y110="",Y109=""),"",Y110-Y109)</x:f>
        <x:v>0.13337222399999993</x:v>
      </x:c>
      <x:c r="AA110" s="98" t="n">
        <x:f>'Datos_fuente'!AB110</x:f>
        <x:v>0.6871038693</x:v>
      </x:c>
      <x:c r="AB110" s="98" t="n">
        <x:f>'Datos_fuente'!AC110</x:f>
        <x:v>0.7215510059</x:v>
      </x:c>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t="str">
        <x:f>'Datos_fuente'!A111</x:f>
        <x:v>2014-09</x:v>
      </x:c>
      <x:c r="B111" s="98" t="n">
        <x:f>IF('Datos_fuente'!B111="","",LN('Datos_fuente'!B111))</x:f>
        <x:v>7.587673677270184</x:v>
      </x:c>
      <x:c r="C111" s="98" t="n">
        <x:f>IF(OR(B111="",B110=""),"",B111-B110)</x:f>
        <x:v>0.03905175664962712</x:v>
      </x:c>
      <x:c r="D111" s="98" t="n">
        <x:f>IF('Datos_fuente'!C111="","",LN('Datos_fuente'!C111))</x:f>
        <x:v>4.983469626023486</x:v>
      </x:c>
      <x:c r="E111" s="98" t="n">
        <x:f>IF(OR(D111="",D110=""),"",D111-D110)</x:f>
        <x:v>-0.037445977480325965</x:v>
      </x:c>
      <x:c r="F111" s="98" t="n">
        <x:f>IF('Datos_fuente'!E111="","",LN('Datos_fuente'!E111))</x:f>
        <x:v>8.323256438649969</x:v>
      </x:c>
      <x:c r="G111" s="98" t="n">
        <x:f>IF(OR(F111="",F110=""),"",F111-F110)</x:f>
        <x:v>-0.0026333799571993666</x:v>
      </x:c>
      <x:c r="H111" s="63" t="n">
        <x:f>'Datos_fuente'!H111</x:f>
        <x:v>4.41</x:v>
      </x:c>
      <x:c r="I111" s="63" t="n">
        <x:f>IF(OR(H111="",H110=""),"",H111-H110)</x:f>
        <x:v>0.25</x:v>
      </x:c>
      <x:c r="J111" s="63" t="n">
        <x:f>'Datos_fuente'!J111</x:f>
        <x:v>3.370339697</x:v>
      </x:c>
      <x:c r="K111" s="63" t="n">
        <x:f>IF(OR(J111="",J110=""),"",J111-J110)</x:f>
        <x:v>-0.18952690799999994</x:v>
      </x:c>
      <x:c r="L111" s="98" t="n">
        <x:f>IF('Datos_fuente'!K111="","",LN('Datos_fuente'!K111))</x:f>
        <x:v>4.565606427369442</x:v>
      </x:c>
      <x:c r="M111" s="98" t="n">
        <x:f>IF(OR(L111="",L110=""),"",L111-L110)</x:f>
        <x:v>0.016151831086936852</x:v>
      </x:c>
      <x:c r="N111" s="98" t="n">
        <x:f>IF('Datos_fuente'!L111="","",LN('Datos_fuente'!L111))</x:f>
        <x:v>2.6002174965465197</x:v>
      </x:c>
      <x:c r="O111" s="98" t="n">
        <x:f>IF(OR(N111="",N110=""),"",N111-N110)</x:f>
        <x:v>-0.0018723616300446722</x:v>
      </x:c>
      <x:c r="P111" s="96" t="n">
        <x:f>'Datos_fuente'!M111</x:f>
        <x:v>0</x:v>
      </x:c>
      <x:c r="Q111" s="98" t="n">
        <x:f>IF('Datos_fuente'!N111="","",LN('Datos_fuente'!N111))</x:f>
        <x:v>10.760167123868438</x:v>
      </x:c>
      <x:c r="R111" s="98" t="n">
        <x:f>IF(OR(Q111="",Q110=""),"",Q111-Q110)</x:f>
        <x:v>0.008559334903283755</x:v>
      </x:c>
      <x:c r="S111" s="63" t="n">
        <x:f>'Datos_fuente'!P111</x:f>
        <x:v>1.519090909</x:v>
      </x:c>
      <x:c r="T111" s="63" t="n">
        <x:f>IF(OR(S111="",S110=""),"",S111-S110)</x:f>
        <x:v>-0.01662337699999994</x:v>
      </x:c>
      <x:c r="U111" s="98" t="n">
        <x:f>IF('Datos_fuente'!Q111="","",ASINH('Datos_fuente'!Q111/1000))</x:f>
        <x:v>-0.349811903261142</x:v>
      </x:c>
      <x:c r="V111" s="98" t="n">
        <x:f>IF(OR(U111="",U110=""),"",U111-U110)</x:f>
        <x:v>0.044073832195601015</x:v>
      </x:c>
      <x:c r="W111" s="98" t="n">
        <x:f>IF('Datos_fuente'!R111="","",ASINH('Datos_fuente'!R111/1000))</x:f>
        <x:v>0.8264456367411759</x:v>
      </x:c>
      <x:c r="X111" s="98" t="n">
        <x:f>IF(OR(W111="",W110=""),"",W111-W110)</x:f>
        <x:v>-0.351194880145282</x:v>
      </x:c>
      <x:c r="Y111" s="63" t="n">
        <x:f>'Datos_fuente'!W111</x:f>
        <x:v>1.305097845</x:v>
      </x:c>
      <x:c r="Z111" s="63" t="n">
        <x:f>IF(OR(Y111="",Y110=""),"",Y111-Y110)</x:f>
        <x:v>0.1391469489999999</x:v>
      </x:c>
      <x:c r="AA111" s="98" t="n">
        <x:f>'Datos_fuente'!AB111</x:f>
        <x:v>0.5465466648</x:v>
      </x:c>
      <x:c r="AB111" s="98" t="n">
        <x:f>'Datos_fuente'!AC111</x:f>
        <x:v>0.7660173235</x:v>
      </x:c>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t="str">
        <x:f>'Datos_fuente'!A112</x:f>
        <x:v>2014-10</x:v>
      </x:c>
      <x:c r="B112" s="98" t="n">
        <x:f>IF('Datos_fuente'!B112="","",LN('Datos_fuente'!B112))</x:f>
        <x:v>7.624896007843942</x:v>
      </x:c>
      <x:c r="C112" s="98" t="n">
        <x:f>IF(OR(B112="",B111=""),"",B112-B111)</x:f>
        <x:v>0.037222330573758455</x:v>
      </x:c>
      <x:c r="D112" s="98" t="n">
        <x:f>IF('Datos_fuente'!C112="","",LN('Datos_fuente'!C112))</x:f>
        <x:v>4.895523686995031</x:v>
      </x:c>
      <x:c r="E112" s="98" t="n">
        <x:f>IF(OR(D112="",D111=""),"",D112-D111)</x:f>
        <x:v>-0.08794593902845449</x:v>
      </x:c>
      <x:c r="F112" s="98" t="n">
        <x:f>IF('Datos_fuente'!E112="","",LN('Datos_fuente'!E112))</x:f>
        <x:v>8.318622733355125</x:v>
      </x:c>
      <x:c r="G112" s="98" t="n">
        <x:f>IF(OR(F112="",F111=""),"",F112-F111)</x:f>
        <x:v>-0.004633705294843082</x:v>
      </x:c>
      <x:c r="H112" s="63" t="n">
        <x:f>'Datos_fuente'!H112</x:f>
        <x:v>4.41</x:v>
      </x:c>
      <x:c r="I112" s="63" t="n">
        <x:f>IF(OR(H112="",H111=""),"",H112-H111)</x:f>
        <x:v>0</x:v>
      </x:c>
      <x:c r="J112" s="63" t="n">
        <x:f>'Datos_fuente'!J112</x:f>
        <x:v>3.013679212</x:v>
      </x:c>
      <x:c r="K112" s="63" t="n">
        <x:f>IF(OR(J112="",J111=""),"",J112-J111)</x:f>
        <x:v>-0.3566604849999999</x:v>
      </x:c>
      <x:c r="L112" s="98" t="n">
        <x:f>IF('Datos_fuente'!K112="","",LN('Datos_fuente'!K112))</x:f>
        <x:v>4.579232745558442</x:v>
      </x:c>
      <x:c r="M112" s="98" t="n">
        <x:f>IF(OR(L112="",L111=""),"",L112-L111)</x:f>
        <x:v>0.013626318188999953</x:v>
      </x:c>
      <x:c r="N112" s="98" t="n">
        <x:f>IF('Datos_fuente'!L112="","",LN('Datos_fuente'!L112))</x:f>
        <x:v>2.8936273222355506</x:v>
      </x:c>
      <x:c r="O112" s="98" t="n">
        <x:f>IF(OR(N112="",N111=""),"",N112-N111)</x:f>
        <x:v>0.29340982568903096</x:v>
      </x:c>
      <x:c r="P112" s="96" t="n">
        <x:f>'Datos_fuente'!M112</x:f>
        <x:v>0</x:v>
      </x:c>
      <x:c r="Q112" s="98" t="n">
        <x:f>IF('Datos_fuente'!N112="","",LN('Datos_fuente'!N112))</x:f>
        <x:v>10.765629970963237</x:v>
      </x:c>
      <x:c r="R112" s="98" t="n">
        <x:f>IF(OR(Q112="",Q111=""),"",Q112-Q111)</x:f>
        <x:v>0.0054628470947992724</x:v>
      </x:c>
      <x:c r="S112" s="63" t="n">
        <x:f>'Datos_fuente'!P112</x:f>
        <x:v>1.74173913</x:v>
      </x:c>
      <x:c r="T112" s="63" t="n">
        <x:f>IF(OR(S112="",S111=""),"",S112-S111)</x:f>
        <x:v>0.22264822100000004</x:v>
      </x:c>
      <x:c r="U112" s="98" t="n">
        <x:f>IF('Datos_fuente'!Q112="","",ASINH('Datos_fuente'!Q112/1000))</x:f>
        <x:v>-0.3855191509970518</x:v>
      </x:c>
      <x:c r="V112" s="98" t="n">
        <x:f>IF(OR(U112="",U111=""),"",U112-U111)</x:f>
        <x:v>-0.03570724773590983</x:v>
      </x:c>
      <x:c r="W112" s="98" t="n">
        <x:f>IF('Datos_fuente'!R112="","",ASINH('Datos_fuente'!R112/1000))</x:f>
        <x:v>0.7979005053931834</x:v>
      </x:c>
      <x:c r="X112" s="98" t="n">
        <x:f>IF(OR(W112="",W111=""),"",W112-W111)</x:f>
        <x:v>-0.028545131347992525</x:v>
      </x:c>
      <x:c r="Y112" s="63" t="n">
        <x:f>'Datos_fuente'!W112</x:f>
        <x:v>1.539536367</x:v>
      </x:c>
      <x:c r="Z112" s="63" t="n">
        <x:f>IF(OR(Y112="",Y111=""),"",Y112-Y111)</x:f>
        <x:v>0.23443852200000004</x:v>
      </x:c>
      <x:c r="AA112" s="98" t="n">
        <x:f>'Datos_fuente'!AB112</x:f>
        <x:v>0.4259806319</x:v>
      </x:c>
      <x:c r="AB112" s="98" t="n">
        <x:f>'Datos_fuente'!AC112</x:f>
        <x:v>0.6147870631</x:v>
      </x:c>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t="str">
        <x:f>'Datos_fuente'!A113</x:f>
        <x:v>2014-11</x:v>
      </x:c>
      <x:c r="B113" s="98" t="n">
        <x:f>IF('Datos_fuente'!B113="","",LN('Datos_fuente'!B113))</x:f>
        <x:v>7.663259070951175</x:v>
      </x:c>
      <x:c r="C113" s="98" t="n">
        <x:f>IF(OR(B113="",B112=""),"",B113-B112)</x:f>
        <x:v>0.0383630631072327</x:v>
      </x:c>
      <x:c r="D113" s="98" t="n">
        <x:f>IF('Datos_fuente'!C113="","",LN('Datos_fuente'!C113))</x:f>
        <x:v>4.870299853969361</x:v>
      </x:c>
      <x:c r="E113" s="98" t="n">
        <x:f>IF(OR(D113="",D112=""),"",D113-D112)</x:f>
        <x:v>-0.025223833025670217</x:v>
      </x:c>
      <x:c r="F113" s="98" t="n">
        <x:f>IF('Datos_fuente'!E113="","",LN('Datos_fuente'!E113))</x:f>
        <x:v>8.30970150804025</x:v>
      </x:c>
      <x:c r="G113" s="98" t="n">
        <x:f>IF(OR(F113="",F112=""),"",F113-F112)</x:f>
        <x:v>-0.008921225314875159</x:v>
      </x:c>
      <x:c r="H113" s="63" t="n">
        <x:f>'Datos_fuente'!H113</x:f>
        <x:v>4.41</x:v>
      </x:c>
      <x:c r="I113" s="63" t="n">
        <x:f>IF(OR(H113="",H112=""),"",H113-H112)</x:f>
        <x:v>0</x:v>
      </x:c>
      <x:c r="J113" s="63" t="n">
        <x:f>'Datos_fuente'!J113</x:f>
        <x:v>2.848812219</x:v>
      </x:c>
      <x:c r="K113" s="63" t="n">
        <x:f>IF(OR(J113="",J112=""),"",J113-J112)</x:f>
        <x:v>-0.16486699299999996</x:v>
      </x:c>
      <x:c r="L113" s="98" t="n">
        <x:f>IF('Datos_fuente'!K113="","",LN('Datos_fuente'!K113))</x:f>
        <x:v>4.596277653258168</x:v>
      </x:c>
      <x:c r="M113" s="98" t="n">
        <x:f>IF(OR(L113="",L112=""),"",L113-L112)</x:f>
        <x:v>0.01704490769972633</x:v>
      </x:c>
      <x:c r="N113" s="98" t="n">
        <x:f>IF('Datos_fuente'!L113="","",LN('Datos_fuente'!L113))</x:f>
        <x:v>2.5962361572664614</x:v>
      </x:c>
      <x:c r="O113" s="98" t="n">
        <x:f>IF(OR(N113="",N112=""),"",N113-N112)</x:f>
        <x:v>-0.29739116496908924</x:v>
      </x:c>
      <x:c r="P113" s="96" t="n">
        <x:f>'Datos_fuente'!M113</x:f>
        <x:v>0</x:v>
      </x:c>
      <x:c r="Q113" s="98" t="n">
        <x:f>IF('Datos_fuente'!N113="","",LN('Datos_fuente'!N113))</x:f>
        <x:v>10.765959698894243</x:v>
      </x:c>
      <x:c r="R113" s="98" t="n">
        <x:f>IF(OR(Q113="",Q112=""),"",Q113-Q112)</x:f>
        <x:v>0.0003297279310050527</x:v>
      </x:c>
      <x:c r="S113" s="63" t="n">
        <x:f>'Datos_fuente'!P113</x:f>
        <x:v>1.728</x:v>
      </x:c>
      <x:c r="T113" s="63" t="n">
        <x:f>IF(OR(S113="",S112=""),"",S113-S112)</x:f>
        <x:v>-0.013739130000000044</x:v>
      </x:c>
      <x:c r="U113" s="98" t="n">
        <x:f>IF('Datos_fuente'!Q113="","",ASINH('Datos_fuente'!Q113/1000))</x:f>
        <x:v>-0.2623887997062685</x:v>
      </x:c>
      <x:c r="V113" s="98" t="n">
        <x:f>IF(OR(U113="",U112=""),"",U113-U112)</x:f>
        <x:v>0.12313035129078331</x:v>
      </x:c>
      <x:c r="W113" s="98" t="n">
        <x:f>IF('Datos_fuente'!R113="","",ASINH('Datos_fuente'!R113/1000))</x:f>
        <x:v>0.31392821310683683</x:v>
      </x:c>
      <x:c r="X113" s="98" t="n">
        <x:f>IF(OR(W113="",W112=""),"",W113-W112)</x:f>
        <x:v>-0.48397229228634653</x:v>
      </x:c>
      <x:c r="Y113" s="63" t="n">
        <x:f>'Datos_fuente'!W113</x:f>
        <x:v>1.561966664</x:v>
      </x:c>
      <x:c r="Z113" s="63" t="n">
        <x:f>IF(OR(Y113="",Y112=""),"",Y113-Y112)</x:f>
        <x:v>0.0224302970000001</x:v>
      </x:c>
      <x:c r="AA113" s="98" t="n">
        <x:f>'Datos_fuente'!AB113</x:f>
        <x:v>0.5107452137</x:v>
      </x:c>
      <x:c r="AB113" s="98" t="n">
        <x:f>'Datos_fuente'!AC113</x:f>
        <x:v>0.5151979656</x:v>
      </x:c>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t="str">
        <x:f>'Datos_fuente'!A114</x:f>
        <x:v>2014-12</x:v>
      </x:c>
      <x:c r="B114" s="98" t="n">
        <x:f>IF('Datos_fuente'!B114="","",LN('Datos_fuente'!B114))</x:f>
        <x:v>7.758868799612944</x:v>
      </x:c>
      <x:c r="C114" s="98" t="n">
        <x:f>IF(OR(B114="",B113=""),"",B114-B113)</x:f>
        <x:v>0.09560972866176964</x:v>
      </x:c>
      <x:c r="D114" s="98" t="n">
        <x:f>IF('Datos_fuente'!C114="","",LN('Datos_fuente'!C114))</x:f>
        <x:v>4.7671189529741085</x:v>
      </x:c>
      <x:c r="E114" s="98" t="n">
        <x:f>IF(OR(D114="",D113=""),"",D114-D113)</x:f>
        <x:v>-0.10318090099525268</x:v>
      </x:c>
      <x:c r="F114" s="98" t="n">
        <x:f>IF('Datos_fuente'!E114="","",LN('Datos_fuente'!E114))</x:f>
        <x:v>8.317084782285939</x:v>
      </x:c>
      <x:c r="G114" s="98" t="n">
        <x:f>IF(OR(F114="",F113=""),"",F114-F113)</x:f>
        <x:v>0.007383274245688298</x:v>
      </x:c>
      <x:c r="H114" s="63" t="n">
        <x:f>'Datos_fuente'!H114</x:f>
        <x:v>4.38</x:v>
      </x:c>
      <x:c r="I114" s="63" t="n">
        <x:f>IF(OR(H114="",H113=""),"",H114-H113)</x:f>
        <x:v>-0.03000000000000025</x:v>
      </x:c>
      <x:c r="J114" s="63" t="n">
        <x:f>'Datos_fuente'!J114</x:f>
        <x:v>2.406132394</x:v>
      </x:c>
      <x:c r="K114" s="63" t="n">
        <x:f>IF(OR(J114="",J113=""),"",J114-J113)</x:f>
        <x:v>-0.4426798249999999</x:v>
      </x:c>
      <x:c r="L114" s="98" t="n">
        <x:f>IF('Datos_fuente'!K114="","",LN('Datos_fuente'!K114))</x:f>
        <x:v>4.619508236112753</x:v>
      </x:c>
      <x:c r="M114" s="98" t="n">
        <x:f>IF(OR(L114="",L113=""),"",L114-L113)</x:f>
        <x:v>0.023230582854584902</x:v>
      </x:c>
      <x:c r="N114" s="98" t="n">
        <x:f>IF('Datos_fuente'!L114="","",LN('Datos_fuente'!L114))</x:f>
        <x:v>2.790690929763901</x:v>
      </x:c>
      <x:c r="O114" s="98" t="n">
        <x:f>IF(OR(N114="",N113=""),"",N114-N113)</x:f>
        <x:v>0.1944547724974397</x:v>
      </x:c>
      <x:c r="P114" s="96" t="n">
        <x:f>'Datos_fuente'!M114</x:f>
        <x:v>0</x:v>
      </x:c>
      <x:c r="Q114" s="98" t="n">
        <x:f>IF('Datos_fuente'!N114="","",LN('Datos_fuente'!N114))</x:f>
        <x:v>10.764753616044896</x:v>
      </x:c>
      <x:c r="R114" s="98" t="n">
        <x:f>IF(OR(Q114="",Q113=""),"",Q114-Q113)</x:f>
        <x:v>-0.0012060828493467568</x:v>
      </x:c>
      <x:c r="S114" s="63" t="n">
        <x:f>'Datos_fuente'!P114</x:f>
        <x:v>1.997391304</x:v>
      </x:c>
      <x:c r="T114" s="63" t="n">
        <x:f>IF(OR(S114="",S113=""),"",S114-S113)</x:f>
        <x:v>0.269391304</x:v>
      </x:c>
      <x:c r="U114" s="98" t="n">
        <x:f>IF('Datos_fuente'!Q114="","",ASINH('Datos_fuente'!Q114/1000))</x:f>
        <x:v>-0.35028275972442807</x:v>
      </x:c>
      <x:c r="V114" s="98" t="n">
        <x:f>IF(OR(U114="",U113=""),"",U114-U113)</x:f>
        <x:v>-0.08789396001815958</x:v>
      </x:c>
      <x:c r="W114" s="98" t="n">
        <x:f>IF('Datos_fuente'!R114="","",ASINH('Datos_fuente'!R114/1000))</x:f>
        <x:v>0.2572144174391348</x:v>
      </x:c>
      <x:c r="X114" s="98" t="n">
        <x:f>IF(OR(W114="",W113=""),"",W114-W113)</x:f>
        <x:v>-0.056713795667702016</x:v>
      </x:c>
      <x:c r="Y114" s="63" t="n">
        <x:f>'Datos_fuente'!W114</x:f>
        <x:v>2.24619546</x:v>
      </x:c>
      <x:c r="Z114" s="63" t="n">
        <x:f>IF(OR(Y114="",Y113=""),"",Y114-Y113)</x:f>
        <x:v>0.684228796</x:v>
      </x:c>
      <x:c r="AA114" s="98" t="n">
        <x:f>'Datos_fuente'!AB114</x:f>
        <x:v>1.373736468</x:v>
      </x:c>
      <x:c r="AB114" s="98" t="n">
        <x:f>'Datos_fuente'!AC114</x:f>
        <x:v>1.285740465</x:v>
      </x:c>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t="str">
        <x:f>'Datos_fuente'!A115</x:f>
        <x:v>2015-01</x:v>
      </x:c>
      <x:c r="B115" s="98" t="n">
        <x:f>IF('Datos_fuente'!B115="","",LN('Datos_fuente'!B115))</x:f>
        <x:v>7.782080890299692</x:v>
      </x:c>
      <x:c r="C115" s="98" t="n">
        <x:f>IF(OR(B115="",B114=""),"",B115-B114)</x:f>
        <x:v>0.0232120906867479</x:v>
      </x:c>
      <x:c r="D115" s="98" t="n">
        <x:f>IF('Datos_fuente'!C115="","",LN('Datos_fuente'!C115))</x:f>
        <x:v>4.649091373046019</x:v>
      </x:c>
      <x:c r="E115" s="98" t="n">
        <x:f>IF(OR(D115="",D114=""),"",D115-D114)</x:f>
        <x:v>-0.11802757992808921</x:v>
      </x:c>
      <x:c r="F115" s="98" t="n">
        <x:f>IF('Datos_fuente'!E115="","",LN('Datos_fuente'!E115))</x:f>
        <x:v>8.316212225602996</x:v>
      </x:c>
      <x:c r="G115" s="98" t="n">
        <x:f>IF(OR(F115="",F114=""),"",F115-F114)</x:f>
        <x:v>-0.0008725566829426157</x:v>
      </x:c>
      <x:c r="H115" s="63" t="n">
        <x:f>'Datos_fuente'!H115</x:f>
        <x:v>4.39</x:v>
      </x:c>
      <x:c r="I115" s="63" t="n">
        <x:f>IF(OR(H115="",H114=""),"",H115-H114)</x:f>
        <x:v>0.009999999999999787</x:v>
      </x:c>
      <x:c r="J115" s="63" t="n">
        <x:f>'Datos_fuente'!J115</x:f>
        <x:v>2.679027018</x:v>
      </x:c>
      <x:c r="K115" s="63" t="n">
        <x:f>IF(OR(J115="",J114=""),"",J115-J114)</x:f>
        <x:v>0.2728946240000001</x:v>
      </x:c>
      <x:c r="L115" s="98" t="n">
        <x:f>IF('Datos_fuente'!K115="","",LN('Datos_fuente'!K115))</x:f>
        <x:v>4.642087671825471</x:v>
      </x:c>
      <x:c r="M115" s="98" t="n">
        <x:f>IF(OR(L115="",L114=""),"",L115-L114)</x:f>
        <x:v>0.02257943571271781</x:v>
      </x:c>
      <x:c r="N115" s="98" t="n">
        <x:f>IF('Datos_fuente'!L115="","",LN('Datos_fuente'!L115))</x:f>
        <x:v>2.9507087566537065</x:v>
      </x:c>
      <x:c r="O115" s="98" t="n">
        <x:f>IF(OR(N115="",N114=""),"",N115-N114)</x:f>
        <x:v>0.16001782688980537</x:v>
      </x:c>
      <x:c r="P115" s="96" t="n">
        <x:f>'Datos_fuente'!M115</x:f>
        <x:v>0</x:v>
      </x:c>
      <x:c r="Q115" s="98" t="n">
        <x:f>IF('Datos_fuente'!N115="","",LN('Datos_fuente'!N115))</x:f>
        <x:v>10.75933079690464</x:v>
      </x:c>
      <x:c r="R115" s="98" t="n">
        <x:f>IF(OR(Q115="",Q114=""),"",Q115-Q114)</x:f>
        <x:v>-0.0054228191402554415</x:v>
      </x:c>
      <x:c r="S115" s="63" t="n">
        <x:f>'Datos_fuente'!P115</x:f>
        <x:v>2.295</x:v>
      </x:c>
      <x:c r="T115" s="63" t="n">
        <x:f>IF(OR(S115="",S114=""),"",S115-S114)</x:f>
        <x:v>0.29760869599999995</x:v>
      </x:c>
      <x:c r="U115" s="98" t="n">
        <x:f>IF('Datos_fuente'!Q115="","",ASINH('Datos_fuente'!Q115/1000))</x:f>
        <x:v>-0.28594725197757115</x:v>
      </x:c>
      <x:c r="V115" s="98" t="n">
        <x:f>IF(OR(U115="",U114=""),"",U115-U114)</x:f>
        <x:v>0.06433550774685692</x:v>
      </x:c>
      <x:c r="W115" s="98" t="n">
        <x:f>IF('Datos_fuente'!R115="","",ASINH('Datos_fuente'!R115/1000))</x:f>
        <x:v>0.010349815222594597</x:v>
      </x:c>
      <x:c r="X115" s="98" t="n">
        <x:f>IF(OR(W115="",W114=""),"",W115-W114)</x:f>
        <x:v>-0.24686460221654022</x:v>
      </x:c>
      <x:c r="Y115" s="63" t="n">
        <x:f>'Datos_fuente'!W115</x:f>
        <x:v>2.166177631</x:v>
      </x:c>
      <x:c r="Z115" s="63" t="n">
        <x:f>IF(OR(Y115="",Y114=""),"",Y115-Y114)</x:f>
        <x:v>-0.08001782899999998</x:v>
      </x:c>
      <x:c r="AA115" s="98" t="n">
        <x:f>'Datos_fuente'!AB115</x:f>
        <x:v>0.1985991189</x:v>
      </x:c>
      <x:c r="AB115" s="98" t="n">
        <x:f>'Datos_fuente'!AC115</x:f>
        <x:v>0.4495917297</x:v>
      </x:c>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t="str">
        <x:f>'Datos_fuente'!A116</x:f>
        <x:v>2015-02</x:v>
      </x:c>
      <x:c r="B116" s="98" t="n">
        <x:f>IF('Datos_fuente'!B116="","",LN('Datos_fuente'!B116))</x:f>
        <x:v>7.79180067310773</x:v>
      </x:c>
      <x:c r="C116" s="98" t="n">
        <x:f>IF(OR(B116="",B115=""),"",B116-B115)</x:f>
        <x:v>0.009719782808037536</x:v>
      </x:c>
      <x:c r="D116" s="98" t="n">
        <x:f>IF('Datos_fuente'!C116="","",LN('Datos_fuente'!C116))</x:f>
        <x:v>4.691164379154952</x:v>
      </x:c>
      <x:c r="E116" s="98" t="n">
        <x:f>IF(OR(D116="",D115=""),"",D116-D115)</x:f>
        <x:v>0.042073006108933164</x:v>
      </x:c>
      <x:c r="F116" s="98" t="n">
        <x:f>IF('Datos_fuente'!E116="","",LN('Datos_fuente'!E116))</x:f>
        <x:v>8.323943337716168</x:v>
      </x:c>
      <x:c r="G116" s="98" t="n">
        <x:f>IF(OR(F116="",F115=""),"",F116-F115)</x:f>
        <x:v>0.00773111211317179</x:v>
      </x:c>
      <x:c r="H116" s="63" t="n">
        <x:f>'Datos_fuente'!H116</x:f>
        <x:v>4.39</x:v>
      </x:c>
      <x:c r="I116" s="63" t="n">
        <x:f>IF(OR(H116="",H115=""),"",H116-H115)</x:f>
        <x:v>0</x:v>
      </x:c>
      <x:c r="J116" s="63" t="n">
        <x:f>'Datos_fuente'!J116</x:f>
        <x:v>2.700039179</x:v>
      </x:c>
      <x:c r="K116" s="63" t="n">
        <x:f>IF(OR(J116="",J115=""),"",J116-J115)</x:f>
        <x:v>0.021012160999999807</x:v>
      </x:c>
      <x:c r="L116" s="98" t="n">
        <x:f>IF('Datos_fuente'!K116="","",LN('Datos_fuente'!K116))</x:f>
        <x:v>4.655564195690353</x:v>
      </x:c>
      <x:c r="M116" s="98" t="n">
        <x:f>IF(OR(L116="",L115=""),"",L116-L115)</x:f>
        <x:v>0.013476523864881962</x:v>
      </x:c>
      <x:c r="N116" s="98" t="n">
        <x:f>IF('Datos_fuente'!L116="","",LN('Datos_fuente'!L116))</x:f>
        <x:v>2.7665838873769046</x:v>
      </x:c>
      <x:c r="O116" s="98" t="n">
        <x:f>IF(OR(N116="",N115=""),"",N116-N115)</x:f>
        <x:v>-0.18412486927680183</x:v>
      </x:c>
      <x:c r="P116" s="96" t="n">
        <x:f>'Datos_fuente'!M116</x:f>
        <x:v>0</x:v>
      </x:c>
      <x:c r="Q116" s="98" t="n">
        <x:f>IF('Datos_fuente'!N116="","",LN('Datos_fuente'!N116))</x:f>
        <x:v>10.759077934726566</x:v>
      </x:c>
      <x:c r="R116" s="98" t="n">
        <x:f>IF(OR(Q116="",Q115=""),"",Q116-Q115)</x:f>
        <x:v>-0.0002528621780744089</x:v>
      </x:c>
      <x:c r="S116" s="63" t="n">
        <x:f>'Datos_fuente'!P116</x:f>
        <x:v>2.0775</x:v>
      </x:c>
      <x:c r="T116" s="63" t="n">
        <x:f>IF(OR(S116="",S115=""),"",S116-S115)</x:f>
        <x:v>-0.2174999999999998</x:v>
      </x:c>
      <x:c r="U116" s="98" t="n">
        <x:f>IF('Datos_fuente'!Q116="","",ASINH('Datos_fuente'!Q116/1000))</x:f>
        <x:v>-0.23902738689030206</x:v>
      </x:c>
      <x:c r="V116" s="98" t="n">
        <x:f>IF(OR(U116="",U115=""),"",U116-U115)</x:f>
        <x:v>0.046919865087269086</x:v>
      </x:c>
      <x:c r="W116" s="98" t="n">
        <x:f>IF('Datos_fuente'!R116="","",ASINH('Datos_fuente'!R116/1000))</x:f>
        <x:v>0.16586838238457546</x:v>
      </x:c>
      <x:c r="X116" s="98" t="n">
        <x:f>IF(OR(W116="",W115=""),"",W116-W115)</x:f>
        <x:v>0.15551856716198087</x:v>
      </x:c>
      <x:c r="Y116" s="63" t="n">
        <x:f>'Datos_fuente'!W116</x:f>
        <x:v>1.761268422</x:v>
      </x:c>
      <x:c r="Z116" s="63" t="n">
        <x:f>IF(OR(Y116="",Y115=""),"",Y116-Y115)</x:f>
        <x:v>-0.40490920900000016</x:v>
      </x:c>
      <x:c r="AA116" s="98" t="n">
        <x:f>'Datos_fuente'!AB116</x:f>
        <x:v>0.7119261065</x:v>
      </x:c>
      <x:c r="AB116" s="98" t="n">
        <x:f>'Datos_fuente'!AC116</x:f>
        <x:v>1.01660525</x:v>
      </x:c>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t="str">
        <x:f>'Datos_fuente'!A117</x:f>
        <x:v>2015-03</x:v>
      </x:c>
      <x:c r="B117" s="98" t="n">
        <x:f>IF('Datos_fuente'!B117="","",LN('Datos_fuente'!B117))</x:f>
        <x:v>7.857620915615344</x:v>
      </x:c>
      <x:c r="C117" s="98" t="n">
        <x:f>IF(OR(B117="",B116=""),"",B117-B116)</x:f>
        <x:v>0.06582024250761442</x:v>
      </x:c>
      <x:c r="D117" s="98" t="n">
        <x:f>IF('Datos_fuente'!C117="","",LN('Datos_fuente'!C117))</x:f>
        <x:v>4.754193457380532</x:v>
      </x:c>
      <x:c r="E117" s="98" t="n">
        <x:f>IF(OR(D117="",D116=""),"",D117-D116)</x:f>
        <x:v>0.06302907822557913</x:v>
      </x:c>
      <x:c r="F117" s="98" t="n">
        <x:f>IF('Datos_fuente'!E117="","",LN('Datos_fuente'!E117))</x:f>
        <x:v>8.347263339331239</x:v>
      </x:c>
      <x:c r="G117" s="98" t="n">
        <x:f>IF(OR(F117="",F116=""),"",F117-F116)</x:f>
        <x:v>0.02332000161507075</x:v>
      </x:c>
      <x:c r="H117" s="63" t="n">
        <x:f>'Datos_fuente'!H117</x:f>
        <x:v>4.39</x:v>
      </x:c>
      <x:c r="I117" s="63" t="n">
        <x:f>IF(OR(H117="",H116=""),"",H117-H116)</x:f>
        <x:v>0</x:v>
      </x:c>
      <x:c r="J117" s="63" t="n">
        <x:f>'Datos_fuente'!J117</x:f>
        <x:v>2.741533371</x:v>
      </x:c>
      <x:c r="K117" s="63" t="n">
        <x:f>IF(OR(J117="",J116=""),"",J117-J116)</x:f>
        <x:v>0.04149419200000004</x:v>
      </x:c>
      <x:c r="L117" s="98" t="n">
        <x:f>IF('Datos_fuente'!K117="","",LN('Datos_fuente'!K117))</x:f>
        <x:v>4.67623180507369</x:v>
      </x:c>
      <x:c r="M117" s="98" t="n">
        <x:f>IF(OR(L117="",L116=""),"",L117-L116)</x:f>
        <x:v>0.020667609383337116</x:v>
      </x:c>
      <x:c r="N117" s="98" t="n">
        <x:f>IF('Datos_fuente'!L117="","",LN('Datos_fuente'!L117))</x:f>
        <x:v>2.6954867619000082</x:v>
      </x:c>
      <x:c r="O117" s="98" t="n">
        <x:f>IF(OR(N117="",N116=""),"",N117-N116)</x:f>
        <x:v>-0.0710971254768964</x:v>
      </x:c>
      <x:c r="P117" s="96" t="n">
        <x:f>'Datos_fuente'!M117</x:f>
        <x:v>0</x:v>
      </x:c>
      <x:c r="Q117" s="98" t="n">
        <x:f>IF('Datos_fuente'!N117="","",LN('Datos_fuente'!N117))</x:f>
        <x:v>10.756063530549929</x:v>
      </x:c>
      <x:c r="R117" s="98" t="n">
        <x:f>IF(OR(Q117="",Q116=""),"",Q117-Q116)</x:f>
        <x:v>-0.003014404176637342</x:v>
      </x:c>
      <x:c r="S117" s="63" t="n">
        <x:f>'Datos_fuente'!P117</x:f>
        <x:v>2.218636364</x:v>
      </x:c>
      <x:c r="T117" s="63" t="n">
        <x:f>IF(OR(S117="",S116=""),"",S117-S116)</x:f>
        <x:v>0.14113636399999985</x:v>
      </x:c>
      <x:c r="U117" s="98" t="n">
        <x:f>IF('Datos_fuente'!Q117="","",ASINH('Datos_fuente'!Q117/1000))</x:f>
        <x:v>-0.26447595864430146</x:v>
      </x:c>
      <x:c r="V117" s="98" t="n">
        <x:f>IF(OR(U117="",U116=""),"",U117-U116)</x:f>
        <x:v>-0.025448571753999394</x:v>
      </x:c>
      <x:c r="W117" s="98" t="n">
        <x:f>IF('Datos_fuente'!R117="","",ASINH('Datos_fuente'!R117/1000))</x:f>
        <x:v>0.051087774252793296</x:v>
      </x:c>
      <x:c r="X117" s="98" t="n">
        <x:f>IF(OR(W117="",W116=""),"",W117-W116)</x:f>
        <x:v>-0.11478060813178217</x:v>
      </x:c>
      <x:c r="Y117" s="63" t="n">
        <x:f>'Datos_fuente'!W117</x:f>
        <x:v>1.938446317</x:v>
      </x:c>
      <x:c r="Z117" s="63" t="n">
        <x:f>IF(OR(Y117="",Y116=""),"",Y117-Y116)</x:f>
        <x:v>0.17717789500000003</x:v>
      </x:c>
      <x:c r="AA117" s="98" t="n">
        <x:f>'Datos_fuente'!AB117</x:f>
        <x:v>1.252769852</x:v>
      </x:c>
      <x:c r="AB117" s="98" t="n">
        <x:f>'Datos_fuente'!AC117</x:f>
        <x:v>1.025479316</x:v>
      </x:c>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t="str">
        <x:f>'Datos_fuente'!A118</x:f>
        <x:v>2015-04</x:v>
      </x:c>
      <x:c r="B118" s="98" t="n">
        <x:f>IF('Datos_fuente'!B118="","",LN('Datos_fuente'!B118))</x:f>
        <x:v>7.826143010614599</x:v>
      </x:c>
      <x:c r="C118" s="98" t="n">
        <x:f>IF(OR(B118="",B117=""),"",B118-B117)</x:f>
        <x:v>-0.03147790500074521</x:v>
      </x:c>
      <x:c r="D118" s="98" t="n">
        <x:f>IF('Datos_fuente'!C118="","",LN('Datos_fuente'!C118))</x:f>
        <x:v>4.775840800041184</x:v>
      </x:c>
      <x:c r="E118" s="98" t="n">
        <x:f>IF(OR(D118="",D117=""),"",D118-D117)</x:f>
        <x:v>0.02164734266065249</x:v>
      </x:c>
      <x:c r="F118" s="98" t="n">
        <x:f>IF('Datos_fuente'!E118="","",LN('Datos_fuente'!E118))</x:f>
        <x:v>8.355720772958243</x:v>
      </x:c>
      <x:c r="G118" s="98" t="n">
        <x:f>IF(OR(F118="",F117=""),"",F118-F117)</x:f>
        <x:v>0.008457433627004463</x:v>
      </x:c>
      <x:c r="H118" s="63" t="n">
        <x:f>'Datos_fuente'!H118</x:f>
        <x:v>4.38</x:v>
      </x:c>
      <x:c r="I118" s="63" t="n">
        <x:f>IF(OR(H118="",H117=""),"",H118-H117)</x:f>
        <x:v>-0.009999999999999787</x:v>
      </x:c>
      <x:c r="J118" s="63" t="n">
        <x:f>'Datos_fuente'!J118</x:f>
        <x:v>2.775702112</x:v>
      </x:c>
      <x:c r="K118" s="63" t="n">
        <x:f>IF(OR(J118="",J117=""),"",J118-J117)</x:f>
        <x:v>0.03416874099999978</x:v>
      </x:c>
      <x:c r="L118" s="98" t="n">
        <x:f>IF('Datos_fuente'!K118="","",LN('Datos_fuente'!K118))</x:f>
        <x:v>4.6667569969873055</x:v>
      </x:c>
      <x:c r="M118" s="98" t="n">
        <x:f>IF(OR(L118="",L117=""),"",L118-L117)</x:f>
        <x:v>-0.009474808086384456</x:v>
      </x:c>
      <x:c r="N118" s="98" t="n">
        <x:f>IF('Datos_fuente'!L118="","",LN('Datos_fuente'!L118))</x:f>
        <x:v>2.6023016027426253</x:v>
      </x:c>
      <x:c r="O118" s="98" t="n">
        <x:f>IF(OR(N118="",N117=""),"",N118-N117)</x:f>
        <x:v>-0.0931851591573829</x:v>
      </x:c>
      <x:c r="P118" s="96" t="n">
        <x:f>'Datos_fuente'!M118</x:f>
        <x:v>0</x:v>
      </x:c>
      <x:c r="Q118" s="98" t="n">
        <x:f>IF('Datos_fuente'!N118="","",LN('Datos_fuente'!N118))</x:f>
        <x:v>10.761576762015839</x:v>
      </x:c>
      <x:c r="R118" s="98" t="n">
        <x:f>IF(OR(Q118="",Q117=""),"",Q118-Q117)</x:f>
        <x:v>0.005513231465910096</x:v>
      </x:c>
      <x:c r="S118" s="63" t="n">
        <x:f>'Datos_fuente'!P118</x:f>
        <x:v>2.157272727</x:v>
      </x:c>
      <x:c r="T118" s="63" t="n">
        <x:f>IF(OR(S118="",S117=""),"",S118-S117)</x:f>
        <x:v>-0.061363636999999915</x:v>
      </x:c>
      <x:c r="U118" s="98" t="n">
        <x:f>IF('Datos_fuente'!Q118="","",ASINH('Datos_fuente'!Q118/1000))</x:f>
        <x:v>-0.3255110807398358</x:v>
      </x:c>
      <x:c r="V118" s="98" t="n">
        <x:f>IF(OR(U118="",U117=""),"",U118-U117)</x:f>
        <x:v>-0.061035122095534355</x:v>
      </x:c>
      <x:c r="W118" s="98" t="n">
        <x:f>IF('Datos_fuente'!R118="","",ASINH('Datos_fuente'!R118/1000))</x:f>
        <x:v>0.5635871584995228</x:v>
      </x:c>
      <x:c r="X118" s="98" t="n">
        <x:f>IF(OR(W118="",W117=""),"",W118-W117)</x:f>
        <x:v>0.5124993842467295</x:v>
      </x:c>
      <x:c r="Y118" s="63" t="n">
        <x:f>'Datos_fuente'!W118</x:f>
        <x:v>1.604681805</x:v>
      </x:c>
      <x:c r="Z118" s="63" t="n">
        <x:f>IF(OR(Y118="",Y117=""),"",Y118-Y117)</x:f>
        <x:v>-0.3337645119999999</x:v>
      </x:c>
      <x:c r="AA118" s="98" t="n">
        <x:f>'Datos_fuente'!AB118</x:f>
        <x:v>-0.6781398962</x:v>
      </x:c>
      <x:c r="AB118" s="98" t="n">
        <x:f>'Datos_fuente'!AC118</x:f>
        <x:v>-0.3222355442</x:v>
      </x:c>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t="str">
        <x:f>'Datos_fuente'!A119</x:f>
        <x:v>2015-05</x:v>
      </x:c>
      <x:c r="B119" s="98" t="n">
        <x:f>IF('Datos_fuente'!B119="","",LN('Datos_fuente'!B119))</x:f>
        <x:v>7.798742627793604</x:v>
      </x:c>
      <x:c r="C119" s="98" t="n">
        <x:f>IF(OR(B119="",B118=""),"",B119-B118)</x:f>
        <x:v>-0.02740038282099544</x:v>
      </x:c>
      <x:c r="D119" s="98" t="n">
        <x:f>IF('Datos_fuente'!C119="","",LN('Datos_fuente'!C119))</x:f>
        <x:v>4.816484041548723</x:v>
      </x:c>
      <x:c r="E119" s="98" t="n">
        <x:f>IF(OR(D119="",D118=""),"",D119-D118)</x:f>
        <x:v>0.04064324150753862</x:v>
      </x:c>
      <x:c r="F119" s="98" t="n">
        <x:f>IF('Datos_fuente'!E119="","",LN('Datos_fuente'!E119))</x:f>
        <x:v>8.362647100090822</x:v>
      </x:c>
      <x:c r="G119" s="98" t="n">
        <x:f>IF(OR(F119="",F118=""),"",F119-F118)</x:f>
        <x:v>0.006926327132578791</x:v>
      </x:c>
      <x:c r="H119" s="63" t="n">
        <x:f>'Datos_fuente'!H119</x:f>
        <x:v>4.38</x:v>
      </x:c>
      <x:c r="I119" s="63" t="n">
        <x:f>IF(OR(H119="",H118=""),"",H119-H118)</x:f>
        <x:v>0</x:v>
      </x:c>
      <x:c r="J119" s="63" t="n">
        <x:f>'Datos_fuente'!J119</x:f>
        <x:v>2.567352415</x:v>
      </x:c>
      <x:c r="K119" s="63" t="n">
        <x:f>IF(OR(J119="",J118=""),"",J119-J118)</x:f>
        <x:v>-0.2083496969999996</x:v>
      </x:c>
      <x:c r="L119" s="98" t="n">
        <x:f>IF('Datos_fuente'!K119="","",LN('Datos_fuente'!K119))</x:f>
        <x:v>4.657824446341182</x:v>
      </x:c>
      <x:c r="M119" s="98" t="n">
        <x:f>IF(OR(L119="",L118=""),"",L119-L118)</x:f>
        <x:v>-0.008932550646123083</x:v>
      </x:c>
      <x:c r="N119" s="98" t="n">
        <x:f>IF('Datos_fuente'!L119="","",LN('Datos_fuente'!L119))</x:f>
        <x:v>2.590654590387091</x:v>
      </x:c>
      <x:c r="O119" s="98" t="n">
        <x:f>IF(OR(N119="",N118=""),"",N119-N118)</x:f>
        <x:v>-0.011647012355534336</x:v>
      </x:c>
      <x:c r="P119" s="96" t="n">
        <x:f>'Datos_fuente'!M119</x:f>
        <x:v>0</x:v>
      </x:c>
      <x:c r="Q119" s="98" t="n">
        <x:f>IF('Datos_fuente'!N119="","",LN('Datos_fuente'!N119))</x:f>
        <x:v>10.758019256898946</x:v>
      </x:c>
      <x:c r="R119" s="98" t="n">
        <x:f>IF(OR(Q119="",Q118=""),"",Q119-Q118)</x:f>
        <x:v>-0.0035575051168930116</x:v>
      </x:c>
      <x:c r="S119" s="63" t="n">
        <x:f>'Datos_fuente'!P119</x:f>
        <x:v>2.08952381</x:v>
      </x:c>
      <x:c r="T119" s="63" t="n">
        <x:f>IF(OR(S119="",S118=""),"",S119-S118)</x:f>
        <x:v>-0.06774891699999985</x:v>
      </x:c>
      <x:c r="U119" s="98" t="n">
        <x:f>IF('Datos_fuente'!Q119="","",ASINH('Datos_fuente'!Q119/1000))</x:f>
        <x:v>-0.20023919189184525</x:v>
      </x:c>
      <x:c r="V119" s="98" t="n">
        <x:f>IF(OR(U119="",U118=""),"",U119-U118)</x:f>
        <x:v>0.12527188884799056</x:v>
      </x:c>
      <x:c r="W119" s="98" t="n">
        <x:f>IF('Datos_fuente'!R119="","",ASINH('Datos_fuente'!R119/1000))</x:f>
        <x:v>-0.10525554270396642</x:v>
      </x:c>
      <x:c r="X119" s="98" t="n">
        <x:f>IF(OR(W119="",W118=""),"",W119-W118)</x:f>
        <x:v>-0.6688427012034892</x:v>
      </x:c>
      <x:c r="Y119" s="63" t="n">
        <x:f>'Datos_fuente'!W119</x:f>
        <x:v>1.505512892</x:v>
      </x:c>
      <x:c r="Z119" s="63" t="n">
        <x:f>IF(OR(Y119="",Y118=""),"",Y119-Y118)</x:f>
        <x:v>-0.09916891299999997</x:v>
      </x:c>
      <x:c r="AA119" s="98" t="n">
        <x:f>'Datos_fuente'!AB119</x:f>
        <x:v>-0.1687206708</x:v>
      </x:c>
      <x:c r="AB119" s="98" t="n">
        <x:f>'Datos_fuente'!AC119</x:f>
        <x:v>0.07285616795</x:v>
      </x:c>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t="str">
        <x:f>'Datos_fuente'!A120</x:f>
        <x:v>2015-06</x:v>
      </x:c>
      <x:c r="B120" s="98" t="n">
        <x:f>IF('Datos_fuente'!B120="","",LN('Datos_fuente'!B120))</x:f>
        <x:v>7.848729908091612</x:v>
      </x:c>
      <x:c r="C120" s="98" t="n">
        <x:f>IF(OR(B120="",B119=""),"",B120-B119)</x:f>
        <x:v>0.049987280298008585</x:v>
      </x:c>
      <x:c r="D120" s="98" t="n">
        <x:f>IF('Datos_fuente'!C120="","",LN('Datos_fuente'!C120))</x:f>
        <x:v>4.807457755422924</x:v>
      </x:c>
      <x:c r="E120" s="98" t="n">
        <x:f>IF(OR(D120="",D119=""),"",D120-D119)</x:f>
        <x:v>-0.009026286125799032</x:v>
      </x:c>
      <x:c r="F120" s="98" t="n">
        <x:f>IF('Datos_fuente'!E120="","",LN('Datos_fuente'!E120))</x:f>
        <x:v>8.385399716309259</x:v>
      </x:c>
      <x:c r="G120" s="98" t="n">
        <x:f>IF(OR(F120="",F119=""),"",F120-F119)</x:f>
        <x:v>0.022752616218436827</x:v>
      </x:c>
      <x:c r="H120" s="63" t="n">
        <x:f>'Datos_fuente'!H120</x:f>
        <x:v>4.37</x:v>
      </x:c>
      <x:c r="I120" s="63" t="n">
        <x:f>IF(OR(H120="",H119=""),"",H120-H119)</x:f>
        <x:v>-0.009999999999999787</x:v>
      </x:c>
      <x:c r="J120" s="63" t="n">
        <x:f>'Datos_fuente'!J120</x:f>
        <x:v>2.664923762</x:v>
      </x:c>
      <x:c r="K120" s="63" t="n">
        <x:f>IF(OR(J120="",J119=""),"",J120-J119)</x:f>
        <x:v>0.0975713469999997</x:v>
      </x:c>
      <x:c r="L120" s="98" t="n">
        <x:f>IF('Datos_fuente'!K120="","",LN('Datos_fuente'!K120))</x:f>
        <x:v>4.665126221056091</x:v>
      </x:c>
      <x:c r="M120" s="98" t="n">
        <x:f>IF(OR(L120="",L119=""),"",L120-L119)</x:f>
        <x:v>0.007301774714908227</x:v>
      </x:c>
      <x:c r="N120" s="98" t="n">
        <x:f>IF('Datos_fuente'!L120="","",LN('Datos_fuente'!L120))</x:f>
        <x:v>2.6630211366216607</x:v>
      </x:c>
      <x:c r="O120" s="98" t="n">
        <x:f>IF(OR(N120="",N119=""),"",N120-N119)</x:f>
        <x:v>0.07236654623456973</x:v>
      </x:c>
      <x:c r="P120" s="96" t="n">
        <x:f>'Datos_fuente'!M120</x:f>
        <x:v>0</x:v>
      </x:c>
      <x:c r="Q120" s="98" t="n">
        <x:f>IF('Datos_fuente'!N120="","",LN('Datos_fuente'!N120))</x:f>
        <x:v>10.757387215845036</x:v>
      </x:c>
      <x:c r="R120" s="98" t="n">
        <x:f>IF(OR(Q120="",Q119=""),"",Q120-Q119)</x:f>
        <x:v>-0.0006320410539100152</x:v>
      </x:c>
      <x:c r="S120" s="63" t="n">
        <x:f>'Datos_fuente'!P120</x:f>
        <x:v>2.248636364</x:v>
      </x:c>
      <x:c r="T120" s="63" t="n">
        <x:f>IF(OR(S120="",S119=""),"",S120-S119)</x:f>
        <x:v>0.15911255400000002</x:v>
      </x:c>
      <x:c r="U120" s="98" t="n">
        <x:f>IF('Datos_fuente'!Q120="","",ASINH('Datos_fuente'!Q120/1000))</x:f>
        <x:v>-0.163461092978414</x:v>
      </x:c>
      <x:c r="V120" s="98" t="n">
        <x:f>IF(OR(U120="",U119=""),"",U120-U119)</x:f>
        <x:v>0.036778098913431256</x:v>
      </x:c>
      <x:c r="W120" s="98" t="n">
        <x:f>IF('Datos_fuente'!R120="","",ASINH('Datos_fuente'!R120/1000))</x:f>
        <x:v>0.16726890842847242</x:v>
      </x:c>
      <x:c r="X120" s="98" t="n">
        <x:f>IF(OR(W120="",W119=""),"",W120-W119)</x:f>
        <x:v>0.27252445113243884</x:v>
      </x:c>
      <x:c r="Y120" s="63" t="n">
        <x:f>'Datos_fuente'!W120</x:f>
        <x:v>1.448919862</x:v>
      </x:c>
      <x:c r="Z120" s="63" t="n">
        <x:f>IF(OR(Y120="",Y119=""),"",Y120-Y119)</x:f>
        <x:v>-0.056593030000000155</x:v>
      </x:c>
      <x:c r="AA120" s="98" t="n">
        <x:f>'Datos_fuente'!AB120</x:f>
        <x:v>0.7211464185</x:v>
      </x:c>
      <x:c r="AB120" s="98" t="n">
        <x:f>'Datos_fuente'!AC120</x:f>
        <x:v>0.6098200608</x:v>
      </x:c>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t="str">
        <x:f>'Datos_fuente'!A121</x:f>
        <x:v>2015-07</x:v>
      </x:c>
      <x:c r="B121" s="98" t="n">
        <x:f>IF('Datos_fuente'!B121="","",LN('Datos_fuente'!B121))</x:f>
        <x:v>7.912802326754137</x:v>
      </x:c>
      <x:c r="C121" s="98" t="n">
        <x:f>IF(OR(B121="",B120=""),"",B121-B120)</x:f>
        <x:v>0.06407241866252456</x:v>
      </x:c>
      <x:c r="D121" s="98" t="n">
        <x:f>IF('Datos_fuente'!C121="","",LN('Datos_fuente'!C121))</x:f>
        <x:v>4.746061924685573</x:v>
      </x:c>
      <x:c r="E121" s="98" t="n">
        <x:f>IF(OR(D121="",D120=""),"",D121-D120)</x:f>
        <x:v>-0.061395830737351</x:v>
      </x:c>
      <x:c r="F121" s="98" t="n">
        <x:f>IF('Datos_fuente'!E121="","",LN('Datos_fuente'!E121))</x:f>
        <x:v>8.410745418241445</x:v>
      </x:c>
      <x:c r="G121" s="98" t="n">
        <x:f>IF(OR(F121="",F120=""),"",F121-F120)</x:f>
        <x:v>0.02534570193218677</x:v>
      </x:c>
      <x:c r="H121" s="63" t="n">
        <x:f>'Datos_fuente'!H121</x:f>
        <x:v>4.37</x:v>
      </x:c>
      <x:c r="I121" s="63" t="n">
        <x:f>IF(OR(H121="",H120=""),"",H121-H120)</x:f>
        <x:v>0</x:v>
      </x:c>
      <x:c r="J121" s="63" t="n">
        <x:f>'Datos_fuente'!J121</x:f>
        <x:v>2.717291316</x:v>
      </x:c>
      <x:c r="K121" s="63" t="n">
        <x:f>IF(OR(J121="",J120=""),"",J121-J120)</x:f>
        <x:v>0.05236755399999993</x:v>
      </x:c>
      <x:c r="L121" s="98" t="n">
        <x:f>IF('Datos_fuente'!K121="","",LN('Datos_fuente'!K121))</x:f>
        <x:v>4.683274723083441</x:v>
      </x:c>
      <x:c r="M121" s="98" t="n">
        <x:f>IF(OR(L121="",L120=""),"",L121-L120)</x:f>
        <x:v>0.01814850202735041</x:v>
      </x:c>
      <x:c r="N121" s="98" t="n">
        <x:f>IF('Datos_fuente'!L121="","",LN('Datos_fuente'!L121))</x:f>
        <x:v>2.6639399778062582</x:v>
      </x:c>
      <x:c r="O121" s="98" t="n">
        <x:f>IF(OR(N121="",N120=""),"",N121-N120)</x:f>
        <x:v>0.0009188411845975075</x:v>
      </x:c>
      <x:c r="P121" s="96" t="n">
        <x:f>'Datos_fuente'!M121</x:f>
        <x:v>0</x:v>
      </x:c>
      <x:c r="Q121" s="98" t="n">
        <x:f>IF('Datos_fuente'!N121="","",LN('Datos_fuente'!N121))</x:f>
        <x:v>10.754616635835797</x:v>
      </x:c>
      <x:c r="R121" s="98" t="n">
        <x:f>IF(OR(Q121="",Q120=""),"",Q121-Q120)</x:f>
        <x:v>-0.002770580009238799</x:v>
      </x:c>
      <x:c r="S121" s="63" t="n">
        <x:f>'Datos_fuente'!P121</x:f>
        <x:v>2.42</x:v>
      </x:c>
      <x:c r="T121" s="63" t="n">
        <x:f>IF(OR(S121="",S120=""),"",S121-S120)</x:f>
        <x:v>0.1713636359999997</x:v>
      </x:c>
      <x:c r="U121" s="98" t="n">
        <x:f>IF('Datos_fuente'!Q121="","",ASINH('Datos_fuente'!Q121/1000))</x:f>
        <x:v>-0.218780500203145</x:v>
      </x:c>
      <x:c r="V121" s="98" t="n">
        <x:f>IF(OR(U121="",U120=""),"",U121-U120)</x:f>
        <x:v>-0.055319407224731</x:v>
      </x:c>
      <x:c r="W121" s="98" t="n">
        <x:f>IF('Datos_fuente'!R121="","",ASINH('Datos_fuente'!R121/1000))</x:f>
        <x:v>-0.057797814849252976</x:v>
      </x:c>
      <x:c r="X121" s="98" t="n">
        <x:f>IF(OR(W121="",W120=""),"",W121-W120)</x:f>
        <x:v>-0.2250667232777254</x:v>
      </x:c>
      <x:c r="Y121" s="63" t="n">
        <x:f>'Datos_fuente'!W121</x:f>
        <x:v>1.470163634</x:v>
      </x:c>
      <x:c r="Z121" s="63" t="n">
        <x:f>IF(OR(Y121="",Y120=""),"",Y121-Y120)</x:f>
        <x:v>0.02124377200000005</x:v>
      </x:c>
      <x:c r="AA121" s="98" t="n">
        <x:f>'Datos_fuente'!AB121</x:f>
        <x:v>0.9312664655</x:v>
      </x:c>
      <x:c r="AB121" s="98" t="n">
        <x:f>'Datos_fuente'!AC121</x:f>
        <x:v>0.8289032046</x:v>
      </x:c>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t="str">
        <x:f>'Datos_fuente'!A122</x:f>
        <x:v>2015-08</x:v>
      </x:c>
      <x:c r="B122" s="98" t="n">
        <x:f>IF('Datos_fuente'!B122="","",LN('Datos_fuente'!B122))</x:f>
        <x:v>8.010554596133062</x:v>
      </x:c>
      <x:c r="C122" s="98" t="n">
        <x:f>IF(OR(B122="",B121=""),"",B122-B121)</x:f>
        <x:v>0.09775226937892523</x:v>
      </x:c>
      <x:c r="D122" s="98" t="n">
        <x:f>IF('Datos_fuente'!C122="","",LN('Datos_fuente'!C122))</x:f>
        <x:v>4.66287289611638</x:v>
      </x:c>
      <x:c r="E122" s="98" t="n">
        <x:f>IF(OR(D122="",D121=""),"",D122-D121)</x:f>
        <x:v>-0.0831890285691923</x:v>
      </x:c>
      <x:c r="F122" s="98" t="n">
        <x:f>IF('Datos_fuente'!E122="","",LN('Datos_fuente'!E122))</x:f>
        <x:v>8.451480648050856</x:v>
      </x:c>
      <x:c r="G122" s="98" t="n">
        <x:f>IF(OR(F122="",F121=""),"",F122-F121)</x:f>
        <x:v>0.040735229809410356</x:v>
      </x:c>
      <x:c r="H122" s="63" t="n">
        <x:f>'Datos_fuente'!H122</x:f>
        <x:v>4.36</x:v>
      </x:c>
      <x:c r="I122" s="63" t="n">
        <x:f>IF(OR(H122="",H121=""),"",H122-H121)</x:f>
        <x:v>-0.009999999999999787</x:v>
      </x:c>
      <x:c r="J122" s="63" t="n">
        <x:f>'Datos_fuente'!J122</x:f>
        <x:v>2.536322549</x:v>
      </x:c>
      <x:c r="K122" s="63" t="n">
        <x:f>IF(OR(J122="",J121=""),"",J122-J121)</x:f>
        <x:v>-0.18096876699999997</x:v>
      </x:c>
      <x:c r="L122" s="98" t="n">
        <x:f>IF('Datos_fuente'!K122="","",LN('Datos_fuente'!K122))</x:f>
        <x:v>4.700268957992817</x:v>
      </x:c>
      <x:c r="M122" s="98" t="n">
        <x:f>IF(OR(L122="",L121=""),"",L122-L121)</x:f>
        <x:v>0.016994234909375905</x:v>
      </x:c>
      <x:c r="N122" s="98" t="n">
        <x:f>IF('Datos_fuente'!L122="","",LN('Datos_fuente'!L122))</x:f>
        <x:v>2.9667202266744885</x:v>
      </x:c>
      <x:c r="O122" s="98" t="n">
        <x:f>IF(OR(N122="",N121=""),"",N122-N121)</x:f>
        <x:v>0.3027802488682303</x:v>
      </x:c>
      <x:c r="P122" s="96" t="n">
        <x:f>'Datos_fuente'!M122</x:f>
        <x:v>0</x:v>
      </x:c>
      <x:c r="Q122" s="98" t="n">
        <x:f>IF('Datos_fuente'!N122="","",LN('Datos_fuente'!N122))</x:f>
        <x:v>10.751569676736628</x:v>
      </x:c>
      <x:c r="R122" s="98" t="n">
        <x:f>IF(OR(Q122="",Q121=""),"",Q122-Q121)</x:f>
        <x:v>-0.0030469590991692996</x:v>
      </x:c>
      <x:c r="S122" s="63" t="n">
        <x:f>'Datos_fuente'!P122</x:f>
        <x:v>2.757142857</x:v>
      </x:c>
      <x:c r="T122" s="63" t="n">
        <x:f>IF(OR(S122="",S121=""),"",S122-S121)</x:f>
        <x:v>0.3371428569999999</x:v>
      </x:c>
      <x:c r="U122" s="98" t="n">
        <x:f>IF('Datos_fuente'!Q122="","",ASINH('Datos_fuente'!Q122/1000))</x:f>
        <x:v>-0.17052239253687132</x:v>
      </x:c>
      <x:c r="V122" s="98" t="n">
        <x:f>IF(OR(U122="",U121=""),"",U122-U121)</x:f>
        <x:v>0.04825810766627367</x:v>
      </x:c>
      <x:c r="W122" s="98" t="n">
        <x:f>IF('Datos_fuente'!R122="","",ASINH('Datos_fuente'!R122/1000))</x:f>
        <x:v>-0.1702168377614545</x:v>
      </x:c>
      <x:c r="X122" s="98" t="n">
        <x:f>IF(OR(W122="",W121=""),"",W122-W121)</x:f>
        <x:v>-0.11241902291220152</x:v>
      </x:c>
      <x:c r="Y122" s="63" t="n">
        <x:f>'Datos_fuente'!W122</x:f>
        <x:v>2.333386713</x:v>
      </x:c>
      <x:c r="Z122" s="63" t="n">
        <x:f>IF(OR(Y122="",Y121=""),"",Y122-Y121)</x:f>
        <x:v>0.863223079</x:v>
      </x:c>
      <x:c r="AA122" s="98" t="n">
        <x:f>'Datos_fuente'!AB122</x:f>
        <x:v>1.825155624</x:v>
      </x:c>
      <x:c r="AB122" s="98" t="n">
        <x:f>'Datos_fuente'!AC122</x:f>
        <x:v>1.731405228</x:v>
      </x:c>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t="str">
        <x:f>'Datos_fuente'!A123</x:f>
        <x:v>2015-09</x:v>
      </x:c>
      <x:c r="B123" s="98" t="n">
        <x:f>IF('Datos_fuente'!B123="","",LN('Datos_fuente'!B123))</x:f>
        <x:v>8.028262122985456</x:v>
      </x:c>
      <x:c r="C123" s="98" t="n">
        <x:f>IF(OR(B123="",B122=""),"",B123-B122)</x:f>
        <x:v>0.017707526852394295</x:v>
      </x:c>
      <x:c r="D123" s="98" t="n">
        <x:f>IF('Datos_fuente'!C123="","",LN('Datos_fuente'!C123))</x:f>
        <x:v>4.666359354300514</x:v>
      </x:c>
      <x:c r="E123" s="98" t="n">
        <x:f>IF(OR(D123="",D122=""),"",D123-D122)</x:f>
        <x:v>0.003486458184133845</x:v>
      </x:c>
      <x:c r="F123" s="98" t="n">
        <x:f>IF('Datos_fuente'!E123="","",LN('Datos_fuente'!E123))</x:f>
        <x:v>8.474429730135125</x:v>
      </x:c>
      <x:c r="G123" s="98" t="n">
        <x:f>IF(OR(F123="",F122=""),"",F123-F122)</x:f>
        <x:v>0.022949082084268824</x:v>
      </x:c>
      <x:c r="H123" s="63" t="n">
        <x:f>'Datos_fuente'!H123</x:f>
        <x:v>4.385</x:v>
      </x:c>
      <x:c r="I123" s="63" t="n">
        <x:f>IF(OR(H123="",H122=""),"",H123-H122)</x:f>
        <x:v>0.024999999999999467</x:v>
      </x:c>
      <x:c r="J123" s="63" t="n">
        <x:f>'Datos_fuente'!J123</x:f>
        <x:v>2.766922547</x:v>
      </x:c>
      <x:c r="K123" s="63" t="n">
        <x:f>IF(OR(J123="",J122=""),"",J123-J122)</x:f>
        <x:v>0.2305999980000002</x:v>
      </x:c>
      <x:c r="L123" s="98" t="n">
        <x:f>IF('Datos_fuente'!K123="","",LN('Datos_fuente'!K123))</x:f>
        <x:v>4.70818927654831</x:v>
      </x:c>
      <x:c r="M123" s="98" t="n">
        <x:f>IF(OR(L123="",L122=""),"",L123-L122)</x:f>
        <x:v>0.007920318555493466</x:v>
      </x:c>
      <x:c r="N123" s="98" t="n">
        <x:f>IF('Datos_fuente'!L123="","",LN('Datos_fuente'!L123))</x:f>
        <x:v>3.1936459252249874</x:v>
      </x:c>
      <x:c r="O123" s="98" t="n">
        <x:f>IF(OR(N123="",N122=""),"",N123-N122)</x:f>
        <x:v>0.22692569855049882</x:v>
      </x:c>
      <x:c r="P123" s="96" t="n">
        <x:f>'Datos_fuente'!M123</x:f>
        <x:v>0</x:v>
      </x:c>
      <x:c r="Q123" s="98" t="n">
        <x:f>IF('Datos_fuente'!N123="","",LN('Datos_fuente'!N123))</x:f>
        <x:v>10.752063952386168</x:v>
      </x:c>
      <x:c r="R123" s="98" t="n">
        <x:f>IF(OR(Q123="",Q122=""),"",Q123-Q122)</x:f>
        <x:v>0.0004942756495402989</x:v>
      </x:c>
      <x:c r="S123" s="63" t="n">
        <x:f>'Datos_fuente'!P123</x:f>
        <x:v>2.907272727</x:v>
      </x:c>
      <x:c r="T123" s="63" t="n">
        <x:f>IF(OR(S123="",S122=""),"",S123-S122)</x:f>
        <x:v>0.15012987000000022</x:v>
      </x:c>
      <x:c r="U123" s="98" t="n">
        <x:f>IF('Datos_fuente'!Q123="","",ASINH('Datos_fuente'!Q123/1000))</x:f>
        <x:v>-0.2493384105333207</x:v>
      </x:c>
      <x:c r="V123" s="98" t="n">
        <x:f>IF(OR(U123="",U122=""),"",U123-U122)</x:f>
        <x:v>-0.07881601799644938</x:v>
      </x:c>
      <x:c r="W123" s="98" t="n">
        <x:f>IF('Datos_fuente'!R123="","",ASINH('Datos_fuente'!R123/1000))</x:f>
        <x:v>-0.05084808564389913</x:v>
      </x:c>
      <x:c r="X123" s="98" t="n">
        <x:f>IF(OR(W123="",W122=""),"",W123-W122)</x:f>
        <x:v>0.11936875211755536</x:v>
      </x:c>
      <x:c r="Y123" s="63" t="n">
        <x:f>'Datos_fuente'!W123</x:f>
        <x:v>2.99983074</x:v>
      </x:c>
      <x:c r="Z123" s="63" t="n">
        <x:f>IF(OR(Y123="",Y122=""),"",Y123-Y122)</x:f>
        <x:v>0.6664440270000003</x:v>
      </x:c>
      <x:c r="AA123" s="98" t="n">
        <x:f>'Datos_fuente'!AB123</x:f>
        <x:v>1.113319359</x:v>
      </x:c>
      <x:c r="AB123" s="98" t="n">
        <x:f>'Datos_fuente'!AC123</x:f>
        <x:v>0.7079092357</x:v>
      </x:c>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t="str">
        <x:f>'Datos_fuente'!A124</x:f>
        <x:v>2015-10</x:v>
      </x:c>
      <x:c r="B124" s="98" t="n">
        <x:f>IF('Datos_fuente'!B124="","",LN('Datos_fuente'!B124))</x:f>
        <x:v>7.982577569064598</x:v>
      </x:c>
      <x:c r="C124" s="98" t="n">
        <x:f>IF(OR(B124="",B123=""),"",B124-B123)</x:f>
        <x:v>-0.04568455392085813</x:v>
      </x:c>
      <x:c r="D124" s="98" t="n">
        <x:f>IF('Datos_fuente'!C124="","",LN('Datos_fuente'!C124))</x:f>
        <x:v>4.654721964817339</x:v>
      </x:c>
      <x:c r="E124" s="98" t="n">
        <x:f>IF(OR(D124="",D123=""),"",D124-D123)</x:f>
        <x:v>-0.011637389483174942</x:v>
      </x:c>
      <x:c r="F124" s="98" t="n">
        <x:f>IF('Datos_fuente'!E124="","",LN('Datos_fuente'!E124))</x:f>
        <x:v>8.482636942714601</x:v>
      </x:c>
      <x:c r="G124" s="98" t="n">
        <x:f>IF(OR(F124="",F123=""),"",F124-F123)</x:f>
        <x:v>0.00820721257947632</x:v>
      </x:c>
      <x:c r="H124" s="63" t="n">
        <x:f>'Datos_fuente'!H124</x:f>
        <x:v>4.63</x:v>
      </x:c>
      <x:c r="I124" s="63" t="n">
        <x:f>IF(OR(H124="",H123=""),"",H124-H123)</x:f>
        <x:v>0.2450000000000001</x:v>
      </x:c>
      <x:c r="J124" s="63" t="n">
        <x:f>'Datos_fuente'!J124</x:f>
        <x:v>2.80153607</x:v>
      </x:c>
      <x:c r="K124" s="63" t="n">
        <x:f>IF(OR(J124="",J123=""),"",J124-J123)</x:f>
        <x:v>0.03461352299999998</x:v>
      </x:c>
      <x:c r="L124" s="98" t="n">
        <x:f>IF('Datos_fuente'!K124="","",LN('Datos_fuente'!K124))</x:f>
        <x:v>4.699603357696852</x:v>
      </x:c>
      <x:c r="M124" s="98" t="n">
        <x:f>IF(OR(L124="",L123=""),"",L124-L123)</x:f>
        <x:v>-0.008585918851458096</x:v>
      </x:c>
      <x:c r="N124" s="98" t="n">
        <x:f>IF('Datos_fuente'!L124="","",LN('Datos_fuente'!L124))</x:f>
        <x:v>2.8207563980606793</x:v>
      </x:c>
      <x:c r="O124" s="98" t="n">
        <x:f>IF(OR(N124="",N123=""),"",N124-N123)</x:f>
        <x:v>-0.372889527164308</x:v>
      </x:c>
      <x:c r="P124" s="96" t="n">
        <x:f>'Datos_fuente'!M124</x:f>
        <x:v>0</x:v>
      </x:c>
      <x:c r="Q124" s="98" t="n">
        <x:f>IF('Datos_fuente'!N124="","",LN('Datos_fuente'!N124))</x:f>
        <x:v>10.754200930539453</x:v>
      </x:c>
      <x:c r="R124" s="98" t="n">
        <x:f>IF(OR(Q124="",Q123=""),"",Q124-Q123)</x:f>
        <x:v>0.00213697815328473</x:v>
      </x:c>
      <x:c r="S124" s="63" t="n">
        <x:f>'Datos_fuente'!P124</x:f>
        <x:v>2.824545455</x:v>
      </x:c>
      <x:c r="T124" s="63" t="n">
        <x:f>IF(OR(S124="",S123=""),"",S124-S123)</x:f>
        <x:v>-0.08272727200000007</x:v>
      </x:c>
      <x:c r="U124" s="98" t="n">
        <x:f>IF('Datos_fuente'!Q124="","",ASINH('Datos_fuente'!Q124/1000))</x:f>
        <x:v>-0.3250838834410608</x:v>
      </x:c>
      <x:c r="V124" s="98" t="n">
        <x:f>IF(OR(U124="",U123=""),"",U124-U123)</x:f>
        <x:v>-0.07574547290774011</x:v>
      </x:c>
      <x:c r="W124" s="98" t="n">
        <x:f>IF('Datos_fuente'!R124="","",ASINH('Datos_fuente'!R124/1000))</x:f>
        <x:v>0.4039077192260707</x:v>
      </x:c>
      <x:c r="X124" s="98" t="n">
        <x:f>IF(OR(W124="",W123=""),"",W124-W123)</x:f>
        <x:v>0.45475580486996986</x:v>
      </x:c>
      <x:c r="Y124" s="63" t="n">
        <x:f>'Datos_fuente'!W124</x:f>
        <x:v>3.183552376</x:v>
      </x:c>
      <x:c r="Z124" s="63" t="n">
        <x:f>IF(OR(Y124="",Y123=""),"",Y124-Y123)</x:f>
        <x:v>0.18372163600000002</x:v>
      </x:c>
      <x:c r="AA124" s="98" t="n">
        <x:f>'Datos_fuente'!AB124</x:f>
        <x:v>-0.49477594</x:v>
      </x:c>
      <x:c r="AB124" s="98" t="n">
        <x:f>'Datos_fuente'!AC124</x:f>
        <x:v>-0.1766039319</x:v>
      </x:c>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t="str">
        <x:f>'Datos_fuente'!A125</x:f>
        <x:v>2015-11</x:v>
      </x:c>
      <x:c r="B125" s="98" t="n">
        <x:f>IF('Datos_fuente'!B125="","",LN('Datos_fuente'!B125))</x:f>
        <x:v>8.006826240110616</x:v>
      </x:c>
      <x:c r="C125" s="98" t="n">
        <x:f>IF(OR(B125="",B124=""),"",B125-B124)</x:f>
        <x:v>0.02424867104601791</x:v>
      </x:c>
      <x:c r="D125" s="98" t="n">
        <x:f>IF('Datos_fuente'!C125="","",LN('Datos_fuente'!C125))</x:f>
        <x:v>4.6340491455384685</x:v>
      </x:c>
      <x:c r="E125" s="98" t="n">
        <x:f>IF(OR(D125="",D124=""),"",D125-D124)</x:f>
        <x:v>-0.02067281927887077</x:v>
      </x:c>
      <x:c r="F125" s="98" t="n">
        <x:f>IF('Datos_fuente'!E125="","",LN('Datos_fuente'!E125))</x:f>
        <x:v>8.498004255772809</x:v>
      </x:c>
      <x:c r="G125" s="98" t="n">
        <x:f>IF(OR(F125="",F124=""),"",F125-F124)</x:f>
        <x:v>0.015367313058208154</x:v>
      </x:c>
      <x:c r="H125" s="63" t="n">
        <x:f>'Datos_fuente'!H125</x:f>
        <x:v>5.105</x:v>
      </x:c>
      <x:c r="I125" s="63" t="n">
        <x:f>IF(OR(H125="",H124=""),"",H125-H124)</x:f>
        <x:v>0.47500000000000053</x:v>
      </x:c>
      <x:c r="J125" s="63" t="n">
        <x:f>'Datos_fuente'!J125</x:f>
        <x:v>2.981295634</x:v>
      </x:c>
      <x:c r="K125" s="63" t="n">
        <x:f>IF(OR(J125="",J124=""),"",J125-J124)</x:f>
        <x:v>0.17975956399999982</x:v>
      </x:c>
      <x:c r="L125" s="98" t="n">
        <x:f>IF('Datos_fuente'!K125="","",LN('Datos_fuente'!K125))</x:f>
        <x:v>4.715741595823833</x:v>
      </x:c>
      <x:c r="M125" s="98" t="n">
        <x:f>IF(OR(L125="",L124=""),"",L125-L124)</x:f>
        <x:v>0.016138238126981008</x:v>
      </x:c>
      <x:c r="N125" s="98" t="n">
        <x:f>IF('Datos_fuente'!L125="","",LN('Datos_fuente'!L125))</x:f>
        <x:v>2.785628335747585</x:v>
      </x:c>
      <x:c r="O125" s="98" t="n">
        <x:f>IF(OR(N125="",N124=""),"",N125-N124)</x:f>
        <x:v>-0.03512806231309451</x:v>
      </x:c>
      <x:c r="P125" s="96" t="n">
        <x:f>'Datos_fuente'!M125</x:f>
        <x:v>0</x:v>
      </x:c>
      <x:c r="Q125" s="98" t="n">
        <x:f>IF('Datos_fuente'!N125="","",LN('Datos_fuente'!N125))</x:f>
        <x:v>10.752735724115166</x:v>
      </x:c>
      <x:c r="R125" s="98" t="n">
        <x:f>IF(OR(Q125="",Q124=""),"",Q125-Q124)</x:f>
        <x:v>-0.0014652064242870466</x:v>
      </x:c>
      <x:c r="S125" s="63" t="n">
        <x:f>'Datos_fuente'!P125</x:f>
        <x:v>2.803809524</x:v>
      </x:c>
      <x:c r="T125" s="63" t="n">
        <x:f>IF(OR(S125="",S124=""),"",S125-S124)</x:f>
        <x:v>-0.02073593099999993</x:v>
      </x:c>
      <x:c r="U125" s="98" t="n">
        <x:f>IF('Datos_fuente'!Q125="","",ASINH('Datos_fuente'!Q125/1000))</x:f>
        <x:v>-0.14622831602820874</x:v>
      </x:c>
      <x:c r="V125" s="98" t="n">
        <x:f>IF(OR(U125="",U124=""),"",U125-U124)</x:f>
        <x:v>0.17885556741285208</x:v>
      </x:c>
      <x:c r="W125" s="98" t="n">
        <x:f>IF('Datos_fuente'!R125="","",ASINH('Datos_fuente'!R125/1000))</x:f>
        <x:v>-0.15437608770468345</x:v>
      </x:c>
      <x:c r="X125" s="98" t="n">
        <x:f>IF(OR(W125="",W124=""),"",W125-W124)</x:f>
        <x:v>-0.5582838069307542</x:v>
      </x:c>
      <x:c r="Y125" s="63" t="n">
        <x:f>'Datos_fuente'!W125</x:f>
        <x:v>3.246410516</x:v>
      </x:c>
      <x:c r="Z125" s="63" t="n">
        <x:f>IF(OR(Y125="",Y124=""),"",Y125-Y124)</x:f>
        <x:v>0.0628581399999999</x:v>
      </x:c>
      <x:c r="AA125" s="98" t="n">
        <x:f>'Datos_fuente'!AB125</x:f>
        <x:v>0.09072250098</x:v>
      </x:c>
      <x:c r="AB125" s="98" t="n">
        <x:f>'Datos_fuente'!AC125</x:f>
        <x:v>0.6120419068</x:v>
      </x:c>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t="str">
        <x:f>'Datos_fuente'!A126</x:f>
        <x:v>2015-12</x:v>
      </x:c>
      <x:c r="B126" s="98" t="n">
        <x:f>IF('Datos_fuente'!B126="","",LN('Datos_fuente'!B126))</x:f>
        <x:v>8.084624562810884</x:v>
      </x:c>
      <x:c r="C126" s="98" t="n">
        <x:f>IF(OR(B126="",B125=""),"",B126-B125)</x:f>
        <x:v>0.07779832270026787</x:v>
      </x:c>
      <x:c r="D126" s="98" t="n">
        <x:f>IF('Datos_fuente'!C126="","",LN('Datos_fuente'!C126))</x:f>
        <x:v>4.562471431454976</x:v>
      </x:c>
      <x:c r="E126" s="98" t="n">
        <x:f>IF(OR(D126="",D125=""),"",D126-D125)</x:f>
        <x:v>-0.07157771408349234</x:v>
      </x:c>
      <x:c r="F126" s="98" t="n">
        <x:f>IF('Datos_fuente'!E126="","",LN('Datos_fuente'!E126))</x:f>
        <x:v>8.508636688733116</x:v>
      </x:c>
      <x:c r="G126" s="98" t="n">
        <x:f>IF(OR(F126="",F125=""),"",F126-F125)</x:f>
        <x:v>0.010632432960306915</x:v>
      </x:c>
      <x:c r="H126" s="63" t="n">
        <x:f>'Datos_fuente'!H126</x:f>
        <x:v>5.348709677</x:v>
      </x:c>
      <x:c r="I126" s="63" t="n">
        <x:f>IF(OR(H126="",H125=""),"",H126-H125)</x:f>
        <x:v>0.243709677</x:v>
      </x:c>
      <x:c r="J126" s="63" t="n">
        <x:f>'Datos_fuente'!J126</x:f>
        <x:v>3.015885516</x:v>
      </x:c>
      <x:c r="K126" s="63" t="n">
        <x:f>IF(OR(J126="",J125=""),"",J126-J125)</x:f>
        <x:v>0.03458988200000013</x:v>
      </x:c>
      <x:c r="L126" s="98" t="n">
        <x:f>IF('Datos_fuente'!K126="","",LN('Datos_fuente'!K126))</x:f>
        <x:v>4.72548992061249</x:v>
      </x:c>
      <x:c r="M126" s="98" t="n">
        <x:f>IF(OR(L126="",L125=""),"",L126-L125)</x:f>
        <x:v>0.009748324788656504</x:v>
      </x:c>
      <x:c r="N126" s="98" t="n">
        <x:f>IF('Datos_fuente'!L126="","",LN('Datos_fuente'!L126))</x:f>
        <x:v>2.8917849006061713</x:v>
      </x:c>
      <x:c r="O126" s="98" t="n">
        <x:f>IF(OR(N126="",N125=""),"",N126-N125)</x:f>
        <x:v>0.10615656485858649</x:v>
      </x:c>
      <x:c r="P126" s="96" t="n">
        <x:f>'Datos_fuente'!M126</x:f>
        <x:v>0</x:v>
      </x:c>
      <x:c r="Q126" s="98" t="n">
        <x:f>IF('Datos_fuente'!N126="","",LN('Datos_fuente'!N126))</x:f>
        <x:v>10.752165388889786</x:v>
      </x:c>
      <x:c r="R126" s="98" t="n">
        <x:f>IF(OR(Q126="",Q125=""),"",Q126-Q125)</x:f>
        <x:v>-0.0005703352253796368</x:v>
      </x:c>
      <x:c r="S126" s="63" t="n">
        <x:f>'Datos_fuente'!P126</x:f>
        <x:v>3.137391304</x:v>
      </x:c>
      <x:c r="T126" s="63" t="n">
        <x:f>IF(OR(S126="",S125=""),"",S126-S125)</x:f>
        <x:v>0.33358177999999983</x:v>
      </x:c>
      <x:c r="U126" s="98" t="n">
        <x:f>IF('Datos_fuente'!Q126="","",ASINH('Datos_fuente'!Q126/1000))</x:f>
        <x:v>-0.249561435580671</x:v>
      </x:c>
      <x:c r="V126" s="98" t="n">
        <x:f>IF(OR(U126="",U125=""),"",U126-U125)</x:f>
        <x:v>-0.10333311955246227</x:v>
      </x:c>
      <x:c r="W126" s="98" t="n">
        <x:f>IF('Datos_fuente'!R126="","",ASINH('Datos_fuente'!R126/1000))</x:f>
        <x:v>-0.03149479301215018</x:v>
      </x:c>
      <x:c r="X126" s="98" t="n">
        <x:f>IF(OR(W126="",W125=""),"",W126-W125)</x:f>
        <x:v>0.12288129469253327</x:v>
      </x:c>
      <x:c r="Y126" s="63" t="n">
        <x:f>'Datos_fuente'!W126</x:f>
        <x:v>3.235042763</x:v>
      </x:c>
      <x:c r="Z126" s="63" t="n">
        <x:f>IF(OR(Y126="",Y125=""),"",Y126-Y125)</x:f>
        <x:v>-0.011367753000000036</x:v>
      </x:c>
      <x:c r="AA126" s="98" t="n">
        <x:f>'Datos_fuente'!AB126</x:f>
        <x:v>0.4270484975</x:v>
      </x:c>
      <x:c r="AB126" s="98" t="n">
        <x:f>'Datos_fuente'!AC126</x:f>
        <x:v>0.5954961751</x:v>
      </x:c>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t="str">
        <x:f>'Datos_fuente'!A127</x:f>
        <x:v>2016-01</x:v>
      </x:c>
      <x:c r="B127" s="98" t="n">
        <x:f>IF('Datos_fuente'!B127="","",LN('Datos_fuente'!B127))</x:f>
        <x:v>8.092604944373381</x:v>
      </x:c>
      <x:c r="C127" s="98" t="n">
        <x:f>IF(OR(B127="",B126=""),"",B127-B126)</x:f>
        <x:v>0.00798038156249703</x:v>
      </x:c>
      <x:c r="D127" s="98" t="n">
        <x:f>IF('Datos_fuente'!C127="","",LN('Datos_fuente'!C127))</x:f>
        <x:v>4.457250055911469</x:v>
      </x:c>
      <x:c r="E127" s="98" t="n">
        <x:f>IF(OR(D127="",D126=""),"",D127-D126)</x:f>
        <x:v>-0.10522137554350675</x:v>
      </x:c>
      <x:c r="F127" s="98" t="n">
        <x:f>IF('Datos_fuente'!E127="","",LN('Datos_fuente'!E127))</x:f>
        <x:v>8.520724947417415</x:v>
      </x:c>
      <x:c r="G127" s="98" t="n">
        <x:f>IF(OR(F127="",F126=""),"",F127-F126)</x:f>
        <x:v>0.012088258684299191</x:v>
      </x:c>
      <x:c r="H127" s="63" t="n">
        <x:f>'Datos_fuente'!H127</x:f>
        <x:v>5.41</x:v>
      </x:c>
      <x:c r="I127" s="63" t="n">
        <x:f>IF(OR(H127="",H126=""),"",H127-H126)</x:f>
        <x:v>0.0612903229999997</x:v>
      </x:c>
      <x:c r="J127" s="63" t="n">
        <x:f>'Datos_fuente'!J127</x:f>
        <x:v>3.113369713</x:v>
      </x:c>
      <x:c r="K127" s="63" t="n">
        <x:f>IF(OR(J127="",J126=""),"",J127-J126)</x:f>
        <x:v>0.097484197</x:v>
      </x:c>
      <x:c r="L127" s="98" t="n">
        <x:f>IF('Datos_fuente'!K127="","",LN('Datos_fuente'!K127))</x:f>
        <x:v>4.7469682063229195</x:v>
      </x:c>
      <x:c r="M127" s="98" t="n">
        <x:f>IF(OR(L127="",L126=""),"",L127-L126)</x:f>
        <x:v>0.021478285710429645</x:v>
      </x:c>
      <x:c r="N127" s="98" t="n">
        <x:f>IF('Datos_fuente'!L127="","",LN('Datos_fuente'!L127))</x:f>
        <x:v>3.166229815553162</x:v>
      </x:c>
      <x:c r="O127" s="98" t="n">
        <x:f>IF(OR(N127="",N126=""),"",N127-N126)</x:f>
        <x:v>0.2744449149469905</x:v>
      </x:c>
      <x:c r="P127" s="96" t="n">
        <x:f>'Datos_fuente'!M127</x:f>
        <x:v>0</x:v>
      </x:c>
      <x:c r="Q127" s="98" t="n">
        <x:f>IF('Datos_fuente'!N127="","",LN('Datos_fuente'!N127))</x:f>
        <x:v>10.752233435461056</x:v>
      </x:c>
      <x:c r="R127" s="98" t="n">
        <x:f>IF(OR(Q127="",Q126=""),"",Q127-Q126)</x:f>
        <x:v>0.00006804657127013058</x:v>
      </x:c>
      <x:c r="S127" s="63" t="n">
        <x:f>'Datos_fuente'!P127</x:f>
        <x:v>3.674285714</x:v>
      </x:c>
      <x:c r="T127" s="63" t="n">
        <x:f>IF(OR(S127="",S126=""),"",S127-S126)</x:f>
        <x:v>0.5368944099999999</x:v>
      </x:c>
      <x:c r="U127" s="98" t="n">
        <x:f>IF('Datos_fuente'!Q127="","",ASINH('Datos_fuente'!Q127/1000))</x:f>
        <x:v>-0.15707331658677168</x:v>
      </x:c>
      <x:c r="V127" s="98" t="n">
        <x:f>IF(OR(U127="",U126=""),"",U127-U126)</x:f>
        <x:v>0.09248811899389933</x:v>
      </x:c>
      <x:c r="W127" s="98" t="n">
        <x:f>IF('Datos_fuente'!R127="","",ASINH('Datos_fuente'!R127/1000))</x:f>
        <x:v>0.036641800104690765</x:v>
      </x:c>
      <x:c r="X127" s="98" t="n">
        <x:f>IF(OR(W127="",W126=""),"",W127-W126)</x:f>
        <x:v>0.06813659311684095</x:v>
      </x:c>
      <x:c r="Y127" s="63" t="n">
        <x:f>'Datos_fuente'!W127</x:f>
        <x:v>3.435368422</x:v>
      </x:c>
      <x:c r="Z127" s="63" t="n">
        <x:f>IF(OR(Y127="",Y126=""),"",Y127-Y126)</x:f>
        <x:v>0.20032565899999977</x:v>
      </x:c>
      <x:c r="AA127" s="98" t="n">
        <x:f>'Datos_fuente'!AB127</x:f>
        <x:v>1.249890468</x:v>
      </x:c>
      <x:c r="AB127" s="98" t="n">
        <x:f>'Datos_fuente'!AC127</x:f>
        <x:v>1.263435322</x:v>
      </x:c>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t="str">
        <x:f>'Datos_fuente'!A128</x:f>
        <x:v>2016-02</x:v>
      </x:c>
      <x:c r="B128" s="98" t="n">
        <x:f>IF('Datos_fuente'!B128="","",LN('Datos_fuente'!B128))</x:f>
        <x:v>8.118194201931301</x:v>
      </x:c>
      <x:c r="C128" s="98" t="n">
        <x:f>IF(OR(B128="",B127=""),"",B128-B127)</x:f>
        <x:v>0.025589257557919964</x:v>
      </x:c>
      <x:c r="D128" s="98" t="n">
        <x:f>IF('Datos_fuente'!C128="","",LN('Datos_fuente'!C128))</x:f>
        <x:v>4.544676805559129</x:v>
      </x:c>
      <x:c r="E128" s="98" t="n">
        <x:f>IF(OR(D128="",D127=""),"",D128-D127)</x:f>
        <x:v>0.08742674964765929</x:v>
      </x:c>
      <x:c r="F128" s="98" t="n">
        <x:f>IF('Datos_fuente'!E128="","",LN('Datos_fuente'!E128))</x:f>
        <x:v>8.53839679766726</x:v>
      </x:c>
      <x:c r="G128" s="98" t="n">
        <x:f>IF(OR(F128="",F127=""),"",F128-F127)</x:f>
        <x:v>0.017671850249845633</x:v>
      </x:c>
      <x:c r="H128" s="63" t="n">
        <x:f>'Datos_fuente'!H128</x:f>
        <x:v>5.688965517</x:v>
      </x:c>
      <x:c r="I128" s="63" t="n">
        <x:f>IF(OR(H128="",H127=""),"",H128-H127)</x:f>
        <x:v>0.2789655169999996</x:v>
      </x:c>
      <x:c r="J128" s="63" t="n">
        <x:f>'Datos_fuente'!J128</x:f>
        <x:v>3.414282317</x:v>
      </x:c>
      <x:c r="K128" s="63" t="n">
        <x:f>IF(OR(J128="",J127=""),"",J128-J127)</x:f>
        <x:v>0.3009126040000001</x:v>
      </x:c>
      <x:c r="L128" s="98" t="n">
        <x:f>IF('Datos_fuente'!K128="","",LN('Datos_fuente'!K128))</x:f>
        <x:v>4.738666759256427</x:v>
      </x:c>
      <x:c r="M128" s="98" t="n">
        <x:f>IF(OR(L128="",L127=""),"",L128-L127)</x:f>
        <x:v>-0.008301447066492607</x:v>
      </x:c>
      <x:c r="N128" s="98" t="n">
        <x:f>IF('Datos_fuente'!L128="","",LN('Datos_fuente'!L128))</x:f>
        <x:v>3.114270579477523</x:v>
      </x:c>
      <x:c r="O128" s="98" t="n">
        <x:f>IF(OR(N128="",N127=""),"",N128-N127)</x:f>
        <x:v>-0.05195923607563868</x:v>
      </x:c>
      <x:c r="P128" s="96" t="n">
        <x:f>'Datos_fuente'!M128</x:f>
        <x:v>0</x:v>
      </x:c>
      <x:c r="Q128" s="98" t="n">
        <x:f>IF('Datos_fuente'!N128="","",LN('Datos_fuente'!N128))</x:f>
        <x:v>10.754693267304322</x:v>
      </x:c>
      <x:c r="R128" s="98" t="n">
        <x:f>IF(OR(Q128="",Q127=""),"",Q128-Q127)</x:f>
        <x:v>0.002459831843266258</x:v>
      </x:c>
      <x:c r="S128" s="63" t="n">
        <x:f>'Datos_fuente'!P128</x:f>
        <x:v>3.931904762</x:v>
      </x:c>
      <x:c r="T128" s="63" t="n">
        <x:f>IF(OR(S128="",S127=""),"",S128-S127)</x:f>
        <x:v>0.257619048</x:v>
      </x:c>
      <x:c r="U128" s="98" t="n">
        <x:f>IF('Datos_fuente'!Q128="","",ASINH('Datos_fuente'!Q128/1000))</x:f>
        <x:v>-0.14703957867922526</x:v>
      </x:c>
      <x:c r="V128" s="98" t="n">
        <x:f>IF(OR(U128="",U127=""),"",U128-U127)</x:f>
        <x:v>0.010033737907546414</x:v>
      </x:c>
      <x:c r="W128" s="98" t="n">
        <x:f>IF('Datos_fuente'!R128="","",ASINH('Datos_fuente'!R128/1000))</x:f>
        <x:v>0.05432327789090474</x:v>
      </x:c>
      <x:c r="X128" s="98" t="n">
        <x:f>IF(OR(W128="",W127=""),"",W128-W127)</x:f>
        <x:v>0.017681477786213977</x:v>
      </x:c>
      <x:c r="Y128" s="63" t="n">
        <x:f>'Datos_fuente'!W128</x:f>
        <x:v>3.579960005</x:v>
      </x:c>
      <x:c r="Z128" s="63" t="n">
        <x:f>IF(OR(Y128="",Y127=""),"",Y128-Y127)</x:f>
        <x:v>0.14459158299999997</x:v>
      </x:c>
      <x:c r="AA128" s="98" t="n">
        <x:f>'Datos_fuente'!AB128</x:f>
        <x:v>-0.3337051692</x:v>
      </x:c>
      <x:c r="AB128" s="98" t="n">
        <x:f>'Datos_fuente'!AC128</x:f>
        <x:v>0.1478070936</x:v>
      </x:c>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t="str">
        <x:f>'Datos_fuente'!A129</x:f>
        <x:v>2016-03</x:v>
      </x:c>
      <x:c r="B129" s="98" t="n">
        <x:f>IF('Datos_fuente'!B129="","",LN('Datos_fuente'!B129))</x:f>
        <x:v>8.048401317937845</x:v>
      </x:c>
      <x:c r="C129" s="98" t="n">
        <x:f>IF(OR(B129="",B128=""),"",B129-B128)</x:f>
        <x:v>-0.06979288399345585</x:v>
      </x:c>
      <x:c r="D129" s="98" t="n">
        <x:f>IF('Datos_fuente'!C129="","",LN('Datos_fuente'!C129))</x:f>
        <x:v>4.640923355693909</x:v>
      </x:c>
      <x:c r="E129" s="98" t="n">
        <x:f>IF(OR(D129="",D128=""),"",D129-D128)</x:f>
        <x:v>0.09624655013478023</x:v>
      </x:c>
      <x:c r="F129" s="98" t="n">
        <x:f>IF('Datos_fuente'!E129="","",LN('Datos_fuente'!E129))</x:f>
        <x:v>8.534264641460576</x:v>
      </x:c>
      <x:c r="G129" s="98" t="n">
        <x:f>IF(OR(F129="",F128=""),"",F129-F128)</x:f>
        <x:v>-0.004132156206685167</x:v>
      </x:c>
      <x:c r="H129" s="63" t="n">
        <x:f>'Datos_fuente'!H129</x:f>
        <x:v>5.970645161</x:v>
      </x:c>
      <x:c r="I129" s="63" t="n">
        <x:f>IF(OR(H129="",H128=""),"",H129-H128)</x:f>
        <x:v>0.28167964400000045</x:v>
      </x:c>
      <x:c r="J129" s="63" t="n">
        <x:f>'Datos_fuente'!J129</x:f>
        <x:v>3.253348464</x:v>
      </x:c>
      <x:c r="K129" s="63" t="n">
        <x:f>IF(OR(J129="",J128=""),"",J129-J128)</x:f>
        <x:v>-0.16093385299999996</x:v>
      </x:c>
      <x:c r="L129" s="98" t="n">
        <x:f>IF('Datos_fuente'!K129="","",LN('Datos_fuente'!K129))</x:f>
        <x:v>4.717546554592596</x:v>
      </x:c>
      <x:c r="M129" s="98" t="n">
        <x:f>IF(OR(L129="",L128=""),"",L129-L128)</x:f>
        <x:v>-0.021120204663830577</x:v>
      </x:c>
      <x:c r="N129" s="98" t="n">
        <x:f>IF('Datos_fuente'!L129="","",LN('Datos_fuente'!L129))</x:f>
        <x:v>2.7631121428424184</x:v>
      </x:c>
      <x:c r="O129" s="98" t="n">
        <x:f>IF(OR(N129="",N128=""),"",N129-N128)</x:f>
        <x:v>-0.3511584366351048</x:v>
      </x:c>
      <x:c r="P129" s="96" t="n">
        <x:f>'Datos_fuente'!M129</x:f>
        <x:v>0</x:v>
      </x:c>
      <x:c r="Q129" s="98" t="n">
        <x:f>IF('Datos_fuente'!N129="","",LN('Datos_fuente'!N129))</x:f>
        <x:v>10.762677845360352</x:v>
      </x:c>
      <x:c r="R129" s="98" t="n">
        <x:f>IF(OR(Q129="",Q128=""),"",Q129-Q128)</x:f>
        <x:v>0.007984578056030145</x:v>
      </x:c>
      <x:c r="S129" s="63" t="n">
        <x:f>'Datos_fuente'!P129</x:f>
        <x:v>3.093043478</x:v>
      </x:c>
      <x:c r="T129" s="63" t="n">
        <x:f>IF(OR(S129="",S128=""),"",S129-S128)</x:f>
        <x:v>-0.838861284</x:v>
      </x:c>
      <x:c r="U129" s="98" t="n">
        <x:f>IF('Datos_fuente'!Q129="","",ASINH('Datos_fuente'!Q129/1000))</x:f>
        <x:v>-0.25601415406155076</x:v>
      </x:c>
      <x:c r="V129" s="98" t="n">
        <x:f>IF(OR(U129="",U128=""),"",U129-U128)</x:f>
        <x:v>-0.1089745753823255</x:v>
      </x:c>
      <x:c r="W129" s="98" t="n">
        <x:f>IF('Datos_fuente'!R129="","",ASINH('Datos_fuente'!R129/1000))</x:f>
        <x:v>0.5247881219704461</x:v>
      </x:c>
      <x:c r="X129" s="98" t="n">
        <x:f>IF(OR(W129="",W128=""),"",W129-W128)</x:f>
        <x:v>0.47046484407954137</x:v>
      </x:c>
      <x:c r="Y129" s="63" t="n">
        <x:f>'Datos_fuente'!W129</x:f>
        <x:v>2.865418187</x:v>
      </x:c>
      <x:c r="Z129" s="63" t="n">
        <x:f>IF(OR(Y129="",Y128=""),"",Y129-Y128)</x:f>
        <x:v>-0.7145418179999998</x:v>
      </x:c>
      <x:c r="AA129" s="98" t="n">
        <x:f>'Datos_fuente'!AB129</x:f>
        <x:v>-1.695845552</x:v>
      </x:c>
      <x:c r="AB129" s="98" t="n">
        <x:f>'Datos_fuente'!AC129</x:f>
        <x:v>-1.851447177</x:v>
      </x:c>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t="str">
        <x:f>'Datos_fuente'!A130</x:f>
        <x:v>2016-04</x:v>
      </x:c>
      <x:c r="B130" s="98" t="n">
        <x:f>IF('Datos_fuente'!B130="","",LN('Datos_fuente'!B130))</x:f>
        <x:v>8.005609613809128</x:v>
      </x:c>
      <x:c r="C130" s="98" t="n">
        <x:f>IF(OR(B130="",B129=""),"",B130-B129)</x:f>
        <x:v>-0.042791704128717356</x:v>
      </x:c>
      <x:c r="D130" s="98" t="n">
        <x:f>IF('Datos_fuente'!C130="","",LN('Datos_fuente'!C130))</x:f>
        <x:v>4.662022997580874</x:v>
      </x:c>
      <x:c r="E130" s="98" t="n">
        <x:f>IF(OR(D130="",D129=""),"",D130-D129)</x:f>
        <x:v>0.021099641886965337</x:v>
      </x:c>
      <x:c r="F130" s="98" t="n">
        <x:f>IF('Datos_fuente'!E130="","",LN('Datos_fuente'!E130))</x:f>
        <x:v>8.543443614379953</x:v>
      </x:c>
      <x:c r="G130" s="98" t="n">
        <x:f>IF(OR(F130="",F129=""),"",F130-F129)</x:f>
        <x:v>0.009178972919377415</x:v>
      </x:c>
      <x:c r="H130" s="63" t="n">
        <x:f>'Datos_fuente'!H130</x:f>
        <x:v>6.13</x:v>
      </x:c>
      <x:c r="I130" s="63" t="n">
        <x:f>IF(OR(H130="",H129=""),"",H130-H129)</x:f>
        <x:v>0.1593548389999997</x:v>
      </x:c>
      <x:c r="J130" s="63" t="n">
        <x:f>'Datos_fuente'!J130</x:f>
        <x:v>3.567805895</x:v>
      </x:c>
      <x:c r="K130" s="63" t="n">
        <x:f>IF(OR(J130="",J129=""),"",J130-J129)</x:f>
        <x:v>0.3144574309999997</x:v>
      </x:c>
      <x:c r="L130" s="98" t="n">
        <x:f>IF('Datos_fuente'!K130="","",LN('Datos_fuente'!K130))</x:f>
        <x:v>4.7006355919260345</x:v>
      </x:c>
      <x:c r="M130" s="98" t="n">
        <x:f>IF(OR(L130="",L129=""),"",L130-L129)</x:f>
        <x:v>-0.01691096266656178</x:v>
      </x:c>
      <x:c r="N130" s="98" t="n">
        <x:f>IF('Datos_fuente'!L130="","",LN('Datos_fuente'!L130))</x:f>
        <x:v>2.6602928367114287</x:v>
      </x:c>
      <x:c r="O130" s="98" t="n">
        <x:f>IF(OR(N130="",N129=""),"",N130-N129)</x:f>
        <x:v>-0.10281930613098966</x:v>
      </x:c>
      <x:c r="P130" s="96" t="n">
        <x:f>'Datos_fuente'!M130</x:f>
        <x:v>0</x:v>
      </x:c>
      <x:c r="Q130" s="98" t="n">
        <x:f>IF('Datos_fuente'!N130="","",LN('Datos_fuente'!N130))</x:f>
        <x:v>10.764116514745382</x:v>
      </x:c>
      <x:c r="R130" s="98" t="n">
        <x:f>IF(OR(Q130="",Q129=""),"",Q130-Q129)</x:f>
        <x:v>0.0014386693850294563</x:v>
      </x:c>
      <x:c r="S130" s="63" t="n">
        <x:f>'Datos_fuente'!P130</x:f>
        <x:v>2.868095238</x:v>
      </x:c>
      <x:c r="T130" s="63" t="n">
        <x:f>IF(OR(S130="",S129=""),"",S130-S129)</x:f>
        <x:v>-0.2249482399999998</x:v>
      </x:c>
      <x:c r="U130" s="98" t="n">
        <x:f>IF('Datos_fuente'!Q130="","",ASINH('Datos_fuente'!Q130/1000))</x:f>
        <x:v>-0.16107260765438527</x:v>
      </x:c>
      <x:c r="V130" s="98" t="n">
        <x:f>IF(OR(U130="",U129=""),"",U130-U129)</x:f>
        <x:v>0.09494154640716548</x:v>
      </x:c>
      <x:c r="W130" s="98" t="n">
        <x:f>IF('Datos_fuente'!R130="","",ASINH('Datos_fuente'!R130/1000))</x:f>
        <x:v>0.11776758736653216</x:v>
      </x:c>
      <x:c r="X130" s="98" t="n">
        <x:f>IF(OR(W130="",W129=""),"",W130-W129)</x:f>
        <x:v>-0.40702053460391396</x:v>
      </x:c>
      <x:c r="Y130" s="63" t="n">
        <x:f>'Datos_fuente'!W130</x:f>
        <x:v>2.853747624</x:v>
      </x:c>
      <x:c r="Z130" s="63" t="n">
        <x:f>IF(OR(Y130="",Y129=""),"",Y130-Y129)</x:f>
        <x:v>-0.011670563000000023</x:v>
      </x:c>
      <x:c r="AA130" s="98" t="n">
        <x:f>'Datos_fuente'!AB130</x:f>
        <x:v>-0.7525010312</x:v>
      </x:c>
      <x:c r="AB130" s="98" t="n">
        <x:f>'Datos_fuente'!AC130</x:f>
        <x:v>-1.19659207</x:v>
      </x:c>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t="str">
        <x:f>'Datos_fuente'!A131</x:f>
        <x:v>2016-05</x:v>
      </x:c>
      <x:c r="B131" s="98" t="n">
        <x:f>IF('Datos_fuente'!B131="","",LN('Datos_fuente'!B131))</x:f>
        <x:v>8.00420135209858</x:v>
      </x:c>
      <x:c r="C131" s="98" t="n">
        <x:f>IF(OR(B131="",B130=""),"",B131-B130)</x:f>
        <x:v>-0.0014082617105479756</x:v>
      </x:c>
      <x:c r="D131" s="98" t="n">
        <x:f>IF('Datos_fuente'!C131="","",LN('Datos_fuente'!C131))</x:f>
        <x:v>4.724285666878253</x:v>
      </x:c>
      <x:c r="E131" s="98" t="n">
        <x:f>IF(OR(D131="",D130=""),"",D131-D130)</x:f>
        <x:v>0.06226266929737889</x:v>
      </x:c>
      <x:c r="F131" s="98" t="n">
        <x:f>IF('Datos_fuente'!E131="","",LN('Datos_fuente'!E131))</x:f>
        <x:v>8.557144406918464</x:v>
      </x:c>
      <x:c r="G131" s="98" t="n">
        <x:f>IF(OR(F131="",F130=""),"",F131-F130)</x:f>
        <x:v>0.013700792538511308</x:v>
      </x:c>
      <x:c r="H131" s="63" t="n">
        <x:f>'Datos_fuente'!H131</x:f>
        <x:v>6.621935484</x:v>
      </x:c>
      <x:c r="I131" s="63" t="n">
        <x:f>IF(OR(H131="",H130=""),"",H131-H130)</x:f>
        <x:v>0.49193548399999987</x:v>
      </x:c>
      <x:c r="J131" s="63" t="n">
        <x:f>'Datos_fuente'!J131</x:f>
        <x:v>3.634494068</x:v>
      </x:c>
      <x:c r="K131" s="63" t="n">
        <x:f>IF(OR(J131="",J130=""),"",J131-J130)</x:f>
        <x:v>0.06668817300000018</x:v>
      </x:c>
      <x:c r="L131" s="98" t="n">
        <x:f>IF('Datos_fuente'!K131="","",LN('Datos_fuente'!K131))</x:f>
        <x:v>4.7107952953379195</x:v>
      </x:c>
      <x:c r="M131" s="98" t="n">
        <x:f>IF(OR(L131="",L130=""),"",L131-L130)</x:f>
        <x:v>0.01015970341188499</x:v>
      </x:c>
      <x:c r="N131" s="98" t="n">
        <x:f>IF('Datos_fuente'!L131="","",LN('Datos_fuente'!L131))</x:f>
        <x:v>2.6981922467422024</x:v>
      </x:c>
      <x:c r="O131" s="98" t="n">
        <x:f>IF(OR(N131="",N130=""),"",N131-N130)</x:f>
        <x:v>0.037899410030773684</x:v>
      </x:c>
      <x:c r="P131" s="96" t="n">
        <x:f>'Datos_fuente'!M131</x:f>
        <x:v>0</x:v>
      </x:c>
      <x:c r="Q131" s="98" t="n">
        <x:f>IF('Datos_fuente'!N131="","",LN('Datos_fuente'!N131))</x:f>
        <x:v>10.769168125053907</x:v>
      </x:c>
      <x:c r="R131" s="98" t="n">
        <x:f>IF(OR(Q131="",Q130=""),"",Q131-Q130)</x:f>
        <x:v>0.005051610308525412</x:v>
      </x:c>
      <x:c r="S131" s="63" t="n">
        <x:f>'Datos_fuente'!P131</x:f>
        <x:v>2.912272727</x:v>
      </x:c>
      <x:c r="T131" s="63" t="n">
        <x:f>IF(OR(S131="",S130=""),"",S131-S130)</x:f>
        <x:v>0.04417748899999996</x:v>
      </x:c>
      <x:c r="U131" s="98" t="n">
        <x:f>IF('Datos_fuente'!Q131="","",ASINH('Datos_fuente'!Q131/1000))</x:f>
        <x:v>0.00974984553004534</x:v>
      </x:c>
      <x:c r="V131" s="98" t="n">
        <x:f>IF(OR(U131="",U130=""),"",U131-U130)</x:f>
        <x:v>0.17082245318443062</x:v>
      </x:c>
      <x:c r="W131" s="98" t="n">
        <x:f>IF('Datos_fuente'!R131="","",ASINH('Datos_fuente'!R131/1000))</x:f>
        <x:v>-0.12843659450901052</x:v>
      </x:c>
      <x:c r="X131" s="98" t="n">
        <x:f>IF(OR(W131="",W130=""),"",W131-W130)</x:f>
        <x:v>-0.24620418187554266</x:v>
      </x:c>
      <x:c r="Y131" s="63" t="n">
        <x:f>'Datos_fuente'!W131</x:f>
        <x:v>2.728647634</x:v>
      </x:c>
      <x:c r="Z131" s="63" t="n">
        <x:f>IF(OR(Y131="",Y130=""),"",Y131-Y130)</x:f>
        <x:v>-0.12509998999999983</x:v>
      </x:c>
      <x:c r="AA131" s="98" t="n">
        <x:f>'Datos_fuente'!AB131</x:f>
        <x:v>0.5034172842</x:v>
      </x:c>
      <x:c r="AB131" s="98" t="n">
        <x:f>'Datos_fuente'!AC131</x:f>
        <x:v>0.5836027138</x:v>
      </x:c>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t="str">
        <x:f>'Datos_fuente'!A132</x:f>
        <x:v>2016-06</x:v>
      </x:c>
      <x:c r="B132" s="98" t="n">
        <x:f>IF('Datos_fuente'!B132="","",LN('Datos_fuente'!B132))</x:f>
        <x:v>8.003984285554983</x:v>
      </x:c>
      <x:c r="C132" s="98" t="n">
        <x:f>IF(OR(B132="",B131=""),"",B132-B131)</x:f>
        <x:v>-0.00021706654359654465</x:v>
      </x:c>
      <x:c r="D132" s="98" t="n">
        <x:f>IF('Datos_fuente'!C132="","",LN('Datos_fuente'!C132))</x:f>
        <x:v>4.7454537314351475</x:v>
      </x:c>
      <x:c r="E132" s="98" t="n">
        <x:f>IF(OR(D132="",D131=""),"",D132-D131)</x:f>
        <x:v>0.02116806455689435</x:v>
      </x:c>
      <x:c r="F132" s="98" t="n">
        <x:f>IF('Datos_fuente'!E132="","",LN('Datos_fuente'!E132))</x:f>
        <x:v>8.558550082853627</x:v>
      </x:c>
      <x:c r="G132" s="98" t="n">
        <x:f>IF(OR(F132="",F131=""),"",F132-F131)</x:f>
        <x:v>0.001405675935162165</x:v>
      </x:c>
      <x:c r="H132" s="63" t="n">
        <x:f>'Datos_fuente'!H132</x:f>
        <x:v>6.936666667</x:v>
      </x:c>
      <x:c r="I132" s="63" t="n">
        <x:f>IF(OR(H132="",H131=""),"",H132-H131)</x:f>
        <x:v>0.31473118300000014</x:v>
      </x:c>
      <x:c r="J132" s="63" t="n">
        <x:f>'Datos_fuente'!J132</x:f>
        <x:v>3.589465567</x:v>
      </x:c>
      <x:c r="K132" s="63" t="n">
        <x:f>IF(OR(J132="",J131=""),"",J132-J131)</x:f>
        <x:v>-0.045028501</x:v>
      </x:c>
      <x:c r="L132" s="98" t="n">
        <x:f>IF('Datos_fuente'!K132="","",LN('Datos_fuente'!K132))</x:f>
        <x:v>4.7145592219505525</x:v>
      </x:c>
      <x:c r="M132" s="98" t="n">
        <x:f>IF(OR(L132="",L131=""),"",L132-L131)</x:f>
        <x:v>0.0037639266126330284</x:v>
      </x:c>
      <x:c r="N132" s="98" t="n">
        <x:f>IF('Datos_fuente'!L132="","",LN('Datos_fuente'!L132))</x:f>
        <x:v>2.877767402929132</x:v>
      </x:c>
      <x:c r="O132" s="98" t="n">
        <x:f>IF(OR(N132="",N131=""),"",N132-N131)</x:f>
        <x:v>0.17957515618692943</x:v>
      </x:c>
      <x:c r="P132" s="96" t="n">
        <x:f>'Datos_fuente'!M132</x:f>
        <x:v>0</x:v>
      </x:c>
      <x:c r="Q132" s="98" t="n">
        <x:f>IF('Datos_fuente'!N132="","",LN('Datos_fuente'!N132))</x:f>
        <x:v>10.758436355390538</x:v>
      </x:c>
      <x:c r="R132" s="98" t="n">
        <x:f>IF(OR(Q132="",Q131=""),"",Q132-Q131)</x:f>
        <x:v>-0.010731769663369306</x:v>
      </x:c>
      <x:c r="S132" s="63" t="n">
        <x:f>'Datos_fuente'!P132</x:f>
        <x:v>2.807727273</x:v>
      </x:c>
      <x:c r="T132" s="63" t="n">
        <x:f>IF(OR(S132="",S131=""),"",S132-S131)</x:f>
        <x:v>-0.10454545400000015</x:v>
      </x:c>
      <x:c r="U132" s="98" t="n">
        <x:f>IF('Datos_fuente'!Q132="","",ASINH('Datos_fuente'!Q132/1000))</x:f>
        <x:v>-0.15125262986570517</x:v>
      </x:c>
      <x:c r="V132" s="98" t="n">
        <x:f>IF(OR(U132="",U131=""),"",U132-U131)</x:f>
        <x:v>-0.16100247539575052</x:v>
      </x:c>
      <x:c r="W132" s="98" t="n">
        <x:f>IF('Datos_fuente'!R132="","",ASINH('Datos_fuente'!R132/1000))</x:f>
        <x:v>-0.41275022191421973</x:v>
      </x:c>
      <x:c r="X132" s="98" t="n">
        <x:f>IF(OR(W132="",W131=""),"",W132-W131)</x:f>
        <x:v>-0.2843136274052092</x:v>
      </x:c>
      <x:c r="Y132" s="63" t="n">
        <x:f>'Datos_fuente'!W132</x:f>
        <x:v>2.559690918</x:v>
      </x:c>
      <x:c r="Z132" s="63" t="n">
        <x:f>IF(OR(Y132="",Y131=""),"",Y132-Y131)</x:f>
        <x:v>-0.16895671600000028</x:v>
      </x:c>
      <x:c r="AA132" s="98" t="n">
        <x:f>'Datos_fuente'!AB132</x:f>
        <x:v>-0.1583088956</x:v>
      </x:c>
      <x:c r="AB132" s="98" t="n">
        <x:f>'Datos_fuente'!AC132</x:f>
        <x:v>-0.2286578604</x:v>
      </x:c>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t="str">
        <x:f>'Datos_fuente'!A133</x:f>
        <x:v>2016-07</x:v>
      </x:c>
      <x:c r="B133" s="98" t="n">
        <x:f>IF('Datos_fuente'!B133="","",LN('Datos_fuente'!B133))</x:f>
        <x:v>7.993282219016817</x:v>
      </x:c>
      <x:c r="C133" s="98" t="n">
        <x:f>IF(OR(B133="",B132=""),"",B133-B132)</x:f>
        <x:v>-0.0107020665381663</x:v>
      </x:c>
      <x:c r="D133" s="98" t="n">
        <x:f>IF('Datos_fuente'!C133="","",LN('Datos_fuente'!C133))</x:f>
        <x:v>4.712678393703377</x:v>
      </x:c>
      <x:c r="E133" s="98" t="n">
        <x:f>IF(OR(D133="",D132=""),"",D133-D132)</x:f>
        <x:v>-0.03277533773177055</x:v>
      </x:c>
      <x:c r="F133" s="98" t="n">
        <x:f>IF('Datos_fuente'!E133="","",LN('Datos_fuente'!E133))</x:f>
        <x:v>8.547146090748603</x:v>
      </x:c>
      <x:c r="G133" s="98" t="n">
        <x:f>IF(OR(F133="",F132=""),"",F133-F132)</x:f>
        <x:v>-0.01140399210502352</x:v>
      </x:c>
      <x:c r="H133" s="63" t="n">
        <x:f>'Datos_fuente'!H133</x:f>
        <x:v>7.11</x:v>
      </x:c>
      <x:c r="I133" s="63" t="n">
        <x:f>IF(OR(H133="",H132=""),"",H133-H132)</x:f>
        <x:v>0.17333333300000042</x:v>
      </x:c>
      <x:c r="J133" s="63" t="n">
        <x:f>'Datos_fuente'!J133</x:f>
        <x:v>3.980406075</x:v>
      </x:c>
      <x:c r="K133" s="63" t="n">
        <x:f>IF(OR(J133="",J132=""),"",J133-J132)</x:f>
        <x:v>0.3909405079999999</x:v>
      </x:c>
      <x:c r="L133" s="98" t="n">
        <x:f>IF('Datos_fuente'!K133="","",LN('Datos_fuente'!K133))</x:f>
        <x:v>4.72275133459999</x:v>
      </x:c>
      <x:c r="M133" s="98" t="n">
        <x:f>IF(OR(L133="",L132=""),"",L133-L132)</x:f>
        <x:v>0.008192112649437533</x:v>
      </x:c>
      <x:c r="N133" s="98" t="n">
        <x:f>IF('Datos_fuente'!L133="","",LN('Datos_fuente'!L133))</x:f>
        <x:v>2.5770679376378385</x:v>
      </x:c>
      <x:c r="O133" s="98" t="n">
        <x:f>IF(OR(N133="",N132=""),"",N133-N132)</x:f>
        <x:v>-0.3006994652912933</x:v>
      </x:c>
      <x:c r="P133" s="96" t="n">
        <x:f>'Datos_fuente'!M133</x:f>
        <x:v>0</x:v>
      </x:c>
      <x:c r="Q133" s="98" t="n">
        <x:f>IF('Datos_fuente'!N133="","",LN('Datos_fuente'!N133))</x:f>
        <x:v>10.759841213676422</x:v>
      </x:c>
      <x:c r="R133" s="98" t="n">
        <x:f>IF(OR(Q133="",Q132=""),"",Q133-Q132)</x:f>
        <x:v>0.001404858285884103</x:v>
      </x:c>
      <x:c r="S133" s="63" t="n">
        <x:f>'Datos_fuente'!P133</x:f>
        <x:v>2.498095238</x:v>
      </x:c>
      <x:c r="T133" s="63" t="n">
        <x:f>IF(OR(S133="",S132=""),"",S133-S132)</x:f>
        <x:v>-0.3096320349999999</x:v>
      </x:c>
      <x:c r="U133" s="98" t="n">
        <x:f>IF('Datos_fuente'!Q133="","",ASINH('Datos_fuente'!Q133/1000))</x:f>
        <x:v>-0.04348629285609957</x:v>
      </x:c>
      <x:c r="V133" s="98" t="n">
        <x:f>IF(OR(U133="",U132=""),"",U133-U132)</x:f>
        <x:v>0.10776633700960561</x:v>
      </x:c>
      <x:c r="W133" s="98" t="n">
        <x:f>IF('Datos_fuente'!R133="","",ASINH('Datos_fuente'!R133/1000))</x:f>
        <x:v>-0.030315356379283523</x:v>
      </x:c>
      <x:c r="X133" s="98" t="n">
        <x:f>IF(OR(W133="",W132=""),"",W133-W132)</x:f>
        <x:v>0.3824348655349362</x:v>
      </x:c>
      <x:c r="Y133" s="63" t="n">
        <x:f>'Datos_fuente'!W133</x:f>
        <x:v>2.605338957</x:v>
      </x:c>
      <x:c r="Z133" s="63" t="n">
        <x:f>IF(OR(Y133="",Y132=""),"",Y133-Y132)</x:f>
        <x:v>0.04564803900000003</x:v>
      </x:c>
      <x:c r="AA133" s="98" t="n">
        <x:f>'Datos_fuente'!AB133</x:f>
        <x:v>-0.9606139338</x:v>
      </x:c>
      <x:c r="AB133" s="98" t="n">
        <x:f>'Datos_fuente'!AC133</x:f>
        <x:v>-0.8190941569</x:v>
      </x:c>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t="str">
        <x:f>'Datos_fuente'!A134</x:f>
        <x:v>2016-08</x:v>
      </x:c>
      <x:c r="B134" s="98" t="n">
        <x:f>IF('Datos_fuente'!B134="","",LN('Datos_fuente'!B134))</x:f>
        <x:v>7.990497899281849</x:v>
      </x:c>
      <x:c r="C134" s="98" t="n">
        <x:f>IF(OR(B134="",B133=""),"",B134-B133)</x:f>
        <x:v>-0.002784319734967511</x:v>
      </x:c>
      <x:c r="D134" s="98" t="n">
        <x:f>IF('Datos_fuente'!C134="","",LN('Datos_fuente'!C134))</x:f>
        <x:v>4.728449202148263</x:v>
      </x:c>
      <x:c r="E134" s="98" t="n">
        <x:f>IF(OR(D134="",D133=""),"",D134-D133)</x:f>
        <x:v>0.015770808444885986</x:v>
      </x:c>
      <x:c r="F134" s="98" t="n">
        <x:f>IF('Datos_fuente'!E134="","",LN('Datos_fuente'!E134))</x:f>
        <x:v>8.53760151759275</x:v>
      </x:c>
      <x:c r="G134" s="98" t="n">
        <x:f>IF(OR(F134="",F133=""),"",F134-F133)</x:f>
        <x:v>-0.009544573155853442</x:v>
      </x:c>
      <x:c r="H134" s="63" t="n">
        <x:f>'Datos_fuente'!H134</x:f>
        <x:v>7.35</x:v>
      </x:c>
      <x:c r="I134" s="63" t="n">
        <x:f>IF(OR(H134="",H133=""),"",H134-H133)</x:f>
        <x:v>0.23999999999999932</x:v>
      </x:c>
      <x:c r="J134" s="63" t="n">
        <x:f>'Datos_fuente'!J134</x:f>
        <x:v>4.258203268</x:v>
      </x:c>
      <x:c r="K134" s="63" t="n">
        <x:f>IF(OR(J134="",J133=""),"",J134-J133)</x:f>
        <x:v>0.27779719300000005</x:v>
      </x:c>
      <x:c r="L134" s="98" t="n">
        <x:f>IF('Datos_fuente'!K134="","",LN('Datos_fuente'!K134))</x:f>
        <x:v>4.7134716990701975</x:v>
      </x:c>
      <x:c r="M134" s="98" t="n">
        <x:f>IF(OR(L134="",L133=""),"",L134-L133)</x:f>
        <x:v>-0.009279635529792607</x:v>
      </x:c>
      <x:c r="N134" s="98" t="n">
        <x:f>IF('Datos_fuente'!L134="","",LN('Datos_fuente'!L134))</x:f>
        <x:v>2.5176614090930474</x:v>
      </x:c>
      <x:c r="O134" s="98" t="n">
        <x:f>IF(OR(N134="",N133=""),"",N134-N133)</x:f>
        <x:v>-0.059406528544791115</x:v>
      </x:c>
      <x:c r="P134" s="96" t="n">
        <x:f>'Datos_fuente'!M134</x:f>
        <x:v>0</x:v>
      </x:c>
      <x:c r="Q134" s="98" t="n">
        <x:f>IF('Datos_fuente'!N134="","",LN('Datos_fuente'!N134))</x:f>
        <x:v>10.758679812844786</x:v>
      </x:c>
      <x:c r="R134" s="98" t="n">
        <x:f>IF(OR(Q134="",Q133=""),"",Q134-Q133)</x:f>
        <x:v>-0.0011614008316360724</x:v>
      </x:c>
      <x:c r="S134" s="63" t="n">
        <x:f>'Datos_fuente'!P134</x:f>
        <x:v>2.341304348</x:v>
      </x:c>
      <x:c r="T134" s="63" t="n">
        <x:f>IF(OR(S134="",S133=""),"",S134-S133)</x:f>
        <x:v>-0.1567908899999999</x:v>
      </x:c>
      <x:c r="U134" s="98" t="n">
        <x:f>IF('Datos_fuente'!Q134="","",ASINH('Datos_fuente'!Q134/1000))</x:f>
        <x:v>-0.2284185216269964</x:v>
      </x:c>
      <x:c r="V134" s="98" t="n">
        <x:f>IF(OR(U134="",U133=""),"",U134-U133)</x:f>
        <x:v>-0.18493222877089685</x:v>
      </x:c>
      <x:c r="W134" s="98" t="n">
        <x:f>IF('Datos_fuente'!R134="","",ASINH('Datos_fuente'!R134/1000))</x:f>
        <x:v>0.024627510435083447</x:v>
      </x:c>
      <x:c r="X134" s="98" t="n">
        <x:f>IF(OR(W134="",W133=""),"",W134-W133)</x:f>
        <x:v>0.05494286681436697</x:v>
      </x:c>
      <x:c r="Y134" s="63" t="n">
        <x:f>'Datos_fuente'!W134</x:f>
        <x:v>2.468011849</x:v>
      </x:c>
      <x:c r="Z134" s="63" t="n">
        <x:f>IF(OR(Y134="",Y133=""),"",Y134-Y133)</x:f>
        <x:v>-0.13732710800000003</x:v>
      </x:c>
      <x:c r="AA134" s="98" t="n">
        <x:f>'Datos_fuente'!AB134</x:f>
        <x:v>-0.3097098478</x:v>
      </x:c>
      <x:c r="AB134" s="98" t="n">
        <x:f>'Datos_fuente'!AC134</x:f>
        <x:v>-0.02148612242</x:v>
      </x:c>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t="str">
        <x:f>'Datos_fuente'!A135</x:f>
        <x:v>2016-09</x:v>
      </x:c>
      <x:c r="B135" s="98" t="n">
        <x:f>IF('Datos_fuente'!B135="","",LN('Datos_fuente'!B135))</x:f>
        <x:v>7.980798559912812</x:v>
      </x:c>
      <x:c r="C135" s="98" t="n">
        <x:f>IF(OR(B135="",B134=""),"",B135-B134)</x:f>
        <x:v>-0.009699339369037219</x:v>
      </x:c>
      <x:c r="D135" s="98" t="n">
        <x:f>IF('Datos_fuente'!C135="","",LN('Datos_fuente'!C135))</x:f>
        <x:v>4.73356340075649</x:v>
      </x:c>
      <x:c r="E135" s="98" t="n">
        <x:f>IF(OR(D135="",D134=""),"",D135-D134)</x:f>
        <x:v>0.005114198608227483</x:v>
      </x:c>
      <x:c r="F135" s="98" t="n">
        <x:f>IF('Datos_fuente'!E135="","",LN('Datos_fuente'!E135))</x:f>
        <x:v>8.530024516731402</x:v>
      </x:c>
      <x:c r="G135" s="98" t="n">
        <x:f>IF(OR(F135="",F134=""),"",F135-F134)</x:f>
        <x:v>-0.007577000861347827</x:v>
      </x:c>
      <x:c r="H135" s="63" t="n">
        <x:f>'Datos_fuente'!H135</x:f>
        <x:v>7.35</x:v>
      </x:c>
      <x:c r="I135" s="63" t="n">
        <x:f>IF(OR(H135="",H134=""),"",H135-H134)</x:f>
        <x:v>0</x:v>
      </x:c>
      <x:c r="J135" s="63" t="n">
        <x:f>'Datos_fuente'!J135</x:f>
        <x:v>4.409383572</x:v>
      </x:c>
      <x:c r="K135" s="63" t="n">
        <x:f>IF(OR(J135="",J134=""),"",J135-J134)</x:f>
        <x:v>0.15118030400000038</x:v>
      </x:c>
      <x:c r="L135" s="98" t="n">
        <x:f>IF('Datos_fuente'!K135="","",LN('Datos_fuente'!K135))</x:f>
        <x:v>4.7213240009627</x:v>
      </x:c>
      <x:c r="M135" s="98" t="n">
        <x:f>IF(OR(L135="",L134=""),"",L135-L134)</x:f>
        <x:v>0.007852301892502744</x:v>
      </x:c>
      <x:c r="N135" s="98" t="n">
        <x:f>IF('Datos_fuente'!L135="","",LN('Datos_fuente'!L135))</x:f>
        <x:v>2.654615936472609</x:v>
      </x:c>
      <x:c r="O135" s="98" t="n">
        <x:f>IF(OR(N135="",N134=""),"",N135-N134)</x:f>
        <x:v>0.1369545273795616</x:v>
      </x:c>
      <x:c r="P135" s="96" t="n">
        <x:f>'Datos_fuente'!M135</x:f>
        <x:v>0</x:v>
      </x:c>
      <x:c r="Q135" s="98" t="n">
        <x:f>IF('Datos_fuente'!N135="","",LN('Datos_fuente'!N135))</x:f>
        <x:v>10.760156721861657</x:v>
      </x:c>
      <x:c r="R135" s="98" t="n">
        <x:f>IF(OR(Q135="",Q134=""),"",Q135-Q134)</x:f>
        <x:v>0.0014769090168709198</x:v>
      </x:c>
      <x:c r="S135" s="63" t="n">
        <x:f>'Datos_fuente'!P135</x:f>
        <x:v>2.314545455</x:v>
      </x:c>
      <x:c r="T135" s="63" t="n">
        <x:f>IF(OR(S135="",S134=""),"",S135-S134)</x:f>
        <x:v>-0.026758892999999784</x:v>
      </x:c>
      <x:c r="U135" s="98" t="n">
        <x:f>IF('Datos_fuente'!Q135="","",ASINH('Datos_fuente'!Q135/1000))</x:f>
        <x:v>-0.14322977646909046</x:v>
      </x:c>
      <x:c r="V135" s="98" t="n">
        <x:f>IF(OR(U135="",U134=""),"",U135-U134)</x:f>
        <x:v>0.08518874515790595</x:v>
      </x:c>
      <x:c r="W135" s="98" t="n">
        <x:f>IF('Datos_fuente'!R135="","",ASINH('Datos_fuente'!R135/1000))</x:f>
        <x:v>-0.11787682824400514</x:v>
      </x:c>
      <x:c r="X135" s="98" t="n">
        <x:f>IF(OR(W135="",W134=""),"",W135-W134)</x:f>
        <x:v>-0.14250433867908857</x:v>
      </x:c>
      <x:c r="Y135" s="63" t="n">
        <x:f>'Datos_fuente'!W135</x:f>
        <x:v>1.967079219</x:v>
      </x:c>
      <x:c r="Z135" s="63" t="n">
        <x:f>IF(OR(Y135="",Y134=""),"",Y135-Y134)</x:f>
        <x:v>-0.5009326299999999</x:v>
      </x:c>
      <x:c r="AA135" s="98" t="n">
        <x:f>'Datos_fuente'!AB135</x:f>
        <x:v>0.589903467</x:v>
      </x:c>
      <x:c r="AB135" s="98" t="n">
        <x:f>'Datos_fuente'!AC135</x:f>
        <x:v>0.7361706747</x:v>
      </x:c>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t="str">
        <x:f>'Datos_fuente'!A136</x:f>
        <x:v>2016-10</x:v>
      </x:c>
      <x:c r="B136" s="98" t="n">
        <x:f>IF('Datos_fuente'!B136="","",LN('Datos_fuente'!B136))</x:f>
        <x:v>7.982549048845238</x:v>
      </x:c>
      <x:c r="C136" s="98" t="n">
        <x:f>IF(OR(B136="",B135=""),"",B136-B135)</x:f>
        <x:v>0.0017504889324255757</x:v>
      </x:c>
      <x:c r="D136" s="98" t="n">
        <x:f>IF('Datos_fuente'!C136="","",LN('Datos_fuente'!C136))</x:f>
        <x:v>4.7770204429147505</x:v>
      </x:c>
      <x:c r="E136" s="98" t="n">
        <x:f>IF(OR(D136="",D135=""),"",D136-D135)</x:f>
        <x:v>0.04345704215826007</x:v>
      </x:c>
      <x:c r="F136" s="98" t="n">
        <x:f>IF('Datos_fuente'!E136="","",LN('Datos_fuente'!E136))</x:f>
        <x:v>8.536654584027895</x:v>
      </x:c>
      <x:c r="G136" s="98" t="n">
        <x:f>IF(OR(F136="",F135=""),"",F136-F135)</x:f>
        <x:v>0.006630067296493181</x:v>
      </x:c>
      <x:c r="H136" s="63" t="n">
        <x:f>'Datos_fuente'!H136</x:f>
        <x:v>7.35</x:v>
      </x:c>
      <x:c r="I136" s="63" t="n">
        <x:f>IF(OR(H136="",H135=""),"",H136-H135)</x:f>
        <x:v>0</x:v>
      </x:c>
      <x:c r="J136" s="63" t="n">
        <x:f>'Datos_fuente'!J136</x:f>
        <x:v>4.517448165</x:v>
      </x:c>
      <x:c r="K136" s="63" t="n">
        <x:f>IF(OR(J136="",J135=""),"",J136-J135)</x:f>
        <x:v>0.10806459299999993</x:v>
      </x:c>
      <x:c r="L136" s="98" t="n">
        <x:f>IF('Datos_fuente'!K136="","",LN('Datos_fuente'!K136))</x:f>
        <x:v>4.731579860522217</x:v>
      </x:c>
      <x:c r="M136" s="98" t="n">
        <x:f>IF(OR(L136="",L135=""),"",L136-L135)</x:f>
        <x:v>0.0102558595595168</x:v>
      </x:c>
      <x:c r="N136" s="98" t="n">
        <x:f>IF('Datos_fuente'!L136="","",LN('Datos_fuente'!L136))</x:f>
        <x:v>2.680009928177863</x:v>
      </x:c>
      <x:c r="O136" s="98" t="n">
        <x:f>IF(OR(N136="",N135=""),"",N136-N135)</x:f>
        <x:v>0.025393991705254138</x:v>
      </x:c>
      <x:c r="P136" s="96" t="n">
        <x:f>'Datos_fuente'!M136</x:f>
        <x:v>0</x:v>
      </x:c>
      <x:c r="Q136" s="98" t="n">
        <x:f>IF('Datos_fuente'!N136="","",LN('Datos_fuente'!N136))</x:f>
        <x:v>10.757187305580446</x:v>
      </x:c>
      <x:c r="R136" s="98" t="n">
        <x:f>IF(OR(Q136="",Q135=""),"",Q136-Q135)</x:f>
        <x:v>-0.002969416281210613</x:v>
      </x:c>
      <x:c r="S136" s="63" t="n">
        <x:f>'Datos_fuente'!P136</x:f>
        <x:v>2.291904762</x:v>
      </x:c>
      <x:c r="T136" s="63" t="n">
        <x:f>IF(OR(S136="",S135=""),"",S136-S135)</x:f>
        <x:v>-0.022640693000000045</x:v>
      </x:c>
      <x:c r="U136" s="98" t="n">
        <x:f>IF('Datos_fuente'!Q136="","",ASINH('Datos_fuente'!Q136/1000))</x:f>
        <x:v>-0.005359974335222435</x:v>
      </x:c>
      <x:c r="V136" s="98" t="n">
        <x:f>IF(OR(U136="",U135=""),"",U136-U135)</x:f>
        <x:v>0.13786980213386804</x:v>
      </x:c>
      <x:c r="W136" s="98" t="n">
        <x:f>IF('Datos_fuente'!R136="","",ASINH('Datos_fuente'!R136/1000))</x:f>
        <x:v>-0.4569057412338848</x:v>
      </x:c>
      <x:c r="X136" s="98" t="n">
        <x:f>IF(OR(W136="",W135=""),"",W136-W135)</x:f>
        <x:v>-0.33902891298987964</x:v>
      </x:c>
      <x:c r="Y136" s="63" t="n">
        <x:f>'Datos_fuente'!W136</x:f>
        <x:v>2.017909994</x:v>
      </x:c>
      <x:c r="Z136" s="63" t="n">
        <x:f>IF(OR(Y136="",Y135=""),"",Y136-Y135)</x:f>
        <x:v>0.050830775000000106</x:v>
      </x:c>
      <x:c r="AA136" s="98" t="n">
        <x:f>'Datos_fuente'!AB136</x:f>
        <x:v>-0.5213670002</x:v>
      </x:c>
      <x:c r="AB136" s="98" t="n">
        <x:f>'Datos_fuente'!AC136</x:f>
        <x:v>-0.3674039987</x:v>
      </x:c>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t="str">
        <x:f>'Datos_fuente'!A137</x:f>
        <x:v>2016-11</x:v>
      </x:c>
      <x:c r="B137" s="98" t="n">
        <x:f>IF('Datos_fuente'!B137="","",LN('Datos_fuente'!B137))</x:f>
        <x:v>8.042461174383435</x:v>
      </x:c>
      <x:c r="C137" s="98" t="n">
        <x:f>IF(OR(B137="",B136=""),"",B137-B136)</x:f>
        <x:v>0.05991212553819736</x:v>
      </x:c>
      <x:c r="D137" s="98" t="n">
        <x:f>IF('Datos_fuente'!C137="","",LN('Datos_fuente'!C137))</x:f>
        <x:v>4.753934959253203</x:v>
      </x:c>
      <x:c r="E137" s="98" t="n">
        <x:f>IF(OR(D137="",D136=""),"",D137-D136)</x:f>
        <x:v>-0.02308548366154728</x:v>
      </x:c>
      <x:c r="F137" s="98" t="n">
        <x:f>IF('Datos_fuente'!E137="","",LN('Datos_fuente'!E137))</x:f>
        <x:v>8.552091113216973</x:v>
      </x:c>
      <x:c r="G137" s="98" t="n">
        <x:f>IF(OR(F137="",F136=""),"",F137-F136)</x:f>
        <x:v>0.015436529189077675</x:v>
      </x:c>
      <x:c r="H137" s="63" t="n">
        <x:f>'Datos_fuente'!H137</x:f>
        <x:v>7.34</x:v>
      </x:c>
      <x:c r="I137" s="63" t="n">
        <x:f>IF(OR(H137="",H136=""),"",H137-H136)</x:f>
        <x:v>-0.009999999999999787</x:v>
      </x:c>
      <x:c r="J137" s="63" t="n">
        <x:f>'Datos_fuente'!J137</x:f>
        <x:v>4.757673775</x:v>
      </x:c>
      <x:c r="K137" s="63" t="n">
        <x:f>IF(OR(J137="",J136=""),"",J137-J136)</x:f>
        <x:v>0.24022560999999953</x:v>
      </x:c>
      <x:c r="L137" s="98" t="n">
        <x:f>IF('Datos_fuente'!K137="","",LN('Datos_fuente'!K137))</x:f>
        <x:v>4.754516615291205</x:v>
      </x:c>
      <x:c r="M137" s="98" t="n">
        <x:f>IF(OR(L137="",L136=""),"",L137-L136)</x:f>
        <x:v>0.022936754768988266</x:v>
      </x:c>
      <x:c r="N137" s="98" t="n">
        <x:f>IF('Datos_fuente'!L137="","",LN('Datos_fuente'!L137))</x:f>
        <x:v>2.7236735505072294</x:v>
      </x:c>
      <x:c r="O137" s="98" t="n">
        <x:f>IF(OR(N137="",N136=""),"",N137-N136)</x:f>
        <x:v>0.04366362232936627</x:v>
      </x:c>
      <x:c r="P137" s="96" t="n">
        <x:f>'Datos_fuente'!M137</x:f>
        <x:v>0</x:v>
      </x:c>
      <x:c r="Q137" s="98" t="n">
        <x:f>IF('Datos_fuente'!N137="","",LN('Datos_fuente'!N137))</x:f>
        <x:v>10.752404387390925</x:v>
      </x:c>
      <x:c r="R137" s="98" t="n">
        <x:f>IF(OR(Q137="",Q136=""),"",Q137-Q136)</x:f>
        <x:v>-0.004782918189521368</x:v>
      </x:c>
      <x:c r="S137" s="63" t="n">
        <x:f>'Datos_fuente'!P137</x:f>
        <x:v>2.517727273</x:v>
      </x:c>
      <x:c r="T137" s="63" t="n">
        <x:f>IF(OR(S137="",S136=""),"",S137-S136)</x:f>
        <x:v>0.22582251100000006</x:v>
      </x:c>
      <x:c r="U137" s="98" t="n">
        <x:f>IF('Datos_fuente'!Q137="","",ASINH('Datos_fuente'!Q137/1000))</x:f>
        <x:v>-0.0005999999640000438</x:v>
      </x:c>
      <x:c r="V137" s="98" t="n">
        <x:f>IF(OR(U137="",U136=""),"",U137-U136)</x:f>
        <x:v>0.0047599743712223915</x:v>
      </x:c>
      <x:c r="W137" s="98" t="n">
        <x:f>IF('Datos_fuente'!R137="","",ASINH('Datos_fuente'!R137/1000))</x:f>
        <x:v>-0.5843514790698552</x:v>
      </x:c>
      <x:c r="X137" s="98" t="n">
        <x:f>IF(OR(W137="",W136=""),"",W137-W136)</x:f>
        <x:v>-0.1274457378359704</x:v>
      </x:c>
      <x:c r="Y137" s="63" t="n">
        <x:f>'Datos_fuente'!W137</x:f>
        <x:v>2.154465002</x:v>
      </x:c>
      <x:c r="Z137" s="63" t="n">
        <x:f>IF(OR(Y137="",Y136=""),"",Y137-Y136)</x:f>
        <x:v>0.13655500799999976</x:v>
      </x:c>
      <x:c r="AA137" s="98" t="n">
        <x:f>'Datos_fuente'!AB137</x:f>
        <x:v>1.109984454</x:v>
      </x:c>
      <x:c r="AB137" s="98" t="n">
        <x:f>'Datos_fuente'!AC137</x:f>
        <x:v>0.9384607938</x:v>
      </x:c>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t="str">
        <x:f>'Datos_fuente'!A138</x:f>
        <x:v>2016-12</x:v>
      </x:c>
      <x:c r="B138" s="98" t="n">
        <x:f>IF('Datos_fuente'!B138="","",LN('Datos_fuente'!B138))</x:f>
        <x:v>8.00965013113882</x:v>
      </x:c>
      <x:c r="C138" s="98" t="n">
        <x:f>IF(OR(B138="",B137=""),"",B138-B137)</x:f>
        <x:v>-0.03281104324461559</x:v>
      </x:c>
      <x:c r="D138" s="98" t="n">
        <x:f>IF('Datos_fuente'!C138="","",LN('Datos_fuente'!C138))</x:f>
        <x:v>4.811045495735781</x:v>
      </x:c>
      <x:c r="E138" s="98" t="n">
        <x:f>IF(OR(D138="",D137=""),"",D138-D137)</x:f>
        <x:v>0.057110536482578134</x:v>
      </x:c>
      <x:c r="F138" s="98" t="n">
        <x:f>IF('Datos_fuente'!E138="","",LN('Datos_fuente'!E138))</x:f>
        <x:v>8.546260610813082</x:v>
      </x:c>
      <x:c r="G138" s="98" t="n">
        <x:f>IF(OR(F138="",F137=""),"",F138-F137)</x:f>
        <x:v>-0.005830502403890492</x:v>
      </x:c>
      <x:c r="H138" s="63" t="n">
        <x:f>'Datos_fuente'!H138</x:f>
        <x:v>7.10516129</x:v>
      </x:c>
      <x:c r="I138" s="63" t="n">
        <x:f>IF(OR(H138="",H137=""),"",H138-H137)</x:f>
        <x:v>-0.23483871</x:v>
      </x:c>
      <x:c r="J138" s="63" t="n">
        <x:f>'Datos_fuente'!J138</x:f>
        <x:v>4.043303494</x:v>
      </x:c>
      <x:c r="K138" s="63" t="n">
        <x:f>IF(OR(J138="",J137=""),"",J138-J137)</x:f>
        <x:v>-0.7143702809999999</x:v>
      </x:c>
      <x:c r="L138" s="98" t="n">
        <x:f>IF('Datos_fuente'!K138="","",LN('Datos_fuente'!K138))</x:f>
        <x:v>4.76987776175134</x:v>
      </x:c>
      <x:c r="M138" s="98" t="n">
        <x:f>IF(OR(L138="",L137=""),"",L138-L137)</x:f>
        <x:v>0.015361146460135089</x:v>
      </x:c>
      <x:c r="N138" s="98" t="n">
        <x:f>IF('Datos_fuente'!L138="","",LN('Datos_fuente'!L138))</x:f>
        <x:v>2.5235166757085037</x:v>
      </x:c>
      <x:c r="O138" s="98" t="n">
        <x:f>IF(OR(N138="",N137=""),"",N138-N137)</x:f>
        <x:v>-0.20015687479872568</x:v>
      </x:c>
      <x:c r="P138" s="96" t="n">
        <x:f>'Datos_fuente'!M138</x:f>
        <x:v>0</x:v>
      </x:c>
      <x:c r="Q138" s="98" t="n">
        <x:f>IF('Datos_fuente'!N138="","",LN('Datos_fuente'!N138))</x:f>
        <x:v>10.750956041222638</x:v>
      </x:c>
      <x:c r="R138" s="98" t="n">
        <x:f>IF(OR(Q138="",Q137=""),"",Q138-Q137)</x:f>
        <x:v>-0.0014483461682868182</x:v>
      </x:c>
      <x:c r="S138" s="63" t="n">
        <x:f>'Datos_fuente'!P138</x:f>
        <x:v>2.276363636</x:v>
      </x:c>
      <x:c r="T138" s="63" t="n">
        <x:f>IF(OR(S138="",S137=""),"",S138-S137)</x:f>
        <x:v>-0.24136363700000008</x:v>
      </x:c>
      <x:c r="U138" s="98" t="n">
        <x:f>IF('Datos_fuente'!Q138="","",ASINH('Datos_fuente'!Q138/1000))</x:f>
        <x:v>-0.21497045695893466</x:v>
      </x:c>
      <x:c r="V138" s="98" t="n">
        <x:f>IF(OR(U138="",U137=""),"",U138-U137)</x:f>
        <x:v>-0.21437045699493462</x:v>
      </x:c>
      <x:c r="W138" s="98" t="n">
        <x:f>IF('Datos_fuente'!R138="","",ASINH('Datos_fuente'!R138/1000))</x:f>
        <x:v>-0.05997404024080447</x:v>
      </x:c>
      <x:c r="X138" s="98" t="n">
        <x:f>IF(OR(W138="",W137=""),"",W138-W137)</x:f>
        <x:v>0.5243774388290507</x:v>
      </x:c>
      <x:c r="Y138" s="63" t="n">
        <x:f>'Datos_fuente'!W138</x:f>
        <x:v>1.861972939</x:v>
      </x:c>
      <x:c r="Z138" s="63" t="n">
        <x:f>IF(OR(Y138="",Y137=""),"",Y138-Y137)</x:f>
        <x:v>-0.29249206299999986</x:v>
      </x:c>
      <x:c r="AA138" s="98" t="n">
        <x:f>'Datos_fuente'!AB138</x:f>
        <x:v>0.1949879014</x:v>
      </x:c>
      <x:c r="AB138" s="98" t="n">
        <x:f>'Datos_fuente'!AC138</x:f>
        <x:v>0.1009834419</x:v>
      </x:c>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t="str">
        <x:f>'Datos_fuente'!A139</x:f>
        <x:v>2017-01</x:v>
      </x:c>
      <x:c r="B139" s="98" t="n">
        <x:f>IF('Datos_fuente'!B139="","",LN('Datos_fuente'!B139))</x:f>
        <x:v>7.986640718182855</x:v>
      </x:c>
      <x:c r="C139" s="98" t="n">
        <x:f>IF(OR(B139="",B138=""),"",B139-B138)</x:f>
        <x:v>-0.023009412955964592</x:v>
      </x:c>
      <x:c r="D139" s="98" t="n">
        <x:f>IF('Datos_fuente'!C139="","",LN('Datos_fuente'!C139))</x:f>
        <x:v>4.8633719531173645</x:v>
      </x:c>
      <x:c r="E139" s="98" t="n">
        <x:f>IF(OR(D139="",D138=""),"",D139-D138)</x:f>
        <x:v>0.05232645738158315</x:v>
      </x:c>
      <x:c r="F139" s="98" t="n">
        <x:f>IF('Datos_fuente'!E139="","",LN('Datos_fuente'!E139))</x:f>
        <x:v>8.551534712957649</x:v>
      </x:c>
      <x:c r="G139" s="98" t="n">
        <x:f>IF(OR(F139="",F138=""),"",F139-F138)</x:f>
        <x:v>0.005274102144566584</x:v>
      </x:c>
      <x:c r="H139" s="63" t="n">
        <x:f>'Datos_fuente'!H139</x:f>
        <x:v>6.85</x:v>
      </x:c>
      <x:c r="I139" s="63" t="n">
        <x:f>IF(OR(H139="",H138=""),"",H139-H138)</x:f>
        <x:v>-0.2551612900000002</x:v>
      </x:c>
      <x:c r="J139" s="63" t="n">
        <x:f>'Datos_fuente'!J139</x:f>
        <x:v>3.99186059</x:v>
      </x:c>
      <x:c r="K139" s="63" t="n">
        <x:f>IF(OR(J139="",J138=""),"",J139-J138)</x:f>
        <x:v>-0.051442903999999956</x:v>
      </x:c>
      <x:c r="L139" s="98" t="n">
        <x:f>IF('Datos_fuente'!K139="","",LN('Datos_fuente'!K139))</x:f>
        <x:v>4.768867541519084</x:v>
      </x:c>
      <x:c r="M139" s="98" t="n">
        <x:f>IF(OR(L139="",L138=""),"",L139-L138)</x:f>
        <x:v>-0.001010220232256387</x:v>
      </x:c>
      <x:c r="N139" s="98" t="n">
        <x:f>IF('Datos_fuente'!L139="","",LN('Datos_fuente'!L139))</x:f>
        <x:v>2.4517375883964863</x:v>
      </x:c>
      <x:c r="O139" s="98" t="n">
        <x:f>IF(OR(N139="",N138=""),"",N139-N138)</x:f>
        <x:v>-0.07177908731201743</x:v>
      </x:c>
      <x:c r="P139" s="96" t="n">
        <x:f>'Datos_fuente'!M139</x:f>
        <x:v>0</x:v>
      </x:c>
      <x:c r="Q139" s="98" t="n">
        <x:f>IF('Datos_fuente'!N139="","",LN('Datos_fuente'!N139))</x:f>
        <x:v>10.757511101829218</x:v>
      </x:c>
      <x:c r="R139" s="98" t="n">
        <x:f>IF(OR(Q139="",Q138=""),"",Q139-Q138)</x:f>
        <x:v>0.006555060606579843</x:v>
      </x:c>
      <x:c r="S139" s="63" t="n">
        <x:f>'Datos_fuente'!P139</x:f>
        <x:v>2.113636364</x:v>
      </x:c>
      <x:c r="T139" s="63" t="n">
        <x:f>IF(OR(S139="",S138=""),"",S139-S138)</x:f>
        <x:v>-0.16272727200000014</x:v>
      </x:c>
      <x:c r="U139" s="98" t="n">
        <x:f>IF('Datos_fuente'!Q139="","",ASINH('Datos_fuente'!Q139/1000))</x:f>
        <x:v>-0.20333592958623808</x:v>
      </x:c>
      <x:c r="V139" s="98" t="n">
        <x:f>IF(OR(U139="",U138=""),"",U139-U138)</x:f>
        <x:v>0.011634527372696574</x:v>
      </x:c>
      <x:c r="W139" s="98" t="n">
        <x:f>IF('Datos_fuente'!R139="","",ASINH('Datos_fuente'!R139/1000))</x:f>
        <x:v>0.348474264623581</x:v>
      </x:c>
      <x:c r="X139" s="98" t="n">
        <x:f>IF(OR(W139="",W138=""),"",W139-W138)</x:f>
        <x:v>0.4084483048643855</x:v>
      </x:c>
      <x:c r="Y139" s="63" t="n">
        <x:f>'Datos_fuente'!W139</x:f>
        <x:v>1.804122624</x:v>
      </x:c>
      <x:c r="Z139" s="63" t="n">
        <x:f>IF(OR(Y139="",Y138=""),"",Y139-Y138)</x:f>
        <x:v>-0.05785031500000004</x:v>
      </x:c>
      <x:c r="AA139" s="98" t="n">
        <x:f>'Datos_fuente'!AB139</x:f>
        <x:v>-0.17863863</x:v>
      </x:c>
      <x:c r="AB139" s="98" t="n">
        <x:f>'Datos_fuente'!AC139</x:f>
        <x:v>-0.4632999832</x:v>
      </x:c>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t="str">
        <x:f>'Datos_fuente'!A140</x:f>
        <x:v>2017-02</x:v>
      </x:c>
      <x:c r="B140" s="98" t="n">
        <x:f>IF('Datos_fuente'!B140="","",LN('Datos_fuente'!B140))</x:f>
        <x:v>7.965395140287761</x:v>
      </x:c>
      <x:c r="C140" s="98" t="n">
        <x:f>IF(OR(B140="",B139=""),"",B140-B139)</x:f>
        <x:v>-0.02124557789509396</x:v>
      </x:c>
      <x:c r="D140" s="98" t="n">
        <x:f>IF('Datos_fuente'!C140="","",LN('Datos_fuente'!C140))</x:f>
        <x:v>4.854215374824954</x:v>
      </x:c>
      <x:c r="E140" s="98" t="n">
        <x:f>IF(OR(D140="",D139=""),"",D140-D139)</x:f>
        <x:v>-0.009156578292410344</x:v>
      </x:c>
      <x:c r="F140" s="98" t="n">
        <x:f>IF('Datos_fuente'!E140="","",LN('Datos_fuente'!E140))</x:f>
        <x:v>8.540157482049995</x:v>
      </x:c>
      <x:c r="G140" s="98" t="n">
        <x:f>IF(OR(F140="",F139=""),"",F140-F139)</x:f>
        <x:v>-0.011377230907653413</x:v>
      </x:c>
      <x:c r="H140" s="63" t="n">
        <x:f>'Datos_fuente'!H140</x:f>
        <x:v>6.822142857</x:v>
      </x:c>
      <x:c r="I140" s="63" t="n">
        <x:f>IF(OR(H140="",H139=""),"",H140-H139)</x:f>
        <x:v>-0.027857142999999418</x:v>
      </x:c>
      <x:c r="J140" s="63" t="n">
        <x:f>'Datos_fuente'!J140</x:f>
        <x:v>4.089234215</x:v>
      </x:c>
      <x:c r="K140" s="63" t="n">
        <x:f>IF(OR(J140="",J139=""),"",J140-J139)</x:f>
        <x:v>0.09737362500000035</x:v>
      </x:c>
      <x:c r="L140" s="98" t="n">
        <x:f>IF('Datos_fuente'!K140="","",LN('Datos_fuente'!K140))</x:f>
        <x:v>4.754627493439471</x:v>
      </x:c>
      <x:c r="M140" s="98" t="n">
        <x:f>IF(OR(L140="",L139=""),"",L140-L139)</x:f>
        <x:v>-0.01424004807961321</x:v>
      </x:c>
      <x:c r="N140" s="98" t="n">
        <x:f>IF('Datos_fuente'!L140="","",LN('Datos_fuente'!L140))</x:f>
        <x:v>2.4449979811142435</x:v>
      </x:c>
      <x:c r="O140" s="98" t="n">
        <x:f>IF(OR(N140="",N139=""),"",N140-N139)</x:f>
        <x:v>-0.0067396072822427655</x:v>
      </x:c>
      <x:c r="P140" s="96" t="n">
        <x:f>'Datos_fuente'!M140</x:f>
        <x:v>0</x:v>
      </x:c>
      <x:c r="Q140" s="98" t="n">
        <x:f>IF('Datos_fuente'!N140="","",LN('Datos_fuente'!N140))</x:f>
        <x:v>10.757596025106198</x:v>
      </x:c>
      <x:c r="R140" s="98" t="n">
        <x:f>IF(OR(Q140="",Q139=""),"",Q140-Q139)</x:f>
        <x:v>0.00008492327697950941</x:v>
      </x:c>
      <x:c r="S140" s="63" t="n">
        <x:f>'Datos_fuente'!P140</x:f>
        <x:v>1.9915</x:v>
      </x:c>
      <x:c r="T140" s="63" t="n">
        <x:f>IF(OR(S140="",S139=""),"",S140-S139)</x:f>
        <x:v>-0.12213636399999994</x:v>
      </x:c>
      <x:c r="U140" s="98" t="n">
        <x:f>IF('Datos_fuente'!Q140="","",ASINH('Datos_fuente'!Q140/1000))</x:f>
        <x:v>-0.048391111546870265</x:v>
      </x:c>
      <x:c r="V140" s="98" t="n">
        <x:f>IF(OR(U140="",U139=""),"",U140-U139)</x:f>
        <x:v>0.15494481803936783</x:v>
      </x:c>
      <x:c r="W140" s="98" t="n">
        <x:f>IF('Datos_fuente'!R140="","",ASINH('Datos_fuente'!R140/1000))</x:f>
        <x:v>-0.10899406884539525</x:v>
      </x:c>
      <x:c r="X140" s="98" t="n">
        <x:f>IF(OR(W140="",W139=""),"",W140-W139)</x:f>
        <x:v>-0.45746833346897625</x:v>
      </x:c>
      <x:c r="Y140" s="63" t="n">
        <x:f>'Datos_fuente'!W140</x:f>
        <x:v>1.745663174</x:v>
      </x:c>
      <x:c r="Z140" s="63" t="n">
        <x:f>IF(OR(Y140="",Y139=""),"",Y140-Y139)</x:f>
        <x:v>-0.05845944999999997</x:v>
      </x:c>
      <x:c r="AA140" s="98" t="n">
        <x:f>'Datos_fuente'!AB140</x:f>
        <x:v>-1.309475568</x:v>
      </x:c>
      <x:c r="AB140" s="98" t="n">
        <x:f>'Datos_fuente'!AC140</x:f>
        <x:v>-1.469114949</x:v>
      </x:c>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t="str">
        <x:f>'Datos_fuente'!A141</x:f>
        <x:v>2017-03</x:v>
      </x:c>
      <x:c r="B141" s="98" t="n">
        <x:f>IF('Datos_fuente'!B141="","",LN('Datos_fuente'!B141))</x:f>
        <x:v>7.986942153060408</x:v>
      </x:c>
      <x:c r="C141" s="98" t="n">
        <x:f>IF(OR(B141="",B140=""),"",B141-B140)</x:f>
        <x:v>0.021547012772646923</x:v>
      </x:c>
      <x:c r="D141" s="98" t="n">
        <x:f>IF('Datos_fuente'!C141="","",LN('Datos_fuente'!C141))</x:f>
        <x:v>4.824305715904762</x:v>
      </x:c>
      <x:c r="E141" s="98" t="n">
        <x:f>IF(OR(D141="",D140=""),"",D141-D140)</x:f>
        <x:v>-0.02990965892019215</x:v>
      </x:c>
      <x:c r="F141" s="98" t="n">
        <x:f>IF('Datos_fuente'!E141="","",LN('Datos_fuente'!E141))</x:f>
        <x:v>8.552614387846715</x:v>
      </x:c>
      <x:c r="G141" s="98" t="n">
        <x:f>IF(OR(F141="",F140=""),"",F141-F140)</x:f>
        <x:v>0.012456905796719653</x:v>
      </x:c>
      <x:c r="H141" s="63" t="n">
        <x:f>'Datos_fuente'!H141</x:f>
        <x:v>6.419677419</x:v>
      </x:c>
      <x:c r="I141" s="63" t="n">
        <x:f>IF(OR(H141="",H140=""),"",H141-H140)</x:f>
        <x:v>-0.4024654380000001</x:v>
      </x:c>
      <x:c r="J141" s="63" t="n">
        <x:f>'Datos_fuente'!J141</x:f>
        <x:v>4.19787776</x:v>
      </x:c>
      <x:c r="K141" s="63" t="n">
        <x:f>IF(OR(J141="",J140=""),"",J141-J140)</x:f>
        <x:v>0.10864354499999962</x:v>
      </x:c>
      <x:c r="L141" s="98" t="n">
        <x:f>IF('Datos_fuente'!K141="","",LN('Datos_fuente'!K141))</x:f>
        <x:v>4.750618952033774</x:v>
      </x:c>
      <x:c r="M141" s="98" t="n">
        <x:f>IF(OR(L141="",L140=""),"",L141-L140)</x:f>
        <x:v>-0.004008541405696953</x:v>
      </x:c>
      <x:c r="N141" s="98" t="n">
        <x:f>IF('Datos_fuente'!L141="","",LN('Datos_fuente'!L141))</x:f>
        <x:v>2.476355701916579</x:v>
      </x:c>
      <x:c r="O141" s="98" t="n">
        <x:f>IF(OR(N141="",N140=""),"",N141-N140)</x:f>
        <x:v>0.031357720802335454</x:v>
      </x:c>
      <x:c r="P141" s="96" t="n">
        <x:f>'Datos_fuente'!M141</x:f>
        <x:v>0</x:v>
      </x:c>
      <x:c r="Q141" s="98" t="n">
        <x:f>IF('Datos_fuente'!N141="","",LN('Datos_fuente'!N141))</x:f>
        <x:v>10.756448419220412</x:v>
      </x:c>
      <x:c r="R141" s="98" t="n">
        <x:f>IF(OR(Q141="",Q140=""),"",Q141-Q140)</x:f>
        <x:v>-0.001147605885785552</x:v>
      </x:c>
      <x:c r="S141" s="63" t="n">
        <x:f>'Datos_fuente'!P141</x:f>
        <x:v>1.950869565</x:v>
      </x:c>
      <x:c r="T141" s="63" t="n">
        <x:f>IF(OR(S141="",S140=""),"",S141-S140)</x:f>
        <x:v>-0.040630434999999965</x:v>
      </x:c>
      <x:c r="U141" s="98" t="n">
        <x:f>IF('Datos_fuente'!Q141="","",ASINH('Datos_fuente'!Q141/1000))</x:f>
        <x:v>-0.09786371338382045</x:v>
      </x:c>
      <x:c r="V141" s="98" t="n">
        <x:f>IF(OR(U141="",U140=""),"",U141-U140)</x:f>
        <x:v>-0.04947260183695019</x:v>
      </x:c>
      <x:c r="W141" s="98" t="n">
        <x:f>IF('Datos_fuente'!R141="","",ASINH('Datos_fuente'!R141/1000))</x:f>
        <x:v>-0.18736186780773256</x:v>
      </x:c>
      <x:c r="X141" s="98" t="n">
        <x:f>IF(OR(W141="",W140=""),"",W141-W140)</x:f>
        <x:v>-0.07836779896233731</x:v>
      </x:c>
      <x:c r="Y141" s="63" t="n">
        <x:f>'Datos_fuente'!W141</x:f>
        <x:v>1.355790102</x:v>
      </x:c>
      <x:c r="Z141" s="63" t="n">
        <x:f>IF(OR(Y141="",Y140=""),"",Y141-Y140)</x:f>
        <x:v>-0.3898730719999999</x:v>
      </x:c>
      <x:c r="AA141" s="98" t="n">
        <x:f>'Datos_fuente'!AB141</x:f>
        <x:v>-0.2770679549</x:v>
      </x:c>
      <x:c r="AB141" s="98" t="n">
        <x:f>'Datos_fuente'!AC141</x:f>
        <x:v>-0.178158479</x:v>
      </x:c>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t="str">
        <x:f>'Datos_fuente'!A142</x:f>
        <x:v>2017-04</x:v>
      </x:c>
      <x:c r="B142" s="98" t="n">
        <x:f>IF('Datos_fuente'!B142="","",LN('Datos_fuente'!B142))</x:f>
        <x:v>7.964788921316194</x:v>
      </x:c>
      <x:c r="C142" s="98" t="n">
        <x:f>IF(OR(B142="",B141=""),"",B142-B141)</x:f>
        <x:v>-0.022153231744213464</x:v>
      </x:c>
      <x:c r="D142" s="98" t="n">
        <x:f>IF('Datos_fuente'!C142="","",LN('Datos_fuente'!C142))</x:f>
        <x:v>4.828473724503667</x:v>
      </x:c>
      <x:c r="E142" s="98" t="n">
        <x:f>IF(OR(D142="",D141=""),"",D142-D141)</x:f>
        <x:v>0.004168008598904649</x:v>
      </x:c>
      <x:c r="F142" s="98" t="n">
        <x:f>IF('Datos_fuente'!E142="","",LN('Datos_fuente'!E142))</x:f>
        <x:v>8.552977236755009</x:v>
      </x:c>
      <x:c r="G142" s="98" t="n">
        <x:f>IF(OR(F142="",F141=""),"",F142-F141)</x:f>
        <x:v>0.00036284890829385574</x:v>
      </x:c>
      <x:c r="H142" s="63" t="n">
        <x:f>'Datos_fuente'!H142</x:f>
        <x:v>6.1</x:v>
      </x:c>
      <x:c r="I142" s="63" t="n">
        <x:f>IF(OR(H142="",H141=""),"",H142-H141)</x:f>
        <x:v>-0.31967741900000046</x:v>
      </x:c>
      <x:c r="J142" s="63" t="n">
        <x:f>'Datos_fuente'!J142</x:f>
        <x:v>3.973230938</x:v>
      </x:c>
      <x:c r="K142" s="63" t="n">
        <x:f>IF(OR(J142="",J141=""),"",J142-J141)</x:f>
        <x:v>-0.22464682199999997</x:v>
      </x:c>
      <x:c r="L142" s="98" t="n">
        <x:f>IF('Datos_fuente'!K142="","",LN('Datos_fuente'!K142))</x:f>
        <x:v>4.742928339509924</x:v>
      </x:c>
      <x:c r="M142" s="98" t="n">
        <x:f>IF(OR(L142="",L141=""),"",L142-L141)</x:f>
        <x:v>-0.007690612523849616</x:v>
      </x:c>
      <x:c r="N142" s="98" t="n">
        <x:f>IF('Datos_fuente'!L142="","",LN('Datos_fuente'!L142))</x:f>
        <x:v>2.575380592463746</x:v>
      </x:c>
      <x:c r="O142" s="98" t="n">
        <x:f>IF(OR(N142="",N141=""),"",N142-N141)</x:f>
        <x:v>0.09902489054716712</x:v>
      </x:c>
      <x:c r="P142" s="96" t="n">
        <x:f>'Datos_fuente'!M142</x:f>
        <x:v>0</x:v>
      </x:c>
      <x:c r="Q142" s="98" t="n">
        <x:f>IF('Datos_fuente'!N142="","",LN('Datos_fuente'!N142))</x:f>
        <x:v>10.756535350303933</x:v>
      </x:c>
      <x:c r="R142" s="98" t="n">
        <x:f>IF(OR(Q142="",Q141=""),"",Q142-Q141)</x:f>
        <x:v>0.00008693108352098022</x:v>
      </x:c>
      <x:c r="S142" s="63" t="n">
        <x:f>'Datos_fuente'!P142</x:f>
        <x:v>1.967</x:v>
      </x:c>
      <x:c r="T142" s="63" t="n">
        <x:f>IF(OR(S142="",S141=""),"",S142-S141)</x:f>
        <x:v>0.016130435</x:v>
      </x:c>
      <x:c r="U142" s="98" t="n">
        <x:f>IF('Datos_fuente'!Q142="","",ASINH('Datos_fuente'!Q142/1000))</x:f>
        <x:v>0.0036899916261497944</x:v>
      </x:c>
      <x:c r="V142" s="98" t="n">
        <x:f>IF(OR(U142="",U141=""),"",U142-U141)</x:f>
        <x:v>0.10155370500997024</x:v>
      </x:c>
      <x:c r="W142" s="98" t="n">
        <x:f>IF('Datos_fuente'!R142="","",ASINH('Datos_fuente'!R142/1000))</x:f>
        <x:v>-0.3059352127533255</x:v>
      </x:c>
      <x:c r="X142" s="98" t="n">
        <x:f>IF(OR(W142="",W141=""),"",W142-W141)</x:f>
        <x:v>-0.11857334494559296</x:v>
      </x:c>
      <x:c r="Y142" s="63" t="n">
        <x:f>'Datos_fuente'!W142</x:f>
        <x:v>1.251032758</x:v>
      </x:c>
      <x:c r="Z142" s="63" t="n">
        <x:f>IF(OR(Y142="",Y141=""),"",Y142-Y141)</x:f>
        <x:v>-0.10475734400000003</x:v>
      </x:c>
      <x:c r="AA142" s="98" t="n">
        <x:f>'Datos_fuente'!AB142</x:f>
        <x:v>-0.5018768809</x:v>
      </x:c>
      <x:c r="AB142" s="98" t="n">
        <x:f>'Datos_fuente'!AC142</x:f>
        <x:v>-0.474186997</x:v>
      </x:c>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t="str">
        <x:f>'Datos_fuente'!A143</x:f>
        <x:v>2017-05</x:v>
      </x:c>
      <x:c r="B143" s="98" t="n">
        <x:f>IF('Datos_fuente'!B143="","",LN('Datos_fuente'!B143))</x:f>
        <x:v>7.980575425990943</x:v>
      </x:c>
      <x:c r="C143" s="98" t="n">
        <x:f>IF(OR(B143="",B142=""),"",B143-B142)</x:f>
        <x:v>0.015786504674748514</x:v>
      </x:c>
      <x:c r="D143" s="98" t="n">
        <x:f>IF('Datos_fuente'!C143="","",LN('Datos_fuente'!C143))</x:f>
        <x:v>4.818182590102842</x:v>
      </x:c>
      <x:c r="E143" s="98" t="n">
        <x:f>IF(OR(D143="",D142=""),"",D143-D142)</x:f>
        <x:v>-0.010291134400824298</x:v>
      </x:c>
      <x:c r="F143" s="98" t="n">
        <x:f>IF('Datos_fuente'!E143="","",LN('Datos_fuente'!E143))</x:f>
        <x:v>8.56555088112969</x:v>
      </x:c>
      <x:c r="G143" s="98" t="n">
        <x:f>IF(OR(F143="",F142=""),"",F143-F142)</x:f>
        <x:v>0.012573644374681336</x:v>
      </x:c>
      <x:c r="H143" s="63" t="n">
        <x:f>'Datos_fuente'!H143</x:f>
        <x:v>5.59</x:v>
      </x:c>
      <x:c r="I143" s="63" t="n">
        <x:f>IF(OR(H143="",H142=""),"",H143-H142)</x:f>
        <x:v>-0.5099999999999998</x:v>
      </x:c>
      <x:c r="J143" s="63" t="n">
        <x:f>'Datos_fuente'!J143</x:f>
        <x:v>4.011046289</x:v>
      </x:c>
      <x:c r="K143" s="63" t="n">
        <x:f>IF(OR(J143="",J142=""),"",J143-J142)</x:f>
        <x:v>0.03781535100000033</x:v>
      </x:c>
      <x:c r="L143" s="98" t="n">
        <x:f>IF('Datos_fuente'!K143="","",LN('Datos_fuente'!K143))</x:f>
        <x:v>4.738468954807795</x:v>
      </x:c>
      <x:c r="M143" s="98" t="n">
        <x:f>IF(OR(L143="",L142=""),"",L143-L142)</x:f>
        <x:v>-0.004459384702129476</x:v>
      </x:c>
      <x:c r="N143" s="98" t="n">
        <x:f>IF('Datos_fuente'!L143="","",LN('Datos_fuente'!L143))</x:f>
        <x:v>2.3852955679330474</x:v>
      </x:c>
      <x:c r="O143" s="98" t="n">
        <x:f>IF(OR(N143="",N142=""),"",N143-N142)</x:f>
        <x:v>-0.19008502453069864</x:v>
      </x:c>
      <x:c r="P143" s="96" t="n">
        <x:f>'Datos_fuente'!M143</x:f>
        <x:v>0</x:v>
      </x:c>
      <x:c r="Q143" s="98" t="n">
        <x:f>IF('Datos_fuente'!N143="","",LN('Datos_fuente'!N143))</x:f>
        <x:v>10.761143157236296</x:v>
      </x:c>
      <x:c r="R143" s="98" t="n">
        <x:f>IF(OR(Q143="",Q142=""),"",Q143-Q142)</x:f>
        <x:v>0.004607806932362735</x:v>
      </x:c>
      <x:c r="S143" s="63" t="n">
        <x:f>'Datos_fuente'!P143</x:f>
        <x:v>1.945652174</x:v>
      </x:c>
      <x:c r="T143" s="63" t="n">
        <x:f>IF(OR(S143="",S142=""),"",S143-S142)</x:f>
        <x:v>-0.02134782600000018</x:v>
      </x:c>
      <x:c r="U143" s="98" t="n">
        <x:f>IF('Datos_fuente'!Q143="","",ASINH('Datos_fuente'!Q143/1000))</x:f>
        <x:v>-0.04490490705665995</x:v>
      </x:c>
      <x:c r="V143" s="98" t="n">
        <x:f>IF(OR(U143="",U142=""),"",U143-U142)</x:f>
        <x:v>-0.048594898682809744</x:v>
      </x:c>
      <x:c r="W143" s="98" t="n">
        <x:f>IF('Datos_fuente'!R143="","",ASINH('Datos_fuente'!R143/1000))</x:f>
        <x:v>-0.1360895395609807</x:v>
      </x:c>
      <x:c r="X143" s="98" t="n">
        <x:f>IF(OR(W143="",W142=""),"",W143-W142)</x:f>
        <x:v>0.16984567319234484</x:v>
      </x:c>
      <x:c r="Y143" s="63" t="n">
        <x:f>'Datos_fuente'!W143</x:f>
        <x:v>1.489216027</x:v>
      </x:c>
      <x:c r="Z143" s="63" t="n">
        <x:f>IF(OR(Y143="",Y142=""),"",Y143-Y142)</x:f>
        <x:v>0.2381832690000001</x:v>
      </x:c>
      <x:c r="AA143" s="98" t="n">
        <x:f>'Datos_fuente'!AB143</x:f>
        <x:v>0.4104604792</x:v>
      </x:c>
      <x:c r="AB143" s="98" t="n">
        <x:f>'Datos_fuente'!AC143</x:f>
        <x:v>0.4688911009</x:v>
      </x:c>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t="str">
        <x:f>'Datos_fuente'!A144</x:f>
        <x:v>2017-06</x:v>
      </x:c>
      <x:c r="B144" s="98" t="n">
        <x:f>IF('Datos_fuente'!B144="","",LN('Datos_fuente'!B144))</x:f>
        <x:v>7.991963773611367</x:v>
      </x:c>
      <x:c r="C144" s="98" t="n">
        <x:f>IF(OR(B144="",B143=""),"",B144-B143)</x:f>
        <x:v>0.011388347620424177</x:v>
      </x:c>
      <x:c r="D144" s="98" t="n">
        <x:f>IF('Datos_fuente'!C144="","",LN('Datos_fuente'!C144))</x:f>
        <x:v>4.8064770426931265</x:v>
      </x:c>
      <x:c r="E144" s="98" t="n">
        <x:f>IF(OR(D144="",D143=""),"",D144-D143)</x:f>
        <x:v>-0.011705547409715855</x:v>
      </x:c>
      <x:c r="F144" s="98" t="n">
        <x:f>IF('Datos_fuente'!E144="","",LN('Datos_fuente'!E144))</x:f>
        <x:v>8.583508882451488</x:v>
      </x:c>
      <x:c r="G144" s="98" t="n">
        <x:f>IF(OR(F144="",F143=""),"",F144-F143)</x:f>
        <x:v>0.017958001321797923</x:v>
      </x:c>
      <x:c r="H144" s="63" t="n">
        <x:f>'Datos_fuente'!H144</x:f>
        <x:v>5.21</x:v>
      </x:c>
      <x:c r="I144" s="63" t="n">
        <x:f>IF(OR(H144="",H143=""),"",H144-H143)</x:f>
        <x:v>-0.3799999999999999</x:v>
      </x:c>
      <x:c r="J144" s="63" t="n">
        <x:f>'Datos_fuente'!J144</x:f>
        <x:v>4.214938459</x:v>
      </x:c>
      <x:c r="K144" s="63" t="n">
        <x:f>IF(OR(J144="",J143=""),"",J144-J143)</x:f>
        <x:v>0.2038921699999996</x:v>
      </x:c>
      <x:c r="L144" s="98" t="n">
        <x:f>IF('Datos_fuente'!K144="","",LN('Datos_fuente'!K144))</x:f>
        <x:v>4.725264084653771</x:v>
      </x:c>
      <x:c r="M144" s="98" t="n">
        <x:f>IF(OR(L144="",L143=""),"",L144-L143)</x:f>
        <x:v>-0.013204870154023496</x:v>
      </x:c>
      <x:c r="N144" s="98" t="n">
        <x:f>IF('Datos_fuente'!L144="","",LN('Datos_fuente'!L144))</x:f>
        <x:v>2.3526731155332063</x:v>
      </x:c>
      <x:c r="O144" s="98" t="n">
        <x:f>IF(OR(N144="",N143=""),"",N144-N143)</x:f>
        <x:v>-0.03262245239984107</x:v>
      </x:c>
      <x:c r="P144" s="96" t="n">
        <x:f>'Datos_fuente'!M144</x:f>
        <x:v>0</x:v>
      </x:c>
      <x:c r="Q144" s="98" t="n">
        <x:f>IF('Datos_fuente'!N144="","",LN('Datos_fuente'!N144))</x:f>
        <x:v>10.76287666112623</x:v>
      </x:c>
      <x:c r="R144" s="98" t="n">
        <x:f>IF(OR(Q144="",Q143=""),"",Q144-Q143)</x:f>
        <x:v>0.001733503889933985</x:v>
      </x:c>
      <x:c r="S144" s="63" t="n">
        <x:f>'Datos_fuente'!P144</x:f>
        <x:v>1.963636364</x:v>
      </x:c>
      <x:c r="T144" s="63" t="n">
        <x:f>IF(OR(S144="",S143=""),"",S144-S143)</x:f>
        <x:v>0.017984190000000178</x:v>
      </x:c>
      <x:c r="U144" s="98" t="n">
        <x:f>IF('Datos_fuente'!Q144="","",ASINH('Datos_fuente'!Q144/1000))</x:f>
        <x:v>0.03761113193884506</x:v>
      </x:c>
      <x:c r="V144" s="98" t="n">
        <x:f>IF(OR(U144="",U143=""),"",U144-U143)</x:f>
        <x:v>0.08251603899550501</x:v>
      </x:c>
      <x:c r="W144" s="98" t="n">
        <x:f>IF('Datos_fuente'!R144="","",ASINH('Datos_fuente'!R144/1000))</x:f>
        <x:v>-0.2964200718198526</x:v>
      </x:c>
      <x:c r="X144" s="98" t="n">
        <x:f>IF(OR(W144="",W143=""),"",W144-W143)</x:f>
        <x:v>-0.1603305322588719</x:v>
      </x:c>
      <x:c r="Y144" s="63" t="n">
        <x:f>'Datos_fuente'!W144</x:f>
        <x:v>1.515913627</x:v>
      </x:c>
      <x:c r="Z144" s="63" t="n">
        <x:f>IF(OR(Y144="",Y143=""),"",Y144-Y143)</x:f>
        <x:v>0.026697599999999877</x:v>
      </x:c>
      <x:c r="AA144" s="98" t="n">
        <x:f>'Datos_fuente'!AB144</x:f>
        <x:v>-0.413563418</x:v>
      </x:c>
      <x:c r="AB144" s="98" t="n">
        <x:f>'Datos_fuente'!AC144</x:f>
        <x:v>-0.3414610178</x:v>
      </x:c>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t="str">
        <x:f>'Datos_fuente'!A145</x:f>
        <x:v>2017-07</x:v>
      </x:c>
      <x:c r="B145" s="98" t="n">
        <x:f>IF('Datos_fuente'!B145="","",LN('Datos_fuente'!B145))</x:f>
        <x:v>8.018488435901347</x:v>
      </x:c>
      <x:c r="C145" s="98" t="n">
        <x:f>IF(OR(B145="",B144=""),"",B145-B144)</x:f>
        <x:v>0.026524662289979517</x:v>
      </x:c>
      <x:c r="D145" s="98" t="n">
        <x:f>IF('Datos_fuente'!C145="","",LN('Datos_fuente'!C145))</x:f>
        <x:v>4.8121030512543195</x:v>
      </x:c>
      <x:c r="E145" s="98" t="n">
        <x:f>IF(OR(D145="",D144=""),"",D145-D144)</x:f>
        <x:v>0.005626008561192997</x:v>
      </x:c>
      <x:c r="F145" s="98" t="n">
        <x:f>IF('Datos_fuente'!E145="","",LN('Datos_fuente'!E145))</x:f>
        <x:v>8.603873513613276</x:v>
      </x:c>
      <x:c r="G145" s="98" t="n">
        <x:f>IF(OR(F145="",F144=""),"",F145-F144)</x:f>
        <x:v>0.020364631161788438</x:v>
      </x:c>
      <x:c r="H145" s="63" t="n">
        <x:f>'Datos_fuente'!H145</x:f>
        <x:v>4.616129032</x:v>
      </x:c>
      <x:c r="I145" s="63" t="n">
        <x:f>IF(OR(H145="",H144=""),"",H145-H144)</x:f>
        <x:v>-0.593870968</x:v>
      </x:c>
      <x:c r="J145" s="63" t="n">
        <x:f>'Datos_fuente'!J145</x:f>
        <x:v>4.206137479</x:v>
      </x:c>
      <x:c r="K145" s="63" t="n">
        <x:f>IF(OR(J145="",J144=""),"",J145-J144)</x:f>
        <x:v>-0.00880098000000018</x:v>
      </x:c>
      <x:c r="L145" s="98" t="n">
        <x:f>IF('Datos_fuente'!K145="","",LN('Datos_fuente'!K145))</x:f>
        <x:v>4.710075593099732</x:v>
      </x:c>
      <x:c r="M145" s="98" t="n">
        <x:f>IF(OR(L145="",L144=""),"",L145-L144)</x:f>
        <x:v>-0.015188491554039452</x:v>
      </x:c>
      <x:c r="N145" s="98" t="n">
        <x:f>IF('Datos_fuente'!L145="","",LN('Datos_fuente'!L145))</x:f>
        <x:v>2.328691340078525</x:v>
      </x:c>
      <x:c r="O145" s="98" t="n">
        <x:f>IF(OR(N145="",N144=""),"",N145-N144)</x:f>
        <x:v>-0.023981775454681387</x:v>
      </x:c>
      <x:c r="P145" s="96" t="n">
        <x:f>'Datos_fuente'!M145</x:f>
        <x:v>0</x:v>
      </x:c>
      <x:c r="Q145" s="98" t="n">
        <x:f>IF('Datos_fuente'!N145="","",LN('Datos_fuente'!N145))</x:f>
        <x:v>10.769139302229595</x:v>
      </x:c>
      <x:c r="R145" s="98" t="n">
        <x:f>IF(OR(Q145="",Q144=""),"",Q145-Q144)</x:f>
        <x:v>0.006262641103365496</x:v>
      </x:c>
      <x:c r="S145" s="63" t="n">
        <x:f>'Datos_fuente'!P145</x:f>
        <x:v>2.000952381</x:v>
      </x:c>
      <x:c r="T145" s="63" t="n">
        <x:f>IF(OR(S145="",S144=""),"",S145-S144)</x:f>
        <x:v>0.03731601699999976</x:v>
      </x:c>
      <x:c r="U145" s="98" t="n">
        <x:f>IF('Datos_fuente'!Q145="","",ASINH('Datos_fuente'!Q145/1000))</x:f>
        <x:v>-0.09935644971619319</x:v>
      </x:c>
      <x:c r="V145" s="98" t="n">
        <x:f>IF(OR(U145="",U144=""),"",U145-U144)</x:f>
        <x:v>-0.13696758165503825</x:v>
      </x:c>
      <x:c r="W145" s="98" t="n">
        <x:f>IF('Datos_fuente'!R145="","",ASINH('Datos_fuente'!R145/1000))</x:f>
        <x:v>0.1150162456097003</x:v>
      </x:c>
      <x:c r="X145" s="98" t="n">
        <x:f>IF(OR(W145="",W144=""),"",W145-W144)</x:f>
        <x:v>0.4114363174295529</x:v>
      </x:c>
      <x:c r="Y145" s="63" t="n">
        <x:f>'Datos_fuente'!W145</x:f>
        <x:v>1.559412374</x:v>
      </x:c>
      <x:c r="Z145" s="63" t="n">
        <x:f>IF(OR(Y145="",Y144=""),"",Y145-Y144)</x:f>
        <x:v>0.043498747000000115</x:v>
      </x:c>
      <x:c r="AA145" s="98" t="n">
        <x:f>'Datos_fuente'!AB145</x:f>
        <x:v>-0.7002852348</x:v>
      </x:c>
      <x:c r="AB145" s="98" t="n">
        <x:f>'Datos_fuente'!AC145</x:f>
        <x:v>-0.6375614899</x:v>
      </x:c>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t="str">
        <x:f>'Datos_fuente'!A146</x:f>
        <x:v>2017-08</x:v>
      </x:c>
      <x:c r="B146" s="98" t="n">
        <x:f>IF('Datos_fuente'!B146="","",LN('Datos_fuente'!B146))</x:f>
        <x:v>7.997395720389165</x:v>
      </x:c>
      <x:c r="C146" s="98" t="n">
        <x:f>IF(OR(B146="",B145=""),"",B146-B145)</x:f>
        <x:v>-0.021092715512181393</x:v>
      </x:c>
      <x:c r="D146" s="98" t="n">
        <x:f>IF('Datos_fuente'!C146="","",LN('Datos_fuente'!C146))</x:f>
        <x:v>4.824546650733057</x:v>
      </x:c>
      <x:c r="E146" s="98" t="n">
        <x:f>IF(OR(D146="",D145=""),"",D146-D145)</x:f>
        <x:v>0.012443599478737966</x:v>
      </x:c>
      <x:c r="F146" s="98" t="n">
        <x:f>IF('Datos_fuente'!E146="","",LN('Datos_fuente'!E146))</x:f>
        <x:v>8.61309410579344</x:v>
      </x:c>
      <x:c r="G146" s="98" t="n">
        <x:f>IF(OR(F146="",F145=""),"",F146-F145)</x:f>
        <x:v>0.009220592180163578</x:v>
      </x:c>
      <x:c r="H146" s="63" t="n">
        <x:f>'Datos_fuente'!H146</x:f>
        <x:v>4.34</x:v>
      </x:c>
      <x:c r="I146" s="63" t="n">
        <x:f>IF(OR(H146="",H145=""),"",H146-H145)</x:f>
        <x:v>-0.27612903200000005</x:v>
      </x:c>
      <x:c r="J146" s="63" t="n">
        <x:f>'Datos_fuente'!J146</x:f>
        <x:v>3.644644942</x:v>
      </x:c>
      <x:c r="K146" s="63" t="n">
        <x:f>IF(OR(J146="",J145=""),"",J146-J145)</x:f>
        <x:v>-0.5614925369999995</x:v>
      </x:c>
      <x:c r="L146" s="98" t="n">
        <x:f>IF('Datos_fuente'!K146="","",LN('Datos_fuente'!K146))</x:f>
        <x:v>4.699624189377969</x:v>
      </x:c>
      <x:c r="M146" s="98" t="n">
        <x:f>IF(OR(L146="",L145=""),"",L146-L145)</x:f>
        <x:v>-0.010451403721762453</x:v>
      </x:c>
      <x:c r="N146" s="98" t="n">
        <x:f>IF('Datos_fuente'!L146="","",LN('Datos_fuente'!L146))</x:f>
        <x:v>2.4828756027743686</x:v>
      </x:c>
      <x:c r="O146" s="98" t="n">
        <x:f>IF(OR(N146="",N145=""),"",N146-N145)</x:f>
        <x:v>0.15418426269584362</x:v>
      </x:c>
      <x:c r="P146" s="96" t="n">
        <x:f>'Datos_fuente'!M146</x:f>
        <x:v>0</x:v>
      </x:c>
      <x:c r="Q146" s="98" t="n">
        <x:f>IF('Datos_fuente'!N146="","",LN('Datos_fuente'!N146))</x:f>
        <x:v>10.769928368902713</x:v>
      </x:c>
      <x:c r="R146" s="98" t="n">
        <x:f>IF(OR(Q146="",Q145=""),"",Q146-Q145)</x:f>
        <x:v>0.0007890666731178442</x:v>
      </x:c>
      <x:c r="S146" s="63" t="n">
        <x:f>'Datos_fuente'!P146</x:f>
        <x:v>2.006956522</x:v>
      </x:c>
      <x:c r="T146" s="63" t="n">
        <x:f>IF(OR(S146="",S145=""),"",S146-S145)</x:f>
        <x:v>0.006004141000000018</x:v>
      </x:c>
      <x:c r="U146" s="98" t="n">
        <x:f>IF('Datos_fuente'!Q146="","",ASINH('Datos_fuente'!Q146/1000))</x:f>
        <x:v>-0.12331721202026044</x:v>
      </x:c>
      <x:c r="V146" s="98" t="n">
        <x:f>IF(OR(U146="",U145=""),"",U146-U145)</x:f>
        <x:v>-0.023960762304067254</x:v>
      </x:c>
      <x:c r="W146" s="98" t="n">
        <x:f>IF('Datos_fuente'!R146="","",ASINH('Datos_fuente'!R146/1000))</x:f>
        <x:v>-0.09676890171851231</x:v>
      </x:c>
      <x:c r="X146" s="98" t="n">
        <x:f>IF(OR(W146="",W145=""),"",W146-W145)</x:f>
        <x:v>-0.2117851473282126</x:v>
      </x:c>
      <x:c r="Y146" s="63" t="n">
        <x:f>'Datos_fuente'!W146</x:f>
        <x:v>1.683792953</x:v>
      </x:c>
      <x:c r="Z146" s="63" t="n">
        <x:f>IF(OR(Y146="",Y145=""),"",Y146-Y145)</x:f>
        <x:v>0.12438057899999988</x:v>
      </x:c>
      <x:c r="AA146" s="98" t="n">
        <x:f>'Datos_fuente'!AB146</x:f>
        <x:v>-0.5274350351</x:v>
      </x:c>
      <x:c r="AB146" s="98" t="n">
        <x:f>'Datos_fuente'!AC146</x:f>
        <x:v>-0.4415420624</x:v>
      </x:c>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t="str">
        <x:f>'Datos_fuente'!A147</x:f>
        <x:v>2017-09</x:v>
      </x:c>
      <x:c r="B147" s="98" t="n">
        <x:f>IF('Datos_fuente'!B147="","",LN('Datos_fuente'!B147))</x:f>
        <x:v>7.978340108970085</x:v>
      </x:c>
      <x:c r="C147" s="98" t="n">
        <x:f>IF(OR(B147="",B146=""),"",B147-B146)</x:f>
        <x:v>-0.01905561141908052</x:v>
      </x:c>
      <x:c r="D147" s="98" t="n">
        <x:f>IF('Datos_fuente'!C147="","",LN('Datos_fuente'!C147))</x:f>
        <x:v>4.864298451021812</x:v>
      </x:c>
      <x:c r="E147" s="98" t="n">
        <x:f>IF(OR(D147="",D146=""),"",D147-D146)</x:f>
        <x:v>0.03975180028875425</x:v>
      </x:c>
      <x:c r="F147" s="98" t="n">
        <x:f>IF('Datos_fuente'!E147="","",LN('Datos_fuente'!E147))</x:f>
        <x:v>8.62129191134455</x:v>
      </x:c>
      <x:c r="G147" s="98" t="n">
        <x:f>IF(OR(F147="",F146=""),"",F147-F146)</x:f>
        <x:v>0.008197805551109383</x:v>
      </x:c>
      <x:c r="H147" s="63" t="n">
        <x:f>'Datos_fuente'!H147</x:f>
        <x:v>4.1</x:v>
      </x:c>
      <x:c r="I147" s="63" t="n">
        <x:f>IF(OR(H147="",H146=""),"",H147-H146)</x:f>
        <x:v>-0.2400000000000002</x:v>
      </x:c>
      <x:c r="J147" s="63" t="n">
        <x:f>'Datos_fuente'!J147</x:f>
        <x:v>3.417510452</x:v>
      </x:c>
      <x:c r="K147" s="63" t="n">
        <x:f>IF(OR(J147="",J146=""),"",J147-J146)</x:f>
        <x:v>-0.22713449000000008</x:v>
      </x:c>
      <x:c r="L147" s="98" t="n">
        <x:f>IF('Datos_fuente'!K147="","",LN('Datos_fuente'!K147))</x:f>
        <x:v>4.690009785542087</x:v>
      </x:c>
      <x:c r="M147" s="98" t="n">
        <x:f>IF(OR(L147="",L146=""),"",L147-L146)</x:f>
        <x:v>-0.00961440383588208</x:v>
      </x:c>
      <x:c r="N147" s="98" t="n">
        <x:f>IF('Datos_fuente'!L147="","",LN('Datos_fuente'!L147))</x:f>
        <x:v>2.3454529932212216</x:v>
      </x:c>
      <x:c r="O147" s="98" t="n">
        <x:f>IF(OR(N147="",N146=""),"",N147-N146)</x:f>
        <x:v>-0.137422609553147</x:v>
      </x:c>
      <x:c r="P147" s="96" t="n">
        <x:f>'Datos_fuente'!M147</x:f>
        <x:v>0</x:v>
      </x:c>
      <x:c r="Q147" s="98" t="n">
        <x:f>IF('Datos_fuente'!N147="","",LN('Datos_fuente'!N147))</x:f>
        <x:v>10.76879146936893</x:v>
      </x:c>
      <x:c r="R147" s="98" t="n">
        <x:f>IF(OR(Q147="",Q146=""),"",Q147-Q146)</x:f>
        <x:v>-0.0011368995337832644</x:v>
      </x:c>
      <x:c r="S147" s="63" t="n">
        <x:f>'Datos_fuente'!P147</x:f>
        <x:v>1.891904762</x:v>
      </x:c>
      <x:c r="T147" s="63" t="n">
        <x:f>IF(OR(S147="",S146=""),"",S147-S146)</x:f>
        <x:v>-0.11505175999999984</x:v>
      </x:c>
      <x:c r="U147" s="98" t="n">
        <x:f>IF('Datos_fuente'!Q147="","",ASINH('Datos_fuente'!Q147/1000))</x:f>
        <x:v>-0.10368412584802691</x:v>
      </x:c>
      <x:c r="V147" s="98" t="n">
        <x:f>IF(OR(U147="",U146=""),"",U147-U146)</x:f>
        <x:v>0.019633086172233527</x:v>
      </x:c>
      <x:c r="W147" s="98" t="n">
        <x:f>IF('Datos_fuente'!R147="","",ASINH('Datos_fuente'!R147/1000))</x:f>
        <x:v>-0.20813402206669795</x:v>
      </x:c>
      <x:c r="X147" s="98" t="n">
        <x:f>IF(OR(W147="",W146=""),"",W147-W146)</x:f>
        <x:v>-0.11136512034818564</x:v>
      </x:c>
      <x:c r="Y147" s="63" t="n">
        <x:f>'Datos_fuente'!W147</x:f>
        <x:v>1.664988827</x:v>
      </x:c>
      <x:c r="Z147" s="63" t="n">
        <x:f>IF(OR(Y147="",Y146=""),"",Y147-Y146)</x:f>
        <x:v>-0.018804126000000032</x:v>
      </x:c>
      <x:c r="AA147" s="98" t="n">
        <x:f>'Datos_fuente'!AB147</x:f>
        <x:v>-0.4937918215</x:v>
      </x:c>
      <x:c r="AB147" s="98" t="n">
        <x:f>'Datos_fuente'!AC147</x:f>
        <x:v>-0.3370986696</x:v>
      </x:c>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t="str">
        <x:f>'Datos_fuente'!A148</x:f>
        <x:v>2017-10</x:v>
      </x:c>
      <x:c r="B148" s="98" t="n">
        <x:f>IF('Datos_fuente'!B148="","",LN('Datos_fuente'!B148))</x:f>
        <x:v>7.990832794136088</x:v>
      </x:c>
      <x:c r="C148" s="98" t="n">
        <x:f>IF(OR(B148="",B147=""),"",B148-B147)</x:f>
        <x:v>0.012492685166002993</x:v>
      </x:c>
      <x:c r="D148" s="98" t="n">
        <x:f>IF('Datos_fuente'!C148="","",LN('Datos_fuente'!C148))</x:f>
        <x:v>4.89387673348606</x:v>
      </x:c>
      <x:c r="E148" s="98" t="n">
        <x:f>IF(OR(D148="",D147=""),"",D148-D147)</x:f>
        <x:v>0.029578282464248318</x:v>
      </x:c>
      <x:c r="F148" s="98" t="n">
        <x:f>IF('Datos_fuente'!E148="","",LN('Datos_fuente'!E148))</x:f>
        <x:v>8.640072552052924</x:v>
      </x:c>
      <x:c r="G148" s="98" t="n">
        <x:f>IF(OR(F148="",F147=""),"",F148-F147)</x:f>
        <x:v>0.01878064070837482</x:v>
      </x:c>
      <x:c r="H148" s="63" t="n">
        <x:f>'Datos_fuente'!H148</x:f>
        <x:v>4.083870968</x:v>
      </x:c>
      <x:c r="I148" s="63" t="n">
        <x:f>IF(OR(H148="",H147=""),"",H148-H147)</x:f>
        <x:v>-0.016129031999999377</x:v>
      </x:c>
      <x:c r="J148" s="63" t="n">
        <x:f>'Datos_fuente'!J148</x:f>
        <x:v>3.21711332</x:v>
      </x:c>
      <x:c r="K148" s="63" t="n">
        <x:f>IF(OR(J148="",J147=""),"",J148-J147)</x:f>
        <x:v>-0.20039713199999998</x:v>
      </x:c>
      <x:c r="L148" s="98" t="n">
        <x:f>IF('Datos_fuente'!K148="","",LN('Datos_fuente'!K148))</x:f>
        <x:v>4.708531289953852</x:v>
      </x:c>
      <x:c r="M148" s="98" t="n">
        <x:f>IF(OR(L148="",L147=""),"",L148-L147)</x:f>
        <x:v>0.01852150441176459</x:v>
      </x:c>
      <x:c r="N148" s="98" t="n">
        <x:f>IF('Datos_fuente'!L148="","",LN('Datos_fuente'!L148))</x:f>
        <x:v>2.3150525058120657</x:v>
      </x:c>
      <x:c r="O148" s="98" t="n">
        <x:f>IF(OR(N148="",N147=""),"",N148-N147)</x:f>
        <x:v>-0.030400487409155907</x:v>
      </x:c>
      <x:c r="P148" s="96" t="n">
        <x:f>'Datos_fuente'!M148</x:f>
        <x:v>0</x:v>
      </x:c>
      <x:c r="Q148" s="98" t="n">
        <x:f>IF('Datos_fuente'!N148="","",LN('Datos_fuente'!N148))</x:f>
        <x:v>10.766542894849838</x:v>
      </x:c>
      <x:c r="R148" s="98" t="n">
        <x:f>IF(OR(Q148="",Q147=""),"",Q148-Q147)</x:f>
        <x:v>-0.0022485745190916617</x:v>
      </x:c>
      <x:c r="S148" s="63" t="n">
        <x:f>'Datos_fuente'!P148</x:f>
        <x:v>1.853636364</x:v>
      </x:c>
      <x:c r="T148" s="63" t="n">
        <x:f>IF(OR(S148="",S147=""),"",S148-S147)</x:f>
        <x:v>-0.03826839800000004</x:v>
      </x:c>
      <x:c r="U148" s="98" t="n">
        <x:f>IF('Datos_fuente'!Q148="","",ASINH('Datos_fuente'!Q148/1000))</x:f>
        <x:v>0.0180190248988777</x:v>
      </x:c>
      <x:c r="V148" s="98" t="n">
        <x:f>IF(OR(U148="",U147=""),"",U148-U147)</x:f>
        <x:v>0.12170315074690462</x:v>
      </x:c>
      <x:c r="W148" s="98" t="n">
        <x:f>IF('Datos_fuente'!R148="","",ASINH('Datos_fuente'!R148/1000))</x:f>
        <x:v>-0.47702199270936846</x:v>
      </x:c>
      <x:c r="X148" s="98" t="n">
        <x:f>IF(OR(W148="",W147=""),"",W148-W147)</x:f>
        <x:v>-0.2688879706426705</x:v>
      </x:c>
      <x:c r="Y148" s="63" t="n">
        <x:f>'Datos_fuente'!W148</x:f>
        <x:v>1.63491427</x:v>
      </x:c>
      <x:c r="Z148" s="63" t="n">
        <x:f>IF(OR(Y148="",Y147=""),"",Y148-Y147)</x:f>
        <x:v>-0.030074557000000057</x:v>
      </x:c>
      <x:c r="AA148" s="98" t="n">
        <x:f>'Datos_fuente'!AB148</x:f>
        <x:v>0.7486497355</x:v>
      </x:c>
      <x:c r="AB148" s="98" t="n">
        <x:f>'Datos_fuente'!AC148</x:f>
        <x:v>0.5934911043</x:v>
      </x:c>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t="str">
        <x:f>'Datos_fuente'!A149</x:f>
        <x:v>2017-11</x:v>
      </x:c>
      <x:c r="B149" s="98" t="n">
        <x:f>IF('Datos_fuente'!B149="","",LN('Datos_fuente'!B149))</x:f>
        <x:v>8.010846411637432</x:v>
      </x:c>
      <x:c r="C149" s="98" t="n">
        <x:f>IF(OR(B149="",B148=""),"",B149-B148)</x:f>
        <x:v>0.020013617501344783</x:v>
      </x:c>
      <x:c r="D149" s="98" t="n">
        <x:f>IF('Datos_fuente'!C149="","",LN('Datos_fuente'!C149))</x:f>
        <x:v>4.884542830568732</x:v>
      </x:c>
      <x:c r="E149" s="98" t="n">
        <x:f>IF(OR(D149="",D148=""),"",D149-D148)</x:f>
        <x:v>-0.009333902917328274</x:v>
      </x:c>
      <x:c r="F149" s="98" t="n">
        <x:f>IF('Datos_fuente'!E149="","",LN('Datos_fuente'!E149))</x:f>
        <x:v>8.648868612791148</x:v>
      </x:c>
      <x:c r="G149" s="98" t="n">
        <x:f>IF(OR(F149="",F148=""),"",F149-F148)</x:f>
        <x:v>0.008796060738223588</x:v>
      </x:c>
      <x:c r="H149" s="63" t="n">
        <x:f>'Datos_fuente'!H149</x:f>
        <x:v>3.806666667</x:v>
      </x:c>
      <x:c r="I149" s="63" t="n">
        <x:f>IF(OR(H149="",H148=""),"",H149-H148)</x:f>
        <x:v>-0.27720430100000026</x:v>
      </x:c>
      <x:c r="J149" s="63" t="n">
        <x:f>'Datos_fuente'!J149</x:f>
        <x:v>3.399337069</x:v>
      </x:c>
      <x:c r="K149" s="63" t="n">
        <x:f>IF(OR(J149="",J148=""),"",J149-J148)</x:f>
        <x:v>0.18222374899999982</x:v>
      </x:c>
      <x:c r="L149" s="98" t="n">
        <x:f>IF('Datos_fuente'!K149="","",LN('Datos_fuente'!K149))</x:f>
        <x:v>4.711002315418658</x:v>
      </x:c>
      <x:c r="M149" s="98" t="n">
        <x:f>IF(OR(L149="",L148=""),"",L149-L148)</x:f>
        <x:v>0.0024710254648061536</x:v>
      </x:c>
      <x:c r="N149" s="98" t="n">
        <x:f>IF('Datos_fuente'!L149="","",LN('Datos_fuente'!L149))</x:f>
        <x:v>2.35522272140955</x:v>
      </x:c>
      <x:c r="O149" s="98" t="n">
        <x:f>IF(OR(N149="",N148=""),"",N149-N148)</x:f>
        <x:v>0.04017021559748413</x:v>
      </x:c>
      <x:c r="P149" s="96" t="n">
        <x:f>'Datos_fuente'!M149</x:f>
        <x:v>0</x:v>
      </x:c>
      <x:c r="Q149" s="98" t="n">
        <x:f>IF('Datos_fuente'!N149="","",LN('Datos_fuente'!N149))</x:f>
        <x:v>10.766277502682835</x:v>
      </x:c>
      <x:c r="R149" s="98" t="n">
        <x:f>IF(OR(Q149="",Q148=""),"",Q149-Q148)</x:f>
        <x:v>-0.00026539216700349755</x:v>
      </x:c>
      <x:c r="S149" s="63" t="n">
        <x:f>'Datos_fuente'!P149</x:f>
        <x:v>1.861363636</x:v>
      </x:c>
      <x:c r="T149" s="63" t="n">
        <x:f>IF(OR(S149="",S148=""),"",S149-S148)</x:f>
        <x:v>0.007727272000000118</x:v>
      </x:c>
      <x:c r="U149" s="98" t="n">
        <x:f>IF('Datos_fuente'!Q149="","",ASINH('Datos_fuente'!Q149/1000))</x:f>
        <x:v>-0.07717337322876054</x:v>
      </x:c>
      <x:c r="V149" s="98" t="n">
        <x:f>IF(OR(U149="",U148=""),"",U149-U148)</x:f>
        <x:v>-0.09519239812763824</x:v>
      </x:c>
      <x:c r="W149" s="98" t="n">
        <x:f>IF('Datos_fuente'!R149="","",ASINH('Datos_fuente'!R149/1000))</x:f>
        <x:v>-0.33449728107524274</x:v>
      </x:c>
      <x:c r="X149" s="98" t="n">
        <x:f>IF(OR(W149="",W148=""),"",W149-W148)</x:f>
        <x:v>0.14252471163412572</x:v>
      </x:c>
      <x:c r="Y149" s="63" t="n">
        <x:f>'Datos_fuente'!W149</x:f>
        <x:v>1.55263334</x:v>
      </x:c>
      <x:c r="Z149" s="63" t="n">
        <x:f>IF(OR(Y149="",Y148=""),"",Y149-Y148)</x:f>
        <x:v>-0.08228092999999981</x:v>
      </x:c>
      <x:c r="AA149" s="98" t="n">
        <x:f>'Datos_fuente'!AB149</x:f>
        <x:v>0.2866448418</x:v>
      </x:c>
      <x:c r="AB149" s="98" t="n">
        <x:f>'Datos_fuente'!AC149</x:f>
        <x:v>0.1523562085</x:v>
      </x:c>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t="str">
        <x:f>'Datos_fuente'!A150</x:f>
        <x:v>2017-12</x:v>
      </x:c>
      <x:c r="B150" s="98" t="n">
        <x:f>IF('Datos_fuente'!B150="","",LN('Datos_fuente'!B150))</x:f>
        <x:v>8.003617768749587</x:v>
      </x:c>
      <x:c r="C150" s="98" t="n">
        <x:f>IF(OR(B150="",B149=""),"",B150-B149)</x:f>
        <x:v>-0.007228642887845638</x:v>
      </x:c>
      <x:c r="D150" s="98" t="n">
        <x:f>IF('Datos_fuente'!C150="","",LN('Datos_fuente'!C150))</x:f>
        <x:v>4.935264987071479</x:v>
      </x:c>
      <x:c r="E150" s="98" t="n">
        <x:f>IF(OR(D150="",D149=""),"",D150-D149)</x:f>
        <x:v>0.05072215650274714</x:v>
      </x:c>
      <x:c r="F150" s="98" t="n">
        <x:f>IF('Datos_fuente'!E150="","",LN('Datos_fuente'!E150))</x:f>
        <x:v>8.662800624269046</x:v>
      </x:c>
      <x:c r="G150" s="98" t="n">
        <x:f>IF(OR(F150="",F149=""),"",F150-F149)</x:f>
        <x:v>0.013932011477898243</x:v>
      </x:c>
      <x:c r="H150" s="63" t="n">
        <x:f>'Datos_fuente'!H150</x:f>
        <x:v>3.45</x:v>
      </x:c>
      <x:c r="I150" s="63" t="n">
        <x:f>IF(OR(H150="",H149=""),"",H150-H149)</x:f>
        <x:v>-0.3566666669999998</x:v>
      </x:c>
      <x:c r="J150" s="63" t="n">
        <x:f>'Datos_fuente'!J150</x:f>
        <x:v>3.654192719</x:v>
      </x:c>
      <x:c r="K150" s="63" t="n">
        <x:f>IF(OR(J150="",J149=""),"",J150-J149)</x:f>
        <x:v>0.2548556500000001</x:v>
      </x:c>
      <x:c r="L150" s="98" t="n">
        <x:f>IF('Datos_fuente'!K150="","",LN('Datos_fuente'!K150))</x:f>
        <x:v>4.7084107461272975</x:v>
      </x:c>
      <x:c r="M150" s="98" t="n">
        <x:f>IF(OR(L150="",L149=""),"",L150-L149)</x:f>
        <x:v>-0.002591569291360507</x:v>
      </x:c>
      <x:c r="N150" s="98" t="n">
        <x:f>IF('Datos_fuente'!L150="","",LN('Datos_fuente'!L150))</x:f>
        <x:v>2.328691340078525</x:v>
      </x:c>
      <x:c r="O150" s="98" t="n">
        <x:f>IF(OR(N150="",N149=""),"",N150-N149)</x:f>
        <x:v>-0.02653138133102484</x:v>
      </x:c>
      <x:c r="P150" s="96" t="n">
        <x:f>'Datos_fuente'!M150</x:f>
        <x:v>0</x:v>
      </x:c>
      <x:c r="Q150" s="98" t="n">
        <x:f>IF('Datos_fuente'!N150="","",LN('Datos_fuente'!N150))</x:f>
        <x:v>10.771197938227518</x:v>
      </x:c>
      <x:c r="R150" s="98" t="n">
        <x:f>IF(OR(Q150="",Q149=""),"",Q150-Q149)</x:f>
        <x:v>0.004920435544683244</x:v>
      </x:c>
      <x:c r="S150" s="63" t="n">
        <x:f>'Datos_fuente'!P150</x:f>
        <x:v>1.732857143</x:v>
      </x:c>
      <x:c r="T150" s="63" t="n">
        <x:f>IF(OR(S150="",S149=""),"",S150-S149)</x:f>
        <x:v>-0.12850649300000017</x:v>
      </x:c>
      <x:c r="U150" s="98" t="n">
        <x:f>IF('Datos_fuente'!Q150="","",ASINH('Datos_fuente'!Q150/1000))</x:f>
        <x:v>-0.13925944908498272</x:v>
      </x:c>
      <x:c r="V150" s="98" t="n">
        <x:f>IF(OR(U150="",U149=""),"",U150-U149)</x:f>
        <x:v>-0.06208607585622218</x:v>
      </x:c>
      <x:c r="W150" s="98" t="n">
        <x:f>IF('Datos_fuente'!R150="","",ASINH('Datos_fuente'!R150/1000))</x:f>
        <x:v>-0.0026199970025545384</x:v>
      </x:c>
      <x:c r="X150" s="98" t="n">
        <x:f>IF(OR(W150="",W149=""),"",W150-W149)</x:f>
        <x:v>0.3318772840726882</x:v>
      </x:c>
      <x:c r="Y150" s="63" t="n">
        <x:f>'Datos_fuente'!W150</x:f>
        <x:v>1.623135005</x:v>
      </x:c>
      <x:c r="Z150" s="63" t="n">
        <x:f>IF(OR(Y150="",Y149=""),"",Y150-Y149)</x:f>
        <x:v>0.07050166499999988</x:v>
      </x:c>
      <x:c r="AA150" s="98" t="n">
        <x:f>'Datos_fuente'!AB150</x:f>
        <x:v>0.1671575097</x:v>
      </x:c>
      <x:c r="AB150" s="98" t="n">
        <x:f>'Datos_fuente'!AC150</x:f>
        <x:v>0.1632354768</x:v>
      </x:c>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t="str">
        <x:f>'Datos_fuente'!A151</x:f>
        <x:v>2018-01</x:v>
      </x:c>
      <x:c r="B151" s="98" t="n">
        <x:f>IF('Datos_fuente'!B151="","",LN('Datos_fuente'!B151))</x:f>
        <x:v>7.961569713893737</x:v>
      </x:c>
      <x:c r="C151" s="98" t="n">
        <x:f>IF(OR(B151="",B150=""),"",B151-B150)</x:f>
        <x:v>-0.04204805485584995</x:v>
      </x:c>
      <x:c r="D151" s="98" t="n">
        <x:f>IF('Datos_fuente'!C151="","",LN('Datos_fuente'!C151))</x:f>
        <x:v>4.948547101782834</x:v>
      </x:c>
      <x:c r="E151" s="98" t="n">
        <x:f>IF(OR(D151="",D150=""),"",D151-D150)</x:f>
        <x:v>0.01328211471135532</x:v>
      </x:c>
      <x:c r="F151" s="98" t="n">
        <x:f>IF('Datos_fuente'!E151="","",LN('Datos_fuente'!E151))</x:f>
        <x:v>8.679041596162527</x:v>
      </x:c>
      <x:c r="G151" s="98" t="n">
        <x:f>IF(OR(F151="",F150=""),"",F151-F150)</x:f>
        <x:v>0.01624097189348106</x:v>
      </x:c>
      <x:c r="H151" s="63" t="n">
        <x:f>'Datos_fuente'!H151</x:f>
        <x:v>3.323870968</x:v>
      </x:c>
      <x:c r="I151" s="63" t="n">
        <x:f>IF(OR(H151="",H150=""),"",H151-H150)</x:f>
        <x:v>-0.12612903200000014</x:v>
      </x:c>
      <x:c r="J151" s="63" t="n">
        <x:f>'Datos_fuente'!J151</x:f>
        <x:v>2.85513929</x:v>
      </x:c>
      <x:c r="K151" s="63" t="n">
        <x:f>IF(OR(J151="",J150=""),"",J151-J150)</x:f>
        <x:v>-0.7990534290000002</x:v>
      </x:c>
      <x:c r="L151" s="98" t="n">
        <x:f>IF('Datos_fuente'!K151="","",LN('Datos_fuente'!K151))</x:f>
        <x:v>4.685429265943765</x:v>
      </x:c>
      <x:c r="M151" s="98" t="n">
        <x:f>IF(OR(L151="",L150=""),"",L151-L150)</x:f>
        <x:v>-0.022981480183532632</x:v>
      </x:c>
      <x:c r="N151" s="98" t="n">
        <x:f>IF('Datos_fuente'!L151="","",LN('Datos_fuente'!L151))</x:f>
        <x:v>2.403550248694221</x:v>
      </x:c>
      <x:c r="O151" s="98" t="n">
        <x:f>IF(OR(N151="",N150=""),"",N151-N150)</x:f>
        <x:v>0.07485890861569588</x:v>
      </x:c>
      <x:c r="P151" s="96" t="n">
        <x:f>'Datos_fuente'!M151</x:f>
        <x:v>0</x:v>
      </x:c>
      <x:c r="Q151" s="98" t="n">
        <x:f>IF('Datos_fuente'!N151="","",LN('Datos_fuente'!N151))</x:f>
        <x:v>10.77444466948557</x:v>
      </x:c>
      <x:c r="R151" s="98" t="n">
        <x:f>IF(OR(Q151="",Q150=""),"",Q151-Q150)</x:f>
        <x:v>0.0032467312580521934</x:v>
      </x:c>
      <x:c r="S151" s="63" t="n">
        <x:f>'Datos_fuente'!P151</x:f>
        <x:v>1.599130435</x:v>
      </x:c>
      <x:c r="T151" s="63" t="n">
        <x:f>IF(OR(S151="",S150=""),"",S151-S150)</x:f>
        <x:v>-0.13372670799999997</x:v>
      </x:c>
      <x:c r="U151" s="98" t="n">
        <x:f>IF('Datos_fuente'!Q151="","",ASINH('Datos_fuente'!Q151/1000))</x:f>
        <x:v>-0.2258354356703735</x:v>
      </x:c>
      <x:c r="V151" s="98" t="n">
        <x:f>IF(OR(U151="",U150=""),"",U151-U150)</x:f>
        <x:v>-0.08657598658539079</x:v>
      </x:c>
      <x:c r="W151" s="98" t="n">
        <x:f>IF('Datos_fuente'!R151="","",ASINH('Datos_fuente'!R151/1000))</x:f>
        <x:v>0.14032898137717884</x:v>
      </x:c>
      <x:c r="X151" s="98" t="n">
        <x:f>IF(OR(W151="",W150=""),"",W151-W150)</x:f>
        <x:v>0.14294897837973336</x:v>
      </x:c>
      <x:c r="Y151" s="63" t="n">
        <x:f>'Datos_fuente'!W151</x:f>
        <x:v>1.475695247</x:v>
      </x:c>
      <x:c r="Z151" s="63" t="n">
        <x:f>IF(OR(Y151="",Y150=""),"",Y151-Y150)</x:f>
        <x:v>-0.14743975799999998</x:v>
      </x:c>
      <x:c r="AA151" s="98" t="n">
        <x:f>'Datos_fuente'!AB151</x:f>
        <x:v>-1.076734371</x:v>
      </x:c>
      <x:c r="AB151" s="98" t="n">
        <x:f>'Datos_fuente'!AC151</x:f>
        <x:v>-1.001759309</x:v>
      </x:c>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t="str">
        <x:f>'Datos_fuente'!A152</x:f>
        <x:v>2018-02</x:v>
      </x:c>
      <x:c r="B152" s="98" t="n">
        <x:f>IF('Datos_fuente'!B152="","",LN('Datos_fuente'!B152))</x:f>
        <x:v>7.95866531144429</x:v>
      </x:c>
      <x:c r="C152" s="98" t="n">
        <x:f>IF(OR(B152="",B151=""),"",B152-B151)</x:f>
        <x:v>-0.002904402449447119</x:v>
      </x:c>
      <x:c r="D152" s="98" t="n">
        <x:f>IF('Datos_fuente'!C152="","",LN('Datos_fuente'!C152))</x:f>
        <x:v>4.905052531521191</x:v>
      </x:c>
      <x:c r="E152" s="98" t="n">
        <x:f>IF(OR(D152="",D151=""),"",D152-D151)</x:f>
        <x:v>-0.04349457026164316</x:v>
      </x:c>
      <x:c r="F152" s="98" t="n">
        <x:f>IF('Datos_fuente'!E152="","",LN('Datos_fuente'!E152))</x:f>
        <x:v>8.69257237225472</x:v>
      </x:c>
      <x:c r="G152" s="98" t="n">
        <x:f>IF(OR(F152="",F151=""),"",F152-F151)</x:f>
        <x:v>0.013530776092192554</x:v>
      </x:c>
      <x:c r="H152" s="63" t="n">
        <x:f>'Datos_fuente'!H152</x:f>
        <x:v>3.08</x:v>
      </x:c>
      <x:c r="I152" s="63" t="n">
        <x:f>IF(OR(H152="",H151=""),"",H152-H151)</x:f>
        <x:v>-0.24387096799999997</x:v>
      </x:c>
      <x:c r="J152" s="63" t="n">
        <x:f>'Datos_fuente'!J152</x:f>
        <x:v>2.815829311</x:v>
      </x:c>
      <x:c r="K152" s="63" t="n">
        <x:f>IF(OR(J152="",J151=""),"",J152-J151)</x:f>
        <x:v>-0.039309978999999995</x:v>
      </x:c>
      <x:c r="L152" s="98" t="n">
        <x:f>IF('Datos_fuente'!K152="","",LN('Datos_fuente'!K152))</x:f>
        <x:v>4.678886103512726</x:v>
      </x:c>
      <x:c r="M152" s="98" t="n">
        <x:f>IF(OR(L152="",L151=""),"",L152-L151)</x:f>
        <x:v>-0.006543162431039029</x:v>
      </x:c>
      <x:c r="N152" s="98" t="n">
        <x:f>IF('Datos_fuente'!L152="","",LN('Datos_fuente'!L152))</x:f>
        <x:v>3.111946828231388</x:v>
      </x:c>
      <x:c r="O152" s="98" t="n">
        <x:f>IF(OR(N152="",N151=""),"",N152-N151)</x:f>
        <x:v>0.7083965795371672</x:v>
      </x:c>
      <x:c r="P152" s="96" t="n">
        <x:f>'Datos_fuente'!M152</x:f>
        <x:v>0</x:v>
      </x:c>
      <x:c r="Q152" s="98" t="n">
        <x:f>IF('Datos_fuente'!N152="","",LN('Datos_fuente'!N152))</x:f>
        <x:v>10.77136001108088</x:v>
      </x:c>
      <x:c r="R152" s="98" t="n">
        <x:f>IF(OR(Q152="",Q151=""),"",Q152-Q151)</x:f>
        <x:v>-0.003084658404690188</x:v>
      </x:c>
      <x:c r="S152" s="63" t="n">
        <x:f>'Datos_fuente'!P152</x:f>
        <x:v>1.729</x:v>
      </x:c>
      <x:c r="T152" s="63" t="n">
        <x:f>IF(OR(S152="",S151=""),"",S152-S151)</x:f>
        <x:v>0.12986956500000013</x:v>
      </x:c>
      <x:c r="U152" s="98" t="n">
        <x:f>IF('Datos_fuente'!Q152="","",ASINH('Datos_fuente'!Q152/1000))</x:f>
        <x:v>0.008579894732035262</x:v>
      </x:c>
      <x:c r="V152" s="98" t="n">
        <x:f>IF(OR(U152="",U151=""),"",U152-U151)</x:f>
        <x:v>0.23441533040240878</x:v>
      </x:c>
      <x:c r="W152" s="98" t="n">
        <x:f>IF('Datos_fuente'!R152="","",ASINH('Datos_fuente'!R152/1000))</x:f>
        <x:v>-0.4124832707243171</x:v>
      </x:c>
      <x:c r="X152" s="98" t="n">
        <x:f>IF(OR(W152="",W151=""),"",W152-W151)</x:f>
        <x:v>-0.552812252101496</x:v>
      </x:c>
      <x:c r="Y152" s="63" t="n">
        <x:f>'Datos_fuente'!W152</x:f>
        <x:v>1.456621058</x:v>
      </x:c>
      <x:c r="Z152" s="63" t="n">
        <x:f>IF(OR(Y152="",Y151=""),"",Y152-Y151)</x:f>
        <x:v>-0.019074188999999908</x:v>
      </x:c>
      <x:c r="AA152" s="98" t="n">
        <x:f>'Datos_fuente'!AB152</x:f>
        <x:v>-0.3920744427</x:v>
      </x:c>
      <x:c r="AB152" s="98" t="n">
        <x:f>'Datos_fuente'!AC152</x:f>
        <x:v>-0.08061365941</x:v>
      </x:c>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t="str">
        <x:f>'Datos_fuente'!A153</x:f>
        <x:v>2018-03</x:v>
      </x:c>
      <x:c r="B153" s="98" t="n">
        <x:f>IF('Datos_fuente'!B153="","",LN('Datos_fuente'!B153))</x:f>
        <x:v>7.954347920058381</x:v>
      </x:c>
      <x:c r="C153" s="98" t="n">
        <x:f>IF(OR(B153="",B152=""),"",B153-B152)</x:f>
        <x:v>-0.00431739138590892</x:v>
      </x:c>
      <x:c r="D153" s="98" t="n">
        <x:f>IF('Datos_fuente'!C153="","",LN('Datos_fuente'!C153))</x:f>
        <x:v>4.911109574710704</x:v>
      </x:c>
      <x:c r="E153" s="98" t="n">
        <x:f>IF(OR(D153="",D152=""),"",D153-D152)</x:f>
        <x:v>0.006057043189512612</x:v>
      </x:c>
      <x:c r="F153" s="98" t="n">
        <x:f>IF('Datos_fuente'!E153="","",LN('Datos_fuente'!E153))</x:f>
        <x:v>8.696021988955298</x:v>
      </x:c>
      <x:c r="G153" s="98" t="n">
        <x:f>IF(OR(F153="",F152=""),"",F153-F152)</x:f>
        <x:v>0.0034496167005784173</x:v>
      </x:c>
      <x:c r="H153" s="63" t="n">
        <x:f>'Datos_fuente'!H153</x:f>
        <x:v>2.99</x:v>
      </x:c>
      <x:c r="I153" s="63" t="n">
        <x:f>IF(OR(H153="",H152=""),"",H153-H152)</x:f>
        <x:v>-0.08999999999999986</x:v>
      </x:c>
      <x:c r="J153" s="63" t="n">
        <x:f>'Datos_fuente'!J153</x:f>
        <x:v>2.844060995</x:v>
      </x:c>
      <x:c r="K153" s="63" t="n">
        <x:f>IF(OR(J153="",J152=""),"",J153-J152)</x:f>
        <x:v>0.02823168400000009</x:v>
      </x:c>
      <x:c r="L153" s="98" t="n">
        <x:f>IF('Datos_fuente'!K153="","",LN('Datos_fuente'!K153))</x:f>
        <x:v>4.681641987095461</x:v>
      </x:c>
      <x:c r="M153" s="98" t="n">
        <x:f>IF(OR(L153="",L152=""),"",L153-L152)</x:f>
        <x:v>0.0027558835827354855</x:v>
      </x:c>
      <x:c r="N153" s="98" t="n">
        <x:f>IF('Datos_fuente'!L153="","",LN('Datos_fuente'!L153))</x:f>
        <x:v>2.945691327282656</x:v>
      </x:c>
      <x:c r="O153" s="98" t="n">
        <x:f>IF(OR(N153="",N152=""),"",N153-N152)</x:f>
        <x:v>-0.16625550094873187</x:v>
      </x:c>
      <x:c r="P153" s="96" t="n">
        <x:f>'Datos_fuente'!M153</x:f>
        <x:v>0</x:v>
      </x:c>
      <x:c r="Q153" s="98" t="n">
        <x:f>IF('Datos_fuente'!N153="","",LN('Datos_fuente'!N153))</x:f>
        <x:v>10.77076260481416</x:v>
      </x:c>
      <x:c r="R153" s="98" t="n">
        <x:f>IF(OR(Q153="",Q152=""),"",Q153-Q152)</x:f>
        <x:v>-0.0005974062667206681</x:v>
      </x:c>
      <x:c r="S153" s="63" t="n">
        <x:f>'Datos_fuente'!P153</x:f>
        <x:v>1.789090909</x:v>
      </x:c>
      <x:c r="T153" s="63" t="n">
        <x:f>IF(OR(S153="",S152=""),"",S153-S152)</x:f>
        <x:v>0.060090908999999915</x:v>
      </x:c>
      <x:c r="U153" s="98" t="n">
        <x:f>IF('Datos_fuente'!Q153="","",ASINH('Datos_fuente'!Q153/1000))</x:f>
        <x:v>-0.11875070475184654</x:v>
      </x:c>
      <x:c r="V153" s="98" t="n">
        <x:f>IF(OR(U153="",U152=""),"",U153-U152)</x:f>
        <x:v>-0.1273305994838818</x:v>
      </x:c>
      <x:c r="W153" s="98" t="n">
        <x:f>IF('Datos_fuente'!R153="","",ASINH('Datos_fuente'!R153/1000))</x:f>
        <x:v>-0.03064520314427595</x:v>
      </x:c>
      <x:c r="X153" s="98" t="n">
        <x:f>IF(OR(W153="",W152=""),"",W153-W152)</x:f>
        <x:v>0.3818380675800412</x:v>
      </x:c>
      <x:c r="Y153" s="63" t="n">
        <x:f>'Datos_fuente'!W153</x:f>
        <x:v>1.218344345</x:v>
      </x:c>
      <x:c r="Z153" s="63" t="n">
        <x:f>IF(OR(Y153="",Y152=""),"",Y153-Y152)</x:f>
        <x:v>-0.23827671300000008</x:v>
      </x:c>
      <x:c r="AA153" s="98" t="n">
        <x:f>'Datos_fuente'!AB153</x:f>
        <x:v>0.150486674</x:v>
      </x:c>
      <x:c r="AB153" s="98" t="n">
        <x:f>'Datos_fuente'!AC153</x:f>
        <x:v>0.1366452316</x:v>
      </x:c>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t="str">
        <x:f>'Datos_fuente'!A154</x:f>
        <x:v>2018-04</x:v>
      </x:c>
      <x:c r="B154" s="98" t="n">
        <x:f>IF('Datos_fuente'!B154="","",LN('Datos_fuente'!B154))</x:f>
        <x:v>7.925260543793125</x:v>
      </x:c>
      <x:c r="C154" s="98" t="n">
        <x:f>IF(OR(B154="",B153=""),"",B154-B153)</x:f>
        <x:v>-0.029087376265255926</x:v>
      </x:c>
      <x:c r="D154" s="98" t="n">
        <x:f>IF('Datos_fuente'!C154="","",LN('Datos_fuente'!C154))</x:f>
        <x:v>4.923114696566761</x:v>
      </x:c>
      <x:c r="E154" s="98" t="n">
        <x:f>IF(OR(D154="",D153=""),"",D154-D153)</x:f>
        <x:v>0.012005121856057066</x:v>
      </x:c>
      <x:c r="F154" s="98" t="n">
        <x:f>IF('Datos_fuente'!E154="","",LN('Datos_fuente'!E154))</x:f>
        <x:v>8.718182745128603</x:v>
      </x:c>
      <x:c r="G154" s="98" t="n">
        <x:f>IF(OR(F154="",F153=""),"",F154-F153)</x:f>
        <x:v>0.02216075617330482</x:v>
      </x:c>
      <x:c r="H154" s="63" t="n">
        <x:f>'Datos_fuente'!H154</x:f>
        <x:v>2.801666667</x:v>
      </x:c>
      <x:c r="I154" s="63" t="n">
        <x:f>IF(OR(H154="",H153=""),"",H154-H153)</x:f>
        <x:v>-0.1883333330000001</x:v>
      </x:c>
      <x:c r="J154" s="63" t="n">
        <x:f>'Datos_fuente'!J154</x:f>
        <x:v>3.178393375</x:v>
      </x:c>
      <x:c r="K154" s="63" t="n">
        <x:f>IF(OR(J154="",J153=""),"",J154-J153)</x:f>
        <x:v>0.3343323800000002</x:v>
      </x:c>
      <x:c r="L154" s="98" t="n">
        <x:f>IF('Datos_fuente'!K154="","",LN('Datos_fuente'!K154))</x:f>
        <x:v>4.6816066182447456</x:v>
      </x:c>
      <x:c r="M154" s="98" t="n">
        <x:f>IF(OR(L154="",L153=""),"",L154-L153)</x:f>
        <x:v>-0.000035368850715755684</x:v>
      </x:c>
      <x:c r="N154" s="98" t="n">
        <x:f>IF('Datos_fuente'!L154="","",LN('Datos_fuente'!L154))</x:f>
        <x:v>2.905130041700456</x:v>
      </x:c>
      <x:c r="O154" s="98" t="n">
        <x:f>IF(OR(N154="",N153=""),"",N154-N153)</x:f>
        <x:v>-0.04056128558219996</x:v>
      </x:c>
      <x:c r="P154" s="96" t="n">
        <x:f>'Datos_fuente'!M154</x:f>
        <x:v>0</x:v>
      </x:c>
      <x:c r="Q154" s="98" t="n">
        <x:f>IF('Datos_fuente'!N154="","",LN('Datos_fuente'!N154))</x:f>
        <x:v>10.768574459704412</x:v>
      </x:c>
      <x:c r="R154" s="98" t="n">
        <x:f>IF(OR(Q154="",Q153=""),"",Q154-Q153)</x:f>
        <x:v>-0.002188145109746742</x:v>
      </x:c>
      <x:c r="S154" s="63" t="n">
        <x:f>'Datos_fuente'!P154</x:f>
        <x:v>1.732857143</x:v>
      </x:c>
      <x:c r="T154" s="63" t="n">
        <x:f>IF(OR(S154="",S153=""),"",S154-S153)</x:f>
        <x:v>-0.056233766000000074</x:v>
      </x:c>
      <x:c r="U154" s="98" t="n">
        <x:f>IF('Datos_fuente'!Q154="","",ASINH('Datos_fuente'!Q154/1000))</x:f>
        <x:v>-0.022438117136160077</x:v>
      </x:c>
      <x:c r="V154" s="98" t="n">
        <x:f>IF(OR(U154="",U153=""),"",U154-U153)</x:f>
        <x:v>0.09631258761568647</x:v>
      </x:c>
      <x:c r="W154" s="98" t="n">
        <x:f>IF('Datos_fuente'!R154="","",ASINH('Datos_fuente'!R154/1000))</x:f>
        <x:v>-0.3380164439139909</x:v>
      </x:c>
      <x:c r="X154" s="98" t="n">
        <x:f>IF(OR(W154="",W153=""),"",W154-W153)</x:f>
        <x:v>-0.30737124076971495</x:v>
      </x:c>
      <x:c r="Y154" s="63" t="n">
        <x:f>'Datos_fuente'!W154</x:f>
        <x:v>0.9617285533</x:v>
      </x:c>
      <x:c r="Z154" s="63" t="n">
        <x:f>IF(OR(Y154="",Y153=""),"",Y154-Y153)</x:f>
        <x:v>-0.25661579170000004</x:v>
      </x:c>
      <x:c r="AA154" s="98" t="n">
        <x:f>'Datos_fuente'!AB154</x:f>
        <x:v>-0.003140086552</x:v>
      </x:c>
      <x:c r="AB154" s="98" t="n">
        <x:f>'Datos_fuente'!AC154</x:f>
        <x:v>-0.1337327364</x:v>
      </x:c>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t="str">
        <x:f>'Datos_fuente'!A155</x:f>
        <x:v>2018-05</x:v>
      </x:c>
      <x:c r="B155" s="98" t="n">
        <x:f>IF('Datos_fuente'!B155="","",LN('Datos_fuente'!B155))</x:f>
        <x:v>7.959215093833613</x:v>
      </x:c>
      <x:c r="C155" s="98" t="n">
        <x:f>IF(OR(B155="",B154=""),"",B155-B154)</x:f>
        <x:v>0.03395455004048831</x:v>
      </x:c>
      <x:c r="D155" s="98" t="n">
        <x:f>IF('Datos_fuente'!C155="","",LN('Datos_fuente'!C155))</x:f>
        <x:v>4.948830809849139</x:v>
      </x:c>
      <x:c r="E155" s="98" t="n">
        <x:f>IF(OR(D155="",D154=""),"",D155-D154)</x:f>
        <x:v>0.025716113282378217</x:v>
      </x:c>
      <x:c r="F155" s="98" t="n">
        <x:f>IF('Datos_fuente'!E155="","",LN('Datos_fuente'!E155))</x:f>
        <x:v>8.726820204512132</x:v>
      </x:c>
      <x:c r="G155" s="98" t="n">
        <x:f>IF(OR(F155="",F154=""),"",F155-F154)</x:f>
        <x:v>0.008637459383528778</x:v>
      </x:c>
      <x:c r="H155" s="63" t="n">
        <x:f>'Datos_fuente'!H155</x:f>
        <x:v>2.55</x:v>
      </x:c>
      <x:c r="I155" s="63" t="n">
        <x:f>IF(OR(H155="",H154=""),"",H155-H154)</x:f>
        <x:v>-0.2516666670000003</x:v>
      </x:c>
      <x:c r="J155" s="63" t="n">
        <x:f>'Datos_fuente'!J155</x:f>
        <x:v>3.254779019</x:v>
      </x:c>
      <x:c r="K155" s="63" t="n">
        <x:f>IF(OR(J155="",J154=""),"",J155-J154)</x:f>
        <x:v>0.0763856439999997</x:v>
      </x:c>
      <x:c r="L155" s="98" t="n">
        <x:f>IF('Datos_fuente'!K155="","",LN('Datos_fuente'!K155))</x:f>
        <x:v>4.709953903429805</x:v>
      </x:c>
      <x:c r="M155" s="98" t="n">
        <x:f>IF(OR(L155="",L154=""),"",L155-L154)</x:f>
        <x:v>0.02834728518505969</x:v>
      </x:c>
      <x:c r="N155" s="98" t="n">
        <x:f>IF('Datos_fuente'!L155="","",LN('Datos_fuente'!L155))</x:f>
        <x:v>2.647914095983727</x:v>
      </x:c>
      <x:c r="O155" s="98" t="n">
        <x:f>IF(OR(N155="",N154=""),"",N155-N154)</x:f>
        <x:v>-0.25721594571672934</x:v>
      </x:c>
      <x:c r="P155" s="96" t="n">
        <x:f>'Datos_fuente'!M155</x:f>
        <x:v>0</x:v>
      </x:c>
      <x:c r="Q155" s="98" t="n">
        <x:f>IF('Datos_fuente'!N155="","",LN('Datos_fuente'!N155))</x:f>
        <x:v>10.770651273514362</x:v>
      </x:c>
      <x:c r="R155" s="98" t="n">
        <x:f>IF(OR(Q155="",Q154=""),"",Q155-Q154)</x:f>
        <x:v>0.00207681380994984</x:v>
      </x:c>
      <x:c r="S155" s="63" t="n">
        <x:f>'Datos_fuente'!P155</x:f>
        <x:v>1.899130435</x:v>
      </x:c>
      <x:c r="T155" s="63" t="n">
        <x:f>IF(OR(S155="",S154=""),"",S155-S154)</x:f>
        <x:v>0.16627329200000007</x:v>
      </x:c>
      <x:c r="U155" s="98" t="n">
        <x:f>IF('Datos_fuente'!Q155="","",ASINH('Datos_fuente'!Q155/1000))</x:f>
        <x:v>-0.021838264144980205</x:v>
      </x:c>
      <x:c r="V155" s="98" t="n">
        <x:f>IF(OR(U155="",U154=""),"",U155-U154)</x:f>
        <x:v>0.0005998529911798722</x:v>
      </x:c>
      <x:c r="W155" s="98" t="n">
        <x:f>IF('Datos_fuente'!R155="","",ASINH('Datos_fuente'!R155/1000))</x:f>
        <x:v>-0.26856004497674313</x:v>
      </x:c>
      <x:c r="X155" s="98" t="n">
        <x:f>IF(OR(W155="",W154=""),"",W155-W154)</x:f>
        <x:v>0.06945639893724775</x:v>
      </x:c>
      <x:c r="Y155" s="63" t="n">
        <x:f>'Datos_fuente'!W155</x:f>
        <x:v>1.159857786</x:v>
      </x:c>
      <x:c r="Z155" s="63" t="n">
        <x:f>IF(OR(Y155="",Y154=""),"",Y155-Y154)</x:f>
        <x:v>0.19812923269999994</x:v>
      </x:c>
      <x:c r="AA155" s="98" t="n">
        <x:f>'Datos_fuente'!AB155</x:f>
        <x:v>1.746583369</x:v>
      </x:c>
      <x:c r="AB155" s="98" t="n">
        <x:f>'Datos_fuente'!AC155</x:f>
        <x:v>1.580944624</x:v>
      </x:c>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t="str">
        <x:f>'Datos_fuente'!A156</x:f>
        <x:v>2018-06</x:v>
      </x:c>
      <x:c r="B156" s="98" t="n">
        <x:f>IF('Datos_fuente'!B156="","",LN('Datos_fuente'!B156))</x:f>
        <x:v>7.968904162859094</x:v>
      </x:c>
      <x:c r="C156" s="98" t="n">
        <x:f>IF(OR(B156="",B155=""),"",B156-B155)</x:f>
        <x:v>0.009689069025481167</x:v>
      </x:c>
      <x:c r="D156" s="98" t="n">
        <x:f>IF('Datos_fuente'!C156="","",LN('Datos_fuente'!C156))</x:f>
        <x:v>4.949539728069669</x:v>
      </x:c>
      <x:c r="E156" s="98" t="n">
        <x:f>IF(OR(D156="",D155=""),"",D156-D155)</x:f>
        <x:v>0.000708918220530208</x:v>
      </x:c>
      <x:c r="F156" s="98" t="n">
        <x:f>IF('Datos_fuente'!E156="","",LN('Datos_fuente'!E156))</x:f>
        <x:v>8.728733686879412</x:v>
      </x:c>
      <x:c r="G156" s="98" t="n">
        <x:f>IF(OR(F156="",F155=""),"",F156-F155)</x:f>
        <x:v>0.0019134823672803947</x:v>
      </x:c>
      <x:c r="H156" s="63" t="n">
        <x:f>'Datos_fuente'!H156</x:f>
        <x:v>2.43</x:v>
      </x:c>
      <x:c r="I156" s="63" t="n">
        <x:f>IF(OR(H156="",H155=""),"",H156-H155)</x:f>
        <x:v>-0.11999999999999966</x:v>
      </x:c>
      <x:c r="J156" s="63" t="n">
        <x:f>'Datos_fuente'!J156</x:f>
        <x:v>3.251444614</x:v>
      </x:c>
      <x:c r="K156" s="63" t="n">
        <x:f>IF(OR(J156="",J155=""),"",J156-J155)</x:f>
        <x:v>-0.0033344049999999292</x:v>
      </x:c>
      <x:c r="L156" s="98" t="n">
        <x:f>IF('Datos_fuente'!K156="","",LN('Datos_fuente'!K156))</x:f>
        <x:v>4.726010047011805</x:v>
      </x:c>
      <x:c r="M156" s="98" t="n">
        <x:f>IF(OR(L156="",L155=""),"",L156-L155)</x:f>
        <x:v>0.01605614358199947</x:v>
      </x:c>
      <x:c r="N156" s="98" t="n">
        <x:f>IF('Datos_fuente'!L156="","",LN('Datos_fuente'!L156))</x:f>
        <x:v>2.61579566565795</x:v>
      </x:c>
      <x:c r="O156" s="98" t="n">
        <x:f>IF(OR(N156="",N155=""),"",N156-N155)</x:f>
        <x:v>-0.03211843032577688</x:v>
      </x:c>
      <x:c r="P156" s="96" t="n">
        <x:f>'Datos_fuente'!M156</x:f>
        <x:v>0</x:v>
      </x:c>
      <x:c r="Q156" s="98" t="n">
        <x:f>IF('Datos_fuente'!N156="","",LN('Datos_fuente'!N156))</x:f>
        <x:v>10.768297182914397</x:v>
      </x:c>
      <x:c r="R156" s="98" t="n">
        <x:f>IF(OR(Q156="",Q155=""),"",Q156-Q155)</x:f>
        <x:v>-0.002354090599965275</x:v>
      </x:c>
      <x:c r="S156" s="63" t="n">
        <x:f>'Datos_fuente'!P156</x:f>
        <x:v>1.997142857</x:v>
      </x:c>
      <x:c r="T156" s="63" t="n">
        <x:f>IF(OR(S156="",S155=""),"",S156-S155)</x:f>
        <x:v>0.09801242200000004</x:v>
      </x:c>
      <x:c r="U156" s="98" t="n">
        <x:f>IF('Datos_fuente'!Q156="","",ASINH('Datos_fuente'!Q156/1000))</x:f>
        <x:v>0.002229998151742944</x:v>
      </x:c>
      <x:c r="V156" s="98" t="n">
        <x:f>IF(OR(U156="",U155=""),"",U156-U155)</x:f>
        <x:v>0.02406826229672315</x:v>
      </x:c>
      <x:c r="W156" s="98" t="n">
        <x:f>IF('Datos_fuente'!R156="","",ASINH('Datos_fuente'!R156/1000))</x:f>
        <x:v>-0.2642730896848588</x:v>
      </x:c>
      <x:c r="X156" s="98" t="n">
        <x:f>IF(OR(W156="",W155=""),"",W156-W155)</x:f>
        <x:v>0.004286955291884331</x:v>
      </x:c>
      <x:c r="Y156" s="63" t="n">
        <x:f>'Datos_fuente'!W156</x:f>
        <x:v>1.261848609</x:v>
      </x:c>
      <x:c r="Z156" s="63" t="n">
        <x:f>IF(OR(Y156="",Y155=""),"",Y156-Y155)</x:f>
        <x:v>0.10199082300000017</x:v>
      </x:c>
      <x:c r="AA156" s="98" t="n">
        <x:f>'Datos_fuente'!AB156</x:f>
        <x:v>0.8905220415</x:v>
      </x:c>
      <x:c r="AB156" s="98" t="n">
        <x:f>'Datos_fuente'!AC156</x:f>
        <x:v>0.6533680148</x:v>
      </x:c>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t="str">
        <x:f>'Datos_fuente'!A157</x:f>
        <x:v>2018-07</x:v>
      </x:c>
      <x:c r="B157" s="98" t="n">
        <x:f>IF('Datos_fuente'!B157="","",LN('Datos_fuente'!B157))</x:f>
        <x:v>7.967391761971348</x:v>
      </x:c>
      <x:c r="C157" s="98" t="n">
        <x:f>IF(OR(B157="",B156=""),"",B157-B156)</x:f>
        <x:v>-0.0015124008877460682</x:v>
      </x:c>
      <x:c r="D157" s="98" t="n">
        <x:f>IF('Datos_fuente'!C157="","",LN('Datos_fuente'!C157))</x:f>
        <x:v>4.944068049824143</x:v>
      </x:c>
      <x:c r="E157" s="98" t="n">
        <x:f>IF(OR(D157="",D156=""),"",D157-D156)</x:f>
        <x:v>-0.005471678245526412</x:v>
      </x:c>
      <x:c r="F157" s="98" t="n">
        <x:f>IF('Datos_fuente'!E157="","",LN('Datos_fuente'!E157))</x:f>
        <x:v>8.735832212550651</x:v>
      </x:c>
      <x:c r="G157" s="98" t="n">
        <x:f>IF(OR(F157="",F156=""),"",F157-F156)</x:f>
        <x:v>0.007098525671239031</x:v>
      </x:c>
      <x:c r="H157" s="63" t="n">
        <x:f>'Datos_fuente'!H157</x:f>
        <x:v>2.34</x:v>
      </x:c>
      <x:c r="I157" s="63" t="n">
        <x:f>IF(OR(H157="",H156=""),"",H157-H156)</x:f>
        <x:v>-0.0900000000000003</x:v>
      </x:c>
      <x:c r="J157" s="63" t="n">
        <x:f>'Datos_fuente'!J157</x:f>
        <x:v>3.408170597</x:v>
      </x:c>
      <x:c r="K157" s="63" t="n">
        <x:f>IF(OR(J157="",J156=""),"",J157-J156)</x:f>
        <x:v>0.15672598299999985</x:v>
      </x:c>
      <x:c r="L157" s="98" t="n">
        <x:f>IF('Datos_fuente'!K157="","",LN('Datos_fuente'!K157))</x:f>
        <x:v>4.727914523341933</x:v>
      </x:c>
      <x:c r="M157" s="98" t="n">
        <x:f>IF(OR(L157="",L156=""),"",L157-L156)</x:f>
        <x:v>0.0019044763301279133</x:v>
      </x:c>
      <x:c r="N157" s="98" t="n">
        <x:f>IF('Datos_fuente'!L157="","",LN('Datos_fuente'!L157))</x:f>
        <x:v>2.5762406813937795</x:v>
      </x:c>
      <x:c r="O157" s="98" t="n">
        <x:f>IF(OR(N157="",N156=""),"",N157-N156)</x:f>
        <x:v>-0.03955498426417048</x:v>
      </x:c>
      <x:c r="P157" s="96" t="n">
        <x:f>'Datos_fuente'!M157</x:f>
        <x:v>0</x:v>
      </x:c>
      <x:c r="Q157" s="98" t="n">
        <x:f>IF('Datos_fuente'!N157="","",LN('Datos_fuente'!N157))</x:f>
        <x:v>10.768867443193983</x:v>
      </x:c>
      <x:c r="R157" s="98" t="n">
        <x:f>IF(OR(Q157="",Q156=""),"",Q157-Q156)</x:f>
        <x:v>0.0005702602795860656</x:v>
      </x:c>
      <x:c r="S157" s="63" t="n">
        <x:f>'Datos_fuente'!P157</x:f>
        <x:v>1.807727273</x:v>
      </x:c>
      <x:c r="T157" s="63" t="n">
        <x:f>IF(OR(S157="",S156=""),"",S157-S156)</x:f>
        <x:v>-0.18941558400000003</x:v>
      </x:c>
      <x:c r="U157" s="98" t="n">
        <x:f>IF('Datos_fuente'!Q157="","",ASINH('Datos_fuente'!Q157/1000))</x:f>
        <x:v>-0.13006299051936876</x:v>
      </x:c>
      <x:c r="V157" s="98" t="n">
        <x:f>IF(OR(U157="",U156=""),"",U157-U156)</x:f>
        <x:v>-0.1322929886711117</x:v>
      </x:c>
      <x:c r="W157" s="98" t="n">
        <x:f>IF('Datos_fuente'!R157="","",ASINH('Datos_fuente'!R157/1000))</x:f>
        <x:v>-0.08662163455858954</x:v>
      </x:c>
      <x:c r="X157" s="98" t="n">
        <x:f>IF(OR(W157="",W156=""),"",W157-W156)</x:f>
        <x:v>0.17765145512626926</x:v>
      </x:c>
      <x:c r="Y157" s="63" t="n">
        <x:f>'Datos_fuente'!W157</x:f>
        <x:v>1.310595231</x:v>
      </x:c>
      <x:c r="Z157" s="63" t="n">
        <x:f>IF(OR(Y157="",Y156=""),"",Y157-Y156)</x:f>
        <x:v>0.048746621999999906</x:v>
      </x:c>
      <x:c r="AA157" s="98" t="n">
        <x:f>'Datos_fuente'!AB157</x:f>
        <x:v>-0.4604413067</x:v>
      </x:c>
      <x:c r="AB157" s="98" t="n">
        <x:f>'Datos_fuente'!AC157</x:f>
        <x:v>-0.3067550411</x:v>
      </x:c>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t="str">
        <x:f>'Datos_fuente'!A158</x:f>
        <x:v>2018-08</x:v>
      </x:c>
      <x:c r="B158" s="98" t="n">
        <x:f>IF('Datos_fuente'!B158="","",LN('Datos_fuente'!B158))</x:f>
        <x:v>7.992494031661977</x:v>
      </x:c>
      <x:c r="C158" s="98" t="n">
        <x:f>IF(OR(B158="",B157=""),"",B158-B157)</x:f>
        <x:v>0.025102269690628454</x:v>
      </x:c>
      <x:c r="D158" s="98" t="n">
        <x:f>IF('Datos_fuente'!C158="","",LN('Datos_fuente'!C158))</x:f>
        <x:v>4.945278660618249</x:v>
      </x:c>
      <x:c r="E158" s="98" t="n">
        <x:f>IF(OR(D158="",D157=""),"",D158-D157)</x:f>
        <x:v>0.001210610794106337</x:v>
      </x:c>
      <x:c r="F158" s="98" t="n">
        <x:f>IF('Datos_fuente'!E158="","",LN('Datos_fuente'!E158))</x:f>
        <x:v>8.7522431789634</x:v>
      </x:c>
      <x:c r="G158" s="98" t="n">
        <x:f>IF(OR(F158="",F157=""),"",F158-F157)</x:f>
        <x:v>0.016410966412749417</x:v>
      </x:c>
      <x:c r="H158" s="63" t="n">
        <x:f>'Datos_fuente'!H158</x:f>
        <x:v>2.34</x:v>
      </x:c>
      <x:c r="I158" s="63" t="n">
        <x:f>IF(OR(H158="",H157=""),"",H158-H157)</x:f>
        <x:v>0</x:v>
      </x:c>
      <x:c r="J158" s="63" t="n">
        <x:f>'Datos_fuente'!J158</x:f>
        <x:v>3.888627123</x:v>
      </x:c>
      <x:c r="K158" s="63" t="n">
        <x:f>IF(OR(J158="",J157=""),"",J158-J157)</x:f>
        <x:v>0.4804565260000002</x:v>
      </x:c>
      <x:c r="L158" s="98" t="n">
        <x:f>IF('Datos_fuente'!K158="","",LN('Datos_fuente'!K158))</x:f>
        <x:v>4.7347204303479655</x:v>
      </x:c>
      <x:c r="M158" s="98" t="n">
        <x:f>IF(OR(L158="",L157=""),"",L158-L157)</x:f>
        <x:v>0.006805907006032896</x:v>
      </x:c>
      <x:c r="N158" s="98" t="n">
        <x:f>IF('Datos_fuente'!L158="","",LN('Datos_fuente'!L158))</x:f>
        <x:v>2.52947812780135</x:v>
      </x:c>
      <x:c r="O158" s="98" t="n">
        <x:f>IF(OR(N158="",N157=""),"",N158-N157)</x:f>
        <x:v>-0.04676255359242942</x:v>
      </x:c>
      <x:c r="P158" s="96" t="n">
        <x:f>'Datos_fuente'!M158</x:f>
        <x:v>0</x:v>
      </x:c>
      <x:c r="Q158" s="98" t="n">
        <x:f>IF('Datos_fuente'!N158="","",LN('Datos_fuente'!N158))</x:f>
        <x:v>10.769266579239131</x:v>
      </x:c>
      <x:c r="R158" s="98" t="n">
        <x:f>IF(OR(Q158="",Q157=""),"",Q158-Q157)</x:f>
        <x:v>0.00039913604514829615</x:v>
      </x:c>
      <x:c r="S158" s="63" t="n">
        <x:f>'Datos_fuente'!P158</x:f>
        <x:v>1.823913043</x:v>
      </x:c>
      <x:c r="T158" s="63" t="n">
        <x:f>IF(OR(S158="",S157=""),"",S158-S157)</x:f>
        <x:v>0.016185769999999877</x:v>
      </x:c>
      <x:c r="U158" s="98" t="n">
        <x:f>IF('Datos_fuente'!Q158="","",ASINH('Datos_fuente'!Q158/1000))</x:f>
        <x:v>-0.06841661305074505</x:v>
      </x:c>
      <x:c r="V158" s="98" t="n">
        <x:f>IF(OR(U158="",U157=""),"",U158-U157)</x:f>
        <x:v>0.06164637746862371</x:v>
      </x:c>
      <x:c r="W158" s="98" t="n">
        <x:f>IF('Datos_fuente'!R158="","",ASINH('Datos_fuente'!R158/1000))</x:f>
        <x:v>-0.39814718260163096</x:v>
      </x:c>
      <x:c r="X158" s="98" t="n">
        <x:f>IF(OR(W158="",W157=""),"",W158-W157)</x:f>
        <x:v>-0.31152554804304144</x:v>
      </x:c>
      <x:c r="Y158" s="63" t="n">
        <x:f>'Datos_fuente'!W158</x:f>
        <x:v>1.264137897</x:v>
      </x:c>
      <x:c r="Z158" s="63" t="n">
        <x:f>IF(OR(Y158="",Y157=""),"",Y158-Y157)</x:f>
        <x:v>-0.04645733400000007</x:v>
      </x:c>
      <x:c r="AA158" s="98" t="n">
        <x:f>'Datos_fuente'!AB158</x:f>
        <x:v>0.1475915266</x:v>
      </x:c>
      <x:c r="AB158" s="98" t="n">
        <x:f>'Datos_fuente'!AC158</x:f>
        <x:v>0.183583238</x:v>
      </x:c>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t="str">
        <x:f>'Datos_fuente'!A159</x:f>
        <x:v>2018-09</x:v>
      </x:c>
      <x:c r="B159" s="98" t="n">
        <x:f>IF('Datos_fuente'!B159="","",LN('Datos_fuente'!B159))</x:f>
        <x:v>8.017560690274136</x:v>
      </x:c>
      <x:c r="C159" s="98" t="n">
        <x:f>IF(OR(B159="",B158=""),"",B159-B158)</x:f>
        <x:v>0.025066658612159287</x:v>
      </x:c>
      <x:c r="D159" s="98" t="n">
        <x:f>IF('Datos_fuente'!C159="","",LN('Datos_fuente'!C159))</x:f>
        <x:v>5.003879189599248</x:v>
      </x:c>
      <x:c r="E159" s="98" t="n">
        <x:f>IF(OR(D159="",D158=""),"",D159-D158)</x:f>
        <x:v>0.05860052898099877</x:v>
      </x:c>
      <x:c r="F159" s="98" t="n">
        <x:f>IF('Datos_fuente'!E159="","",LN('Datos_fuente'!E159))</x:f>
        <x:v>8.76659378949187</x:v>
      </x:c>
      <x:c r="G159" s="98" t="n">
        <x:f>IF(OR(F159="",F158=""),"",F159-F158)</x:f>
        <x:v>0.014350610528468977</x:v>
      </x:c>
      <x:c r="H159" s="63" t="n">
        <x:f>'Datos_fuente'!H159</x:f>
        <x:v>2.3</x:v>
      </x:c>
      <x:c r="I159" s="63" t="n">
        <x:f>IF(OR(H159="",H158=""),"",H159-H158)</x:f>
        <x:v>-0.040000000000000036</x:v>
      </x:c>
      <x:c r="J159" s="63" t="n">
        <x:f>'Datos_fuente'!J159</x:f>
        <x:v>3.978275332</x:v>
      </x:c>
      <x:c r="K159" s="63" t="n">
        <x:f>IF(OR(J159="",J158=""),"",J159-J158)</x:f>
        <x:v>0.08964820899999992</x:v>
      </x:c>
      <x:c r="L159" s="98" t="n">
        <x:f>IF('Datos_fuente'!K159="","",LN('Datos_fuente'!K159))</x:f>
        <x:v>4.736888238504762</x:v>
      </x:c>
      <x:c r="M159" s="98" t="n">
        <x:f>IF(OR(L159="",L158=""),"",L159-L158)</x:f>
        <x:v>0.0021678081567966245</x:v>
      </x:c>
      <x:c r="N159" s="98" t="n">
        <x:f>IF('Datos_fuente'!L159="","",LN('Datos_fuente'!L159))</x:f>
        <x:v>2.5580429724241345</x:v>
      </x:c>
      <x:c r="O159" s="98" t="n">
        <x:f>IF(OR(N159="",N158=""),"",N159-N158)</x:f>
        <x:v>0.028564844622784413</x:v>
      </x:c>
      <x:c r="P159" s="96" t="n">
        <x:f>'Datos_fuente'!M159</x:f>
        <x:v>0</x:v>
      </x:c>
      <x:c r="Q159" s="98" t="n">
        <x:f>IF('Datos_fuente'!N159="","",LN('Datos_fuente'!N159))</x:f>
        <x:v>10.76873169643031</x:v>
      </x:c>
      <x:c r="R159" s="98" t="n">
        <x:f>IF(OR(Q159="",Q158=""),"",Q159-Q158)</x:f>
        <x:v>-0.0005348828088216351</x:v>
      </x:c>
      <x:c r="S159" s="63" t="n">
        <x:f>'Datos_fuente'!P159</x:f>
        <x:v>1.7705</x:v>
      </x:c>
      <x:c r="T159" s="63" t="n">
        <x:f>IF(OR(S159="",S158=""),"",S159-S158)</x:f>
        <x:v>-0.05341304299999994</x:v>
      </x:c>
      <x:c r="U159" s="98" t="n">
        <x:f>IF('Datos_fuente'!Q159="","",ASINH('Datos_fuente'!Q159/1000))</x:f>
        <x:v>-0.1450013472336027</x:v>
      </x:c>
      <x:c r="V159" s="98" t="n">
        <x:f>IF(OR(U159="",U158=""),"",U159-U158)</x:f>
        <x:v>-0.07658473418285765</x:v>
      </x:c>
      <x:c r="W159" s="98" t="n">
        <x:f>IF('Datos_fuente'!R159="","",ASINH('Datos_fuente'!R159/1000))</x:f>
        <x:v>-0.19943529714182257</x:v>
      </x:c>
      <x:c r="X159" s="98" t="n">
        <x:f>IF(OR(W159="",W158=""),"",W159-W158)</x:f>
        <x:v>0.1987118854598084</x:v>
      </x:c>
      <x:c r="Y159" s="63" t="n">
        <x:f>'Datos_fuente'!W159</x:f>
        <x:v>1.429526324</x:v>
      </x:c>
      <x:c r="Z159" s="63" t="n">
        <x:f>IF(OR(Y159="",Y158=""),"",Y159-Y158)</x:f>
        <x:v>0.16538842700000012</x:v>
      </x:c>
      <x:c r="AA159" s="98" t="n">
        <x:f>'Datos_fuente'!AB159</x:f>
        <x:v>0.8383412221</x:v>
      </x:c>
      <x:c r="AB159" s="98" t="n">
        <x:f>'Datos_fuente'!AC159</x:f>
        <x:v>0.7719460828</x:v>
      </x:c>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t="str">
        <x:f>'Datos_fuente'!A160</x:f>
        <x:v>2018-10</x:v>
      </x:c>
      <x:c r="B160" s="98" t="n">
        <x:f>IF('Datos_fuente'!B160="","",LN('Datos_fuente'!B160))</x:f>
        <x:v>8.034252143266253</x:v>
      </x:c>
      <x:c r="C160" s="98" t="n">
        <x:f>IF(OR(B160="",B159=""),"",B160-B159)</x:f>
        <x:v>0.016691452992116496</x:v>
      </x:c>
      <x:c r="D160" s="98" t="n">
        <x:f>IF('Datos_fuente'!C160="","",LN('Datos_fuente'!C160))</x:f>
        <x:v>5.004818408774691</x:v>
      </x:c>
      <x:c r="E160" s="98" t="n">
        <x:f>IF(OR(D160="",D159=""),"",D160-D159)</x:f>
        <x:v>0.0009392191754429291</x:v>
      </x:c>
      <x:c r="F160" s="98" t="n">
        <x:f>IF('Datos_fuente'!E160="","",LN('Datos_fuente'!E160))</x:f>
        <x:v>8.780409400568084</x:v>
      </x:c>
      <x:c r="G160" s="98" t="n">
        <x:f>IF(OR(F160="",F159=""),"",F160-F159)</x:f>
        <x:v>0.013815611076214651</x:v>
      </x:c>
      <x:c r="H160" s="63" t="n">
        <x:f>'Datos_fuente'!H160</x:f>
        <x:v>2.06</x:v>
      </x:c>
      <x:c r="I160" s="63" t="n">
        <x:f>IF(OR(H160="",H159=""),"",H160-H159)</x:f>
        <x:v>-0.23999999999999977</x:v>
      </x:c>
      <x:c r="J160" s="63" t="n">
        <x:f>'Datos_fuente'!J160</x:f>
        <x:v>4.023956931</x:v>
      </x:c>
      <x:c r="K160" s="63" t="n">
        <x:f>IF(OR(J160="",J159=""),"",J160-J159)</x:f>
        <x:v>0.045681598999999906</x:v>
      </x:c>
      <x:c r="L160" s="98" t="n">
        <x:f>IF('Datos_fuente'!K160="","",LN('Datos_fuente'!K160))</x:f>
        <x:v>4.7434637386326255</x:v>
      </x:c>
      <x:c r="M160" s="98" t="n">
        <x:f>IF(OR(L160="",L159=""),"",L160-L159)</x:f>
        <x:v>0.006575500127863343</x:v>
      </x:c>
      <x:c r="N160" s="98" t="n">
        <x:f>IF('Datos_fuente'!L160="","",LN('Datos_fuente'!L160))</x:f>
        <x:v>2.962804759935391</x:v>
      </x:c>
      <x:c r="O160" s="98" t="n">
        <x:f>IF(OR(N160="",N159=""),"",N160-N159)</x:f>
        <x:v>0.40476178751125635</x:v>
      </x:c>
      <x:c r="P160" s="96" t="n">
        <x:f>'Datos_fuente'!M160</x:f>
        <x:v>0</x:v>
      </x:c>
      <x:c r="Q160" s="98" t="n">
        <x:f>IF('Datos_fuente'!N160="","",LN('Datos_fuente'!N160))</x:f>
        <x:v>10.768403091932333</x:v>
      </x:c>
      <x:c r="R160" s="98" t="n">
        <x:f>IF(OR(Q160="",Q159=""),"",Q160-Q159)</x:f>
        <x:v>-0.00032860449797667</x:v>
      </x:c>
      <x:c r="S160" s="63" t="n">
        <x:f>'Datos_fuente'!P160</x:f>
        <x:v>1.790869565</x:v>
      </x:c>
      <x:c r="T160" s="63" t="n">
        <x:f>IF(OR(S160="",S159=""),"",S160-S159)</x:f>
        <x:v>0.02036956499999998</x:v>
      </x:c>
      <x:c r="U160" s="98" t="n">
        <x:f>IF('Datos_fuente'!Q160="","",ASINH('Datos_fuente'!Q160/1000))</x:f>
        <x:v>0.04035904262093077</x:v>
      </x:c>
      <x:c r="V160" s="98" t="n">
        <x:f>IF(OR(U160="",U159=""),"",U160-U159)</x:f>
        <x:v>0.18536038985453346</x:v>
      </x:c>
      <x:c r="W160" s="98" t="n">
        <x:f>IF('Datos_fuente'!R160="","",ASINH('Datos_fuente'!R160/1000))</x:f>
        <x:v>-0.7309572397660271</x:v>
      </x:c>
      <x:c r="X160" s="98" t="n">
        <x:f>IF(OR(W160="",W159=""),"",W160-W159)</x:f>
        <x:v>-0.5315219426242046</x:v>
      </x:c>
      <x:c r="Y160" s="63" t="n">
        <x:f>'Datos_fuente'!W160</x:f>
        <x:v>1.529472739</x:v>
      </x:c>
      <x:c r="Z160" s="63" t="n">
        <x:f>IF(OR(Y160="",Y159=""),"",Y160-Y159)</x:f>
        <x:v>0.09994641500000001</x:v>
      </x:c>
      <x:c r="AA160" s="98" t="n">
        <x:f>'Datos_fuente'!AB160</x:f>
        <x:v>-0.861603597</x:v>
      </x:c>
      <x:c r="AB160" s="98" t="n">
        <x:f>'Datos_fuente'!AC160</x:f>
        <x:v>-0.5047910893</x:v>
      </x:c>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t="str">
        <x:f>'Datos_fuente'!A161</x:f>
        <x:v>2018-11</x:v>
      </x:c>
      <x:c r="B161" s="98" t="n">
        <x:f>IF('Datos_fuente'!B161="","",LN('Datos_fuente'!B161))</x:f>
        <x:v>8.069040077934467</x:v>
      </x:c>
      <x:c r="C161" s="98" t="n">
        <x:f>IF(OR(B161="",B160=""),"",B161-B160)</x:f>
        <x:v>0.034787934668214504</x:v>
      </x:c>
      <x:c r="D161" s="98" t="n">
        <x:f>IF('Datos_fuente'!C161="","",LN('Datos_fuente'!C161))</x:f>
        <x:v>4.932529598092634</x:v>
      </x:c>
      <x:c r="E161" s="98" t="n">
        <x:f>IF(OR(D161="",D160=""),"",D161-D160)</x:f>
        <x:v>-0.07228881068205695</x:v>
      </x:c>
      <x:c r="F161" s="98" t="n">
        <x:f>IF('Datos_fuente'!E161="","",LN('Datos_fuente'!E161))</x:f>
        <x:v>8.78961136096163</x:v>
      </x:c>
      <x:c r="G161" s="98" t="n">
        <x:f>IF(OR(F161="",F160=""),"",F161-F160)</x:f>
        <x:v>0.00920196039354515</x:v>
      </x:c>
      <x:c r="H161" s="63" t="n">
        <x:f>'Datos_fuente'!H161</x:f>
        <x:v>2.05</x:v>
      </x:c>
      <x:c r="I161" s="63" t="n">
        <x:f>IF(OR(H161="",H160=""),"",H161-H160)</x:f>
        <x:v>-0.010000000000000231</x:v>
      </x:c>
      <x:c r="J161" s="63" t="n">
        <x:f>'Datos_fuente'!J161</x:f>
        <x:v>3.73955471</x:v>
      </x:c>
      <x:c r="K161" s="63" t="n">
        <x:f>IF(OR(J161="",J160=""),"",J161-J160)</x:f>
        <x:v>-0.2844022209999997</x:v>
      </x:c>
      <x:c r="L161" s="98" t="n">
        <x:f>IF('Datos_fuente'!K161="","",LN('Datos_fuente'!K161))</x:f>
        <x:v>4.755046414780566</x:v>
      </x:c>
      <x:c r="M161" s="98" t="n">
        <x:f>IF(OR(L161="",L160=""),"",L161-L160)</x:f>
        <x:v>0.011582676147940951</x:v>
      </x:c>
      <x:c r="N161" s="98" t="n">
        <x:f>IF('Datos_fuente'!L161="","",LN('Datos_fuente'!L161))</x:f>
        <x:v>2.9647083509776224</x:v>
      </x:c>
      <x:c r="O161" s="98" t="n">
        <x:f>IF(OR(N161="",N160=""),"",N161-N160)</x:f>
        <x:v>0.0019035910422315894</x:v>
      </x:c>
      <x:c r="P161" s="96" t="n">
        <x:f>'Datos_fuente'!M161</x:f>
        <x:v>0</x:v>
      </x:c>
      <x:c r="Q161" s="98" t="n">
        <x:f>IF('Datos_fuente'!N161="","",LN('Datos_fuente'!N161))</x:f>
        <x:v>10.773807641651997</x:v>
      </x:c>
      <x:c r="R161" s="98" t="n">
        <x:f>IF(OR(Q161="",Q160=""),"",Q161-Q160)</x:f>
        <x:v>0.005404549719663976</x:v>
      </x:c>
      <x:c r="S161" s="63" t="n">
        <x:f>'Datos_fuente'!P161</x:f>
        <x:v>2.017727273</x:v>
      </x:c>
      <x:c r="T161" s="63" t="n">
        <x:f>IF(OR(S161="",S160=""),"",S161-S160)</x:f>
        <x:v>0.22685770800000027</x:v>
      </x:c>
      <x:c r="U161" s="98" t="n">
        <x:f>IF('Datos_fuente'!Q161="","",ASINH('Datos_fuente'!Q161/1000))</x:f>
        <x:v>-0.07758214888032075</x:v>
      </x:c>
      <x:c r="V161" s="98" t="n">
        <x:f>IF(OR(U161="",U160=""),"",U161-U160)</x:f>
        <x:v>-0.11794119150125151</x:v>
      </x:c>
      <x:c r="W161" s="98" t="n">
        <x:f>IF('Datos_fuente'!R161="","",ASINH('Datos_fuente'!R161/1000))</x:f>
        <x:v>-0.28306470404086864</x:v>
      </x:c>
      <x:c r="X161" s="98" t="n">
        <x:f>IF(OR(W161="",W160=""),"",W161-W160)</x:f>
        <x:v>0.44789253572515847</x:v>
      </x:c>
      <x:c r="Y161" s="63" t="n">
        <x:f>'Datos_fuente'!W161</x:f>
        <x:v>1.953710003</x:v>
      </x:c>
      <x:c r="Z161" s="63" t="n">
        <x:f>IF(OR(Y161="",Y160=""),"",Y161-Y160)</x:f>
        <x:v>0.42423726400000006</x:v>
      </x:c>
      <x:c r="AA161" s="98" t="n">
        <x:f>'Datos_fuente'!AB161</x:f>
        <x:v>0.5814211769</x:v>
      </x:c>
      <x:c r="AB161" s="98" t="n">
        <x:f>'Datos_fuente'!AC161</x:f>
        <x:v>0.6836033595</x:v>
      </x:c>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t="str">
        <x:f>'Datos_fuente'!A162</x:f>
        <x:v>2018-12</x:v>
      </x:c>
      <x:c r="B162" s="98" t="n">
        <x:f>IF('Datos_fuente'!B162="","",LN('Datos_fuente'!B162))</x:f>
        <x:v>8.076686527315706</x:v>
      </x:c>
      <x:c r="C162" s="98" t="n">
        <x:f>IF(OR(B162="",B161=""),"",B162-B161)</x:f>
        <x:v>0.007646449381239151</x:v>
      </x:c>
      <x:c r="D162" s="98" t="n">
        <x:f>IF('Datos_fuente'!C162="","",LN('Datos_fuente'!C162))</x:f>
        <x:v>4.869071729774468</x:v>
      </x:c>
      <x:c r="E162" s="98" t="n">
        <x:f>IF(OR(D162="",D161=""),"",D162-D161)</x:f>
        <x:v>-0.06345786831816547</x:v>
      </x:c>
      <x:c r="F162" s="98" t="n">
        <x:f>IF('Datos_fuente'!E162="","",LN('Datos_fuente'!E162))</x:f>
        <x:v>8.800293282606303</x:v>
      </x:c>
      <x:c r="G162" s="98" t="n">
        <x:f>IF(OR(F162="",F161=""),"",F162-F161)</x:f>
        <x:v>0.010681921644673409</x:v>
      </x:c>
      <x:c r="H162" s="63" t="n">
        <x:f>'Datos_fuente'!H162</x:f>
        <x:v>1.98</x:v>
      </x:c>
      <x:c r="I162" s="63" t="n">
        <x:f>IF(OR(H162="",H161=""),"",H162-H161)</x:f>
        <x:v>-0.06999999999999984</x:v>
      </x:c>
      <x:c r="J162" s="63" t="n">
        <x:f>'Datos_fuente'!J162</x:f>
        <x:v>3.069053995</x:v>
      </x:c>
      <x:c r="K162" s="63" t="n">
        <x:f>IF(OR(J162="",J161=""),"",J162-J161)</x:f>
        <x:v>-0.6705007150000002</x:v>
      </x:c>
      <x:c r="L162" s="98" t="n">
        <x:f>IF('Datos_fuente'!K162="","",LN('Datos_fuente'!K162))</x:f>
        <x:v>4.7554144339217945</x:v>
      </x:c>
      <x:c r="M162" s="98" t="n">
        <x:f>IF(OR(L162="",L161=""),"",L162-L161)</x:f>
        <x:v>0.000368019141228082</x:v>
      </x:c>
      <x:c r="N162" s="98" t="n">
        <x:f>IF('Datos_fuente'!L162="","",LN('Datos_fuente'!L162))</x:f>
        <x:v>3.217000382925856</x:v>
      </x:c>
      <x:c r="O162" s="98" t="n">
        <x:f>IF(OR(N162="",N161=""),"",N162-N161)</x:f>
        <x:v>0.2522920319482336</x:v>
      </x:c>
      <x:c r="P162" s="96" t="n">
        <x:f>'Datos_fuente'!M162</x:f>
        <x:v>0</x:v>
      </x:c>
      <x:c r="Q162" s="98" t="n">
        <x:f>IF('Datos_fuente'!N162="","",LN('Datos_fuente'!N162))</x:f>
        <x:v>10.787108801012879</x:v>
      </x:c>
      <x:c r="R162" s="98" t="n">
        <x:f>IF(OR(Q162="",Q161=""),"",Q162-Q161)</x:f>
        <x:v>0.013301159360882053</x:v>
      </x:c>
      <x:c r="S162" s="63" t="n">
        <x:f>'Datos_fuente'!P162</x:f>
        <x:v>2.118095238</x:v>
      </x:c>
      <x:c r="T162" s="63" t="n">
        <x:f>IF(OR(S162="",S161=""),"",S162-S161)</x:f>
        <x:v>0.10036796499999978</x:v>
      </x:c>
      <x:c r="U162" s="98" t="n">
        <x:f>IF('Datos_fuente'!Q162="","",ASINH('Datos_fuente'!Q162/1000))</x:f>
        <x:v>-0.09790352252179069</x:v>
      </x:c>
      <x:c r="V162" s="98" t="n">
        <x:f>IF(OR(U162="",U161=""),"",U162-U161)</x:f>
        <x:v>-0.020321373641469936</x:v>
      </x:c>
      <x:c r="W162" s="98" t="n">
        <x:f>IF('Datos_fuente'!R162="","",ASINH('Datos_fuente'!R162/1000))</x:f>
        <x:v>0.051257551910670246</x:v>
      </x:c>
      <x:c r="X162" s="98" t="n">
        <x:f>IF(OR(W162="",W161=""),"",W162-W161)</x:f>
        <x:v>0.33432225595153886</x:v>
      </x:c>
      <x:c r="Y162" s="63" t="n">
        <x:f>'Datos_fuente'!W162</x:f>
        <x:v>2.043860232</x:v>
      </x:c>
      <x:c r="Z162" s="63" t="n">
        <x:f>IF(OR(Y162="",Y161=""),"",Y162-Y161)</x:f>
        <x:v>0.09015022900000003</x:v>
      </x:c>
      <x:c r="AA162" s="98" t="n">
        <x:f>'Datos_fuente'!AB162</x:f>
        <x:v>0.1708379032</x:v>
      </x:c>
      <x:c r="AB162" s="98" t="n">
        <x:f>'Datos_fuente'!AC162</x:f>
        <x:v>0.06335480249</x:v>
      </x:c>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t="str">
        <x:f>'Datos_fuente'!A163</x:f>
        <x:v>2019-01</x:v>
      </x:c>
      <x:c r="B163" s="98" t="n">
        <x:f>IF('Datos_fuente'!B163="","",LN('Datos_fuente'!B163))</x:f>
        <x:v>8.059967753034135</x:v>
      </x:c>
      <x:c r="C163" s="98" t="n">
        <x:f>IF(OR(B163="",B162=""),"",B163-B162)</x:f>
        <x:v>-0.016718774281571314</x:v>
      </x:c>
      <x:c r="D163" s="98" t="n">
        <x:f>IF('Datos_fuente'!C163="","",LN('Datos_fuente'!C163))</x:f>
        <x:v>4.881740753685154</x:v>
      </x:c>
      <x:c r="E163" s="98" t="n">
        <x:f>IF(OR(D163="",D162=""),"",D163-D162)</x:f>
        <x:v>0.012669023910685695</x:v>
      </x:c>
      <x:c r="F163" s="98" t="n">
        <x:f>IF('Datos_fuente'!E163="","",LN('Datos_fuente'!E163))</x:f>
        <x:v>8.806492954700357</x:v>
      </x:c>
      <x:c r="G163" s="98" t="n">
        <x:f>IF(OR(F163="",F162=""),"",F163-F162)</x:f>
        <x:v>0.00619967209405381</x:v>
      </x:c>
      <x:c r="H163" s="63" t="n">
        <x:f>'Datos_fuente'!H163</x:f>
        <x:v>1.85</x:v>
      </x:c>
      <x:c r="I163" s="63" t="n">
        <x:f>IF(OR(H163="",H162=""),"",H163-H162)</x:f>
        <x:v>-0.1299999999999999</x:v>
      </x:c>
      <x:c r="J163" s="63" t="n">
        <x:f>'Datos_fuente'!J163</x:f>
        <x:v>2.966804535</x:v>
      </x:c>
      <x:c r="K163" s="63" t="n">
        <x:f>IF(OR(J163="",J162=""),"",J163-J162)</x:f>
        <x:v>-0.1022494599999999</x:v>
      </x:c>
      <x:c r="L163" s="98" t="n">
        <x:f>IF('Datos_fuente'!K163="","",LN('Datos_fuente'!K163))</x:f>
        <x:v>4.740072426071734</x:v>
      </x:c>
      <x:c r="M163" s="98" t="n">
        <x:f>IF(OR(L163="",L162=""),"",L163-L162)</x:f>
        <x:v>-0.015342007850060568</x:v>
      </x:c>
      <x:c r="N163" s="98" t="n">
        <x:f>IF('Datos_fuente'!L163="","",LN('Datos_fuente'!L163))</x:f>
        <x:v>2.9741194372677024</x:v>
      </x:c>
      <x:c r="O163" s="98" t="n">
        <x:f>IF(OR(N163="",N162=""),"",N163-N162)</x:f>
        <x:v>-0.24288094565815355</x:v>
      </x:c>
      <x:c r="P163" s="96" t="n">
        <x:f>'Datos_fuente'!M163</x:f>
        <x:v>0</x:v>
      </x:c>
      <x:c r="Q163" s="98" t="n">
        <x:f>IF('Datos_fuente'!N163="","",LN('Datos_fuente'!N163))</x:f>
        <x:v>10.803824293602542</x:v>
      </x:c>
      <x:c r="R163" s="98" t="n">
        <x:f>IF(OR(Q163="",Q162=""),"",Q163-Q162)</x:f>
        <x:v>0.016715492589662873</x:v>
      </x:c>
      <x:c r="S163" s="63" t="n">
        <x:f>'Datos_fuente'!P163</x:f>
        <x:v>2.014347826</x:v>
      </x:c>
      <x:c r="T163" s="63" t="n">
        <x:f>IF(OR(S163="",S162=""),"",S163-S162)</x:f>
        <x:v>-0.10374741200000015</x:v>
      </x:c>
      <x:c r="U163" s="98" t="n">
        <x:f>IF('Datos_fuente'!Q163="","",ASINH('Datos_fuente'!Q163/1000))</x:f>
        <x:v>-0.20596077128667553</x:v>
      </x:c>
      <x:c r="V163" s="98" t="n">
        <x:f>IF(OR(U163="",U162=""),"",U163-U162)</x:f>
        <x:v>-0.10805724876488484</x:v>
      </x:c>
      <x:c r="W163" s="98" t="n">
        <x:f>IF('Datos_fuente'!R163="","",ASINH('Datos_fuente'!R163/1000))</x:f>
        <x:v>0.5049557856858246</x:v>
      </x:c>
      <x:c r="X163" s="98" t="n">
        <x:f>IF(OR(W163="",W162=""),"",W163-W162)</x:f>
        <x:v>0.4536982337751543</x:v>
      </x:c>
      <x:c r="Y163" s="63" t="n">
        <x:f>'Datos_fuente'!W163</x:f>
        <x:v>1.936719042</x:v>
      </x:c>
      <x:c r="Z163" s="63" t="n">
        <x:f>IF(OR(Y163="",Y162=""),"",Y163-Y162)</x:f>
        <x:v>-0.10714119000000011</x:v>
      </x:c>
      <x:c r="AA163" s="98" t="n">
        <x:f>'Datos_fuente'!AB163</x:f>
        <x:v>-1.134521118</x:v>
      </x:c>
      <x:c r="AB163" s="98" t="n">
        <x:f>'Datos_fuente'!AC163</x:f>
        <x:v>-0.9717809385</x:v>
      </x:c>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t="str">
        <x:f>'Datos_fuente'!A164</x:f>
        <x:v>2019-02</x:v>
      </x:c>
      <x:c r="B164" s="98" t="n">
        <x:f>IF('Datos_fuente'!B164="","",LN('Datos_fuente'!B164))</x:f>
        <x:v>8.044253599165966</x:v>
      </x:c>
      <x:c r="C164" s="98" t="n">
        <x:f>IF(OR(B164="",B163=""),"",B164-B163)</x:f>
        <x:v>-0.01571415386816888</x:v>
      </x:c>
      <x:c r="D164" s="98" t="n">
        <x:f>IF('Datos_fuente'!C164="","",LN('Datos_fuente'!C164))</x:f>
        <x:v>4.9507437368556495</x:v>
      </x:c>
      <x:c r="E164" s="98" t="n">
        <x:f>IF(OR(D164="",D163=""),"",D164-D163)</x:f>
        <x:v>0.06900298317049547</x:v>
      </x:c>
      <x:c r="F164" s="98" t="n">
        <x:f>IF('Datos_fuente'!E164="","",LN('Datos_fuente'!E164))</x:f>
        <x:v>8.812359685577645</x:v>
      </x:c>
      <x:c r="G164" s="98" t="n">
        <x:f>IF(OR(F164="",F163=""),"",F164-F163)</x:f>
        <x:v>0.005866730877288617</x:v>
      </x:c>
      <x:c r="H164" s="63" t="n">
        <x:f>'Datos_fuente'!H164</x:f>
        <x:v>1.85</x:v>
      </x:c>
      <x:c r="I164" s="63" t="n">
        <x:f>IF(OR(H164="",H163=""),"",H164-H163)</x:f>
        <x:v>0</x:v>
      </x:c>
      <x:c r="J164" s="63" t="n">
        <x:f>'Datos_fuente'!J164</x:f>
        <x:v>3.111433419</x:v>
      </x:c>
      <x:c r="K164" s="63" t="n">
        <x:f>IF(OR(J164="",J163=""),"",J164-J163)</x:f>
        <x:v>0.14462888399999985</x:v>
      </x:c>
      <x:c r="L164" s="98" t="n">
        <x:f>IF('Datos_fuente'!K164="","",LN('Datos_fuente'!K164))</x:f>
        <x:v>4.7398147577986975</x:v>
      </x:c>
      <x:c r="M164" s="98" t="n">
        <x:f>IF(OR(L164="",L163=""),"",L164-L163)</x:f>
        <x:v>-0.0002576682730364155</x:v>
      </x:c>
      <x:c r="N164" s="98" t="n">
        <x:f>IF('Datos_fuente'!L164="","",LN('Datos_fuente'!L164))</x:f>
        <x:v>2.7235781389048297</x:v>
      </x:c>
      <x:c r="O164" s="98" t="n">
        <x:f>IF(OR(N164="",N163=""),"",N164-N163)</x:f>
        <x:v>-0.25054129836287276</x:v>
      </x:c>
      <x:c r="P164" s="96" t="n">
        <x:f>'Datos_fuente'!M164</x:f>
        <x:v>0</x:v>
      </x:c>
      <x:c r="Q164" s="98" t="n">
        <x:f>IF('Datos_fuente'!N164="","",LN('Datos_fuente'!N164))</x:f>
        <x:v>10.82969435725091</x:v>
      </x:c>
      <x:c r="R164" s="98" t="n">
        <x:f>IF(OR(Q164="",Q163=""),"",Q164-Q163)</x:f>
        <x:v>0.025870063648367747</x:v>
      </x:c>
      <x:c r="S164" s="63" t="n">
        <x:f>'Datos_fuente'!P164</x:f>
        <x:v>1.91</x:v>
      </x:c>
      <x:c r="T164" s="63" t="n">
        <x:f>IF(OR(S164="",S163=""),"",S164-S163)</x:f>
        <x:v>-0.10434782599999992</x:v>
      </x:c>
      <x:c r="U164" s="98" t="n">
        <x:f>IF('Datos_fuente'!Q164="","",ASINH('Datos_fuente'!Q164/1000))</x:f>
        <x:v>-0.023287895004221536</x:v>
      </x:c>
      <x:c r="V164" s="98" t="n">
        <x:f>IF(OR(U164="",U163=""),"",U164-U163)</x:f>
        <x:v>0.182672876282454</x:v>
      </x:c>
      <x:c r="W164" s="98" t="n">
        <x:f>IF('Datos_fuente'!R164="","",ASINH('Datos_fuente'!R164/1000))</x:f>
        <x:v>0.7087297039558551</x:v>
      </x:c>
      <x:c r="X164" s="98" t="n">
        <x:f>IF(OR(W164="",W163=""),"",W164-W163)</x:f>
        <x:v>0.20377391827003055</x:v>
      </x:c>
      <x:c r="Y164" s="63" t="n">
        <x:f>'Datos_fuente'!W164</x:f>
        <x:v>1.614900012</x:v>
      </x:c>
      <x:c r="Z164" s="63" t="n">
        <x:f>IF(OR(Y164="",Y163=""),"",Y164-Y163)</x:f>
        <x:v>-0.3218190299999999</x:v>
      </x:c>
      <x:c r="AA164" s="98" t="n">
        <x:f>'Datos_fuente'!AB164</x:f>
        <x:v>-0.516083351</x:v>
      </x:c>
      <x:c r="AB164" s="98" t="n">
        <x:f>'Datos_fuente'!AC164</x:f>
        <x:v>-0.5186605353</x:v>
      </x:c>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t="str">
        <x:f>'Datos_fuente'!A165</x:f>
        <x:v>2019-03</x:v>
      </x:c>
      <x:c r="B165" s="98" t="n">
        <x:f>IF('Datos_fuente'!B165="","",LN('Datos_fuente'!B165))</x:f>
        <x:v>8.048367809844011</x:v>
      </x:c>
      <x:c r="C165" s="98" t="n">
        <x:f>IF(OR(B165="",B164=""),"",B165-B164)</x:f>
        <x:v>0.004114210678045183</x:v>
      </x:c>
      <x:c r="D165" s="98" t="n">
        <x:f>IF('Datos_fuente'!C165="","",LN('Datos_fuente'!C165))</x:f>
        <x:v>4.947482479090987</x:v>
      </x:c>
      <x:c r="E165" s="98" t="n">
        <x:f>IF(OR(D165="",D164=""),"",D165-D164)</x:f>
        <x:v>-0.00326125776466224</x:v>
      </x:c>
      <x:c r="F165" s="98" t="n">
        <x:f>IF('Datos_fuente'!E165="","",LN('Datos_fuente'!E165))</x:f>
        <x:v>8.821307511929325</x:v>
      </x:c>
      <x:c r="G165" s="98" t="n">
        <x:f>IF(OR(F165="",F164=""),"",F165-F164)</x:f>
        <x:v>0.008947826351679566</x:v>
      </x:c>
      <x:c r="H165" s="63" t="n">
        <x:f>'Datos_fuente'!H165</x:f>
        <x:v>1.84</x:v>
      </x:c>
      <x:c r="I165" s="63" t="n">
        <x:f>IF(OR(H165="",H164=""),"",H165-H164)</x:f>
        <x:v>-0.010000000000000009</x:v>
      </x:c>
      <x:c r="J165" s="63" t="n">
        <x:f>'Datos_fuente'!J165</x:f>
        <x:v>2.964295513</x:v>
      </x:c>
      <x:c r="K165" s="63" t="n">
        <x:f>IF(OR(J165="",J164=""),"",J165-J164)</x:f>
        <x:v>-0.14713790599999976</x:v>
      </x:c>
      <x:c r="L165" s="98" t="n">
        <x:f>IF('Datos_fuente'!K165="","",LN('Datos_fuente'!K165))</x:f>
        <x:v>4.743047910861582</x:v>
      </x:c>
      <x:c r="M165" s="98" t="n">
        <x:f>IF(OR(L165="",L164=""),"",L165-L164)</x:f>
        <x:v>0.0032331530628848526</x:v>
      </x:c>
      <x:c r="N165" s="98" t="n">
        <x:f>IF('Datos_fuente'!L165="","",LN('Datos_fuente'!L165))</x:f>
        <x:v>2.6731300687803827</x:v>
      </x:c>
      <x:c r="O165" s="98" t="n">
        <x:f>IF(OR(N165="",N164=""),"",N165-N164)</x:f>
        <x:v>-0.050448070124446964</x:v>
      </x:c>
      <x:c r="P165" s="96" t="n">
        <x:f>'Datos_fuente'!M165</x:f>
        <x:v>0</x:v>
      </x:c>
      <x:c r="Q165" s="98" t="n">
        <x:f>IF('Datos_fuente'!N165="","",LN('Datos_fuente'!N165))</x:f>
        <x:v>10.844685313036283</x:v>
      </x:c>
      <x:c r="R165" s="98" t="n">
        <x:f>IF(OR(Q165="",Q164=""),"",Q165-Q164)</x:f>
        <x:v>0.014990955785373572</x:v>
      </x:c>
      <x:c r="S165" s="63" t="n">
        <x:f>'Datos_fuente'!P165</x:f>
        <x:v>1.881428571</x:v>
      </x:c>
      <x:c r="T165" s="63" t="n">
        <x:f>IF(OR(S165="",S164=""),"",S165-S164)</x:f>
        <x:v>-0.02857142899999987</x:v>
      </x:c>
      <x:c r="U165" s="98" t="n">
        <x:f>IF('Datos_fuente'!Q165="","",ASINH('Datos_fuente'!Q165/1000))</x:f>
        <x:v>0.012509673720269284</x:v>
      </x:c>
      <x:c r="V165" s="98" t="n">
        <x:f>IF(OR(U165="",U164=""),"",U165-U164)</x:f>
        <x:v>0.035797568724490816</x:v>
      </x:c>
      <x:c r="W165" s="98" t="n">
        <x:f>IF('Datos_fuente'!R165="","",ASINH('Datos_fuente'!R165/1000))</x:f>
        <x:v>0.22542590442730512</x:v>
      </x:c>
      <x:c r="X165" s="98" t="n">
        <x:f>IF(OR(W165="",W164=""),"",W165-W164)</x:f>
        <x:v>-0.48330379952854996</x:v>
      </x:c>
      <x:c r="Y165" s="63" t="n">
        <x:f>'Datos_fuente'!W165</x:f>
        <x:v>1.347595224</x:v>
      </x:c>
      <x:c r="Z165" s="63" t="n">
        <x:f>IF(OR(Y165="",Y164=""),"",Y165-Y164)</x:f>
        <x:v>-0.2673047880000001</x:v>
      </x:c>
      <x:c r="AA165" s="98" t="n">
        <x:f>'Datos_fuente'!AB165</x:f>
        <x:v>0.4596357577</x:v>
      </x:c>
      <x:c r="AB165" s="98" t="n">
        <x:f>'Datos_fuente'!AC165</x:f>
        <x:v>0.2422765954</x:v>
      </x:c>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t="str">
        <x:f>'Datos_fuente'!A166</x:f>
        <x:v>2019-04</x:v>
      </x:c>
      <x:c r="B166" s="98" t="n">
        <x:f>IF('Datos_fuente'!B166="","",LN('Datos_fuente'!B166))</x:f>
        <x:v>8.056986217849909</x:v>
      </x:c>
      <x:c r="C166" s="98" t="n">
        <x:f>IF(OR(B166="",B165=""),"",B166-B165)</x:f>
        <x:v>0.008618408005897749</x:v>
      </x:c>
      <x:c r="D166" s="98" t="n">
        <x:f>IF('Datos_fuente'!C166="","",LN('Datos_fuente'!C166))</x:f>
        <x:v>4.9670316566141235</x:v>
      </x:c>
      <x:c r="E166" s="98" t="n">
        <x:f>IF(OR(D166="",D165=""),"",D166-D165)</x:f>
        <x:v>0.01954917752313623</x:v>
      </x:c>
      <x:c r="F166" s="98" t="n">
        <x:f>IF('Datos_fuente'!E166="","",LN('Datos_fuente'!E166))</x:f>
        <x:v>8.830254957437356</x:v>
      </x:c>
      <x:c r="G166" s="98" t="n">
        <x:f>IF(OR(F166="",F165=""),"",F166-F165)</x:f>
        <x:v>0.008947445508031393</x:v>
      </x:c>
      <x:c r="H166" s="63" t="n">
        <x:f>'Datos_fuente'!H166</x:f>
        <x:v>1.83</x:v>
      </x:c>
      <x:c r="I166" s="63" t="n">
        <x:f>IF(OR(H166="",H165=""),"",H166-H165)</x:f>
        <x:v>-0.010000000000000009</x:v>
      </x:c>
      <x:c r="J166" s="63" t="n">
        <x:f>'Datos_fuente'!J166</x:f>
        <x:v>2.704744298</x:v>
      </x:c>
      <x:c r="K166" s="63" t="n">
        <x:f>IF(OR(J166="",J165=""),"",J166-J165)</x:f>
        <x:v>-0.2595512150000001</x:v>
      </x:c>
      <x:c r="L166" s="98" t="n">
        <x:f>IF('Datos_fuente'!K166="","",LN('Datos_fuente'!K166))</x:f>
        <x:v>4.744094860561062</x:v>
      </x:c>
      <x:c r="M166" s="98" t="n">
        <x:f>IF(OR(L166="",L165=""),"",L166-L165)</x:f>
        <x:v>0.0010469496994796046</x:v>
      </x:c>
      <x:c r="N166" s="98" t="n">
        <x:f>IF('Datos_fuente'!L166="","",LN('Datos_fuente'!L166))</x:f>
        <x:v>2.5610222425839955</x:v>
      </x:c>
      <x:c r="O166" s="98" t="n">
        <x:f>IF(OR(N166="",N165=""),"",N166-N165)</x:f>
        <x:v>-0.11210782619638726</x:v>
      </x:c>
      <x:c r="P166" s="96" t="n">
        <x:f>'Datos_fuente'!M166</x:f>
        <x:v>0</x:v>
      </x:c>
      <x:c r="Q166" s="98" t="n">
        <x:f>IF('Datos_fuente'!N166="","",LN('Datos_fuente'!N166))</x:f>
        <x:v>10.849757774849166</x:v>
      </x:c>
      <x:c r="R166" s="98" t="n">
        <x:f>IF(OR(Q166="",Q165=""),"",Q166-Q165)</x:f>
        <x:v>0.005072461812883233</x:v>
      </x:c>
      <x:c r="S166" s="63" t="n">
        <x:f>'Datos_fuente'!P166</x:f>
        <x:v>1.769545455</x:v>
      </x:c>
      <x:c r="T166" s="63" t="n">
        <x:f>IF(OR(S166="",S165=""),"",S166-S165)</x:f>
        <x:v>-0.111883116</x:v>
      </x:c>
      <x:c r="U166" s="98" t="n">
        <x:f>IF('Datos_fuente'!Q166="","",ASINH('Datos_fuente'!Q166/1000))</x:f>
        <x:v>0.028406179635869385</x:v>
      </x:c>
      <x:c r="V166" s="98" t="n">
        <x:f>IF(OR(U166="",U165=""),"",U166-U165)</x:f>
        <x:v>0.0158965059156001</x:v>
      </x:c>
      <x:c r="W166" s="98" t="n">
        <x:f>IF('Datos_fuente'!R166="","",ASINH('Datos_fuente'!R166/1000))</x:f>
        <x:v>-0.38508200315494945</x:v>
      </x:c>
      <x:c r="X166" s="98" t="n">
        <x:f>IF(OR(W166="",W165=""),"",W166-W165)</x:f>
        <x:v>-0.6105079075822546</x:v>
      </x:c>
      <x:c r="Y166" s="63" t="n">
        <x:f>'Datos_fuente'!W166</x:f>
        <x:v>1.364028576</x:v>
      </x:c>
      <x:c r="Z166" s="63" t="n">
        <x:f>IF(OR(Y166="",Y165=""),"",Y166-Y165)</x:f>
        <x:v>0.016433351999999957</x:v>
      </x:c>
      <x:c r="AA166" s="98" t="n">
        <x:f>'Datos_fuente'!AB166</x:f>
        <x:v>-0.1714512532</x:v>
      </x:c>
      <x:c r="AB166" s="98" t="n">
        <x:f>'Datos_fuente'!AC166</x:f>
        <x:v>-0.1316892158</x:v>
      </x:c>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t="str">
        <x:f>'Datos_fuente'!A167</x:f>
        <x:v>2019-05</x:v>
      </x:c>
      <x:c r="B167" s="98" t="n">
        <x:f>IF('Datos_fuente'!B167="","",LN('Datos_fuente'!B167))</x:f>
        <x:v>8.103038795353978</x:v>
      </x:c>
      <x:c r="C167" s="98" t="n">
        <x:f>IF(OR(B167="",B166=""),"",B167-B166)</x:f>
        <x:v>0.04605257750406899</x:v>
      </x:c>
      <x:c r="D167" s="98" t="n">
        <x:f>IF('Datos_fuente'!C167="","",LN('Datos_fuente'!C167))</x:f>
        <x:v>4.94790846418795</x:v>
      </x:c>
      <x:c r="E167" s="98" t="n">
        <x:f>IF(OR(D167="",D166=""),"",D167-D166)</x:f>
        <x:v>-0.01912319242617322</x:v>
      </x:c>
      <x:c r="F167" s="98" t="n">
        <x:f>IF('Datos_fuente'!E167="","",LN('Datos_fuente'!E167))</x:f>
        <x:v>8.844790447359404</x:v>
      </x:c>
      <x:c r="G167" s="98" t="n">
        <x:f>IF(OR(F167="",F166=""),"",F167-F166)</x:f>
        <x:v>0.014535489922048228</x:v>
      </x:c>
      <x:c r="H167" s="63" t="n">
        <x:f>'Datos_fuente'!H167</x:f>
        <x:v>1.86</x:v>
      </x:c>
      <x:c r="I167" s="63" t="n">
        <x:f>IF(OR(H167="",H166=""),"",H167-H166)</x:f>
        <x:v>0.030000000000000027</x:v>
      </x:c>
      <x:c r="J167" s="63" t="n">
        <x:f>'Datos_fuente'!J167</x:f>
        <x:v>2.636824315</x:v>
      </x:c>
      <x:c r="K167" s="63" t="n">
        <x:f>IF(OR(J167="",J166=""),"",J167-J166)</x:f>
        <x:v>-0.0679199829999999</x:v>
      </x:c>
      <x:c r="L167" s="98" t="n">
        <x:f>IF('Datos_fuente'!K167="","",LN('Datos_fuente'!K167))</x:f>
        <x:v>4.753222725323221</x:v>
      </x:c>
      <x:c r="M167" s="98" t="n">
        <x:f>IF(OR(L167="",L166=""),"",L167-L166)</x:f>
        <x:v>0.0091278647621591</x:v>
      </x:c>
      <x:c r="N167" s="98" t="n">
        <x:f>IF('Datos_fuente'!L167="","",LN('Datos_fuente'!L167))</x:f>
        <x:v>2.81671434456745</x:v>
      </x:c>
      <x:c r="O167" s="98" t="n">
        <x:f>IF(OR(N167="",N166=""),"",N167-N166)</x:f>
        <x:v>0.2556921019834544</x:v>
      </x:c>
      <x:c r="P167" s="96" t="n">
        <x:f>'Datos_fuente'!M167</x:f>
        <x:v>0</x:v>
      </x:c>
      <x:c r="Q167" s="98" t="n">
        <x:f>IF('Datos_fuente'!N167="","",LN('Datos_fuente'!N167))</x:f>
        <x:v>10.858522537920848</x:v>
      </x:c>
      <x:c r="R167" s="98" t="n">
        <x:f>IF(OR(Q167="",Q166=""),"",Q167-Q166)</x:f>
        <x:v>0.008764763071681614</x:v>
      </x:c>
      <x:c r="S167" s="63" t="n">
        <x:f>'Datos_fuente'!P167</x:f>
        <x:v>1.906086957</x:v>
      </x:c>
      <x:c r="T167" s="63" t="n">
        <x:f>IF(OR(S167="",S166=""),"",S167-S166)</x:f>
        <x:v>0.13654150200000004</x:v>
      </x:c>
      <x:c r="U167" s="98" t="n">
        <x:f>IF('Datos_fuente'!Q167="","",ASINH('Datos_fuente'!Q167/1000))</x:f>
        <x:v>-0.04656317234834558</x:v>
      </x:c>
      <x:c r="V167" s="98" t="n">
        <x:f>IF(OR(U167="",U166=""),"",U167-U166)</x:f>
        <x:v>-0.07496935198421496</x:v>
      </x:c>
      <x:c r="W167" s="98" t="n">
        <x:f>IF('Datos_fuente'!R167="","",ASINH('Datos_fuente'!R167/1000))</x:f>
        <x:v>-0.3504804971912442</x:v>
      </x:c>
      <x:c r="X167" s="98" t="n">
        <x:f>IF(OR(W167="",W166=""),"",W167-W166)</x:f>
        <x:v>0.03460150596370526</x:v>
      </x:c>
      <x:c r="Y167" s="63" t="n">
        <x:f>'Datos_fuente'!W167</x:f>
        <x:v>1.621404549</x:v>
      </x:c>
      <x:c r="Z167" s="63" t="n">
        <x:f>IF(OR(Y167="",Y166=""),"",Y167-Y166)</x:f>
        <x:v>0.25737597300000004</x:v>
      </x:c>
      <x:c r="AA167" s="98" t="n">
        <x:f>'Datos_fuente'!AB167</x:f>
        <x:v>0.6956051346</x:v>
      </x:c>
      <x:c r="AB167" s="98" t="n">
        <x:f>'Datos_fuente'!AC167</x:f>
        <x:v>0.7066024398</x:v>
      </x:c>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t="str">
        <x:f>'Datos_fuente'!A168</x:f>
        <x:v>2019-06</x:v>
      </x:c>
      <x:c r="B168" s="98" t="n">
        <x:f>IF('Datos_fuente'!B168="","",LN('Datos_fuente'!B168))</x:f>
        <x:v>8.089641050743909</x:v>
      </x:c>
      <x:c r="C168" s="98" t="n">
        <x:f>IF(OR(B168="",B167=""),"",B168-B167)</x:f>
        <x:v>-0.01339774461006904</x:v>
      </x:c>
      <x:c r="D168" s="98" t="n">
        <x:f>IF('Datos_fuente'!C168="","",LN('Datos_fuente'!C168))</x:f>
        <x:v>4.917203349303703</x:v>
      </x:c>
      <x:c r="E168" s="98" t="n">
        <x:f>IF(OR(D168="",D167=""),"",D168-D167)</x:f>
        <x:v>-0.03070511488424721</x:v>
      </x:c>
      <x:c r="F168" s="98" t="n">
        <x:f>IF('Datos_fuente'!E168="","",LN('Datos_fuente'!E168))</x:f>
        <x:v>8.846885352325076</x:v>
      </x:c>
      <x:c r="G168" s="98" t="n">
        <x:f>IF(OR(F168="",F167=""),"",F168-F167)</x:f>
        <x:v>0.0020949049656717733</x:v>
      </x:c>
      <x:c r="H168" s="63" t="n">
        <x:f>'Datos_fuente'!H168</x:f>
        <x:v>1.87</x:v>
      </x:c>
      <x:c r="I168" s="63" t="n">
        <x:f>IF(OR(H168="",H167=""),"",H168-H167)</x:f>
        <x:v>0.010000000000000009</x:v>
      </x:c>
      <x:c r="J168" s="63" t="n">
        <x:f>'Datos_fuente'!J168</x:f>
        <x:v>2.284106697</x:v>
      </x:c>
      <x:c r="K168" s="63" t="n">
        <x:f>IF(OR(J168="",J167=""),"",J168-J167)</x:f>
        <x:v>-0.35271761800000023</x:v>
      </x:c>
      <x:c r="L168" s="98" t="n">
        <x:f>IF('Datos_fuente'!K168="","",LN('Datos_fuente'!K168))</x:f>
        <x:v>4.7486389019554425</x:v>
      </x:c>
      <x:c r="M168" s="98" t="n">
        <x:f>IF(OR(L168="",L167=""),"",L168-L167)</x:f>
        <x:v>-0.004583823367778628</x:v>
      </x:c>
      <x:c r="N168" s="98" t="n">
        <x:f>IF('Datos_fuente'!L168="","",LN('Datos_fuente'!L168))</x:f>
        <x:v>2.762285829243884</x:v>
      </x:c>
      <x:c r="O168" s="98" t="n">
        <x:f>IF(OR(N168="",N167=""),"",N168-N167)</x:f>
        <x:v>-0.05442851532356574</x:v>
      </x:c>
      <x:c r="P168" s="96" t="n">
        <x:f>'Datos_fuente'!M168</x:f>
        <x:v>0</x:v>
      </x:c>
      <x:c r="Q168" s="98" t="n">
        <x:f>IF('Datos_fuente'!N168="","",LN('Datos_fuente'!N168))</x:f>
        <x:v>10.867510555875164</x:v>
      </x:c>
      <x:c r="R168" s="98" t="n">
        <x:f>IF(OR(Q168="",Q167=""),"",Q168-Q167)</x:f>
        <x:v>0.008988017954315808</x:v>
      </x:c>
      <x:c r="S168" s="63" t="n">
        <x:f>'Datos_fuente'!P168</x:f>
        <x:v>1.896</x:v>
      </x:c>
      <x:c r="T168" s="63" t="n">
        <x:f>IF(OR(S168="",S167=""),"",S168-S167)</x:f>
        <x:v>-0.010086957000000174</x:v>
      </x:c>
      <x:c r="U168" s="98" t="n">
        <x:f>IF('Datos_fuente'!Q168="","",ASINH('Datos_fuente'!Q168/1000))</x:f>
        <x:v>-0.13931887170924703</x:v>
      </x:c>
      <x:c r="V168" s="98" t="n">
        <x:f>IF(OR(U168="",U167=""),"",U168-U167)</x:f>
        <x:v>-0.09275569936090144</x:v>
      </x:c>
      <x:c r="W168" s="98" t="n">
        <x:f>IF('Datos_fuente'!R168="","",ASINH('Datos_fuente'!R168/1000))</x:f>
        <x:v>-0.01720915055848426</x:v>
      </x:c>
      <x:c r="X168" s="98" t="n">
        <x:f>IF(OR(W168="",W167=""),"",W168-W167)</x:f>
        <x:v>0.3332713466327599</x:v>
      </x:c>
      <x:c r="Y168" s="63" t="n">
        <x:f>'Datos_fuente'!W168</x:f>
        <x:v>1.586592775</x:v>
      </x:c>
      <x:c r="Z168" s="63" t="n">
        <x:f>IF(OR(Y168="",Y167=""),"",Y168-Y167)</x:f>
        <x:v>-0.03481177400000002</x:v>
      </x:c>
      <x:c r="AA168" s="98" t="n">
        <x:f>'Datos_fuente'!AB168</x:f>
        <x:v>-0.3841252541</x:v>
      </x:c>
      <x:c r="AB168" s="98" t="n">
        <x:f>'Datos_fuente'!AC168</x:f>
        <x:v>-0.3341360629</x:v>
      </x:c>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t="str">
        <x:f>'Datos_fuente'!A169</x:f>
        <x:v>2019-07</x:v>
      </x:c>
      <x:c r="B169" s="98" t="n">
        <x:f>IF('Datos_fuente'!B169="","",LN('Datos_fuente'!B169))</x:f>
        <x:v>8.072966565484476</x:v>
      </x:c>
      <x:c r="C169" s="98" t="n">
        <x:f>IF(OR(B169="",B168=""),"",B169-B168)</x:f>
        <x:v>-0.016674485259432714</x:v>
      </x:c>
      <x:c r="D169" s="98" t="n">
        <x:f>IF('Datos_fuente'!C169="","",LN('Datos_fuente'!C169))</x:f>
        <x:v>4.924786876970218</x:v>
      </x:c>
      <x:c r="E169" s="98" t="n">
        <x:f>IF(OR(D169="",D168=""),"",D169-D168)</x:f>
        <x:v>0.007583527666515266</x:v>
      </x:c>
      <x:c r="F169" s="98" t="n">
        <x:f>IF('Datos_fuente'!E169="","",LN('Datos_fuente'!E169))</x:f>
        <x:v>8.854526485792226</x:v>
      </x:c>
      <x:c r="G169" s="98" t="n">
        <x:f>IF(OR(F169="",F168=""),"",F169-F168)</x:f>
        <x:v>0.0076411334671497855</x:v>
      </x:c>
      <x:c r="H169" s="63" t="n">
        <x:f>'Datos_fuente'!H169</x:f>
        <x:v>1.85</x:v>
      </x:c>
      <x:c r="I169" s="63" t="n">
        <x:f>IF(OR(H169="",H168=""),"",H169-H168)</x:f>
        <x:v>-0.020000000000000018</x:v>
      </x:c>
      <x:c r="J169" s="63" t="n">
        <x:f>'Datos_fuente'!J169</x:f>
        <x:v>2.035827815</x:v>
      </x:c>
      <x:c r="K169" s="63" t="n">
        <x:f>IF(OR(J169="",J168=""),"",J169-J168)</x:f>
        <x:v>-0.2482788819999997</x:v>
      </x:c>
      <x:c r="L169" s="98" t="n">
        <x:f>IF('Datos_fuente'!K169="","",LN('Datos_fuente'!K169))</x:f>
        <x:v>4.7456066043314475</x:v>
      </x:c>
      <x:c r="M169" s="98" t="n">
        <x:f>IF(OR(L169="",L168=""),"",L169-L168)</x:f>
        <x:v>-0.0030322976239949284</x:v>
      </x:c>
      <x:c r="N169" s="98" t="n">
        <x:f>IF('Datos_fuente'!L169="","",LN('Datos_fuente'!L169))</x:f>
        <x:v>2.5882082290402306</x:v>
      </x:c>
      <x:c r="O169" s="98" t="n">
        <x:f>IF(OR(N169="",N168=""),"",N169-N168)</x:f>
        <x:v>-0.17407760020365348</x:v>
      </x:c>
      <x:c r="P169" s="96" t="n">
        <x:f>'Datos_fuente'!M169</x:f>
        <x:v>0</x:v>
      </x:c>
      <x:c r="Q169" s="98" t="n">
        <x:f>IF('Datos_fuente'!N169="","",LN('Datos_fuente'!N169))</x:f>
        <x:v>10.866008030648363</x:v>
      </x:c>
      <x:c r="R169" s="98" t="n">
        <x:f>IF(OR(Q169="",Q168=""),"",Q169-Q168)</x:f>
        <x:v>-0.0015025252268010547</x:v>
      </x:c>
      <x:c r="S169" s="63" t="n">
        <x:f>'Datos_fuente'!P169</x:f>
        <x:v>1.724782609</x:v>
      </x:c>
      <x:c r="T169" s="63" t="n">
        <x:f>IF(OR(S169="",S168=""),"",S169-S168)</x:f>
        <x:v>-0.17121739099999989</x:v>
      </x:c>
      <x:c r="U169" s="98" t="n">
        <x:f>IF('Datos_fuente'!Q169="","",ASINH('Datos_fuente'!Q169/1000))</x:f>
        <x:v>-0.1215206907766051</x:v>
      </x:c>
      <x:c r="V169" s="98" t="n">
        <x:f>IF(OR(U169="",U168=""),"",U169-U168)</x:f>
        <x:v>0.017798180932641933</x:v>
      </x:c>
      <x:c r="W169" s="98" t="n">
        <x:f>IF('Datos_fuente'!R169="","",ASINH('Datos_fuente'!R169/1000))</x:f>
        <x:v>-0.606111090029189</x:v>
      </x:c>
      <x:c r="X169" s="98" t="n">
        <x:f>IF(OR(W169="",W168=""),"",W169-W168)</x:f>
        <x:v>-0.5889019394707047</x:v>
      </x:c>
      <x:c r="Y169" s="63" t="n">
        <x:f>'Datos_fuente'!W169</x:f>
        <x:v>1.658663639</x:v>
      </x:c>
      <x:c r="Z169" s="63" t="n">
        <x:f>IF(OR(Y169="",Y168=""),"",Y169-Y168)</x:f>
        <x:v>0.07207086400000007</x:v>
      </x:c>
      <x:c r="AA169" s="98" t="n">
        <x:f>'Datos_fuente'!AB169</x:f>
        <x:v>-0.491274184</x:v>
      </x:c>
      <x:c r="AB169" s="98" t="n">
        <x:f>'Datos_fuente'!AC169</x:f>
        <x:v>-0.5792305586</x:v>
      </x:c>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t="str">
        <x:f>'Datos_fuente'!A170</x:f>
        <x:v>2019-08</x:v>
      </x:c>
      <x:c r="B170" s="98" t="n">
        <x:f>IF('Datos_fuente'!B170="","",LN('Datos_fuente'!B170))</x:f>
        <x:v>8.134681339802595</x:v>
      </x:c>
      <x:c r="C170" s="98" t="n">
        <x:f>IF(OR(B170="",B169=""),"",B170-B169)</x:f>
        <x:v>0.061714774318119225</x:v>
      </x:c>
      <x:c r="D170" s="98" t="n">
        <x:f>IF('Datos_fuente'!C170="","",LN('Datos_fuente'!C170))</x:f>
        <x:v>4.898511216291551</x:v>
      </x:c>
      <x:c r="E170" s="98" t="n">
        <x:f>IF(OR(D170="",D169=""),"",D170-D169)</x:f>
        <x:v>-0.02627566067866738</x:v>
      </x:c>
      <x:c r="F170" s="98" t="n">
        <x:f>IF('Datos_fuente'!E170="","",LN('Datos_fuente'!E170))</x:f>
        <x:v>8.864981162935774</x:v>
      </x:c>
      <x:c r="G170" s="98" t="n">
        <x:f>IF(OR(F170="",F169=""),"",F170-F169)</x:f>
        <x:v>0.010454677143547642</x:v>
      </x:c>
      <x:c r="H170" s="63" t="n">
        <x:f>'Datos_fuente'!H170</x:f>
        <x:v>2.12</x:v>
      </x:c>
      <x:c r="I170" s="63" t="n">
        <x:f>IF(OR(H170="",H169=""),"",H170-H169)</x:f>
        <x:v>0.27</x:v>
      </x:c>
      <x:c r="J170" s="63" t="n">
        <x:f>'Datos_fuente'!J170</x:f>
        <x:v>2.009210978</x:v>
      </x:c>
      <x:c r="K170" s="63" t="n">
        <x:f>IF(OR(J170="",J169=""),"",J170-J169)</x:f>
        <x:v>-0.02661683700000017</x:v>
      </x:c>
      <x:c r="L170" s="98" t="n">
        <x:f>IF('Datos_fuente'!K170="","",LN('Datos_fuente'!K170))</x:f>
        <x:v>4.7630315703420365</x:v>
      </x:c>
      <x:c r="M170" s="98" t="n">
        <x:f>IF(OR(L170="",L169=""),"",L170-L169)</x:f>
        <x:v>0.01742496601058896</x:v>
      </x:c>
      <x:c r="N170" s="98" t="n">
        <x:f>IF('Datos_fuente'!L170="","",LN('Datos_fuente'!L170))</x:f>
        <x:v>2.9433378947743973</x:v>
      </x:c>
      <x:c r="O170" s="98" t="n">
        <x:f>IF(OR(N170="",N169=""),"",N170-N169)</x:f>
        <x:v>0.3551296657341667</x:v>
      </x:c>
      <x:c r="P170" s="96" t="n">
        <x:f>'Datos_fuente'!M170</x:f>
        <x:v>0</x:v>
      </x:c>
      <x:c r="Q170" s="98" t="n">
        <x:f>IF('Datos_fuente'!N170="","",LN('Datos_fuente'!N170))</x:f>
        <x:v>10.877927185333682</x:v>
      </x:c>
      <x:c r="R170" s="98" t="n">
        <x:f>IF(OR(Q170="",Q169=""),"",Q170-Q169)</x:f>
        <x:v>0.011919154685319455</x:v>
      </x:c>
      <x:c r="S170" s="63" t="n">
        <x:f>'Datos_fuente'!P170</x:f>
        <x:v>1.873636364</x:v>
      </x:c>
      <x:c r="T170" s="63" t="n">
        <x:f>IF(OR(S170="",S169=""),"",S170-S169)</x:f>
        <x:v>0.14885375499999998</x:v>
      </x:c>
      <x:c r="U170" s="98" t="n">
        <x:f>IF('Datos_fuente'!Q170="","",ASINH('Datos_fuente'!Q170/1000))</x:f>
        <x:v>-0.016429260890662035</x:v>
      </x:c>
      <x:c r="V170" s="98" t="n">
        <x:f>IF(OR(U170="",U169=""),"",U170-U169)</x:f>
        <x:v>0.10509142988594307</x:v>
      </x:c>
      <x:c r="W170" s="98" t="n">
        <x:f>IF('Datos_fuente'!R170="","",ASINH('Datos_fuente'!R170/1000))</x:f>
        <x:v>-0.49876226307517185</x:v>
      </x:c>
      <x:c r="X170" s="98" t="n">
        <x:f>IF(OR(W170="",W169=""),"",W170-W169)</x:f>
        <x:v>0.1073488269540171</x:v>
      </x:c>
      <x:c r="Y170" s="63" t="n">
        <x:f>'Datos_fuente'!W170</x:f>
        <x:v>1.979878946</x:v>
      </x:c>
      <x:c r="Z170" s="63" t="n">
        <x:f>IF(OR(Y170="",Y169=""),"",Y170-Y169)</x:f>
        <x:v>0.3212153069999999</x:v>
      </x:c>
      <x:c r="AA170" s="98" t="n">
        <x:f>'Datos_fuente'!AB170</x:f>
        <x:v>1.344400564</x:v>
      </x:c>
      <x:c r="AB170" s="98" t="n">
        <x:f>'Datos_fuente'!AC170</x:f>
        <x:v>1.5434295</x:v>
      </x:c>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t="str">
        <x:f>'Datos_fuente'!A171</x:f>
        <x:v>2019-09</x:v>
      </x:c>
      <x:c r="B171" s="98" t="n">
        <x:f>IF('Datos_fuente'!B171="","",LN('Datos_fuente'!B171))</x:f>
        <x:v>8.131370991967557</x:v>
      </x:c>
      <x:c r="C171" s="98" t="n">
        <x:f>IF(OR(B171="",B170=""),"",B171-B170)</x:f>
        <x:v>-0.00331034783503803</x:v>
      </x:c>
      <x:c r="D171" s="98" t="n">
        <x:f>IF('Datos_fuente'!C171="","",LN('Datos_fuente'!C171))</x:f>
        <x:v>4.917276542350397</x:v>
      </x:c>
      <x:c r="E171" s="98" t="n">
        <x:f>IF(OR(D171="",D170=""),"",D171-D170)</x:f>
        <x:v>0.018765326058845844</x:v>
      </x:c>
      <x:c r="F171" s="98" t="n">
        <x:f>IF('Datos_fuente'!E171="","",LN('Datos_fuente'!E171))</x:f>
        <x:v>8.869513467537121</x:v>
      </x:c>
      <x:c r="G171" s="98" t="n">
        <x:f>IF(OR(F171="",F170=""),"",F171-F170)</x:f>
        <x:v>0.004532304601347903</x:v>
      </x:c>
      <x:c r="H171" s="63" t="n">
        <x:f>'Datos_fuente'!H171</x:f>
        <x:v>2.21</x:v>
      </x:c>
      <x:c r="I171" s="63" t="n">
        <x:f>IF(OR(H171="",H170=""),"",H171-H170)</x:f>
        <x:v>0.08999999999999986</x:v>
      </x:c>
      <x:c r="J171" s="63" t="n">
        <x:f>'Datos_fuente'!J171</x:f>
        <x:v>1.762752869</x:v>
      </x:c>
      <x:c r="K171" s="63" t="n">
        <x:f>IF(OR(J171="",J170=""),"",J171-J170)</x:f>
        <x:v>-0.24645810899999998</x:v>
      </x:c>
      <x:c r="L171" s="98" t="n">
        <x:f>IF('Datos_fuente'!K171="","",LN('Datos_fuente'!K171))</x:f>
        <x:v>4.76493865643888</x:v>
      </x:c>
      <x:c r="M171" s="98" t="n">
        <x:f>IF(OR(L171="",L170=""),"",L171-L170)</x:f>
        <x:v>0.0019070860968435355</x:v>
      </x:c>
      <x:c r="N171" s="98" t="n">
        <x:f>IF('Datos_fuente'!L171="","",LN('Datos_fuente'!L171))</x:f>
        <x:v>2.7446392493328258</x:v>
      </x:c>
      <x:c r="O171" s="98" t="n">
        <x:f>IF(OR(N171="",N170=""),"",N171-N170)</x:f>
        <x:v>-0.19869864544157156</x:v>
      </x:c>
      <x:c r="P171" s="96" t="n">
        <x:f>'Datos_fuente'!M171</x:f>
        <x:v>0</x:v>
      </x:c>
      <x:c r="Q171" s="98" t="n">
        <x:f>IF('Datos_fuente'!N171="","",LN('Datos_fuente'!N171))</x:f>
        <x:v>10.875567706052324</x:v>
      </x:c>
      <x:c r="R171" s="98" t="n">
        <x:f>IF(OR(Q171="",Q170=""),"",Q171-Q170)</x:f>
        <x:v>-0.0023594792813579346</x:v>
      </x:c>
      <x:c r="S171" s="63" t="n">
        <x:f>'Datos_fuente'!P171</x:f>
        <x:v>1.759047619</x:v>
      </x:c>
      <x:c r="T171" s="63" t="n">
        <x:f>IF(OR(S171="",S170=""),"",S171-S170)</x:f>
        <x:v>-0.11458874500000005</x:v>
      </x:c>
      <x:c r="U171" s="98" t="n">
        <x:f>IF('Datos_fuente'!Q171="","",ASINH('Datos_fuente'!Q171/1000))</x:f>
        <x:v>-0.11104166400598033</x:v>
      </x:c>
      <x:c r="V171" s="98" t="n">
        <x:f>IF(OR(U171="",U170=""),"",U171-U170)</x:f>
        <x:v>-0.0946124031153183</x:v>
      </x:c>
      <x:c r="W171" s="98" t="n">
        <x:f>IF('Datos_fuente'!R171="","",ASINH('Datos_fuente'!R171/1000))</x:f>
        <x:v>-0.9099382324947201</x:v>
      </x:c>
      <x:c r="X171" s="98" t="n">
        <x:f>IF(OR(W171="",W170=""),"",W171-W170)</x:f>
        <x:v>-0.4111759694195482</x:v>
      </x:c>
      <x:c r="Y171" s="63" t="n">
        <x:f>'Datos_fuente'!W171</x:f>
        <x:v>1.918344529</x:v>
      </x:c>
      <x:c r="Z171" s="63" t="n">
        <x:f>IF(OR(Y171="",Y170=""),"",Y171-Y170)</x:f>
        <x:v>-0.06153441699999984</x:v>
      </x:c>
      <x:c r="AA171" s="98" t="n">
        <x:f>'Datos_fuente'!AB171</x:f>
        <x:v>0.1311044368</x:v>
      </x:c>
      <x:c r="AB171" s="98" t="n">
        <x:f>'Datos_fuente'!AC171</x:f>
        <x:v>-0.02772157543</x:v>
      </x:c>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t="str">
        <x:f>'Datos_fuente'!A172</x:f>
        <x:v>2019-10</x:v>
      </x:c>
      <x:c r="B172" s="98" t="n">
        <x:f>IF('Datos_fuente'!B172="","",LN('Datos_fuente'!B172))</x:f>
        <x:v>8.141280559218927</x:v>
      </x:c>
      <x:c r="C172" s="98" t="n">
        <x:f>IF(OR(B172="",B171=""),"",B172-B171)</x:f>
        <x:v>0.009909567251369822</x:v>
      </x:c>
      <x:c r="D172" s="98" t="n">
        <x:f>IF('Datos_fuente'!C172="","",LN('Datos_fuente'!C172))</x:f>
        <x:v>4.912066477363677</x:v>
      </x:c>
      <x:c r="E172" s="98" t="n">
        <x:f>IF(OR(D172="",D171=""),"",D172-D171)</x:f>
        <x:v>-0.005210064986719942</x:v>
      </x:c>
      <x:c r="F172" s="98" t="n">
        <x:f>IF('Datos_fuente'!E172="","",LN('Datos_fuente'!E172))</x:f>
        <x:v>8.86676214752021</x:v>
      </x:c>
      <x:c r="G172" s="98" t="n">
        <x:f>IF(OR(F172="",F171=""),"",F172-F171)</x:f>
        <x:v>-0.0027513200169106966</x:v>
      </x:c>
      <x:c r="H172" s="63" t="n">
        <x:f>'Datos_fuente'!H172</x:f>
        <x:v>2.42</x:v>
      </x:c>
      <x:c r="I172" s="63" t="n">
        <x:f>IF(OR(H172="",H171=""),"",H172-H171)</x:f>
        <x:v>0.20999999999999996</x:v>
      </x:c>
      <x:c r="J172" s="63" t="n">
        <x:f>'Datos_fuente'!J172</x:f>
        <x:v>2.044472782</x:v>
      </x:c>
      <x:c r="K172" s="63" t="n">
        <x:f>IF(OR(J172="",J171=""),"",J172-J171)</x:f>
        <x:v>0.2817199130000001</x:v>
      </x:c>
      <x:c r="L172" s="98" t="n">
        <x:f>IF('Datos_fuente'!K172="","",LN('Datos_fuente'!K172))</x:f>
        <x:v>4.760002854065631</x:v>
      </x:c>
      <x:c r="M172" s="98" t="n">
        <x:f>IF(OR(L172="",L171=""),"",L172-L171)</x:f>
        <x:v>-0.0049358023732493095</x:v>
      </x:c>
      <x:c r="N172" s="98" t="n">
        <x:f>IF('Datos_fuente'!L172="","",LN('Datos_fuente'!L172))</x:f>
        <x:v>2.738677800261578</x:v>
      </x:c>
      <x:c r="O172" s="98" t="n">
        <x:f>IF(OR(N172="",N171=""),"",N172-N171)</x:f>
        <x:v>-0.0059614490712478485</x:v>
      </x:c>
      <x:c r="P172" s="96" t="n">
        <x:f>'Datos_fuente'!M172</x:f>
        <x:v>0</x:v>
      </x:c>
      <x:c r="Q172" s="98" t="n">
        <x:f>IF('Datos_fuente'!N172="","",LN('Datos_fuente'!N172))</x:f>
        <x:v>10.87962519212078</x:v>
      </x:c>
      <x:c r="R172" s="98" t="n">
        <x:f>IF(OR(Q172="",Q171=""),"",Q172-Q171)</x:f>
        <x:v>0.004057486068456129</x:v>
      </x:c>
      <x:c r="S172" s="63" t="n">
        <x:f>'Datos_fuente'!P172</x:f>
        <x:v>1.786086957</x:v>
      </x:c>
      <x:c r="T172" s="63" t="n">
        <x:f>IF(OR(S172="",S171=""),"",S172-S171)</x:f>
        <x:v>0.027039338000000024</x:v>
      </x:c>
      <x:c r="U172" s="98" t="n">
        <x:f>IF('Datos_fuente'!Q172="","",ASINH('Datos_fuente'!Q172/1000))</x:f>
        <x:v>-0.17164590977689465</x:v>
      </x:c>
      <x:c r="V172" s="98" t="n">
        <x:f>IF(OR(U172="",U171=""),"",U172-U171)</x:f>
        <x:v>-0.06060424577091432</x:v>
      </x:c>
      <x:c r="W172" s="98" t="n">
        <x:f>IF('Datos_fuente'!R172="","",ASINH('Datos_fuente'!R172/1000))</x:f>
        <x:v>-0.45565790597757505</x:v>
      </x:c>
      <x:c r="X172" s="98" t="n">
        <x:f>IF(OR(W172="",W171=""),"",W172-W171)</x:f>
        <x:v>0.454280326517145</x:v>
      </x:c>
      <x:c r="Y172" s="63" t="n">
        <x:f>'Datos_fuente'!W172</x:f>
        <x:v>2.178871545</x:v>
      </x:c>
      <x:c r="Z172" s="63" t="n">
        <x:f>IF(OR(Y172="",Y171=""),"",Y172-Y171)</x:f>
        <x:v>0.2605270159999997</x:v>
      </x:c>
      <x:c r="AA172" s="98" t="n">
        <x:f>'Datos_fuente'!AB172</x:f>
        <x:v>-0.2666762011</x:v>
      </x:c>
      <x:c r="AB172" s="98" t="n">
        <x:f>'Datos_fuente'!AC172</x:f>
        <x:v>-0.1802623005</x:v>
      </x:c>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t="str">
        <x:f>'Datos_fuente'!A173</x:f>
        <x:v>2019-11</x:v>
      </x:c>
      <x:c r="B173" s="98" t="n">
        <x:f>IF('Datos_fuente'!B173="","",LN('Datos_fuente'!B173))</x:f>
        <x:v>8.131963852079057</x:v>
      </x:c>
      <x:c r="C173" s="98" t="n">
        <x:f>IF(OR(B173="",B172=""),"",B173-B172)</x:f>
        <x:v>-0.009316707139870317</x:v>
      </x:c>
      <x:c r="D173" s="98" t="n">
        <x:f>IF('Datos_fuente'!C173="","",LN('Datos_fuente'!C173))</x:f>
        <x:v>4.921439715291784</x:v>
      </x:c>
      <x:c r="E173" s="98" t="n">
        <x:f>IF(OR(D173="",D172=""),"",D173-D172)</x:f>
        <x:v>0.009373237928107514</x:v>
      </x:c>
      <x:c r="F173" s="98" t="n">
        <x:f>IF('Datos_fuente'!E173="","",LN('Datos_fuente'!E173))</x:f>
        <x:v>8.860331730216636</x:v>
      </x:c>
      <x:c r="G173" s="98" t="n">
        <x:f>IF(OR(F173="",F172=""),"",F173-F172)</x:f>
        <x:v>-0.0064304173035747425</x:v>
      </x:c>
      <x:c r="H173" s="63" t="n">
        <x:f>'Datos_fuente'!H173</x:f>
        <x:v>2.7</x:v>
      </x:c>
      <x:c r="I173" s="63" t="n">
        <x:f>IF(OR(H173="",H172=""),"",H173-H172)</x:f>
        <x:v>0.28000000000000025</x:v>
      </x:c>
      <x:c r="J173" s="63" t="n">
        <x:f>'Datos_fuente'!J173</x:f>
        <x:v>2.11895512</x:v>
      </x:c>
      <x:c r="K173" s="63" t="n">
        <x:f>IF(OR(J173="",J172=""),"",J173-J172)</x:f>
        <x:v>0.0744823379999997</x:v>
      </x:c>
      <x:c r="L173" s="98" t="n">
        <x:f>IF('Datos_fuente'!K173="","",LN('Datos_fuente'!K173))</x:f>
        <x:v>4.7584016011353</x:v>
      </x:c>
      <x:c r="M173" s="98" t="n">
        <x:f>IF(OR(L173="",L172=""),"",L173-L172)</x:f>
        <x:v>-0.0016012529303308654</x:v>
      </x:c>
      <x:c r="N173" s="98" t="n">
        <x:f>IF('Datos_fuente'!L173="","",LN('Datos_fuente'!L173))</x:f>
        <x:v>2.527606879320028</x:v>
      </x:c>
      <x:c r="O173" s="98" t="n">
        <x:f>IF(OR(N173="",N172=""),"",N173-N172)</x:f>
        <x:v>-0.21107092094155</x:v>
      </x:c>
      <x:c r="P173" s="96" t="n">
        <x:f>'Datos_fuente'!M173</x:f>
        <x:v>0</x:v>
      </x:c>
      <x:c r="Q173" s="98" t="n">
        <x:f>IF('Datos_fuente'!N173="","",LN('Datos_fuente'!N173))</x:f>
        <x:v>10.877137344786036</x:v>
      </x:c>
      <x:c r="R173" s="98" t="n">
        <x:f>IF(OR(Q173="",Q172=""),"",Q173-Q172)</x:f>
        <x:v>-0.0024878473347449415</x:v>
      </x:c>
      <x:c r="S173" s="63" t="n">
        <x:f>'Datos_fuente'!P173</x:f>
        <x:v>1.818571429</x:v>
      </x:c>
      <x:c r="T173" s="63" t="n">
        <x:f>IF(OR(S173="",S172=""),"",S173-S172)</x:f>
        <x:v>0.03248447199999993</x:v>
      </x:c>
      <x:c r="U173" s="98" t="n">
        <x:f>IF('Datos_fuente'!Q173="","",ASINH('Datos_fuente'!Q173/1000))</x:f>
        <x:v>-0.05717883797159469</x:v>
      </x:c>
      <x:c r="V173" s="98" t="n">
        <x:f>IF(OR(U173="",U172=""),"",U173-U172)</x:f>
        <x:v>0.11446707180529996</x:v>
      </x:c>
      <x:c r="W173" s="98" t="n">
        <x:f>IF('Datos_fuente'!R173="","",ASINH('Datos_fuente'!R173/1000))</x:f>
        <x:v>-0.8173460710827065</x:v>
      </x:c>
      <x:c r="X173" s="98" t="n">
        <x:f>IF(OR(W173="",W172=""),"",W173-W172)</x:f>
        <x:v>-0.36168816510513147</x:v>
      </x:c>
      <x:c r="Y173" s="63" t="n">
        <x:f>'Datos_fuente'!W173</x:f>
        <x:v>2.185903406</x:v>
      </x:c>
      <x:c r="Z173" s="63" t="n">
        <x:f>IF(OR(Y173="",Y172=""),"",Y173-Y172)</x:f>
        <x:v>0.007031861000000195</x:v>
      </x:c>
      <x:c r="AA173" s="98" t="n">
        <x:f>'Datos_fuente'!AB173</x:f>
        <x:v>0.9927427176</x:v>
      </x:c>
      <x:c r="AB173" s="98" t="n">
        <x:f>'Datos_fuente'!AC173</x:f>
        <x:v>0.8225338838</x:v>
      </x:c>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t="str">
        <x:f>'Datos_fuente'!A174</x:f>
        <x:v>2019-12</x:v>
      </x:c>
      <x:c r="B174" s="98" t="n">
        <x:f>IF('Datos_fuente'!B174="","",LN('Datos_fuente'!B174))</x:f>
        <x:v>8.125054089854528</x:v>
      </x:c>
      <x:c r="C174" s="98" t="n">
        <x:f>IF(OR(B174="",B173=""),"",B174-B173)</x:f>
        <x:v>-0.0069097622245291035</x:v>
      </x:c>
      <x:c r="D174" s="98" t="n">
        <x:f>IF('Datos_fuente'!C174="","",LN('Datos_fuente'!C174))</x:f>
        <x:v>4.935408747853786</x:v>
      </x:c>
      <x:c r="E174" s="98" t="n">
        <x:f>IF(OR(D174="",D173=""),"",D174-D173)</x:f>
        <x:v>0.013969032562001438</x:v>
      </x:c>
      <x:c r="F174" s="98" t="n">
        <x:f>IF('Datos_fuente'!E174="","",LN('Datos_fuente'!E174))</x:f>
        <x:v>8.865951077999537</x:v>
      </x:c>
      <x:c r="G174" s="98" t="n">
        <x:f>IF(OR(F174="",F173=""),"",F174-F173)</x:f>
        <x:v>0.005619347782900519</x:v>
      </x:c>
      <x:c r="H174" s="63" t="n">
        <x:f>'Datos_fuente'!H174</x:f>
        <x:v>2.7</x:v>
      </x:c>
      <x:c r="I174" s="63" t="n">
        <x:f>IF(OR(H174="",H173=""),"",H174-H173)</x:f>
        <x:v>0</x:v>
      </x:c>
      <x:c r="J174" s="63" t="n">
        <x:f>'Datos_fuente'!J174</x:f>
        <x:v>2.457251638</x:v>
      </x:c>
      <x:c r="K174" s="63" t="n">
        <x:f>IF(OR(J174="",J173=""),"",J174-J173)</x:f>
        <x:v>0.33829651799999994</x:v>
      </x:c>
      <x:c r="L174" s="98" t="n">
        <x:f>IF('Datos_fuente'!K174="","",LN('Datos_fuente'!K174))</x:f>
        <x:v>4.7528106632155005</x:v>
      </x:c>
      <x:c r="M174" s="98" t="n">
        <x:f>IF(OR(L174="",L173=""),"",L174-L173)</x:f>
        <x:v>-0.005590937919799366</x:v>
      </x:c>
      <x:c r="N174" s="98" t="n">
        <x:f>IF('Datos_fuente'!L174="","",LN('Datos_fuente'!L174))</x:f>
        <x:v>2.6215235553386873</x:v>
      </x:c>
      <x:c r="O174" s="98" t="n">
        <x:f>IF(OR(N174="",N173=""),"",N174-N173)</x:f>
        <x:v>0.09391667601865938</x:v>
      </x:c>
      <x:c r="P174" s="96" t="n">
        <x:f>'Datos_fuente'!M174</x:f>
        <x:v>0</x:v>
      </x:c>
      <x:c r="Q174" s="98" t="n">
        <x:f>IF('Datos_fuente'!N174="","",LN('Datos_fuente'!N174))</x:f>
        <x:v>10.88119675575067</x:v>
      </x:c>
      <x:c r="R174" s="98" t="n">
        <x:f>IF(OR(Q174="",Q173=""),"",Q174-Q173)</x:f>
        <x:v>0.00405941096463458</x:v>
      </x:c>
      <x:c r="S174" s="63" t="n">
        <x:f>'Datos_fuente'!P174</x:f>
        <x:v>1.710454545</x:v>
      </x:c>
      <x:c r="T174" s="63" t="n">
        <x:f>IF(OR(S174="",S173=""),"",S174-S173)</x:f>
        <x:v>-0.10811688399999997</x:v>
      </x:c>
      <x:c r="U174" s="98" t="n">
        <x:f>IF('Datos_fuente'!Q174="","",ASINH('Datos_fuente'!Q174/1000))</x:f>
        <x:v>-0.3079304870651205</x:v>
      </x:c>
      <x:c r="V174" s="98" t="n">
        <x:f>IF(OR(U174="",U173=""),"",U174-U173)</x:f>
        <x:v>-0.2507516490935258</x:v>
      </x:c>
      <x:c r="W174" s="98" t="n">
        <x:f>IF('Datos_fuente'!R174="","",ASINH('Datos_fuente'!R174/1000))</x:f>
        <x:v>-0.6255971412252002</x:v>
      </x:c>
      <x:c r="X174" s="98" t="n">
        <x:f>IF(OR(W174="",W173=""),"",W174-W173)</x:f>
        <x:v>0.19174892985750636</x:v>
      </x:c>
      <x:c r="Y174" s="63" t="n">
        <x:f>'Datos_fuente'!W174</x:f>
        <x:v>2.206928572</x:v>
      </x:c>
      <x:c r="Z174" s="63" t="n">
        <x:f>IF(OR(Y174="",Y173=""),"",Y174-Y173)</x:f>
        <x:v>0.021025165999999818</x:v>
      </x:c>
      <x:c r="AA174" s="98" t="n">
        <x:f>'Datos_fuente'!AB174</x:f>
        <x:v>-0.5690876847</x:v>
      </x:c>
      <x:c r="AB174" s="98" t="n">
        <x:f>'Datos_fuente'!AC174</x:f>
        <x:v>-0.531843996</x:v>
      </x:c>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t="str">
        <x:f>'Datos_fuente'!A175</x:f>
        <x:v>2020-01</x:v>
      </x:c>
      <x:c r="B175" s="98" t="n">
        <x:f>IF('Datos_fuente'!B175="","",LN('Datos_fuente'!B175))</x:f>
        <x:v>8.105062725582775</x:v>
      </x:c>
      <x:c r="C175" s="98" t="n">
        <x:f>IF(OR(B175="",B174=""),"",B175-B174)</x:f>
        <x:v>-0.019991364271753298</x:v>
      </x:c>
      <x:c r="D175" s="98" t="n">
        <x:f>IF('Datos_fuente'!C175="","",LN('Datos_fuente'!C175))</x:f>
        <x:v>4.887638691386985</x:v>
      </x:c>
      <x:c r="E175" s="98" t="n">
        <x:f>IF(OR(D175="",D174=""),"",D175-D174)</x:f>
        <x:v>-0.04777005646680088</x:v>
      </x:c>
      <x:c r="F175" s="98" t="n">
        <x:f>IF('Datos_fuente'!E175="","",LN('Datos_fuente'!E175))</x:f>
        <x:v>8.86106087135193</x:v>
      </x:c>
      <x:c r="G175" s="98" t="n">
        <x:f>IF(OR(F175="",F174=""),"",F175-F174)</x:f>
        <x:v>-0.004890206647607087</x:v>
      </x:c>
      <x:c r="H175" s="63" t="n">
        <x:f>'Datos_fuente'!H175</x:f>
        <x:v>2.7</x:v>
      </x:c>
      <x:c r="I175" s="63" t="n">
        <x:f>IF(OR(H175="",H174=""),"",H175-H174)</x:f>
        <x:v>0</x:v>
      </x:c>
      <x:c r="J175" s="63" t="n">
        <x:f>'Datos_fuente'!J175</x:f>
        <x:v>2.72996169</x:v>
      </x:c>
      <x:c r="K175" s="63" t="n">
        <x:f>IF(OR(J175="",J174=""),"",J175-J174)</x:f>
        <x:v>0.2727100520000003</x:v>
      </x:c>
      <x:c r="L175" s="98" t="n">
        <x:f>IF('Datos_fuente'!K175="","",LN('Datos_fuente'!K175))</x:f>
        <x:v>4.747358622912322</x:v>
      </x:c>
      <x:c r="M175" s="98" t="n">
        <x:f>IF(OR(L175="",L174=""),"",L175-L174)</x:f>
        <x:v>-0.005452040303178585</x:v>
      </x:c>
      <x:c r="N175" s="98" t="n">
        <x:f>IF('Datos_fuente'!L175="","",LN('Datos_fuente'!L175))</x:f>
        <x:v>2.634830722941288</x:v>
      </x:c>
      <x:c r="O175" s="98" t="n">
        <x:f>IF(OR(N175="",N174=""),"",N175-N174)</x:f>
        <x:v>0.013307167602600867</x:v>
      </x:c>
      <x:c r="P175" s="96" t="n">
        <x:f>'Datos_fuente'!M175</x:f>
        <x:v>0</x:v>
      </x:c>
      <x:c r="Q175" s="98" t="n">
        <x:f>IF('Datos_fuente'!N175="","",LN('Datos_fuente'!N175))</x:f>
        <x:v>10.886717421761592</x:v>
      </x:c>
      <x:c r="R175" s="98" t="n">
        <x:f>IF(OR(Q175="",Q174=""),"",Q175-Q174)</x:f>
        <x:v>0.005520666010921715</x:v>
      </x:c>
      <x:c r="S175" s="63" t="n">
        <x:f>'Datos_fuente'!P175</x:f>
        <x:v>1.700869565</x:v>
      </x:c>
      <x:c r="T175" s="63" t="n">
        <x:f>IF(OR(S175="",S174=""),"",S175-S174)</x:f>
        <x:v>-0.009584979999999854</x:v>
      </x:c>
      <x:c r="U175" s="98" t="n">
        <x:f>IF('Datos_fuente'!Q175="","",ASINH('Datos_fuente'!Q175/1000))</x:f>
        <x:v>-0.0783298756917985</x:v>
      </x:c>
      <x:c r="V175" s="98" t="n">
        <x:f>IF(OR(U175="",U174=""),"",U175-U174)</x:f>
        <x:v>0.229600611373322</x:v>
      </x:c>
      <x:c r="W175" s="98" t="n">
        <x:f>IF('Datos_fuente'!R175="","",ASINH('Datos_fuente'!R175/1000))</x:f>
        <x:v>-0.33034862645155233</x:v>
      </x:c>
      <x:c r="X175" s="98" t="n">
        <x:f>IF(OR(W175="",W174=""),"",W175-W174)</x:f>
        <x:v>0.29524851477364783</x:v>
      </x:c>
      <x:c r="Y175" s="63" t="n">
        <x:f>'Datos_fuente'!W175</x:f>
        <x:v>2.035774608</x:v>
      </x:c>
      <x:c r="Z175" s="63" t="n">
        <x:f>IF(OR(Y175="",Y174=""),"",Y175-Y174)</x:f>
        <x:v>-0.17115396399999971</x:v>
      </x:c>
      <x:c r="AA175" s="98" t="n">
        <x:f>'Datos_fuente'!AB175</x:f>
        <x:v>-0.07106709284</x:v>
      </x:c>
      <x:c r="AB175" s="98" t="n">
        <x:f>'Datos_fuente'!AC175</x:f>
        <x:v>-0.213214429</x:v>
      </x:c>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t="str">
        <x:f>'Datos_fuente'!A176</x:f>
        <x:v>2020-02</x:v>
      </x:c>
      <x:c r="B176" s="98" t="n">
        <x:f>IF('Datos_fuente'!B176="","",LN('Datos_fuente'!B176))</x:f>
        <x:v>8.134776249610667</x:v>
      </x:c>
      <x:c r="C176" s="98" t="n">
        <x:f>IF(OR(B176="",B175=""),"",B176-B175)</x:f>
        <x:v>0.02971352402789229</x:v>
      </x:c>
      <x:c r="D176" s="98" t="n">
        <x:f>IF('Datos_fuente'!C176="","",LN('Datos_fuente'!C176))</x:f>
        <x:v>4.831269365127934</x:v>
      </x:c>
      <x:c r="E176" s="98" t="n">
        <x:f>IF(OR(D176="",D175=""),"",D176-D175)</x:f>
        <x:v>-0.056369326259051</x:v>
      </x:c>
      <x:c r="F176" s="98" t="n">
        <x:f>IF('Datos_fuente'!E176="","",LN('Datos_fuente'!E176))</x:f>
        <x:v>8.8644767742491</x:v>
      </x:c>
      <x:c r="G176" s="98" t="n">
        <x:f>IF(OR(F176="",F175=""),"",F176-F175)</x:f>
        <x:v>0.003415902897170753</x:v>
      </x:c>
      <x:c r="H176" s="63" t="n">
        <x:f>'Datos_fuente'!H176</x:f>
        <x:v>2.67</x:v>
      </x:c>
      <x:c r="I176" s="63" t="n">
        <x:f>IF(OR(H176="",H175=""),"",H176-H175)</x:f>
        <x:v>-0.03000000000000025</x:v>
      </x:c>
      <x:c r="J176" s="63" t="n">
        <x:f>'Datos_fuente'!J176</x:f>
        <x:v>2.376308178</x:v>
      </x:c>
      <x:c r="K176" s="63" t="n">
        <x:f>IF(OR(J176="",J175=""),"",J176-J175)</x:f>
        <x:v>-0.35365351200000017</x:v>
      </x:c>
      <x:c r="L176" s="98" t="n">
        <x:f>IF('Datos_fuente'!K176="","",LN('Datos_fuente'!K176))</x:f>
        <x:v>4.759696870259675</x:v>
      </x:c>
      <x:c r="M176" s="98" t="n">
        <x:f>IF(OR(L176="",L175=""),"",L176-L175)</x:f>
        <x:v>0.012338247347353004</x:v>
      </x:c>
      <x:c r="N176" s="98" t="n">
        <x:f>IF('Datos_fuente'!L176="","",LN('Datos_fuente'!L176))</x:f>
        <x:v>2.9770053833151713</x:v>
      </x:c>
      <x:c r="O176" s="98" t="n">
        <x:f>IF(OR(N176="",N175=""),"",N176-N175)</x:f>
        <x:v>0.3421746603738831</x:v>
      </x:c>
      <x:c r="P176" s="96" t="n">
        <x:f>'Datos_fuente'!M176</x:f>
        <x:v>0</x:v>
      </x:c>
      <x:c r="Q176" s="98" t="n">
        <x:f>IF('Datos_fuente'!N176="","",LN('Datos_fuente'!N176))</x:f>
        <x:v>10.890721998432584</x:v>
      </x:c>
      <x:c r="R176" s="98" t="n">
        <x:f>IF(OR(Q176="",Q175=""),"",Q176-Q175)</x:f>
        <x:v>0.004004576670991966</x:v>
      </x:c>
      <x:c r="S176" s="63" t="n">
        <x:f>'Datos_fuente'!P176</x:f>
        <x:v>1.727</x:v>
      </x:c>
      <x:c r="T176" s="63" t="n">
        <x:f>IF(OR(S176="",S175=""),"",S176-S175)</x:f>
        <x:v>0.026130435000000007</x:v>
      </x:c>
      <x:c r="U176" s="98" t="n">
        <x:f>IF('Datos_fuente'!Q176="","",ASINH('Datos_fuente'!Q176/1000))</x:f>
        <x:v>0.06918479420763127</x:v>
      </x:c>
      <x:c r="V176" s="98" t="n">
        <x:f>IF(OR(U176="",U175=""),"",U176-U175)</x:f>
        <x:v>0.14751466989942977</x:v>
      </x:c>
      <x:c r="W176" s="98" t="n">
        <x:f>IF('Datos_fuente'!R176="","",ASINH('Datos_fuente'!R176/1000))</x:f>
        <x:v>-0.8662102879082189</x:v>
      </x:c>
      <x:c r="X176" s="98" t="n">
        <x:f>IF(OR(W176="",W175=""),"",W176-W175)</x:f>
        <x:v>-0.5358616614566665</x:v>
      </x:c>
      <x:c r="Y176" s="63" t="n">
        <x:f>'Datos_fuente'!W176</x:f>
        <x:v>1.985252635</x:v>
      </x:c>
      <x:c r="Z176" s="63" t="n">
        <x:f>IF(OR(Y176="",Y175=""),"",Y176-Y175)</x:f>
        <x:v>-0.050521973000000164</x:v>
      </x:c>
      <x:c r="AA176" s="98" t="n">
        <x:f>'Datos_fuente'!AB176</x:f>
        <x:v>0.7199279079</x:v>
      </x:c>
      <x:c r="AB176" s="98" t="n">
        <x:f>'Datos_fuente'!AC176</x:f>
        <x:v>0.9232813437</x:v>
      </x:c>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t="str">
        <x:f>'Datos_fuente'!A177</x:f>
        <x:v>2020-03</x:v>
      </x:c>
      <x:c r="B177" s="98" t="n">
        <x:f>IF('Datos_fuente'!B177="","",LN('Datos_fuente'!B177))</x:f>
        <x:v>8.262829418119228</x:v>
      </x:c>
      <x:c r="C177" s="98" t="n">
        <x:f>IF(OR(B177="",B176=""),"",B177-B176)</x:f>
        <x:v>0.1280531685085613</x:v>
      </x:c>
      <x:c r="D177" s="98" t="n">
        <x:f>IF('Datos_fuente'!C177="","",LN('Datos_fuente'!C177))</x:f>
        <x:v>4.606868742623673</x:v>
      </x:c>
      <x:c r="E177" s="98" t="n">
        <x:f>IF(OR(D177="",D176=""),"",D177-D176)</x:f>
        <x:v>-0.22440062250426074</x:v>
      </x:c>
      <x:c r="F177" s="98" t="n">
        <x:f>IF('Datos_fuente'!E177="","",LN('Datos_fuente'!E177))</x:f>
        <x:v>8.886652466435212</x:v>
      </x:c>
      <x:c r="G177" s="98" t="n">
        <x:f>IF(OR(F177="",F176=""),"",F177-F176)</x:f>
        <x:v>0.022175692186111817</x:v>
      </x:c>
      <x:c r="H177" s="63" t="n">
        <x:f>'Datos_fuente'!H177</x:f>
        <x:v>3.567741935</x:v>
      </x:c>
      <x:c r="I177" s="63" t="n">
        <x:f>IF(OR(H177="",H176=""),"",H177-H176)</x:f>
        <x:v>0.897741935</x:v>
      </x:c>
      <x:c r="J177" s="63" t="n">
        <x:f>'Datos_fuente'!J177</x:f>
        <x:v>2.225878777</x:v>
      </x:c>
      <x:c r="K177" s="63" t="n">
        <x:f>IF(OR(J177="",J176=""),"",J177-J176)</x:f>
        <x:v>-0.1504294009999998</x:v>
      </x:c>
      <x:c r="L177" s="98" t="n">
        <x:f>IF('Datos_fuente'!K177="","",LN('Datos_fuente'!K177))</x:f>
        <x:v>4.795978469260297</x:v>
      </x:c>
      <x:c r="M177" s="98" t="n">
        <x:f>IF(OR(L177="",L176=""),"",L177-L176)</x:f>
        <x:v>0.03628159900062222</x:v>
      </x:c>
      <x:c r="N177" s="98" t="n">
        <x:f>IF('Datos_fuente'!L177="","",LN('Datos_fuente'!L177))</x:f>
        <x:v>4.055895066724019</x:v>
      </x:c>
      <x:c r="O177" s="98" t="n">
        <x:f>IF(OR(N177="",N176=""),"",N177-N176)</x:f>
        <x:v>1.0788896834088475</x:v>
      </x:c>
      <x:c r="P177" s="96" t="n">
        <x:f>'Datos_fuente'!M177</x:f>
        <x:v>1</x:v>
      </x:c>
      <x:c r="Q177" s="98" t="n">
        <x:f>IF('Datos_fuente'!N177="","",LN('Datos_fuente'!N177))</x:f>
        <x:v>10.884375991296343</x:v>
      </x:c>
      <x:c r="R177" s="98" t="n">
        <x:f>IF(OR(Q177="",Q176=""),"",Q177-Q176)</x:f>
        <x:v>-0.006346007136240672</x:v>
      </x:c>
      <x:c r="S177" s="63" t="n">
        <x:f>'Datos_fuente'!P177</x:f>
        <x:v>3.451818182</x:v>
      </x:c>
      <x:c r="T177" s="63" t="n">
        <x:f>IF(OR(S177="",S176=""),"",S177-S176)</x:f>
        <x:v>1.7248181819999997</x:v>
      </x:c>
      <x:c r="U177" s="98" t="n">
        <x:f>IF('Datos_fuente'!Q177="","",ASINH('Datos_fuente'!Q177/1000))</x:f>
        <x:v>0.2322952067330023</x:v>
      </x:c>
      <x:c r="V177" s="98" t="n">
        <x:f>IF(OR(U177="",U176=""),"",U177-U176)</x:f>
        <x:v>0.16311041252537103</x:v>
      </x:c>
      <x:c r="W177" s="98" t="n">
        <x:f>IF('Datos_fuente'!R177="","",ASINH('Datos_fuente'!R177/1000))</x:f>
        <x:v>-1.541767559894334</x:v>
      </x:c>
      <x:c r="X177" s="98" t="n">
        <x:f>IF(OR(W177="",W176=""),"",W177-W176)</x:f>
        <x:v>-0.675557271986115</x:v>
      </x:c>
      <x:c r="Y177" s="63" t="n">
        <x:f>'Datos_fuente'!W177</x:f>
        <x:v>3.304305848</x:v>
      </x:c>
      <x:c r="Z177" s="63" t="n">
        <x:f>IF(OR(Y177="",Y176=""),"",Y177-Y176)</x:f>
        <x:v>1.319053213</x:v>
      </x:c>
      <x:c r="AA177" s="98" t="n">
        <x:f>'Datos_fuente'!AB177</x:f>
        <x:v>3.564684862</x:v>
      </x:c>
      <x:c r="AB177" s="98" t="n">
        <x:f>'Datos_fuente'!AC177</x:f>
        <x:v>3.267234776</x:v>
      </x:c>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t="str">
        <x:f>'Datos_fuente'!A178</x:f>
        <x:v>2020-04</x:v>
      </x:c>
      <x:c r="B178" s="98" t="n">
        <x:f>IF('Datos_fuente'!B178="","",LN('Datos_fuente'!B178))</x:f>
        <x:v>8.28838194225335</x:v>
      </x:c>
      <x:c r="C178" s="98" t="n">
        <x:f>IF(OR(B178="",B177=""),"",B178-B177)</x:f>
        <x:v>0.025552524134122123</x:v>
      </x:c>
      <x:c r="D178" s="98" t="n">
        <x:f>IF('Datos_fuente'!C178="","",LN('Datos_fuente'!C178))</x:f>
        <x:v>4.572026967394837</x:v>
      </x:c>
      <x:c r="E178" s="98" t="n">
        <x:f>IF(OR(D178="",D177=""),"",D178-D177)</x:f>
        <x:v>-0.034841775228835914</x:v>
      </x:c>
      <x:c r="F178" s="98" t="n">
        <x:f>IF('Datos_fuente'!E178="","",LN('Datos_fuente'!E178))</x:f>
        <x:v>8.851913894998644</x:v>
      </x:c>
      <x:c r="G178" s="98" t="n">
        <x:f>IF(OR(F178="",F177=""),"",F178-F177)</x:f>
        <x:v>-0.03473857143656822</x:v>
      </x:c>
      <x:c r="H178" s="63" t="n">
        <x:f>'Datos_fuente'!H178</x:f>
        <x:v>3.7</x:v>
      </x:c>
      <x:c r="I178" s="63" t="n">
        <x:f>IF(OR(H178="",H177=""),"",H178-H177)</x:f>
        <x:v>0.13225806500000026</x:v>
      </x:c>
      <x:c r="J178" s="63" t="n">
        <x:f>'Datos_fuente'!J178</x:f>
        <x:v>3.178987191</x:v>
      </x:c>
      <x:c r="K178" s="63" t="n">
        <x:f>IF(OR(J178="",J177=""),"",J178-J177)</x:f>
        <x:v>0.9531084139999999</x:v>
      </x:c>
      <x:c r="L178" s="98" t="n">
        <x:f>IF('Datos_fuente'!K178="","",LN('Datos_fuente'!K178))</x:f>
        <x:v>4.8144609935712035</x:v>
      </x:c>
      <x:c r="M178" s="98" t="n">
        <x:f>IF(OR(L178="",L177=""),"",L178-L177)</x:f>
        <x:v>0.018482524310906356</x:v>
      </x:c>
      <x:c r="N178" s="98" t="n">
        <x:f>IF('Datos_fuente'!L178="","",LN('Datos_fuente'!L178))</x:f>
        <x:v>3.724579783751415</x:v>
      </x:c>
      <x:c r="O178" s="98" t="n">
        <x:f>IF(OR(N178="",N177=""),"",N178-N177)</x:f>
        <x:v>-0.3313152829726036</x:v>
      </x:c>
      <x:c r="P178" s="96" t="n">
        <x:f>'Datos_fuente'!M178</x:f>
        <x:v>1</x:v>
      </x:c>
      <x:c r="Q178" s="98" t="n">
        <x:f>IF('Datos_fuente'!N178="","",LN('Datos_fuente'!N178))</x:f>
        <x:v>10.894193123761164</x:v>
      </x:c>
      <x:c r="R178" s="98" t="n">
        <x:f>IF(OR(Q178="",Q177=""),"",Q178-Q177)</x:f>
        <x:v>0.009817132464821299</x:v>
      </x:c>
      <x:c r="S178" s="63" t="n">
        <x:f>'Datos_fuente'!P178</x:f>
        <x:v>3.888636364</x:v>
      </x:c>
      <x:c r="T178" s="63" t="n">
        <x:f>IF(OR(S178="",S177=""),"",S178-S177)</x:f>
        <x:v>0.4368181820000001</x:v>
      </x:c>
      <x:c r="U178" s="98" t="n">
        <x:f>IF('Datos_fuente'!Q178="","",ASINH('Datos_fuente'!Q178/1000))</x:f>
        <x:v>0.011169767734938316</x:v>
      </x:c>
      <x:c r="V178" s="98" t="n">
        <x:f>IF(OR(U178="",U177=""),"",U178-U177)</x:f>
        <x:v>-0.22112543899806397</x:v>
      </x:c>
      <x:c r="W178" s="98" t="n">
        <x:f>IF('Datos_fuente'!R178="","",ASINH('Datos_fuente'!R178/1000))</x:f>
        <x:v>0.014169525846388675</x:v>
      </x:c>
      <x:c r="X178" s="98" t="n">
        <x:f>IF(OR(W178="",W177=""),"",W178-W177)</x:f>
        <x:v>1.5559370857407226</x:v>
      </x:c>
      <x:c r="Y178" s="63" t="n">
        <x:f>'Datos_fuente'!W178</x:f>
        <x:v>2.762940651</x:v>
      </x:c>
      <x:c r="Z178" s="63" t="n">
        <x:f>IF(OR(Y178="",Y177=""),"",Y178-Y177)</x:f>
        <x:v>-0.5413651969999997</x:v>
      </x:c>
      <x:c r="AA178" s="98" t="n">
        <x:f>'Datos_fuente'!AB178</x:f>
        <x:v>1.850095616</x:v>
      </x:c>
      <x:c r="AB178" s="98" t="n">
        <x:f>'Datos_fuente'!AC178</x:f>
        <x:v>0.840486766</x:v>
      </x:c>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t="str">
        <x:f>'Datos_fuente'!A179</x:f>
        <x:v>2020-05</x:v>
      </x:c>
      <x:c r="B179" s="98" t="n">
        <x:f>IF('Datos_fuente'!B179="","",LN('Datos_fuente'!B179))</x:f>
        <x:v>8.257953858639803</x:v>
      </x:c>
      <x:c r="C179" s="98" t="n">
        <x:f>IF(OR(B179="",B178=""),"",B179-B178)</x:f>
        <x:v>-0.030428083613546875</x:v>
      </x:c>
      <x:c r="D179" s="98" t="n">
        <x:f>IF('Datos_fuente'!C179="","",LN('Datos_fuente'!C179))</x:f>
        <x:v>4.606868742623673</x:v>
      </x:c>
      <x:c r="E179" s="98" t="n">
        <x:f>IF(OR(D179="",D178=""),"",D179-D178)</x:f>
        <x:v>0.034841775228835914</x:v>
      </x:c>
      <x:c r="F179" s="98" t="n">
        <x:f>IF('Datos_fuente'!E179="","",LN('Datos_fuente'!E179))</x:f>
        <x:v>8.822335443893174</x:v>
      </x:c>
      <x:c r="G179" s="98" t="n">
        <x:f>IF(OR(F179="",F178=""),"",F179-F178)</x:f>
        <x:v>-0.029578451105470194</x:v>
      </x:c>
      <x:c r="H179" s="63" t="n">
        <x:f>'Datos_fuente'!H179</x:f>
        <x:v>3.248387097</x:v>
      </x:c>
      <x:c r="I179" s="63" t="n">
        <x:f>IF(OR(H179="",H178=""),"",H179-H178)</x:f>
        <x:v>-0.451612903</x:v>
      </x:c>
      <x:c r="J179" s="63" t="n">
        <x:f>'Datos_fuente'!J179</x:f>
        <x:v>3.909812532</x:v>
      </x:c>
      <x:c r="K179" s="63" t="n">
        <x:f>IF(OR(J179="",J178=""),"",J179-J178)</x:f>
        <x:v>0.7308253410000001</x:v>
      </x:c>
      <x:c r="L179" s="98" t="n">
        <x:f>IF('Datos_fuente'!K179="","",LN('Datos_fuente'!K179))</x:f>
        <x:v>4.80904944667693</x:v>
      </x:c>
      <x:c r="M179" s="98" t="n">
        <x:f>IF(OR(L179="",L178=""),"",L179-L178)</x:f>
        <x:v>-0.005411546894273478</x:v>
      </x:c>
      <x:c r="N179" s="98" t="n">
        <x:f>IF('Datos_fuente'!L179="","",LN('Datos_fuente'!L179))</x:f>
        <x:v>3.4306590918117745</x:v>
      </x:c>
      <x:c r="O179" s="98" t="n">
        <x:f>IF(OR(N179="",N178=""),"",N179-N178)</x:f>
        <x:v>-0.29392069193964065</x:v>
      </x:c>
      <x:c r="P179" s="96" t="n">
        <x:f>'Datos_fuente'!M179</x:f>
        <x:v>1</x:v>
      </x:c>
      <x:c r="Q179" s="98" t="n">
        <x:f>IF('Datos_fuente'!N179="","",LN('Datos_fuente'!N179))</x:f>
        <x:v>10.939544773943089</x:v>
      </x:c>
      <x:c r="R179" s="98" t="n">
        <x:f>IF(OR(Q179="",Q178=""),"",Q179-Q178)</x:f>
        <x:v>0.04535165018192444</x:v>
      </x:c>
      <x:c r="S179" s="63" t="n">
        <x:f>'Datos_fuente'!P179</x:f>
        <x:v>3.353333333</x:v>
      </x:c>
      <x:c r="T179" s="63" t="n">
        <x:f>IF(OR(S179="",S178=""),"",S179-S178)</x:f>
        <x:v>-0.5353030309999998</x:v>
      </x:c>
      <x:c r="U179" s="98" t="n">
        <x:f>IF('Datos_fuente'!Q179="","",ASINH('Datos_fuente'!Q179/1000))</x:f>
        <x:v>-0.09475812915372624</x:v>
      </x:c>
      <x:c r="V179" s="98" t="n">
        <x:f>IF(OR(U179="",U178=""),"",U179-U178)</x:f>
        <x:v>-0.10592789688866455</x:v>
      </x:c>
      <x:c r="W179" s="98" t="n">
        <x:f>IF('Datos_fuente'!R179="","",ASINH('Datos_fuente'!R179/1000))</x:f>
        <x:v>1.3920725403865817</x:v>
      </x:c>
      <x:c r="X179" s="98" t="n">
        <x:f>IF(OR(W179="",W178=""),"",W179-W178)</x:f>
        <x:v>1.377903014540193</x:v>
      </x:c>
      <x:c r="Y179" s="63" t="n">
        <x:f>'Datos_fuente'!W179</x:f>
        <x:v>1.611143682</x:v>
      </x:c>
      <x:c r="Z179" s="63" t="n">
        <x:f>IF(OR(Y179="",Y178=""),"",Y179-Y178)</x:f>
        <x:v>-1.151796969</x:v>
      </x:c>
      <x:c r="AA179" s="98" t="n">
        <x:f>'Datos_fuente'!AB179</x:f>
        <x:v>-0.4358909802</x:v>
      </x:c>
      <x:c r="AB179" s="98" t="n">
        <x:f>'Datos_fuente'!AC179</x:f>
        <x:v>-0.1862623949</x:v>
      </x:c>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t="str">
        <x:f>'Datos_fuente'!A180</x:f>
        <x:v>2020-06</x:v>
      </x:c>
      <x:c r="B180" s="98" t="n">
        <x:f>IF('Datos_fuente'!B180="","",LN('Datos_fuente'!B180))</x:f>
        <x:v>8.21652160816699</x:v>
      </x:c>
      <x:c r="C180" s="98" t="n">
        <x:f>IF(OR(B180="",B179=""),"",B180-B179)</x:f>
        <x:v>-0.041432250472812626</x:v>
      </x:c>
      <x:c r="D180" s="98" t="n">
        <x:f>IF('Datos_fuente'!C180="","",LN('Datos_fuente'!C180))</x:f>
        <x:v>4.682408966328894</x:v>
      </x:c>
      <x:c r="E180" s="98" t="n">
        <x:f>IF(OR(D180="",D179=""),"",D180-D179)</x:f>
        <x:v>0.07554022370522073</x:v>
      </x:c>
      <x:c r="F180" s="98" t="n">
        <x:f>IF('Datos_fuente'!E180="","",LN('Datos_fuente'!E180))</x:f>
        <x:v>8.822434199498923</x:v>
      </x:c>
      <x:c r="G180" s="98" t="n">
        <x:f>IF(OR(F180="",F179=""),"",F180-F179)</x:f>
        <x:v>0.00009875560574990061</x:v>
      </x:c>
      <x:c r="H180" s="63" t="n">
        <x:f>'Datos_fuente'!H180</x:f>
        <x:v>2.67</x:v>
      </x:c>
      <x:c r="I180" s="63" t="n">
        <x:f>IF(OR(H180="",H179=""),"",H180-H179)</x:f>
        <x:v>-0.5783870970000002</x:v>
      </x:c>
      <x:c r="J180" s="63" t="n">
        <x:f>'Datos_fuente'!J180</x:f>
        <x:v>5.17609732</x:v>
      </x:c>
      <x:c r="K180" s="63" t="n">
        <x:f>IF(OR(J180="",J179=""),"",J180-J179)</x:f>
        <x:v>1.266284788</x:v>
      </x:c>
      <x:c r="L180" s="98" t="n">
        <x:f>IF('Datos_fuente'!K180="","",LN('Datos_fuente'!K180))</x:f>
        <x:v>4.784793142333047</x:v>
      </x:c>
      <x:c r="M180" s="98" t="n">
        <x:f>IF(OR(L180="",L179=""),"",L180-L179)</x:f>
        <x:v>-0.024256304343882817</x:v>
      </x:c>
      <x:c r="N180" s="98" t="n">
        <x:f>IF('Datos_fuente'!L180="","",LN('Datos_fuente'!L180))</x:f>
        <x:v>3.437836092841049</x:v>
      </x:c>
      <x:c r="O180" s="98" t="n">
        <x:f>IF(OR(N180="",N179=""),"",N180-N179)</x:f>
        <x:v>0.007177001029274432</x:v>
      </x:c>
      <x:c r="P180" s="96" t="n">
        <x:f>'Datos_fuente'!M180</x:f>
        <x:v>0</x:v>
      </x:c>
      <x:c r="Q180" s="98" t="n">
        <x:f>IF('Datos_fuente'!N180="","",LN('Datos_fuente'!N180))</x:f>
        <x:v>10.944179195763107</x:v>
      </x:c>
      <x:c r="R180" s="98" t="n">
        <x:f>IF(OR(Q180="",Q179=""),"",Q180-Q179)</x:f>
        <x:v>0.004634421820018275</x:v>
      </x:c>
      <x:c r="S180" s="63" t="n">
        <x:f>'Datos_fuente'!P180</x:f>
        <x:v>2.873181818</x:v>
      </x:c>
      <x:c r="T180" s="63" t="n">
        <x:f>IF(OR(S180="",S179=""),"",S180-S179)</x:f>
        <x:v>-0.4801515150000002</x:v>
      </x:c>
      <x:c r="U180" s="98" t="n">
        <x:f>IF('Datos_fuente'!Q180="","",ASINH('Datos_fuente'!Q180/1000))</x:f>
        <x:v>-0.0573785103345123</x:v>
      </x:c>
      <x:c r="V180" s="98" t="n">
        <x:f>IF(OR(U180="",U179=""),"",U180-U179)</x:f>
        <x:v>0.037379618819213936</x:v>
      </x:c>
      <x:c r="W180" s="98" t="n">
        <x:f>IF('Datos_fuente'!R180="","",ASINH('Datos_fuente'!R180/1000))</x:f>
        <x:v>-0.6299590161441109</x:v>
      </x:c>
      <x:c r="X180" s="98" t="n">
        <x:f>IF(OR(W180="",W179=""),"",W180-W179)</x:f>
        <x:v>-2.0220315565306928</x:v>
      </x:c>
      <x:c r="Y180" s="63" t="n">
        <x:f>'Datos_fuente'!W180</x:f>
        <x:v>1.122816507</x:v>
      </x:c>
      <x:c r="Z180" s="63" t="n">
        <x:f>IF(OR(Y180="",Y179=""),"",Y180-Y179)</x:f>
        <x:v>-0.488327175</x:v>
      </x:c>
      <x:c r="AA180" s="98" t="n">
        <x:f>'Datos_fuente'!AB180</x:f>
        <x:v>-1.843489585</x:v>
      </x:c>
      <x:c r="AB180" s="98" t="n">
        <x:f>'Datos_fuente'!AC180</x:f>
        <x:v>-1.092759523</x:v>
      </x:c>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t="str">
        <x:f>'Datos_fuente'!A181</x:f>
        <x:v>2020-07</x:v>
      </x:c>
      <x:c r="B181" s="98" t="n">
        <x:f>IF('Datos_fuente'!B181="","",LN('Datos_fuente'!B181))</x:f>
        <x:v>8.204635407839238</x:v>
      </x:c>
      <x:c r="C181" s="98" t="n">
        <x:f>IF(OR(B181="",B180=""),"",B181-B180)</x:f>
        <x:v>-0.011886200327753116</x:v>
      </x:c>
      <x:c r="D181" s="98" t="n">
        <x:f>IF('Datos_fuente'!C181="","",LN('Datos_fuente'!C181))</x:f>
        <x:v>4.770430354853751</x:v>
      </x:c>
      <x:c r="E181" s="98" t="n">
        <x:f>IF(OR(D181="",D180=""),"",D181-D180)</x:f>
        <x:v>0.08802138852485708</x:v>
      </x:c>
      <x:c r="F181" s="98" t="n">
        <x:f>IF('Datos_fuente'!E181="","",LN('Datos_fuente'!E181))</x:f>
        <x:v>8.819150880636501</x:v>
      </x:c>
      <x:c r="G181" s="98" t="n">
        <x:f>IF(OR(F181="",F180=""),"",F181-F180)</x:f>
        <x:v>-0.003283318862422391</x:v>
      </x:c>
      <x:c r="H181" s="63" t="n">
        <x:f>'Datos_fuente'!H181</x:f>
        <x:v>2.41</x:v>
      </x:c>
      <x:c r="I181" s="63" t="n">
        <x:f>IF(OR(H181="",H180=""),"",H181-H180)</x:f>
        <x:v>-0.2599999999999998</x:v>
      </x:c>
      <x:c r="J181" s="63" t="n">
        <x:f>'Datos_fuente'!J181</x:f>
        <x:v>5.791065909</x:v>
      </x:c>
      <x:c r="K181" s="63" t="n">
        <x:f>IF(OR(J181="",J180=""),"",J181-J180)</x:f>
        <x:v>0.6149685890000001</x:v>
      </x:c>
      <x:c r="L181" s="98" t="n">
        <x:f>IF('Datos_fuente'!K181="","",LN('Datos_fuente'!K181))</x:f>
        <x:v>4.776515473333807</x:v>
      </x:c>
      <x:c r="M181" s="98" t="n">
        <x:f>IF(OR(L181="",L180=""),"",L181-L180)</x:f>
        <x:v>-0.00827766899924054</x:v>
      </x:c>
      <x:c r="N181" s="98" t="n">
        <x:f>IF('Datos_fuente'!L181="","",LN('Datos_fuente'!L181))</x:f>
        <x:v>3.2899102475040407</x:v>
      </x:c>
      <x:c r="O181" s="98" t="n">
        <x:f>IF(OR(N181="",N180=""),"",N181-N180)</x:f>
        <x:v>-0.14792584533700825</x:v>
      </x:c>
      <x:c r="P181" s="96" t="n">
        <x:f>'Datos_fuente'!M181</x:f>
        <x:v>0</x:v>
      </x:c>
      <x:c r="Q181" s="98" t="n">
        <x:f>IF('Datos_fuente'!N181="","",LN('Datos_fuente'!N181))</x:f>
        <x:v>10.950313969379987</x:v>
      </x:c>
      <x:c r="R181" s="98" t="n">
        <x:f>IF(OR(Q181="",Q180=""),"",Q181-Q180)</x:f>
        <x:v>0.006134773616880196</x:v>
      </x:c>
      <x:c r="S181" s="63" t="n">
        <x:f>'Datos_fuente'!P181</x:f>
        <x:v>2.72173913</x:v>
      </x:c>
      <x:c r="T181" s="63" t="n">
        <x:f>IF(OR(S181="",S180=""),"",S181-S180)</x:f>
        <x:v>-0.15144268799999994</x:v>
      </x:c>
      <x:c r="U181" s="98" t="n">
        <x:f>IF('Datos_fuente'!Q181="","",ASINH('Datos_fuente'!Q181/1000))</x:f>
        <x:v>-0.029755608888138736</x:v>
      </x:c>
      <x:c r="V181" s="98" t="n">
        <x:f>IF(OR(U181="",U180=""),"",U181-U180)</x:f>
        <x:v>0.027622901446373565</x:v>
      </x:c>
      <x:c r="W181" s="98" t="n">
        <x:f>IF('Datos_fuente'!R181="","",ASINH('Datos_fuente'!R181/1000))</x:f>
        <x:v>-0.7096962616602978</x:v>
      </x:c>
      <x:c r="X181" s="98" t="n">
        <x:f>IF(OR(W181="",W180=""),"",W181-W180)</x:f>
        <x:v>-0.07973724551618688</x:v>
      </x:c>
      <x:c r="Y181" s="63" t="n">
        <x:f>'Datos_fuente'!W181</x:f>
        <x:v>0.7554636474</x:v>
      </x:c>
      <x:c r="Z181" s="63" t="n">
        <x:f>IF(OR(Y181="",Y180=""),"",Y181-Y180)</x:f>
        <x:v>-0.36735285959999997</x:v>
      </x:c>
      <x:c r="AA181" s="98" t="n">
        <x:f>'Datos_fuente'!AB181</x:f>
        <x:v>-0.0828278232</x:v>
      </x:c>
      <x:c r="AB181" s="98" t="n">
        <x:f>'Datos_fuente'!AC181</x:f>
        <x:v>0.2065429672</x:v>
      </x:c>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t="str">
        <x:f>'Datos_fuente'!A182</x:f>
        <x:v>2020-08</x:v>
      </x:c>
      <x:c r="B182" s="98" t="n">
        <x:f>IF('Datos_fuente'!B182="","",LN('Datos_fuente'!B182))</x:f>
        <x:v>8.238279446179945</x:v>
      </x:c>
      <x:c r="C182" s="98" t="n">
        <x:f>IF(OR(B182="",B181=""),"",B182-B181)</x:f>
        <x:v>0.03364403834070728</x:v>
      </x:c>
      <x:c r="D182" s="98" t="n">
        <x:f>IF('Datos_fuente'!C182="","",LN('Datos_fuente'!C182))</x:f>
        <x:v>4.80949782304466</x:v>
      </x:c>
      <x:c r="E182" s="98" t="n">
        <x:f>IF(OR(D182="",D181=""),"",D182-D181)</x:f>
        <x:v>0.03906746819090934</x:v>
      </x:c>
      <x:c r="F182" s="98" t="n">
        <x:f>IF('Datos_fuente'!E182="","",LN('Datos_fuente'!E182))</x:f>
        <x:v>8.812560655444006</x:v>
      </x:c>
      <x:c r="G182" s="98" t="n">
        <x:f>IF(OR(F182="",F181=""),"",F182-F181)</x:f>
        <x:v>-0.0065902251924949695</x:v>
      </x:c>
      <x:c r="H182" s="63" t="n">
        <x:f>'Datos_fuente'!H182</x:f>
        <x:v>2.166129032</x:v>
      </x:c>
      <x:c r="I182" s="63" t="n">
        <x:f>IF(OR(H182="",H181=""),"",H182-H181)</x:f>
        <x:v>-0.24387096799999997</x:v>
      </x:c>
      <x:c r="J182" s="63" t="n">
        <x:f>'Datos_fuente'!J182</x:f>
        <x:v>6.324605304</x:v>
      </x:c>
      <x:c r="K182" s="63" t="n">
        <x:f>IF(OR(J182="",J181=""),"",J182-J181)</x:f>
        <x:v>0.533539395</x:v>
      </x:c>
      <x:c r="L182" s="98" t="n">
        <x:f>IF('Datos_fuente'!K182="","",LN('Datos_fuente'!K182))</x:f>
        <x:v>4.761706711135863</x:v>
      </x:c>
      <x:c r="M182" s="98" t="n">
        <x:f>IF(OR(L182="",L181=""),"",L182-L181)</x:f>
        <x:v>-0.01480876219794336</x:v>
      </x:c>
      <x:c r="N182" s="98" t="n">
        <x:f>IF('Datos_fuente'!L182="","",LN('Datos_fuente'!L182))</x:f>
        <x:v>3.13067933034048</x:v>
      </x:c>
      <x:c r="O182" s="98" t="n">
        <x:f>IF(OR(N182="",N181=""),"",N182-N181)</x:f>
        <x:v>-0.15923091716356064</x:v>
      </x:c>
      <x:c r="P182" s="96" t="n">
        <x:f>'Datos_fuente'!M182</x:f>
        <x:v>0</x:v>
      </x:c>
      <x:c r="Q182" s="98" t="n">
        <x:f>IF('Datos_fuente'!N182="","",LN('Datos_fuente'!N182))</x:f>
        <x:v>10.95404568111734</x:v>
      </x:c>
      <x:c r="R182" s="98" t="n">
        <x:f>IF(OR(Q182="",Q181=""),"",Q182-Q181)</x:f>
        <x:v>0.0037317117373518727</x:v>
      </x:c>
      <x:c r="S182" s="63" t="n">
        <x:f>'Datos_fuente'!P182</x:f>
        <x:v>2.41047619</x:v>
      </x:c>
      <x:c r="T182" s="63" t="n">
        <x:f>IF(OR(S182="",S181=""),"",S182-S181)</x:f>
        <x:v>-0.3112629400000002</x:v>
      </x:c>
      <x:c r="U182" s="98" t="n">
        <x:f>IF('Datos_fuente'!Q182="","",ASINH('Datos_fuente'!Q182/1000))</x:f>
        <x:v>0.06413602112536818</x:v>
      </x:c>
      <x:c r="V182" s="98" t="n">
        <x:f>IF(OR(U182="",U181=""),"",U182-U181)</x:f>
        <x:v>0.09389163001350691</x:v>
      </x:c>
      <x:c r="W182" s="98" t="n">
        <x:f>IF('Datos_fuente'!R182="","",ASINH('Datos_fuente'!R182/1000))</x:f>
        <x:v>-0.729017443708295</x:v>
      </x:c>
      <x:c r="X182" s="98" t="n">
        <x:f>IF(OR(W182="",W181=""),"",W182-W181)</x:f>
        <x:v>-0.019321182047997265</x:v>
      </x:c>
      <x:c r="Y182" s="63" t="n">
        <x:f>'Datos_fuente'!W182</x:f>
        <x:v>0.9052208001</x:v>
      </x:c>
      <x:c r="Z182" s="63" t="n">
        <x:f>IF(OR(Y182="",Y181=""),"",Y182-Y181)</x:f>
        <x:v>0.1497571526999999</x:v>
      </x:c>
      <x:c r="AA182" s="98" t="n">
        <x:f>'Datos_fuente'!AB182</x:f>
        <x:v>0.1689394899</x:v>
      </x:c>
      <x:c r="AB182" s="98" t="n">
        <x:f>'Datos_fuente'!AC182</x:f>
        <x:v>0.3973146901</x:v>
      </x:c>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t="str">
        <x:f>'Datos_fuente'!A183</x:f>
        <x:v>2020-09</x:v>
      </x:c>
      <x:c r="B183" s="98" t="n">
        <x:f>IF('Datos_fuente'!B183="","",LN('Datos_fuente'!B183))</x:f>
        <x:v>8.229568539449202</x:v>
      </x:c>
      <x:c r="C183" s="98" t="n">
        <x:f>IF(OR(B183="",B182=""),"",B183-B182)</x:f>
        <x:v>-0.008710906730742707</x:v>
      </x:c>
      <x:c r="D183" s="98" t="n">
        <x:f>IF('Datos_fuente'!C183="","",LN('Datos_fuente'!C183))</x:f>
        <x:v>4.802872844820349</x:v>
      </x:c>
      <x:c r="E183" s="98" t="n">
        <x:f>IF(OR(D183="",D182=""),"",D183-D182)</x:f>
        <x:v>-0.0066249782243117394</x:v>
      </x:c>
      <x:c r="F183" s="98" t="n">
        <x:f>IF('Datos_fuente'!E183="","",LN('Datos_fuente'!E183))</x:f>
        <x:v>8.823025055395167</x:v>
      </x:c>
      <x:c r="G183" s="98" t="n">
        <x:f>IF(OR(F183="",F182=""),"",F183-F182)</x:f>
        <x:v>0.010464399951160885</x:v>
      </x:c>
      <x:c r="H183" s="63" t="n">
        <x:f>'Datos_fuente'!H183</x:f>
        <x:v>1.885</x:v>
      </x:c>
      <x:c r="I183" s="63" t="n">
        <x:f>IF(OR(H183="",H182=""),"",H183-H182)</x:f>
        <x:v>-0.28112903200000017</x:v>
      </x:c>
      <x:c r="J183" s="63" t="n">
        <x:f>'Datos_fuente'!J183</x:f>
        <x:v>7.363909642</x:v>
      </x:c>
      <x:c r="K183" s="63" t="n">
        <x:f>IF(OR(J183="",J182=""),"",J183-J182)</x:f>
        <x:v>1.039304338</x:v>
      </x:c>
      <x:c r="L183" s="98" t="n">
        <x:f>IF('Datos_fuente'!K183="","",LN('Datos_fuente'!K183))</x:f>
        <x:v>4.75654387038744</x:v>
      </x:c>
      <x:c r="M183" s="98" t="n">
        <x:f>IF(OR(L183="",L182=""),"",L183-L182)</x:f>
        <x:v>-0.005162840748423214</x:v>
      </x:c>
      <x:c r="N183" s="98" t="n">
        <x:f>IF('Datos_fuente'!L183="","",LN('Datos_fuente'!L183))</x:f>
        <x:v>3.3195396139532245</x:v>
      </x:c>
      <x:c r="O183" s="98" t="n">
        <x:f>IF(OR(N183="",N182=""),"",N183-N182)</x:f>
        <x:v>0.18886028361274443</x:v>
      </x:c>
      <x:c r="P183" s="96" t="n">
        <x:f>'Datos_fuente'!M183</x:f>
        <x:v>0</x:v>
      </x:c>
      <x:c r="Q183" s="98" t="n">
        <x:f>IF('Datos_fuente'!N183="","",LN('Datos_fuente'!N183))</x:f>
        <x:v>10.950428931669412</x:v>
      </x:c>
      <x:c r="R183" s="98" t="n">
        <x:f>IF(OR(Q183="",Q182=""),"",Q183-Q182)</x:f>
        <x:v>-0.0036167494479268925</x:v>
      </x:c>
      <x:c r="S183" s="63" t="n">
        <x:f>'Datos_fuente'!P183</x:f>
        <x:v>2.539090909</x:v>
      </x:c>
      <x:c r="T183" s="63" t="n">
        <x:f>IF(OR(S183="",S182=""),"",S183-S182)</x:f>
        <x:v>0.1286147190000002</x:v>
      </x:c>
      <x:c r="U183" s="98" t="n">
        <x:f>IF('Datos_fuente'!Q183="","",ASINH('Datos_fuente'!Q183/1000))</x:f>
        <x:v>0.109610383619729</x:v>
      </x:c>
      <x:c r="V183" s="98" t="n">
        <x:f>IF(OR(U183="",U182=""),"",U183-U182)</x:f>
        <x:v>0.04547436249436082</x:v>
      </x:c>
      <x:c r="W183" s="98" t="n">
        <x:f>IF('Datos_fuente'!R183="","",ASINH('Datos_fuente'!R183/1000))</x:f>
        <x:v>-1.07512375388979</x:v>
      </x:c>
      <x:c r="X183" s="98" t="n">
        <x:f>IF(OR(W183="",W182=""),"",W183-W182)</x:f>
        <x:v>-0.34610631018149496</x:v>
      </x:c>
      <x:c r="Y183" s="63" t="n">
        <x:f>'Datos_fuente'!W183</x:f>
        <x:v>1.126328579</x:v>
      </x:c>
      <x:c r="Z183" s="63" t="n">
        <x:f>IF(OR(Y183="",Y182=""),"",Y183-Y182)</x:f>
        <x:v>0.2211077789</x:v>
      </x:c>
      <x:c r="AA183" s="98" t="n">
        <x:f>'Datos_fuente'!AB183</x:f>
        <x:v>-0.7336197567</x:v>
      </x:c>
      <x:c r="AB183" s="98" t="n">
        <x:f>'Datos_fuente'!AC183</x:f>
        <x:v>-0.5974021241</x:v>
      </x:c>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t="str">
        <x:f>'Datos_fuente'!A184</x:f>
        <x:v>2020-10</x:v>
      </x:c>
      <x:c r="B184" s="98" t="n">
        <x:f>IF('Datos_fuente'!B184="","",LN('Datos_fuente'!B184))</x:f>
        <x:v>8.251608728289973</x:v>
      </x:c>
      <x:c r="C184" s="98" t="n">
        <x:f>IF(OR(B184="",B183=""),"",B184-B183)</x:f>
        <x:v>0.02204018884077108</x:v>
      </x:c>
      <x:c r="D184" s="98" t="n">
        <x:f>IF('Datos_fuente'!C184="","",LN('Datos_fuente'!C184))</x:f>
        <x:v>4.797277043516843</x:v>
      </x:c>
      <x:c r="E184" s="98" t="n">
        <x:f>IF(OR(D184="",D183=""),"",D184-D183)</x:f>
        <x:v>-0.005595801303505787</x:v>
      </x:c>
      <x:c r="F184" s="98" t="n">
        <x:f>IF('Datos_fuente'!E184="","",LN('Datos_fuente'!E184))</x:f>
        <x:v>8.830254957437356</x:v>
      </x:c>
      <x:c r="G184" s="98" t="n">
        <x:f>IF(OR(F184="",F183=""),"",F184-F183)</x:f>
        <x:v>0.007229902042189096</x:v>
      </x:c>
      <x:c r="H184" s="63" t="n">
        <x:f>'Datos_fuente'!H184</x:f>
        <x:v>1.66</x:v>
      </x:c>
      <x:c r="I184" s="63" t="n">
        <x:f>IF(OR(H184="",H183=""),"",H184-H183)</x:f>
        <x:v>-0.2250000000000001</x:v>
      </x:c>
      <x:c r="J184" s="63" t="n">
        <x:f>'Datos_fuente'!J184</x:f>
        <x:v>6.480396271</x:v>
      </x:c>
      <x:c r="K184" s="63" t="n">
        <x:f>IF(OR(J184="",J183=""),"",J184-J183)</x:f>
        <x:v>-0.8835133710000003</x:v>
      </x:c>
      <x:c r="L184" s="98" t="n">
        <x:f>IF('Datos_fuente'!K184="","",LN('Datos_fuente'!K184))</x:f>
        <x:v>4.751690234745617</x:v>
      </x:c>
      <x:c r="M184" s="98" t="n">
        <x:f>IF(OR(L184="",L183=""),"",L184-L183)</x:f>
        <x:v>-0.004853635641823395</x:v>
      </x:c>
      <x:c r="N184" s="98" t="n">
        <x:f>IF('Datos_fuente'!L184="","",LN('Datos_fuente'!L184))</x:f>
        <x:v>3.3823079734944255</x:v>
      </x:c>
      <x:c r="O184" s="98" t="n">
        <x:f>IF(OR(N184="",N183=""),"",N184-N183)</x:f>
        <x:v>0.06276835954120097</x:v>
      </x:c>
      <x:c r="P184" s="96" t="n">
        <x:f>'Datos_fuente'!M184</x:f>
        <x:v>0</x:v>
      </x:c>
      <x:c r="Q184" s="98" t="n">
        <x:f>IF('Datos_fuente'!N184="","",LN('Datos_fuente'!N184))</x:f>
        <x:v>10.94938430784397</x:v>
      </x:c>
      <x:c r="R184" s="98" t="n">
        <x:f>IF(OR(Q184="",Q183=""),"",Q184-Q183)</x:f>
        <x:v>-0.001044623825443125</x:v>
      </x:c>
      <x:c r="S184" s="63" t="n">
        <x:f>'Datos_fuente'!P184</x:f>
        <x:v>2.404090909</x:v>
      </x:c>
      <x:c r="T184" s="63" t="n">
        <x:f>IF(OR(S184="",S183=""),"",S184-S183)</x:f>
        <x:v>-0.1349999999999998</x:v>
      </x:c>
      <x:c r="U184" s="98" t="n">
        <x:f>IF('Datos_fuente'!Q184="","",ASINH('Datos_fuente'!Q184/1000))</x:f>
        <x:v>0.0931452529318545</x:v>
      </x:c>
      <x:c r="V184" s="98" t="n">
        <x:f>IF(OR(U184="",U183=""),"",U184-U183)</x:f>
        <x:v>-0.016465130687874502</x:v>
      </x:c>
      <x:c r="W184" s="98" t="n">
        <x:f>IF('Datos_fuente'!R184="","",ASINH('Datos_fuente'!R184/1000))</x:f>
        <x:v>-0.9865615008553508</x:v>
      </x:c>
      <x:c r="X184" s="98" t="n">
        <x:f>IF(OR(W184="",W183=""),"",W184-W183)</x:f>
        <x:v>0.08856225303443921</x:v>
      </x:c>
      <x:c r="Y184" s="63" t="n">
        <x:f>'Datos_fuente'!W184</x:f>
        <x:v>1.533385709</x:v>
      </x:c>
      <x:c r="Z184" s="63" t="n">
        <x:f>IF(OR(Y184="",Y183=""),"",Y184-Y183)</x:f>
        <x:v>0.4070571300000001</x:v>
      </x:c>
      <x:c r="AA184" s="98" t="n">
        <x:f>'Datos_fuente'!AB184</x:f>
        <x:v>0.3154473082</x:v>
      </x:c>
      <x:c r="AB184" s="98" t="n">
        <x:f>'Datos_fuente'!AC184</x:f>
        <x:v>0.4661565877</x:v>
      </x:c>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t="str">
        <x:f>'Datos_fuente'!A185</x:f>
        <x:v>2020-11</x:v>
      </x:c>
      <x:c r="B185" s="98" t="n">
        <x:f>IF('Datos_fuente'!B185="","",LN('Datos_fuente'!B185))</x:f>
        <x:v>8.212195849052446</x:v>
      </x:c>
      <x:c r="C185" s="98" t="n">
        <x:f>IF(OR(B185="",B184=""),"",B185-B184)</x:f>
        <x:v>-0.039412879237527676</x:v>
      </x:c>
      <x:c r="D185" s="98" t="n">
        <x:f>IF('Datos_fuente'!C185="","",LN('Datos_fuente'!C185))</x:f>
        <x:v>4.815755208054905</x:v>
      </x:c>
      <x:c r="E185" s="98" t="n">
        <x:f>IF(OR(D185="",D184=""),"",D185-D184)</x:f>
        <x:v>0.01847816453806228</x:v>
      </x:c>
      <x:c r="F185" s="98" t="n">
        <x:f>IF('Datos_fuente'!E185="","",LN('Datos_fuente'!E185))</x:f>
        <x:v>8.83894040216268</x:v>
      </x:c>
      <x:c r="G185" s="98" t="n">
        <x:f>IF(OR(F185="",F184=""),"",F185-F184)</x:f>
        <x:v>0.008685444725323066</x:v>
      </x:c>
      <x:c r="H185" s="63" t="n">
        <x:f>'Datos_fuente'!H185</x:f>
        <x:v>1.66</x:v>
      </x:c>
      <x:c r="I185" s="63" t="n">
        <x:f>IF(OR(H185="",H184=""),"",H185-H184)</x:f>
        <x:v>0</x:v>
      </x:c>
      <x:c r="J185" s="63" t="n">
        <x:f>'Datos_fuente'!J185</x:f>
        <x:v>6.895144794</x:v>
      </x:c>
      <x:c r="K185" s="63" t="n">
        <x:f>IF(OR(J185="",J184=""),"",J185-J184)</x:f>
        <x:v>0.4147485230000001</x:v>
      </x:c>
      <x:c r="L185" s="98" t="n">
        <x:f>IF('Datos_fuente'!K185="","",LN('Datos_fuente'!K185))</x:f>
        <x:v>4.737061233982681</x:v>
      </x:c>
      <x:c r="M185" s="98" t="n">
        <x:f>IF(OR(L185="",L184=""),"",L185-L184)</x:f>
        <x:v>-0.014629000762935718</x:v>
      </x:c>
      <x:c r="N185" s="98" t="n">
        <x:f>IF('Datos_fuente'!L185="","",LN('Datos_fuente'!L185))</x:f>
        <x:v>3.2186958086662565</x:v>
      </x:c>
      <x:c r="O185" s="98" t="n">
        <x:f>IF(OR(N185="",N184=""),"",N185-N184)</x:f>
        <x:v>-0.16361216482816898</x:v>
      </x:c>
      <x:c r="P185" s="96" t="n">
        <x:f>'Datos_fuente'!M185</x:f>
        <x:v>0</x:v>
      </x:c>
      <x:c r="Q185" s="98" t="n">
        <x:f>IF('Datos_fuente'!N185="","",LN('Datos_fuente'!N185))</x:f>
        <x:v>10.955087720378462</x:v>
      </x:c>
      <x:c r="R185" s="98" t="n">
        <x:f>IF(OR(Q185="",Q184=""),"",Q185-Q184)</x:f>
        <x:v>0.005703412534492358</x:v>
      </x:c>
      <x:c r="S185" s="63" t="n">
        <x:f>'Datos_fuente'!P185</x:f>
        <x:v>2.177142857</x:v>
      </x:c>
      <x:c r="T185" s="63" t="n">
        <x:f>IF(OR(S185="",S184=""),"",S185-S184)</x:f>
        <x:v>-0.226948052</x:v>
      </x:c>
      <x:c r="U185" s="98" t="n">
        <x:f>IF('Datos_fuente'!Q185="","",ASINH('Datos_fuente'!Q185/1000))</x:f>
        <x:v>-0.06298834037081712</x:v>
      </x:c>
      <x:c r="V185" s="98" t="n">
        <x:f>IF(OR(U185="",U184=""),"",U185-U184)</x:f>
        <x:v>-0.15613359330267162</x:v>
      </x:c>
      <x:c r="W185" s="98" t="n">
        <x:f>IF('Datos_fuente'!R185="","",ASINH('Datos_fuente'!R185/1000))</x:f>
        <x:v>-0.33222472917462476</x:v>
      </x:c>
      <x:c r="X185" s="98" t="n">
        <x:f>IF(OR(W185="",W184=""),"",W185-W184)</x:f>
        <x:v>0.654336771680726</x:v>
      </x:c>
      <x:c r="Y185" s="63" t="n">
        <x:f>'Datos_fuente'!W185</x:f>
        <x:v>1.434752646</x:v>
      </x:c>
      <x:c r="Z185" s="63" t="n">
        <x:f>IF(OR(Y185="",Y184=""),"",Y185-Y184)</x:f>
        <x:v>-0.09863306300000008</x:v>
      </x:c>
      <x:c r="AA185" s="98" t="n">
        <x:f>'Datos_fuente'!AB185</x:f>
        <x:v>-1.311983844</x:v>
      </x:c>
      <x:c r="AB185" s="98" t="n">
        <x:f>'Datos_fuente'!AC185</x:f>
        <x:v>-0.9112720511</x:v>
      </x:c>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t="str">
        <x:f>'Datos_fuente'!A186</x:f>
        <x:v>2020-12</x:v>
      </x:c>
      <x:c r="B186" s="98" t="n">
        <x:f>IF('Datos_fuente'!B186="","",LN('Datos_fuente'!B186))</x:f>
        <x:v>8.150793139251245</x:v>
      </x:c>
      <x:c r="C186" s="98" t="n">
        <x:f>IF(OR(B186="",B185=""),"",B186-B185)</x:f>
        <x:v>-0.06140270980120022</x:v>
      </x:c>
      <x:c r="D186" s="98" t="n">
        <x:f>IF('Datos_fuente'!C186="","",LN('Datos_fuente'!C186))</x:f>
        <x:v>4.862444596018447</x:v>
      </x:c>
      <x:c r="E186" s="98" t="n">
        <x:f>IF(OR(D186="",D185=""),"",D186-D185)</x:f>
        <x:v>0.04668938796354194</x:v>
      </x:c>
      <x:c r="F186" s="98" t="n">
        <x:f>IF('Datos_fuente'!E186="","",LN('Datos_fuente'!E186))</x:f>
        <x:v>8.84055703002119</x:v>
      </x:c>
      <x:c r="G186" s="98" t="n">
        <x:f>IF(OR(F186="",F185=""),"",F186-F185)</x:f>
        <x:v>0.0016166278585103555</x:v>
      </x:c>
      <x:c r="H186" s="63" t="n">
        <x:f>'Datos_fuente'!H186</x:f>
        <x:v>1.66</x:v>
      </x:c>
      <x:c r="I186" s="63" t="n">
        <x:f>IF(OR(H186="",H185=""),"",H186-H185)</x:f>
        <x:v>0</x:v>
      </x:c>
      <x:c r="J186" s="63" t="n">
        <x:f>'Datos_fuente'!J186</x:f>
        <x:v>7.788250635</x:v>
      </x:c>
      <x:c r="K186" s="63" t="n">
        <x:f>IF(OR(J186="",J185=""),"",J186-J185)</x:f>
        <x:v>0.8931058409999997</x:v>
      </x:c>
      <x:c r="L186" s="98" t="n">
        <x:f>IF('Datos_fuente'!K186="","",LN('Datos_fuente'!K186))</x:f>
        <x:v>4.717598593845508</x:v>
      </x:c>
      <x:c r="M186" s="98" t="n">
        <x:f>IF(OR(L186="",L185=""),"",L186-L185)</x:f>
        <x:v>-0.01946264013717336</x:v>
      </x:c>
      <x:c r="N186" s="98" t="n">
        <x:f>IF('Datos_fuente'!L186="","",LN('Datos_fuente'!L186))</x:f>
        <x:v>3.107903633614839</x:v>
      </x:c>
      <x:c r="O186" s="98" t="n">
        <x:f>IF(OR(N186="",N185=""),"",N186-N185)</x:f>
        <x:v>-0.11079217505141736</x:v>
      </x:c>
      <x:c r="P186" s="96" t="n">
        <x:f>'Datos_fuente'!M186</x:f>
        <x:v>0</x:v>
      </x:c>
      <x:c r="Q186" s="98" t="n">
        <x:f>IF('Datos_fuente'!N186="","",LN('Datos_fuente'!N186))</x:f>
        <x:v>10.985814451170764</x:v>
      </x:c>
      <x:c r="R186" s="98" t="n">
        <x:f>IF(OR(Q186="",Q185=""),"",Q186-Q185)</x:f>
        <x:v>0.030726730792302703</x:v>
      </x:c>
      <x:c r="S186" s="63" t="n">
        <x:f>'Datos_fuente'!P186</x:f>
        <x:v>2.099565217</x:v>
      </x:c>
      <x:c r="T186" s="63" t="n">
        <x:f>IF(OR(S186="",S185=""),"",S186-S185)</x:f>
        <x:v>-0.07757764000000034</x:v>
      </x:c>
      <x:c r="U186" s="98" t="n">
        <x:f>IF('Datos_fuente'!Q186="","",ASINH('Datos_fuente'!Q186/1000))</x:f>
        <x:v>-0.06891543660117533</x:v>
      </x:c>
      <x:c r="V186" s="98" t="n">
        <x:f>IF(OR(U186="",U185=""),"",U186-U185)</x:f>
        <x:v>-0.005927096230358211</x:v>
      </x:c>
      <x:c r="W186" s="98" t="n">
        <x:f>IF('Datos_fuente'!R186="","",ASINH('Datos_fuente'!R186/1000))</x:f>
        <x:v>0.8212285205725554</x:v>
      </x:c>
      <x:c r="X186" s="98" t="n">
        <x:f>IF(OR(W186="",W185=""),"",W186-W185)</x:f>
        <x:v>1.15345324974718</x:v>
      </x:c>
      <x:c r="Y186" s="63" t="n">
        <x:f>'Datos_fuente'!W186</x:f>
        <x:v>1.299835414</x:v>
      </x:c>
      <x:c r="Z186" s="63" t="n">
        <x:f>IF(OR(Y186="",Y185=""),"",Y186-Y185)</x:f>
        <x:v>-0.13491723200000005</x:v>
      </x:c>
      <x:c r="AA186" s="98" t="n">
        <x:f>'Datos_fuente'!AB186</x:f>
        <x:v>-1.410605932</x:v>
      </x:c>
      <x:c r="AB186" s="98" t="n">
        <x:f>'Datos_fuente'!AC186</x:f>
        <x:v>-1.086035413</x:v>
      </x:c>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t="str">
        <x:f>'Datos_fuente'!A187</x:f>
        <x:v>2021-01</x:v>
      </x:c>
      <x:c r="B187" s="98" t="n">
        <x:f>IF('Datos_fuente'!B187="","",LN('Datos_fuente'!B187))</x:f>
        <x:v>8.158035629186502</x:v>
      </x:c>
      <x:c r="C187" s="98" t="n">
        <x:f>IF(OR(B187="",B186=""),"",B187-B186)</x:f>
        <x:v>0.0072424899352565575</x:v>
      </x:c>
      <x:c r="D187" s="98" t="n">
        <x:f>IF('Datos_fuente'!C187="","",LN('Datos_fuente'!C187))</x:f>
        <x:v>4.8977651703005165</x:v>
      </x:c>
      <x:c r="E187" s="98" t="n">
        <x:f>IF(OR(D187="",D186=""),"",D187-D186)</x:f>
        <x:v>0.03532057428206947</x:v>
      </x:c>
      <x:c r="F187" s="98" t="n">
        <x:f>IF('Datos_fuente'!E187="","",LN('Datos_fuente'!E187))</x:f>
        <x:v>8.841961489083397</x:v>
      </x:c>
      <x:c r="G187" s="98" t="n">
        <x:f>IF(OR(F187="",F186=""),"",F187-F186)</x:f>
        <x:v>0.0014044590622077635</x:v>
      </x:c>
      <x:c r="H187" s="63" t="n">
        <x:f>'Datos_fuente'!H187</x:f>
        <x:v>1.66</x:v>
      </x:c>
      <x:c r="I187" s="63" t="n">
        <x:f>IF(OR(H187="",H186=""),"",H187-H186)</x:f>
        <x:v>0</x:v>
      </x:c>
      <x:c r="J187" s="63" t="n">
        <x:f>'Datos_fuente'!J187</x:f>
        <x:v>7.0911306</x:v>
      </x:c>
      <x:c r="K187" s="63" t="n">
        <x:f>IF(OR(J187="",J186=""),"",J187-J186)</x:f>
        <x:v>-0.6971200350000002</x:v>
      </x:c>
      <x:c r="L187" s="98" t="n">
        <x:f>IF('Datos_fuente'!K187="","",LN('Datos_fuente'!K187))</x:f>
        <x:v>4.713910433711844</x:v>
      </x:c>
      <x:c r="M187" s="98" t="n">
        <x:f>IF(OR(L187="",L186=""),"",L187-L186)</x:f>
        <x:v>-0.00368816013366402</x:v>
      </x:c>
      <x:c r="N187" s="98" t="n">
        <x:f>IF('Datos_fuente'!L187="","",LN('Datos_fuente'!L187))</x:f>
        <x:v>3.215269329274089</x:v>
      </x:c>
      <x:c r="O187" s="98" t="n">
        <x:f>IF(OR(N187="",N186=""),"",N187-N186)</x:f>
        <x:v>0.10736569565924992</x:v>
      </x:c>
      <x:c r="P187" s="96" t="n">
        <x:f>'Datos_fuente'!M187</x:f>
        <x:v>0</x:v>
      </x:c>
      <x:c r="Q187" s="98" t="n">
        <x:f>IF('Datos_fuente'!N187="","",LN('Datos_fuente'!N187))</x:f>
        <x:v>10.985307468541851</x:v>
      </x:c>
      <x:c r="R187" s="98" t="n">
        <x:f>IF(OR(Q187="",Q186=""),"",Q187-Q186)</x:f>
        <x:v>-0.0005069826289130219</x:v>
      </x:c>
      <x:c r="S187" s="63" t="n">
        <x:f>'Datos_fuente'!P187</x:f>
        <x:v>2.164285714</x:v>
      </x:c>
      <x:c r="T187" s="63" t="n">
        <x:f>IF(OR(S187="",S186=""),"",S187-S186)</x:f>
        <x:v>0.06472049700000015</x:v>
      </x:c>
      <x:c r="U187" s="98" t="n">
        <x:f>IF('Datos_fuente'!Q187="","",ASINH('Datos_fuente'!Q187/1000))</x:f>
        <x:v>0.028985940905134847</x:v>
      </x:c>
      <x:c r="V187" s="98" t="n">
        <x:f>IF(OR(U187="",U186=""),"",U187-U186)</x:f>
        <x:v>0.09790137750631017</x:v>
      </x:c>
      <x:c r="W187" s="98" t="n">
        <x:f>IF('Datos_fuente'!R187="","",ASINH('Datos_fuente'!R187/1000))</x:f>
        <x:v>-0.7646402316344747</x:v>
      </x:c>
      <x:c r="X187" s="98" t="n">
        <x:f>IF(OR(W187="",W186=""),"",W187-W186)</x:f>
        <x:v>-1.58586875220703</x:v>
      </x:c>
      <x:c r="Y187" s="63" t="n">
        <x:f>'Datos_fuente'!W187</x:f>
        <x:v>1.265473676</x:v>
      </x:c>
      <x:c r="Z187" s="63" t="n">
        <x:f>IF(OR(Y187="",Y186=""),"",Y187-Y186)</x:f>
        <x:v>-0.034361737999999864</x:v>
      </x:c>
      <x:c r="AA187" s="98" t="n">
        <x:f>'Datos_fuente'!AB187</x:f>
        <x:v>0.1035725325</x:v>
      </x:c>
      <x:c r="AB187" s="98" t="n">
        <x:f>'Datos_fuente'!AC187</x:f>
        <x:v>0.2009481724</x:v>
      </x:c>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t="str">
        <x:f>'Datos_fuente'!A188</x:f>
        <x:v>2021-02</x:v>
      </x:c>
      <x:c r="B188" s="98" t="n">
        <x:f>IF('Datos_fuente'!B188="","",LN('Datos_fuente'!B188))</x:f>
        <x:v>8.175970891164281</x:v>
      </x:c>
      <x:c r="C188" s="98" t="n">
        <x:f>IF(OR(B188="",B187=""),"",B188-B187)</x:f>
        <x:v>0.017935261977779504</x:v>
      </x:c>
      <x:c r="D188" s="98" t="n">
        <x:f>IF('Datos_fuente'!C188="","",LN('Datos_fuente'!C188))</x:f>
        <x:v>4.892001896985033</x:v>
      </x:c>
      <x:c r="E188" s="98" t="n">
        <x:f>IF(OR(D188="",D187=""),"",D188-D187)</x:f>
        <x:v>-0.005763273315483097</x:v>
      </x:c>
      <x:c r="F188" s="98" t="n">
        <x:f>IF('Datos_fuente'!E188="","",LN('Datos_fuente'!E188))</x:f>
        <x:v>8.851976860351979</x:v>
      </x:c>
      <x:c r="G188" s="98" t="n">
        <x:f>IF(OR(F188="",F187=""),"",F188-F187)</x:f>
        <x:v>0.010015371268581319</x:v>
      </x:c>
      <x:c r="H188" s="63" t="n">
        <x:f>'Datos_fuente'!H188</x:f>
        <x:v>1.67</x:v>
      </x:c>
      <x:c r="I188" s="63" t="n">
        <x:f>IF(OR(H188="",H187=""),"",H188-H187)</x:f>
        <x:v>0.010000000000000009</x:v>
      </x:c>
      <x:c r="J188" s="63" t="n">
        <x:f>'Datos_fuente'!J188</x:f>
        <x:v>7.68803314</x:v>
      </x:c>
      <x:c r="K188" s="63" t="n">
        <x:f>IF(OR(J188="",J187=""),"",J188-J187)</x:f>
        <x:v>0.5969025400000003</x:v>
      </x:c>
      <x:c r="L188" s="98" t="n">
        <x:f>IF('Datos_fuente'!K188="","",LN('Datos_fuente'!K188))</x:f>
        <x:v>4.718651115062567</x:v>
      </x:c>
      <x:c r="M188" s="98" t="n">
        <x:f>IF(OR(L188="",L187=""),"",L188-L187)</x:f>
        <x:v>0.004740681350723364</x:v>
      </x:c>
      <x:c r="N188" s="98" t="n">
        <x:f>IF('Datos_fuente'!L188="","",LN('Datos_fuente'!L188))</x:f>
        <x:v>3.141585466537117</x:v>
      </x:c>
      <x:c r="O188" s="98" t="n">
        <x:f>IF(OR(N188="",N187=""),"",N188-N187)</x:f>
        <x:v>-0.07368386273697203</x:v>
      </x:c>
      <x:c r="P188" s="96" t="n">
        <x:f>'Datos_fuente'!M188</x:f>
        <x:v>0</x:v>
      </x:c>
      <x:c r="Q188" s="98" t="n">
        <x:f>IF('Datos_fuente'!N188="","",LN('Datos_fuente'!N188))</x:f>
        <x:v>10.984871786849084</x:v>
      </x:c>
      <x:c r="R188" s="98" t="n">
        <x:f>IF(OR(Q188="",Q187=""),"",Q188-Q187)</x:f>
        <x:v>-0.0004356816927675311</x:v>
      </x:c>
      <x:c r="S188" s="63" t="n">
        <x:f>'Datos_fuente'!P188</x:f>
        <x:v>2.138</x:v>
      </x:c>
      <x:c r="T188" s="63" t="n">
        <x:f>IF(OR(S188="",S187=""),"",S188-S187)</x:f>
        <x:v>-0.026285714000000127</x:v>
      </x:c>
      <x:c r="U188" s="98" t="n">
        <x:f>IF('Datos_fuente'!Q188="","",ASINH('Datos_fuente'!Q188/1000))</x:f>
        <x:v>-0.029575688063911518</x:v>
      </x:c>
      <x:c r="V188" s="98" t="n">
        <x:f>IF(OR(U188="",U187=""),"",U188-U187)</x:f>
        <x:v>-0.05856162896904636</x:v>
      </x:c>
      <x:c r="W188" s="98" t="n">
        <x:f>IF('Datos_fuente'!R188="","",ASINH('Datos_fuente'!R188/1000))</x:f>
        <x:v>-0.952846957645142</x:v>
      </x:c>
      <x:c r="X188" s="98" t="n">
        <x:f>IF(OR(W188="",W187=""),"",W188-W187)</x:f>
        <x:v>-0.18820672601066735</x:v>
      </x:c>
      <x:c r="Y188" s="63" t="n">
        <x:f>'Datos_fuente'!W188</x:f>
        <x:v>1.141921046</x:v>
      </x:c>
      <x:c r="Z188" s="63" t="n">
        <x:f>IF(OR(Y188="",Y187=""),"",Y188-Y187)</x:f>
        <x:v>-0.12355263000000005</x:v>
      </x:c>
      <x:c r="AA188" s="98" t="n">
        <x:f>'Datos_fuente'!AB188</x:f>
        <x:v>0.2169412801</x:v>
      </x:c>
      <x:c r="AB188" s="98" t="n">
        <x:f>'Datos_fuente'!AC188</x:f>
        <x:v>0.2799184808</x:v>
      </x:c>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t="str">
        <x:f>'Datos_fuente'!A189</x:f>
        <x:v>2021-03</x:v>
      </x:c>
      <x:c r="B189" s="98" t="n">
        <x:f>IF('Datos_fuente'!B189="","",LN('Datos_fuente'!B189))</x:f>
        <x:v>8.192229623640266</x:v>
      </x:c>
      <x:c r="C189" s="98" t="n">
        <x:f>IF(OR(B189="",B188=""),"",B189-B188)</x:f>
        <x:v>0.016258732475984417</x:v>
      </x:c>
      <x:c r="D189" s="98" t="n">
        <x:f>IF('Datos_fuente'!C189="","",LN('Datos_fuente'!C189))</x:f>
        <x:v>4.923696641734853</x:v>
      </x:c>
      <x:c r="E189" s="98" t="n">
        <x:f>IF(OR(D189="",D188=""),"",D189-D188)</x:f>
        <x:v>0.031694744749819925</x:v>
      </x:c>
      <x:c r="F189" s="98" t="n">
        <x:f>IF('Datos_fuente'!E189="","",LN('Datos_fuente'!E189))</x:f>
        <x:v>8.862896971629182</x:v>
      </x:c>
      <x:c r="G189" s="98" t="n">
        <x:f>IF(OR(F189="",F188=""),"",F189-F188)</x:f>
        <x:v>0.010920111277203048</x:v>
      </x:c>
      <x:c r="H189" s="63" t="n">
        <x:f>'Datos_fuente'!H189</x:f>
        <x:v>1.68</x:v>
      </x:c>
      <x:c r="I189" s="63" t="n">
        <x:f>IF(OR(H189="",H188=""),"",H189-H188)</x:f>
        <x:v>0.010000000000000009</x:v>
      </x:c>
      <x:c r="J189" s="63" t="n">
        <x:f>'Datos_fuente'!J189</x:f>
        <x:v>7.560001257</x:v>
      </x:c>
      <x:c r="K189" s="63" t="n">
        <x:f>IF(OR(J189="",J188=""),"",J189-J188)</x:f>
        <x:v>-0.12803188300000024</x:v>
      </x:c>
      <x:c r="L189" s="98" t="n">
        <x:f>IF('Datos_fuente'!K189="","",LN('Datos_fuente'!K189))</x:f>
        <x:v>4.730362535868512</x:v>
      </x:c>
      <x:c r="M189" s="98" t="n">
        <x:f>IF(OR(L189="",L188=""),"",L189-L188)</x:f>
        <x:v>0.011711420805944783</x:v>
      </x:c>
      <x:c r="N189" s="98" t="n">
        <x:f>IF('Datos_fuente'!L189="","",LN('Datos_fuente'!L189))</x:f>
        <x:v>3.0838824946477637</x:v>
      </x:c>
      <x:c r="O189" s="98" t="n">
        <x:f>IF(OR(N189="",N188=""),"",N189-N188)</x:f>
        <x:v>-0.05770297188935336</x:v>
      </x:c>
      <x:c r="P189" s="96" t="n">
        <x:f>'Datos_fuente'!M189</x:f>
        <x:v>0</x:v>
      </x:c>
      <x:c r="Q189" s="98" t="n">
        <x:f>IF('Datos_fuente'!N189="","",LN('Datos_fuente'!N189))</x:f>
        <x:v>10.983605028345824</x:v>
      </x:c>
      <x:c r="R189" s="98" t="n">
        <x:f>IF(OR(Q189="",Q188=""),"",Q189-Q188)</x:f>
        <x:v>-0.001266758503259524</x:v>
      </x:c>
      <x:c r="S189" s="63" t="n">
        <x:f>'Datos_fuente'!P189</x:f>
        <x:v>2.233043478</x:v>
      </x:c>
      <x:c r="T189" s="63" t="n">
        <x:f>IF(OR(S189="",S188=""),"",S189-S188)</x:f>
        <x:v>0.09504347800000001</x:v>
      </x:c>
      <x:c r="U189" s="98" t="n">
        <x:f>IF('Datos_fuente'!Q189="","",ASINH('Datos_fuente'!Q189/1000))</x:f>
        <x:v>0.08136020985578885</x:v>
      </x:c>
      <x:c r="V189" s="98" t="n">
        <x:f>IF(OR(U189="",U188=""),"",U189-U188)</x:f>
        <x:v>0.11093589791970036</x:v>
      </x:c>
      <x:c r="W189" s="98" t="n">
        <x:f>IF('Datos_fuente'!R189="","",ASINH('Datos_fuente'!R189/1000))</x:f>
        <x:v>-1.1923589629446085</x:v>
      </x:c>
      <x:c r="X189" s="98" t="n">
        <x:f>IF(OR(W189="",W188=""),"",W189-W188)</x:f>
        <x:v>-0.23951200529946648</x:v>
      </x:c>
      <x:c r="Y189" s="63" t="n">
        <x:f>'Datos_fuente'!W189</x:f>
        <x:v>1.183699595</x:v>
      </x:c>
      <x:c r="Z189" s="63" t="n">
        <x:f>IF(OR(Y189="",Y188=""),"",Y189-Y188)</x:f>
        <x:v>0.041778549</x:v>
      </x:c>
      <x:c r="AA189" s="98" t="n">
        <x:f>'Datos_fuente'!AB189</x:f>
        <x:v>0.606028151</x:v>
      </x:c>
      <x:c r="AB189" s="98" t="n">
        <x:f>'Datos_fuente'!AC189</x:f>
        <x:v>0.804233131</x:v>
      </x:c>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t="str">
        <x:f>'Datos_fuente'!A190</x:f>
        <x:v>2021-04</x:v>
      </x:c>
      <x:c r="B190" s="98" t="n">
        <x:f>IF('Datos_fuente'!B190="","",LN('Datos_fuente'!B190))</x:f>
        <x:v>8.202695026719503</x:v>
      </x:c>
      <x:c r="C190" s="98" t="n">
        <x:f>IF(OR(B190="",B189=""),"",B190-B189)</x:f>
        <x:v>0.01046540307923749</x:v>
      </x:c>
      <x:c r="D190" s="98" t="n">
        <x:f>IF('Datos_fuente'!C190="","",LN('Datos_fuente'!C190))</x:f>
        <x:v>4.866533950121999</x:v>
      </x:c>
      <x:c r="E190" s="98" t="n">
        <x:f>IF(OR(D190="",D189=""),"",D190-D189)</x:f>
        <x:v>-0.05716269161285403</x:v>
      </x:c>
      <x:c r="F190" s="98" t="n">
        <x:f>IF('Datos_fuente'!E190="","",LN('Datos_fuente'!E190))</x:f>
        <x:v>8.912548702655743</x:v>
      </x:c>
      <x:c r="G190" s="98" t="n">
        <x:f>IF(OR(F190="",F189=""),"",F190-F189)</x:f>
        <x:v>0.04965173102656095</x:v>
      </x:c>
      <x:c r="H190" s="63" t="n">
        <x:f>'Datos_fuente'!H190</x:f>
        <x:v>1.68</x:v>
      </x:c>
      <x:c r="I190" s="63" t="n">
        <x:f>IF(OR(H190="",H189=""),"",H190-H189)</x:f>
        <x:v>0</x:v>
      </x:c>
      <x:c r="J190" s="63" t="n">
        <x:f>'Datos_fuente'!J190</x:f>
        <x:v>7.325164892</x:v>
      </x:c>
      <x:c r="K190" s="63" t="n">
        <x:f>IF(OR(J190="",J189=""),"",J190-J189)</x:f>
        <x:v>-0.2348363649999996</x:v>
      </x:c>
      <x:c r="L190" s="98" t="n">
        <x:f>IF('Datos_fuente'!K190="","",LN('Datos_fuente'!K190))</x:f>
        <x:v>4.724128409951226</x:v>
      </x:c>
      <x:c r="M190" s="98" t="n">
        <x:f>IF(OR(L190="",L189=""),"",L190-L189)</x:f>
        <x:v>-0.00623412591728556</x:v>
      </x:c>
      <x:c r="N190" s="98" t="n">
        <x:f>IF('Datos_fuente'!L190="","",LN('Datos_fuente'!L190))</x:f>
        <x:v>2.8574002609417986</x:v>
      </x:c>
      <x:c r="O190" s="98" t="n">
        <x:f>IF(OR(N190="",N189=""),"",N190-N189)</x:f>
        <x:v>-0.2264822337059651</x:v>
      </x:c>
      <x:c r="P190" s="96" t="n">
        <x:f>'Datos_fuente'!M190</x:f>
        <x:v>0</x:v>
      </x:c>
      <x:c r="Q190" s="98" t="n">
        <x:f>IF('Datos_fuente'!N190="","",LN('Datos_fuente'!N190))</x:f>
        <x:v>10.986736087515451</x:v>
      </x:c>
      <x:c r="R190" s="98" t="n">
        <x:f>IF(OR(Q190="",Q189=""),"",Q190-Q189)</x:f>
        <x:v>0.0031310591696271928</x:v>
      </x:c>
      <x:c r="S190" s="63" t="n">
        <x:f>'Datos_fuente'!P190</x:f>
        <x:v>2.201363636</x:v>
      </x:c>
      <x:c r="T190" s="63" t="n">
        <x:f>IF(OR(S190="",S189=""),"",S190-S189)</x:f>
        <x:v>-0.03167984199999996</x:v>
      </x:c>
      <x:c r="U190" s="98" t="n">
        <x:f>IF('Datos_fuente'!Q190="","",ASINH('Datos_fuente'!Q190/1000))</x:f>
        <x:v>0.04712255851114082</x:v>
      </x:c>
      <x:c r="V190" s="98" t="n">
        <x:f>IF(OR(U190="",U189=""),"",U190-U189)</x:f>
        <x:v>-0.034237651344648026</x:v>
      </x:c>
      <x:c r="W190" s="98" t="n">
        <x:f>IF('Datos_fuente'!R190="","",ASINH('Datos_fuente'!R190/1000))</x:f>
        <x:v>-0.7933112393252075</x:v>
      </x:c>
      <x:c r="X190" s="98" t="n">
        <x:f>IF(OR(W190="",W189=""),"",W190-W189)</x:f>
        <x:v>0.399047723619401</x:v>
      </x:c>
      <x:c r="Y190" s="63" t="n">
        <x:f>'Datos_fuente'!W190</x:f>
        <x:v>0.9956227255</x:v>
      </x:c>
      <x:c r="Z190" s="63" t="n">
        <x:f>IF(OR(Y190="",Y189=""),"",Y190-Y189)</x:f>
        <x:v>-0.18807686950000002</x:v>
      </x:c>
      <x:c r="AA190" s="98" t="n">
        <x:f>'Datos_fuente'!AB190</x:f>
        <x:v>-0.9377845485</x:v>
      </x:c>
      <x:c r="AB190" s="98" t="n">
        <x:f>'Datos_fuente'!AC190</x:f>
        <x:v>-0.7532881314</x:v>
      </x:c>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t="str">
        <x:f>'Datos_fuente'!A191</x:f>
        <x:v>2021-05</x:v>
      </x:c>
      <x:c r="B191" s="98" t="n">
        <x:f>IF('Datos_fuente'!B191="","",LN('Datos_fuente'!B191))</x:f>
        <x:v>8.225681429456007</x:v>
      </x:c>
      <x:c r="C191" s="98" t="n">
        <x:f>IF(OR(B191="",B190=""),"",B191-B190)</x:f>
        <x:v>0.02298640273650321</x:v>
      </x:c>
      <x:c r="D191" s="98" t="n">
        <x:f>IF('Datos_fuente'!C191="","",LN('Datos_fuente'!C191))</x:f>
        <x:v>4.882347273794725</x:v>
      </x:c>
      <x:c r="E191" s="98" t="n">
        <x:f>IF(OR(D191="",D190=""),"",D191-D190)</x:f>
        <x:v>0.015813323672725588</x:v>
      </x:c>
      <x:c r="F191" s="98" t="n">
        <x:f>IF('Datos_fuente'!E191="","",LN('Datos_fuente'!E191))</x:f>
        <x:v>8.953531447990386</x:v>
      </x:c>
      <x:c r="G191" s="98" t="n">
        <x:f>IF(OR(F191="",F190=""),"",F191-F190)</x:f>
        <x:v>0.04098274533464341</x:v>
      </x:c>
      <x:c r="H191" s="63" t="n">
        <x:f>'Datos_fuente'!H191</x:f>
        <x:v>1.69</x:v>
      </x:c>
      <x:c r="I191" s="63" t="n">
        <x:f>IF(OR(H191="",H190=""),"",H191-H190)</x:f>
        <x:v>0.010000000000000009</x:v>
      </x:c>
      <x:c r="J191" s="63" t="n">
        <x:f>'Datos_fuente'!J191</x:f>
        <x:v>7.053505991</x:v>
      </x:c>
      <x:c r="K191" s="63" t="n">
        <x:f>IF(OR(J191="",J190=""),"",J191-J190)</x:f>
        <x:v>-0.27165890100000034</x:v>
      </x:c>
      <x:c r="L191" s="98" t="n">
        <x:f>IF('Datos_fuente'!K191="","",LN('Datos_fuente'!K191))</x:f>
        <x:v>4.7114407174559005</x:v>
      </x:c>
      <x:c r="M191" s="98" t="n">
        <x:f>IF(OR(L191="",L190=""),"",L191-L190)</x:f>
        <x:v>-0.012687692495325642</x:v>
      </x:c>
      <x:c r="N191" s="98" t="n">
        <x:f>IF('Datos_fuente'!L191="","",LN('Datos_fuente'!L191))</x:f>
        <x:v>2.9836849956433147</x:v>
      </x:c>
      <x:c r="O191" s="98" t="n">
        <x:f>IF(OR(N191="",N190=""),"",N191-N190)</x:f>
        <x:v>0.12628473470151613</x:v>
      </x:c>
      <x:c r="P191" s="96" t="n">
        <x:f>'Datos_fuente'!M191</x:f>
        <x:v>0</x:v>
      </x:c>
      <x:c r="Q191" s="98" t="n">
        <x:f>IF('Datos_fuente'!N191="","",LN('Datos_fuente'!N191))</x:f>
        <x:v>10.987729750921273</x:v>
      </x:c>
      <x:c r="R191" s="98" t="n">
        <x:f>IF(OR(Q191="",Q190=""),"",Q191-Q190)</x:f>
        <x:v>0.0009936634058220761</x:v>
      </x:c>
      <x:c r="S191" s="63" t="n">
        <x:f>'Datos_fuente'!P191</x:f>
        <x:v>2.368571429</x:v>
      </x:c>
      <x:c r="T191" s="63" t="n">
        <x:f>IF(OR(S191="",S190=""),"",S191-S190)</x:f>
        <x:v>0.16720779300000022</x:v>
      </x:c>
      <x:c r="U191" s="98" t="n">
        <x:f>IF('Datos_fuente'!Q191="","",ASINH('Datos_fuente'!Q191/1000))</x:f>
        <x:v>-0.016479254122855797</x:v>
      </x:c>
      <x:c r="V191" s="98" t="n">
        <x:f>IF(OR(U191="",U190=""),"",U191-U190)</x:f>
        <x:v>-0.06360181263399661</x:v>
      </x:c>
      <x:c r="W191" s="98" t="n">
        <x:f>IF('Datos_fuente'!R191="","",ASINH('Datos_fuente'!R191/1000))</x:f>
        <x:v>-0.84343963343055</x:v>
      </x:c>
      <x:c r="X191" s="98" t="n">
        <x:f>IF(OR(W191="",W190=""),"",W191-W190)</x:f>
        <x:v>-0.05012839410534242</x:v>
      </x:c>
      <x:c r="Y191" s="63" t="n">
        <x:f>'Datos_fuente'!W191</x:f>
        <x:v>1.221510005</x:v>
      </x:c>
      <x:c r="Z191" s="63" t="n">
        <x:f>IF(OR(Y191="",Y190=""),"",Y191-Y190)</x:f>
        <x:v>0.2258872795000001</x:v>
      </x:c>
      <x:c r="AA191" s="98" t="n">
        <x:f>'Datos_fuente'!AB191</x:f>
        <x:v>-0.5295735298</x:v>
      </x:c>
      <x:c r="AB191" s="98" t="n">
        <x:f>'Datos_fuente'!AC191</x:f>
        <x:v>0.01019442144</x:v>
      </x:c>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t="str">
        <x:f>'Datos_fuente'!A192</x:f>
        <x:v>2021-06</x:v>
      </x:c>
      <x:c r="B192" s="98" t="n">
        <x:f>IF('Datos_fuente'!B192="","",LN('Datos_fuente'!B192))</x:f>
        <x:v>8.212037383118142</x:v>
      </x:c>
      <x:c r="C192" s="98" t="n">
        <x:f>IF(OR(B192="",B191=""),"",B192-B191)</x:f>
        <x:v>-0.013644046337864424</x:v>
      </x:c>
      <x:c r="D192" s="98" t="n">
        <x:f>IF('Datos_fuente'!C192="","",LN('Datos_fuente'!C192))</x:f>
        <x:v>4.928557183060649</x:v>
      </x:c>
      <x:c r="E192" s="98" t="n">
        <x:f>IF(OR(D192="",D191=""),"",D192-D191)</x:f>
        <x:v>0.046209909265924054</x:v>
      </x:c>
      <x:c r="F192" s="98" t="n">
        <x:f>IF('Datos_fuente'!E192="","",LN('Datos_fuente'!E192))</x:f>
        <x:v>8.975598570234895</x:v>
      </x:c>
      <x:c r="G192" s="98" t="n">
        <x:f>IF(OR(F192="",F191=""),"",F192-F191)</x:f>
        <x:v>0.022067122244509463</x:v>
      </x:c>
      <x:c r="H192" s="63" t="n">
        <x:f>'Datos_fuente'!H192</x:f>
        <x:v>1.67</x:v>
      </x:c>
      <x:c r="I192" s="63" t="n">
        <x:f>IF(OR(H192="",H191=""),"",H192-H191)</x:f>
        <x:v>-0.020000000000000018</x:v>
      </x:c>
      <x:c r="J192" s="63" t="n">
        <x:f>'Datos_fuente'!J192</x:f>
        <x:v>6.902005515</x:v>
      </x:c>
      <x:c r="K192" s="63" t="n">
        <x:f>IF(OR(J192="",J191=""),"",J192-J191)</x:f>
        <x:v>-0.15150047599999983</x:v>
      </x:c>
      <x:c r="L192" s="98" t="n">
        <x:f>IF('Datos_fuente'!K192="","",LN('Datos_fuente'!K192))</x:f>
        <x:v>4.714721168861206</x:v>
      </x:c>
      <x:c r="M192" s="98" t="n">
        <x:f>IF(OR(L192="",L191=""),"",L192-L191)</x:f>
        <x:v>0.003280451405305307</x:v>
      </x:c>
      <x:c r="N192" s="98" t="n">
        <x:f>IF('Datos_fuente'!L192="","",LN('Datos_fuente'!L192))</x:f>
        <x:v>2.8306700054519833</x:v>
      </x:c>
      <x:c r="O192" s="98" t="n">
        <x:f>IF(OR(N192="",N191=""),"",N192-N191)</x:f>
        <x:v>-0.15301499019133136</x:v>
      </x:c>
      <x:c r="P192" s="96" t="n">
        <x:f>'Datos_fuente'!M192</x:f>
        <x:v>0</x:v>
      </x:c>
      <x:c r="Q192" s="98" t="n">
        <x:f>IF('Datos_fuente'!N192="","",LN('Datos_fuente'!N192))</x:f>
        <x:v>10.983890214408746</x:v>
      </x:c>
      <x:c r="R192" s="98" t="n">
        <x:f>IF(OR(Q192="",Q191=""),"",Q192-Q191)</x:f>
        <x:v>-0.0038395365125278857</x:v>
      </x:c>
      <x:c r="S192" s="63" t="n">
        <x:f>'Datos_fuente'!P192</x:f>
        <x:v>2.435454545</x:v>
      </x:c>
      <x:c r="T192" s="63" t="n">
        <x:f>IF(OR(S192="",S191=""),"",S192-S191)</x:f>
        <x:v>0.06688311599999963</x:v>
      </x:c>
      <x:c r="U192" s="98" t="n">
        <x:f>IF('Datos_fuente'!Q192="","",ASINH('Datos_fuente'!Q192/1000))</x:f>
        <x:v>0.06123172988634449</x:v>
      </x:c>
      <x:c r="V192" s="98" t="n">
        <x:f>IF(OR(U192="",U191=""),"",U192-U191)</x:f>
        <x:v>0.07771098400920029</x:v>
      </x:c>
      <x:c r="W192" s="98" t="n">
        <x:f>IF('Datos_fuente'!R192="","",ASINH('Datos_fuente'!R192/1000))</x:f>
        <x:v>-0.9176211251217781</x:v>
      </x:c>
      <x:c r="X192" s="98" t="n">
        <x:f>IF(OR(W192="",W191=""),"",W192-W191)</x:f>
        <x:v>-0.07418149169122812</x:v>
      </x:c>
      <x:c r="Y192" s="63" t="n">
        <x:f>'Datos_fuente'!W192</x:f>
        <x:v>1.421731805</x:v>
      </x:c>
      <x:c r="Z192" s="63" t="n">
        <x:f>IF(OR(Y192="",Y191=""),"",Y192-Y191)</x:f>
        <x:v>0.2002218</x:v>
      </x:c>
      <x:c r="AA192" s="98" t="n">
        <x:f>'Datos_fuente'!AB192</x:f>
        <x:v>-0.2704856867</x:v>
      </x:c>
      <x:c r="AB192" s="98" t="n">
        <x:f>'Datos_fuente'!AC192</x:f>
        <x:v>0.5158634174</x:v>
      </x:c>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t="str">
        <x:f>'Datos_fuente'!A193</x:f>
        <x:v>2021-07</x:v>
      </x:c>
      <x:c r="B193" s="98" t="n">
        <x:f>IF('Datos_fuente'!B193="","",LN('Datos_fuente'!B193))</x:f>
        <x:v>8.250468129377186</x:v>
      </x:c>
      <x:c r="C193" s="98" t="n">
        <x:f>IF(OR(B193="",B192=""),"",B193-B192)</x:f>
        <x:v>0.03843074625904386</x:v>
      </x:c>
      <x:c r="D193" s="98" t="n">
        <x:f>IF('Datos_fuente'!C193="","",LN('Datos_fuente'!C193))</x:f>
        <x:v>4.9178618939439005</x:v>
      </x:c>
      <x:c r="E193" s="98" t="n">
        <x:f>IF(OR(D193="",D192=""),"",D193-D192)</x:f>
        <x:v>-0.010695289116748441</x:v>
      </x:c>
      <x:c r="F193" s="98" t="n">
        <x:f>IF('Datos_fuente'!E193="","",LN('Datos_fuente'!E193))</x:f>
        <x:v>8.99525303207028</x:v>
      </x:c>
      <x:c r="G193" s="98" t="n">
        <x:f>IF(OR(F193="",F192=""),"",F193-F192)</x:f>
        <x:v>0.019654461835385106</x:v>
      </x:c>
      <x:c r="H193" s="63" t="n">
        <x:f>'Datos_fuente'!H193</x:f>
        <x:v>1.65</x:v>
      </x:c>
      <x:c r="I193" s="63" t="n">
        <x:f>IF(OR(H193="",H192=""),"",H193-H192)</x:f>
        <x:v>-0.020000000000000018</x:v>
      </x:c>
      <x:c r="J193" s="63" t="n">
        <x:f>'Datos_fuente'!J193</x:f>
        <x:v>6.627304432</x:v>
      </x:c>
      <x:c r="K193" s="63" t="n">
        <x:f>IF(OR(J193="",J192=""),"",J193-J192)</x:f>
        <x:v>-0.27470108300000007</x:v>
      </x:c>
      <x:c r="L193" s="98" t="n">
        <x:f>IF('Datos_fuente'!K193="","",LN('Datos_fuente'!K193))</x:f>
        <x:v>4.727948006910372</x:v>
      </x:c>
      <x:c r="M193" s="98" t="n">
        <x:f>IF(OR(L193="",L192=""),"",L193-L192)</x:f>
        <x:v>0.013226838049166467</x:v>
      </x:c>
      <x:c r="N193" s="98" t="n">
        <x:f>IF('Datos_fuente'!L193="","",LN('Datos_fuente'!L193))</x:f>
        <x:v>2.868088277861374</x:v>
      </x:c>
      <x:c r="O193" s="98" t="n">
        <x:f>IF(OR(N193="",N192=""),"",N193-N192)</x:f>
        <x:v>0.037418272409390774</x:v>
      </x:c>
      <x:c r="P193" s="96" t="n">
        <x:f>'Datos_fuente'!M193</x:f>
        <x:v>0</x:v>
      </x:c>
      <x:c r="Q193" s="98" t="n">
        <x:f>IF('Datos_fuente'!N193="","",LN('Datos_fuente'!N193))</x:f>
        <x:v>10.983229409278911</x:v>
      </x:c>
      <x:c r="R193" s="98" t="n">
        <x:f>IF(OR(Q193="",Q192=""),"",Q193-Q192)</x:f>
        <x:v>-0.0006608051298346851</x:v>
      </x:c>
      <x:c r="S193" s="63" t="n">
        <x:f>'Datos_fuente'!P193</x:f>
        <x:v>2.673181818</x:v>
      </x:c>
      <x:c r="T193" s="63" t="n">
        <x:f>IF(OR(S193="",S192=""),"",S193-S192)</x:f>
        <x:v>0.2377272730000004</x:v>
      </x:c>
      <x:c r="U193" s="98" t="n">
        <x:f>IF('Datos_fuente'!Q193="","",ASINH('Datos_fuente'!Q193/1000))</x:f>
        <x:v>0.14264575279593794</x:v>
      </x:c>
      <x:c r="V193" s="98" t="n">
        <x:f>IF(OR(U193="",U192=""),"",U193-U192)</x:f>
        <x:v>0.08141402290959346</x:v>
      </x:c>
      <x:c r="W193" s="98" t="n">
        <x:f>IF('Datos_fuente'!R193="","",ASINH('Datos_fuente'!R193/1000))</x:f>
        <x:v>-1.031683830266172</x:v>
      </x:c>
      <x:c r="X193" s="98" t="n">
        <x:f>IF(OR(W193="",W192=""),"",W193-W192)</x:f>
        <x:v>-0.11406270514439387</x:v>
      </x:c>
      <x:c r="Y193" s="63" t="n">
        <x:f>'Datos_fuente'!W193</x:f>
        <x:v>1.023985701</x:v>
      </x:c>
      <x:c r="Z193" s="63" t="n">
        <x:f>IF(OR(Y193="",Y192=""),"",Y193-Y192)</x:f>
        <x:v>-0.3977461040000001</x:v>
      </x:c>
      <x:c r="AA193" s="98" t="n">
        <x:f>'Datos_fuente'!AB193</x:f>
        <x:v>0.4932260639</x:v>
      </x:c>
      <x:c r="AB193" s="98" t="n">
        <x:f>'Datos_fuente'!AC193</x:f>
        <x:v>0.5303906559</x:v>
      </x:c>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t="str">
        <x:f>'Datos_fuente'!A194</x:f>
        <x:v>2021-08</x:v>
      </x:c>
      <x:c r="B194" s="98" t="n">
        <x:f>IF('Datos_fuente'!B194="","",LN('Datos_fuente'!B194))</x:f>
        <x:v>8.263895424246973</x:v>
      </x:c>
      <x:c r="C194" s="98" t="n">
        <x:f>IF(OR(B194="",B193=""),"",B194-B193)</x:f>
        <x:v>0.013427294869787332</x:v>
      </x:c>
      <x:c r="D194" s="98" t="n">
        <x:f>IF('Datos_fuente'!C194="","",LN('Datos_fuente'!C194))</x:f>
        <x:v>4.918081312485648</x:v>
      </x:c>
      <x:c r="E194" s="98" t="n">
        <x:f>IF(OR(D194="",D193=""),"",D194-D193)</x:f>
        <x:v>0.00021941854174745146</x:v>
      </x:c>
      <x:c r="F194" s="98" t="n">
        <x:f>IF('Datos_fuente'!E194="","",LN('Datos_fuente'!E194))</x:f>
        <x:v>9.00862312907425</x:v>
      </x:c>
      <x:c r="G194" s="98" t="n">
        <x:f>IF(OR(F194="",F193=""),"",F194-F193)</x:f>
        <x:v>0.013370097003969406</x:v>
      </x:c>
      <x:c r="H194" s="63" t="n">
        <x:f>'Datos_fuente'!H194</x:f>
        <x:v>1.66</x:v>
      </x:c>
      <x:c r="I194" s="63" t="n">
        <x:f>IF(OR(H194="",H193=""),"",H194-H193)</x:f>
        <x:v>0.010000000000000009</x:v>
      </x:c>
      <x:c r="J194" s="63" t="n">
        <x:f>'Datos_fuente'!J194</x:f>
        <x:v>5.280166034</x:v>
      </x:c>
      <x:c r="K194" s="63" t="n">
        <x:f>IF(OR(J194="",J193=""),"",J194-J193)</x:f>
        <x:v>-1.3471383980000002</x:v>
      </x:c>
      <x:c r="L194" s="98" t="n">
        <x:f>IF('Datos_fuente'!K194="","",LN('Datos_fuente'!K194))</x:f>
        <x:v>4.730943757886551</x:v>
      </x:c>
      <x:c r="M194" s="98" t="n">
        <x:f>IF(OR(L194="",L193=""),"",L194-L193)</x:f>
        <x:v>0.002995750976178435</x:v>
      </x:c>
      <x:c r="N194" s="98" t="n">
        <x:f>IF('Datos_fuente'!L194="","",LN('Datos_fuente'!L194))</x:f>
        <x:v>2.8606412235817342</x:v>
      </x:c>
      <x:c r="O194" s="98" t="n">
        <x:f>IF(OR(N194="",N193=""),"",N194-N193)</x:f>
        <x:v>-0.007447054279639875</x:v>
      </x:c>
      <x:c r="P194" s="96" t="n">
        <x:f>'Datos_fuente'!M194</x:f>
        <x:v>0</x:v>
      </x:c>
      <x:c r="Q194" s="98" t="n">
        <x:f>IF('Datos_fuente'!N194="","",LN('Datos_fuente'!N194))</x:f>
        <x:v>10.982687807616403</x:v>
      </x:c>
      <x:c r="R194" s="98" t="n">
        <x:f>IF(OR(Q194="",Q193=""),"",Q194-Q193)</x:f>
        <x:v>-0.0005416016625083842</x:v>
      </x:c>
      <x:c r="S194" s="63" t="n">
        <x:f>'Datos_fuente'!P194</x:f>
        <x:v>2.774090909</x:v>
      </x:c>
      <x:c r="T194" s="63" t="n">
        <x:f>IF(OR(S194="",S193=""),"",S194-S193)</x:f>
        <x:v>0.10090909099999967</x:v>
      </x:c>
      <x:c r="U194" s="98" t="n">
        <x:f>IF('Datos_fuente'!Q194="","",ASINH('Datos_fuente'!Q194/1000))</x:f>
        <x:v>-0.18517983267900345</x:v>
      </x:c>
      <x:c r="V194" s="98" t="n">
        <x:f>IF(OR(U194="",U193=""),"",U194-U193)</x:f>
        <x:v>-0.3278255854749414</x:v>
      </x:c>
      <x:c r="W194" s="98" t="n">
        <x:f>IF('Datos_fuente'!R194="","",ASINH('Datos_fuente'!R194/1000))</x:f>
        <x:v>-0.8264529821462132</x:v>
      </x:c>
      <x:c r="X194" s="98" t="n">
        <x:f>IF(OR(W194="",W193=""),"",W194-W193)</x:f>
        <x:v>0.20523084811995873</x:v>
      </x:c>
      <x:c r="Y194" s="63" t="n">
        <x:f>'Datos_fuente'!W194</x:f>
        <x:v>1.153580957</x:v>
      </x:c>
      <x:c r="Z194" s="63" t="n">
        <x:f>IF(OR(Y194="",Y193=""),"",Y194-Y193)</x:f>
        <x:v>0.129595256</x:v>
      </x:c>
      <x:c r="AA194" s="98" t="n">
        <x:f>'Datos_fuente'!AB194</x:f>
        <x:v>0.5900634574</x:v>
      </x:c>
      <x:c r="AB194" s="98" t="n">
        <x:f>'Datos_fuente'!AC194</x:f>
        <x:v>1.170480312</x:v>
      </x:c>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t="str">
        <x:f>'Datos_fuente'!A195</x:f>
        <x:v>2021-09</x:v>
      </x:c>
      <x:c r="B195" s="98" t="n">
        <x:f>IF('Datos_fuente'!B195="","",LN('Datos_fuente'!B195))</x:f>
        <x:v>8.248408151235173</x:v>
      </x:c>
      <x:c r="C195" s="98" t="n">
        <x:f>IF(OR(B195="",B194=""),"",B195-B194)</x:f>
        <x:v>-0.015487273011800085</x:v>
      </x:c>
      <x:c r="D195" s="98" t="n">
        <x:f>IF('Datos_fuente'!C195="","",LN('Datos_fuente'!C195))</x:f>
        <x:v>4.989547841765771</x:v>
      </x:c>
      <x:c r="E195" s="98" t="n">
        <x:f>IF(OR(D195="",D194=""),"",D195-D194)</x:f>
        <x:v>0.07146652928012287</x:v>
      </x:c>
      <x:c r="F195" s="98" t="n">
        <x:f>IF('Datos_fuente'!E195="","",LN('Datos_fuente'!E195))</x:f>
        <x:v>9.012267410590397</x:v>
      </x:c>
      <x:c r="G195" s="98" t="n">
        <x:f>IF(OR(F195="",F194=""),"",F195-F194)</x:f>
        <x:v>0.003644281516146819</x:v>
      </x:c>
      <x:c r="H195" s="63" t="n">
        <x:f>'Datos_fuente'!H195</x:f>
        <x:v>1.67</x:v>
      </x:c>
      <x:c r="I195" s="63" t="n">
        <x:f>IF(OR(H195="",H194=""),"",H195-H194)</x:f>
        <x:v>0.010000000000000009</x:v>
      </x:c>
      <x:c r="J195" s="63" t="n">
        <x:f>'Datos_fuente'!J195</x:f>
        <x:v>4.840944881</x:v>
      </x:c>
      <x:c r="K195" s="63" t="n">
        <x:f>IF(OR(J195="",J194=""),"",J195-J194)</x:f>
        <x:v>-0.4392211529999992</x:v>
      </x:c>
      <x:c r="L195" s="98" t="n">
        <x:f>IF('Datos_fuente'!K195="","",LN('Datos_fuente'!K195))</x:f>
        <x:v>4.731307098204291</x:v>
      </x:c>
      <x:c r="M195" s="98" t="n">
        <x:f>IF(OR(L195="",L194=""),"",L195-L194)</x:f>
        <x:v>0.0003633403177403238</x:v>
      </x:c>
      <x:c r="N195" s="98" t="n">
        <x:f>IF('Datos_fuente'!L195="","",LN('Datos_fuente'!L195))</x:f>
        <x:v>2.9869317573605176</x:v>
      </x:c>
      <x:c r="O195" s="98" t="n">
        <x:f>IF(OR(N195="",N194=""),"",N195-N194)</x:f>
        <x:v>0.1262905337787834</x:v>
      </x:c>
      <x:c r="P195" s="96" t="n">
        <x:f>'Datos_fuente'!M195</x:f>
        <x:v>0</x:v>
      </x:c>
      <x:c r="Q195" s="98" t="n">
        <x:f>IF('Datos_fuente'!N195="","",LN('Datos_fuente'!N195))</x:f>
        <x:v>10.980553885193222</x:v>
      </x:c>
      <x:c r="R195" s="98" t="n">
        <x:f>IF(OR(Q195="",Q194=""),"",Q195-Q194)</x:f>
        <x:v>-0.0021339224231802234</x:v>
      </x:c>
      <x:c r="S195" s="63" t="n">
        <x:f>'Datos_fuente'!P195</x:f>
        <x:v>2.817727273</x:v>
      </x:c>
      <x:c r="T195" s="63" t="n">
        <x:f>IF(OR(S195="",S194=""),"",S195-S194)</x:f>
        <x:v>0.04363636400000015</x:v>
      </x:c>
      <x:c r="U195" s="98" t="n">
        <x:f>IF('Datos_fuente'!Q195="","",ASINH('Datos_fuente'!Q195/1000))</x:f>
        <x:v>-0.012779652136074682</x:v>
      </x:c>
      <x:c r="V195" s="98" t="n">
        <x:f>IF(OR(U195="",U194=""),"",U195-U194)</x:f>
        <x:v>0.17240018054292877</x:v>
      </x:c>
      <x:c r="W195" s="98" t="n">
        <x:f>IF('Datos_fuente'!R195="","",ASINH('Datos_fuente'!R195/1000))</x:f>
        <x:v>-0.9542428068115199</x:v>
      </x:c>
      <x:c r="X195" s="98" t="n">
        <x:f>IF(OR(W195="",W194=""),"",W195-W194)</x:f>
        <x:v>-0.12778982466530664</x:v>
      </x:c>
      <x:c r="Y195" s="63" t="n">
        <x:f>'Datos_fuente'!W195</x:f>
        <x:v>1.496152809</x:v>
      </x:c>
      <x:c r="Z195" s="63" t="n">
        <x:f>IF(OR(Y195="",Y194=""),"",Y195-Y194)</x:f>
        <x:v>0.34257185200000007</x:v>
      </x:c>
      <x:c r="AA195" s="98" t="n">
        <x:f>'Datos_fuente'!AB195</x:f>
        <x:v>-0.002236865068</x:v>
      </x:c>
      <x:c r="AB195" s="98" t="n">
        <x:f>'Datos_fuente'!AC195</x:f>
        <x:v>0.1028929765</x:v>
      </x:c>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t="str">
        <x:f>'Datos_fuente'!A196</x:f>
        <x:v>2021-10</x:v>
      </x:c>
      <x:c r="B196" s="98" t="n">
        <x:f>IF('Datos_fuente'!B196="","",LN('Datos_fuente'!B196))</x:f>
        <x:v>8.235727541973489</x:v>
      </x:c>
      <x:c r="C196" s="98" t="n">
        <x:f>IF(OR(B196="",B195=""),"",B196-B195)</x:f>
        <x:v>-0.01268060926168424</x:v>
      </x:c>
      <x:c r="D196" s="98" t="n">
        <x:f>IF('Datos_fuente'!C196="","",LN('Datos_fuente'!C196))</x:f>
        <x:v>5.009768251656904</x:v>
      </x:c>
      <x:c r="E196" s="98" t="n">
        <x:f>IF(OR(D196="",D195=""),"",D196-D195)</x:f>
        <x:v>0.020220409891133606</x:v>
      </x:c>
      <x:c r="F196" s="98" t="n">
        <x:f>IF('Datos_fuente'!E196="","",LN('Datos_fuente'!E196))</x:f>
        <x:v>9.014389962857326</x:v>
      </x:c>
      <x:c r="G196" s="98" t="n">
        <x:f>IF(OR(F196="",F195=""),"",F196-F195)</x:f>
        <x:v>0.002122552266929034</x:v>
      </x:c>
      <x:c r="H196" s="63" t="n">
        <x:f>'Datos_fuente'!H196</x:f>
        <x:v>1.92</x:v>
      </x:c>
      <x:c r="I196" s="63" t="n">
        <x:f>IF(OR(H196="",H195=""),"",H196-H195)</x:f>
        <x:v>0.25</x:v>
      </x:c>
      <x:c r="J196" s="63" t="n">
        <x:f>'Datos_fuente'!J196</x:f>
        <x:v>6.25218226</x:v>
      </x:c>
      <x:c r="K196" s="63" t="n">
        <x:f>IF(OR(J196="",J195=""),"",J196-J195)</x:f>
        <x:v>1.4112373789999992</x:v>
      </x:c>
      <x:c r="L196" s="98" t="n">
        <x:f>IF('Datos_fuente'!K196="","",LN('Datos_fuente'!K196))</x:f>
        <x:v>4.736755179355963</x:v>
      </x:c>
      <x:c r="M196" s="98" t="n">
        <x:f>IF(OR(L196="",L195=""),"",L196-L195)</x:f>
        <x:v>0.005448081151671502</x:v>
      </x:c>
      <x:c r="N196" s="98" t="n">
        <x:f>IF('Datos_fuente'!L196="","",LN('Datos_fuente'!L196))</x:f>
        <x:v>2.883203268337616</x:v>
      </x:c>
      <x:c r="O196" s="98" t="n">
        <x:f>IF(OR(N196="",N195=""),"",N196-N195)</x:f>
        <x:v>-0.10372848902290155</x:v>
      </x:c>
      <x:c r="P196" s="96" t="n">
        <x:f>'Datos_fuente'!M196</x:f>
        <x:v>0</x:v>
      </x:c>
      <x:c r="Q196" s="98" t="n">
        <x:f>IF('Datos_fuente'!N196="","",LN('Datos_fuente'!N196))</x:f>
        <x:v>10.981761070208707</x:v>
      </x:c>
      <x:c r="R196" s="98" t="n">
        <x:f>IF(OR(Q196="",Q195=""),"",Q196-Q195)</x:f>
        <x:v>0.0012071850154846686</x:v>
      </x:c>
      <x:c r="S196" s="63" t="n">
        <x:f>'Datos_fuente'!P196</x:f>
        <x:v>2.906190476</x:v>
      </x:c>
      <x:c r="T196" s="63" t="n">
        <x:f>IF(OR(S196="",S195=""),"",S196-S195)</x:f>
        <x:v>0.08846320299999988</x:v>
      </x:c>
      <x:c r="U196" s="98" t="n">
        <x:f>IF('Datos_fuente'!Q196="","",ASINH('Datos_fuente'!Q196/1000))</x:f>
        <x:v>-0.0629284590875526</x:v>
      </x:c>
      <x:c r="V196" s="98" t="n">
        <x:f>IF(OR(U196="",U195=""),"",U196-U195)</x:f>
        <x:v>-0.050148806951477914</x:v>
      </x:c>
      <x:c r="W196" s="98" t="n">
        <x:f>IF('Datos_fuente'!R196="","",ASINH('Datos_fuente'!R196/1000))</x:f>
        <x:v>-0.61935587804873</x:v>
      </x:c>
      <x:c r="X196" s="98" t="n">
        <x:f>IF(OR(W196="",W195=""),"",W196-W195)</x:f>
        <x:v>0.3348869287627898</x:v>
      </x:c>
      <x:c r="Y196" s="63" t="n">
        <x:f>'Datos_fuente'!W196</x:f>
        <x:v>1.618835009</x:v>
      </x:c>
      <x:c r="Z196" s="63" t="n">
        <x:f>IF(OR(Y196="",Y195=""),"",Y196-Y195)</x:f>
        <x:v>0.12268220000000007</x:v>
      </x:c>
      <x:c r="AA196" s="98" t="n">
        <x:f>'Datos_fuente'!AB196</x:f>
        <x:v>1.058561938</x:v>
      </x:c>
      <x:c r="AB196" s="98" t="n">
        <x:f>'Datos_fuente'!AC196</x:f>
        <x:v>0.3289338611</x:v>
      </x:c>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t="str">
        <x:f>'Datos_fuente'!A197</x:f>
        <x:v>2021-11</x:v>
      </x:c>
      <x:c r="B197" s="98" t="n">
        <x:f>IF('Datos_fuente'!B197="","",LN('Datos_fuente'!B197))</x:f>
        <x:v>8.269475401755148</x:v>
      </x:c>
      <x:c r="C197" s="98" t="n">
        <x:f>IF(OR(B197="",B196=""),"",B197-B196)</x:f>
        <x:v>0.03374785978165917</x:v>
      </x:c>
      <x:c r="D197" s="98" t="n">
        <x:f>IF('Datos_fuente'!C197="","",LN('Datos_fuente'!C197))</x:f>
        <x:v>5.018735730130124</x:v>
      </x:c>
      <x:c r="E197" s="98" t="n">
        <x:f>IF(OR(D197="",D196=""),"",D197-D196)</x:f>
        <x:v>0.008967478473219437</x:v>
      </x:c>
      <x:c r="F197" s="98" t="n">
        <x:f>IF('Datos_fuente'!E197="","",LN('Datos_fuente'!E197))</x:f>
        <x:v>9.040160406835223</x:v>
      </x:c>
      <x:c r="G197" s="98" t="n">
        <x:f>IF(OR(F197="",F196=""),"",F197-F196)</x:f>
        <x:v>0.025770443977897628</x:v>
      </x:c>
      <x:c r="H197" s="63" t="n">
        <x:f>'Datos_fuente'!H197</x:f>
        <x:v>2.403333333</x:v>
      </x:c>
      <x:c r="I197" s="63" t="n">
        <x:f>IF(OR(H197="",H196=""),"",H197-H196)</x:f>
        <x:v>0.48333333300000003</x:v>
      </x:c>
      <x:c r="J197" s="63" t="n">
        <x:f>'Datos_fuente'!J197</x:f>
        <x:v>6.64429459</x:v>
      </x:c>
      <x:c r="K197" s="63" t="n">
        <x:f>IF(OR(J197="",J196=""),"",J197-J196)</x:f>
        <x:v>0.3921123300000007</x:v>
      </x:c>
      <x:c r="L197" s="98" t="n">
        <x:f>IF('Datos_fuente'!K197="","",LN('Datos_fuente'!K197))</x:f>
        <x:v>4.744843385295265</x:v>
      </x:c>
      <x:c r="M197" s="98" t="n">
        <x:f>IF(OR(L197="",L196=""),"",L197-L196)</x:f>
        <x:v>0.008088205939302817</x:v>
      </x:c>
      <x:c r="N197" s="98" t="n">
        <x:f>IF('Datos_fuente'!L197="","",LN('Datos_fuente'!L197))</x:f>
        <x:v>2.917796471753011</x:v>
      </x:c>
      <x:c r="O197" s="98" t="n">
        <x:f>IF(OR(N197="",N196=""),"",N197-N196)</x:f>
        <x:v>0.034593203415394846</x:v>
      </x:c>
      <x:c r="P197" s="96" t="n">
        <x:f>'Datos_fuente'!M197</x:f>
        <x:v>0</x:v>
      </x:c>
      <x:c r="Q197" s="98" t="n">
        <x:f>IF('Datos_fuente'!N197="","",LN('Datos_fuente'!N197))</x:f>
        <x:v>10.977330429831582</x:v>
      </x:c>
      <x:c r="R197" s="98" t="n">
        <x:f>IF(OR(Q197="",Q196=""),"",Q197-Q196)</x:f>
        <x:v>-0.004430640377124817</x:v>
      </x:c>
      <x:c r="S197" s="63" t="n">
        <x:f>'Datos_fuente'!P197</x:f>
        <x:v>3.181818182</x:v>
      </x:c>
      <x:c r="T197" s="63" t="n">
        <x:f>IF(OR(S197="",S196=""),"",S197-S196)</x:f>
        <x:v>0.2756277060000003</x:v>
      </x:c>
      <x:c r="U197" s="98" t="n">
        <x:f>IF('Datos_fuente'!Q197="","",ASINH('Datos_fuente'!Q197/1000))</x:f>
        <x:v>0.1392792566807008</x:v>
      </x:c>
      <x:c r="V197" s="98" t="n">
        <x:f>IF(OR(U197="",U196=""),"",U197-U196)</x:f>
        <x:v>0.2022077157682534</x:v>
      </x:c>
      <x:c r="W197" s="98" t="n">
        <x:f>IF('Datos_fuente'!R197="","",ASINH('Datos_fuente'!R197/1000))</x:f>
        <x:v>-1.2953520301350026</x:v>
      </x:c>
      <x:c r="X197" s="98" t="n">
        <x:f>IF(OR(W197="",W196=""),"",W197-W196)</x:f>
        <x:v>-0.6759961520862725</x:v>
      </x:c>
      <x:c r="Y197" s="63" t="n">
        <x:f>'Datos_fuente'!W197</x:f>
        <x:v>1.62348001</x:v>
      </x:c>
      <x:c r="Z197" s="63" t="n">
        <x:f>IF(OR(Y197="",Y196=""),"",Y197-Y196)</x:f>
        <x:v>0.004645000999999871</x:v>
      </x:c>
      <x:c r="AA197" s="98" t="n">
        <x:f>'Datos_fuente'!AB197</x:f>
        <x:v>0.112040498</x:v>
      </x:c>
      <x:c r="AB197" s="98" t="n">
        <x:f>'Datos_fuente'!AC197</x:f>
        <x:v>0.1206173851</x:v>
      </x:c>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t="str">
        <x:f>'Datos_fuente'!A198</x:f>
        <x:v>2021-12</x:v>
      </x:c>
      <x:c r="B198" s="98" t="n">
        <x:f>IF('Datos_fuente'!B198="","",LN('Datos_fuente'!B198))</x:f>
        <x:v>8.284790291335742</x:v>
      </x:c>
      <x:c r="C198" s="98" t="n">
        <x:f>IF(OR(B198="",B197=""),"",B198-B197)</x:f>
        <x:v>0.015314889580594127</x:v>
      </x:c>
      <x:c r="D198" s="98" t="n">
        <x:f>IF('Datos_fuente'!C198="","",LN('Datos_fuente'!C198))</x:f>
        <x:v>5.010835274098922</x:v>
      </x:c>
      <x:c r="E198" s="98" t="n">
        <x:f>IF(OR(D198="",D197=""),"",D198-D197)</x:f>
        <x:v>-0.007900456031201486</x:v>
      </x:c>
      <x:c r="F198" s="98" t="n">
        <x:f>IF('Datos_fuente'!E198="","",LN('Datos_fuente'!E198))</x:f>
        <x:v>9.059196500499914</x:v>
      </x:c>
      <x:c r="G198" s="98" t="n">
        <x:f>IF(OR(F198="",F197=""),"",F198-F197)</x:f>
        <x:v>0.019036093664690057</x:v>
      </x:c>
      <x:c r="H198" s="63" t="n">
        <x:f>'Datos_fuente'!H198</x:f>
        <x:v>2.613548387</x:v>
      </x:c>
      <x:c r="I198" s="63" t="n">
        <x:f>IF(OR(H198="",H197=""),"",H198-H197)</x:f>
        <x:v>0.21021505399999985</x:v>
      </x:c>
      <x:c r="J198" s="63" t="n">
        <x:f>'Datos_fuente'!J198</x:f>
        <x:v>6.97187551</x:v>
      </x:c>
      <x:c r="K198" s="63" t="n">
        <x:f>IF(OR(J198="",J197=""),"",J198-J197)</x:f>
        <x:v>0.32758091999999994</x:v>
      </x:c>
      <x:c r="L198" s="98" t="n">
        <x:f>IF('Datos_fuente'!K198="","",LN('Datos_fuente'!K198))</x:f>
        <x:v>4.7519037534901925</x:v>
      </x:c>
      <x:c r="M198" s="98" t="n">
        <x:f>IF(OR(L198="",L197=""),"",L198-L197)</x:f>
        <x:v>0.007060368194927058</x:v>
      </x:c>
      <x:c r="N198" s="98" t="n">
        <x:f>IF('Datos_fuente'!L198="","",LN('Datos_fuente'!L198))</x:f>
        <x:v>3.06126461865364</x:v>
      </x:c>
      <x:c r="O198" s="98" t="n">
        <x:f>IF(OR(N198="",N197=""),"",N198-N197)</x:f>
        <x:v>0.14346814690062892</x:v>
      </x:c>
      <x:c r="P198" s="96" t="n">
        <x:f>'Datos_fuente'!M198</x:f>
        <x:v>0</x:v>
      </x:c>
      <x:c r="Q198" s="98" t="n">
        <x:f>IF('Datos_fuente'!N198="","",LN('Datos_fuente'!N198))</x:f>
        <x:v>10.978134963750405</x:v>
      </x:c>
      <x:c r="R198" s="98" t="n">
        <x:f>IF(OR(Q198="",Q197=""),"",Q198-Q197)</x:f>
        <x:v>0.0008045339188225142</x:v>
      </x:c>
      <x:c r="S198" s="63" t="n">
        <x:f>'Datos_fuente'!P198</x:f>
        <x:v>3.465217391</x:v>
      </x:c>
      <x:c r="T198" s="63" t="n">
        <x:f>IF(OR(S198="",S197=""),"",S198-S197)</x:f>
        <x:v>0.2833992089999997</x:v>
      </x:c>
      <x:c r="U198" s="98" t="n">
        <x:f>IF('Datos_fuente'!Q198="","",ASINH('Datos_fuente'!Q198/1000))</x:f>
        <x:v>-0.11269133098923659</x:v>
      </x:c>
      <x:c r="V198" s="98" t="n">
        <x:f>IF(OR(U198="",U197=""),"",U198-U197)</x:f>
        <x:v>-0.2519705876699374</x:v>
      </x:c>
      <x:c r="W198" s="98" t="n">
        <x:f>IF('Datos_fuente'!R198="","",ASINH('Datos_fuente'!R198/1000))</x:f>
        <x:v>-0.9226827912800641</x:v>
      </x:c>
      <x:c r="X198" s="98" t="n">
        <x:f>IF(OR(W198="",W197=""),"",W198-W197)</x:f>
        <x:v>0.3726692388549384</x:v>
      </x:c>
      <x:c r="Y198" s="63" t="n">
        <x:f>'Datos_fuente'!W198</x:f>
        <x:v>2.049251664</x:v>
      </x:c>
      <x:c r="Z198" s="63" t="n">
        <x:f>IF(OR(Y198="",Y197=""),"",Y198-Y197)</x:f>
        <x:v>0.42577165399999983</x:v>
      </x:c>
      <x:c r="AA198" s="98" t="n">
        <x:f>'Datos_fuente'!AB198</x:f>
        <x:v>0.6186153737</x:v>
      </x:c>
      <x:c r="AB198" s="98" t="n">
        <x:f>'Datos_fuente'!AC198</x:f>
        <x:v>0.5481672612</x:v>
      </x:c>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t="str">
        <x:f>'Datos_fuente'!A199</x:f>
        <x:v>2022-01</x:v>
      </x:c>
      <x:c r="B199" s="98" t="n">
        <x:f>IF('Datos_fuente'!B199="","",LN('Datos_fuente'!B199))</x:f>
        <x:v>8.293953667746829</x:v>
      </x:c>
      <x:c r="C199" s="98" t="n">
        <x:f>IF(OR(B199="",B198=""),"",B199-B198)</x:f>
        <x:v>0.009163376411086332</x:v>
      </x:c>
      <x:c r="D199" s="98" t="n">
        <x:f>IF('Datos_fuente'!C199="","",LN('Datos_fuente'!C199))</x:f>
        <x:v>5.082955955675882</x:v>
      </x:c>
      <x:c r="E199" s="98" t="n">
        <x:f>IF(OR(D199="",D198=""),"",D199-D198)</x:f>
        <x:v>0.07212068157695928</x:v>
      </x:c>
      <x:c r="F199" s="98" t="n">
        <x:f>IF('Datos_fuente'!E199="","",LN('Datos_fuente'!E199))</x:f>
        <x:v>9.072694239695387</x:v>
      </x:c>
      <x:c r="G199" s="98" t="n">
        <x:f>IF(OR(F199="",F198=""),"",F199-F198)</x:f>
        <x:v>0.013497739195473812</x:v>
      </x:c>
      <x:c r="H199" s="63" t="n">
        <x:f>'Datos_fuente'!H199</x:f>
        <x:v>2.952258065</x:v>
      </x:c>
      <x:c r="I199" s="63" t="n">
        <x:f>IF(OR(H199="",H198=""),"",H199-H198)</x:f>
        <x:v>0.3387096780000003</x:v>
      </x:c>
      <x:c r="J199" s="63" t="n">
        <x:f>'Datos_fuente'!J199</x:f>
        <x:v>5.215531798</x:v>
      </x:c>
      <x:c r="K199" s="63" t="n">
        <x:f>IF(OR(J199="",J198=""),"",J199-J198)</x:f>
        <x:v>-1.7563437120000005</x:v>
      </x:c>
      <x:c r="L199" s="98" t="n">
        <x:f>IF('Datos_fuente'!K199="","",LN('Datos_fuente'!K199))</x:f>
        <x:v>4.745256249743283</x:v>
      </x:c>
      <x:c r="M199" s="98" t="n">
        <x:f>IF(OR(L199="",L198=""),"",L199-L198)</x:f>
        <x:v>-0.006647503746909145</x:v>
      </x:c>
      <x:c r="N199" s="98" t="n">
        <x:f>IF('Datos_fuente'!L199="","",LN('Datos_fuente'!L199))</x:f>
        <x:v>3.1433329776195564</x:v>
      </x:c>
      <x:c r="O199" s="98" t="n">
        <x:f>IF(OR(N199="",N198=""),"",N199-N198)</x:f>
        <x:v>0.08206835896591658</x:v>
      </x:c>
      <x:c r="P199" s="96" t="n">
        <x:f>'Datos_fuente'!M199</x:f>
        <x:v>0</x:v>
      </x:c>
      <x:c r="Q199" s="98" t="n">
        <x:f>IF('Datos_fuente'!N199="","",LN('Datos_fuente'!N199))</x:f>
        <x:v>10.972742088750831</x:v>
      </x:c>
      <x:c r="R199" s="98" t="n">
        <x:f>IF(OR(Q199="",Q198=""),"",Q199-Q198)</x:f>
        <x:v>-0.005392874999573749</x:v>
      </x:c>
      <x:c r="S199" s="63" t="n">
        <x:f>'Datos_fuente'!P199</x:f>
        <x:v>3.550952381</x:v>
      </x:c>
      <x:c r="T199" s="63" t="n">
        <x:f>IF(OR(S199="",S198=""),"",S199-S198)</x:f>
        <x:v>0.08573499000000018</x:v>
      </x:c>
      <x:c r="U199" s="98" t="n">
        <x:f>IF('Datos_fuente'!Q199="","",ASINH('Datos_fuente'!Q199/1000))</x:f>
        <x:v>-0.03230438104332583</x:v>
      </x:c>
      <x:c r="V199" s="98" t="n">
        <x:f>IF(OR(U199="",U198=""),"",U199-U198)</x:f>
        <x:v>0.08038694994591075</x:v>
      </x:c>
      <x:c r="W199" s="98" t="n">
        <x:f>IF('Datos_fuente'!R199="","",ASINH('Datos_fuente'!R199/1000))</x:f>
        <x:v>-0.9550876670487805</x:v>
      </x:c>
      <x:c r="X199" s="98" t="n">
        <x:f>IF(OR(W199="",W198=""),"",W199-W198)</x:f>
        <x:v>-0.03240487576871631</x:v>
      </x:c>
      <x:c r="Y199" s="63" t="n">
        <x:f>'Datos_fuente'!W199</x:f>
        <x:v>2.653329997</x:v>
      </x:c>
      <x:c r="Z199" s="63" t="n">
        <x:f>IF(OR(Y199="",Y198=""),"",Y199-Y198)</x:f>
        <x:v>0.6040783330000004</x:v>
      </x:c>
      <x:c r="AA199" s="98" t="n">
        <x:f>'Datos_fuente'!AB199</x:f>
        <x:v>-0.9627257422</x:v>
      </x:c>
      <x:c r="AB199" s="98" t="n">
        <x:f>'Datos_fuente'!AC199</x:f>
        <x:v>-1.473545765</x:v>
      </x:c>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t="str">
        <x:f>'Datos_fuente'!A200</x:f>
        <x:v>2022-02</x:v>
      </x:c>
      <x:c r="B200" s="98" t="n">
        <x:f>IF('Datos_fuente'!B200="","",LN('Datos_fuente'!B200))</x:f>
        <x:v>8.277878517971766</x:v>
      </x:c>
      <x:c r="C200" s="98" t="n">
        <x:f>IF(OR(B200="",B199=""),"",B200-B199)</x:f>
        <x:v>-0.016075149775062414</x:v>
      </x:c>
      <x:c r="D200" s="98" t="n">
        <x:f>IF('Datos_fuente'!C200="","",LN('Datos_fuente'!C200))</x:f>
        <x:v>5.07342228219502</x:v>
      </x:c>
      <x:c r="E200" s="98" t="n">
        <x:f>IF(OR(D200="",D199=""),"",D200-D199)</x:f>
        <x:v>-0.009533673480861538</x:v>
      </x:c>
      <x:c r="F200" s="98" t="n">
        <x:f>IF('Datos_fuente'!E200="","",LN('Datos_fuente'!E200))</x:f>
        <x:v>9.077415652431185</x:v>
      </x:c>
      <x:c r="G200" s="98" t="n">
        <x:f>IF(OR(F200="",F199=""),"",F200-F199)</x:f>
        <x:v>0.004721412735797514</x:v>
      </x:c>
      <x:c r="H200" s="63" t="n">
        <x:f>'Datos_fuente'!H200</x:f>
        <x:v>3.92</x:v>
      </x:c>
      <x:c r="I200" s="63" t="n">
        <x:f>IF(OR(H200="",H199=""),"",H200-H199)</x:f>
        <x:v>0.9677419349999998</x:v>
      </x:c>
      <x:c r="J200" s="63" t="n">
        <x:f>'Datos_fuente'!J200</x:f>
        <x:v>5.120245584</x:v>
      </x:c>
      <x:c r="K200" s="63" t="n">
        <x:f>IF(OR(J200="",J199=""),"",J200-J199)</x:f>
        <x:v>-0.0952862139999997</x:v>
      </x:c>
      <x:c r="L200" s="98" t="n">
        <x:f>IF('Datos_fuente'!K200="","",LN('Datos_fuente'!K200))</x:f>
        <x:v>4.744912494257459</x:v>
      </x:c>
      <x:c r="M200" s="98" t="n">
        <x:f>IF(OR(L200="",L199=""),"",L200-L199)</x:f>
        <x:v>-0.0003437554858241043</x:v>
      </x:c>
      <x:c r="N200" s="98" t="n">
        <x:f>IF('Datos_fuente'!L200="","",LN('Datos_fuente'!L200))</x:f>
        <x:v>3.2483733067830904</x:v>
      </x:c>
      <x:c r="O200" s="98" t="n">
        <x:f>IF(OR(N200="",N199=""),"",N200-N199)</x:f>
        <x:v>0.10504032916353401</x:v>
      </x:c>
      <x:c r="P200" s="96" t="n">
        <x:f>'Datos_fuente'!M200</x:f>
        <x:v>0</x:v>
      </x:c>
      <x:c r="Q200" s="98" t="n">
        <x:f>IF('Datos_fuente'!N200="","",LN('Datos_fuente'!N200))</x:f>
        <x:v>10.973090441346894</x:v>
      </x:c>
      <x:c r="R200" s="98" t="n">
        <x:f>IF(OR(Q200="",Q199=""),"",Q200-Q199)</x:f>
        <x:v>0.00034835259606325053</x:v>
      </x:c>
      <x:c r="S200" s="63" t="n">
        <x:f>'Datos_fuente'!P200</x:f>
        <x:v>3.7145</x:v>
      </x:c>
      <x:c r="T200" s="63" t="n">
        <x:f>IF(OR(S200="",S199=""),"",S200-S199)</x:f>
        <x:v>0.16354761900000003</x:v>
      </x:c>
      <x:c r="U200" s="98" t="n">
        <x:f>IF('Datos_fuente'!Q200="","",ASINH('Datos_fuente'!Q200/1000))</x:f>
        <x:v>0.001949998764189543</x:v>
      </x:c>
      <x:c r="V200" s="98" t="n">
        <x:f>IF(OR(U200="",U199=""),"",U200-U199)</x:f>
        <x:v>0.034254379807515375</x:v>
      </x:c>
      <x:c r="W200" s="98" t="n">
        <x:f>IF('Datos_fuente'!R200="","",ASINH('Datos_fuente'!R200/1000))</x:f>
        <x:v>-0.7298077242742552</x:v>
      </x:c>
      <x:c r="X200" s="98" t="n">
        <x:f>IF(OR(W200="",W199=""),"",W200-W199)</x:f>
        <x:v>0.22527994277452523</x:v>
      </x:c>
      <x:c r="Y200" s="63" t="n">
        <x:f>'Datos_fuente'!W200</x:f>
        <x:v>3.051152604</x:v>
      </x:c>
      <x:c r="Z200" s="63" t="n">
        <x:f>IF(OR(Y200="",Y199=""),"",Y200-Y199)</x:f>
        <x:v>0.3978226069999997</x:v>
      </x:c>
      <x:c r="AA200" s="98" t="n">
        <x:f>'Datos_fuente'!AB200</x:f>
        <x:v>-0.9022178562</x:v>
      </x:c>
      <x:c r="AB200" s="98" t="n">
        <x:f>'Datos_fuente'!AC200</x:f>
        <x:v>-1.18442557</x:v>
      </x:c>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t="str">
        <x:f>'Datos_fuente'!A201</x:f>
        <x:v>2022-03</x:v>
      </x:c>
      <x:c r="B201" s="98" t="n">
        <x:f>IF('Datos_fuente'!B201="","",LN('Datos_fuente'!B201))</x:f>
        <x:v>8.24464166422624</x:v>
      </x:c>
      <x:c r="C201" s="98" t="n">
        <x:f>IF(OR(B201="",B200=""),"",B201-B200)</x:f>
        <x:v>-0.03323685374552632</x:v>
      </x:c>
      <x:c r="D201" s="98" t="n">
        <x:f>IF('Datos_fuente'!C201="","",LN('Datos_fuente'!C201))</x:f>
        <x:v>5.129425230065743</x:v>
      </x:c>
      <x:c r="E201" s="98" t="n">
        <x:f>IF(OR(D201="",D200=""),"",D201-D200)</x:f>
        <x:v>0.056002947870722686</x:v>
      </x:c>
      <x:c r="F201" s="98" t="n">
        <x:f>IF('Datos_fuente'!E201="","",LN('Datos_fuente'!E201))</x:f>
        <x:v>9.070375759064738</x:v>
      </x:c>
      <x:c r="G201" s="98" t="n">
        <x:f>IF(OR(F201="",F200=""),"",F201-F200)</x:f>
        <x:v>-0.0070398933664463925</x:v>
      </x:c>
      <x:c r="H201" s="63" t="n">
        <x:f>'Datos_fuente'!H201</x:f>
        <x:v>3.8</x:v>
      </x:c>
      <x:c r="I201" s="63" t="n">
        <x:f>IF(OR(H201="",H200=""),"",H201-H200)</x:f>
        <x:v>-0.1200000000000001</x:v>
      </x:c>
      <x:c r="J201" s="63" t="n">
        <x:f>'Datos_fuente'!J201</x:f>
        <x:v>5.78623551</x:v>
      </x:c>
      <x:c r="K201" s="63" t="n">
        <x:f>IF(OR(J201="",J200=""),"",J201-J200)</x:f>
        <x:v>0.665989926</x:v>
      </x:c>
      <x:c r="L201" s="98" t="n">
        <x:f>IF('Datos_fuente'!K201="","",LN('Datos_fuente'!K201))</x:f>
        <x:v>4.756094286860655</x:v>
      </x:c>
      <x:c r="M201" s="98" t="n">
        <x:f>IF(OR(L201="",L200=""),"",L201-L200)</x:f>
        <x:v>0.011181792603196072</x:v>
      </x:c>
      <x:c r="N201" s="98" t="n">
        <x:f>IF('Datos_fuente'!L201="","",LN('Datos_fuente'!L201))</x:f>
        <x:v>3.2946767729861897</x:v>
      </x:c>
      <x:c r="O201" s="98" t="n">
        <x:f>IF(OR(N201="",N200=""),"",N201-N200)</x:f>
        <x:v>0.04630346620309922</x:v>
      </x:c>
      <x:c r="P201" s="96" t="n">
        <x:f>'Datos_fuente'!M201</x:f>
        <x:v>0</x:v>
      </x:c>
      <x:c r="Q201" s="98" t="n">
        <x:f>IF('Datos_fuente'!N201="","",LN('Datos_fuente'!N201))</x:f>
        <x:v>10.968265873451609</x:v>
      </x:c>
      <x:c r="R201" s="98" t="n">
        <x:f>IF(OR(Q201="",Q200=""),"",Q201-Q200)</x:f>
        <x:v>-0.004824567895285625</x:v>
      </x:c>
      <x:c r="S201" s="63" t="n">
        <x:f>'Datos_fuente'!P201</x:f>
        <x:v>3.644782609</x:v>
      </x:c>
      <x:c r="T201" s="63" t="n">
        <x:f>IF(OR(S201="",S200=""),"",S201-S200)</x:f>
        <x:v>-0.06971739100000018</x:v>
      </x:c>
      <x:c r="U201" s="98" t="n">
        <x:f>IF('Datos_fuente'!Q201="","",ASINH('Datos_fuente'!Q201/1000))</x:f>
        <x:v>0.031084993639945987</x:v>
      </x:c>
      <x:c r="V201" s="98" t="n">
        <x:f>IF(OR(U201="",U200=""),"",U201-U200)</x:f>
        <x:v>0.029134994875756444</x:v>
      </x:c>
      <x:c r="W201" s="98" t="n">
        <x:f>IF('Datos_fuente'!R201="","",ASINH('Datos_fuente'!R201/1000))</x:f>
        <x:v>-1.0153263873147347</x:v>
      </x:c>
      <x:c r="X201" s="98" t="n">
        <x:f>IF(OR(W201="",W200=""),"",W201-W200)</x:f>
        <x:v>-0.28551866304047946</x:v>
      </x:c>
      <x:c r="Y201" s="63" t="n">
        <x:f>'Datos_fuente'!W201</x:f>
        <x:v>2.905905935</x:v>
      </x:c>
      <x:c r="Z201" s="63" t="n">
        <x:f>IF(OR(Y201="",Y200=""),"",Y201-Y200)</x:f>
        <x:v>-0.14524666900000005</x:v>
      </x:c>
      <x:c r="AA201" s="98" t="n">
        <x:f>'Datos_fuente'!AB201</x:f>
        <x:v>-0.5771004569</x:v>
      </x:c>
      <x:c r="AB201" s="98" t="n">
        <x:f>'Datos_fuente'!AC201</x:f>
        <x:v>-0.7099007107</x:v>
      </x:c>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t="str">
        <x:f>'Datos_fuente'!A202</x:f>
        <x:v>2022-04</x:v>
      </x:c>
      <x:c r="B202" s="98" t="n">
        <x:f>IF('Datos_fuente'!B202="","",LN('Datos_fuente'!B202))</x:f>
        <x:v>8.240907796093667</x:v>
      </x:c>
      <x:c r="C202" s="98" t="n">
        <x:f>IF(OR(B202="",B201=""),"",B202-B201)</x:f>
        <x:v>-0.003733868132572482</x:v>
      </x:c>
      <x:c r="D202" s="98" t="n">
        <x:f>IF('Datos_fuente'!C202="","",LN('Datos_fuente'!C202))</x:f>
        <x:v>5.161867433410139</x:v>
      </x:c>
      <x:c r="E202" s="98" t="n">
        <x:f>IF(OR(D202="",D201=""),"",D202-D201)</x:f>
        <x:v>0.03244220334439607</x:v>
      </x:c>
      <x:c r="F202" s="98" t="n">
        <x:f>IF('Datos_fuente'!E202="","",LN('Datos_fuente'!E202))</x:f>
        <x:v>9.0756162683546</x:v>
      </x:c>
      <x:c r="G202" s="98" t="n">
        <x:f>IF(OR(F202="",F201=""),"",F202-F201)</x:f>
        <x:v>0.00524050928986064</x:v>
      </x:c>
      <x:c r="H202" s="63" t="n">
        <x:f>'Datos_fuente'!H202</x:f>
        <x:v>4.67</x:v>
      </x:c>
      <x:c r="I202" s="63" t="n">
        <x:f>IF(OR(H202="",H201=""),"",H202-H201)</x:f>
        <x:v>0.8700000000000001</x:v>
      </x:c>
      <x:c r="J202" s="63" t="n">
        <x:f>'Datos_fuente'!J202</x:f>
        <x:v>5.387696326</x:v>
      </x:c>
      <x:c r="K202" s="63" t="n">
        <x:f>IF(OR(J202="",J201=""),"",J202-J201)</x:f>
        <x:v>-0.39853918399999966</x:v>
      </x:c>
      <x:c r="L202" s="98" t="n">
        <x:f>IF('Datos_fuente'!K202="","",LN('Datos_fuente'!K202))</x:f>
        <x:v>4.76361558913168</x:v>
      </x:c>
      <x:c r="M202" s="98" t="n">
        <x:f>IF(OR(L202="",L201=""),"",L202-L201)</x:f>
        <x:v>0.007521302271024766</x:v>
      </x:c>
      <x:c r="N202" s="98" t="n">
        <x:f>IF('Datos_fuente'!L202="","",LN('Datos_fuente'!L202))</x:f>
        <x:v>3.1934964765288036</x:v>
      </x:c>
      <x:c r="O202" s="98" t="n">
        <x:f>IF(OR(N202="",N201=""),"",N202-N201)</x:f>
        <x:v>-0.10118029645738602</x:v>
      </x:c>
      <x:c r="P202" s="96" t="n">
        <x:f>'Datos_fuente'!M202</x:f>
        <x:v>0</x:v>
      </x:c>
      <x:c r="Q202" s="98" t="n">
        <x:f>IF('Datos_fuente'!N202="","",LN('Datos_fuente'!N202))</x:f>
        <x:v>10.959083252823527</x:v>
      </x:c>
      <x:c r="R202" s="98" t="n">
        <x:f>IF(OR(Q202="",Q201=""),"",Q202-Q201)</x:f>
        <x:v>-0.009182620628081395</x:v>
      </x:c>
      <x:c r="S202" s="63" t="n">
        <x:f>'Datos_fuente'!P202</x:f>
        <x:v>3.444761905</x:v>
      </x:c>
      <x:c r="T202" s="63" t="n">
        <x:f>IF(OR(S202="",S201=""),"",S202-S201)</x:f>
        <x:v>-0.20002070399999994</x:v>
      </x:c>
      <x:c r="U202" s="98" t="n">
        <x:f>IF('Datos_fuente'!Q202="","",ASINH('Datos_fuente'!Q202/1000))</x:f>
        <x:v>0.31838367630849046</x:v>
      </x:c>
      <x:c r="V202" s="98" t="n">
        <x:f>IF(OR(U202="",U201=""),"",U202-U201)</x:f>
        <x:v>0.28729868266854447</x:v>
      </x:c>
      <x:c r="W202" s="98" t="n">
        <x:f>IF('Datos_fuente'!R202="","",ASINH('Datos_fuente'!R202/1000))</x:f>
        <x:v>-1.368188363898071</x:v>
      </x:c>
      <x:c r="X202" s="98" t="n">
        <x:f>IF(OR(W202="",W201=""),"",W202-W201)</x:f>
        <x:v>-0.3528619765833363</x:v>
      </x:c>
      <x:c r="Y202" s="63" t="n">
        <x:f>'Datos_fuente'!W202</x:f>
        <x:v>2.765338923</x:v>
      </x:c>
      <x:c r="Z202" s="63" t="n">
        <x:f>IF(OR(Y202="",Y201=""),"",Y202-Y201)</x:f>
        <x:v>-0.140567012</x:v>
      </x:c>
      <x:c r="AA202" s="98" t="n">
        <x:f>'Datos_fuente'!AB202</x:f>
        <x:v>-0.4918526605</x:v>
      </x:c>
      <x:c r="AB202" s="98" t="n">
        <x:f>'Datos_fuente'!AC202</x:f>
        <x:v>-0.3536068624</x:v>
      </x:c>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t="str">
        <x:f>'Datos_fuente'!A203</x:f>
        <x:v>2022-05</x:v>
      </x:c>
      <x:c r="B203" s="98" t="n">
        <x:f>IF('Datos_fuente'!B203="","",LN('Datos_fuente'!B203))</x:f>
        <x:v>8.298808139215705</x:v>
      </x:c>
      <x:c r="C203" s="98" t="n">
        <x:f>IF(OR(B203="",B202=""),"",B203-B202)</x:f>
        <x:v>0.05790034312203751</x:v>
      </x:c>
      <x:c r="D203" s="98" t="n">
        <x:f>IF('Datos_fuente'!C203="","",LN('Datos_fuente'!C203))</x:f>
        <x:v>5.101450538312046</x:v>
      </x:c>
      <x:c r="E203" s="98" t="n">
        <x:f>IF(OR(D203="",D202=""),"",D203-D202)</x:f>
        <x:v>-0.06041689509809256</x:v>
      </x:c>
      <x:c r="F203" s="98" t="n">
        <x:f>IF('Datos_fuente'!E203="","",LN('Datos_fuente'!E203))</x:f>
        <x:v>9.084946068973418</x:v>
      </x:c>
      <x:c r="G203" s="98" t="n">
        <x:f>IF(OR(F203="",F202=""),"",F203-F202)</x:f>
        <x:v>0.009329800618818496</x:v>
      </x:c>
      <x:c r="H203" s="63" t="n">
        <x:f>'Datos_fuente'!H203</x:f>
        <x:v>5.197741935</x:v>
      </x:c>
      <x:c r="I203" s="63" t="n">
        <x:f>IF(OR(H203="",H202=""),"",H203-H202)</x:f>
        <x:v>0.5277419349999999</x:v>
      </x:c>
      <x:c r="J203" s="63" t="n">
        <x:f>'Datos_fuente'!J203</x:f>
        <x:v>5.298016658</x:v>
      </x:c>
      <x:c r="K203" s="63" t="n">
        <x:f>IF(OR(J203="",J202=""),"",J203-J202)</x:f>
        <x:v>-0.08967966800000049</x:v>
      </x:c>
      <x:c r="L203" s="98" t="n">
        <x:f>IF('Datos_fuente'!K203="","",LN('Datos_fuente'!K203))</x:f>
        <x:v>4.784956786660663</x:v>
      </x:c>
      <x:c r="M203" s="98" t="n">
        <x:f>IF(OR(L203="",L202=""),"",L203-L202)</x:f>
        <x:v>0.021341197528983002</x:v>
      </x:c>
      <x:c r="N203" s="98" t="n">
        <x:f>IF('Datos_fuente'!L203="","",LN('Datos_fuente'!L203))</x:f>
        <x:v>3.3780528125339657</x:v>
      </x:c>
      <x:c r="O203" s="98" t="n">
        <x:f>IF(OR(N203="",N202=""),"",N203-N202)</x:f>
        <x:v>0.18455633600516208</x:v>
      </x:c>
      <x:c r="P203" s="96" t="n">
        <x:f>'Datos_fuente'!M203</x:f>
        <x:v>0</x:v>
      </x:c>
      <x:c r="Q203" s="98" t="n">
        <x:f>IF('Datos_fuente'!N203="","",LN('Datos_fuente'!N203))</x:f>
        <x:v>10.961774077707666</x:v>
      </x:c>
      <x:c r="R203" s="98" t="n">
        <x:f>IF(OR(Q203="",Q202=""),"",Q203-Q202)</x:f>
        <x:v>0.002690824884139076</x:v>
      </x:c>
      <x:c r="S203" s="63" t="n">
        <x:f>'Datos_fuente'!P203</x:f>
        <x:v>3.830454545</x:v>
      </x:c>
      <x:c r="T203" s="63" t="n">
        <x:f>IF(OR(S203="",S202=""),"",S203-S202)</x:f>
        <x:v>0.3856926399999998</x:v>
      </x:c>
      <x:c r="U203" s="98" t="n">
        <x:f>IF('Datos_fuente'!Q203="","",ASINH('Datos_fuente'!Q203/1000))</x:f>
        <x:v>0.08034353472583149</x:v>
      </x:c>
      <x:c r="V203" s="98" t="n">
        <x:f>IF(OR(U203="",U202=""),"",U203-U202)</x:f>
        <x:v>-0.23804014158265896</x:v>
      </x:c>
      <x:c r="W203" s="98" t="n">
        <x:f>IF('Datos_fuente'!R203="","",ASINH('Datos_fuente'!R203/1000))</x:f>
        <x:v>-0.9650118249559221</x:v>
      </x:c>
      <x:c r="X203" s="98" t="n">
        <x:f>IF(OR(W203="",W202=""),"",W203-W202)</x:f>
        <x:v>0.4031765389421489</x:v>
      </x:c>
      <x:c r="Y203" s="63" t="n">
        <x:f>'Datos_fuente'!W203</x:f>
        <x:v>3.766347604</x:v>
      </x:c>
      <x:c r="Z203" s="63" t="n">
        <x:f>IF(OR(Y203="",Y202=""),"",Y203-Y202)</x:f>
        <x:v>1.001008681</x:v>
      </x:c>
      <x:c r="AA203" s="98" t="n">
        <x:f>'Datos_fuente'!AB203</x:f>
        <x:v>0.6975517018</x:v>
      </x:c>
      <x:c r="AB203" s="98" t="n">
        <x:f>'Datos_fuente'!AC203</x:f>
        <x:v>0.6129228175</x:v>
      </x:c>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t="str">
        <x:f>'Datos_fuente'!A204</x:f>
        <x:v>2022-06</x:v>
      </x:c>
      <x:c r="B204" s="98" t="n">
        <x:f>IF('Datos_fuente'!B204="","",LN('Datos_fuente'!B204))</x:f>
        <x:v>8.276589766499127</x:v>
      </x:c>
      <x:c r="C204" s="98" t="n">
        <x:f>IF(OR(B204="",B203=""),"",B204-B203)</x:f>
        <x:v>-0.022218372716578116</x:v>
      </x:c>
      <x:c r="D204" s="98" t="n">
        <x:f>IF('Datos_fuente'!C204="","",LN('Datos_fuente'!C204))</x:f>
        <x:v>5.26857954828408</x:v>
      </x:c>
      <x:c r="E204" s="98" t="n">
        <x:f>IF(OR(D204="",D203=""),"",D204-D203)</x:f>
        <x:v>0.16712900997203395</x:v>
      </x:c>
      <x:c r="F204" s="98" t="n">
        <x:f>IF('Datos_fuente'!E204="","",LN('Datos_fuente'!E204))</x:f>
        <x:v>9.098746021840103</x:v>
      </x:c>
      <x:c r="G204" s="98" t="n">
        <x:f>IF(OR(F204="",F203=""),"",F204-F203)</x:f>
        <x:v>0.013799952866685672</x:v>
      </x:c>
      <x:c r="H204" s="63" t="n">
        <x:f>'Datos_fuente'!H204</x:f>
        <x:v>4.79</x:v>
      </x:c>
      <x:c r="I204" s="63" t="n">
        <x:f>IF(OR(H204="",H203=""),"",H204-H203)</x:f>
        <x:v>-0.4077419349999998</x:v>
      </x:c>
      <x:c r="J204" s="63" t="n">
        <x:f>'Datos_fuente'!J204</x:f>
        <x:v>5.517064225</x:v>
      </x:c>
      <x:c r="K204" s="63" t="n">
        <x:f>IF(OR(J204="",J203=""),"",J204-J203)</x:f>
        <x:v>0.2190475670000005</x:v>
      </x:c>
      <x:c r="L204" s="98" t="n">
        <x:f>IF('Datos_fuente'!K204="","",LN('Datos_fuente'!K204))</x:f>
        <x:v>4.787705965668018</x:v>
      </x:c>
      <x:c r="M204" s="98" t="n">
        <x:f>IF(OR(L204="",L203=""),"",L204-L203)</x:f>
        <x:v>0.0027491790073552735</x:v>
      </x:c>
      <x:c r="N204" s="98" t="n">
        <x:f>IF('Datos_fuente'!L204="","",LN('Datos_fuente'!L204))</x:f>
        <x:v>3.3404979465056055</x:v>
      </x:c>
      <x:c r="O204" s="98" t="n">
        <x:f>IF(OR(N204="",N203=""),"",N204-N203)</x:f>
        <x:v>-0.03755486602836022</x:v>
      </x:c>
      <x:c r="P204" s="96" t="n">
        <x:f>'Datos_fuente'!M204</x:f>
        <x:v>0</x:v>
      </x:c>
      <x:c r="Q204" s="98" t="n">
        <x:f>IF('Datos_fuente'!N204="","",LN('Datos_fuente'!N204))</x:f>
        <x:v>10.95368765559191</x:v>
      </x:c>
      <x:c r="R204" s="98" t="n">
        <x:f>IF(OR(Q204="",Q203=""),"",Q204-Q203)</x:f>
        <x:v>-0.008086422115756164</x:v>
      </x:c>
      <x:c r="S204" s="63" t="n">
        <x:f>'Datos_fuente'!P204</x:f>
        <x:v>3.887272727</x:v>
      </x:c>
      <x:c r="T204" s="63" t="n">
        <x:f>IF(OR(S204="",S203=""),"",S204-S203)</x:f>
        <x:v>0.05681818200000022</x:v>
      </x:c>
      <x:c r="U204" s="98" t="n">
        <x:f>IF('Datos_fuente'!Q204="","",ASINH('Datos_fuente'!Q204/1000))</x:f>
        <x:v>0.1395565573165326</x:v>
      </x:c>
      <x:c r="V204" s="98" t="n">
        <x:f>IF(OR(U204="",U203=""),"",U204-U203)</x:f>
        <x:v>0.05921302259070112</x:v>
      </x:c>
      <x:c r="W204" s="98" t="n">
        <x:f>IF('Datos_fuente'!R204="","",ASINH('Datos_fuente'!R204/1000))</x:f>
        <x:v>-1.1527032880444859</x:v>
      </x:c>
      <x:c r="X204" s="98" t="n">
        <x:f>IF(OR(W204="",W203=""),"",W204-W203)</x:f>
        <x:v>-0.18769146308856377</x:v>
      </x:c>
      <x:c r="Y204" s="63" t="n">
        <x:f>'Datos_fuente'!W204</x:f>
        <x:v>3.514476187</x:v>
      </x:c>
      <x:c r="Z204" s="63" t="n">
        <x:f>IF(OR(Y204="",Y203=""),"",Y204-Y203)</x:f>
        <x:v>-0.2518714169999998</x:v>
      </x:c>
      <x:c r="AA204" s="98" t="n">
        <x:f>'Datos_fuente'!AB204</x:f>
        <x:v>0.3376256081</x:v>
      </x:c>
      <x:c r="AB204" s="98" t="n">
        <x:f>'Datos_fuente'!AC204</x:f>
        <x:v>0.2083099663</x:v>
      </x:c>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t="str">
        <x:f>'Datos_fuente'!A205</x:f>
        <x:v>2022-07</x:v>
      </x:c>
      <x:c r="B205" s="98" t="n">
        <x:f>IF('Datos_fuente'!B205="","",LN('Datos_fuente'!B205))</x:f>
        <x:v>8.382016058103106</x:v>
      </x:c>
      <x:c r="C205" s="98" t="n">
        <x:f>IF(OR(B205="",B204=""),"",B205-B204)</x:f>
        <x:v>0.10542629160397965</x:v>
      </x:c>
      <x:c r="D205" s="98" t="n">
        <x:f>IF('Datos_fuente'!C205="","",LN('Datos_fuente'!C205))</x:f>
        <x:v>5.244389024522481</x:v>
      </x:c>
      <x:c r="E205" s="98" t="n">
        <x:f>IF(OR(D205="",D204=""),"",D205-D204)</x:f>
        <x:v>-0.02419052376159936</x:v>
      </x:c>
      <x:c r="F205" s="98" t="n">
        <x:f>IF('Datos_fuente'!E205="","",LN('Datos_fuente'!E205))</x:f>
        <x:v>9.115141385989595</x:v>
      </x:c>
      <x:c r="G205" s="98" t="n">
        <x:f>IF(OR(F205="",F204=""),"",F205-F204)</x:f>
        <x:v>0.016395364149492053</x:v>
      </x:c>
      <x:c r="H205" s="63" t="n">
        <x:f>'Datos_fuente'!H205</x:f>
        <x:v>5.82</x:v>
      </x:c>
      <x:c r="I205" s="63" t="n">
        <x:f>IF(OR(H205="",H204=""),"",H205-H204)</x:f>
        <x:v>1.0300000000000002</x:v>
      </x:c>
      <x:c r="J205" s="63" t="n">
        <x:f>'Datos_fuente'!J205</x:f>
        <x:v>5.416419004</x:v>
      </x:c>
      <x:c r="K205" s="63" t="n">
        <x:f>IF(OR(J205="",J204=""),"",J205-J204)</x:f>
        <x:v>-0.10064522100000062</x:v>
      </x:c>
      <x:c r="L205" s="98" t="n">
        <x:f>IF('Datos_fuente'!K205="","",LN('Datos_fuente'!K205))</x:f>
        <x:v>4.810159542594259</x:v>
      </x:c>
      <x:c r="M205" s="98" t="n">
        <x:f>IF(OR(L205="",L204=""),"",L205-L204)</x:f>
        <x:v>0.022453576926240615</x:v>
      </x:c>
      <x:c r="N205" s="98" t="n">
        <x:f>IF('Datos_fuente'!L205="","",LN('Datos_fuente'!L205))</x:f>
        <x:v>3.218685330725344</x:v>
      </x:c>
      <x:c r="O205" s="98" t="n">
        <x:f>IF(OR(N205="",N204=""),"",N205-N204)</x:f>
        <x:v>-0.1218126157802617</x:v>
      </x:c>
      <x:c r="P205" s="96" t="n">
        <x:f>'Datos_fuente'!M205</x:f>
        <x:v>0</x:v>
      </x:c>
      <x:c r="Q205" s="98" t="n">
        <x:f>IF('Datos_fuente'!N205="","",LN('Datos_fuente'!N205))</x:f>
        <x:v>10.956917834797537</x:v>
      </x:c>
      <x:c r="R205" s="98" t="n">
        <x:f>IF(OR(Q205="",Q204=""),"",Q205-Q204)</x:f>
        <x:v>0.0032301792056266265</x:v>
      </x:c>
      <x:c r="S205" s="63" t="n">
        <x:f>'Datos_fuente'!P205</x:f>
        <x:v>4.378571429</x:v>
      </x:c>
      <x:c r="T205" s="63" t="n">
        <x:f>IF(OR(S205="",S204=""),"",S205-S204)</x:f>
        <x:v>0.4912987019999999</x:v>
      </x:c>
      <x:c r="U205" s="98" t="n">
        <x:f>IF('Datos_fuente'!Q205="","",ASINH('Datos_fuente'!Q205/1000))</x:f>
        <x:v>0.14075476936167067</x:v>
      </x:c>
      <x:c r="V205" s="98" t="n">
        <x:f>IF(OR(U205="",U204=""),"",U205-U204)</x:f>
        <x:v>0.001198212045138064</x:v>
      </x:c>
      <x:c r="W205" s="98" t="n">
        <x:f>IF('Datos_fuente'!R205="","",ASINH('Datos_fuente'!R205/1000))</x:f>
        <x:v>-1.0607622069422198</x:v>
      </x:c>
      <x:c r="X205" s="98" t="n">
        <x:f>IF(OR(W205="",W204=""),"",W205-W204)</x:f>
        <x:v>0.09194108110226606</x:v>
      </x:c>
      <x:c r="Y205" s="63" t="n">
        <x:f>'Datos_fuente'!W205</x:f>
        <x:v>4.144823415</x:v>
      </x:c>
      <x:c r="Z205" s="63" t="n">
        <x:f>IF(OR(Y205="",Y204=""),"",Y205-Y204)</x:f>
        <x:v>0.6303472280000002</x:v>
      </x:c>
      <x:c r="AA205" s="98" t="n">
        <x:f>'Datos_fuente'!AB205</x:f>
        <x:v>1.909497503</x:v>
      </x:c>
      <x:c r="AB205" s="98" t="n">
        <x:f>'Datos_fuente'!AC205</x:f>
        <x:v>2.249536018</x:v>
      </x:c>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t="str">
        <x:f>'Datos_fuente'!A206</x:f>
        <x:v>2022-08</x:v>
      </x:c>
      <x:c r="B206" s="98" t="n">
        <x:f>IF('Datos_fuente'!B206="","",LN('Datos_fuente'!B206))</x:f>
        <x:v>8.37158212788512</x:v>
      </x:c>
      <x:c r="C206" s="98" t="n">
        <x:f>IF(OR(B206="",B205=""),"",B206-B205)</x:f>
        <x:v>-0.010433930217986997</x:v>
      </x:c>
      <x:c r="D206" s="98" t="n">
        <x:f>IF('Datos_fuente'!C206="","",LN('Datos_fuente'!C206))</x:f>
        <x:v>5.085371640210273</x:v>
      </x:c>
      <x:c r="E206" s="98" t="n">
        <x:f>IF(OR(D206="",D205=""),"",D206-D205)</x:f>
        <x:v>-0.15901738431220824</x:v>
      </x:c>
      <x:c r="F206" s="98" t="n">
        <x:f>IF('Datos_fuente'!E206="","",LN('Datos_fuente'!E206))</x:f>
        <x:v>9.117888403591184</x:v>
      </x:c>
      <x:c r="G206" s="98" t="n">
        <x:f>IF(OR(F206="",F205=""),"",F206-F205)</x:f>
        <x:v>0.002747017601588908</x:v>
      </x:c>
      <x:c r="H206" s="63" t="n">
        <x:f>'Datos_fuente'!H206</x:f>
        <x:v>6.67</x:v>
      </x:c>
      <x:c r="I206" s="63" t="n">
        <x:f>IF(OR(H206="",H205=""),"",H206-H205)</x:f>
        <x:v>0.8499999999999996</x:v>
      </x:c>
      <x:c r="J206" s="63" t="n">
        <x:f>'Datos_fuente'!J206</x:f>
        <x:v>6.403271638</x:v>
      </x:c>
      <x:c r="K206" s="63" t="n">
        <x:f>IF(OR(J206="",J205=""),"",J206-J205)</x:f>
        <x:v>0.9868526339999999</x:v>
      </x:c>
      <x:c r="L206" s="98" t="n">
        <x:f>IF('Datos_fuente'!K206="","",LN('Datos_fuente'!K206))</x:f>
        <x:v>4.806622185062162</x:v>
      </x:c>
      <x:c r="M206" s="98" t="n">
        <x:f>IF(OR(L206="",L205=""),"",L206-L205)</x:f>
        <x:v>-0.003537357532096941</x:v>
      </x:c>
      <x:c r="N206" s="98" t="n">
        <x:f>IF('Datos_fuente'!L206="","",LN('Datos_fuente'!L206))</x:f>
        <x:v>3.0987204122496306</x:v>
      </x:c>
      <x:c r="O206" s="98" t="n">
        <x:f>IF(OR(N206="",N205=""),"",N206-N205)</x:f>
        <x:v>-0.11996491847571322</x:v>
      </x:c>
      <x:c r="P206" s="96" t="n">
        <x:f>'Datos_fuente'!M206</x:f>
        <x:v>0</x:v>
      </x:c>
      <x:c r="Q206" s="98" t="n">
        <x:f>IF('Datos_fuente'!N206="","",LN('Datos_fuente'!N206))</x:f>
        <x:v>10.950501588040785</x:v>
      </x:c>
      <x:c r="R206" s="98" t="n">
        <x:f>IF(OR(Q206="",Q205=""),"",Q206-Q205)</x:f>
        <x:v>-0.006416246756751676</x:v>
      </x:c>
      <x:c r="S206" s="63" t="n">
        <x:f>'Datos_fuente'!P206</x:f>
        <x:v>4.002608696</x:v>
      </x:c>
      <x:c r="T206" s="63" t="n">
        <x:f>IF(OR(S206="",S205=""),"",S206-S205)</x:f>
        <x:v>-0.3759627329999997</x:v>
      </x:c>
      <x:c r="U206" s="98" t="n">
        <x:f>IF('Datos_fuente'!Q206="","",ASINH('Datos_fuente'!Q206/1000))</x:f>
        <x:v>0.06913491354692225</x:v>
      </x:c>
      <x:c r="V206" s="98" t="n">
        <x:f>IF(OR(U206="",U205=""),"",U206-U205)</x:f>
        <x:v>-0.07161985581474842</x:v>
      </x:c>
      <x:c r="W206" s="98" t="n">
        <x:f>IF('Datos_fuente'!R206="","",ASINH('Datos_fuente'!R206/1000))</x:f>
        <x:v>-1.2844300349260558</x:v>
      </x:c>
      <x:c r="X206" s="98" t="n">
        <x:f>IF(OR(W206="",W205=""),"",W206-W205)</x:f>
        <x:v>-0.223667827983836</x:v>
      </x:c>
      <x:c r="Y206" s="63" t="n">
        <x:f>'Datos_fuente'!W206</x:f>
        <x:v>3.697022531</x:v>
      </x:c>
      <x:c r="Z206" s="63" t="n">
        <x:f>IF(OR(Y206="",Y205=""),"",Y206-Y205)</x:f>
        <x:v>-0.4478008840000003</x:v>
      </x:c>
      <x:c r="AA206" s="98" t="n">
        <x:f>'Datos_fuente'!AB206</x:f>
        <x:v>-1.387121965</x:v>
      </x:c>
      <x:c r="AB206" s="98" t="n">
        <x:f>'Datos_fuente'!AC206</x:f>
        <x:v>-1.19242059</x:v>
      </x:c>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t="str">
        <x:f>'Datos_fuente'!A207</x:f>
        <x:v>2022-09</x:v>
      </x:c>
      <x:c r="B207" s="98" t="n">
        <x:f>IF('Datos_fuente'!B207="","",LN('Datos_fuente'!B207))</x:f>
        <x:v>8.396978677110038</x:v>
      </x:c>
      <x:c r="C207" s="98" t="n">
        <x:f>IF(OR(B207="",B206=""),"",B207-B206)</x:f>
        <x:v>0.02539654922491863</x:v>
      </x:c>
      <x:c r="D207" s="98" t="n">
        <x:f>IF('Datos_fuente'!C207="","",LN('Datos_fuente'!C207))</x:f>
        <x:v>5.146680191885077</x:v>
      </x:c>
      <x:c r="E207" s="98" t="n">
        <x:f>IF(OR(D207="",D206=""),"",D207-D206)</x:f>
        <x:v>0.06130855167480398</x:v>
      </x:c>
      <x:c r="F207" s="98" t="n">
        <x:f>IF('Datos_fuente'!E207="","",LN('Datos_fuente'!E207))</x:f>
        <x:v>9.125331352566254</x:v>
      </x:c>
      <x:c r="G207" s="98" t="n">
        <x:f>IF(OR(F207="",F206=""),"",F207-F206)</x:f>
        <x:v>0.0074429489750702515</x:v>
      </x:c>
      <x:c r="H207" s="63" t="n">
        <x:f>'Datos_fuente'!H207</x:f>
        <x:v>6.473333333</x:v>
      </x:c>
      <x:c r="I207" s="63" t="n">
        <x:f>IF(OR(H207="",H206=""),"",H207-H206)</x:f>
        <x:v>-0.19666666699999968</x:v>
      </x:c>
      <x:c r="J207" s="63" t="n">
        <x:f>'Datos_fuente'!J207</x:f>
        <x:v>6.268715719</x:v>
      </x:c>
      <x:c r="K207" s="63" t="n">
        <x:f>IF(OR(J207="",J206=""),"",J207-J206)</x:f>
        <x:v>-0.1345559189999994</x:v>
      </x:c>
      <x:c r="L207" s="98" t="n">
        <x:f>IF('Datos_fuente'!K207="","",LN('Datos_fuente'!K207))</x:f>
        <x:v>4.833059259479272</x:v>
      </x:c>
      <x:c r="M207" s="98" t="n">
        <x:f>IF(OR(L207="",L206=""),"",L207-L206)</x:f>
        <x:v>0.026437074417110296</x:v>
      </x:c>
      <x:c r="N207" s="98" t="n">
        <x:f>IF('Datos_fuente'!L207="","",LN('Datos_fuente'!L207))</x:f>
        <x:v>3.308417331644957</x:v>
      </x:c>
      <x:c r="O207" s="98" t="n">
        <x:f>IF(OR(N207="",N206=""),"",N207-N206)</x:f>
        <x:v>0.20969691939532664</x:v>
      </x:c>
      <x:c r="P207" s="96" t="n">
        <x:f>'Datos_fuente'!M207</x:f>
        <x:v>0</x:v>
      </x:c>
      <x:c r="Q207" s="98" t="n">
        <x:f>IF('Datos_fuente'!N207="","",LN('Datos_fuente'!N207))</x:f>
        <x:v>10.938917555519009</x:v>
      </x:c>
      <x:c r="R207" s="98" t="n">
        <x:f>IF(OR(Q207="",Q206=""),"",Q207-Q206)</x:f>
        <x:v>-0.011584032521776422</x:v>
      </x:c>
      <x:c r="S207" s="63" t="n">
        <x:f>'Datos_fuente'!P207</x:f>
        <x:v>4.238181818</x:v>
      </x:c>
      <x:c r="T207" s="63" t="n">
        <x:f>IF(OR(S207="",S206=""),"",S207-S206)</x:f>
        <x:v>0.2355731219999999</x:v>
      </x:c>
      <x:c r="U207" s="98" t="n">
        <x:f>IF('Datos_fuente'!Q207="","",ASINH('Datos_fuente'!Q207/1000))</x:f>
        <x:v>0.03318390946685766</x:v>
      </x:c>
      <x:c r="V207" s="98" t="n">
        <x:f>IF(OR(U207="",U206=""),"",U207-U206)</x:f>
        <x:v>-0.03595100408006459</x:v>
      </x:c>
      <x:c r="W207" s="98" t="n">
        <x:f>IF('Datos_fuente'!R207="","",ASINH('Datos_fuente'!R207/1000))</x:f>
        <x:v>-1.354590305835675</x:v>
      </x:c>
      <x:c r="X207" s="98" t="n">
        <x:f>IF(OR(W207="",W206=""),"",W207-W206)</x:f>
        <x:v>-0.07016027090961918</x:v>
      </x:c>
      <x:c r="Y207" s="63" t="n">
        <x:f>'Datos_fuente'!W207</x:f>
        <x:v>5.006870129</x:v>
      </x:c>
      <x:c r="Z207" s="63" t="n">
        <x:f>IF(OR(Y207="",Y206=""),"",Y207-Y206)</x:f>
        <x:v>1.3098475980000002</x:v>
      </x:c>
      <x:c r="AA207" s="98" t="n">
        <x:f>'Datos_fuente'!AB207</x:f>
        <x:v>0.3305730855</x:v>
      </x:c>
      <x:c r="AB207" s="98" t="n">
        <x:f>'Datos_fuente'!AC207</x:f>
        <x:v>0.3818507321</x:v>
      </x:c>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t="str">
        <x:f>'Datos_fuente'!A208</x:f>
        <x:v>2022-10</x:v>
      </x:c>
      <x:c r="B208" s="98" t="n">
        <x:f>IF('Datos_fuente'!B208="","",LN('Datos_fuente'!B208))</x:f>
        <x:v>8.45783171513298</x:v>
      </x:c>
      <x:c r="C208" s="98" t="n">
        <x:f>IF(OR(B208="",B207=""),"",B208-B207)</x:f>
        <x:v>0.060853038022941064</x:v>
      </x:c>
      <x:c r="D208" s="98" t="n">
        <x:f>IF('Datos_fuente'!C208="","",LN('Datos_fuente'!C208))</x:f>
        <x:v>5.130785895226717</x:v>
      </x:c>
      <x:c r="E208" s="98" t="n">
        <x:f>IF(OR(D208="",D207=""),"",D208-D207)</x:f>
        <x:v>-0.015894296658359508</x:v>
      </x:c>
      <x:c r="F208" s="98" t="n">
        <x:f>IF('Datos_fuente'!E208="","",LN('Datos_fuente'!E208))</x:f>
        <x:v>9.150097677216323</x:v>
      </x:c>
      <x:c r="G208" s="98" t="n">
        <x:f>IF(OR(F208="",F207=""),"",F208-F207)</x:f>
        <x:v>0.024766324650068228</x:v>
      </x:c>
      <x:c r="H208" s="63" t="n">
        <x:f>'Datos_fuente'!H208</x:f>
        <x:v>6.952258065</x:v>
      </x:c>
      <x:c r="I208" s="63" t="n">
        <x:f>IF(OR(H208="",H207=""),"",H208-H207)</x:f>
        <x:v>0.4789247319999994</x:v>
      </x:c>
      <x:c r="J208" s="63" t="n">
        <x:f>'Datos_fuente'!J208</x:f>
        <x:v>5.804178868</x:v>
      </x:c>
      <x:c r="K208" s="63" t="n">
        <x:f>IF(OR(J208="",J207=""),"",J208-J207)</x:f>
        <x:v>-0.4645368510000001</x:v>
      </x:c>
      <x:c r="L208" s="98" t="n">
        <x:f>IF('Datos_fuente'!K208="","",LN('Datos_fuente'!K208))</x:f>
        <x:v>4.847964235380359</x:v>
      </x:c>
      <x:c r="M208" s="98" t="n">
        <x:f>IF(OR(L208="",L207=""),"",L208-L207)</x:f>
        <x:v>0.014904975901086637</x:v>
      </x:c>
      <x:c r="N208" s="98" t="n">
        <x:f>IF('Datos_fuente'!L208="","",LN('Datos_fuente'!L208))</x:f>
        <x:v>3.401387839857175</x:v>
      </x:c>
      <x:c r="O208" s="98" t="n">
        <x:f>IF(OR(N208="",N207=""),"",N208-N207)</x:f>
        <x:v>0.09297050821221786</x:v>
      </x:c>
      <x:c r="P208" s="96" t="n">
        <x:f>'Datos_fuente'!M208</x:f>
        <x:v>0</x:v>
      </x:c>
      <x:c r="Q208" s="98" t="n">
        <x:f>IF('Datos_fuente'!N208="","",LN('Datos_fuente'!N208))</x:f>
        <x:v>10.939871183609984</x:v>
      </x:c>
      <x:c r="R208" s="98" t="n">
        <x:f>IF(OR(Q208="",Q207=""),"",Q208-Q207)</x:f>
        <x:v>0.0009536280909756556</x:v>
      </x:c>
      <x:c r="S208" s="63" t="n">
        <x:f>'Datos_fuente'!P208</x:f>
        <x:v>4.708571429</x:v>
      </x:c>
      <x:c r="T208" s="63" t="n">
        <x:f>IF(OR(S208="",S207=""),"",S208-S207)</x:f>
        <x:v>0.4703896109999999</x:v>
      </x:c>
      <x:c r="U208" s="98" t="n">
        <x:f>IF('Datos_fuente'!Q208="","",ASINH('Datos_fuente'!Q208/1000))</x:f>
        <x:v>0.16835359971206293</x:v>
      </x:c>
      <x:c r="V208" s="98" t="n">
        <x:f>IF(OR(U208="",U207=""),"",U208-U207)</x:f>
        <x:v>0.13516969024520525</x:v>
      </x:c>
      <x:c r="W208" s="98" t="n">
        <x:f>IF('Datos_fuente'!R208="","",ASINH('Datos_fuente'!R208/1000))</x:f>
        <x:v>-1.074175853094228</x:v>
      </x:c>
      <x:c r="X208" s="98" t="n">
        <x:f>IF(OR(W208="",W207=""),"",W208-W207)</x:f>
        <x:v>0.28041445274144694</x:v>
      </x:c>
      <x:c r="Y208" s="63" t="n">
        <x:f>'Datos_fuente'!W208</x:f>
        <x:v>5.559884968</x:v>
      </x:c>
      <x:c r="Z208" s="63" t="n">
        <x:f>IF(OR(Y208="",Y207=""),"",Y208-Y207)</x:f>
        <x:v>0.5530148390000003</x:v>
      </x:c>
      <x:c r="AA208" s="98" t="n">
        <x:f>'Datos_fuente'!AB208</x:f>
        <x:v>0.2624688373</x:v>
      </x:c>
      <x:c r="AB208" s="98" t="n">
        <x:f>'Datos_fuente'!AC208</x:f>
        <x:v>0.6097906839</x:v>
      </x:c>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t="str">
        <x:f>'Datos_fuente'!A209</x:f>
        <x:v>2022-11</x:v>
      </x:c>
      <x:c r="B209" s="98" t="n">
        <x:f>IF('Datos_fuente'!B209="","",LN('Datos_fuente'!B209))</x:f>
        <x:v>8.502416688039025</x:v>
      </x:c>
      <x:c r="C209" s="98" t="n">
        <x:f>IF(OR(B209="",B208=""),"",B209-B208)</x:f>
        <x:v>0.044584972906045905</x:v>
      </x:c>
      <x:c r="D209" s="98" t="n">
        <x:f>IF('Datos_fuente'!C209="","",LN('Datos_fuente'!C209))</x:f>
        <x:v>5.124618527044968</x:v>
      </x:c>
      <x:c r="E209" s="98" t="n">
        <x:f>IF(OR(D209="",D208=""),"",D209-D208)</x:f>
        <x:v>-0.006167368181749566</x:v>
      </x:c>
      <x:c r="F209" s="98" t="n">
        <x:f>IF('Datos_fuente'!E209="","",LN('Datos_fuente'!E209))</x:f>
        <x:v>9.14960899446156</x:v>
      </x:c>
      <x:c r="G209" s="98" t="n">
        <x:f>IF(OR(F209="",F208=""),"",F209-F208)</x:f>
        <x:v>-0.0004886827547618822</x:v>
      </x:c>
      <x:c r="H209" s="63" t="n">
        <x:f>'Datos_fuente'!H209</x:f>
        <x:v>7.22</x:v>
      </x:c>
      <x:c r="I209" s="63" t="n">
        <x:f>IF(OR(H209="",H208=""),"",H209-H208)</x:f>
        <x:v>0.2677419350000001</x:v>
      </x:c>
      <x:c r="J209" s="63" t="n">
        <x:f>'Datos_fuente'!J209</x:f>
        <x:v>5.270243754</x:v>
      </x:c>
      <x:c r="K209" s="63" t="n">
        <x:f>IF(OR(J209="",J208=""),"",J209-J208)</x:f>
        <x:v>-0.5339351140000002</x:v>
      </x:c>
      <x:c r="L209" s="98" t="n">
        <x:f>IF('Datos_fuente'!K209="","",LN('Datos_fuente'!K209))</x:f>
        <x:v>4.82713480263184</x:v>
      </x:c>
      <x:c r="M209" s="98" t="n">
        <x:f>IF(OR(L209="",L208=""),"",L209-L208)</x:f>
        <x:v>-0.020829432748518784</x:v>
      </x:c>
      <x:c r="N209" s="98" t="n">
        <x:f>IF('Datos_fuente'!L209="","",LN('Datos_fuente'!L209))</x:f>
        <x:v>3.1484143430722846</x:v>
      </x:c>
      <x:c r="O209" s="98" t="n">
        <x:f>IF(OR(N209="",N208=""),"",N209-N208)</x:f>
        <x:v>-0.25297349678489045</x:v>
      </x:c>
      <x:c r="P209" s="96" t="n">
        <x:f>'Datos_fuente'!M209</x:f>
        <x:v>0</x:v>
      </x:c>
      <x:c r="Q209" s="98" t="n">
        <x:f>IF('Datos_fuente'!N209="","",LN('Datos_fuente'!N209))</x:f>
        <x:v>10.95048351219048</x:v>
      </x:c>
      <x:c r="R209" s="98" t="n">
        <x:f>IF(OR(Q209="",Q208=""),"",Q209-Q208)</x:f>
        <x:v>0.01061232858049621</x:v>
      </x:c>
      <x:c r="S209" s="63" t="n">
        <x:f>'Datos_fuente'!P209</x:f>
        <x:v>4.167272727</x:v>
      </x:c>
      <x:c r="T209" s="63" t="n">
        <x:f>IF(OR(S209="",S208=""),"",S209-S208)</x:f>
        <x:v>-0.5412987019999997</x:v>
      </x:c>
      <x:c r="U209" s="98" t="n">
        <x:f>IF('Datos_fuente'!Q209="","",ASINH('Datos_fuente'!Q209/1000))</x:f>
        <x:v>0.06533351108264558</x:v>
      </x:c>
      <x:c r="V209" s="98" t="n">
        <x:f>IF(OR(U209="",U208=""),"",U209-U208)</x:f>
        <x:v>-0.10302008862941735</x:v>
      </x:c>
      <x:c r="W209" s="98" t="n">
        <x:f>IF('Datos_fuente'!R209="","",ASINH('Datos_fuente'!R209/1000))</x:f>
        <x:v>-0.7137069167932788</x:v>
      </x:c>
      <x:c r="X209" s="98" t="n">
        <x:f>IF(OR(W209="",W208=""),"",W209-W208)</x:f>
        <x:v>0.3604689363009492</x:v>
      </x:c>
      <x:c r="Y209" s="63" t="n">
        <x:f>'Datos_fuente'!W209</x:f>
        <x:v>5.278269983</x:v>
      </x:c>
      <x:c r="Z209" s="63" t="n">
        <x:f>IF(OR(Y209="",Y208=""),"",Y209-Y208)</x:f>
        <x:v>-0.28161498500000004</x:v>
      </x:c>
      <x:c r="AA209" s="98" t="n">
        <x:f>'Datos_fuente'!AB209</x:f>
        <x:v>-0.8918695705</x:v>
      </x:c>
      <x:c r="AB209" s="98" t="n">
        <x:f>'Datos_fuente'!AC209</x:f>
        <x:v>-1.192710941</x:v>
      </x:c>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t="str">
        <x:f>'Datos_fuente'!A210</x:f>
        <x:v>2022-12</x:v>
      </x:c>
      <x:c r="B210" s="98" t="n">
        <x:f>IF('Datos_fuente'!B210="","",LN('Datos_fuente'!B210))</x:f>
        <x:v>8.47397053532084</x:v>
      </x:c>
      <x:c r="C210" s="98" t="n">
        <x:f>IF(OR(B210="",B209=""),"",B210-B209)</x:f>
        <x:v>-0.028446152718185402</x:v>
      </x:c>
      <x:c r="D210" s="98" t="n">
        <x:f>IF('Datos_fuente'!C210="","",LN('Datos_fuente'!C210))</x:f>
        <x:v>5.086361004624392</x:v>
      </x:c>
      <x:c r="E210" s="98" t="n">
        <x:f>IF(OR(D210="",D209=""),"",D210-D209)</x:f>
        <x:v>-0.038257522420575896</x:v>
      </x:c>
      <x:c r="F210" s="98" t="n">
        <x:f>IF('Datos_fuente'!E210="","",LN('Datos_fuente'!E210))</x:f>
        <x:v>9.151527295819635</x:v>
      </x:c>
      <x:c r="G210" s="98" t="n">
        <x:f>IF(OR(F210="",F209=""),"",F210-F209)</x:f>
        <x:v>0.001918301358074359</x:v>
      </x:c>
      <x:c r="H210" s="63" t="n">
        <x:f>'Datos_fuente'!H210</x:f>
        <x:v>7.319354839</x:v>
      </x:c>
      <x:c r="I210" s="63" t="n">
        <x:f>IF(OR(H210="",H209=""),"",H210-H209)</x:f>
        <x:v>0.09935483900000008</x:v>
      </x:c>
      <x:c r="J210" s="63" t="n">
        <x:f>'Datos_fuente'!J210</x:f>
        <x:v>5.273643973</x:v>
      </x:c>
      <x:c r="K210" s="63" t="n">
        <x:f>IF(OR(J210="",J209=""),"",J210-J209)</x:f>
        <x:v>0.003400219000000426</x:v>
      </x:c>
      <x:c r="L210" s="98" t="n">
        <x:f>IF('Datos_fuente'!K210="","",LN('Datos_fuente'!K210))</x:f>
        <x:v>4.805939928726717</x:v>
      </x:c>
      <x:c r="M210" s="98" t="n">
        <x:f>IF(OR(L210="",L209=""),"",L210-L209)</x:f>
        <x:v>-0.02119487390512287</x:v>
      </x:c>
      <x:c r="N210" s="98" t="n">
        <x:f>IF('Datos_fuente'!L210="","",LN('Datos_fuente'!L210))</x:f>
        <x:v>3.081188870874873</x:v>
      </x:c>
      <x:c r="O210" s="98" t="n">
        <x:f>IF(OR(N210="",N209=""),"",N210-N209)</x:f>
        <x:v>-0.06722547219741148</x:v>
      </x:c>
      <x:c r="P210" s="96" t="n">
        <x:f>'Datos_fuente'!M210</x:f>
        <x:v>0</x:v>
      </x:c>
      <x:c r="Q210" s="98" t="n">
        <x:f>IF('Datos_fuente'!N210="","",LN('Datos_fuente'!N210))</x:f>
        <x:v>10.955517537915224</x:v>
      </x:c>
      <x:c r="R210" s="98" t="n">
        <x:f>IF(OR(Q210="",Q209=""),"",Q210-Q209)</x:f>
        <x:v>0.0050340257247434295</x:v>
      </x:c>
      <x:c r="S210" s="63" t="n">
        <x:f>'Datos_fuente'!P210</x:f>
        <x:v>3.817727273</x:v>
      </x:c>
      <x:c r="T210" s="63" t="n">
        <x:f>IF(OR(S210="",S209=""),"",S210-S209)</x:f>
        <x:v>-0.34954545400000026</x:v>
      </x:c>
      <x:c r="U210" s="98" t="n">
        <x:f>IF('Datos_fuente'!Q210="","",ASINH('Datos_fuente'!Q210/1000))</x:f>
        <x:v>-0.06419589781879337</x:v>
      </x:c>
      <x:c r="V210" s="98" t="n">
        <x:f>IF(OR(U210="",U209=""),"",U210-U209)</x:f>
        <x:v>-0.12952940890143894</x:v>
      </x:c>
      <x:c r="W210" s="98" t="n">
        <x:f>IF('Datos_fuente'!R210="","",ASINH('Datos_fuente'!R210/1000))</x:f>
        <x:v>-0.6934191583650139</x:v>
      </x:c>
      <x:c r="X210" s="98" t="n">
        <x:f>IF(OR(W210="",W209=""),"",W210-W209)</x:f>
        <x:v>0.020287758428264913</x:v>
      </x:c>
      <x:c r="Y210" s="63" t="n">
        <x:f>'Datos_fuente'!W210</x:f>
        <x:v>5.118214283</x:v>
      </x:c>
      <x:c r="Z210" s="63" t="n">
        <x:f>IF(OR(Y210="",Y209=""),"",Y210-Y209)</x:f>
        <x:v>-0.16005570000000002</x:v>
      </x:c>
      <x:c r="AA210" s="98" t="n">
        <x:f>'Datos_fuente'!AB210</x:f>
        <x:v>-0.6806531827</x:v>
      </x:c>
      <x:c r="AB210" s="98" t="n">
        <x:f>'Datos_fuente'!AC210</x:f>
        <x:v>-0.7565284384</x:v>
      </x:c>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t="str">
        <x:f>'Datos_fuente'!A211</x:f>
        <x:v>2023-01</x:v>
      </x:c>
      <x:c r="B211" s="98" t="n">
        <x:f>IF('Datos_fuente'!B211="","",LN('Datos_fuente'!B211))</x:f>
        <x:v>8.458547432945089</x:v>
      </x:c>
      <x:c r="C211" s="98" t="n">
        <x:f>IF(OR(B211="",B210=""),"",B211-B210)</x:f>
        <x:v>-0.01542310237575073</x:v>
      </x:c>
      <x:c r="D211" s="98" t="n">
        <x:f>IF('Datos_fuente'!C211="","",LN('Datos_fuente'!C211))</x:f>
        <x:v>5.07617331556691</x:v>
      </x:c>
      <x:c r="E211" s="98" t="n">
        <x:f>IF(OR(D211="",D210=""),"",D211-D210)</x:f>
        <x:v>-0.010187689057481464</x:v>
      </x:c>
      <x:c r="F211" s="98" t="n">
        <x:f>IF('Datos_fuente'!E211="","",LN('Datos_fuente'!E211))</x:f>
        <x:v>9.164233604275932</x:v>
      </x:c>
      <x:c r="G211" s="98" t="n">
        <x:f>IF(OR(F211="",F210=""),"",F211-F210)</x:f>
        <x:v>0.012706308456296611</x:v>
      </x:c>
      <x:c r="H211" s="63" t="n">
        <x:f>'Datos_fuente'!H211</x:f>
        <x:v>7.718387097</x:v>
      </x:c>
      <x:c r="I211" s="63" t="n">
        <x:f>IF(OR(H211="",H210=""),"",H211-H210)</x:f>
        <x:v>0.3990322580000001</x:v>
      </x:c>
      <x:c r="J211" s="63" t="n">
        <x:f>'Datos_fuente'!J211</x:f>
        <x:v>4.838201575</x:v>
      </x:c>
      <x:c r="K211" s="63" t="n">
        <x:f>IF(OR(J211="",J210=""),"",J211-J210)</x:f>
        <x:v>-0.4354423980000002</x:v>
      </x:c>
      <x:c r="L211" s="98" t="n">
        <x:f>IF('Datos_fuente'!K211="","",LN('Datos_fuente'!K211))</x:f>
        <x:v>4.7859076971773264</x:v>
      </x:c>
      <x:c r="M211" s="98" t="n">
        <x:f>IF(OR(L211="",L210=""),"",L211-L210)</x:f>
        <x:v>-0.020032231549390822</x:v>
      </x:c>
      <x:c r="N211" s="98" t="n">
        <x:f>IF('Datos_fuente'!L211="","",LN('Datos_fuente'!L211))</x:f>
        <x:v>3.004149133201357</x:v>
      </x:c>
      <x:c r="O211" s="98" t="n">
        <x:f>IF(OR(N211="",N210=""),"",N211-N210)</x:f>
        <x:v>-0.07703973767351613</x:v>
      </x:c>
      <x:c r="P211" s="96" t="n">
        <x:f>'Datos_fuente'!M211</x:f>
        <x:v>0</x:v>
      </x:c>
      <x:c r="Q211" s="98" t="n">
        <x:f>IF('Datos_fuente'!N211="","",LN('Datos_fuente'!N211))</x:f>
        <x:v>10.964263835567507</x:v>
      </x:c>
      <x:c r="R211" s="98" t="n">
        <x:f>IF(OR(Q211="",Q210=""),"",Q211-Q210)</x:f>
        <x:v>0.00874629765228363</x:v>
      </x:c>
      <x:c r="S211" s="63" t="n">
        <x:f>'Datos_fuente'!P211</x:f>
        <x:v>3.701818182</x:v>
      </x:c>
      <x:c r="T211" s="63" t="n">
        <x:f>IF(OR(S211="",S210=""),"",S211-S210)</x:f>
        <x:v>-0.11590909100000024</x:v>
      </x:c>
      <x:c r="U211" s="98" t="n">
        <x:f>IF('Datos_fuente'!Q211="","",ASINH('Datos_fuente'!Q211/1000))</x:f>
        <x:v>0.024047682173214846</x:v>
      </x:c>
      <x:c r="V211" s="98" t="n">
        <x:f>IF(OR(U211="",U210=""),"",U211-U210)</x:f>
        <x:v>0.08824357999200821</x:v>
      </x:c>
      <x:c r="W211" s="98" t="n">
        <x:f>IF('Datos_fuente'!R211="","",ASINH('Datos_fuente'!R211/1000))</x:f>
        <x:v>-0.7813380171312738</x:v>
      </x:c>
      <x:c r="X211" s="98" t="n">
        <x:f>IF(OR(W211="",W210=""),"",W211-W210)</x:f>
        <x:v>-0.08791885876625993</x:v>
      </x:c>
      <x:c r="Y211" s="63" t="n">
        <x:f>'Datos_fuente'!W211</x:f>
        <x:v>5.450206444</x:v>
      </x:c>
      <x:c r="Z211" s="63" t="n">
        <x:f>IF(OR(Y211="",Y210=""),"",Y211-Y210)</x:f>
        <x:v>0.3319921609999996</x:v>
      </x:c>
      <x:c r="AA211" s="98" t="n">
        <x:f>'Datos_fuente'!AB211</x:f>
        <x:v>-1.246400617</x:v>
      </x:c>
      <x:c r="AB211" s="98" t="n">
        <x:f>'Datos_fuente'!AC211</x:f>
        <x:v>-0.9069825013</x:v>
      </x:c>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t="str">
        <x:f>'Datos_fuente'!A212</x:f>
        <x:v>2023-02</x:v>
      </x:c>
      <x:c r="B212" s="98" t="n">
        <x:f>IF('Datos_fuente'!B212="","",LN('Datos_fuente'!B212))</x:f>
        <x:v>8.477019424251225</x:v>
      </x:c>
      <x:c r="C212" s="98" t="n">
        <x:f>IF(OR(B212="",B211=""),"",B212-B211)</x:f>
        <x:v>0.01847199130613575</x:v>
      </x:c>
      <x:c r="D212" s="98" t="n">
        <x:f>IF('Datos_fuente'!C212="","",LN('Datos_fuente'!C212))</x:f>
        <x:v>5.08969290133303</x:v>
      </x:c>
      <x:c r="E212" s="98" t="n">
        <x:f>IF(OR(D212="",D211=""),"",D212-D211)</x:f>
        <x:v>0.013519585766119668</x:v>
      </x:c>
      <x:c r="F212" s="98" t="n">
        <x:f>IF('Datos_fuente'!E212="","",LN('Datos_fuente'!E212))</x:f>
        <x:v>9.183466482129376</x:v>
      </x:c>
      <x:c r="G212" s="98" t="n">
        <x:f>IF(OR(F212="",F211=""),"",F212-F211)</x:f>
        <x:v>0.019232877853443853</x:v>
      </x:c>
      <x:c r="H212" s="63" t="n">
        <x:f>'Datos_fuente'!H212</x:f>
        <x:v>8.18</x:v>
      </x:c>
      <x:c r="I212" s="63" t="n">
        <x:f>IF(OR(H212="",H211=""),"",H212-H211)</x:f>
        <x:v>0.4616129029999998</x:v>
      </x:c>
      <x:c r="J212" s="63" t="n">
        <x:f>'Datos_fuente'!J212</x:f>
        <x:v>4.866973857</x:v>
      </x:c>
      <x:c r="K212" s="63" t="n">
        <x:f>IF(OR(J212="",J211=""),"",J212-J211)</x:f>
        <x:v>0.028772281999999372</x:v>
      </x:c>
      <x:c r="L212" s="98" t="n">
        <x:f>IF('Datos_fuente'!K212="","",LN('Datos_fuente'!K212))</x:f>
        <x:v>4.790058227374484</x:v>
      </x:c>
      <x:c r="M212" s="98" t="n">
        <x:f>IF(OR(L212="",L211=""),"",L212-L211)</x:f>
        <x:v>0.004150530197157387</x:v>
      </x:c>
      <x:c r="N212" s="98" t="n">
        <x:f>IF('Datos_fuente'!L212="","",LN('Datos_fuente'!L212))</x:f>
        <x:v>3.0017391958173922</x:v>
      </x:c>
      <x:c r="O212" s="98" t="n">
        <x:f>IF(OR(N212="",N211=""),"",N212-N211)</x:f>
        <x:v>-0.0024099373839647775</x:v>
      </x:c>
      <x:c r="P212" s="96" t="n">
        <x:f>'Datos_fuente'!M212</x:f>
        <x:v>0</x:v>
      </x:c>
      <x:c r="Q212" s="98" t="n">
        <x:f>IF('Datos_fuente'!N212="","",LN('Datos_fuente'!N212))</x:f>
        <x:v>10.957354361260254</x:v>
      </x:c>
      <x:c r="R212" s="98" t="n">
        <x:f>IF(OR(Q212="",Q211=""),"",Q212-Q211)</x:f>
        <x:v>-0.006909474307253305</x:v>
      </x:c>
      <x:c r="S212" s="63" t="n">
        <x:f>'Datos_fuente'!P212</x:f>
        <x:v>3.8435</x:v>
      </x:c>
      <x:c r="T212" s="63" t="n">
        <x:f>IF(OR(S212="",S211=""),"",S212-S211)</x:f>
        <x:v>0.14168181800000035</x:v>
      </x:c>
      <x:c r="U212" s="98" t="n">
        <x:f>IF('Datos_fuente'!Q212="","",ASINH('Datos_fuente'!Q212/1000))</x:f>
        <x:v>0.2318570589627226</x:v>
      </x:c>
      <x:c r="V212" s="98" t="n">
        <x:f>IF(OR(U212="",U211=""),"",U212-U211)</x:f>
        <x:v>0.20780937678950775</x:v>
      </x:c>
      <x:c r="W212" s="98" t="n">
        <x:f>IF('Datos_fuente'!R212="","",ASINH('Datos_fuente'!R212/1000))</x:f>
        <x:v>-1.5473682948693759</x:v>
      </x:c>
      <x:c r="X212" s="98" t="n">
        <x:f>IF(OR(W212="",W211=""),"",W212-W211)</x:f>
        <x:v>-0.7660302777381021</x:v>
      </x:c>
      <x:c r="Y212" s="63" t="n">
        <x:f>'Datos_fuente'!W212</x:f>
        <x:v>5.152489463</x:v>
      </x:c>
      <x:c r="Z212" s="63" t="n">
        <x:f>IF(OR(Y212="",Y211=""),"",Y212-Y211)</x:f>
        <x:v>-0.29771698099999977</x:v>
      </x:c>
      <x:c r="AA212" s="98" t="n">
        <x:f>'Datos_fuente'!AB212</x:f>
        <x:v>-0.7604530505</x:v>
      </x:c>
      <x:c r="AB212" s="98" t="n">
        <x:f>'Datos_fuente'!AC212</x:f>
        <x:v>-0.5277546275</x:v>
      </x:c>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t="str">
        <x:f>'Datos_fuente'!A213</x:f>
        <x:v>2023-03</x:v>
      </x:c>
      <x:c r="B213" s="98" t="n">
        <x:f>IF('Datos_fuente'!B213="","",LN('Datos_fuente'!B213))</x:f>
        <x:v>8.469326819679154</x:v>
      </x:c>
      <x:c r="C213" s="98" t="n">
        <x:f>IF(OR(B213="",B212=""),"",B213-B212)</x:f>
        <x:v>-0.0076926045720711045</x:v>
      </x:c>
      <x:c r="D213" s="98" t="n">
        <x:f>IF('Datos_fuente'!C213="","",LN('Datos_fuente'!C213))</x:f>
        <x:v>5.0366278743705095</x:v>
      </x:c>
      <x:c r="E213" s="98" t="n">
        <x:f>IF(OR(D213="",D212=""),"",D213-D212)</x:f>
        <x:v>-0.053065026962520356</x:v>
      </x:c>
      <x:c r="F213" s="98" t="n">
        <x:f>IF('Datos_fuente'!E213="","",LN('Datos_fuente'!E213))</x:f>
        <x:v>9.1961552369841</x:v>
      </x:c>
      <x:c r="G213" s="98" t="n">
        <x:f>IF(OR(F213="",F212=""),"",F213-F212)</x:f>
        <x:v>0.012688754854725204</x:v>
      </x:c>
      <x:c r="H213" s="63" t="n">
        <x:f>'Datos_fuente'!H213</x:f>
        <x:v>8.108064516</x:v>
      </x:c>
      <x:c r="I213" s="63" t="n">
        <x:f>IF(OR(H213="",H212=""),"",H213-H212)</x:f>
        <x:v>-0.07193548399999905</x:v>
      </x:c>
      <x:c r="J213" s="63" t="n">
        <x:f>'Datos_fuente'!J213</x:f>
        <x:v>4.69656028</x:v>
      </x:c>
      <x:c r="K213" s="63" t="n">
        <x:f>IF(OR(J213="",J212=""),"",J213-J212)</x:f>
        <x:v>-0.1704135769999997</x:v>
      </x:c>
      <x:c r="L213" s="98" t="n">
        <x:f>IF('Datos_fuente'!K213="","",LN('Datos_fuente'!K213))</x:f>
        <x:v>4.793680991472765</x:v>
      </x:c>
      <x:c r="M213" s="98" t="n">
        <x:f>IF(OR(L213="",L212=""),"",L213-L212)</x:f>
        <x:v>0.00362276409828155</x:v>
      </x:c>
      <x:c r="N213" s="98" t="n">
        <x:f>IF('Datos_fuente'!L213="","",LN('Datos_fuente'!L213))</x:f>
        <x:v>3.0747443501558873</x:v>
      </x:c>
      <x:c r="O213" s="98" t="n">
        <x:f>IF(OR(N213="",N212=""),"",N213-N212)</x:f>
        <x:v>0.07300515433849508</x:v>
      </x:c>
      <x:c r="P213" s="96" t="n">
        <x:f>'Datos_fuente'!M213</x:f>
        <x:v>0</x:v>
      </x:c>
      <x:c r="Q213" s="98" t="n">
        <x:f>IF('Datos_fuente'!N213="","",LN('Datos_fuente'!N213))</x:f>
        <x:v>10.967606390252806</x:v>
      </x:c>
      <x:c r="R213" s="98" t="n">
        <x:f>IF(OR(Q213="",Q212=""),"",Q213-Q212)</x:f>
        <x:v>0.010252028992551843</x:v>
      </x:c>
      <x:c r="S213" s="63" t="n">
        <x:f>'Datos_fuente'!P213</x:f>
        <x:v>4.116086957</x:v>
      </x:c>
      <x:c r="T213" s="63" t="n">
        <x:f>IF(OR(S213="",S212=""),"",S213-S212)</x:f>
        <x:v>0.27258695700000013</x:v>
      </x:c>
      <x:c r="U213" s="98" t="n">
        <x:f>IF('Datos_fuente'!Q213="","",ASINH('Datos_fuente'!Q213/1000))</x:f>
        <x:v>0.1894153207524612</x:v>
      </x:c>
      <x:c r="V213" s="98" t="n">
        <x:f>IF(OR(U213="",U212=""),"",U213-U212)</x:f>
        <x:v>-0.0424417382102614</x:v>
      </x:c>
      <x:c r="W213" s="98" t="n">
        <x:f>IF('Datos_fuente'!R213="","",ASINH('Datos_fuente'!R213/1000))</x:f>
        <x:v>-1.0090214304464988</x:v>
      </x:c>
      <x:c r="X213" s="98" t="n">
        <x:f>IF(OR(W213="",W212=""),"",W213-W212)</x:f>
        <x:v>0.538346864422877</x:v>
      </x:c>
      <x:c r="Y213" s="63" t="n">
        <x:f>'Datos_fuente'!W213</x:f>
        <x:v>4.962532812</x:v>
      </x:c>
      <x:c r="Z213" s="63" t="n">
        <x:f>IF(OR(Y213="",Y212=""),"",Y213-Y212)</x:f>
        <x:v>-0.18995665100000014</x:v>
      </x:c>
      <x:c r="AA213" s="98" t="n">
        <x:f>'Datos_fuente'!AB213</x:f>
        <x:v>-0.08988140565</x:v>
      </x:c>
      <x:c r="AB213" s="98" t="n">
        <x:f>'Datos_fuente'!AC213</x:f>
        <x:v>-0.3938080883</x:v>
      </x:c>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t="str">
        <x:f>'Datos_fuente'!A214</x:f>
        <x:v>2023-04</x:v>
      </x:c>
      <x:c r="B214" s="98" t="n">
        <x:f>IF('Datos_fuente'!B214="","",LN('Datos_fuente'!B214))</x:f>
        <x:v>8.421271177739735</x:v>
      </x:c>
      <x:c r="C214" s="98" t="n">
        <x:f>IF(OR(B214="",B213=""),"",B214-B213)</x:f>
        <x:v>-0.04805564193941869</x:v>
      </x:c>
      <x:c r="D214" s="98" t="n">
        <x:f>IF('Datos_fuente'!C214="","",LN('Datos_fuente'!C214))</x:f>
        <x:v>5.04818795014884</x:v>
      </x:c>
      <x:c r="E214" s="98" t="n">
        <x:f>IF(OR(D214="",D213=""),"",D214-D213)</x:f>
        <x:v>0.011560075778330514</x:v>
      </x:c>
      <x:c r="F214" s="98" t="n">
        <x:f>IF('Datos_fuente'!E214="","",LN('Datos_fuente'!E214))</x:f>
        <x:v>9.194317691670552</x:v>
      </x:c>
      <x:c r="G214" s="98" t="n">
        <x:f>IF(OR(F214="",F213=""),"",F214-F213)</x:f>
        <x:v>-0.0018375453135490716</x:v>
      </x:c>
      <x:c r="H214" s="63" t="n">
        <x:f>'Datos_fuente'!H214</x:f>
        <x:v>8.17</x:v>
      </x:c>
      <x:c r="I214" s="63" t="n">
        <x:f>IF(OR(H214="",H213=""),"",H214-H213)</x:f>
        <x:v>0.06193548399999926</x:v>
      </x:c>
      <x:c r="J214" s="63" t="n">
        <x:f>'Datos_fuente'!J214</x:f>
        <x:v>4.316572151</x:v>
      </x:c>
      <x:c r="K214" s="63" t="n">
        <x:f>IF(OR(J214="",J213=""),"",J214-J213)</x:f>
        <x:v>-0.379988129</x:v>
      </x:c>
      <x:c r="L214" s="98" t="n">
        <x:f>IF('Datos_fuente'!K214="","",LN('Datos_fuente'!K214))</x:f>
        <x:v>4.781181416151402</x:v>
      </x:c>
      <x:c r="M214" s="98" t="n">
        <x:f>IF(OR(L214="",L213=""),"",L214-L213)</x:f>
        <x:v>-0.012499575321363032</x:v>
      </x:c>
      <x:c r="N214" s="98" t="n">
        <x:f>IF('Datos_fuente'!L214="","",LN('Datos_fuente'!L214))</x:f>
        <x:v>2.8802032747717425</x:v>
      </x:c>
      <x:c r="O214" s="98" t="n">
        <x:f>IF(OR(N214="",N213=""),"",N214-N213)</x:f>
        <x:v>-0.19454107538414478</x:v>
      </x:c>
      <x:c r="P214" s="96" t="n">
        <x:f>'Datos_fuente'!M214</x:f>
        <x:v>0</x:v>
      </x:c>
      <x:c r="Q214" s="98" t="n">
        <x:f>IF('Datos_fuente'!N214="","",LN('Datos_fuente'!N214))</x:f>
        <x:v>10.968588385844887</x:v>
      </x:c>
      <x:c r="R214" s="98" t="n">
        <x:f>IF(OR(Q214="",Q213=""),"",Q214-Q213)</x:f>
        <x:v>0.0009819955920811196</x:v>
      </x:c>
      <x:c r="S214" s="63" t="n">
        <x:f>'Datos_fuente'!P214</x:f>
        <x:v>4.0215</x:v>
      </x:c>
      <x:c r="T214" s="63" t="n">
        <x:f>IF(OR(S214="",S213=""),"",S214-S213)</x:f>
        <x:v>-0.09458695700000064</x:v>
      </x:c>
      <x:c r="U214" s="98" t="n">
        <x:f>IF('Datos_fuente'!Q214="","",ASINH('Datos_fuente'!Q214/1000))</x:f>
        <x:v>0.17781154140272182</x:v>
      </x:c>
      <x:c r="V214" s="98" t="n">
        <x:f>IF(OR(U214="",U213=""),"",U214-U213)</x:f>
        <x:v>-0.011603779349739385</x:v>
      </x:c>
      <x:c r="W214" s="98" t="n">
        <x:f>IF('Datos_fuente'!R214="","",ASINH('Datos_fuente'!R214/1000))</x:f>
        <x:v>-1.0463680247783211</x:v>
      </x:c>
      <x:c r="X214" s="98" t="n">
        <x:f>IF(OR(W214="",W213=""),"",W214-W213)</x:f>
        <x:v>-0.0373465943318223</x:v>
      </x:c>
      <x:c r="Y214" s="63" t="n">
        <x:f>'Datos_fuente'!W214</x:f>
        <x:v>4.5842861</x:v>
      </x:c>
      <x:c r="Z214" s="63" t="n">
        <x:f>IF(OR(Y214="",Y213=""),"",Y214-Y213)</x:f>
        <x:v>-0.37824671200000015</x:v>
      </x:c>
      <x:c r="AA214" s="98" t="n">
        <x:f>'Datos_fuente'!AB214</x:f>
        <x:v>-0.6531090346</x:v>
      </x:c>
      <x:c r="AB214" s="98" t="n">
        <x:f>'Datos_fuente'!AC214</x:f>
        <x:v>-0.5604717403</x:v>
      </x:c>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t="str">
        <x:f>'Datos_fuente'!A215</x:f>
        <x:v>2023-05</x:v>
      </x:c>
      <x:c r="B215" s="98" t="n">
        <x:f>IF('Datos_fuente'!B215="","",LN('Datos_fuente'!B215))</x:f>
        <x:v>8.420701901415796</x:v>
      </x:c>
      <x:c r="C215" s="98" t="n">
        <x:f>IF(OR(B215="",B214=""),"",B215-B214)</x:f>
        <x:v>-0.0005692763239384391</x:v>
      </x:c>
      <x:c r="D215" s="98" t="n">
        <x:f>IF('Datos_fuente'!C215="","",LN('Datos_fuente'!C215))</x:f>
        <x:v>5.028802598051705</x:v>
      </x:c>
      <x:c r="E215" s="98" t="n">
        <x:f>IF(OR(D215="",D214=""),"",D215-D214)</x:f>
        <x:v>-0.01938535209713521</x:v>
      </x:c>
      <x:c r="F215" s="98" t="n">
        <x:f>IF('Datos_fuente'!E215="","",LN('Datos_fuente'!E215))</x:f>
        <x:v>9.197978275152108</x:v>
      </x:c>
      <x:c r="G215" s="98" t="n">
        <x:f>IF(OR(F215="",F214=""),"",F215-F214)</x:f>
        <x:v>0.003660583481556401</x:v>
      </x:c>
      <x:c r="H215" s="63" t="n">
        <x:f>'Datos_fuente'!H215</x:f>
        <x:v>8.181935484</x:v>
      </x:c>
      <x:c r="I215" s="63" t="n">
        <x:f>IF(OR(H215="",H214=""),"",H215-H214)</x:f>
        <x:v>0.01193548400000033</x:v>
      </x:c>
      <x:c r="J215" s="63" t="n">
        <x:f>'Datos_fuente'!J215</x:f>
        <x:v>4.115965629</x:v>
      </x:c>
      <x:c r="K215" s="63" t="n">
        <x:f>IF(OR(J215="",J214=""),"",J215-J214)</x:f>
        <x:v>-0.20060652200000018</x:v>
      </x:c>
      <x:c r="L215" s="98" t="n">
        <x:f>IF('Datos_fuente'!K215="","",LN('Datos_fuente'!K215))</x:f>
        <x:v>4.784397414448943</x:v>
      </x:c>
      <x:c r="M215" s="98" t="n">
        <x:f>IF(OR(L215="",L214=""),"",L215-L214)</x:f>
        <x:v>0.003215998297540601</x:v>
      </x:c>
      <x:c r="N215" s="98" t="n">
        <x:f>IF('Datos_fuente'!L215="","",LN('Datos_fuente'!L215))</x:f>
        <x:v>2.8699471983068507</x:v>
      </x:c>
      <x:c r="O215" s="98" t="n">
        <x:f>IF(OR(N215="",N214=""),"",N215-N214)</x:f>
        <x:v>-0.010256076464891795</x:v>
      </x:c>
      <x:c r="P215" s="96" t="n">
        <x:f>'Datos_fuente'!M215</x:f>
        <x:v>0</x:v>
      </x:c>
      <x:c r="Q215" s="98" t="n">
        <x:f>IF('Datos_fuente'!N215="","",LN('Datos_fuente'!N215))</x:f>
        <x:v>10.963112100910672</x:v>
      </x:c>
      <x:c r="R215" s="98" t="n">
        <x:f>IF(OR(Q215="",Q214=""),"",Q215-Q214)</x:f>
        <x:v>-0.0054762849342147035</x:v>
      </x:c>
      <x:c r="S215" s="63" t="n">
        <x:f>'Datos_fuente'!P215</x:f>
        <x:v>4.127391304</x:v>
      </x:c>
      <x:c r="T215" s="63" t="n">
        <x:f>IF(OR(S215="",S214=""),"",S215-S214)</x:f>
        <x:v>0.10589130400000002</x:v>
      </x:c>
      <x:c r="U215" s="98" t="n">
        <x:f>IF('Datos_fuente'!Q215="","",ASINH('Datos_fuente'!Q215/1000))</x:f>
        <x:v>0.1582585543297701</x:v>
      </x:c>
      <x:c r="V215" s="98" t="n">
        <x:f>IF(OR(U215="",U214=""),"",U215-U214)</x:f>
        <x:v>-0.019552987072951722</x:v>
      </x:c>
      <x:c r="W215" s="98" t="n">
        <x:f>IF('Datos_fuente'!R215="","",ASINH('Datos_fuente'!R215/1000))</x:f>
        <x:v>-1.437154499696323</x:v>
      </x:c>
      <x:c r="X215" s="98" t="n">
        <x:f>IF(OR(W215="",W214=""),"",W215-W214)</x:f>
        <x:v>-0.3907864749180019</x:v>
      </x:c>
      <x:c r="Y215" s="63" t="n">
        <x:f>'Datos_fuente'!W215</x:f>
        <x:v>4.453180306</x:v>
      </x:c>
      <x:c r="Z215" s="63" t="n">
        <x:f>IF(OR(Y215="",Y214=""),"",Y215-Y214)</x:f>
        <x:v>-0.13110579399999978</x:v>
      </x:c>
      <x:c r="AA215" s="98" t="n">
        <x:f>'Datos_fuente'!AB215</x:f>
        <x:v>-0.5011104434</x:v>
      </x:c>
      <x:c r="AB215" s="98" t="n">
        <x:f>'Datos_fuente'!AC215</x:f>
        <x:v>-0.7877390397</x:v>
      </x:c>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t="str">
        <x:f>'Datos_fuente'!A216</x:f>
        <x:v>2023-06</x:v>
      </x:c>
      <x:c r="B216" s="98" t="n">
        <x:f>IF('Datos_fuente'!B216="","",LN('Datos_fuente'!B216))</x:f>
        <x:v>8.345044039825018</x:v>
      </x:c>
      <x:c r="C216" s="98" t="n">
        <x:f>IF(OR(B216="",B215=""),"",B216-B215)</x:f>
        <x:v>-0.07565786159077881</x:v>
      </x:c>
      <x:c r="D216" s="98" t="n">
        <x:f>IF('Datos_fuente'!C216="","",LN('Datos_fuente'!C216))</x:f>
        <x:v>5.003946305945459</x:v>
      </x:c>
      <x:c r="E216" s="98" t="n">
        <x:f>IF(OR(D216="",D215=""),"",D216-D215)</x:f>
        <x:v>-0.024856292106245625</x:v>
      </x:c>
      <x:c r="F216" s="98" t="n">
        <x:f>IF('Datos_fuente'!E216="","",LN('Datos_fuente'!E216))</x:f>
        <x:v>9.194112407951472</x:v>
      </x:c>
      <x:c r="G216" s="98" t="n">
        <x:f>IF(OR(F216="",F215=""),"",F216-F215)</x:f>
        <x:v>-0.003865867200635975</x:v>
      </x:c>
      <x:c r="H216" s="63" t="n">
        <x:f>'Datos_fuente'!H216</x:f>
        <x:v>8.17</x:v>
      </x:c>
      <x:c r="I216" s="63" t="n">
        <x:f>IF(OR(H216="",H215=""),"",H216-H215)</x:f>
        <x:v>-0.01193548400000033</x:v>
      </x:c>
      <x:c r="J216" s="63" t="n">
        <x:f>'Datos_fuente'!J216</x:f>
        <x:v>3.64486113</x:v>
      </x:c>
      <x:c r="K216" s="63" t="n">
        <x:f>IF(OR(J216="",J215=""),"",J216-J215)</x:f>
        <x:v>-0.47110449899999995</x:v>
      </x:c>
      <x:c r="L216" s="98" t="n">
        <x:f>IF('Datos_fuente'!K216="","",LN('Datos_fuente'!K216))</x:f>
        <x:v>4.781615783094422</x:v>
      </x:c>
      <x:c r="M216" s="98" t="n">
        <x:f>IF(OR(L216="",L215=""),"",L216-L215)</x:f>
        <x:v>-0.0027816313545212523</x:v>
      </x:c>
      <x:c r="N216" s="98" t="n">
        <x:f>IF('Datos_fuente'!L216="","",LN('Datos_fuente'!L216))</x:f>
        <x:v>2.639284576649838</x:v>
      </x:c>
      <x:c r="O216" s="98" t="n">
        <x:f>IF(OR(N216="",N215=""),"",N216-N215)</x:f>
        <x:v>-0.23066262165701268</x:v>
      </x:c>
      <x:c r="P216" s="96" t="n">
        <x:f>'Datos_fuente'!M216</x:f>
        <x:v>0</x:v>
      </x:c>
      <x:c r="Q216" s="98" t="n">
        <x:f>IF('Datos_fuente'!N216="","",LN('Datos_fuente'!N216))</x:f>
        <x:v>10.965414591046365</x:v>
      </x:c>
      <x:c r="R216" s="98" t="n">
        <x:f>IF(OR(Q216="",Q215=""),"",Q216-Q215)</x:f>
        <x:v>0.002302490135692281</x:v>
      </x:c>
      <x:c r="S216" s="63" t="n">
        <x:f>'Datos_fuente'!P216</x:f>
        <x:v>3.665909091</x:v>
      </x:c>
      <x:c r="T216" s="63" t="n">
        <x:f>IF(OR(S216="",S215=""),"",S216-S215)</x:f>
        <x:v>-0.4614822129999996</x:v>
      </x:c>
      <x:c r="U216" s="98" t="n">
        <x:f>IF('Datos_fuente'!Q216="","",ASINH('Datos_fuente'!Q216/1000))</x:f>
        <x:v>0.1478309618556291</x:v>
      </x:c>
      <x:c r="V216" s="98" t="n">
        <x:f>IF(OR(U216="",U215=""),"",U216-U215)</x:f>
        <x:v>-0.01042759247414099</x:v>
      </x:c>
      <x:c r="W216" s="98" t="n">
        <x:f>IF('Datos_fuente'!R216="","",ASINH('Datos_fuente'!R216/1000))</x:f>
        <x:v>-1.1888466785358505</x:v>
      </x:c>
      <x:c r="X216" s="98" t="n">
        <x:f>IF(OR(W216="",W215=""),"",W216-W215)</x:f>
        <x:v>0.24830782116047256</x:v>
      </x:c>
      <x:c r="Y216" s="63" t="n">
        <x:f>'Datos_fuente'!W216</x:f>
        <x:v>3.951104759</x:v>
      </x:c>
      <x:c r="Z216" s="63" t="n">
        <x:f>IF(OR(Y216="",Y215=""),"",Y216-Y215)</x:f>
        <x:v>-0.502075547</x:v>
      </x:c>
      <x:c r="AA216" s="98" t="n">
        <x:f>'Datos_fuente'!AB216</x:f>
        <x:v>-0.6834579742</x:v>
      </x:c>
      <x:c r="AB216" s="98" t="n">
        <x:f>'Datos_fuente'!AC216</x:f>
        <x:v>-0.7197794472</x:v>
      </x:c>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t="str">
        <x:f>'Datos_fuente'!A217</x:f>
        <x:v>2023-07</x:v>
      </x:c>
      <x:c r="B217" s="98" t="n">
        <x:f>IF('Datos_fuente'!B217="","",LN('Datos_fuente'!B217))</x:f>
        <x:v>8.311209943257968</x:v>
      </x:c>
      <x:c r="C217" s="98" t="n">
        <x:f>IF(OR(B217="",B216=""),"",B217-B216)</x:f>
        <x:v>-0.033834096567050054</x:v>
      </x:c>
      <x:c r="D217" s="98" t="n">
        <x:f>IF('Datos_fuente'!C217="","",LN('Datos_fuente'!C217))</x:f>
        <x:v>5.003476396897776</x:v>
      </x:c>
      <x:c r="E217" s="98" t="n">
        <x:f>IF(OR(D217="",D216=""),"",D217-D216)</x:f>
        <x:v>-0.0004699090476831813</x:v>
      </x:c>
      <x:c r="F217" s="98" t="n">
        <x:f>IF('Datos_fuente'!E217="","",LN('Datos_fuente'!E217))</x:f>
        <x:v>9.181034107844205</x:v>
      </x:c>
      <x:c r="G217" s="98" t="n">
        <x:f>IF(OR(F217="",F216=""),"",F217-F216)</x:f>
        <x:v>-0.013078300107267182</x:v>
      </x:c>
      <x:c r="H217" s="63" t="n">
        <x:f>'Datos_fuente'!H217</x:f>
        <x:v>8.13</x:v>
      </x:c>
      <x:c r="I217" s="63" t="n">
        <x:f>IF(OR(H217="",H216=""),"",H217-H216)</x:f>
        <x:v>-0.03999999999999915</x:v>
      </x:c>
      <x:c r="J217" s="63" t="n">
        <x:f>'Datos_fuente'!J217</x:f>
        <x:v>3.279629586</x:v>
      </x:c>
      <x:c r="K217" s="63" t="n">
        <x:f>IF(OR(J217="",J216=""),"",J217-J216)</x:f>
        <x:v>-0.3652315439999998</x:v>
      </x:c>
      <x:c r="L217" s="98" t="n">
        <x:f>IF('Datos_fuente'!K217="","",LN('Datos_fuente'!K217))</x:f>
        <x:v>4.77110119023247</x:v>
      </x:c>
      <x:c r="M217" s="98" t="n">
        <x:f>IF(OR(L217="",L216=""),"",L217-L216)</x:f>
        <x:v>-0.01051459286195211</x:v>
      </x:c>
      <x:c r="N217" s="98" t="n">
        <x:f>IF('Datos_fuente'!L217="","",LN('Datos_fuente'!L217))</x:f>
        <x:v>2.6342156956556235</x:v>
      </x:c>
      <x:c r="O217" s="98" t="n">
        <x:f>IF(OR(N217="",N216=""),"",N217-N216)</x:f>
        <x:v>-0.005068880994214542</x:v>
      </x:c>
      <x:c r="P217" s="96" t="n">
        <x:f>'Datos_fuente'!M217</x:f>
        <x:v>0</x:v>
      </x:c>
      <x:c r="Q217" s="98" t="n">
        <x:f>IF('Datos_fuente'!N217="","",LN('Datos_fuente'!N217))</x:f>
        <x:v>10.970126257389754</x:v>
      </x:c>
      <x:c r="R217" s="98" t="n">
        <x:f>IF(OR(Q217="",Q216=""),"",Q217-Q216)</x:f>
        <x:v>0.004711666343389709</x:v>
      </x:c>
      <x:c r="S217" s="63" t="n">
        <x:f>'Datos_fuente'!P217</x:f>
        <x:v>3.4</x:v>
      </x:c>
      <x:c r="T217" s="63" t="n">
        <x:f>IF(OR(S217="",S216=""),"",S217-S216)</x:f>
        <x:v>-0.26590909100000015</x:v>
      </x:c>
      <x:c r="U217" s="98" t="n">
        <x:f>IF('Datos_fuente'!Q217="","",ASINH('Datos_fuente'!Q217/1000))</x:f>
        <x:v>0.08360257744357871</x:v>
      </x:c>
      <x:c r="V217" s="98" t="n">
        <x:f>IF(OR(U217="",U216=""),"",U217-U216)</x:f>
        <x:v>-0.0642283844120504</x:v>
      </x:c>
      <x:c r="W217" s="98" t="n">
        <x:f>IF('Datos_fuente'!R217="","",ASINH('Datos_fuente'!R217/1000))</x:f>
        <x:v>-1.1423336145125407</x:v>
      </x:c>
      <x:c r="X217" s="98" t="n">
        <x:f>IF(OR(W217="",W216=""),"",W217-W216)</x:f>
        <x:v>0.04651306402330979</x:v>
      </x:c>
      <x:c r="Y217" s="63" t="n">
        <x:f>'Datos_fuente'!W217</x:f>
        <x:v>3.633590808</x:v>
      </x:c>
      <x:c r="Z217" s="63" t="n">
        <x:f>IF(OR(Y217="",Y216=""),"",Y217-Y216)</x:f>
        <x:v>-0.317513951</x:v>
      </x:c>
      <x:c r="AA217" s="98" t="n">
        <x:f>'Datos_fuente'!AB217</x:f>
        <x:v>-0.202625797</x:v>
      </x:c>
      <x:c r="AB217" s="98" t="n">
        <x:f>'Datos_fuente'!AC217</x:f>
        <x:v>-0.4222317561</x:v>
      </x:c>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t="str">
        <x:f>'Datos_fuente'!A218</x:f>
        <x:v>2023-08</x:v>
      </x:c>
      <x:c r="B218" s="98" t="n">
        <x:f>IF('Datos_fuente'!B218="","",LN('Datos_fuente'!B218))</x:f>
        <x:v>8.311576434801726</x:v>
      </x:c>
      <x:c r="C218" s="98" t="n">
        <x:f>IF(OR(B218="",B217=""),"",B218-B217)</x:f>
        <x:v>0.00036649154375822945</x:v>
      </x:c>
      <x:c r="D218" s="98" t="n">
        <x:f>IF('Datos_fuente'!C218="","",LN('Datos_fuente'!C218))</x:f>
        <x:v>5.063860055333554</x:v>
      </x:c>
      <x:c r="E218" s="98" t="n">
        <x:f>IF(OR(D218="",D217=""),"",D218-D217)</x:f>
        <x:v>0.060383658435777754</x:v>
      </x:c>
      <x:c r="F218" s="98" t="n">
        <x:f>IF('Datos_fuente'!E218="","",LN('Datos_fuente'!E218))</x:f>
        <x:v>9.19314436449289</x:v>
      </x:c>
      <x:c r="G218" s="98" t="n">
        <x:f>IF(OR(F218="",F217=""),"",F218-F217)</x:f>
        <x:v>0.01211025664868437</x:v>
      </x:c>
      <x:c r="H218" s="63" t="n">
        <x:f>'Datos_fuente'!H218</x:f>
        <x:v>7.92</x:v>
      </x:c>
      <x:c r="I218" s="63" t="n">
        <x:f>IF(OR(H218="",H217=""),"",H218-H217)</x:f>
        <x:v>-0.21000000000000085</x:v>
      </x:c>
      <x:c r="J218" s="63" t="n">
        <x:f>'Datos_fuente'!J218</x:f>
        <x:v>2.984836461</x:v>
      </x:c>
      <x:c r="K218" s="63" t="n">
        <x:f>IF(OR(J218="",J217=""),"",J218-J217)</x:f>
        <x:v>-0.294793125</x:v>
      </x:c>
      <x:c r="L218" s="98" t="n">
        <x:f>IF('Datos_fuente'!K218="","",LN('Datos_fuente'!K218))</x:f>
        <x:v>4.786293924016829</x:v>
      </x:c>
      <x:c r="M218" s="98" t="n">
        <x:f>IF(OR(L218="",L217=""),"",L218-L217)</x:f>
        <x:v>0.015192733784359369</x:v>
      </x:c>
      <x:c r="N218" s="98" t="n">
        <x:f>IF('Datos_fuente'!L218="","",LN('Datos_fuente'!L218))</x:f>
        <x:v>2.76341634934883</x:v>
      </x:c>
      <x:c r="O218" s="98" t="n">
        <x:f>IF(OR(N218="",N217=""),"",N218-N217)</x:f>
        <x:v>0.12920065369320666</x:v>
      </x:c>
      <x:c r="P218" s="96" t="n">
        <x:f>'Datos_fuente'!M218</x:f>
        <x:v>0</x:v>
      </x:c>
      <x:c r="Q218" s="98" t="n">
        <x:f>IF('Datos_fuente'!N218="","",LN('Datos_fuente'!N218))</x:f>
        <x:v>10.96724231548957</x:v>
      </x:c>
      <x:c r="R218" s="98" t="n">
        <x:f>IF(OR(Q218="",Q217=""),"",Q218-Q217)</x:f>
        <x:v>-0.0028839419001851496</x:v>
      </x:c>
      <x:c r="S218" s="63" t="n">
        <x:f>'Datos_fuente'!P218</x:f>
        <x:v>3.237826087</x:v>
      </x:c>
      <x:c r="T218" s="63" t="n">
        <x:f>IF(OR(S218="",S217=""),"",S218-S217)</x:f>
        <x:v>-0.16217391299999973</x:v>
      </x:c>
      <x:c r="U218" s="98" t="n">
        <x:f>IF('Datos_fuente'!Q218="","",ASINH('Datos_fuente'!Q218/1000))</x:f>
        <x:v>0.08605375243404717</x:v>
      </x:c>
      <x:c r="V218" s="98" t="n">
        <x:f>IF(OR(U218="",U217=""),"",U218-U217)</x:f>
        <x:v>0.0024511749904684577</x:v>
      </x:c>
      <x:c r="W218" s="98" t="n">
        <x:f>IF('Datos_fuente'!R218="","",ASINH('Datos_fuente'!R218/1000))</x:f>
        <x:v>-1.4886043951996675</x:v>
      </x:c>
      <x:c r="X218" s="98" t="n">
        <x:f>IF(OR(W218="",W217=""),"",W218-W217)</x:f>
        <x:v>-0.3462707806871268</x:v>
      </x:c>
      <x:c r="Y218" s="63" t="n">
        <x:f>'Datos_fuente'!W218</x:f>
        <x:v>3.617455083</x:v>
      </x:c>
      <x:c r="Z218" s="63" t="n">
        <x:f>IF(OR(Y218="",Y217=""),"",Y218-Y217)</x:f>
        <x:v>-0.016135725000000267</x:v>
      </x:c>
      <x:c r="AA218" s="98" t="n">
        <x:f>'Datos_fuente'!AB218</x:f>
        <x:v>0.7637915181</x:v>
      </x:c>
      <x:c r="AB218" s="98" t="n">
        <x:f>'Datos_fuente'!AC218</x:f>
        <x:v>1.107241663</x:v>
      </x:c>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t="str">
        <x:f>'Datos_fuente'!A219</x:f>
        <x:v>2023-09</x:v>
      </x:c>
      <x:c r="B219" s="98" t="n">
        <x:f>IF('Datos_fuente'!B219="","",LN('Datos_fuente'!B219))</x:f>
        <x:v>8.295179168694357</x:v>
      </x:c>
      <x:c r="C219" s="98" t="n">
        <x:f>IF(OR(B219="",B218=""),"",B219-B218)</x:f>
        <x:v>-0.01639726610736858</x:v>
      </x:c>
      <x:c r="D219" s="98" t="n">
        <x:f>IF('Datos_fuente'!C219="","",LN('Datos_fuente'!C219))</x:f>
        <x:v>5.068149200296863</x:v>
      </x:c>
      <x:c r="E219" s="98" t="n">
        <x:f>IF(OR(D219="",D218=""),"",D219-D218)</x:f>
        <x:v>0.0042891449633089</x:v>
      </x:c>
      <x:c r="F219" s="98" t="n">
        <x:f>IF('Datos_fuente'!E219="","",LN('Datos_fuente'!E219))</x:f>
        <x:v>9.206335362622301</x:v>
      </x:c>
      <x:c r="G219" s="98" t="n">
        <x:f>IF(OR(F219="",F218=""),"",F219-F218)</x:f>
        <x:v>0.013190998129411824</x:v>
      </x:c>
      <x:c r="H219" s="63" t="n">
        <x:f>'Datos_fuente'!H219</x:f>
        <x:v>7.92</x:v>
      </x:c>
      <x:c r="I219" s="63" t="n">
        <x:f>IF(OR(H219="",H218=""),"",H219-H218)</x:f>
        <x:v>0</x:v>
      </x:c>
      <x:c r="J219" s="63" t="n">
        <x:f>'Datos_fuente'!J219</x:f>
        <x:v>3.31314259</x:v>
      </x:c>
      <x:c r="K219" s="63" t="n">
        <x:f>IF(OR(J219="",J218=""),"",J219-J218)</x:f>
        <x:v>0.328306129</x:v>
      </x:c>
      <x:c r="L219" s="98" t="n">
        <x:f>IF('Datos_fuente'!K219="","",LN('Datos_fuente'!K219))</x:f>
        <x:v>4.801111323794871</x:v>
      </x:c>
      <x:c r="M219" s="98" t="n">
        <x:f>IF(OR(L219="",L218=""),"",L219-L218)</x:f>
        <x:v>0.01481739977804164</x:v>
      </x:c>
      <x:c r="N219" s="98" t="n">
        <x:f>IF('Datos_fuente'!L219="","",LN('Datos_fuente'!L219))</x:f>
        <x:v>2.7195395009302823</x:v>
      </x:c>
      <x:c r="O219" s="98" t="n">
        <x:f>IF(OR(N219="",N218=""),"",N219-N218)</x:f>
        <x:v>-0.04387684841854789</x:v>
      </x:c>
      <x:c r="P219" s="96" t="n">
        <x:f>'Datos_fuente'!M219</x:f>
        <x:v>0</x:v>
      </x:c>
      <x:c r="Q219" s="98" t="n">
        <x:f>IF('Datos_fuente'!N219="","",LN('Datos_fuente'!N219))</x:f>
        <x:v>10.960690695177602</x:v>
      </x:c>
      <x:c r="R219" s="98" t="n">
        <x:f>IF(OR(Q219="",Q218=""),"",Q219-Q218)</x:f>
        <x:v>-0.006551620311967099</x:v>
      </x:c>
      <x:c r="S219" s="63" t="n">
        <x:f>'Datos_fuente'!P219</x:f>
        <x:v>3.298571429</x:v>
      </x:c>
      <x:c r="T219" s="63" t="n">
        <x:f>IF(OR(S219="",S218=""),"",S219-S218)</x:f>
        <x:v>0.0607453419999997</x:v>
      </x:c>
      <x:c r="U219" s="98" t="n">
        <x:f>IF('Datos_fuente'!Q219="","",ASINH('Datos_fuente'!Q219/1000))</x:f>
        <x:v>0.05003911511998218</x:v>
      </x:c>
      <x:c r="V219" s="98" t="n">
        <x:f>IF(OR(U219="",U218=""),"",U219-U218)</x:f>
        <x:v>-0.03601463731406499</x:v>
      </x:c>
      <x:c r="W219" s="98" t="n">
        <x:f>IF('Datos_fuente'!R219="","",ASINH('Datos_fuente'!R219/1000))</x:f>
        <x:v>-1.4495498494762886</x:v>
      </x:c>
      <x:c r="X219" s="98" t="n">
        <x:f>IF(OR(W219="",W218=""),"",W219-W218)</x:f>
        <x:v>0.03905454572337885</x:v>
      </x:c>
      <x:c r="Y219" s="63" t="n">
        <x:f>'Datos_fuente'!W219</x:f>
        <x:v>3.981199053</x:v>
      </x:c>
      <x:c r="Z219" s="63" t="n">
        <x:f>IF(OR(Y219="",Y218=""),"",Y219-Y218)</x:f>
        <x:v>0.36374397000000025</x:v>
      </x:c>
      <x:c r="AA219" s="98" t="n">
        <x:f>'Datos_fuente'!AB219</x:f>
        <x:v>0.6182965181</x:v>
      </x:c>
      <x:c r="AB219" s="98" t="n">
        <x:f>'Datos_fuente'!AC219</x:f>
        <x:v>0.6461100967</x:v>
      </x:c>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t="str">
        <x:f>'Datos_fuente'!A220</x:f>
        <x:v>2023-10</x:v>
      </x:c>
      <x:c r="B220" s="98" t="n">
        <x:f>IF('Datos_fuente'!B220="","",LN('Datos_fuente'!B220))</x:f>
        <x:v>8.348166834702564</x:v>
      </x:c>
      <x:c r="C220" s="98" t="n">
        <x:f>IF(OR(B220="",B219=""),"",B220-B219)</x:f>
        <x:v>0.0529876660082067</x:v>
      </x:c>
      <x:c r="D220" s="98" t="n">
        <x:f>IF('Datos_fuente'!C220="","",LN('Datos_fuente'!C220))</x:f>
        <x:v>5.05790048656337</x:v>
      </x:c>
      <x:c r="E220" s="98" t="n">
        <x:f>IF(OR(D220="",D219=""),"",D220-D219)</x:f>
        <x:v>-0.010248713733492565</x:v>
      </x:c>
      <x:c r="F220" s="98" t="n">
        <x:f>IF('Datos_fuente'!E220="","",LN('Datos_fuente'!E220))</x:f>
        <x:v>9.205472543299276</x:v>
      </x:c>
      <x:c r="G220" s="98" t="n">
        <x:f>IF(OR(F220="",F219=""),"",F220-F219)</x:f>
        <x:v>-0.0008628193230251213</x:v>
      </x:c>
      <x:c r="H220" s="63" t="n">
        <x:f>'Datos_fuente'!H220</x:f>
        <x:v>7.92</x:v>
      </x:c>
      <x:c r="I220" s="63" t="n">
        <x:f>IF(OR(H220="",H219=""),"",H220-H219)</x:f>
        <x:v>0</x:v>
      </x:c>
      <x:c r="J220" s="63" t="n">
        <x:f>'Datos_fuente'!J220</x:f>
        <x:v>3.673593161</x:v>
      </x:c>
      <x:c r="K220" s="63" t="n">
        <x:f>IF(OR(J220="",J219=""),"",J220-J219)</x:f>
        <x:v>0.3604505709999999</x:v>
      </x:c>
      <x:c r="L220" s="98" t="n">
        <x:f>IF('Datos_fuente'!K220="","",LN('Datos_fuente'!K220))</x:f>
        <x:v>4.816218059445032</x:v>
      </x:c>
      <x:c r="M220" s="98" t="n">
        <x:f>IF(OR(L220="",L219=""),"",L220-L219)</x:f>
        <x:v>0.015106735650161518</x:v>
      </x:c>
      <x:c r="N220" s="98" t="n">
        <x:f>IF('Datos_fuente'!L220="","",LN('Datos_fuente'!L220))</x:f>
        <x:v>2.9385123603524073</x:v>
      </x:c>
      <x:c r="O220" s="98" t="n">
        <x:f>IF(OR(N220="",N219=""),"",N220-N219)</x:f>
        <x:v>0.21897285942212497</x:v>
      </x:c>
      <x:c r="P220" s="96" t="n">
        <x:f>'Datos_fuente'!M220</x:f>
        <x:v>0</x:v>
      </x:c>
      <x:c r="Q220" s="98" t="n">
        <x:f>IF('Datos_fuente'!N220="","",LN('Datos_fuente'!N220))</x:f>
        <x:v>10.9586208477643</x:v>
      </x:c>
      <x:c r="R220" s="98" t="n">
        <x:f>IF(OR(Q220="",Q219=""),"",Q220-Q219)</x:f>
        <x:v>-0.002069847413302739</x:v>
      </x:c>
      <x:c r="S220" s="63" t="n">
        <x:f>'Datos_fuente'!P220</x:f>
        <x:v>3.460909091</x:v>
      </x:c>
      <x:c r="T220" s="63" t="n">
        <x:f>IF(OR(S220="",S219=""),"",S220-S219)</x:f>
        <x:v>0.1623376620000001</x:v>
      </x:c>
      <x:c r="U220" s="98" t="n">
        <x:f>IF('Datos_fuente'!Q220="","",ASINH('Datos_fuente'!Q220/1000))</x:f>
        <x:v>0.23937732764696273</x:v>
      </x:c>
      <x:c r="V220" s="98" t="n">
        <x:f>IF(OR(U220="",U219=""),"",U220-U219)</x:f>
        <x:v>0.18933821252698055</x:v>
      </x:c>
      <x:c r="W220" s="98" t="n">
        <x:f>IF('Datos_fuente'!R220="","",ASINH('Datos_fuente'!R220/1000))</x:f>
        <x:v>-1.60323945009904</x:v>
      </x:c>
      <x:c r="X220" s="98" t="n">
        <x:f>IF(OR(W220="",W219=""),"",W220-W219)</x:f>
        <x:v>-0.15368960062275128</x:v>
      </x:c>
      <x:c r="Y220" s="63" t="n">
        <x:f>'Datos_fuente'!W220</x:f>
        <x:v>4.469923829</x:v>
      </x:c>
      <x:c r="Z220" s="63" t="n">
        <x:f>IF(OR(Y220="",Y219=""),"",Y220-Y219)</x:f>
        <x:v>0.48872477599999975</x:v>
      </x:c>
      <x:c r="AA220" s="98" t="n">
        <x:f>'Datos_fuente'!AB220</x:f>
        <x:v>1.15661039</x:v>
      </x:c>
      <x:c r="AB220" s="98" t="n">
        <x:f>'Datos_fuente'!AC220</x:f>
        <x:v>1.479270261</x:v>
      </x:c>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t="str">
        <x:f>'Datos_fuente'!A221</x:f>
        <x:v>2023-11</x:v>
      </x:c>
      <x:c r="B221" s="98" t="n">
        <x:f>IF('Datos_fuente'!B221="","",LN('Datos_fuente'!B221))</x:f>
        <x:v>8.303704052670748</x:v>
      </x:c>
      <x:c r="C221" s="98" t="n">
        <x:f>IF(OR(B221="",B220=""),"",B221-B220)</x:f>
        <x:v>-0.04446278203181642</x:v>
      </x:c>
      <x:c r="D221" s="98" t="n">
        <x:f>IF('Datos_fuente'!C221="","",LN('Datos_fuente'!C221))</x:f>
        <x:v>4.96298448062025</x:v>
      </x:c>
      <x:c r="E221" s="98" t="n">
        <x:f>IF(OR(D221="",D220=""),"",D221-D220)</x:f>
        <x:v>-0.09491600594312022</x:v>
      </x:c>
      <x:c r="F221" s="98" t="n">
        <x:f>IF('Datos_fuente'!E221="","",LN('Datos_fuente'!E221))</x:f>
        <x:v>9.212912062344001</x:v>
      </x:c>
      <x:c r="G221" s="98" t="n">
        <x:f>IF(OR(F221="",F220=""),"",F221-F220)</x:f>
        <x:v>0.0074395190447251736</x:v>
      </x:c>
      <x:c r="H221" s="63" t="n">
        <x:f>'Datos_fuente'!H221</x:f>
        <x:v>7.92</x:v>
      </x:c>
      <x:c r="I221" s="63" t="n">
        <x:f>IF(OR(H221="",H220=""),"",H221-H220)</x:f>
        <x:v>0</x:v>
      </x:c>
      <x:c r="J221" s="63" t="n">
        <x:f>'Datos_fuente'!J221</x:f>
        <x:v>4.149544635</x:v>
      </x:c>
      <x:c r="K221" s="63" t="n">
        <x:f>IF(OR(J221="",J220=""),"",J221-J220)</x:f>
        <x:v>0.47595147399999993</x:v>
      </x:c>
      <x:c r="L221" s="98" t="n">
        <x:f>IF('Datos_fuente'!K221="","",LN('Datos_fuente'!K221))</x:f>
        <x:v>4.797624565233434</x:v>
      </x:c>
      <x:c r="M221" s="98" t="n">
        <x:f>IF(OR(L221="",L220=""),"",L221-L220)</x:f>
        <x:v>-0.01859349421159795</x:v>
      </x:c>
      <x:c r="N221" s="98" t="n">
        <x:f>IF('Datos_fuente'!L221="","",LN('Datos_fuente'!L221))</x:f>
        <x:v>2.640420037136041</x:v>
      </x:c>
      <x:c r="O221" s="98" t="n">
        <x:f>IF(OR(N221="",N220=""),"",N221-N220)</x:f>
        <x:v>-0.29809232321636614</x:v>
      </x:c>
      <x:c r="P221" s="96" t="n">
        <x:f>'Datos_fuente'!M221</x:f>
        <x:v>0</x:v>
      </x:c>
      <x:c r="Q221" s="98" t="n">
        <x:f>IF('Datos_fuente'!N221="","",LN('Datos_fuente'!N221))</x:f>
        <x:v>10.97835805560125</x:v>
      </x:c>
      <x:c r="R221" s="98" t="n">
        <x:f>IF(OR(Q221="",Q220=""),"",Q221-Q220)</x:f>
        <x:v>0.019737207836950432</x:v>
      </x:c>
      <x:c r="S221" s="63" t="n">
        <x:f>'Datos_fuente'!P221</x:f>
        <x:v>3.124545455</x:v>
      </x:c>
      <x:c r="T221" s="63" t="n">
        <x:f>IF(OR(S221="",S220=""),"",S221-S220)</x:f>
        <x:v>-0.3363636360000002</x:v>
      </x:c>
      <x:c r="U221" s="98" t="n">
        <x:f>IF('Datos_fuente'!Q221="","",ASINH('Datos_fuente'!Q221/1000))</x:f>
        <x:v>0.1576067007521118</x:v>
      </x:c>
      <x:c r="V221" s="98" t="n">
        <x:f>IF(OR(U221="",U220=""),"",U221-U220)</x:f>
        <x:v>-0.08177062689485093</x:v>
      </x:c>
      <x:c r="W221" s="98" t="n">
        <x:f>IF('Datos_fuente'!R221="","",ASINH('Datos_fuente'!R221/1000))</x:f>
        <x:v>-0.39663793051781604</x:v>
      </x:c>
      <x:c r="X221" s="98" t="n">
        <x:f>IF(OR(W221="",W220=""),"",W221-W220)</x:f>
        <x:v>1.2066015195812239</x:v>
      </x:c>
      <x:c r="Y221" s="63" t="n">
        <x:f>'Datos_fuente'!W221</x:f>
        <x:v>3.840623831</x:v>
      </x:c>
      <x:c r="Z221" s="63" t="n">
        <x:f>IF(OR(Y221="",Y220=""),"",Y221-Y220)</x:f>
        <x:v>-0.629299998</x:v>
      </x:c>
      <x:c r="AA221" s="98" t="n">
        <x:f>'Datos_fuente'!AB221</x:f>
        <x:v>-1.393411098</x:v>
      </x:c>
      <x:c r="AB221" s="98" t="n">
        <x:f>'Datos_fuente'!AC221</x:f>
        <x:v>-1.491934563</x:v>
      </x:c>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t="str">
        <x:f>'Datos_fuente'!A222</x:f>
        <x:v>2023-12</x:v>
      </x:c>
      <x:c r="B222" s="98" t="n">
        <x:f>IF('Datos_fuente'!B222="","",LN('Datos_fuente'!B222))</x:f>
        <x:v>8.28101677354865</x:v>
      </x:c>
      <x:c r="C222" s="98" t="n">
        <x:f>IF(OR(B222="",B221=""),"",B222-B221)</x:f>
        <x:v>-0.022687279122097337</x:v>
      </x:c>
      <x:c r="D222" s="98" t="n">
        <x:f>IF('Datos_fuente'!C222="","",LN('Datos_fuente'!C222))</x:f>
        <x:v>5.002199815275154</x:v>
      </x:c>
      <x:c r="E222" s="98" t="n">
        <x:f>IF(OR(D222="",D221=""),"",D222-D221)</x:f>
        <x:v>0.03921533465490423</x:v>
      </x:c>
      <x:c r="F222" s="98" t="n">
        <x:f>IF('Datos_fuente'!E222="","",LN('Datos_fuente'!E222))</x:f>
        <x:v>9.21940714428961</x:v>
      </x:c>
      <x:c r="G222" s="98" t="n">
        <x:f>IF(OR(F222="",F221=""),"",F222-F221)</x:f>
        <x:v>0.006495081945608661</x:v>
      </x:c>
      <x:c r="H222" s="63" t="n">
        <x:f>'Datos_fuente'!H222</x:f>
        <x:v>7.823225806</x:v>
      </x:c>
      <x:c r="I222" s="63" t="n">
        <x:f>IF(OR(H222="",H221=""),"",H222-H221)</x:f>
        <x:v>-0.09677419399999998</x:v>
      </x:c>
      <x:c r="J222" s="63" t="n">
        <x:f>'Datos_fuente'!J222</x:f>
        <x:v>4.216018904</x:v>
      </x:c>
      <x:c r="K222" s="63" t="n">
        <x:f>IF(OR(J222="",J221=""),"",J222-J221)</x:f>
        <x:v>0.06647426900000042</x:v>
      </x:c>
      <x:c r="L222" s="98" t="n">
        <x:f>IF('Datos_fuente'!K222="","",LN('Datos_fuente'!K222))</x:f>
        <x:v>4.7861002751398125</x:v>
      </x:c>
      <x:c r="M222" s="98" t="n">
        <x:f>IF(OR(L222="",L221=""),"",L222-L221)</x:f>
        <x:v>-0.011524290093621659</x:v>
      </x:c>
      <x:c r="N222" s="98" t="n">
        <x:f>IF('Datos_fuente'!L222="","",LN('Datos_fuente'!L222))</x:f>
        <x:v>2.54305762643003</x:v>
      </x:c>
      <x:c r="O222" s="98" t="n">
        <x:f>IF(OR(N222="",N221=""),"",N222-N221)</x:f>
        <x:v>-0.09736241070601093</x:v>
      </x:c>
      <x:c r="P222" s="96" t="n">
        <x:f>'Datos_fuente'!M222</x:f>
        <x:v>0</x:v>
      </x:c>
      <x:c r="Q222" s="98" t="n">
        <x:f>IF('Datos_fuente'!N222="","",LN('Datos_fuente'!N222))</x:f>
        <x:v>10.99555044062608</x:v>
      </x:c>
      <x:c r="R222" s="98" t="n">
        <x:f>IF(OR(Q222="",Q221=""),"",Q222-Q221)</x:f>
        <x:v>0.01719238502482945</x:v>
      </x:c>
      <x:c r="S222" s="63" t="n">
        <x:f>'Datos_fuente'!P222</x:f>
        <x:v>2.892380952</x:v>
      </x:c>
      <x:c r="T222" s="63" t="n">
        <x:f>IF(OR(S222="",S221=""),"",S222-S221)</x:f>
        <x:v>-0.2321645029999999</x:v>
      </x:c>
      <x:c r="U222" s="98" t="n">
        <x:f>IF('Datos_fuente'!Q222="","",ASINH('Datos_fuente'!Q222/1000))</x:f>
        <x:v>0.08116086837170462</x:v>
      </x:c>
      <x:c r="V222" s="98" t="n">
        <x:f>IF(OR(U222="",U221=""),"",U222-U221)</x:f>
        <x:v>-0.07644583238040718</x:v>
      </x:c>
      <x:c r="W222" s="98" t="n">
        <x:f>IF('Datos_fuente'!R222="","",ASINH('Datos_fuente'!R222/1000))</x:f>
        <x:v>-0.6780796401784459</x:v>
      </x:c>
      <x:c r="X222" s="98" t="n">
        <x:f>IF(OR(W222="",W221=""),"",W222-W221)</x:f>
        <x:v>-0.28144170966062987</x:v>
      </x:c>
      <x:c r="Y222" s="63" t="n">
        <x:f>'Datos_fuente'!W222</x:f>
        <x:v>3.776245568</x:v>
      </x:c>
      <x:c r="Z222" s="63" t="n">
        <x:f>IF(OR(Y222="",Y221=""),"",Y222-Y221)</x:f>
        <x:v>-0.0643782629999996</x:v>
      </x:c>
      <x:c r="AA222" s="98" t="n">
        <x:f>'Datos_fuente'!AB222</x:f>
        <x:v>-0.3922472592</x:v>
      </x:c>
      <x:c r="AB222" s="98" t="n">
        <x:f>'Datos_fuente'!AC222</x:f>
        <x:v>-0.4358506351</x:v>
      </x:c>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t="str">
        <x:f>'Datos_fuente'!A223</x:f>
        <x:v>2024-01</x:v>
      </x:c>
      <x:c r="B223" s="98" t="n">
        <x:f>IF('Datos_fuente'!B223="","",LN('Datos_fuente'!B223))</x:f>
        <x:v>8.27262136320327</x:v>
      </x:c>
      <x:c r="C223" s="98" t="n">
        <x:f>IF(OR(B223="",B222=""),"",B223-B222)</x:f>
        <x:v>-0.008395410345380938</x:v>
      </x:c>
      <x:c r="D223" s="98" t="n">
        <x:f>IF('Datos_fuente'!C223="","",LN('Datos_fuente'!C223))</x:f>
        <x:v>5.022959043785088</x:v>
      </x:c>
      <x:c r="E223" s="98" t="n">
        <x:f>IF(OR(D223="",D222=""),"",D223-D222)</x:f>
        <x:v>0.020759228509933614</x:v>
      </x:c>
      <x:c r="F223" s="98" t="n">
        <x:f>IF('Datos_fuente'!E223="","",LN('Datos_fuente'!E223))</x:f>
        <x:v>9.231989332964504</x:v>
      </x:c>
      <x:c r="G223" s="98" t="n">
        <x:f>IF(OR(F223="",F222=""),"",F223-F222)</x:f>
        <x:v>0.012582188674894468</x:v>
      </x:c>
      <x:c r="H223" s="63" t="n">
        <x:f>'Datos_fuente'!H223</x:f>
        <x:v>7.67</x:v>
      </x:c>
      <x:c r="I223" s="63" t="n">
        <x:f>IF(OR(H223="",H222=""),"",H223-H222)</x:f>
        <x:v>-0.15322580600000002</x:v>
      </x:c>
      <x:c r="J223" s="63" t="n">
        <x:f>'Datos_fuente'!J223</x:f>
        <x:v>4.175494571</x:v>
      </x:c>
      <x:c r="K223" s="63" t="n">
        <x:f>IF(OR(J223="",J222=""),"",J223-J222)</x:f>
        <x:v>-0.04052433300000047</x:v>
      </x:c>
      <x:c r="L223" s="98" t="n">
        <x:f>IF('Datos_fuente'!K223="","",LN('Datos_fuente'!K223))</x:f>
        <x:v>4.789384592710776</x:v>
      </x:c>
      <x:c r="M223" s="98" t="n">
        <x:f>IF(OR(L223="",L222=""),"",L223-L222)</x:f>
        <x:v>0.0032843175709631467</x:v>
      </x:c>
      <x:c r="N223" s="98" t="n">
        <x:f>IF('Datos_fuente'!L223="","",LN('Datos_fuente'!L223))</x:f>
        <x:v>2.5944063143377796</x:v>
      </x:c>
      <x:c r="O223" s="98" t="n">
        <x:f>IF(OR(N223="",N222=""),"",N223-N222)</x:f>
        <x:v>0.05134868790774938</x:v>
      </x:c>
      <x:c r="P223" s="96" t="n">
        <x:f>'Datos_fuente'!M223</x:f>
        <x:v>0</x:v>
      </x:c>
      <x:c r="Q223" s="98" t="n">
        <x:f>IF('Datos_fuente'!N223="","",LN('Datos_fuente'!N223))</x:f>
        <x:v>10.996311957004416</x:v>
      </x:c>
      <x:c r="R223" s="98" t="n">
        <x:f>IF(OR(Q223="",Q222=""),"",Q223-Q222)</x:f>
        <x:v>0.0007615163783363244</x:v>
      </x:c>
      <x:c r="S223" s="63" t="n">
        <x:f>'Datos_fuente'!P223</x:f>
        <x:v>3.026956522</x:v>
      </x:c>
      <x:c r="T223" s="63" t="n">
        <x:f>IF(OR(S223="",S222=""),"",S223-S222)</x:f>
        <x:v>0.13457556999999998</x:v>
      </x:c>
      <x:c r="U223" s="98" t="n">
        <x:f>IF('Datos_fuente'!Q223="","",ASINH('Datos_fuente'!Q223/1000))</x:f>
        <x:v>0.21072694882907483</x:v>
      </x:c>
      <x:c r="V223" s="98" t="n">
        <x:f>IF(OR(U223="",U222=""),"",U223-U222)</x:f>
        <x:v>0.12956608045737023</x:v>
      </x:c>
      <x:c r="W223" s="98" t="n">
        <x:f>IF('Datos_fuente'!R223="","",ASINH('Datos_fuente'!R223/1000))</x:f>
        <x:v>-1.5081404963165324</x:v>
      </x:c>
      <x:c r="X223" s="98" t="n">
        <x:f>IF(OR(W223="",W222=""),"",W223-W222)</x:f>
        <x:v>-0.8300608561380864</x:v>
      </x:c>
      <x:c r="Y223" s="63" t="n">
        <x:f>'Datos_fuente'!W223</x:f>
        <x:v>3.302157138</x:v>
      </x:c>
      <x:c r="Z223" s="63" t="n">
        <x:f>IF(OR(Y223="",Y222=""),"",Y223-Y222)</x:f>
        <x:v>-0.4740884300000001</x:v>
      </x:c>
      <x:c r="AA223" s="98" t="n">
        <x:f>'Datos_fuente'!AB223</x:f>
        <x:v>0.3397757829</x:v>
      </x:c>
      <x:c r="AB223" s="98" t="n">
        <x:f>'Datos_fuente'!AC223</x:f>
        <x:v>0.2938950627</x:v>
      </x:c>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t="str">
        <x:f>'Datos_fuente'!A224</x:f>
        <x:v>2024-02</x:v>
      </x:c>
      <x:c r="B224" s="98" t="n">
        <x:f>IF('Datos_fuente'!B224="","",LN('Datos_fuente'!B224))</x:f>
        <x:v>8.276760699202363</x:v>
      </x:c>
      <x:c r="C224" s="98" t="n">
        <x:f>IF(OR(B224="",B223=""),"",B224-B223)</x:f>
        <x:v>0.004139335999093774</x:v>
      </x:c>
      <x:c r="D224" s="98" t="n">
        <x:f>IF('Datos_fuente'!C224="","",LN('Datos_fuente'!C224))</x:f>
        <x:v>5.0177433055556335</x:v>
      </x:c>
      <x:c r="E224" s="98" t="n">
        <x:f>IF(OR(D224="",D223=""),"",D224-D223)</x:f>
        <x:v>-0.005215738229454203</x:v>
      </x:c>
      <x:c r="F224" s="98" t="n">
        <x:f>IF('Datos_fuente'!E224="","",LN('Datos_fuente'!E224))</x:f>
        <x:v>9.239906941177855</x:v>
      </x:c>
      <x:c r="G224" s="98" t="n">
        <x:f>IF(OR(F224="",F223=""),"",F224-F223)</x:f>
        <x:v>0.007917608213350746</x:v>
      </x:c>
      <x:c r="H224" s="63" t="n">
        <x:f>'Datos_fuente'!H224</x:f>
        <x:v>7.42</x:v>
      </x:c>
      <x:c r="I224" s="63" t="n">
        <x:f>IF(OR(H224="",H223=""),"",H224-H223)</x:f>
        <x:v>-0.25</x:v>
      </x:c>
      <x:c r="J224" s="63" t="n">
        <x:f>'Datos_fuente'!J224</x:f>
        <x:v>4.330062739</x:v>
      </x:c>
      <x:c r="K224" s="63" t="n">
        <x:f>IF(OR(J224="",J223=""),"",J224-J223)</x:f>
        <x:v>0.15456816799999995</x:v>
      </x:c>
      <x:c r="L224" s="98" t="n">
        <x:f>IF('Datos_fuente'!K224="","",LN('Datos_fuente'!K224))</x:f>
        <x:v>4.796335355838372</x:v>
      </x:c>
      <x:c r="M224" s="98" t="n">
        <x:f>IF(OR(L224="",L223=""),"",L224-L223)</x:f>
        <x:v>0.00695076312759646</x:v>
      </x:c>
      <x:c r="N224" s="98" t="n">
        <x:f>IF('Datos_fuente'!L224="","",LN('Datos_fuente'!L224))</x:f>
        <x:v>2.637661798457319</x:v>
      </x:c>
      <x:c r="O224" s="98" t="n">
        <x:f>IF(OR(N224="",N223=""),"",N224-N223)</x:f>
        <x:v>0.04325548411953939</x:v>
      </x:c>
      <x:c r="P224" s="96" t="n">
        <x:f>'Datos_fuente'!M224</x:f>
        <x:v>0</x:v>
      </x:c>
      <x:c r="Q224" s="98" t="n">
        <x:f>IF('Datos_fuente'!N224="","",LN('Datos_fuente'!N224))</x:f>
        <x:v>10.9931189669428</x:v>
      </x:c>
      <x:c r="R224" s="98" t="n">
        <x:f>IF(OR(Q224="",Q223=""),"",Q224-Q223)</x:f>
        <x:v>-0.0031929900616152196</x:v>
      </x:c>
      <x:c r="S224" s="63" t="n">
        <x:f>'Datos_fuente'!P224</x:f>
        <x:v>3.090952381</x:v>
      </x:c>
      <x:c r="T224" s="63" t="n">
        <x:f>IF(OR(S224="",S223=""),"",S224-S223)</x:f>
        <x:v>0.06399585900000027</x:v>
      </x:c>
      <x:c r="U224" s="98" t="n">
        <x:f>IF('Datos_fuente'!Q224="","",ASINH('Datos_fuente'!Q224/1000))</x:f>
        <x:v>0.23643109867549708</x:v>
      </x:c>
      <x:c r="V224" s="98" t="n">
        <x:f>IF(OR(U224="",U223=""),"",U224-U223)</x:f>
        <x:v>0.025704149846422247</x:v>
      </x:c>
      <x:c r="W224" s="98" t="n">
        <x:f>IF('Datos_fuente'!R224="","",ASINH('Datos_fuente'!R224/1000))</x:f>
        <x:v>-1.7062146052035745</x:v>
      </x:c>
      <x:c r="X224" s="98" t="n">
        <x:f>IF(OR(W224="",W223=""),"",W224-W223)</x:f>
        <x:v>-0.19807410888704213</x:v>
      </x:c>
      <x:c r="Y224" s="63" t="n">
        <x:f>'Datos_fuente'!W224</x:f>
        <x:v>3.020683082</x:v>
      </x:c>
      <x:c r="Z224" s="63" t="n">
        <x:f>IF(OR(Y224="",Y223=""),"",Y224-Y223)</x:f>
        <x:v>-0.281474056</x:v>
      </x:c>
      <x:c r="AA224" s="98" t="n">
        <x:f>'Datos_fuente'!AB224</x:f>
        <x:v>0.7585337697</x:v>
      </x:c>
      <x:c r="AB224" s="98" t="n">
        <x:f>'Datos_fuente'!AC224</x:f>
        <x:v>1.034813723</x:v>
      </x:c>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t="str">
        <x:f>'Datos_fuente'!A225</x:f>
        <x:v>2024-03</x:v>
      </x:c>
      <x:c r="B225" s="98" t="n">
        <x:f>IF('Datos_fuente'!B225="","",LN('Datos_fuente'!B225))</x:f>
        <x:v>8.268562917852526</x:v>
      </x:c>
      <x:c r="C225" s="98" t="n">
        <x:f>IF(OR(B225="",B224=""),"",B225-B224)</x:f>
        <x:v>-0.008197781349837285</x:v>
      </x:c>
      <x:c r="D225" s="98" t="n">
        <x:f>IF('Datos_fuente'!C225="","",LN('Datos_fuente'!C225))</x:f>
        <x:v>5.026967855383815</x:v>
      </x:c>
      <x:c r="E225" s="98" t="n">
        <x:f>IF(OR(D225="",D224=""),"",D225-D224)</x:f>
        <x:v>0.009224549828181772</x:v>
      </x:c>
      <x:c r="F225" s="98" t="n">
        <x:f>IF('Datos_fuente'!E225="","",LN('Datos_fuente'!E225))</x:f>
        <x:v>9.243375648543907</x:v>
      </x:c>
      <x:c r="G225" s="98" t="n">
        <x:f>IF(OR(F225="",F224=""),"",F225-F224)</x:f>
        <x:v>0.0034687073660517598</x:v>
      </x:c>
      <x:c r="H225" s="63" t="n">
        <x:f>'Datos_fuente'!H225</x:f>
        <x:v>7.323225806</x:v>
      </x:c>
      <x:c r="I225" s="63" t="n">
        <x:f>IF(OR(H225="",H224=""),"",H225-H224)</x:f>
        <x:v>-0.09677419399999998</x:v>
      </x:c>
      <x:c r="J225" s="63" t="n">
        <x:f>'Datos_fuente'!J225</x:f>
        <x:v>4.053981088</x:v>
      </x:c>
      <x:c r="K225" s="63" t="n">
        <x:f>IF(OR(J225="",J224=""),"",J225-J224)</x:f>
        <x:v>-0.27608165100000015</x:v>
      </x:c>
      <x:c r="L225" s="98" t="n">
        <x:f>IF('Datos_fuente'!K225="","",LN('Datos_fuente'!K225))</x:f>
        <x:v>4.792967003647121</x:v>
      </x:c>
      <x:c r="M225" s="98" t="n">
        <x:f>IF(OR(L225="",L224=""),"",L225-L224)</x:f>
        <x:v>-0.0033683521912513115</x:v>
      </x:c>
      <x:c r="N225" s="98" t="n">
        <x:f>IF('Datos_fuente'!L225="","",LN('Datos_fuente'!L225))</x:f>
        <x:v>2.6237623845796207</x:v>
      </x:c>
      <x:c r="O225" s="98" t="n">
        <x:f>IF(OR(N225="",N224=""),"",N225-N224)</x:f>
        <x:v>-0.013899413877698219</x:v>
      </x:c>
      <x:c r="P225" s="96" t="n">
        <x:f>'Datos_fuente'!M225</x:f>
        <x:v>0</x:v>
      </x:c>
      <x:c r="Q225" s="98" t="n">
        <x:f>IF('Datos_fuente'!N225="","",LN('Datos_fuente'!N225))</x:f>
        <x:v>11.002010337198874</x:v>
      </x:c>
      <x:c r="R225" s="98" t="n">
        <x:f>IF(OR(Q225="",Q224=""),"",Q225-Q224)</x:f>
        <x:v>0.008891370256073117</x:v>
      </x:c>
      <x:c r="S225" s="63" t="n">
        <x:f>'Datos_fuente'!P225</x:f>
        <x:v>2.955714286</x:v>
      </x:c>
      <x:c r="T225" s="63" t="n">
        <x:f>IF(OR(S225="",S224=""),"",S225-S224)</x:f>
        <x:v>-0.13523809500000006</x:v>
      </x:c>
      <x:c r="U225" s="98" t="n">
        <x:f>IF('Datos_fuente'!Q225="","",ASINH('Datos_fuente'!Q225/1000))</x:f>
        <x:v>0.10678692772002202</x:v>
      </x:c>
      <x:c r="V225" s="98" t="n">
        <x:f>IF(OR(U225="",U224=""),"",U225-U224)</x:f>
        <x:v>-0.12964417095547506</x:v>
      </x:c>
      <x:c r="W225" s="98" t="n">
        <x:f>IF('Datos_fuente'!R225="","",ASINH('Datos_fuente'!R225/1000))</x:f>
        <x:v>-1.1108619597853424</x:v>
      </x:c>
      <x:c r="X225" s="98" t="n">
        <x:f>IF(OR(W225="",W224=""),"",W225-W224)</x:f>
        <x:v>0.5953526454182321</x:v>
      </x:c>
      <x:c r="Y225" s="63" t="n">
        <x:f>'Datos_fuente'!W225</x:f>
        <x:v>2.805643342</x:v>
      </x:c>
      <x:c r="Z225" s="63" t="n">
        <x:f>IF(OR(Y225="",Y224=""),"",Y225-Y224)</x:f>
        <x:v>-0.21503973999999992</x:v>
      </x:c>
      <x:c r="AA225" s="98" t="n">
        <x:f>'Datos_fuente'!AB225</x:f>
        <x:v>-0.2600426789</x:v>
      </x:c>
      <x:c r="AB225" s="98" t="n">
        <x:f>'Datos_fuente'!AC225</x:f>
        <x:v>-0.827477887</x:v>
      </x:c>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t="str">
        <x:f>'Datos_fuente'!A226</x:f>
        <x:v>2024-04</x:v>
      </x:c>
      <x:c r="B226" s="98" t="n">
        <x:f>IF('Datos_fuente'!B226="","",LN('Datos_fuente'!B226))</x:f>
        <x:v>8.260486479355333</x:v>
      </x:c>
      <x:c r="C226" s="98" t="n">
        <x:f>IF(OR(B226="",B225=""),"",B226-B225)</x:f>
        <x:v>-0.008076438497193195</x:v>
      </x:c>
      <x:c r="D226" s="98" t="n">
        <x:f>IF('Datos_fuente'!C226="","",LN('Datos_fuente'!C226))</x:f>
        <x:v>5.051137237405586</x:v>
      </x:c>
      <x:c r="E226" s="98" t="n">
        <x:f>IF(OR(D226="",D225=""),"",D226-D225)</x:f>
        <x:v>0.024169382021770325</x:v>
      </x:c>
      <x:c r="F226" s="98" t="n">
        <x:f>IF('Datos_fuente'!E226="","",LN('Datos_fuente'!E226))</x:f>
        <x:v>9.261843044442614</x:v>
      </x:c>
      <x:c r="G226" s="98" t="n">
        <x:f>IF(OR(F226="",F225=""),"",F226-F225)</x:f>
        <x:v>0.01846739589870694</x:v>
      </x:c>
      <x:c r="H226" s="63" t="n">
        <x:f>'Datos_fuente'!H226</x:f>
        <x:v>6.92</x:v>
      </x:c>
      <x:c r="I226" s="63" t="n">
        <x:f>IF(OR(H226="",H225=""),"",H226-H225)</x:f>
        <x:v>-0.403225806</x:v>
      </x:c>
      <x:c r="J226" s="63" t="n">
        <x:f>'Datos_fuente'!J226</x:f>
        <x:v>5.505846826</x:v>
      </x:c>
      <x:c r="K226" s="63" t="n">
        <x:f>IF(OR(J226="",J225=""),"",J226-J225)</x:f>
        <x:v>1.4518657380000004</x:v>
      </x:c>
      <x:c r="L226" s="98" t="n">
        <x:f>IF('Datos_fuente'!K226="","",LN('Datos_fuente'!K226))</x:f>
        <x:v>4.805190963390155</x:v>
      </x:c>
      <x:c r="M226" s="98" t="n">
        <x:f>IF(OR(L226="",L225=""),"",L226-L225)</x:f>
        <x:v>0.01222395974303403</x:v>
      </x:c>
      <x:c r="N226" s="98" t="n">
        <x:f>IF('Datos_fuente'!L226="","",LN('Datos_fuente'!L226))</x:f>
        <x:v>2.7811598394198347</x:v>
      </x:c>
      <x:c r="O226" s="98" t="n">
        <x:f>IF(OR(N226="",N225=""),"",N226-N225)</x:f>
        <x:v>0.15739745484021395</x:v>
      </x:c>
      <x:c r="P226" s="96" t="n">
        <x:f>'Datos_fuente'!M226</x:f>
        <x:v>0</x:v>
      </x:c>
      <x:c r="Q226" s="98" t="n">
        <x:f>IF('Datos_fuente'!N226="","",LN('Datos_fuente'!N226))</x:f>
        <x:v>10.99886193818271</x:v>
      </x:c>
      <x:c r="R226" s="98" t="n">
        <x:f>IF(OR(Q226="",Q225=""),"",Q226-Q225)</x:f>
        <x:v>-0.0031483990161635944</x:v>
      </x:c>
      <x:c r="S226" s="63" t="n">
        <x:f>'Datos_fuente'!P226</x:f>
        <x:v>2.914090909</x:v>
      </x:c>
      <x:c r="T226" s="63" t="n">
        <x:f>IF(OR(S226="",S225=""),"",S226-S225)</x:f>
        <x:v>-0.04162337700000007</x:v>
      </x:c>
      <x:c r="U226" s="98" t="n">
        <x:f>IF('Datos_fuente'!Q226="","",ASINH('Datos_fuente'!Q226/1000))</x:f>
        <x:v>0.3171847266179393</x:v>
      </x:c>
      <x:c r="V226" s="98" t="n">
        <x:f>IF(OR(U226="",U225=""),"",U226-U225)</x:f>
        <x:v>0.21039779889791727</x:v>
      </x:c>
      <x:c r="W226" s="98" t="n">
        <x:f>IF('Datos_fuente'!R226="","",ASINH('Datos_fuente'!R226/1000))</x:f>
        <x:v>-1.75127635608423</x:v>
      </x:c>
      <x:c r="X226" s="98" t="n">
        <x:f>IF(OR(W226="",W225=""),"",W226-W225)</x:f>
        <x:v>-0.6404143962988875</x:v>
      </x:c>
      <x:c r="Y226" s="63" t="n">
        <x:f>'Datos_fuente'!W226</x:f>
        <x:v>2.842954538</x:v>
      </x:c>
      <x:c r="Z226" s="63" t="n">
        <x:f>IF(OR(Y226="",Y225=""),"",Y226-Y225)</x:f>
        <x:v>0.03731119599999966</x:v>
      </x:c>
      <x:c r="AA226" s="98" t="n">
        <x:f>'Datos_fuente'!AB226</x:f>
        <x:v>0.04061121811</x:v>
      </x:c>
      <x:c r="AB226" s="98" t="n">
        <x:f>'Datos_fuente'!AC226</x:f>
        <x:v>0.06566204225</x:v>
      </x:c>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t="str">
        <x:f>'Datos_fuente'!A227</x:f>
        <x:v>2024-05</x:v>
      </x:c>
      <x:c r="B227" s="98" t="n">
        <x:f>IF('Datos_fuente'!B227="","",LN('Datos_fuente'!B227))</x:f>
        <x:v>8.260777367543877</x:v>
      </x:c>
      <x:c r="C227" s="98" t="n">
        <x:f>IF(OR(B227="",B226=""),"",B227-B226)</x:f>
        <x:v>0.0002908881885446135</x:v>
      </x:c>
      <x:c r="D227" s="98" t="n">
        <x:f>IF('Datos_fuente'!C227="","",LN('Datos_fuente'!C227))</x:f>
        <x:v>5.009301071083119</x:v>
      </x:c>
      <x:c r="E227" s="98" t="n">
        <x:f>IF(OR(D227="",D226=""),"",D227-D226)</x:f>
        <x:v>-0.041836166322466894</x:v>
      </x:c>
      <x:c r="F227" s="98" t="n">
        <x:f>IF('Datos_fuente'!E227="","",LN('Datos_fuente'!E227))</x:f>
        <x:v>9.26968700103706</x:v>
      </x:c>
      <x:c r="G227" s="98" t="n">
        <x:f>IF(OR(F227="",F226=""),"",F227-F226)</x:f>
        <x:v>0.0078439565944457</x:v>
      </x:c>
      <x:c r="H227" s="63" t="n">
        <x:f>'Datos_fuente'!H227</x:f>
        <x:v>6.436129032</x:v>
      </x:c>
      <x:c r="I227" s="63" t="n">
        <x:f>IF(OR(H227="",H226=""),"",H227-H226)</x:f>
        <x:v>-0.48387096799999973</x:v>
      </x:c>
      <x:c r="J227" s="63" t="n">
        <x:f>'Datos_fuente'!J227</x:f>
        <x:v>5.787888007</x:v>
      </x:c>
      <x:c r="K227" s="63" t="n">
        <x:f>IF(OR(J227="",J226=""),"",J227-J226)</x:f>
        <x:v>0.2820411810000003</x:v>
      </x:c>
      <x:c r="L227" s="98" t="n">
        <x:f>IF('Datos_fuente'!K227="","",LN('Datos_fuente'!K227))</x:f>
        <x:v>4.802859229923793</x:v>
      </x:c>
      <x:c r="M227" s="98" t="n">
        <x:f>IF(OR(L227="",L226=""),"",L227-L226)</x:f>
        <x:v>-0.0023317334663621736</x:v>
      </x:c>
      <x:c r="N227" s="98" t="n">
        <x:f>IF('Datos_fuente'!L227="","",LN('Datos_fuente'!L227))</x:f>
        <x:v>2.569454245200548</x:v>
      </x:c>
      <x:c r="O227" s="98" t="n">
        <x:f>IF(OR(N227="",N226=""),"",N227-N226)</x:f>
        <x:v>-0.21170559421928647</x:v>
      </x:c>
      <x:c r="P227" s="96" t="n">
        <x:f>'Datos_fuente'!M227</x:f>
        <x:v>0</x:v>
      </x:c>
      <x:c r="Q227" s="98" t="n">
        <x:f>IF('Datos_fuente'!N227="","",LN('Datos_fuente'!N227))</x:f>
        <x:v>11.01176085628224</x:v>
      </x:c>
      <x:c r="R227" s="98" t="n">
        <x:f>IF(OR(Q227="",Q226=""),"",Q227-Q226)</x:f>
        <x:v>0.012898918099530476</x:v>
      </x:c>
      <x:c r="S227" s="63" t="n">
        <x:f>'Datos_fuente'!P227</x:f>
        <x:v>2.973478261</x:v>
      </x:c>
      <x:c r="T227" s="63" t="n">
        <x:f>IF(OR(S227="",S226=""),"",S227-S226)</x:f>
        <x:v>0.05938735199999989</x:v>
      </x:c>
      <x:c r="U227" s="98" t="n">
        <x:f>IF('Datos_fuente'!Q227="","",ASINH('Datos_fuente'!Q227/1000))</x:f>
        <x:v>0.2238849543303592</x:v>
      </x:c>
      <x:c r="V227" s="98" t="n">
        <x:f>IF(OR(U227="",U226=""),"",U227-U226)</x:f>
        <x:v>-0.09329977228758007</x:v>
      </x:c>
      <x:c r="W227" s="98" t="n">
        <x:f>IF('Datos_fuente'!R227="","",ASINH('Datos_fuente'!R227/1000))</x:f>
        <x:v>-0.808985857985478</x:v>
      </x:c>
      <x:c r="X227" s="98" t="n">
        <x:f>IF(OR(W227="",W226=""),"",W227-W226)</x:f>
        <x:v>0.942290498098752</x:v>
      </x:c>
      <x:c r="Y227" s="63" t="n">
        <x:f>'Datos_fuente'!W227</x:f>
        <x:v>2.556398261</x:v>
      </x:c>
      <x:c r="Z227" s="63" t="n">
        <x:f>IF(OR(Y227="",Y226=""),"",Y227-Y226)</x:f>
        <x:v>-0.28655627699999986</x:v>
      </x:c>
      <x:c r="AA227" s="98" t="n">
        <x:f>'Datos_fuente'!AB227</x:f>
        <x:v>-0.6410412244</x:v>
      </x:c>
      <x:c r="AB227" s="98" t="n">
        <x:f>'Datos_fuente'!AC227</x:f>
        <x:v>-0.3881304846</x:v>
      </x:c>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t="str">
        <x:f>'Datos_fuente'!A228</x:f>
        <x:v>2024-06</x:v>
      </x:c>
      <x:c r="B228" s="98" t="n">
        <x:f>IF('Datos_fuente'!B228="","",LN('Datos_fuente'!B228))</x:f>
        <x:v>8.304692058140274</x:v>
      </x:c>
      <x:c r="C228" s="98" t="n">
        <x:f>IF(OR(B228="",B227=""),"",B228-B227)</x:f>
        <x:v>0.043914690596396966</x:v>
      </x:c>
      <x:c r="D228" s="98" t="n">
        <x:f>IF('Datos_fuente'!C228="","",LN('Datos_fuente'!C228))</x:f>
        <x:v>5.057264394690259</x:v>
      </x:c>
      <x:c r="E228" s="98" t="n">
        <x:f>IF(OR(D228="",D227=""),"",D228-D227)</x:f>
        <x:v>0.047963323607140396</x:v>
      </x:c>
      <x:c r="F228" s="98" t="n">
        <x:f>IF('Datos_fuente'!E228="","",LN('Datos_fuente'!E228))</x:f>
        <x:v>9.291480630966012</x:v>
      </x:c>
      <x:c r="G228" s="98" t="n">
        <x:f>IF(OR(F228="",F227=""),"",F228-F227)</x:f>
        <x:v>0.021793629928952285</x:v>
      </x:c>
      <x:c r="H228" s="63" t="n">
        <x:f>'Datos_fuente'!H228</x:f>
        <x:v>6.42</x:v>
      </x:c>
      <x:c r="I228" s="63" t="n">
        <x:f>IF(OR(H228="",H227=""),"",H228-H227)</x:f>
        <x:v>-0.016129032000000265</x:v>
      </x:c>
      <x:c r="J228" s="63" t="n">
        <x:f>'Datos_fuente'!J228</x:f>
        <x:v>6.332222692</x:v>
      </x:c>
      <x:c r="K228" s="63" t="n">
        <x:f>IF(OR(J228="",J227=""),"",J228-J227)</x:f>
        <x:v>0.5443346849999999</x:v>
      </x:c>
      <x:c r="L228" s="98" t="n">
        <x:f>IF('Datos_fuente'!K228="","",LN('Datos_fuente'!K228))</x:f>
        <x:v>4.8179359045952355</x:v>
      </x:c>
      <x:c r="M228" s="98" t="n">
        <x:f>IF(OR(L228="",L227=""),"",L228-L227)</x:f>
        <x:v>0.015076674671442802</x:v>
      </x:c>
      <x:c r="N228" s="98" t="n">
        <x:f>IF('Datos_fuente'!L228="","",LN('Datos_fuente'!L228))</x:f>
        <x:v>2.5390001865014953</x:v>
      </x:c>
      <x:c r="O228" s="98" t="n">
        <x:f>IF(OR(N228="",N227=""),"",N228-N227)</x:f>
        <x:v>-0.030454058699052933</x:v>
      </x:c>
      <x:c r="P228" s="96" t="n">
        <x:f>'Datos_fuente'!M228</x:f>
        <x:v>0</x:v>
      </x:c>
      <x:c r="Q228" s="98" t="n">
        <x:f>IF('Datos_fuente'!N228="","",LN('Datos_fuente'!N228))</x:f>
        <x:v>11.017011770339126</x:v>
      </x:c>
      <x:c r="R228" s="98" t="n">
        <x:f>IF(OR(Q228="",Q227=""),"",Q228-Q227)</x:f>
        <x:v>0.005250914056885492</x:v>
      </x:c>
      <x:c r="S228" s="63" t="n">
        <x:f>'Datos_fuente'!P228</x:f>
        <x:v>3.1305</x:v>
      </x:c>
      <x:c r="T228" s="63" t="n">
        <x:f>IF(OR(S228="",S227=""),"",S228-S227)</x:f>
        <x:v>0.15702173900000016</x:v>
      </x:c>
      <x:c r="U228" s="98" t="n">
        <x:f>IF('Datos_fuente'!Q228="","",ASINH('Datos_fuente'!Q228/1000))</x:f>
        <x:v>0.39684168346469056</x:v>
      </x:c>
      <x:c r="V228" s="98" t="n">
        <x:f>IF(OR(U228="",U227=""),"",U228-U227)</x:f>
        <x:v>0.17295672913433136</x:v>
      </x:c>
      <x:c r="W228" s="98" t="n">
        <x:f>IF('Datos_fuente'!R228="","",ASINH('Datos_fuente'!R228/1000))</x:f>
        <x:v>-1.445065643474365</x:v>
      </x:c>
      <x:c r="X228" s="98" t="n">
        <x:f>IF(OR(W228="",W227=""),"",W228-W227)</x:f>
        <x:v>-0.636079785488887</x:v>
      </x:c>
      <x:c r="Y228" s="63" t="n">
        <x:f>'Datos_fuente'!W228</x:f>
        <x:v>2.654575453</x:v>
      </x:c>
      <x:c r="Z228" s="63" t="n">
        <x:f>IF(OR(Y228="",Y227=""),"",Y228-Y227)</x:f>
        <x:v>0.09817719200000008</x:v>
      </x:c>
      <x:c r="AA228" s="98" t="n">
        <x:f>'Datos_fuente'!AB228</x:f>
        <x:v>1.416648456</x:v>
      </x:c>
      <x:c r="AB228" s="98" t="n">
        <x:f>'Datos_fuente'!AC228</x:f>
        <x:v>1.359107684</x:v>
      </x:c>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t="str">
        <x:f>'Datos_fuente'!A229</x:f>
        <x:v>2024-07</x:v>
      </x:c>
      <x:c r="B229" s="98" t="n">
        <x:f>IF('Datos_fuente'!B229="","",LN('Datos_fuente'!B229))</x:f>
        <x:v>8.303237783286729</x:v>
      </x:c>
      <x:c r="C229" s="98" t="n">
        <x:f>IF(OR(B229="",B228=""),"",B229-B228)</x:f>
        <x:v>-0.0014542748535451011</x:v>
      </x:c>
      <x:c r="D229" s="98" t="n">
        <x:f>IF('Datos_fuente'!C229="","",LN('Datos_fuente'!C229))</x:f>
        <x:v>5.051777237427431</x:v>
      </x:c>
      <x:c r="E229" s="98" t="n">
        <x:f>IF(OR(D229="",D228=""),"",D229-D228)</x:f>
        <x:v>-0.005487157262828113</x:v>
      </x:c>
      <x:c r="F229" s="98" t="n">
        <x:f>IF('Datos_fuente'!E229="","",LN('Datos_fuente'!E229))</x:f>
        <x:v>9.313804490609309</x:v>
      </x:c>
      <x:c r="G229" s="98" t="n">
        <x:f>IF(OR(F229="",F228=""),"",F229-F228)</x:f>
        <x:v>0.022323859643297084</x:v>
      </x:c>
      <x:c r="H229" s="63" t="n">
        <x:f>'Datos_fuente'!H229</x:f>
        <x:v>5.936129032</x:v>
      </x:c>
      <x:c r="I229" s="63" t="n">
        <x:f>IF(OR(H229="",H228=""),"",H229-H228)</x:f>
        <x:v>-0.48387096799999973</x:v>
      </x:c>
      <x:c r="J229" s="63" t="n">
        <x:f>'Datos_fuente'!J229</x:f>
        <x:v>6.443703501</x:v>
      </x:c>
      <x:c r="K229" s="63" t="n">
        <x:f>IF(OR(J229="",J228=""),"",J229-J228)</x:f>
        <x:v>0.11148080899999968</x:v>
      </x:c>
      <x:c r="L229" s="98" t="n">
        <x:f>IF('Datos_fuente'!K229="","",LN('Datos_fuente'!K229))</x:f>
        <x:v>4.815288770709231</x:v>
      </x:c>
      <x:c r="M229" s="98" t="n">
        <x:f>IF(OR(L229="",L228=""),"",L229-L228)</x:f>
        <x:v>-0.002647133886004127</x:v>
      </x:c>
      <x:c r="N229" s="98" t="n">
        <x:f>IF('Datos_fuente'!L229="","",LN('Datos_fuente'!L229))</x:f>
        <x:v>2.66541496921579</x:v>
      </x:c>
      <x:c r="O229" s="98" t="n">
        <x:f>IF(OR(N229="",N228=""),"",N229-N228)</x:f>
        <x:v>0.12641478271429474</x:v>
      </x:c>
      <x:c r="P229" s="96" t="n">
        <x:f>'Datos_fuente'!M229</x:f>
        <x:v>0</x:v>
      </x:c>
      <x:c r="Q229" s="98" t="n">
        <x:f>IF('Datos_fuente'!N229="","",LN('Datos_fuente'!N229))</x:f>
        <x:v>11.032765797314976</x:v>
      </x:c>
      <x:c r="R229" s="98" t="n">
        <x:f>IF(OR(Q229="",Q228=""),"",Q229-Q228)</x:f>
        <x:v>0.015754026975850266</x:v>
      </x:c>
      <x:c r="S229" s="63" t="n">
        <x:f>'Datos_fuente'!P229</x:f>
        <x:v>3.085652174</x:v>
      </x:c>
      <x:c r="T229" s="63" t="n">
        <x:f>IF(OR(S229="",S228=""),"",S229-S228)</x:f>
        <x:v>-0.04484782600000026</x:v>
      </x:c>
      <x:c r="U229" s="98" t="n">
        <x:f>IF('Datos_fuente'!Q229="","",ASINH('Datos_fuente'!Q229/1000))</x:f>
        <x:v>0.1942265294280848</x:v>
      </x:c>
      <x:c r="V229" s="98" t="n">
        <x:f>IF(OR(U229="",U228=""),"",U229-U228)</x:f>
        <x:v>-0.20261515403660577</x:v>
      </x:c>
      <x:c r="W229" s="98" t="n">
        <x:f>IF('Datos_fuente'!R229="","",ASINH('Datos_fuente'!R229/1000))</x:f>
        <x:v>-0.9959166270258559</x:v>
      </x:c>
      <x:c r="X229" s="98" t="n">
        <x:f>IF(OR(W229="",W228=""),"",W229-W228)</x:f>
        <x:v>0.449149016448509</x:v>
      </x:c>
      <x:c r="Y229" s="63" t="n">
        <x:f>'Datos_fuente'!W229</x:f>
        <x:v>2.49645</x:v>
      </x:c>
      <x:c r="Z229" s="63" t="n">
        <x:f>IF(OR(Y229="",Y228=""),"",Y229-Y228)</x:f>
        <x:v>-0.15812545300000025</x:v>
      </x:c>
      <x:c r="AA229" s="98" t="n">
        <x:f>'Datos_fuente'!AB229</x:f>
        <x:v>0.2122136521</x:v>
      </x:c>
      <x:c r="AB229" s="98" t="n">
        <x:f>'Datos_fuente'!AC229</x:f>
        <x:v>0.04138275339</x:v>
      </x:c>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t="str">
        <x:f>'Datos_fuente'!A230</x:f>
        <x:v>2024-08</x:v>
      </x:c>
      <x:c r="B230" s="98" t="n">
        <x:f>IF('Datos_fuente'!B230="","",LN('Datos_fuente'!B230))</x:f>
        <x:v>8.31030344148349</x:v>
      </x:c>
      <x:c r="C230" s="98" t="n">
        <x:f>IF(OR(B230="",B229=""),"",B230-B229)</x:f>
        <x:v>0.007065658196761859</x:v>
      </x:c>
      <x:c r="D230" s="98" t="n">
        <x:f>IF('Datos_fuente'!C230="","",LN('Datos_fuente'!C230))</x:f>
        <x:v>5.057582491203423</x:v>
      </x:c>
      <x:c r="E230" s="98" t="n">
        <x:f>IF(OR(D230="",D229=""),"",D230-D229)</x:f>
        <x:v>0.0058052537759918366</x:v>
      </x:c>
      <x:c r="F230" s="98" t="n">
        <x:f>IF('Datos_fuente'!E230="","",LN('Datos_fuente'!E230))</x:f>
        <x:v>9.324672125470615</x:v>
      </x:c>
      <x:c r="G230" s="98" t="n">
        <x:f>IF(OR(F230="",F229=""),"",F230-F229)</x:f>
        <x:v>0.01086763486130593</x:v>
      </x:c>
      <x:c r="H230" s="63" t="n">
        <x:f>'Datos_fuente'!H230</x:f>
        <x:v>5.42</x:v>
      </x:c>
      <x:c r="I230" s="63" t="n">
        <x:f>IF(OR(H230="",H229=""),"",H230-H229)</x:f>
        <x:v>-0.5161290320000003</x:v>
      </x:c>
      <x:c r="J230" s="63" t="n">
        <x:f>'Datos_fuente'!J230</x:f>
        <x:v>6.790500101</x:v>
      </x:c>
      <x:c r="K230" s="63" t="n">
        <x:f>IF(OR(J230="",J229=""),"",J230-J229)</x:f>
        <x:v>0.34679660000000023</x:v>
      </x:c>
      <x:c r="L230" s="98" t="n">
        <x:f>IF('Datos_fuente'!K230="","",LN('Datos_fuente'!K230))</x:f>
        <x:v>4.809039096340802</x:v>
      </x:c>
      <x:c r="M230" s="98" t="n">
        <x:f>IF(OR(L230="",L229=""),"",L230-L229)</x:f>
        <x:v>-0.006249674368429048</x:v>
      </x:c>
      <x:c r="N230" s="98" t="n">
        <x:f>IF('Datos_fuente'!L230="","",LN('Datos_fuente'!L230))</x:f>
        <x:v>2.9607407865628304</x:v>
      </x:c>
      <x:c r="O230" s="98" t="n">
        <x:f>IF(OR(N230="",N229=""),"",N230-N229)</x:f>
        <x:v>0.29532581734704033</x:v>
      </x:c>
      <x:c r="P230" s="96" t="n">
        <x:f>'Datos_fuente'!M230</x:f>
        <x:v>0</x:v>
      </x:c>
      <x:c r="Q230" s="98" t="n">
        <x:f>IF('Datos_fuente'!N230="","",LN('Datos_fuente'!N230))</x:f>
        <x:v>11.047367777860746</x:v>
      </x:c>
      <x:c r="R230" s="98" t="n">
        <x:f>IF(OR(Q230="",Q229=""),"",Q230-Q229)</x:f>
        <x:v>0.014601980545769777</x:v>
      </x:c>
      <x:c r="S230" s="63" t="n">
        <x:f>'Datos_fuente'!P230</x:f>
        <x:v>3.221363636</x:v>
      </x:c>
      <x:c r="T230" s="63" t="n">
        <x:f>IF(OR(S230="",S229=""),"",S230-S229)</x:f>
        <x:v>0.13571146200000017</x:v>
      </x:c>
      <x:c r="U230" s="98" t="n">
        <x:f>IF('Datos_fuente'!Q230="","",ASINH('Datos_fuente'!Q230/1000))</x:f>
        <x:v>0.18461943933785077</x:v>
      </x:c>
      <x:c r="V230" s="98" t="n">
        <x:f>IF(OR(U230="",U229=""),"",U230-U229)</x:f>
        <x:v>-0.009607090090234027</x:v>
      </x:c>
      <x:c r="W230" s="98" t="n">
        <x:f>IF('Datos_fuente'!R230="","",ASINH('Datos_fuente'!R230/1000))</x:f>
        <x:v>-1.1673116532791405</x:v>
      </x:c>
      <x:c r="X230" s="98" t="n">
        <x:f>IF(OR(W230="",W229=""),"",W230-W229)</x:f>
        <x:v>-0.17139502625328462</x:v>
      </x:c>
      <x:c r="Y230" s="63" t="n">
        <x:f>'Datos_fuente'!W230</x:f>
        <x:v>2.507386373</x:v>
      </x:c>
      <x:c r="Z230" s="63" t="n">
        <x:f>IF(OR(Y230="",Y229=""),"",Y230-Y229)</x:f>
        <x:v>0.010936373000000277</x:v>
      </x:c>
      <x:c r="AA230" s="98" t="n">
        <x:f>'Datos_fuente'!AB230</x:f>
        <x:v>0.4554266835</x:v>
      </x:c>
      <x:c r="AB230" s="98" t="n">
        <x:f>'Datos_fuente'!AC230</x:f>
        <x:v>0.2246027761</x:v>
      </x:c>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t="str">
        <x:f>'Datos_fuente'!A231</x:f>
        <x:v>2024-09</x:v>
      </x:c>
      <x:c r="B231" s="98" t="n">
        <x:f>IF('Datos_fuente'!B231="","",LN('Datos_fuente'!B231))</x:f>
        <x:v>8.338667381571515</x:v>
      </x:c>
      <x:c r="C231" s="98" t="n">
        <x:f>IF(OR(B231="",B230=""),"",B231-B230)</x:f>
        <x:v>0.02836394008802401</x:v>
      </x:c>
      <x:c r="D231" s="98" t="n">
        <x:f>IF('Datos_fuente'!C231="","",LN('Datos_fuente'!C231))</x:f>
        <x:v>5.033244436957115</x:v>
      </x:c>
      <x:c r="E231" s="98" t="n">
        <x:f>IF(OR(D231="",D230=""),"",D231-D230)</x:f>
        <x:v>-0.024338054246308083</x:v>
      </x:c>
      <x:c r="F231" s="98" t="n">
        <x:f>IF('Datos_fuente'!E231="","",LN('Datos_fuente'!E231))</x:f>
        <x:v>9.33847761731174</x:v>
      </x:c>
      <x:c r="G231" s="98" t="n">
        <x:f>IF(OR(F231="",F230=""),"",F231-F230)</x:f>
        <x:v>0.013805491841125672</x:v>
      </x:c>
      <x:c r="H231" s="63" t="n">
        <x:f>'Datos_fuente'!H231</x:f>
        <x:v>5.62</x:v>
      </x:c>
      <x:c r="I231" s="63" t="n">
        <x:f>IF(OR(H231="",H230=""),"",H231-H230)</x:f>
        <x:v>0.20000000000000018</x:v>
      </x:c>
      <x:c r="J231" s="63" t="n">
        <x:f>'Datos_fuente'!J231</x:f>
        <x:v>6.646096117</x:v>
      </x:c>
      <x:c r="K231" s="63" t="n">
        <x:f>IF(OR(J231="",J230=""),"",J231-J230)</x:f>
        <x:v>-0.1444039840000002</x:v>
      </x:c>
      <x:c r="L231" s="98" t="n">
        <x:f>IF('Datos_fuente'!K231="","",LN('Datos_fuente'!K231))</x:f>
        <x:v>4.803076787587355</x:v>
      </x:c>
      <x:c r="M231" s="98" t="n">
        <x:f>IF(OR(L231="",L230=""),"",L231-L230)</x:f>
        <x:v>-0.005962308753447054</x:v>
      </x:c>
      <x:c r="N231" s="98" t="n">
        <x:f>IF('Datos_fuente'!L231="","",LN('Datos_fuente'!L231))</x:f>
        <x:v>2.871490927647846</x:v>
      </x:c>
      <x:c r="O231" s="98" t="n">
        <x:f>IF(OR(N231="",N230=""),"",N231-N230)</x:f>
        <x:v>-0.08924985891498416</x:v>
      </x:c>
      <x:c r="P231" s="96" t="n">
        <x:f>'Datos_fuente'!M231</x:f>
        <x:v>0</x:v>
      </x:c>
      <x:c r="Q231" s="98" t="n">
        <x:f>IF('Datos_fuente'!N231="","",LN('Datos_fuente'!N231))</x:f>
        <x:v>11.060084117629486</x:v>
      </x:c>
      <x:c r="R231" s="98" t="n">
        <x:f>IF(OR(Q231="",Q230=""),"",Q231-Q230)</x:f>
        <x:v>0.012716339768740426</x:v>
      </x:c>
      <x:c r="S231" s="63" t="n">
        <x:f>'Datos_fuente'!P231</x:f>
        <x:v>3.236190476</x:v>
      </x:c>
      <x:c r="T231" s="63" t="n">
        <x:f>IF(OR(S231="",S230=""),"",S231-S230)</x:f>
        <x:v>0.014826840000000008</x:v>
      </x:c>
      <x:c r="U231" s="98" t="n">
        <x:f>IF('Datos_fuente'!Q231="","",ASINH('Datos_fuente'!Q231/1000))</x:f>
        <x:v>0.3127848106861026</x:v>
      </x:c>
      <x:c r="V231" s="98" t="n">
        <x:f>IF(OR(U231="",U230=""),"",U231-U230)</x:f>
        <x:v>0.12816537134825182</x:v>
      </x:c>
      <x:c r="W231" s="98" t="n">
        <x:f>IF('Datos_fuente'!R231="","",ASINH('Datos_fuente'!R231/1000))</x:f>
        <x:v>-1.285725139442426</x:v>
      </x:c>
      <x:c r="X231" s="98" t="n">
        <x:f>IF(OR(W231="",W230=""),"",W231-W230)</x:f>
        <x:v>-0.11841348616328551</x:v>
      </x:c>
      <x:c r="Y231" s="63" t="n">
        <x:f>'Datos_fuente'!W231</x:f>
        <x:v>2.370586676</x:v>
      </x:c>
      <x:c r="Z231" s="63" t="n">
        <x:f>IF(OR(Y231="",Y230=""),"",Y231-Y230)</x:f>
        <x:v>-0.13679969700000028</x:v>
      </x:c>
      <x:c r="AA231" s="98" t="n">
        <x:f>'Datos_fuente'!AB231</x:f>
        <x:v>0.1366409956</x:v>
      </x:c>
      <x:c r="AB231" s="98" t="n">
        <x:f>'Datos_fuente'!AC231</x:f>
        <x:v>0.2501509067</x:v>
      </x:c>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t="str">
        <x:f>'Datos_fuente'!A232</x:f>
        <x:v>2024-10</x:v>
      </x:c>
      <x:c r="B232" s="98" t="n">
        <x:f>IF('Datos_fuente'!B232="","",LN('Datos_fuente'!B232))</x:f>
        <x:v>8.354549548259685</x:v>
      </x:c>
      <x:c r="C232" s="98" t="n">
        <x:f>IF(OR(B232="",B231=""),"",B232-B231)</x:f>
        <x:v>0.01588216668817033</x:v>
      </x:c>
      <x:c r="D232" s="98" t="n">
        <x:f>IF('Datos_fuente'!C232="","",LN('Datos_fuente'!C232))</x:f>
        <x:v>5.059107947547034</x:v>
      </x:c>
      <x:c r="E232" s="98" t="n">
        <x:f>IF(OR(D232="",D231=""),"",D232-D231)</x:f>
        <x:v>0.02586351058991898</x:v>
      </x:c>
      <x:c r="F232" s="98" t="n">
        <x:f>IF('Datos_fuente'!E232="","",LN('Datos_fuente'!E232))</x:f>
        <x:v>9.351643734448404</x:v>
      </x:c>
      <x:c r="G232" s="98" t="n">
        <x:f>IF(OR(F232="",F231=""),"",F232-F231)</x:f>
        <x:v>0.013166117136663047</x:v>
      </x:c>
      <x:c r="H232" s="63" t="n">
        <x:f>'Datos_fuente'!H232</x:f>
        <x:v>5.42</x:v>
      </x:c>
      <x:c r="I232" s="63" t="n">
        <x:f>IF(OR(H232="",H231=""),"",H232-H231)</x:f>
        <x:v>-0.20000000000000018</x:v>
      </x:c>
      <x:c r="J232" s="63" t="n">
        <x:f>'Datos_fuente'!J232</x:f>
        <x:v>6.652100585</x:v>
      </x:c>
      <x:c r="K232" s="63" t="n">
        <x:f>IF(OR(J232="",J231=""),"",J232-J231)</x:f>
        <x:v>0.006004468000000429</x:v>
      </x:c>
      <x:c r="L232" s="98" t="n">
        <x:f>IF('Datos_fuente'!K232="","",LN('Datos_fuente'!K232))</x:f>
        <x:v>4.817012444783222</x:v>
      </x:c>
      <x:c r="M232" s="98" t="n">
        <x:f>IF(OR(L232="",L231=""),"",L232-L231)</x:f>
        <x:v>0.013935657195866646</x:v>
      </x:c>
      <x:c r="N232" s="98" t="n">
        <x:f>IF('Datos_fuente'!L232="","",LN('Datos_fuente'!L232))</x:f>
        <x:v>2.993773835565626</x:v>
      </x:c>
      <x:c r="O232" s="98" t="n">
        <x:f>IF(OR(N232="",N231=""),"",N232-N231)</x:f>
        <x:v>0.12228290791777985</x:v>
      </x:c>
      <x:c r="P232" s="96" t="n">
        <x:f>'Datos_fuente'!M232</x:f>
        <x:v>0</x:v>
      </x:c>
      <x:c r="Q232" s="98" t="n">
        <x:f>IF('Datos_fuente'!N232="","",LN('Datos_fuente'!N232))</x:f>
        <x:v>11.047257542947166</x:v>
      </x:c>
      <x:c r="R232" s="98" t="n">
        <x:f>IF(OR(Q232="",Q231=""),"",Q232-Q231)</x:f>
        <x:v>-0.012826574682319958</x:v>
      </x:c>
      <x:c r="S232" s="63" t="n">
        <x:f>'Datos_fuente'!P232</x:f>
        <x:v>3.120869565</x:v>
      </x:c>
      <x:c r="T232" s="63" t="n">
        <x:f>IF(OR(S232="",S231=""),"",S232-S231)</x:f>
        <x:v>-0.11532091099999997</x:v>
      </x:c>
      <x:c r="U232" s="98" t="n">
        <x:f>IF('Datos_fuente'!Q232="","",ASINH('Datos_fuente'!Q232/1000))</x:f>
        <x:v>0.3743454171512559</x:v>
      </x:c>
      <x:c r="V232" s="98" t="n">
        <x:f>IF(OR(U232="",U231=""),"",U232-U231)</x:f>
        <x:v>0.06156060646515332</x:v>
      </x:c>
      <x:c r="W232" s="98" t="n">
        <x:f>IF('Datos_fuente'!R232="","",ASINH('Datos_fuente'!R232/1000))</x:f>
        <x:v>-1.9545759938705045</x:v>
      </x:c>
      <x:c r="X232" s="98" t="n">
        <x:f>IF(OR(W232="",W231=""),"",W232-W231)</x:f>
        <x:v>-0.6688508544280785</x:v>
      </x:c>
      <x:c r="Y232" s="63" t="n">
        <x:f>'Datos_fuente'!W232</x:f>
        <x:v>2.272686357</x:v>
      </x:c>
      <x:c r="Z232" s="63" t="n">
        <x:f>IF(OR(Y232="",Y231=""),"",Y232-Y231)</x:f>
        <x:v>-0.09790031899999985</x:v>
      </x:c>
      <x:c r="AA232" s="98" t="n">
        <x:f>'Datos_fuente'!AB232</x:f>
        <x:v>0.2716453405</x:v>
      </x:c>
      <x:c r="AB232" s="98" t="n">
        <x:f>'Datos_fuente'!AC232</x:f>
        <x:v>0.1281423752</x:v>
      </x:c>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t="str">
        <x:f>'Datos_fuente'!A233</x:f>
        <x:v>2024-11</x:v>
      </x:c>
      <x:c r="B233" s="98" t="n">
        <x:f>IF('Datos_fuente'!B233="","",LN('Datos_fuente'!B233))</x:f>
        <x:v>8.39132432831367</x:v>
      </x:c>
      <x:c r="C233" s="98" t="n">
        <x:f>IF(OR(B233="",B232=""),"",B233-B232)</x:f>
        <x:v>0.03677478005398527</x:v>
      </x:c>
      <x:c r="D233" s="98" t="n">
        <x:f>IF('Datos_fuente'!C233="","",LN('Datos_fuente'!C233))</x:f>
        <x:v>5.058472623510416</x:v>
      </x:c>
      <x:c r="E233" s="98" t="n">
        <x:f>IF(OR(D233="",D232=""),"",D233-D232)</x:f>
        <x:v>-0.0006353240366179236</x:v>
      </x:c>
      <x:c r="F233" s="98" t="n">
        <x:f>IF('Datos_fuente'!E233="","",LN('Datos_fuente'!E233))</x:f>
        <x:v>9.364265026261593</x:v>
      </x:c>
      <x:c r="G233" s="98" t="n">
        <x:f>IF(OR(F233="",F232=""),"",F233-F232)</x:f>
        <x:v>0.012621291813189828</x:v>
      </x:c>
      <x:c r="H233" s="63" t="n">
        <x:f>'Datos_fuente'!H233</x:f>
        <x:v>5.11</x:v>
      </x:c>
      <x:c r="I233" s="63" t="n">
        <x:f>IF(OR(H233="",H232=""),"",H233-H232)</x:f>
        <x:v>-0.3099999999999996</x:v>
      </x:c>
      <x:c r="J233" s="63" t="n">
        <x:f>'Datos_fuente'!J233</x:f>
        <x:v>6.953539496</x:v>
      </x:c>
      <x:c r="K233" s="63" t="n">
        <x:f>IF(OR(J233="",J232=""),"",J233-J232)</x:f>
        <x:v>0.301438911</x:v>
      </x:c>
      <x:c r="L233" s="98" t="n">
        <x:f>IF('Datos_fuente'!K233="","",LN('Datos_fuente'!K233))</x:f>
        <x:v>4.838749786214955</x:v>
      </x:c>
      <x:c r="M233" s="98" t="n">
        <x:f>IF(OR(L233="",L232=""),"",L233-L232)</x:f>
        <x:v>0.021737341431733448</x:v>
      </x:c>
      <x:c r="N233" s="98" t="n">
        <x:f>IF('Datos_fuente'!L233="","",LN('Datos_fuente'!L233))</x:f>
        <x:v>2.773540650262499</x:v>
      </x:c>
      <x:c r="O233" s="98" t="n">
        <x:f>IF(OR(N233="",N232=""),"",N233-N232)</x:f>
        <x:v>-0.22023318530312697</x:v>
      </x:c>
      <x:c r="P233" s="96" t="n">
        <x:f>'Datos_fuente'!M233</x:f>
        <x:v>0</x:v>
      </x:c>
      <x:c r="Q233" s="98" t="n">
        <x:f>IF('Datos_fuente'!N233="","",LN('Datos_fuente'!N233))</x:f>
        <x:v>11.050218827803436</x:v>
      </x:c>
      <x:c r="R233" s="98" t="n">
        <x:f>IF(OR(Q233="",Q232=""),"",Q233-Q232)</x:f>
        <x:v>0.0029612848562692307</x:v>
      </x:c>
      <x:c r="S233" s="63" t="n">
        <x:f>'Datos_fuente'!P233</x:f>
        <x:v>3.23952381</x:v>
      </x:c>
      <x:c r="T233" s="63" t="n">
        <x:f>IF(OR(S233="",S232=""),"",S233-S232)</x:f>
        <x:v>0.1186542450000001</x:v>
      </x:c>
      <x:c r="U233" s="98" t="n">
        <x:f>IF('Datos_fuente'!Q233="","",ASINH('Datos_fuente'!Q233/1000))</x:f>
        <x:v>0.20886800996027888</x:v>
      </x:c>
      <x:c r="V233" s="98" t="n">
        <x:f>IF(OR(U233="",U232=""),"",U233-U232)</x:f>
        <x:v>-0.16547740719097703</x:v>
      </x:c>
      <x:c r="W233" s="98" t="n">
        <x:f>IF('Datos_fuente'!R233="","",ASINH('Datos_fuente'!R233/1000))</x:f>
        <x:v>-1.363449625579361</x:v>
      </x:c>
      <x:c r="X233" s="98" t="n">
        <x:f>IF(OR(W233="",W232=""),"",W233-W232)</x:f>
        <x:v>0.5911263682911436</x:v>
      </x:c>
      <x:c r="Y233" s="63" t="n">
        <x:f>'Datos_fuente'!W233</x:f>
        <x:v>2.355894769</x:v>
      </x:c>
      <x:c r="Z233" s="63" t="n">
        <x:f>IF(OR(Y233="",Y232=""),"",Y233-Y232)</x:f>
        <x:v>0.08320841199999984</x:v>
      </x:c>
      <x:c r="AA233" s="98" t="n">
        <x:f>'Datos_fuente'!AB233</x:f>
        <x:v>0.9856346216</x:v>
      </x:c>
      <x:c r="AB233" s="98" t="n">
        <x:f>'Datos_fuente'!AC233</x:f>
        <x:v>0.8739609857</x:v>
      </x:c>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t="str">
        <x:f>'Datos_fuente'!A234</x:f>
        <x:v>2024-12</x:v>
      </x:c>
      <x:c r="B234" s="98" t="n">
        <x:f>IF('Datos_fuente'!B234="","",LN('Datos_fuente'!B234))</x:f>
        <x:v>8.385978817572175</x:v>
      </x:c>
      <x:c r="C234" s="98" t="n">
        <x:f>IF(OR(B234="",B233=""),"",B234-B233)</x:f>
        <x:v>-0.005345510741495474</x:v>
      </x:c>
      <x:c r="D234" s="98" t="n">
        <x:f>IF('Datos_fuente'!C234="","",LN('Datos_fuente'!C234))</x:f>
        <x:v>5.083885755835849</x:v>
      </x:c>
      <x:c r="E234" s="98" t="n">
        <x:f>IF(OR(D234="",D233=""),"",D234-D233)</x:f>
        <x:v>0.02541313232543274</x:v>
      </x:c>
      <x:c r="F234" s="98" t="n">
        <x:f>IF('Datos_fuente'!E234="","",LN('Datos_fuente'!E234))</x:f>
        <x:v>9.379932924310015</x:v>
      </x:c>
      <x:c r="G234" s="98" t="n">
        <x:f>IF(OR(F234="",F233=""),"",F234-F233)</x:f>
        <x:v>0.015667898048421947</x:v>
      </x:c>
      <x:c r="H234" s="63" t="n">
        <x:f>'Datos_fuente'!H234</x:f>
        <x:v>5.197419355</x:v>
      </x:c>
      <x:c r="I234" s="63" t="n">
        <x:f>IF(OR(H234="",H233=""),"",H234-H233)</x:f>
        <x:v>0.08741935499999975</x:v>
      </x:c>
      <x:c r="J234" s="63" t="n">
        <x:f>'Datos_fuente'!J234</x:f>
        <x:v>6.683581401</x:v>
      </x:c>
      <x:c r="K234" s="63" t="n">
        <x:f>IF(OR(J234="",J233=""),"",J234-J233)</x:f>
        <x:v>-0.2699580950000007</x:v>
      </x:c>
      <x:c r="L234" s="98" t="n">
        <x:f>IF('Datos_fuente'!K234="","",LN('Datos_fuente'!K234))</x:f>
        <x:v>4.848710548820382</x:v>
      </x:c>
      <x:c r="M234" s="98" t="n">
        <x:f>IF(OR(L234="",L233=""),"",L234-L233)</x:f>
        <x:v>0.009960762605426332</x:v>
      </x:c>
      <x:c r="N234" s="98" t="n">
        <x:f>IF('Datos_fuente'!L234="","",LN('Datos_fuente'!L234))</x:f>
        <x:v>2.7641904603541967</x:v>
      </x:c>
      <x:c r="O234" s="98" t="n">
        <x:f>IF(OR(N234="",N233=""),"",N234-N233)</x:f>
        <x:v>-0.009350189908302386</x:v>
      </x:c>
      <x:c r="P234" s="96" t="n">
        <x:f>'Datos_fuente'!M234</x:f>
        <x:v>0</x:v>
      </x:c>
      <x:c r="Q234" s="98" t="n">
        <x:f>IF('Datos_fuente'!N234="","",LN('Datos_fuente'!N234))</x:f>
        <x:v>11.042620670378762</x:v>
      </x:c>
      <x:c r="R234" s="98" t="n">
        <x:f>IF(OR(Q234="",Q233=""),"",Q234-Q233)</x:f>
        <x:v>-0.007598157424673957</x:v>
      </x:c>
      <x:c r="S234" s="63" t="n">
        <x:f>'Datos_fuente'!P234</x:f>
        <x:v>3.23</x:v>
      </x:c>
      <x:c r="T234" s="63" t="n">
        <x:f>IF(OR(S234="",S233=""),"",S234-S233)</x:f>
        <x:v>-0.009523810000000132</x:v>
      </x:c>
      <x:c r="U234" s="98" t="n">
        <x:f>IF('Datos_fuente'!Q234="","",ASINH('Datos_fuente'!Q234/1000))</x:f>
        <x:v>0.05454295236631438</x:v>
      </x:c>
      <x:c r="V234" s="98" t="n">
        <x:f>IF(OR(U234="",U233=""),"",U234-U233)</x:f>
        <x:v>-0.1543250575939645</x:v>
      </x:c>
      <x:c r="W234" s="98" t="n">
        <x:f>IF('Datos_fuente'!R234="","",ASINH('Datos_fuente'!R234/1000))</x:f>
        <x:v>-1.8033080237287886</x:v>
      </x:c>
      <x:c r="X234" s="98" t="n">
        <x:f>IF(OR(W234="",W233=""),"",W234-W233)</x:f>
        <x:v>-0.43985839814942773</x:v>
      </x:c>
      <x:c r="Y234" s="63" t="n">
        <x:f>'Datos_fuente'!W234</x:f>
        <x:v>2.813699986</x:v>
      </x:c>
      <x:c r="Z234" s="63" t="n">
        <x:f>IF(OR(Y234="",Y233=""),"",Y234-Y233)</x:f>
        <x:v>0.4578052170000002</x:v>
      </x:c>
      <x:c r="AA234" s="98" t="n">
        <x:f>'Datos_fuente'!AB234</x:f>
        <x:v>0.4806324555</x:v>
      </x:c>
      <x:c r="AB234" s="98" t="n">
        <x:f>'Datos_fuente'!AC234</x:f>
        <x:v>0.1295526405</x:v>
      </x:c>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t="str">
        <x:f>'Datos_fuente'!A235</x:f>
        <x:v>2025-01</x:v>
      </x:c>
      <x:c r="B235" s="98" t="n">
        <x:f>IF('Datos_fuente'!B235="","",LN('Datos_fuente'!B235))</x:f>
        <x:v>8.368128619817616</x:v>
      </x:c>
      <x:c r="C235" s="98" t="n">
        <x:f>IF(OR(B235="",B234=""),"",B235-B234)</x:f>
        <x:v>-0.01785019775455865</x:v>
      </x:c>
      <x:c r="D235" s="98" t="n">
        <x:f>IF('Datos_fuente'!C235="","",LN('Datos_fuente'!C235))</x:f>
        <x:v>5.1101185725812055</x:v>
      </x:c>
      <x:c r="E235" s="98" t="n">
        <x:f>IF(OR(D235="",D234=""),"",D235-D234)</x:f>
        <x:v>0.026232816745356935</x:v>
      </x:c>
      <x:c r="F235" s="98" t="n">
        <x:f>IF('Datos_fuente'!E235="","",LN('Datos_fuente'!E235))</x:f>
        <x:v>9.388075594264803</x:v>
      </x:c>
      <x:c r="G235" s="98" t="n">
        <x:f>IF(OR(F235="",F234=""),"",F235-F234)</x:f>
        <x:v>0.008142669954787962</x:v>
      </x:c>
      <x:c r="H235" s="63" t="n">
        <x:f>'Datos_fuente'!H235</x:f>
        <x:v>5.17</x:v>
      </x:c>
      <x:c r="I235" s="63" t="n">
        <x:f>IF(OR(H235="",H234=""),"",H235-H234)</x:f>
        <x:v>-0.027419355000000145</x:v>
      </x:c>
      <x:c r="J235" s="63" t="n">
        <x:f>'Datos_fuente'!J235</x:f>
        <x:v>6.775576693</x:v>
      </x:c>
      <x:c r="K235" s="63" t="n">
        <x:f>IF(OR(J235="",J234=""),"",J235-J234)</x:f>
        <x:v>0.091995292</x:v>
      </x:c>
      <x:c r="L235" s="98" t="n">
        <x:f>IF('Datos_fuente'!K235="","",LN('Datos_fuente'!K235))</x:f>
        <x:v>4.858547670038559</x:v>
      </x:c>
      <x:c r="M235" s="98" t="n">
        <x:f>IF(OR(L235="",L234=""),"",L235-L234)</x:f>
        <x:v>0.009837121218176925</x:v>
      </x:c>
      <x:c r="N235" s="98" t="n">
        <x:f>IF('Datos_fuente'!L235="","",LN('Datos_fuente'!L235))</x:f>
        <x:v>2.819212038107203</x:v>
      </x:c>
      <x:c r="O235" s="98" t="n">
        <x:f>IF(OR(N235="",N234=""),"",N235-N234)</x:f>
        <x:v>0.05502157775300631</x:v>
      </x:c>
      <x:c r="P235" s="96" t="n">
        <x:f>'Datos_fuente'!M235</x:f>
        <x:v>0</x:v>
      </x:c>
      <x:c r="Q235" s="98" t="n">
        <x:f>IF('Datos_fuente'!N235="","",LN('Datos_fuente'!N235))</x:f>
        <x:v>11.047690447799594</x:v>
      </x:c>
      <x:c r="R235" s="98" t="n">
        <x:f>IF(OR(Q235="",Q234=""),"",Q235-Q234)</x:f>
        <x:v>0.0050697774208323665</x:v>
      </x:c>
      <x:c r="S235" s="63" t="n">
        <x:f>'Datos_fuente'!P235</x:f>
        <x:v>3.219130435</x:v>
      </x:c>
      <x:c r="T235" s="63" t="n">
        <x:f>IF(OR(S235="",S234=""),"",S235-S234)</x:f>
        <x:v>-0.010869565000000136</x:v>
      </x:c>
      <x:c r="U235" s="98" t="n">
        <x:f>IF('Datos_fuente'!Q235="","",ASINH('Datos_fuente'!Q235/1000))</x:f>
        <x:v>-0.01733913116506784</x:v>
      </x:c>
      <x:c r="V235" s="98" t="n">
        <x:f>IF(OR(U235="",U234=""),"",U235-U234)</x:f>
        <x:v>-0.07188208353138222</x:v>
      </x:c>
      <x:c r="W235" s="98" t="n">
        <x:f>IF('Datos_fuente'!R235="","",ASINH('Datos_fuente'!R235/1000))</x:f>
        <x:v>-1.1439773887848388</x:v>
      </x:c>
      <x:c r="X235" s="98" t="n">
        <x:f>IF(OR(W235="",W234=""),"",W235-W234)</x:f>
        <x:v>0.6593306349439498</x:v>
      </x:c>
      <x:c r="Y235" s="63" t="n">
        <x:f>'Datos_fuente'!W235</x:f>
        <x:v>3.012595259</x:v>
      </x:c>
      <x:c r="Z235" s="63" t="n">
        <x:f>IF(OR(Y235="",Y234=""),"",Y235-Y234)</x:f>
        <x:v>0.19889527299999976</x:v>
      </x:c>
      <x:c r="AA235" s="98" t="n">
        <x:f>'Datos_fuente'!AB235</x:f>
        <x:v>0.1570510632</x:v>
      </x:c>
      <x:c r="AB235" s="98" t="n">
        <x:f>'Datos_fuente'!AC235</x:f>
        <x:v>0.1814636132</x:v>
      </x:c>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t="str">
        <x:f>'Datos_fuente'!A236</x:f>
        <x:v>2025-02</x:v>
      </x:c>
      <x:c r="B236" s="98" t="n">
        <x:f>IF('Datos_fuente'!B236="","",LN('Datos_fuente'!B236))</x:f>
        <x:v>8.325537146488653</x:v>
      </x:c>
      <x:c r="C236" s="98" t="n">
        <x:f>IF(OR(B236="",B235=""),"",B236-B235)</x:f>
        <x:v>-0.0425914733289634</x:v>
      </x:c>
      <x:c r="D236" s="98" t="n">
        <x:f>IF('Datos_fuente'!C236="","",LN('Datos_fuente'!C236))</x:f>
        <x:v>5.103153701740784</x:v>
      </x:c>
      <x:c r="E236" s="98" t="n">
        <x:f>IF(OR(D236="",D235=""),"",D236-D235)</x:f>
        <x:v>-0.006964870840421078</x:v>
      </x:c>
      <x:c r="F236" s="98" t="n">
        <x:f>IF('Datos_fuente'!E236="","",LN('Datos_fuente'!E236))</x:f>
        <x:v>9.397880786809027</x:v>
      </x:c>
      <x:c r="G236" s="98" t="n">
        <x:f>IF(OR(F236="",F235=""),"",F236-F235)</x:f>
        <x:v>0.009805192544224184</x:v>
      </x:c>
      <x:c r="H236" s="63" t="n">
        <x:f>'Datos_fuente'!H236</x:f>
        <x:v>5.17</x:v>
      </x:c>
      <x:c r="I236" s="63" t="n">
        <x:f>IF(OR(H236="",H235=""),"",H236-H235)</x:f>
        <x:v>0</x:v>
      </x:c>
      <x:c r="J236" s="63" t="n">
        <x:f>'Datos_fuente'!J236</x:f>
        <x:v>7.021169873</x:v>
      </x:c>
      <x:c r="K236" s="63" t="n">
        <x:f>IF(OR(J236="",J235=""),"",J236-J235)</x:f>
        <x:v>0.2455931800000002</x:v>
      </x:c>
      <x:c r="L236" s="98" t="n">
        <x:f>IF('Datos_fuente'!K236="","",LN('Datos_fuente'!K236))</x:f>
        <x:v>4.851059727476451</x:v>
      </x:c>
      <x:c r="M236" s="98" t="n">
        <x:f>IF(OR(L236="",L235=""),"",L236-L235)</x:f>
        <x:v>-0.007487942562107719</x:v>
      </x:c>
      <x:c r="N236" s="98" t="n">
        <x:f>IF('Datos_fuente'!L236="","",LN('Datos_fuente'!L236))</x:f>
        <x:v>2.831329217262381</x:v>
      </x:c>
      <x:c r="O236" s="98" t="n">
        <x:f>IF(OR(N236="",N235=""),"",N236-N235)</x:f>
        <x:v>0.012117179155178182</x:v>
      </x:c>
      <x:c r="P236" s="96" t="n">
        <x:f>'Datos_fuente'!M236</x:f>
        <x:v>0</x:v>
      </x:c>
      <x:c r="Q236" s="98" t="n">
        <x:f>IF('Datos_fuente'!N236="","",LN('Datos_fuente'!N236))</x:f>
        <x:v>11.05801708696551</x:v>
      </x:c>
      <x:c r="R236" s="98" t="n">
        <x:f>IF(OR(Q236="",Q235=""),"",Q236-Q235)</x:f>
        <x:v>0.010326639165915807</x:v>
      </x:c>
      <x:c r="S236" s="63" t="n">
        <x:f>'Datos_fuente'!P236</x:f>
        <x:v>3.2535</x:v>
      </x:c>
      <x:c r="T236" s="63" t="n">
        <x:f>IF(OR(S236="",S235=""),"",S236-S235)</x:f>
        <x:v>0.03436956499999999</x:v>
      </x:c>
      <x:c r="U236" s="98" t="n">
        <x:f>IF('Datos_fuente'!Q236="","",ASINH('Datos_fuente'!Q236/1000))</x:f>
        <x:v>0.22110407180974423</x:v>
      </x:c>
      <x:c r="V236" s="98" t="n">
        <x:f>IF(OR(U236="",U235=""),"",U236-U235)</x:f>
        <x:v>0.23844320297481206</x:v>
      </x:c>
      <x:c r="W236" s="98" t="n">
        <x:f>IF('Datos_fuente'!R236="","",ASINH('Datos_fuente'!R236/1000))</x:f>
        <x:v>-1.321812270136787</x:v>
      </x:c>
      <x:c r="X236" s="98" t="n">
        <x:f>IF(OR(W236="",W235=""),"",W236-W235)</x:f>
        <x:v>-0.17783488135194814</x:v>
      </x:c>
      <x:c r="Y236" s="63" t="n">
        <x:f>'Datos_fuente'!W236</x:f>
        <x:v>2.847821042</x:v>
      </x:c>
      <x:c r="Z236" s="63" t="n">
        <x:f>IF(OR(Y236="",Y235=""),"",Y236-Y235)</x:f>
        <x:v>-0.16477421699999972</x:v>
      </x:c>
      <x:c r="AA236" s="98" t="n">
        <x:f>'Datos_fuente'!AB236</x:f>
        <x:v>-1.137999396</x:v>
      </x:c>
      <x:c r="AB236" s="98" t="n">
        <x:f>'Datos_fuente'!AC236</x:f>
        <x:v>-1.121634355</x:v>
      </x:c>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t="str">
        <x:f>'Datos_fuente'!A237</x:f>
        <x:v>2025-03</x:v>
      </x:c>
      <x:c r="B237" s="98" t="n">
        <x:f>IF('Datos_fuente'!B237="","",LN('Datos_fuente'!B237))</x:f>
        <x:v>8.32789161470303</x:v>
      </x:c>
      <x:c r="C237" s="98" t="n">
        <x:f>IF(OR(B237="",B236=""),"",B237-B236)</x:f>
        <x:v>0.0023544682143779028</x:v>
      </x:c>
      <x:c r="D237" s="98" t="n">
        <x:f>IF('Datos_fuente'!C237="","",LN('Datos_fuente'!C237))</x:f>
        <x:v>5.099073430558133</x:v>
      </x:c>
      <x:c r="E237" s="98" t="n">
        <x:f>IF(OR(D237="",D236=""),"",D237-D236)</x:f>
        <x:v>-0.004080271182651529</x:v>
      </x:c>
      <x:c r="F237" s="98" t="n">
        <x:f>IF('Datos_fuente'!E237="","",LN('Datos_fuente'!E237))</x:f>
        <x:v>9.413939774585744</x:v>
      </x:c>
      <x:c r="G237" s="98" t="n">
        <x:f>IF(OR(F237="",F236=""),"",F237-F236)</x:f>
        <x:v>0.01605898777671655</x:v>
      </x:c>
      <x:c r="H237" s="63" t="n">
        <x:f>'Datos_fuente'!H237</x:f>
        <x:v>5.17</x:v>
      </x:c>
      <x:c r="I237" s="63" t="n">
        <x:f>IF(OR(H237="",H236=""),"",H237-H236)</x:f>
        <x:v>0</x:v>
      </x:c>
      <x:c r="J237" s="63" t="n">
        <x:f>'Datos_fuente'!J237</x:f>
        <x:v>7.317183331</x:v>
      </x:c>
      <x:c r="K237" s="63" t="n">
        <x:f>IF(OR(J237="",J236=""),"",J237-J236)</x:f>
        <x:v>0.296013458</x:v>
      </x:c>
      <x:c r="L237" s="98" t="n">
        <x:f>IF('Datos_fuente'!K237="","",LN('Datos_fuente'!K237))</x:f>
        <x:v>4.838208960894518</x:v>
      </x:c>
      <x:c r="M237" s="98" t="n">
        <x:f>IF(OR(L237="",L236=""),"",L237-L236)</x:f>
        <x:v>-0.012850766581933293</x:v>
      </x:c>
      <x:c r="N237" s="98" t="n">
        <x:f>IF('Datos_fuente'!L237="","",LN('Datos_fuente'!L237))</x:f>
        <x:v>3.0838085594518025</x:v>
      </x:c>
      <x:c r="O237" s="98" t="n">
        <x:f>IF(OR(N237="",N236=""),"",N237-N236)</x:f>
        <x:v>0.25247934218942136</x:v>
      </x:c>
      <x:c r="P237" s="96" t="n">
        <x:f>'Datos_fuente'!M237</x:f>
        <x:v>0</x:v>
      </x:c>
      <x:c r="Q237" s="98" t="n">
        <x:f>IF('Datos_fuente'!N237="","",LN('Datos_fuente'!N237))</x:f>
        <x:v>11.064354506326959</x:v>
      </x:c>
      <x:c r="R237" s="98" t="n">
        <x:f>IF(OR(Q237="",Q236=""),"",Q237-Q236)</x:f>
        <x:v>0.006337419361448937</x:v>
      </x:c>
      <x:c r="S237" s="63" t="n">
        <x:f>'Datos_fuente'!P237</x:f>
        <x:v>3.364761905</x:v>
      </x:c>
      <x:c r="T237" s="63" t="n">
        <x:f>IF(OR(S237="",S236=""),"",S237-S236)</x:f>
        <x:v>0.1112619050000001</x:v>
      </x:c>
      <x:c r="U237" s="98" t="n">
        <x:f>IF('Datos_fuente'!Q237="","",ASINH('Datos_fuente'!Q237/1000))</x:f>
        <x:v>0.20518717529283512</x:v>
      </x:c>
      <x:c r="V237" s="98" t="n">
        <x:f>IF(OR(U237="",U236=""),"",U237-U236)</x:f>
        <x:v>-0.015916896516909113</x:v>
      </x:c>
      <x:c r="W237" s="98" t="n">
        <x:f>IF('Datos_fuente'!R237="","",ASINH('Datos_fuente'!R237/1000))</x:f>
        <x:v>-1.5671160519798288</x:v>
      </x:c>
      <x:c r="X237" s="98" t="n">
        <x:f>IF(OR(W237="",W236=""),"",W237-W236)</x:f>
        <x:v>-0.2453037818430419</x:v>
      </x:c>
      <x:c r="Y237" s="63" t="n">
        <x:f>'Datos_fuente'!W237</x:f>
        <x:v>2.911809511</x:v>
      </x:c>
      <x:c r="Z237" s="63" t="n">
        <x:f>IF(OR(Y237="",Y236=""),"",Y237-Y236)</x:f>
        <x:v>0.06398846899999988</x:v>
      </x:c>
      <x:c r="AA237" s="98" t="n">
        <x:f>'Datos_fuente'!AB237</x:f>
        <x:v>-0.5533742554</x:v>
      </x:c>
      <x:c r="AB237" s="98" t="n">
        <x:f>'Datos_fuente'!AC237</x:f>
        <x:v>-0.6553964546</x:v>
      </x:c>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t="str">
        <x:f>'Datos_fuente'!A238</x:f>
        <x:v>2025-04</x:v>
      </x:c>
      <x:c r="B238" s="98" t="n">
        <x:f>IF('Datos_fuente'!B238="","",LN('Datos_fuente'!B238))</x:f>
        <x:v>8.361768567132886</x:v>
      </x:c>
      <x:c r="C238" s="98" t="n">
        <x:f>IF(OR(B238="",B237=""),"",B238-B237)</x:f>
        <x:v>0.03387695242985522</x:v>
      </x:c>
      <x:c r="D238" s="98" t="n">
        <x:f>IF('Datos_fuente'!C238="","",LN('Datos_fuente'!C238))</x:f>
        <x:v>5.090000849476996</x:v>
      </x:c>
      <x:c r="E238" s="98" t="n">
        <x:f>IF(OR(D238="",D237=""),"",D238-D237)</x:f>
        <x:v>-0.009072581081136732</x:v>
      </x:c>
      <x:c r="F238" s="98" t="n">
        <x:f>IF('Datos_fuente'!E238="","",LN('Datos_fuente'!E238))</x:f>
        <x:v>9.427553573475247</x:v>
      </x:c>
      <x:c r="G238" s="98" t="n">
        <x:f>IF(OR(F238="",F237=""),"",F238-F237)</x:f>
        <x:v>0.013613798889503315</x:v>
      </x:c>
      <x:c r="H238" s="63" t="n">
        <x:f>'Datos_fuente'!H238</x:f>
        <x:v>5.17</x:v>
      </x:c>
      <x:c r="I238" s="63" t="n">
        <x:f>IF(OR(H238="",H237=""),"",H238-H237)</x:f>
        <x:v>0</x:v>
      </x:c>
      <x:c r="J238" s="63" t="n">
        <x:f>'Datos_fuente'!J238</x:f>
        <x:v>7.046019782</x:v>
      </x:c>
      <x:c r="K238" s="63" t="n">
        <x:f>IF(OR(J238="",J237=""),"",J238-J237)</x:f>
        <x:v>-0.2711635489999997</x:v>
      </x:c>
      <x:c r="L238" s="98" t="n">
        <x:f>IF('Datos_fuente'!K238="","",LN('Datos_fuente'!K238))</x:f>
        <x:v>4.8214115720684685</x:v>
      </x:c>
      <x:c r="M238" s="98" t="n">
        <x:f>IF(OR(L238="",L237=""),"",L238-L237)</x:f>
        <x:v>-0.016797388826049087</x:v>
      </x:c>
      <x:c r="N238" s="98" t="n">
        <x:f>IF('Datos_fuente'!L238="","",LN('Datos_fuente'!L238))</x:f>
        <x:v>3.464678796759966</x:v>
      </x:c>
      <x:c r="O238" s="98" t="n">
        <x:f>IF(OR(N238="",N237=""),"",N238-N237)</x:f>
        <x:v>0.3808702373081636</x:v>
      </x:c>
      <x:c r="P238" s="96" t="n">
        <x:f>'Datos_fuente'!M238</x:f>
        <x:v>0</x:v>
      </x:c>
      <x:c r="Q238" s="98" t="n">
        <x:f>IF('Datos_fuente'!N238="","",LN('Datos_fuente'!N238))</x:f>
        <x:v>11.07644295237728</x:v>
      </x:c>
      <x:c r="R238" s="98" t="n">
        <x:f>IF(OR(Q238="",Q237=""),"",Q238-Q237)</x:f>
        <x:v>0.012088446050320556</x:v>
      </x:c>
      <x:c r="S238" s="63" t="n">
        <x:f>'Datos_fuente'!P238</x:f>
        <x:v>3.853181818</x:v>
      </x:c>
      <x:c r="T238" s="63" t="n">
        <x:f>IF(OR(S238="",S237=""),"",S238-S237)</x:f>
        <x:v>0.488419913</x:v>
      </x:c>
      <x:c r="U238" s="98" t="n">
        <x:f>IF('Datos_fuente'!Q238="","",ASINH('Datos_fuente'!Q238/1000))</x:f>
        <x:v>0.13467254488379926</x:v>
      </x:c>
      <x:c r="V238" s="98" t="n">
        <x:f>IF(OR(U238="",U237=""),"",U238-U237)</x:f>
        <x:v>-0.07051463040903586</x:v>
      </x:c>
      <x:c r="W238" s="98" t="n">
        <x:f>IF('Datos_fuente'!R238="","",ASINH('Datos_fuente'!R238/1000))</x:f>
        <x:v>-1.2085457106483593</x:v>
      </x:c>
      <x:c r="X238" s="98" t="n">
        <x:f>IF(OR(W238="",W237=""),"",W238-W237)</x:f>
        <x:v>0.3585703413314696</x:v>
      </x:c>
      <x:c r="Y238" s="63" t="n">
        <x:f>'Datos_fuente'!W238</x:f>
        <x:v>2.876436593</x:v>
      </x:c>
      <x:c r="Z238" s="63" t="n">
        <x:f>IF(OR(Y238="",Y237=""),"",Y238-Y237)</x:f>
        <x:v>-0.03537291799999975</x:v>
      </x:c>
      <x:c r="AA238" s="98" t="n">
        <x:f>'Datos_fuente'!AB238</x:f>
        <x:v>0.22912326</x:v>
      </x:c>
      <x:c r="AB238" s="98" t="n">
        <x:f>'Datos_fuente'!AC238</x:f>
        <x:v>0.4344294529</x:v>
      </x:c>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t="str">
        <x:f>'Datos_fuente'!A239</x:f>
        <x:v>2025-05</x:v>
      </x:c>
      <x:c r="B239" s="98" t="n">
        <x:f>IF('Datos_fuente'!B239="","",LN('Datos_fuente'!B239))</x:f>
        <x:v>8.34364355189407</x:v>
      </x:c>
      <x:c r="C239" s="98" t="n">
        <x:f>IF(OR(B239="",B238=""),"",B239-B238)</x:f>
        <x:v>-0.018125015238815934</x:v>
      </x:c>
      <x:c r="D239" s="98" t="n">
        <x:f>IF('Datos_fuente'!C239="","",LN('Datos_fuente'!C239))</x:f>
        <x:v>5.062088575685172</x:v>
      </x:c>
      <x:c r="E239" s="98" t="n">
        <x:f>IF(OR(D239="",D238=""),"",D239-D238)</x:f>
        <x:v>-0.027912273791824482</x:v>
      </x:c>
      <x:c r="F239" s="98" t="n">
        <x:f>IF('Datos_fuente'!E239="","",LN('Datos_fuente'!E239))</x:f>
        <x:v>9.438424498524403</x:v>
      </x:c>
      <x:c r="G239" s="98" t="n">
        <x:f>IF(OR(F239="",F238=""),"",F239-F238)</x:f>
        <x:v>0.0108709250491561</x:v>
      </x:c>
      <x:c r="H239" s="63" t="n">
        <x:f>'Datos_fuente'!H239</x:f>
        <x:v>4.928064516</x:v>
      </x:c>
      <x:c r="I239" s="63" t="n">
        <x:f>IF(OR(H239="",H238=""),"",H239-H238)</x:f>
        <x:v>-0.24193548399999987</x:v>
      </x:c>
      <x:c r="J239" s="63" t="n">
        <x:f>'Datos_fuente'!J239</x:f>
        <x:v>7.127072678</x:v>
      </x:c>
      <x:c r="K239" s="63" t="n">
        <x:f>IF(OR(J239="",J238=""),"",J239-J238)</x:f>
        <x:v>0.0810528960000001</x:v>
      </x:c>
      <x:c r="L239" s="98" t="n">
        <x:f>IF('Datos_fuente'!K239="","",LN('Datos_fuente'!K239))</x:f>
        <x:v>4.806821724902358</x:v>
      </x:c>
      <x:c r="M239" s="98" t="n">
        <x:f>IF(OR(L239="",L238=""),"",L239-L238)</x:f>
        <x:v>-0.014589847166110559</x:v>
      </x:c>
      <x:c r="N239" s="98" t="n">
        <x:f>IF('Datos_fuente'!L239="","",LN('Datos_fuente'!L239))</x:f>
        <x:v>3.0185828359770523</x:v>
      </x:c>
      <x:c r="O239" s="98" t="n">
        <x:f>IF(OR(N239="",N238=""),"",N239-N238)</x:f>
        <x:v>-0.4460959607829138</x:v>
      </x:c>
      <x:c r="P239" s="96" t="n">
        <x:f>'Datos_fuente'!M239</x:f>
        <x:v>0</x:v>
      </x:c>
      <x:c r="Q239" s="98" t="n">
        <x:f>IF('Datos_fuente'!N239="","",LN('Datos_fuente'!N239))</x:f>
        <x:v>11.075847391270864</x:v>
      </x:c>
      <x:c r="R239" s="98" t="n">
        <x:f>IF(OR(Q239="",Q238=""),"",Q239-Q238)</x:f>
        <x:v>-0.0005955611064152322</x:v>
      </x:c>
      <x:c r="S239" s="63" t="n">
        <x:f>'Datos_fuente'!P239</x:f>
        <x:v>3.566363636</x:v>
      </x:c>
      <x:c r="T239" s="63" t="n">
        <x:f>IF(OR(S239="",S238=""),"",S239-S238)</x:f>
        <x:v>-0.28681818199999976</x:v>
      </x:c>
      <x:c r="U239" s="98" t="n">
        <x:f>IF('Datos_fuente'!Q239="","",ASINH('Datos_fuente'!Q239/1000))</x:f>
        <x:v>0.022748038032435018</x:v>
      </x:c>
      <x:c r="V239" s="98" t="n">
        <x:f>IF(OR(U239="",U238=""),"",U239-U238)</x:f>
        <x:v>-0.11192450685136424</x:v>
      </x:c>
      <x:c r="W239" s="98" t="n">
        <x:f>IF('Datos_fuente'!R239="","",ASINH('Datos_fuente'!R239/1000))</x:f>
        <x:v>-1.5014828211541618</x:v>
      </x:c>
      <x:c r="X239" s="98" t="n">
        <x:f>IF(OR(W239="",W238=""),"",W239-W238)</x:f>
        <x:v>-0.2929371105058025</x:v>
      </x:c>
      <x:c r="Y239" s="63" t="n">
        <x:f>'Datos_fuente'!W239</x:f>
        <x:v>2.812980933</x:v>
      </x:c>
      <x:c r="Z239" s="63" t="n">
        <x:f>IF(OR(Y239="",Y238=""),"",Y239-Y238)</x:f>
        <x:v>-0.06345566000000025</x:v>
      </x:c>
      <x:c r="AA239" s="98" t="n">
        <x:f>'Datos_fuente'!AB239</x:f>
        <x:v>-0.934745192</x:v>
      </x:c>
      <x:c r="AB239" s="98" t="n">
        <x:f>'Datos_fuente'!AC239</x:f>
        <x:v>-0.9178529637</x:v>
      </x:c>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t="str">
        <x:f>'Datos_fuente'!A240</x:f>
        <x:v>2025-06</x:v>
      </x:c>
      <x:c r="B240" s="98" t="n">
        <x:f>IF('Datos_fuente'!B240="","",LN('Datos_fuente'!B240))</x:f>
        <x:v>8.322025880072617</x:v>
      </x:c>
      <x:c r="C240" s="98" t="n">
        <x:f>IF(OR(B240="",B239=""),"",B240-B239)</x:f>
        <x:v>-0.02161767182145269</x:v>
      </x:c>
      <x:c r="D240" s="98" t="n">
        <x:f>IF('Datos_fuente'!C240="","",LN('Datos_fuente'!C240))</x:f>
        <x:v>5.103518288242969</x:v>
      </x:c>
      <x:c r="E240" s="98" t="n">
        <x:f>IF(OR(D240="",D239=""),"",D240-D239)</x:f>
        <x:v>0.04142971255779759</x:v>
      </x:c>
      <x:c r="F240" s="98" t="n">
        <x:f>IF('Datos_fuente'!E240="","",LN('Datos_fuente'!E240))</x:f>
        <x:v>9.44373361527114</x:v>
      </x:c>
      <x:c r="G240" s="98" t="n">
        <x:f>IF(OR(F240="",F239=""),"",F240-F239)</x:f>
        <x:v>0.005309116746737175</x:v>
      </x:c>
      <x:c r="H240" s="63" t="n">
        <x:f>'Datos_fuente'!H240</x:f>
        <x:v>4.92</x:v>
      </x:c>
      <x:c r="I240" s="63" t="n">
        <x:f>IF(OR(H240="",H239=""),"",H240-H239)</x:f>
        <x:v>-0.008064516000000133</x:v>
      </x:c>
      <x:c r="J240" s="63" t="n">
        <x:f>'Datos_fuente'!J240</x:f>
        <x:v>6.902094389</x:v>
      </x:c>
      <x:c r="K240" s="63" t="n">
        <x:f>IF(OR(J240="",J239=""),"",J240-J239)</x:f>
        <x:v>-0.22497828900000005</x:v>
      </x:c>
      <x:c r="L240" s="98" t="n">
        <x:f>IF('Datos_fuente'!K240="","",LN('Datos_fuente'!K240))</x:f>
        <x:v>4.792428453813842</x:v>
      </x:c>
      <x:c r="M240" s="98" t="n">
        <x:f>IF(OR(L240="",L239=""),"",L240-L239)</x:f>
        <x:v>-0.01439327108851618</x:v>
      </x:c>
      <x:c r="N240" s="98" t="n">
        <x:f>IF('Datos_fuente'!L240="","",LN('Datos_fuente'!L240))</x:f>
        <x:v>2.912531807446717</x:v>
      </x:c>
      <x:c r="O240" s="98" t="n">
        <x:f>IF(OR(N240="",N239=""),"",N240-N239)</x:f>
        <x:v>-0.10605102853033532</x:v>
      </x:c>
      <x:c r="P240" s="96" t="n">
        <x:f>'Datos_fuente'!M240</x:f>
        <x:v>0</x:v>
      </x:c>
      <x:c r="Q240" s="98" t="n">
        <x:f>IF('Datos_fuente'!N240="","",LN('Datos_fuente'!N240))</x:f>
        <x:v>11.08464986447175</x:v>
      </x:c>
      <x:c r="R240" s="98" t="n">
        <x:f>IF(OR(Q240="",Q239=""),"",Q240-Q239)</x:f>
        <x:v>0.008802473200885785</x:v>
      </x:c>
      <x:c r="S240" s="63" t="n">
        <x:f>'Datos_fuente'!P240</x:f>
        <x:v>3.47047619</x:v>
      </x:c>
      <x:c r="T240" s="63" t="n">
        <x:f>IF(OR(S240="",S239=""),"",S240-S239)</x:f>
        <x:v>-0.09588744600000032</x:v>
      </x:c>
      <x:c r="U240" s="98" t="n">
        <x:f>IF('Datos_fuente'!Q240="","",ASINH('Datos_fuente'!Q240/1000))</x:f>
        <x:v>0.08286513339541302</x:v>
      </x:c>
      <x:c r="V240" s="98" t="n">
        <x:f>IF(OR(U240="",U239=""),"",U240-U239)</x:f>
        <x:v>0.060117095362978</x:v>
      </x:c>
      <x:c r="W240" s="98" t="n">
        <x:f>IF('Datos_fuente'!R240="","",ASINH('Datos_fuente'!R240/1000))</x:f>
        <x:v>-1.2289285767921616</x:v>
      </x:c>
      <x:c r="X240" s="98" t="n">
        <x:f>IF(OR(W240="",W239=""),"",W240-W239)</x:f>
        <x:v>0.27255424436200015</x:v>
      </x:c>
      <x:c r="Y240" s="63" t="n">
        <x:f>'Datos_fuente'!W240</x:f>
        <x:v>3.107834449</x:v>
      </x:c>
      <x:c r="Z240" s="63" t="n">
        <x:f>IF(OR(Y240="",Y239=""),"",Y240-Y239)</x:f>
        <x:v>0.29485351599999987</x:v>
      </x:c>
      <x:c r="AA240" s="98" t="n">
        <x:f>'Datos_fuente'!AB240</x:f>
        <x:v>-0.5998585254</x:v>
      </x:c>
      <x:c r="AB240" s="98" t="n">
        <x:f>'Datos_fuente'!AC240</x:f>
        <x:v>-0.7671549194</x:v>
      </x:c>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t="str">
        <x:f>'Datos_fuente'!A241</x:f>
        <x:v>2025-07</x:v>
      </x:c>
      <x:c r="B241" s="98" t="n">
        <x:f>IF('Datos_fuente'!B241="","",LN('Datos_fuente'!B241))</x:f>
        <x:v>8.304209945691136</x:v>
      </x:c>
      <x:c r="C241" s="98" t="n">
        <x:f>IF(OR(B241="",B240=""),"",B241-B240)</x:f>
        <x:v>-0.017815934381481213</x:v>
      </x:c>
      <x:c r="D241" s="98" t="n">
        <x:f>IF('Datos_fuente'!C241="","",LN('Datos_fuente'!C241))</x:f>
        <x:v>5.105581771405209</x:v>
      </x:c>
      <x:c r="E241" s="98" t="n">
        <x:f>IF(OR(D241="",D240=""),"",D241-D240)</x:f>
        <x:v>0.0020634831622396987</x:v>
      </x:c>
      <x:c r="F241" s="98" t="n">
        <x:f>IF('Datos_fuente'!E241="","",LN('Datos_fuente'!E241))</x:f>
        <x:v>9.455691499514478</x:v>
      </x:c>
      <x:c r="G241" s="98" t="n">
        <x:f>IF(OR(F241="",F240=""),"",F241-F240)</x:f>
        <x:v>0.011957884243336991</x:v>
      </x:c>
      <x:c r="H241" s="63" t="n">
        <x:f>'Datos_fuente'!H241</x:f>
        <x:v>4.92</x:v>
      </x:c>
      <x:c r="I241" s="63" t="n">
        <x:f>IF(OR(H241="",H240=""),"",H241-H240)</x:f>
        <x:v>0</x:v>
      </x:c>
      <x:c r="J241" s="63" t="n">
        <x:f>'Datos_fuente'!J241</x:f>
        <x:v>6.856711008</x:v>
      </x:c>
      <x:c r="K241" s="63" t="n">
        <x:f>IF(OR(J241="",J240=""),"",J241-J240)</x:f>
        <x:v>-0.04538338099999972</x:v>
      </x:c>
      <x:c r="L241" s="98" t="n">
        <x:f>IF('Datos_fuente'!K241="","",LN('Datos_fuente'!K241))</x:f>
        <x:v>4.788430392945447</x:v>
      </x:c>
      <x:c r="M241" s="98" t="n">
        <x:f>IF(OR(L241="",L240=""),"",L241-L240)</x:f>
        <x:v>-0.003998060868394937</x:v>
      </x:c>
      <x:c r="N241" s="98" t="n">
        <x:f>IF('Datos_fuente'!L241="","",LN('Datos_fuente'!L241))</x:f>
        <x:v>2.7961407059017023</x:v>
      </x:c>
      <x:c r="O241" s="98" t="n">
        <x:f>IF(OR(N241="",N240=""),"",N241-N240)</x:f>
        <x:v>-0.11639110154501475</x:v>
      </x:c>
      <x:c r="P241" s="96" t="n">
        <x:f>'Datos_fuente'!M241</x:f>
        <x:v>0</x:v>
      </x:c>
      <x:c r="Q241" s="98" t="n">
        <x:f>IF('Datos_fuente'!N241="","",LN('Datos_fuente'!N241))</x:f>
        <x:v>11.080315342090193</x:v>
      </x:c>
      <x:c r="R241" s="98" t="n">
        <x:f>IF(OR(Q241="",Q240=""),"",Q241-Q240)</x:f>
        <x:v>-0.004334522381556738</x:v>
      </x:c>
      <x:c r="S241" s="63" t="n">
        <x:f>'Datos_fuente'!P241</x:f>
        <x:v>3.187826087</x:v>
      </x:c>
      <x:c r="T241" s="63" t="n">
        <x:f>IF(OR(S241="",S240=""),"",S241-S240)</x:f>
        <x:v>-0.28265010299999993</x:v>
      </x:c>
      <x:c r="U241" s="98" t="n">
        <x:f>IF('Datos_fuente'!Q241="","",ASINH('Datos_fuente'!Q241/1000))</x:f>
        <x:v>0.042137529194528164</x:v>
      </x:c>
      <x:c r="V241" s="98" t="n">
        <x:f>IF(OR(U241="",U240=""),"",U241-U240)</x:f>
        <x:v>-0.04072760420088485</x:v>
      </x:c>
      <x:c r="W241" s="98" t="n">
        <x:f>IF('Datos_fuente'!R241="","",ASINH('Datos_fuente'!R241/1000))</x:f>
        <x:v>-1.712299572707842</x:v>
      </x:c>
      <x:c r="X241" s="98" t="n">
        <x:f>IF(OR(W241="",W240=""),"",W241-W240)</x:f>
        <x:v>-0.48337099591568045</x:v>
      </x:c>
      <x:c r="Y241" s="63" t="n">
        <x:f>'Datos_fuente'!W241</x:f>
        <x:v>2.803250593</x:v>
      </x:c>
      <x:c r="Z241" s="63" t="n">
        <x:f>IF(OR(Y241="",Y240=""),"",Y241-Y240)</x:f>
        <x:v>-0.3045838559999998</x:v>
      </x:c>
      <x:c r="AA241" s="98" t="n">
        <x:f>'Datos_fuente'!AB241</x:f>
        <x:v>-0.1194245278</x:v>
      </x:c>
      <x:c r="AB241" s="98" t="n">
        <x:f>'Datos_fuente'!AC241</x:f>
        <x:v>-0.3413637827</x:v>
      </x:c>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t="str">
        <x:f>'Datos_fuente'!A242</x:f>
        <x:v>2025-08</x:v>
      </x:c>
      <x:c r="B242" s="98" t="n">
        <x:f>IF('Datos_fuente'!B242="","",LN('Datos_fuente'!B242))</x:f>
        <x:v>8.305832847882838</x:v>
      </x:c>
      <x:c r="C242" s="98" t="n">
        <x:f>IF(OR(B242="",B241=""),"",B242-B241)</x:f>
        <x:v>0.0016229021917020248</x:v>
      </x:c>
      <x:c r="D242" s="98" t="n">
        <x:f>IF('Datos_fuente'!C242="","",LN('Datos_fuente'!C242))</x:f>
        <x:v>5.122176668829163</x:v>
      </x:c>
      <x:c r="E242" s="98" t="n">
        <x:f>IF(OR(D242="",D241=""),"",D242-D241)</x:f>
        <x:v>0.016594897423954258</x:v>
      </x:c>
      <x:c r="F242" s="98" t="n">
        <x:f>IF('Datos_fuente'!E242="","",LN('Datos_fuente'!E242))</x:f>
        <x:v>9.462432053672934</x:v>
      </x:c>
      <x:c r="G242" s="98" t="n">
        <x:f>IF(OR(F242="",F241=""),"",F242-F241)</x:f>
        <x:v>0.006740554158456646</x:v>
      </x:c>
      <x:c r="H242" s="63" t="n">
        <x:f>'Datos_fuente'!H242</x:f>
        <x:v>4.92</x:v>
      </x:c>
      <x:c r="I242" s="63" t="n">
        <x:f>IF(OR(H242="",H241=""),"",H242-H241)</x:f>
        <x:v>0</x:v>
      </x:c>
      <x:c r="J242" s="63" t="n">
        <x:f>'Datos_fuente'!J242</x:f>
        <x:v>6.581444247</x:v>
      </x:c>
      <x:c r="K242" s="63" t="n">
        <x:f>IF(OR(J242="",J241=""),"",J242-J241)</x:f>
        <x:v>-0.27526676100000014</x:v>
      </x:c>
      <x:c r="L242" s="98" t="n">
        <x:f>IF('Datos_fuente'!K242="","",LN('Datos_fuente'!K242))</x:f>
        <x:v>4.792278956600309</x:v>
      </x:c>
      <x:c r="M242" s="98" t="n">
        <x:f>IF(OR(L242="",L241=""),"",L242-L241)</x:f>
        <x:v>0.0038485636548619695</x:v>
      </x:c>
      <x:c r="N242" s="98" t="n">
        <x:f>IF('Datos_fuente'!L242="","",LN('Datos_fuente'!L242))</x:f>
        <x:v>2.7568403652716422</x:v>
      </x:c>
      <x:c r="O242" s="98" t="n">
        <x:f>IF(OR(N242="",N241=""),"",N242-N241)</x:f>
        <x:v>-0.03930034063006005</x:v>
      </x:c>
      <x:c r="P242" s="96" t="n">
        <x:f>'Datos_fuente'!M242</x:f>
        <x:v>0</x:v>
      </x:c>
      <x:c r="Q242" s="98" t="n">
        <x:f>IF('Datos_fuente'!N242="","",LN('Datos_fuente'!N242))</x:f>
        <x:v>11.0893013251224</x:v>
      </x:c>
      <x:c r="R242" s="98" t="n">
        <x:f>IF(OR(Q242="",Q241=""),"",Q242-Q241)</x:f>
        <x:v>0.008985983032207656</x:v>
      </x:c>
      <x:c r="S242" s="63" t="n">
        <x:f>'Datos_fuente'!P242</x:f>
        <x:v>2.97</x:v>
      </x:c>
      <x:c r="T242" s="63" t="n">
        <x:f>IF(OR(S242="",S241=""),"",S242-S241)</x:f>
        <x:v>-0.21782608699999972</x:v>
      </x:c>
      <x:c r="U242" s="98" t="n">
        <x:f>IF('Datos_fuente'!Q242="","",ASINH('Datos_fuente'!Q242/1000))</x:f>
        <x:v>-0.10642896382456622</x:v>
      </x:c>
      <x:c r="V242" s="98" t="n">
        <x:f>IF(OR(U242="",U241=""),"",U242-U241)</x:f>
        <x:v>-0.1485664930190944</x:v>
      </x:c>
      <x:c r="W242" s="98" t="n">
        <x:f>IF('Datos_fuente'!R242="","",ASINH('Datos_fuente'!R242/1000))</x:f>
        <x:v>-1.1384876195034876</x:v>
      </x:c>
      <x:c r="X242" s="98" t="n">
        <x:f>IF(OR(W242="",W241=""),"",W242-W241)</x:f>
        <x:v>0.5738119532043544</x:v>
      </x:c>
      <x:c r="Y242" s="63" t="n">
        <x:f>'Datos_fuente'!W242</x:f>
        <x:v>2.667110267</x:v>
      </x:c>
      <x:c r="Z242" s="63" t="n">
        <x:f>IF(OR(Y242="",Y241=""),"",Y242-Y241)</x:f>
        <x:v>-0.13614032600000003</x:v>
      </x:c>
      <x:c r="AA242" s="98" t="n">
        <x:f>'Datos_fuente'!AB242</x:f>
        <x:v>-0.08508103132</x:v>
      </x:c>
      <x:c r="AB242" s="98" t="n">
        <x:f>'Datos_fuente'!AC242</x:f>
        <x:v>-0.1438473044</x:v>
      </x:c>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t="str">
        <x:f>'Datos_fuente'!A243</x:f>
        <x:v>2025-09</x:v>
      </x:c>
      <x:c r="B243" s="98" t="n">
        <x:f>IF('Datos_fuente'!B243="","",LN('Datos_fuente'!B243))</x:f>
        <x:v>8.274411059349477</x:v>
      </x:c>
      <x:c r="C243" s="98" t="n">
        <x:f>IF(OR(B243="",B242=""),"",B243-B242)</x:f>
        <x:v>-0.031421788533361195</x:v>
      </x:c>
      <x:c r="D243" s="98" t="n">
        <x:f>IF('Datos_fuente'!C243="","",LN('Datos_fuente'!C243))</x:f>
        <x:v>5.134150020334124</x:v>
      </x:c>
      <x:c r="E243" s="98" t="n">
        <x:f>IF(OR(D243="",D242=""),"",D243-D242)</x:f>
        <x:v>0.011973351504960483</x:v>
      </x:c>
      <x:c r="F243" s="98" t="n">
        <x:f>IF('Datos_fuente'!E243="","",LN('Datos_fuente'!E243))</x:f>
        <x:v>9.467311658908402</x:v>
      </x:c>
      <x:c r="G243" s="98" t="n">
        <x:f>IF(OR(F243="",F242=""),"",F243-F242)</x:f>
        <x:v>0.004879605235467821</x:v>
      </x:c>
      <x:c r="H243" s="63" t="n">
        <x:f>'Datos_fuente'!H243</x:f>
        <x:v>5.03</x:v>
      </x:c>
      <x:c r="I243" s="63" t="n">
        <x:f>IF(OR(H243="",H242=""),"",H243-H242)</x:f>
        <x:v>0.11000000000000032</x:v>
      </x:c>
      <x:c r="J243" s="63" t="n">
        <x:f>'Datos_fuente'!J243</x:f>
        <x:v>6.390943298</x:v>
      </x:c>
      <x:c r="K243" s="63" t="n">
        <x:f>IF(OR(J243="",J242=""),"",J243-J242)</x:f>
        <x:v>-0.19050094900000047</x:v>
      </x:c>
      <x:c r="L243" s="98" t="n">
        <x:f>IF('Datos_fuente'!K243="","",LN('Datos_fuente'!K243))</x:f>
        <x:v>4.787733895960598</x:v>
      </x:c>
      <x:c r="M243" s="98" t="n">
        <x:f>IF(OR(L243="",L242=""),"",L243-L242)</x:f>
        <x:v>-0.004545060639710385</x:v>
      </x:c>
      <x:c r="N243" s="98" t="n">
        <x:f>IF('Datos_fuente'!L243="","",LN('Datos_fuente'!L243))</x:f>
        <x:v>2.759319252829243</x:v>
      </x:c>
      <x:c r="O243" s="98" t="n">
        <x:f>IF(OR(N243="",N242=""),"",N243-N242)</x:f>
        <x:v>0.0024788875576007285</x:v>
      </x:c>
      <x:c r="P243" s="96" t="n">
        <x:f>'Datos_fuente'!M243</x:f>
        <x:v>0</x:v>
      </x:c>
      <x:c r="Q243" s="98" t="n">
        <x:f>IF('Datos_fuente'!N243="","",LN('Datos_fuente'!N243))</x:f>
        <x:v>11.094726727223922</x:v>
      </x:c>
      <x:c r="R243" s="98" t="n">
        <x:f>IF(OR(Q243="",Q242=""),"",Q243-Q242)</x:f>
        <x:v>0.00542540210152076</x:v>
      </x:c>
      <x:c r="S243" s="63" t="n">
        <x:f>'Datos_fuente'!P243</x:f>
        <x:v>2.571363636</x:v>
      </x:c>
      <x:c r="T243" s="63" t="n">
        <x:f>IF(OR(S243="",S242=""),"",S243-S242)</x:f>
        <x:v>-0.39863636400000013</x:v>
      </x:c>
      <x:c r="U243" s="98" t="n">
        <x:f>IF('Datos_fuente'!Q243="","",ASINH('Datos_fuente'!Q243/1000))</x:f>
        <x:v>-0.14129934494211777</x:v>
      </x:c>
      <x:c r="V243" s="98" t="n">
        <x:f>IF(OR(U243="",U242=""),"",U243-U242)</x:f>
        <x:v>-0.034870381117551544</x:v>
      </x:c>
      <x:c r="W243" s="98" t="n">
        <x:f>IF('Datos_fuente'!R243="","",ASINH('Datos_fuente'!R243/1000))</x:f>
        <x:v>-1.2595411479590768</x:v>
      </x:c>
      <x:c r="X243" s="98" t="n">
        <x:f>IF(OR(W243="",W242=""),"",W243-W242)</x:f>
        <x:v>-0.12105352845558914</x:v>
      </x:c>
      <x:c r="Y243" s="63" t="n">
        <x:f>'Datos_fuente'!W243</x:f>
        <x:v>2.601821669</x:v>
      </x:c>
      <x:c r="Z243" s="63" t="n">
        <x:f>IF(OR(Y243="",Y242=""),"",Y243-Y242)</x:f>
        <x:v>-0.06528859799999998</x:v>
      </x:c>
      <x:c r="AA243" s="98" t="n">
        <x:f>'Datos_fuente'!AB243</x:f>
        <x:v>-0.4456293328</x:v>
      </x:c>
      <x:c r="AB243" s="98" t="n">
        <x:f>'Datos_fuente'!AC243</x:f>
        <x:v>-0.5634984964</x:v>
      </x:c>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t="str">
        <x:f>'Datos_fuente'!A244</x:f>
        <x:v>2025-10</x:v>
      </x:c>
      <x:c r="B244" s="98" t="n">
        <x:f>IF('Datos_fuente'!B244="","",LN('Datos_fuente'!B244))</x:f>
        <x:v>8.263034824429694</x:v>
      </x:c>
      <x:c r="C244" s="98" t="n">
        <x:f>IF(OR(B244="",B243=""),"",B244-B243)</x:f>
        <x:v>-0.011376234919783457</x:v>
      </x:c>
      <x:c r="D244" s="98" t="n">
        <x:f>IF('Datos_fuente'!C244="","",LN('Datos_fuente'!C244))</x:f>
        <x:v>5.093750200806762</x:v>
      </x:c>
      <x:c r="E244" s="98" t="n">
        <x:f>IF(OR(D244="",D243=""),"",D244-D243)</x:f>
        <x:v>-0.04039981952736138</x:v>
      </x:c>
      <x:c r="F244" s="98" t="n">
        <x:f>IF('Datos_fuente'!E244="","",LN('Datos_fuente'!E244))</x:f>
        <x:v>9.471610191603503</x:v>
      </x:c>
      <x:c r="G244" s="98" t="n">
        <x:f>IF(OR(F244="",F243=""),"",F244-F243)</x:f>
        <x:v>0.004298532695100832</x:v>
      </x:c>
      <x:c r="H244" s="63" t="n">
        <x:f>'Datos_fuente'!H244</x:f>
        <x:v>5.16</x:v>
      </x:c>
      <x:c r="I244" s="63" t="n">
        <x:f>IF(OR(H244="",H243=""),"",H244-H243)</x:f>
        <x:v>0.1299999999999999</x:v>
      </x:c>
      <x:c r="J244" s="63" t="n">
        <x:f>'Datos_fuente'!J244</x:f>
        <x:v>6.18121828</x:v>
      </x:c>
      <x:c r="K244" s="63" t="n">
        <x:f>IF(OR(J244="",J243=""),"",J244-J243)</x:f>
        <x:v>-0.20972501799999943</x:v>
      </x:c>
      <x:c r="L244" s="98" t="n">
        <x:f>IF('Datos_fuente'!K244="","",LN('Datos_fuente'!K244))</x:f>
        <x:v>4.7938200103254305</x:v>
      </x:c>
      <x:c r="M244" s="98" t="n">
        <x:f>IF(OR(L244="",L243=""),"",L244-L243)</x:f>
        <x:v>0.006086114364832085</x:v>
      </x:c>
      <x:c r="N244" s="98" t="n">
        <x:f>IF('Datos_fuente'!L244="","",LN('Datos_fuente'!L244))</x:f>
        <x:v>2.8951670056297245</x:v>
      </x:c>
      <x:c r="O244" s="98" t="n">
        <x:f>IF(OR(N244="",N243=""),"",N244-N243)</x:f>
        <x:v>0.13584775280048156</x:v>
      </x:c>
      <x:c r="P244" s="96" t="n">
        <x:f>'Datos_fuente'!M244</x:f>
        <x:v>0</x:v>
      </x:c>
      <x:c r="Q244" s="98" t="n">
        <x:f>IF('Datos_fuente'!N244="","",LN('Datos_fuente'!N244))</x:f>
        <x:v>11.096266943702132</x:v>
      </x:c>
      <x:c r="R244" s="98" t="n">
        <x:f>IF(OR(Q244="",Q243=""),"",Q244-Q243)</x:f>
        <x:v>0.0015402164782098993</x:v>
      </x:c>
      <x:c r="S244" s="63" t="n">
        <x:f>'Datos_fuente'!P244</x:f>
        <x:v>2.622173913</x:v>
      </x:c>
      <x:c r="T244" s="63" t="n">
        <x:f>IF(OR(S244="",S243=""),"",S244-S243)</x:f>
        <x:v>0.05081027700000007</x:v>
      </x:c>
      <x:c r="U244" s="98" t="n">
        <x:f>IF('Datos_fuente'!Q244="","",ASINH('Datos_fuente'!Q244/1000))</x:f>
        <x:v>-0.3411726905057413</x:v>
      </x:c>
      <x:c r="V244" s="98" t="n">
        <x:f>IF(OR(U244="",U243=""),"",U244-U243)</x:f>
        <x:v>-0.19987334556362352</x:v>
      </x:c>
      <x:c r="W244" s="98" t="n">
        <x:f>IF('Datos_fuente'!R244="","",ASINH('Datos_fuente'!R244/1000))</x:f>
        <x:v>-1.1882835379494932</x:v>
      </x:c>
      <x:c r="X244" s="98" t="n">
        <x:f>IF(OR(W244="",W243=""),"",W244-W243)</x:f>
        <x:v>0.07125761000958364</x:v>
      </x:c>
      <x:c r="Y244" s="63" t="n">
        <x:f>'Datos_fuente'!W244</x:f>
        <x:v>3.150581798</x:v>
      </x:c>
      <x:c r="Z244" s="63" t="n">
        <x:f>IF(OR(Y244="",Y243=""),"",Y244-Y243)</x:f>
        <x:v>0.5487601290000002</x:v>
      </x:c>
      <x:c r="AA244" s="98" t="n">
        <x:f>'Datos_fuente'!AB244</x:f>
        <x:v>-0.2050885162</x:v>
      </x:c>
      <x:c r="AB244" s="98" t="n">
        <x:f>'Datos_fuente'!AC244</x:f>
        <x:v>-0.6666556207</x:v>
      </x:c>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t="str">
        <x:f>'Datos_fuente'!A245</x:f>
        <x:v>2025-11</x:v>
      </x:c>
      <x:c r="B245" s="98" t="n">
        <x:f>IF('Datos_fuente'!B245="","",LN('Datos_fuente'!B245))</x:f>
        <x:v>8.239113754527137</x:v>
      </x:c>
      <x:c r="C245" s="98" t="n">
        <x:f>IF(OR(B245="",B244=""),"",B245-B244)</x:f>
        <x:v>-0.02392106990255627</x:v>
      </x:c>
      <x:c r="D245" s="98" t="n">
        <x:f>IF('Datos_fuente'!C245="","",LN('Datos_fuente'!C245))</x:f>
        <x:v>5.087658061722327</x:v>
      </x:c>
      <x:c r="E245" s="98" t="n">
        <x:f>IF(OR(D245="",D244=""),"",D245-D244)</x:f>
        <x:v>-0.0060921390844352885</x:v>
      </x:c>
      <x:c r="F245" s="98" t="n">
        <x:f>IF('Datos_fuente'!E245="","",LN('Datos_fuente'!E245))</x:f>
        <x:v>9.474493804158902</x:v>
      </x:c>
      <x:c r="G245" s="98" t="n">
        <x:f>IF(OR(F245="",F244=""),"",F245-F244)</x:f>
        <x:v>0.00288361255539904</x:v>
      </x:c>
      <x:c r="H245" s="63" t="n">
        <x:f>'Datos_fuente'!H245</x:f>
        <x:v>5.37</x:v>
      </x:c>
      <x:c r="I245" s="63" t="n">
        <x:f>IF(OR(H245="",H244=""),"",H245-H244)</x:f>
        <x:v>0.20999999999999996</x:v>
      </x:c>
      <x:c r="J245" s="63" t="n">
        <x:f>'Datos_fuente'!J245</x:f>
        <x:v>6.592556047</x:v>
      </x:c>
      <x:c r="K245" s="63" t="n">
        <x:f>IF(OR(J245="",J244=""),"",J245-J244)</x:f>
        <x:v>0.411337767</x:v>
      </x:c>
      <x:c r="L245" s="98" t="n">
        <x:f>IF('Datos_fuente'!K245="","",LN('Datos_fuente'!K245))</x:f>
        <x:v>4.799236804551003</x:v>
      </x:c>
      <x:c r="M245" s="98" t="n">
        <x:f>IF(OR(L245="",L244=""),"",L245-L244)</x:f>
        <x:v>0.00541679422557273</x:v>
      </x:c>
      <x:c r="N245" s="98" t="n">
        <x:f>IF('Datos_fuente'!L245="","",LN('Datos_fuente'!L245))</x:f>
        <x:v>2.9841403460179925</x:v>
      </x:c>
      <x:c r="O245" s="98" t="n">
        <x:f>IF(OR(N245="",N244=""),"",N245-N244)</x:f>
        <x:v>0.08897334038826799</x:v>
      </x:c>
      <x:c r="P245" s="96" t="n">
        <x:f>'Datos_fuente'!M245</x:f>
        <x:v>0</x:v>
      </x:c>
      <x:c r="Q245" s="98" t="n">
        <x:f>IF('Datos_fuente'!N245="","",LN('Datos_fuente'!N245))</x:f>
        <x:v>11.099281753073177</x:v>
      </x:c>
      <x:c r="R245" s="98" t="n">
        <x:f>IF(OR(Q245="",Q244=""),"",Q245-Q244)</x:f>
        <x:v>0.0030148093710451462</x:v>
      </x:c>
      <x:c r="S245" s="63" t="n">
        <x:f>'Datos_fuente'!P245</x:f>
        <x:v>2.5475</x:v>
      </x:c>
      <x:c r="T245" s="63" t="n">
        <x:f>IF(OR(S245="",S244=""),"",S245-S244)</x:f>
        <x:v>-0.07467391300000026</x:v>
      </x:c>
      <x:c r="U245" s="98" t="n">
        <x:f>IF('Datos_fuente'!Q245="","",ASINH('Datos_fuente'!Q245/1000))</x:f>
        <x:v>-0.09575360936168154</x:v>
      </x:c>
      <x:c r="V245" s="98" t="n">
        <x:f>IF(OR(U245="",U244=""),"",U245-U244)</x:f>
        <x:v>0.24541908114405975</x:v>
      </x:c>
      <x:c r="W245" s="98" t="n">
        <x:f>IF('Datos_fuente'!R245="","",ASINH('Datos_fuente'!R245/1000))</x:f>
        <x:v>-0.9312368784977245</x:v>
      </x:c>
      <x:c r="X245" s="98" t="n">
        <x:f>IF(OR(W245="",W244=""),"",W245-W244)</x:f>
        <x:v>0.25704665945176863</x:v>
      </x:c>
      <x:c r="Y245" s="63" t="n">
        <x:f>'Datos_fuente'!W245</x:f>
        <x:v>3.665149995</x:v>
      </x:c>
      <x:c r="Z245" s="63" t="n">
        <x:f>IF(OR(Y245="",Y244=""),"",Y245-Y244)</x:f>
        <x:v>0.514568197</x:v>
      </x:c>
      <x:c r="AA245" s="98" t="n">
        <x:f>'Datos_fuente'!AB245</x:f>
        <x:v>-0.4212607073</x:v>
      </x:c>
      <x:c r="AB245" s="98" t="n">
        <x:f>'Datos_fuente'!AC245</x:f>
        <x:v>-0.5541441045</x:v>
      </x:c>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t="str">
        <x:f>'Datos_fuente'!A246</x:f>
        <x:v>2025-12</x:v>
      </x:c>
      <x:c r="B246" s="98" t="n">
        <x:f>IF('Datos_fuente'!B246="","",LN('Datos_fuente'!B246))</x:f>
        <x:v>8.240509596029987</x:v>
      </x:c>
      <x:c r="C246" s="98" t="n">
        <x:f>IF(OR(B246="",B245=""),"",B246-B245)</x:f>
        <x:v>0.0013958415028501037</x:v>
      </x:c>
      <x:c r="D246" s="98" t="n">
        <x:f>IF('Datos_fuente'!C246="","",LN('Datos_fuente'!C246))</x:f>
        <x:v>5.098401941353034</x:v>
      </x:c>
      <x:c r="E246" s="98" t="n">
        <x:f>IF(OR(D246="",D245=""),"",D246-D245)</x:f>
        <x:v>0.010743879630706665</x:v>
      </x:c>
      <x:c r="F246" s="98" t="n">
        <x:f>IF('Datos_fuente'!E246="","",LN('Datos_fuente'!E246))</x:f>
        <x:v>9.48023543939971</x:v>
      </x:c>
      <x:c r="G246" s="98" t="n">
        <x:f>IF(OR(F246="",F245=""),"",F246-F245)</x:f>
        <x:v>0.005741635240807952</x:v>
      </x:c>
      <x:c r="H246" s="63" t="n">
        <x:f>'Datos_fuente'!H246</x:f>
        <x:v>5.53</x:v>
      </x:c>
      <x:c r="I246" s="63" t="n">
        <x:f>IF(OR(H246="",H245=""),"",H246-H245)</x:f>
        <x:v>0.16000000000000014</x:v>
      </x:c>
      <x:c r="J246" s="63" t="n">
        <x:f>'Datos_fuente'!J246</x:f>
        <x:v>6.354401832</x:v>
      </x:c>
      <x:c r="K246" s="63" t="n">
        <x:f>IF(OR(J246="",J245=""),"",J246-J245)</x:f>
        <x:v>-0.23815421500000067</x:v>
      </x:c>
      <x:c r="L246" s="98" t="n">
        <x:f>IF('Datos_fuente'!K246="","",LN('Datos_fuente'!K246))</x:f>
        <x:v>4.789059868463376</x:v>
      </x:c>
      <x:c r="M246" s="98" t="n">
        <x:f>IF(OR(L246="",L245=""),"",L246-L245)</x:f>
        <x:v>-0.010176936087627375</x:v>
      </x:c>
      <x:c r="N246" s="98" t="n">
        <x:f>IF('Datos_fuente'!L246="","",LN('Datos_fuente'!L246))</x:f>
        <x:v>2.743943707030168</x:v>
      </x:c>
      <x:c r="O246" s="98" t="n">
        <x:f>IF(OR(N246="",N245=""),"",N246-N245)</x:f>
        <x:v>-0.2401966389878245</x:v>
      </x:c>
      <x:c r="P246" s="96" t="n">
        <x:f>'Datos_fuente'!M246</x:f>
        <x:v>0</x:v>
      </x:c>
      <x:c r="Q246" s="98" t="n">
        <x:f>IF('Datos_fuente'!N246="","",LN('Datos_fuente'!N246))</x:f>
        <x:v>11.10273370381667</x:v>
      </x:c>
      <x:c r="R246" s="98" t="n">
        <x:f>IF(OR(Q246="",Q245=""),"",Q246-Q245)</x:f>
        <x:v>0.0034519507434929153</x:v>
      </x:c>
      <x:c r="S246" s="63" t="n">
        <x:f>'Datos_fuente'!P246</x:f>
        <x:v>2.736956522</x:v>
      </x:c>
      <x:c r="T246" s="63" t="n">
        <x:f>IF(OR(S246="",S245=""),"",S246-S245)</x:f>
        <x:v>0.18945652199999996</x:v>
      </x:c>
      <x:c r="U246" s="98" t="n">
        <x:f>IF('Datos_fuente'!Q246="","",ASINH('Datos_fuente'!Q246/1000))</x:f>
        <x:v>0.1714291073252241</x:v>
      </x:c>
      <x:c r="V246" s="98" t="n">
        <x:f>IF(OR(U246="",U245=""),"",U246-U245)</x:f>
        <x:v>0.26718271668690563</x:v>
      </x:c>
      <x:c r="W246" s="98" t="n">
        <x:f>IF('Datos_fuente'!R246="","",ASINH('Datos_fuente'!R246/1000))</x:f>
        <x:v>-1.6218092650198048</x:v>
      </x:c>
      <x:c r="X246" s="98" t="n">
        <x:f>IF(OR(W246="",W245=""),"",W246-W245)</x:f>
        <x:v>-0.6905723865220803</x:v>
      </x:c>
      <x:c r="Y246" s="63" t="n">
        <x:f>'Datos_fuente'!W246</x:f>
        <x:v>3.885397343</x:v>
      </x:c>
      <x:c r="Z246" s="63" t="n">
        <x:f>IF(OR(Y246="",Y245=""),"",Y246-Y245)</x:f>
        <x:v>0.220247348</x:v>
      </x:c>
      <x:c r="AA246" s="98" t="n">
        <x:f>'Datos_fuente'!AB246</x:f>
        <x:v>-0.4150303452</x:v>
      </x:c>
      <x:c r="AB246" s="98" t="n">
        <x:f>'Datos_fuente'!AC246</x:f>
        <x:v>-0.343229874</x:v>
      </x:c>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t="str">
        <x:f>'Datos_fuente'!A247</x:f>
        <x:v>2026-01</x:v>
      </x:c>
      <x:c r="B247" s="98" t="n">
        <x:f>IF('Datos_fuente'!B247="","",LN('Datos_fuente'!B247))</x:f>
        <x:v>8.21689831950391</x:v>
      </x:c>
      <x:c r="C247" s="98" t="n">
        <x:f>IF(OR(B247="",B246=""),"",B247-B246)</x:f>
        <x:v>-0.023611276526077418</x:v>
      </x:c>
      <x:c r="D247" s="98" t="n">
        <x:f>IF('Datos_fuente'!C247="","",LN('Datos_fuente'!C247))</x:f>
        <x:v>5.100415057787059</x:v>
      </x:c>
      <x:c r="E247" s="98" t="n">
        <x:f>IF(OR(D247="",D246=""),"",D247-D246)</x:f>
        <x:v>0.0020131164340249086</x:v>
      </x:c>
      <x:c r="F247" s="98" t="n">
        <x:f>IF('Datos_fuente'!E247="","",LN('Datos_fuente'!E247))</x:f>
        <x:v>9.48103293659827</x:v>
      </x:c>
      <x:c r="G247" s="98" t="n">
        <x:f>IF(OR(F247="",F246=""),"",F247-F246)</x:f>
        <x:v>0.0007974971985600376</x:v>
      </x:c>
      <x:c r="H247" s="63" t="n">
        <x:f>'Datos_fuente'!H247</x:f>
        <x:v>5.61</x:v>
      </x:c>
      <x:c r="I247" s="63" t="n">
        <x:f>IF(OR(H247="",H246=""),"",H247-H246)</x:f>
        <x:v>0.08000000000000007</x:v>
      </x:c>
      <x:c r="J247" s="63" t="n">
        <x:f>'Datos_fuente'!J247</x:f>
        <x:v>5.496041161</x:v>
      </x:c>
      <x:c r="K247" s="63" t="n">
        <x:f>IF(OR(J247="",J246=""),"",J247-J246)</x:f>
        <x:v>-0.8583606709999998</x:v>
      </x:c>
      <x:c r="L247" s="98" t="n">
        <x:f>IF('Datos_fuente'!K247="","",LN('Datos_fuente'!K247))</x:f>
        <x:v>4.781052807258103</x:v>
      </x:c>
      <x:c r="M247" s="98" t="n">
        <x:f>IF(OR(L247="",L246=""),"",L247-L246)</x:f>
        <x:v>-0.008007061205272947</x:v>
      </x:c>
      <x:c r="N247" s="98" t="n">
        <x:f>IF('Datos_fuente'!L247="","",LN('Datos_fuente'!L247))</x:f>
        <x:v>2.7837170483404576</x:v>
      </x:c>
      <x:c r="O247" s="98" t="n">
        <x:f>IF(OR(N247="",N246=""),"",N247-N246)</x:f>
        <x:v>0.039773341310289645</x:v>
      </x:c>
      <x:c r="P247" s="96" t="n">
        <x:f>'Datos_fuente'!M247</x:f>
        <x:v>0</x:v>
      </x:c>
      <x:c r="Q247" s="98" t="n">
        <x:f>IF('Datos_fuente'!N247="","",LN('Datos_fuente'!N247))</x:f>
        <x:v>11.11139988671411</x:v>
      </x:c>
      <x:c r="R247" s="98" t="n">
        <x:f>IF(OR(Q247="",Q246=""),"",Q247-Q246)</x:f>
        <x:v>0.008666182897441033</x:v>
      </x:c>
      <x:c r="S247" s="63" t="n">
        <x:f>'Datos_fuente'!P247</x:f>
        <x:v>2.680909091</x:v>
      </x:c>
      <x:c r="T247" s="63" t="n">
        <x:f>IF(OR(S247="",S246=""),"",S247-S246)</x:f>
        <x:v>-0.05604743099999965</x:v>
      </x:c>
      <x:c r="U247" s="98" t="n">
        <x:f>IF('Datos_fuente'!Q247="","",ASINH('Datos_fuente'!Q247/1000))</x:f>
        <x:v>0.07982519779863224</x:v>
      </x:c>
      <x:c r="V247" s="98" t="n">
        <x:f>IF(OR(U247="",U246=""),"",U247-U246)</x:f>
        <x:v>-0.09160390952659185</x:v>
      </x:c>
      <x:c r="W247" s="98" t="n">
        <x:f>IF('Datos_fuente'!R247="","",ASINH('Datos_fuente'!R247/1000))</x:f>
        <x:v>-1.2868597423116688</x:v>
      </x:c>
      <x:c r="X247" s="98" t="n">
        <x:f>IF(OR(W247="",W246=""),"",W247-W246)</x:f>
        <x:v>0.33494952270813605</x:v>
      </x:c>
      <x:c r="Y247" s="63" t="n">
        <x:f>'Datos_fuente'!W247</x:f>
        <x:v>4.364335001</x:v>
      </x:c>
      <x:c r="Z247" s="63" t="n">
        <x:f>IF(OR(Y247="",Y246=""),"",Y247-Y246)</x:f>
        <x:v>0.47893765799999954</x:v>
      </x:c>
      <x:c r="AA247" s="98" t="n">
        <x:f>'Datos_fuente'!AB247</x:f>
        <x:v>-1.003894719</x:v>
      </x:c>
      <x:c r="AB247" s="98" t="n">
        <x:f>'Datos_fuente'!AC247</x:f>
        <x:v>-0.8147680318</x:v>
      </x:c>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t="str">
        <x:f>'Datos_fuente'!A248</x:f>
        <x:v>2026-02</x:v>
      </x:c>
      <x:c r="B248" s="98" t="n">
        <x:f>IF('Datos_fuente'!B248="","",LN('Datos_fuente'!B248))</x:f>
        <x:v>8.209482934920265</x:v>
      </x:c>
      <x:c r="C248" s="98" t="n">
        <x:f>IF(OR(B248="",B247=""),"",B248-B247)</x:f>
        <x:v>-0.0074153845836448795</x:v>
      </x:c>
      <x:c r="D248" s="98" t="n">
        <x:f>IF('Datos_fuente'!C248="","",LN('Datos_fuente'!C248))</x:f>
        <x:v>5.106248458299202</x:v>
      </x:c>
      <x:c r="E248" s="98" t="n">
        <x:f>IF(OR(D248="",D247=""),"",D248-D247)</x:f>
        <x:v>0.005833400512143427</x:v>
      </x:c>
      <x:c r="F248" s="98" t="n">
        <x:f>IF('Datos_fuente'!E248="","",LN('Datos_fuente'!E248))</x:f>
        <x:v>9.486323022306111</x:v>
      </x:c>
      <x:c r="G248" s="98" t="n">
        <x:f>IF(OR(F248="",F247=""),"",F248-F247)</x:f>
        <x:v>0.0052900857078412855</x:v>
      </x:c>
      <x:c r="H248" s="63" t="n">
        <x:f>'Datos_fuente'!H248</x:f>
        <x:v>6.574285714</x:v>
      </x:c>
      <x:c r="I248" s="63" t="n">
        <x:f>IF(OR(H248="",H247=""),"",H248-H247)</x:f>
        <x:v>0.9642857139999998</x:v>
      </x:c>
      <x:c r="J248" s="63" t="n">
        <x:f>'Datos_fuente'!J248</x:f>
        <x:v>6.021341708</x:v>
      </x:c>
      <x:c r="K248" s="63" t="n">
        <x:f>IF(OR(J248="",J247=""),"",J248-J247)</x:f>
        <x:v>0.5253005469999996</x:v>
      </x:c>
      <x:c r="L248" s="98" t="n">
        <x:f>IF('Datos_fuente'!K248="","",LN('Datos_fuente'!K248))</x:f>
        <x:v>4.769887875789786</x:v>
      </x:c>
      <x:c r="M248" s="98" t="n">
        <x:f>IF(OR(L248="",L247=""),"",L248-L247)</x:f>
        <x:v>-0.011164931468316652</x:v>
      </x:c>
      <x:c r="N248" s="98" t="n">
        <x:f>IF('Datos_fuente'!L248="","",LN('Datos_fuente'!L248))</x:f>
        <x:v>2.955274795922715</x:v>
      </x:c>
      <x:c r="O248" s="98" t="n">
        <x:f>IF(OR(N248="",N247=""),"",N248-N247)</x:f>
        <x:v>0.1715577475822574</x:v>
      </x:c>
      <x:c r="P248" s="96" t="n">
        <x:f>'Datos_fuente'!M248</x:f>
        <x:v>0</x:v>
      </x:c>
      <x:c r="Q248" s="98" t="n">
        <x:f>IF('Datos_fuente'!N248="","",LN('Datos_fuente'!N248))</x:f>
        <x:v>11.118757948069124</x:v>
      </x:c>
      <x:c r="R248" s="98" t="n">
        <x:f>IF(OR(Q248="",Q247=""),"",Q248-Q247)</x:f>
        <x:v>0.00735806135501349</x:v>
      </x:c>
      <x:c r="S248" s="63" t="n">
        <x:f>'Datos_fuente'!P248</x:f>
        <x:v>2.625</x:v>
      </x:c>
      <x:c r="T248" s="63" t="n">
        <x:f>IF(OR(S248="",S247=""),"",S248-S247)</x:f>
        <x:v>-0.05590909100000019</x:v>
      </x:c>
      <x:c r="U248" s="98" t="n">
        <x:f>IF('Datos_fuente'!Q248="","",ASINH('Datos_fuente'!Q248/1000))</x:f>
        <x:v>0.43308412383802597</x:v>
      </x:c>
      <x:c r="V248" s="98" t="n">
        <x:f>IF(OR(U248="",U247=""),"",U248-U247)</x:f>
        <x:v>0.35325892603939374</x:v>
      </x:c>
      <x:c r="W248" s="98" t="n">
        <x:f>IF('Datos_fuente'!R248="","",ASINH('Datos_fuente'!R248/1000))</x:f>
        <x:v>-1.7002573894354827</x:v>
      </x:c>
      <x:c r="X248" s="98" t="n">
        <x:f>IF(OR(W248="",W247=""),"",W248-W247)</x:f>
        <x:v>-0.4133976471238139</x:v>
      </x:c>
      <x:c r="Y248" s="63" t="n">
        <x:f>'Datos_fuente'!W248</x:f>
        <x:v>4.632084206</x:v>
      </x:c>
      <x:c r="Z248" s="63" t="n">
        <x:f>IF(OR(Y248="",Y247=""),"",Y248-Y247)</x:f>
        <x:v>0.2677492050000003</x:v>
      </x:c>
      <x:c r="AA248" s="98" t="n">
        <x:f>'Datos_fuente'!AB248</x:f>
        <x:v>-0.9351712405</x:v>
      </x:c>
      <x:c r="AB248" s="98" t="n">
        <x:f>'Datos_fuente'!AC248</x:f>
        <x:v>-0.6957686099</x:v>
      </x:c>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t="str">
        <x:f>'Datos_fuente'!A249</x:f>
        <x:v>2026-03</x:v>
      </x:c>
      <x:c r="B249" s="98" t="n">
        <x:f>IF('Datos_fuente'!B249="","",LN('Datos_fuente'!B249))</x:f>
        <x:v>8.220822123810187</x:v>
      </x:c>
      <x:c r="C249" s="98" t="n">
        <x:f>IF(OR(B249="",B248=""),"",B249-B248)</x:f>
        <x:v>0.011339188889921914</x:v>
      </x:c>
      <x:c r="D249" s="98" t="n">
        <x:f>IF('Datos_fuente'!C249="","",LN('Datos_fuente'!C249))</x:f>
        <x:v>5.1931790484247315</x:v>
      </x:c>
      <x:c r="E249" s="98" t="n">
        <x:f>IF(OR(D249="",D248=""),"",D249-D248)</x:f>
        <x:v>0.0869305901255295</x:v>
      </x:c>
      <x:c r="F249" s="98" t="n">
        <x:f>IF('Datos_fuente'!E249="","",LN('Datos_fuente'!E249))</x:f>
        <x:v>9.496617207544936</x:v>
      </x:c>
      <x:c r="G249" s="98" t="n">
        <x:f>IF(OR(F249="",F248=""),"",F249-F248)</x:f>
        <x:v>0.010294185238825193</x:v>
      </x:c>
      <x:c r="H249" s="63" t="n">
        <x:f>'Datos_fuente'!H249</x:f>
        <x:v>6.61</x:v>
      </x:c>
      <x:c r="I249" s="63" t="n">
        <x:f>IF(OR(H249="",H248=""),"",H249-H248)</x:f>
        <x:v>0.03571428600000015</x:v>
      </x:c>
      <x:c r="J249" s="63" t="n">
        <x:f>'Datos_fuente'!J249</x:f>
        <x:v>5.76200041</x:v>
      </x:c>
      <x:c r="K249" s="63" t="n">
        <x:f>IF(OR(J249="",J248=""),"",J249-J248)</x:f>
        <x:v>-0.25934129799999983</x:v>
      </x:c>
      <x:c r="L249" s="98" t="n">
        <x:f>IF('Datos_fuente'!K249="","",LN('Datos_fuente'!K249))</x:f>
        <x:v>4.786823640484734</x:v>
      </x:c>
      <x:c r="M249" s="98" t="n">
        <x:f>IF(OR(L249="",L248=""),"",L249-L248)</x:f>
        <x:v>0.016935764694947508</x:v>
      </x:c>
      <x:c r="N249" s="98" t="n">
        <x:f>IF('Datos_fuente'!L249="","",LN('Datos_fuente'!L249))</x:f>
        <x:v>3.242468053917144</x:v>
      </x:c>
      <x:c r="O249" s="98" t="n">
        <x:f>IF(OR(N249="",N248=""),"",N249-N248)</x:f>
        <x:v>0.2871932579944292</x:v>
      </x:c>
      <x:c r="P249" s="96" t="n">
        <x:f>'Datos_fuente'!M249</x:f>
        <x:v>0</x:v>
      </x:c>
      <x:c r="Q249" s="98" t="n">
        <x:f>IF('Datos_fuente'!N249="","",LN('Datos_fuente'!N249))</x:f>
        <x:v>11.106625458431344</x:v>
      </x:c>
      <x:c r="R249" s="98" t="n">
        <x:f>IF(OR(Q249="",Q248=""),"",Q249-Q248)</x:f>
        <x:v>-0.012132489637780353</x:v>
      </x:c>
      <x:c r="S249" s="63" t="n">
        <x:f>'Datos_fuente'!P249</x:f>
        <x:v>2.803181818</x:v>
      </x:c>
      <x:c r="T249" s="63" t="n">
        <x:f>IF(OR(S249="",S248=""),"",S249-S248)</x:f>
        <x:v>0.1781818180000001</x:v>
      </x:c>
      <x:c r="U249" s="98" t="n">
        <x:f>IF('Datos_fuente'!Q249="","",ASINH('Datos_fuente'!Q249/1000))</x:f>
        <x:v>0.22958772929581445</x:v>
      </x:c>
      <x:c r="V249" s="98" t="n">
        <x:f>IF(OR(U249="",U248=""),"",U249-U248)</x:f>
        <x:v>-0.20349639454221152</x:v>
      </x:c>
      <x:c r="W249" s="98" t="n">
        <x:f>IF('Datos_fuente'!R249="","",ASINH('Datos_fuente'!R249/1000))</x:f>
        <x:v>-2.0067610789731134</x:v>
      </x:c>
      <x:c r="X249" s="98" t="n">
        <x:f>IF(OR(W249="",W248=""),"",W249-W248)</x:f>
        <x:v>-0.30650368953763074</x:v>
      </x:c>
      <x:c r="Y249" s="63" t="n">
        <x:f>'Datos_fuente'!W249</x:f>
        <x:v>4.20355845</x:v>
      </x:c>
      <x:c r="Z249" s="63" t="n">
        <x:f>IF(OR(Y249="",Y248=""),"",Y249-Y248)</x:f>
        <x:v>-0.428525756</x:v>
      </x:c>
      <x:c r="AA249" s="98" t="n">
        <x:f>'Datos_fuente'!AB249</x:f>
        <x:v>0.9966247935</x:v>
      </x:c>
      <x:c r="AB249" s="98" t="n">
        <x:f>'Datos_fuente'!AC249</x:f>
        <x:v>1.292143866</x:v>
      </x:c>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t="str">
        <x:f>'Datos_fuente'!A250</x:f>
        <x:v>2026-04</x:v>
      </x:c>
      <x:c r="B250" s="98" t="n">
        <x:f>IF('Datos_fuente'!B250="","",LN('Datos_fuente'!B250))</x:f>
        <x:v>8.19354361868583</x:v>
      </x:c>
      <x:c r="C250" s="98" t="n">
        <x:f>IF(OR(B250="",B249=""),"",B250-B249)</x:f>
        <x:v>-0.027278505124357366</x:v>
      </x:c>
      <x:c r="D250" s="98" t="n">
        <x:f>IF('Datos_fuente'!C250="","",LN('Datos_fuente'!C250))</x:f>
        <x:v>5.220572017923184</x:v>
      </x:c>
      <x:c r="E250" s="98" t="n">
        <x:f>IF(OR(D250="",D249=""),"",D250-D249)</x:f>
        <x:v>0.027392969498452047</x:v>
      </x:c>
      <x:c r="F250" s="98" t="n">
        <x:f>IF('Datos_fuente'!E250="","",LN('Datos_fuente'!E250))</x:f>
        <x:v>9.49702644858874</x:v>
      </x:c>
      <x:c r="G250" s="98" t="n">
        <x:f>IF(OR(F250="",F249=""),"",F250-F249)</x:f>
        <x:v>0.0004092410438030214</x:v>
      </x:c>
      <x:c r="H250" s="63" t="n">
        <x:f>'Datos_fuente'!H250</x:f>
        <x:v>7.61</x:v>
      </x:c>
      <x:c r="I250" s="63" t="n">
        <x:f>IF(OR(H250="",H249=""),"",H250-H249)</x:f>
        <x:v>1</x:v>
      </x:c>
      <x:c r="J250" s="63" t="n">
        <x:f>'Datos_fuente'!J250</x:f>
        <x:v>5.539075577</x:v>
      </x:c>
      <x:c r="K250" s="63" t="n">
        <x:f>IF(OR(J250="",J249=""),"",J250-J249)</x:f>
        <x:v>-0.22292483299999954</x:v>
      </x:c>
      <x:c r="L250" s="98" t="n">
        <x:f>IF('Datos_fuente'!K250="","",LN('Datos_fuente'!K250))</x:f>
        <x:v>4.779428641507005</x:v>
      </x:c>
      <x:c r="M250" s="98" t="n">
        <x:f>IF(OR(L250="",L249=""),"",L250-L249)</x:f>
        <x:v>-0.007394998977728662</x:v>
      </x:c>
      <x:c r="N250" s="98" t="n">
        <x:f>IF('Datos_fuente'!L250="","",LN('Datos_fuente'!L250))</x:f>
        <x:v>2.9862830075268736</x:v>
      </x:c>
      <x:c r="O250" s="98" t="n">
        <x:f>IF(OR(N250="",N249=""),"",N250-N249)</x:f>
        <x:v>-0.2561850463902706</x:v>
      </x:c>
      <x:c r="P250" s="96" t="n">
        <x:f>'Datos_fuente'!M250</x:f>
        <x:v>0</x:v>
      </x:c>
      <x:c r="Q250" s="98" t="n">
        <x:f>IF('Datos_fuente'!N250="","",LN('Datos_fuente'!N250))</x:f>
        <x:v>11.114737067270294</x:v>
      </x:c>
      <x:c r="R250" s="98" t="n">
        <x:f>IF(OR(Q250="",Q249=""),"",Q250-Q249)</x:f>
        <x:v>0.008111608838950346</x:v>
      </x:c>
      <x:c r="S250" s="63" t="n">
        <x:f>'Datos_fuente'!P250</x:f>
        <x:v>2.447727273</x:v>
      </x:c>
      <x:c r="T250" s="63" t="n">
        <x:f>IF(OR(S250="",S249=""),"",S250-S249)</x:f>
        <x:v>-0.3554545450000002</x:v>
      </x:c>
      <x:c r="U250" s="98" t="n">
        <x:f>IF('Datos_fuente'!Q250="","",ASINH('Datos_fuente'!Q250/1000))</x:f>
        <x:v>-0.029735617732893474</x:v>
      </x:c>
      <x:c r="V250" s="98" t="n">
        <x:f>IF(OR(U250="",U249=""),"",U250-U249)</x:f>
        <x:v>-0.2593233470287079</x:v>
      </x:c>
      <x:c r="W250" s="98" t="n">
        <x:f>IF('Datos_fuente'!R250="","",ASINH('Datos_fuente'!R250/1000))</x:f>
        <x:v>-1.2307976378301908</x:v>
      </x:c>
      <x:c r="X250" s="98" t="n">
        <x:f>IF(OR(W250="",W249=""),"",W250-W249)</x:f>
        <x:v>0.7759634411429226</x:v>
      </x:c>
      <x:c r="Y250" s="63" t="n">
        <x:f>'Datos_fuente'!W250</x:f>
        <x:v>4.001927264</x:v>
      </x:c>
      <x:c r="Z250" s="63" t="n">
        <x:f>IF(OR(Y250="",Y249=""),"",Y250-Y249)</x:f>
        <x:v>-0.20163118600000018</x:v>
      </x:c>
      <x:c r="AA250" s="98" t="n">
        <x:f>'Datos_fuente'!AB250</x:f>
        <x:v>-0.8289013011</x:v>
      </x:c>
      <x:c r="AB250" s="98" t="n">
        <x:f>'Datos_fuente'!AC250</x:f>
        <x:v>-0.6476321597</x:v>
      </x:c>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AB1"/>
    <x:mergeCell ref="A2:AB3"/>
  </x:mergeCells>
  <x:pageMargins left="0.7" right="0.7" top="0.75" bottom="0.75" header="0.3" footer="0.3"/>
  <x:legacyDrawing xmlns:r="http://schemas.openxmlformats.org/officeDocument/2006/relationships" r:id="R19e03cacdaf94efc"/>
  <x:tableParts count="1">
    <x:tablePart xmlns:r="http://schemas.openxmlformats.org/officeDocument/2006/relationships" r:id="R4b6c2a9548e843e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8" hidden="0" customWidth="1"/>
    <x:col min="14" max="14" width="18" hidden="0" customWidth="1"/>
    <x:col min="15" max="15" width="3" hidden="0" customWidth="1"/>
    <x:col min="16" max="16" width="12" hidden="0" customWidth="1"/>
    <x:col min="17" max="17" width="16" hidden="0" customWidth="1"/>
    <x:col min="18" max="18" width="16" hidden="0" customWidth="1"/>
    <x:col min="19" max="19" width="11" hidden="0" customWidth="1"/>
    <x:col min="20" max="20" width="11" hidden="0" customWidth="1"/>
    <x:col min="21" max="21" width="11" hidden="0" customWidth="1"/>
    <x:col min="22" max="22" width="11" hidden="0" customWidth="1"/>
    <x:col min="23" max="23" width="11" hidden="0" customWidth="1"/>
  </x:cols>
  <x:sheetData>
    <x:row r="1" ht="30" customHeight="1">
      <x:c r="A1" s="4" t="str">
        <x:v>Modelo principal: variación mensual de la TRM</x:v>
      </x:c>
      <x:c r="B1" s="4" t="str">
        <x:v>Modelo principal: variación mensual de la TRM</x:v>
      </x:c>
      <x:c r="C1" s="4" t="str">
        <x:v>Modelo principal: variación mensual de la TRM</x:v>
      </x:c>
      <x:c r="D1" s="4" t="str">
        <x:v>Modelo principal: variación mensual de la TRM</x:v>
      </x:c>
      <x:c r="E1" s="4" t="str">
        <x:v>Modelo principal: variación mensual de la TRM</x:v>
      </x:c>
      <x:c r="F1" s="4" t="str">
        <x:v>Modelo principal: variación mensual de la TRM</x:v>
      </x:c>
      <x:c r="G1" s="4" t="str">
        <x:v>Modelo principal: variación mensual de la TRM</x:v>
      </x:c>
      <x:c r="H1" s="4" t="str">
        <x:v>Modelo principal: variación mensual de la TRM</x:v>
      </x:c>
      <x:c r="I1" s="4" t="str">
        <x:v>Modelo principal: variación mensual de la TRM</x:v>
      </x:c>
      <x:c r="J1" s="4" t="str">
        <x:v>Modelo principal: variación mensual de la TRM</x:v>
      </x:c>
      <x:c r="K1" s="4" t="str">
        <x:v>Modelo principal: variación mensual de la TRM</x:v>
      </x:c>
      <x:c r="L1" s="4" t="str">
        <x:v>Modelo principal: variación mensual de la TRM</x:v>
      </x:c>
      <x:c r="M1" s="4" t="str">
        <x:v>Modelo principal: variación mensual de la TRM</x:v>
      </x:c>
      <x:c r="N1" s="4" t="str">
        <x:v>Modelo principal: variación mensual de la TRM</x:v>
      </x:c>
      <x:c r="O1" s="4" t="str">
        <x:v>Modelo principal: variación mensual de la TRM</x:v>
      </x:c>
      <x:c r="P1" s="4" t="str">
        <x:v>Modelo principal: variación mensual de la TRM</x:v>
      </x:c>
      <x:c r="Q1" s="4" t="str">
        <x:v>Modelo principal: variación mensual de la TRM</x:v>
      </x:c>
      <x:c r="R1" s="4" t="str">
        <x:v>Modelo principal: variación mensual de la TRM</x:v>
      </x:c>
      <x:c r="S1" s="4" t="str">
        <x:v>Modelo principal: variación mensual de la TRM</x:v>
      </x:c>
      <x:c r="T1" s="4" t="str">
        <x:v>Modelo principal: variación mensual de la TRM</x:v>
      </x:c>
      <x:c r="U1" s="4" t="str">
        <x:v>Modelo principal: variación mensual de la TRM</x:v>
      </x:c>
      <x:c r="V1" s="4" t="str">
        <x:v>Modelo principal: variación mensual de la TRM</x:v>
      </x:c>
      <x:c r="W1" s="4" t="str">
        <x:v>Modelo principal: variación mensual de la TRM</x:v>
      </x:c>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OLS con errores estándar HAC (6 meses). BIC seleccionó cero rezagos adicionales de Δln(TRM). Términos de intercambio, dólar amplio y VIX entran en t; remesas, diferencial de tasas y déficit fiscal entran con un mes de rezago.</x:v>
      </x:c>
      <x:c r="B2" s="7" t="str">
        <x:v>OLS con errores estándar HAC (6 meses). BIC seleccionó cero rezagos adicionales de Δln(TRM). Términos de intercambio, dólar amplio y VIX entran en t; remesas, diferencial de tasas y déficit fiscal entran con un mes de rezago.</x:v>
      </x:c>
      <x:c r="C2" s="7" t="str">
        <x:v>OLS con errores estándar HAC (6 meses). BIC seleccionó cero rezagos adicionales de Δln(TRM). Términos de intercambio, dólar amplio y VIX entran en t; remesas, diferencial de tasas y déficit fiscal entran con un mes de rezago.</x:v>
      </x:c>
      <x:c r="D2" s="7" t="str">
        <x:v>OLS con errores estándar HAC (6 meses). BIC seleccionó cero rezagos adicionales de Δln(TRM). Términos de intercambio, dólar amplio y VIX entran en t; remesas, diferencial de tasas y déficit fiscal entran con un mes de rezago.</x:v>
      </x:c>
      <x:c r="E2" s="7" t="str">
        <x:v>OLS con errores estándar HAC (6 meses). BIC seleccionó cero rezagos adicionales de Δln(TRM). Términos de intercambio, dólar amplio y VIX entran en t; remesas, diferencial de tasas y déficit fiscal entran con un mes de rezago.</x:v>
      </x:c>
      <x:c r="F2" s="7" t="str">
        <x:v>OLS con errores estándar HAC (6 meses). BIC seleccionó cero rezagos adicionales de Δln(TRM). Términos de intercambio, dólar amplio y VIX entran en t; remesas, diferencial de tasas y déficit fiscal entran con un mes de rezago.</x:v>
      </x:c>
      <x:c r="G2" s="7" t="str">
        <x:v>OLS con errores estándar HAC (6 meses). BIC seleccionó cero rezagos adicionales de Δln(TRM). Términos de intercambio, dólar amplio y VIX entran en t; remesas, diferencial de tasas y déficit fiscal entran con un mes de rezago.</x:v>
      </x:c>
      <x:c r="H2" s="7" t="str">
        <x:v>OLS con errores estándar HAC (6 meses). BIC seleccionó cero rezagos adicionales de Δln(TRM). Términos de intercambio, dólar amplio y VIX entran en t; remesas, diferencial de tasas y déficit fiscal entran con un mes de rezago.</x:v>
      </x:c>
      <x:c r="I2" s="7" t="str">
        <x:v>OLS con errores estándar HAC (6 meses). BIC seleccionó cero rezagos adicionales de Δln(TRM). Términos de intercambio, dólar amplio y VIX entran en t; remesas, diferencial de tasas y déficit fiscal entran con un mes de rezago.</x:v>
      </x:c>
      <x:c r="J2" s="7" t="str">
        <x:v>OLS con errores estándar HAC (6 meses). BIC seleccionó cero rezagos adicionales de Δln(TRM). Términos de intercambio, dólar amplio y VIX entran en t; remesas, diferencial de tasas y déficit fiscal entran con un mes de rezago.</x:v>
      </x:c>
      <x:c r="K2" s="7" t="str">
        <x:v>OLS con errores estándar HAC (6 meses). BIC seleccionó cero rezagos adicionales de Δln(TRM). Términos de intercambio, dólar amplio y VIX entran en t; remesas, diferencial de tasas y déficit fiscal entran con un mes de rezago.</x:v>
      </x:c>
      <x:c r="L2" s="7" t="str">
        <x:v>OLS con errores estándar HAC (6 meses). BIC seleccionó cero rezagos adicionales de Δln(TRM). Términos de intercambio, dólar amplio y VIX entran en t; remesas, diferencial de tasas y déficit fiscal entran con un mes de rezago.</x:v>
      </x:c>
      <x:c r="M2" s="7" t="str">
        <x:v>OLS con errores estándar HAC (6 meses). BIC seleccionó cero rezagos adicionales de Δln(TRM). Términos de intercambio, dólar amplio y VIX entran en t; remesas, diferencial de tasas y déficit fiscal entran con un mes de rezago.</x:v>
      </x:c>
      <x:c r="N2" s="7" t="str">
        <x:v>OLS con errores estándar HAC (6 meses). BIC seleccionó cero rezagos adicionales de Δln(TRM). Términos de intercambio, dólar amplio y VIX entran en t; remesas, diferencial de tasas y déficit fiscal entran con un mes de rezago.</x:v>
      </x:c>
      <x:c r="O2" s="7" t="str">
        <x:v>OLS con errores estándar HAC (6 meses). BIC seleccionó cero rezagos adicionales de Δln(TRM). Términos de intercambio, dólar amplio y VIX entran en t; remesas, diferencial de tasas y déficit fiscal entran con un mes de rezago.</x:v>
      </x:c>
      <x:c r="P2" s="7" t="str">
        <x:v>OLS con errores estándar HAC (6 meses). BIC seleccionó cero rezagos adicionales de Δln(TRM). Términos de intercambio, dólar amplio y VIX entran en t; remesas, diferencial de tasas y déficit fiscal entran con un mes de rezago.</x:v>
      </x:c>
      <x:c r="Q2" s="7" t="str">
        <x:v>OLS con errores estándar HAC (6 meses). BIC seleccionó cero rezagos adicionales de Δln(TRM). Términos de intercambio, dólar amplio y VIX entran en t; remesas, diferencial de tasas y déficit fiscal entran con un mes de rezago.</x:v>
      </x:c>
      <x:c r="R2" s="7" t="str">
        <x:v>OLS con errores estándar HAC (6 meses). BIC seleccionó cero rezagos adicionales de Δln(TRM). Términos de intercambio, dólar amplio y VIX entran en t; remesas, diferencial de tasas y déficit fiscal entran con un mes de rezago.</x:v>
      </x:c>
      <x:c r="S2" s="7" t="str">
        <x:v>OLS con errores estándar HAC (6 meses). BIC seleccionó cero rezagos adicionales de Δln(TRM). Términos de intercambio, dólar amplio y VIX entran en t; remesas, diferencial de tasas y déficit fiscal entran con un mes de rezago.</x:v>
      </x:c>
      <x:c r="T2" s="7" t="str">
        <x:v>OLS con errores estándar HAC (6 meses). BIC seleccionó cero rezagos adicionales de Δln(TRM). Términos de intercambio, dólar amplio y VIX entran en t; remesas, diferencial de tasas y déficit fiscal entran con un mes de rezago.</x:v>
      </x:c>
      <x:c r="U2" s="7" t="str">
        <x:v>OLS con errores estándar HAC (6 meses). BIC seleccionó cero rezagos adicionales de Δln(TRM). Términos de intercambio, dólar amplio y VIX entran en t; remesas, diferencial de tasas y déficit fiscal entran con un mes de rezago.</x:v>
      </x:c>
      <x:c r="V2" s="7" t="str">
        <x:v>OLS con errores estándar HAC (6 meses). BIC seleccionó cero rezagos adicionales de Δln(TRM). Términos de intercambio, dólar amplio y VIX entran en t; remesas, diferencial de tasas y déficit fiscal entran con un mes de rezago.</x:v>
      </x:c>
      <x:c r="W2" s="7" t="str">
        <x:v>OLS con errores estándar HAC (6 meses). BIC seleccionó cero rezagos adicionales de Δln(TRM). Términos de intercambio, dólar amplio y VIX entran en t; remesas, diferencial de tasas y déficit fiscal entran con un mes de rezago.</x:v>
      </x:c>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OLS con errores estándar HAC (6 meses). BIC seleccionó cero rezagos adicionales de Δln(TRM). Términos de intercambio, dólar amplio y VIX entran en t; remesas, diferencial de tasas y déficit fiscal entran con un mes de rezago.</x:v>
      </x:c>
      <x:c r="B3" s="7" t="str">
        <x:v>OLS con errores estándar HAC (6 meses). BIC seleccionó cero rezagos adicionales de Δln(TRM). Términos de intercambio, dólar amplio y VIX entran en t; remesas, diferencial de tasas y déficit fiscal entran con un mes de rezago.</x:v>
      </x:c>
      <x:c r="C3" s="7" t="str">
        <x:v>OLS con errores estándar HAC (6 meses). BIC seleccionó cero rezagos adicionales de Δln(TRM). Términos de intercambio, dólar amplio y VIX entran en t; remesas, diferencial de tasas y déficit fiscal entran con un mes de rezago.</x:v>
      </x:c>
      <x:c r="D3" s="7" t="str">
        <x:v>OLS con errores estándar HAC (6 meses). BIC seleccionó cero rezagos adicionales de Δln(TRM). Términos de intercambio, dólar amplio y VIX entran en t; remesas, diferencial de tasas y déficit fiscal entran con un mes de rezago.</x:v>
      </x:c>
      <x:c r="E3" s="7" t="str">
        <x:v>OLS con errores estándar HAC (6 meses). BIC seleccionó cero rezagos adicionales de Δln(TRM). Términos de intercambio, dólar amplio y VIX entran en t; remesas, diferencial de tasas y déficit fiscal entran con un mes de rezago.</x:v>
      </x:c>
      <x:c r="F3" s="7" t="str">
        <x:v>OLS con errores estándar HAC (6 meses). BIC seleccionó cero rezagos adicionales de Δln(TRM). Términos de intercambio, dólar amplio y VIX entran en t; remesas, diferencial de tasas y déficit fiscal entran con un mes de rezago.</x:v>
      </x:c>
      <x:c r="G3" s="7" t="str">
        <x:v>OLS con errores estándar HAC (6 meses). BIC seleccionó cero rezagos adicionales de Δln(TRM). Términos de intercambio, dólar amplio y VIX entran en t; remesas, diferencial de tasas y déficit fiscal entran con un mes de rezago.</x:v>
      </x:c>
      <x:c r="H3" s="7" t="str">
        <x:v>OLS con errores estándar HAC (6 meses). BIC seleccionó cero rezagos adicionales de Δln(TRM). Términos de intercambio, dólar amplio y VIX entran en t; remesas, diferencial de tasas y déficit fiscal entran con un mes de rezago.</x:v>
      </x:c>
      <x:c r="I3" s="7" t="str">
        <x:v>OLS con errores estándar HAC (6 meses). BIC seleccionó cero rezagos adicionales de Δln(TRM). Términos de intercambio, dólar amplio y VIX entran en t; remesas, diferencial de tasas y déficit fiscal entran con un mes de rezago.</x:v>
      </x:c>
      <x:c r="J3" s="7" t="str">
        <x:v>OLS con errores estándar HAC (6 meses). BIC seleccionó cero rezagos adicionales de Δln(TRM). Términos de intercambio, dólar amplio y VIX entran en t; remesas, diferencial de tasas y déficit fiscal entran con un mes de rezago.</x:v>
      </x:c>
      <x:c r="K3" s="7" t="str">
        <x:v>OLS con errores estándar HAC (6 meses). BIC seleccionó cero rezagos adicionales de Δln(TRM). Términos de intercambio, dólar amplio y VIX entran en t; remesas, diferencial de tasas y déficit fiscal entran con un mes de rezago.</x:v>
      </x:c>
      <x:c r="L3" s="7" t="str">
        <x:v>OLS con errores estándar HAC (6 meses). BIC seleccionó cero rezagos adicionales de Δln(TRM). Términos de intercambio, dólar amplio y VIX entran en t; remesas, diferencial de tasas y déficit fiscal entran con un mes de rezago.</x:v>
      </x:c>
      <x:c r="M3" s="7" t="str">
        <x:v>OLS con errores estándar HAC (6 meses). BIC seleccionó cero rezagos adicionales de Δln(TRM). Términos de intercambio, dólar amplio y VIX entran en t; remesas, diferencial de tasas y déficit fiscal entran con un mes de rezago.</x:v>
      </x:c>
      <x:c r="N3" s="7" t="str">
        <x:v>OLS con errores estándar HAC (6 meses). BIC seleccionó cero rezagos adicionales de Δln(TRM). Términos de intercambio, dólar amplio y VIX entran en t; remesas, diferencial de tasas y déficit fiscal entran con un mes de rezago.</x:v>
      </x:c>
      <x:c r="O3" s="7" t="str">
        <x:v>OLS con errores estándar HAC (6 meses). BIC seleccionó cero rezagos adicionales de Δln(TRM). Términos de intercambio, dólar amplio y VIX entran en t; remesas, diferencial de tasas y déficit fiscal entran con un mes de rezago.</x:v>
      </x:c>
      <x:c r="P3" s="7" t="str">
        <x:v>OLS con errores estándar HAC (6 meses). BIC seleccionó cero rezagos adicionales de Δln(TRM). Términos de intercambio, dólar amplio y VIX entran en t; remesas, diferencial de tasas y déficit fiscal entran con un mes de rezago.</x:v>
      </x:c>
      <x:c r="Q3" s="7" t="str">
        <x:v>OLS con errores estándar HAC (6 meses). BIC seleccionó cero rezagos adicionales de Δln(TRM). Términos de intercambio, dólar amplio y VIX entran en t; remesas, diferencial de tasas y déficit fiscal entran con un mes de rezago.</x:v>
      </x:c>
      <x:c r="R3" s="7" t="str">
        <x:v>OLS con errores estándar HAC (6 meses). BIC seleccionó cero rezagos adicionales de Δln(TRM). Términos de intercambio, dólar amplio y VIX entran en t; remesas, diferencial de tasas y déficit fiscal entran con un mes de rezago.</x:v>
      </x:c>
      <x:c r="S3" s="7" t="str">
        <x:v>OLS con errores estándar HAC (6 meses). BIC seleccionó cero rezagos adicionales de Δln(TRM). Términos de intercambio, dólar amplio y VIX entran en t; remesas, diferencial de tasas y déficit fiscal entran con un mes de rezago.</x:v>
      </x:c>
      <x:c r="T3" s="7" t="str">
        <x:v>OLS con errores estándar HAC (6 meses). BIC seleccionó cero rezagos adicionales de Δln(TRM). Términos de intercambio, dólar amplio y VIX entran en t; remesas, diferencial de tasas y déficit fiscal entran con un mes de rezago.</x:v>
      </x:c>
      <x:c r="U3" s="7" t="str">
        <x:v>OLS con errores estándar HAC (6 meses). BIC seleccionó cero rezagos adicionales de Δln(TRM). Términos de intercambio, dólar amplio y VIX entran en t; remesas, diferencial de tasas y déficit fiscal entran con un mes de rezago.</x:v>
      </x:c>
      <x:c r="V3" s="7" t="str">
        <x:v>OLS con errores estándar HAC (6 meses). BIC seleccionó cero rezagos adicionales de Δln(TRM). Términos de intercambio, dólar amplio y VIX entran en t; remesas, diferencial de tasas y déficit fiscal entran con un mes de rezago.</x:v>
      </x:c>
      <x:c r="W3" s="7" t="str">
        <x:v>OLS con errores estándar HAC (6 meses). BIC seleccionó cero rezagos adicionales de Δln(TRM). Términos de intercambio, dólar amplio y VIX entran en t; remesas, diferencial de tasas y déficit fiscal entran con un mes de rezago.</x:v>
      </x:c>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62" t="str">
        <x:v>Variable</x:v>
      </x:c>
      <x:c r="B5" s="62" t="str">
        <x:v>Coeficiente</x:v>
      </x:c>
      <x:c r="C5" s="62" t="str">
        <x:v>EE HAC</x:v>
      </x:c>
      <x:c r="D5" s="62" t="str">
        <x:v>t</x:v>
      </x:c>
      <x:c r="E5" s="62" t="str">
        <x:v>p-valor</x:v>
      </x:c>
      <x:c r="F5" s="62" t="str">
        <x:v>IC 95% inferior</x:v>
      </x:c>
      <x:c r="G5" s="62" t="str">
        <x:v>IC 95% superior</x:v>
      </x:c>
      <x:c r="H5" s="64"/>
      <x:c r="I5" s="66" t="str">
        <x:v>Indicador</x:v>
      </x:c>
      <x:c r="J5" s="66" t="str">
        <x:v>Valor</x:v>
      </x:c>
      <x:c r="K5" s="66" t="str">
        <x:v>Lectura</x:v>
      </x:c>
      <x:c r="L5" s="66" t="str">
        <x:v>Indicador</x:v>
      </x:c>
      <x:c r="M5" s="66" t="str">
        <x:v>Valor</x:v>
      </x:c>
      <x:c r="N5" s="66" t="str">
        <x:v>Lectura</x:v>
      </x:c>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4" t="str">
        <x:v>Intercepto</x:v>
      </x:c>
      <x:c r="B6" s="110" t="n">
        <x:v>-0.0005941980394302418</x:v>
      </x:c>
      <x:c r="C6" s="110" t="n">
        <x:v>0.0016872197231078342</x:v>
      </x:c>
      <x:c r="D6" s="110" t="n">
        <x:v>-0.3521758495898434</x:v>
      </x:c>
      <x:c r="E6" s="110" t="n">
        <x:v>0.725026083238444</x:v>
      </x:c>
      <x:c r="F6" s="110" t="n">
        <x:v>-0.0039184290934836975</x:v>
      </x:c>
      <x:c r="G6" s="110" t="n">
        <x:v>0.002730033014623214</x:v>
      </x:c>
      <x:c r="H6" s="64"/>
      <x:c r="I6" s="67" t="str">
        <x:v>R²</x:v>
      </x:c>
      <x:c r="J6" s="107" t="n">
        <x:v>0.49446400268979984</x:v>
      </x:c>
      <x:c r="K6" s="67" t="str">
        <x:v>Variación explicada dentro de muestra</x:v>
      </x:c>
      <x:c r="L6" s="67" t="str">
        <x:v>AIC</x:v>
      </x:c>
      <x:c r="M6" s="108" t="n">
        <x:v>-1103.3074291126252</x:v>
      </x:c>
      <x:c r="N6" s="67" t="str">
        <x:v>Comparación relativa</x:v>
      </x:c>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64" t="str">
        <x:v>Δ ln términos de intercambio (t)</x:v>
      </x:c>
      <x:c r="B7" s="110" t="n">
        <x:v>-0.10007620492557312</x:v>
      </x:c>
      <x:c r="C7" s="110" t="n">
        <x:v>0.029184860853142987</x:v>
      </x:c>
      <x:c r="D7" s="110" t="n">
        <x:v>-3.4290451281968566</x:v>
      </x:c>
      <x:c r="E7" s="110" t="n">
        <x:v>0.0007166782361943295</x:v>
      </x:c>
      <x:c r="F7" s="110" t="n">
        <x:v>-0.15757744168064297</x:v>
      </x:c>
      <x:c r="G7" s="110" t="n">
        <x:v>-0.04257496817050328</x:v>
      </x:c>
      <x:c r="H7" s="64"/>
      <x:c r="I7" s="67" t="str">
        <x:v>R² ajustado</x:v>
      </x:c>
      <x:c r="J7" s="107" t="n">
        <x:v>0.4792107613916473</x:v>
      </x:c>
      <x:c r="K7" s="67" t="str">
        <x:v>Penaliza número de parámetros</x:v>
      </x:c>
      <x:c r="L7" s="67" t="str">
        <x:v>BIC</x:v>
      </x:c>
      <x:c r="M7" s="108" t="n">
        <x:v>-1075.4623177258893</x:v>
      </x:c>
      <x:c r="N7" s="67" t="str">
        <x:v>Seleccionó p=0</x:v>
      </x:c>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64" t="str">
        <x:v>Δ ln remesas 12m (t−1)</x:v>
      </x:c>
      <x:c r="B8" s="110" t="n">
        <x:v>0.276518944955475</x:v>
      </x:c>
      <x:c r="C8" s="110" t="n">
        <x:v>0.12193980992656682</x:v>
      </x:c>
      <x:c r="D8" s="110" t="n">
        <x:v>2.26766750843713</x:v>
      </x:c>
      <x:c r="E8" s="110" t="n">
        <x:v>0.02427012879939084</x:v>
      </x:c>
      <x:c r="F8" s="110" t="n">
        <x:v>0.03626801774570462</x:v>
      </x:c>
      <x:c r="G8" s="110" t="n">
        <x:v>0.5167698721652454</x:v>
      </x:c>
      <x:c r="H8" s="64"/>
      <x:c r="I8" s="67" t="str">
        <x:v>Observaciones</x:v>
      </x:c>
      <x:c r="J8" s="67" t="n">
        <x:v>240</x:v>
      </x:c>
      <x:c r="K8" s="67" t="str">
        <x:v>Mayo 2006–abril 2026</x:v>
      </x:c>
      <x:c r="L8" s="67" t="str">
        <x:v>HAC</x:v>
      </x:c>
      <x:c r="M8" s="67" t="n">
        <x:v>6</x:v>
      </x:c>
      <x:c r="N8" s="67" t="str">
        <x:v>Ventana mensual</x:v>
      </x:c>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64" t="str">
        <x:v>Δ diferencial tasas (t−1)</x:v>
      </x:c>
      <x:c r="B9" s="110" t="n">
        <x:v>-0.009896079617420034</x:v>
      </x:c>
      <x:c r="C9" s="110" t="n">
        <x:v>0.004877510647505789</x:v>
      </x:c>
      <x:c r="D9" s="110" t="n">
        <x:v>-2.0289201464850906</x:v>
      </x:c>
      <x:c r="E9" s="110" t="n">
        <x:v>0.04360863803696154</x:v>
      </x:c>
      <x:c r="F9" s="110" t="n">
        <x:v>-0.01950595563940561</x:v>
      </x:c>
      <x:c r="G9" s="110" t="n">
        <x:v>-0.0002862035954344557</x:v>
      </x:c>
      <x:c r="H9" s="64"/>
      <x:c r="I9" s="67" t="str">
        <x:v>Frecuencia</x:v>
      </x:c>
      <x:c r="J9" s="67" t="str">
        <x:v>Mensual</x:v>
      </x:c>
      <x:c r="K9" s="67" t="str">
        <x:v>Promedio mensual de series diarias</x:v>
      </x:c>
      <x:c r="L9" s="67" t="str">
        <x:v>Objetivo</x:v>
      </x:c>
      <x:c r="M9" s="67" t="str">
        <x:v>Δln(TRM)</x:v>
      </x:c>
      <x:c r="N9" s="67" t="str">
        <x:v>Aumento = depreciación</x:v>
      </x:c>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64" t="str">
        <x:v>Δ déficit fiscal 12m/PIB (t−1)</x:v>
      </x:c>
      <x:c r="B10" s="110" t="n">
        <x:v>0.004849277167179358</x:v>
      </x:c>
      <x:c r="C10" s="110" t="n">
        <x:v>0.0033134266478970996</x:v>
      </x:c>
      <x:c r="D10" s="110" t="n">
        <x:v>1.463523319659725</x:v>
      </x:c>
      <x:c r="E10" s="110" t="n">
        <x:v>0.14467777182955746</x:v>
      </x:c>
      <x:c r="F10" s="110" t="n">
        <x:v>-0.0016789749670353005</x:v>
      </x:c>
      <x:c r="G10" s="110" t="n">
        <x:v>0.011377529301394016</x:v>
      </x:c>
      <x:c r="H10" s="64"/>
      <x:c r="I10" s="64"/>
      <x:c r="J10" s="64"/>
      <x:c r="K10" s="64"/>
      <x:c r="L10" s="64"/>
      <x:c r="M10" s="64"/>
      <x:c r="N10" s="64"/>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64" t="str">
        <x:v>Δ ln índice dólar amplio (t)</x:v>
      </x:c>
      <x:c r="B11" s="110" t="n">
        <x:v>1.2746059320798147</x:v>
      </x:c>
      <x:c r="C11" s="110" t="n">
        <x:v>0.15094172389605928</x:v>
      </x:c>
      <x:c r="D11" s="110" t="n">
        <x:v>8.444357856662133</x:v>
      </x:c>
      <x:c r="E11" s="110" t="n">
        <x:v>3.3533083583167877e-15</x:v>
      </x:c>
      <x:c r="F11" s="110" t="n">
        <x:v>0.97721421773724</x:v>
      </x:c>
      <x:c r="G11" s="110" t="n">
        <x:v>1.5719976464223893</x:v>
      </x:c>
      <x:c r="H11" s="64"/>
      <x:c r="I11" s="64"/>
      <x:c r="J11" s="64"/>
      <x:c r="K11" s="64"/>
      <x:c r="L11" s="64"/>
      <x:c r="M11" s="64"/>
      <x:c r="N11" s="64"/>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64" t="str">
        <x:v>Δ ln VIX (t)</x:v>
      </x:c>
      <x:c r="B12" s="110" t="n">
        <x:v>0.03836051657743485</x:v>
      </x:c>
      <x:c r="C12" s="110" t="n">
        <x:v>0.009093650817425167</x:v>
      </x:c>
      <x:c r="D12" s="110" t="n">
        <x:v>4.218384601257043</x:v>
      </x:c>
      <x:c r="E12" s="110" t="n">
        <x:v>0.00003530123227255144</x:v>
      </x:c>
      <x:c r="F12" s="110" t="n">
        <x:v>0.0204438243837701</x:v>
      </x:c>
      <x:c r="G12" s="110" t="n">
        <x:v>0.056277208771099596</x:v>
      </x:c>
      <x:c r="H12" s="64"/>
      <x:c r="I12" s="64"/>
      <x:c r="J12" s="64"/>
      <x:c r="K12" s="64"/>
      <x:c r="L12" s="64"/>
      <x:c r="M12" s="64"/>
      <x:c r="N12" s="64"/>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64" t="str">
        <x:v>Dummy pandemia 2020</x:v>
      </x:c>
      <x:c r="B13" s="110" t="n">
        <x:v>0.010814502032393727</x:v>
      </x:c>
      <x:c r="C13" s="110" t="n">
        <x:v>0.004615434872322</x:v>
      </x:c>
      <x:c r="D13" s="110" t="n">
        <x:v>2.343116592814798</x:v>
      </x:c>
      <x:c r="E13" s="110" t="n">
        <x:v>0.019969238756193084</x:v>
      </x:c>
      <x:c r="F13" s="110" t="n">
        <x:v>0.0017209786931377848</x:v>
      </x:c>
      <x:c r="G13" s="110" t="n">
        <x:v>0.01990802537164967</x:v>
      </x:c>
      <x:c r="H13" s="64"/>
      <x:c r="I13" s="64"/>
      <x:c r="J13" s="64"/>
      <x:c r="K13" s="64"/>
      <x:c r="L13" s="64"/>
      <x:c r="M13" s="64"/>
      <x:c r="N13" s="64"/>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64"/>
      <x:c r="B14" s="64"/>
      <x:c r="C14" s="64"/>
      <x:c r="D14" s="64"/>
      <x:c r="E14" s="64"/>
      <x:c r="F14" s="64"/>
      <x:c r="G14" s="64"/>
      <x:c r="H14" s="64"/>
      <x:c r="I14" s="64"/>
      <x:c r="J14" s="64"/>
      <x:c r="K14" s="64"/>
      <x:c r="L14" s="64"/>
      <x:c r="M14" s="64"/>
      <x:c r="N14" s="64"/>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64"/>
      <x:c r="B15" s="64"/>
      <x:c r="C15" s="64"/>
      <x:c r="D15" s="64"/>
      <x:c r="E15" s="64"/>
      <x:c r="F15" s="64"/>
      <x:c r="G15" s="64"/>
      <x:c r="H15" s="64"/>
      <x:c r="I15" s="64"/>
      <x:c r="J15" s="64"/>
      <x:c r="K15" s="64"/>
      <x:c r="L15" s="64"/>
      <x:c r="M15" s="64"/>
      <x:c r="N15" s="64"/>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64"/>
      <x:c r="B16" s="64"/>
      <x:c r="C16" s="64"/>
      <x:c r="D16" s="64"/>
      <x:c r="E16" s="64"/>
      <x:c r="F16" s="64"/>
      <x:c r="G16" s="64"/>
      <x:c r="H16" s="64"/>
      <x:c r="I16" s="64"/>
      <x:c r="J16" s="64"/>
      <x:c r="K16" s="64"/>
      <x:c r="L16" s="64"/>
      <x:c r="M16" s="64"/>
      <x:c r="N16" s="64"/>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42" customHeight="1">
      <x:c r="A17" s="62" t="str">
        <x:v>Mes</x:v>
      </x:c>
      <x:c r="B17" s="62" t="str">
        <x:v>Δln TRM observado</x:v>
      </x:c>
      <x:c r="C17" s="62" t="str">
        <x:v>Constante</x:v>
      </x:c>
      <x:c r="D17" s="62" t="str">
        <x:v>Términos de intercambio</x:v>
      </x:c>
      <x:c r="E17" s="62" t="str">
        <x:v>Dólar amplio</x:v>
      </x:c>
      <x:c r="F17" s="62" t="str">
        <x:v>VIX</x:v>
      </x:c>
      <x:c r="G17" s="62" t="str">
        <x:v>Remesas t−1</x:v>
      </x:c>
      <x:c r="H17" s="62" t="str">
        <x:v>Tasas t−1</x:v>
      </x:c>
      <x:c r="I17" s="62" t="str">
        <x:v>Fiscal t−1</x:v>
      </x:c>
      <x:c r="J17" s="62" t="str">
        <x:v>Pandemia</x:v>
      </x:c>
      <x:c r="K17" s="62" t="str">
        <x:v>Δln TRM ajustado</x:v>
      </x:c>
      <x:c r="L17" s="62" t="str">
        <x:v>Residuo</x:v>
      </x:c>
      <x:c r="M17" s="62" t="str">
        <x:v>TRM observada</x:v>
      </x:c>
      <x:c r="N17" s="62" t="str">
        <x:v>TRM ajustada 1 paso</x:v>
      </x:c>
      <x:c r="O17" s="1"/>
      <x:c r="P17" s="62" t="str">
        <x:v>Mes</x:v>
      </x:c>
      <x:c r="Q17" s="62" t="str">
        <x:v>TRM observada</x:v>
      </x:c>
      <x:c r="R17" s="62" t="str">
        <x:v>TRM ajustada</x:v>
      </x:c>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1" t="str">
        <x:f>'Transformaciones'!A11</x:f>
        <x:v>2006-05</x:v>
      </x:c>
      <x:c r="B18" s="98" t="n">
        <x:f>'Transformaciones'!C11</x:f>
        <x:v>0.03513841918142102</x:v>
      </x:c>
      <x:c r="C18" s="98" t="n">
        <x:f>$B$6</x:f>
        <x:v>-0.0005941980394302418</x:v>
      </x:c>
      <x:c r="D18" s="98" t="n">
        <x:f>$B$7*'Transformaciones'!E11</x:f>
        <x:v>0.0006696054280218286</x:v>
      </x:c>
      <x:c r="E18" s="98" t="n">
        <x:f>$B$11*'Transformaciones'!M11</x:f>
        <x:v>-0.028842498672310268</x:v>
      </x:c>
      <x:c r="F18" s="98" t="n">
        <x:f>$B$12*'Transformaciones'!O11</x:f>
        <x:v>0.007630027983746357</x:v>
      </x:c>
      <x:c r="G18" s="98" t="n">
        <x:f>$B$8*'Transformaciones'!G10</x:f>
        <x:v>0.0017292135536352252</x:v>
      </x:c>
      <x:c r="H18" s="98" t="n">
        <x:f>$B$9*'Transformaciones'!I10</x:f>
        <x:v>0.001979215923484006</x:v>
      </x:c>
      <x:c r="I18" s="98" t="n">
        <x:f>$B$10*'Transformaciones'!K10</x:f>
        <x:v>0.003526692921118737</x:v>
      </x:c>
      <x:c r="J18" s="98" t="n">
        <x:f>$B$13*'Transformaciones'!P11</x:f>
        <x:v>0</x:v>
      </x:c>
      <x:c r="K18" s="109" t="n">
        <x:f>SUM(C18:J18)</x:f>
        <x:v>-0.013901940901734357</x:v>
      </x:c>
      <x:c r="L18" s="109" t="n">
        <x:f>B18-K18</x:f>
        <x:v>0.04904036008315538</x:v>
      </x:c>
      <x:c r="M18" s="94" t="n">
        <x:f>'Datos_fuente'!B11</x:f>
        <x:v>2418.649355</x:v>
      </x:c>
      <x:c r="N18" s="94" t="n">
        <x:f>EXP('Transformaciones'!B10+K18)</x:f>
        <x:v>2302.899328104417</x:v>
      </x:c>
      <x:c r="O18" s="1"/>
      <x:c r="P18" s="1" t="str">
        <x:f>A18</x:f>
        <x:v>2006-05</x:v>
      </x:c>
      <x:c r="Q18" s="82" t="n">
        <x:f>M18</x:f>
        <x:v>2418.649355</x:v>
      </x:c>
      <x:c r="R18" s="82" t="n">
        <x:f>N18</x:f>
        <x:v>2302.899328104417</x:v>
      </x:c>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f>'Transformaciones'!A12</x:f>
        <x:v>2006-06</x:v>
      </x:c>
      <x:c r="B19" s="98" t="n">
        <x:f>'Transformaciones'!C12</x:f>
        <x:v>0.04982844845481793</x:v>
      </x:c>
      <x:c r="C19" s="98" t="n">
        <x:f>$B$6</x:f>
        <x:v>-0.0005941980394302418</x:v>
      </x:c>
      <x:c r="D19" s="98" t="n">
        <x:f>$B$7*'Transformaciones'!E12</x:f>
        <x:v>0.00017734841222654887</x:v>
      </x:c>
      <x:c r="E19" s="98" t="n">
        <x:f>$B$11*'Transformaciones'!M12</x:f>
        <x:v>0.015343812959982446</x:v>
      </x:c>
      <x:c r="F19" s="98" t="n">
        <x:f>$B$12*'Transformaciones'!O12</x:f>
        <x:v>0.006038207251860232</x:v>
      </x:c>
      <x:c r="G19" s="98" t="n">
        <x:f>$B$8*'Transformaciones'!G11</x:f>
        <x:v>0.007639095858245378</x:v>
      </x:c>
      <x:c r="H19" s="98" t="n">
        <x:f>$B$9*'Transformaciones'!I11</x:f>
        <x:v>-0.0009098008693300452</x:v>
      </x:c>
      <x:c r="I19" s="98" t="n">
        <x:f>$B$10*'Transformaciones'!K11</x:f>
        <x:v>-0.0023720308850385206</x:v>
      </x:c>
      <x:c r="J19" s="98" t="n">
        <x:f>$B$13*'Transformaciones'!P12</x:f>
        <x:v>0</x:v>
      </x:c>
      <x:c r="K19" s="109" t="n">
        <x:f>SUM(C19:J19)</x:f>
        <x:v>0.025322434688515798</x:v>
      </x:c>
      <x:c r="L19" s="109" t="n">
        <x:f>B19-K19</x:f>
        <x:v>0.024506013766302133</x:v>
      </x:c>
      <x:c r="M19" s="94" t="n">
        <x:f>'Datos_fuente'!B12</x:f>
        <x:v>2542.22</x:v>
      </x:c>
      <x:c r="N19" s="94" t="n">
        <x:f>EXP('Transformaciones'!B11+K19)</x:f>
        <x:v>2480.6774824626445</x:v>
      </x:c>
      <x:c r="O19" s="1"/>
      <x:c r="P19" s="1" t="str">
        <x:f>A30</x:f>
        <x:v>2007-05</x:v>
      </x:c>
      <x:c r="Q19" s="82" t="n">
        <x:f>M30</x:f>
        <x:v>2009.415484</x:v>
      </x:c>
      <x:c r="R19" s="82" t="n">
        <x:f>N30</x:f>
        <x:v>2111.986207743402</x:v>
      </x:c>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f>'Transformaciones'!A13</x:f>
        <x:v>2006-07</x:v>
      </x:c>
      <x:c r="B20" s="98" t="n">
        <x:f>'Transformaciones'!C13</x:f>
        <x:v>-0.011282585427688119</x:v>
      </x:c>
      <x:c r="C20" s="98" t="n">
        <x:f>$B$6</x:f>
        <x:v>-0.0005941980394302418</x:v>
      </x:c>
      <x:c r="D20" s="98" t="n">
        <x:f>$B$7*'Transformaciones'!E13</x:f>
        <x:v>-0.0018248812208403432</x:v>
      </x:c>
      <x:c r="E20" s="98" t="n">
        <x:f>$B$11*'Transformaciones'!M13</x:f>
        <x:v>-0.003284720575224102</x:v>
      </x:c>
      <x:c r="F20" s="98" t="n">
        <x:f>$B$12*'Transformaciones'!O13</x:f>
        <x:v>-0.003792513430495841</x:v>
      </x:c>
      <x:c r="G20" s="98" t="n">
        <x:f>$B$8*'Transformaciones'!G12</x:f>
        <x:v>0.005454490932665441</x:v>
      </x:c>
      <x:c r="H20" s="98" t="n">
        <x:f>$B$9*'Transformaciones'!I12</x:f>
        <x:v>-0.0004096764096939322</x:v>
      </x:c>
      <x:c r="I20" s="98" t="n">
        <x:f>$B$10*'Transformaciones'!K12</x:f>
        <x:v>0.0006535410068859922</x:v>
      </x:c>
      <x:c r="J20" s="98" t="n">
        <x:f>$B$13*'Transformaciones'!P13</x:f>
        <x:v>0</x:v>
      </x:c>
      <x:c r="K20" s="109" t="n">
        <x:f>SUM(C20:J20)</x:f>
        <x:v>-0.0037979577361330263</x:v>
      </x:c>
      <x:c r="L20" s="109" t="n">
        <x:f>B20-K20</x:f>
        <x:v>-0.0074846276915550925</x:v>
      </x:c>
      <x:c r="M20" s="94" t="n">
        <x:f>'Datos_fuente'!B13</x:f>
        <x:v>2513.698387</x:v>
      </x:c>
      <x:c r="N20" s="94" t="n">
        <x:f>EXP('Transformaciones'!B12+K20)</x:f>
        <x:v>2532.5830677986296</x:v>
      </x:c>
      <x:c r="O20" s="1"/>
      <x:c r="P20" s="1" t="str">
        <x:f>A42</x:f>
        <x:v>2008-05</x:v>
      </x:c>
      <x:c r="Q20" s="82" t="n">
        <x:f>M42</x:f>
        <x:v>1775.156129</x:v>
      </x:c>
      <x:c r="R20" s="82" t="n">
        <x:f>N42</x:f>
        <x:v>1781.6189955966352</x:v>
      </x:c>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f>'Transformaciones'!A14</x:f>
        <x:v>2006-08</x:v>
      </x:c>
      <x:c r="B21" s="98" t="n">
        <x:f>'Transformaciones'!C14</x:f>
        <x:v>-0.05088714786488868</x:v>
      </x:c>
      <x:c r="C21" s="98" t="n">
        <x:f>$B$6</x:f>
        <x:v>-0.0005941980394302418</x:v>
      </x:c>
      <x:c r="D21" s="98" t="n">
        <x:f>$B$7*'Transformaciones'!E14</x:f>
        <x:v>0.0025672346353937895</x:v>
      </x:c>
      <x:c r="E21" s="98" t="n">
        <x:f>$B$11*'Transformaciones'!M14</x:f>
        <x:v>-0.009421533641437574</x:v>
      </x:c>
      <x:c r="F21" s="98" t="n">
        <x:f>$B$12*'Transformaciones'!O14</x:f>
        <x:v>-0.005290071910984268</x:v>
      </x:c>
      <x:c r="G21" s="98" t="n">
        <x:f>$B$8*'Transformaciones'!G13</x:f>
        <x:v>0.003854958169705996</x:v>
      </x:c>
      <x:c r="H21" s="98" t="n">
        <x:f>$B$9*'Transformaciones'!I13</x:f>
        <x:v>0.0008246732981529752</x:v>
      </x:c>
      <x:c r="I21" s="98" t="n">
        <x:f>$B$10*'Transformaciones'!K13</x:f>
        <x:v>-0.0006485928481080971</x:v>
      </x:c>
      <x:c r="J21" s="98" t="n">
        <x:f>$B$13*'Transformaciones'!P14</x:f>
        <x:v>0</x:v>
      </x:c>
      <x:c r="K21" s="109" t="n">
        <x:f>SUM(C21:J21)</x:f>
        <x:v>-0.00870753033670742</x:v>
      </x:c>
      <x:c r="L21" s="109" t="n">
        <x:f>B21-K21</x:f>
        <x:v>-0.042179617528181265</x:v>
      </x:c>
      <x:c r="M21" s="94" t="n">
        <x:f>'Datos_fuente'!B14</x:f>
        <x:v>2388.983548</x:v>
      </x:c>
      <x:c r="N21" s="94" t="n">
        <x:f>EXP('Transformaciones'!B13+K21)</x:f>
        <x:v>2491.905301711279</x:v>
      </x:c>
      <x:c r="O21" s="1"/>
      <x:c r="P21" s="1" t="str">
        <x:f>A54</x:f>
        <x:v>2009-05</x:v>
      </x:c>
      <x:c r="Q21" s="82" t="n">
        <x:f>M54</x:f>
        <x:v>2227.317742</x:v>
      </x:c>
      <x:c r="R21" s="82" t="n">
        <x:f>N54</x:f>
        <x:v>2246.761772852616</x:v>
      </x:c>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f>'Transformaciones'!A15</x:f>
        <x:v>2006-09</x:v>
      </x:c>
      <x:c r="B22" s="98" t="n">
        <x:f>'Transformaciones'!C15</x:f>
        <x:v>0.004062555376928678</x:v>
      </x:c>
      <x:c r="C22" s="98" t="n">
        <x:f>$B$6</x:f>
        <x:v>-0.0005941980394302418</x:v>
      </x:c>
      <x:c r="D22" s="98" t="n">
        <x:f>$B$7*'Transformaciones'!E15</x:f>
        <x:v>0.004925214956643989</x:v>
      </x:c>
      <x:c r="E22" s="98" t="n">
        <x:f>$B$11*'Transformaciones'!M15</x:f>
        <x:v>0.003485835680629066</x:v>
      </x:c>
      <x:c r="F22" s="98" t="n">
        <x:f>$B$12*'Transformaciones'!O15</x:f>
        <x:v>-0.003509296627729153</x:v>
      </x:c>
      <x:c r="G22" s="98" t="n">
        <x:f>$B$8*'Transformaciones'!G14</x:f>
        <x:v>0.0026057207964677825</x:v>
      </x:c>
      <x:c r="H22" s="98" t="n">
        <x:f>$B$9*'Transformaciones'!I14</x:f>
        <x:v>-0.0006991101378414574</x:v>
      </x:c>
      <x:c r="I22" s="98" t="n">
        <x:f>$B$10*'Transformaciones'!K14</x:f>
        <x:v>0.00009003900714365201</x:v>
      </x:c>
      <x:c r="J22" s="98" t="n">
        <x:f>$B$13*'Transformaciones'!P15</x:f>
        <x:v>0</x:v>
      </x:c>
      <x:c r="K22" s="109" t="n">
        <x:f>SUM(C22:J22)</x:f>
        <x:v>0.006304205635883637</x:v>
      </x:c>
      <x:c r="L22" s="109" t="n">
        <x:f>B22-K22</x:f>
        <x:v>-0.0022416502589549586</x:v>
      </x:c>
      <x:c r="M22" s="94" t="n">
        <x:f>'Datos_fuente'!B15</x:f>
        <x:v>2398.708667</x:v>
      </x:c>
      <x:c r="N22" s="94" t="n">
        <x:f>EXP('Transformaciones'!B14+K22)</x:f>
        <x:v>2404.09176416094</x:v>
      </x:c>
      <x:c r="O22" s="1"/>
      <x:c r="P22" s="1" t="str">
        <x:f>A66</x:f>
        <x:v>2010-05</x:v>
      </x:c>
      <x:c r="Q22" s="82" t="n">
        <x:f>M66</x:f>
        <x:v>1983.593226</x:v>
      </x:c>
      <x:c r="R22" s="82" t="n">
        <x:f>N66</x:f>
        <x:v>2075.1696398551644</x:v>
      </x:c>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f>'Transformaciones'!A16</x:f>
        <x:v>2006-10</x:v>
      </x:c>
      <x:c r="B23" s="98" t="n">
        <x:f>'Transformaciones'!C16</x:f>
        <x:v>-0.015507999193609123</x:v>
      </x:c>
      <x:c r="C23" s="98" t="n">
        <x:f>$B$6</x:f>
        <x:v>-0.0005941980394302418</x:v>
      </x:c>
      <x:c r="D23" s="98" t="n">
        <x:f>$B$7*'Transformaciones'!E16</x:f>
        <x:v>0.00037640365924612983</x:v>
      </x:c>
      <x:c r="E23" s="98" t="n">
        <x:f>$B$11*'Transformaciones'!M16</x:f>
        <x:v>0.004341296820119458</x:v>
      </x:c>
      <x:c r="F23" s="98" t="n">
        <x:f>$B$12*'Transformaciones'!O16</x:f>
        <x:v>-0.0028693256321426944</x:v>
      </x:c>
      <x:c r="G23" s="98" t="n">
        <x:f>$B$8*'Transformaciones'!G15</x:f>
        <x:v>0.002618277532175079</x:v>
      </x:c>
      <x:c r="H23" s="98" t="n">
        <x:f>$B$9*'Transformaciones'!I15</x:f>
        <x:v>-0.0016759489703393508</x:v>
      </x:c>
      <x:c r="I23" s="98" t="n">
        <x:f>$B$10*'Transformaciones'!K15</x:f>
        <x:v>-0.0011209401966045924</x:v>
      </x:c>
      <x:c r="J23" s="98" t="n">
        <x:f>$B$13*'Transformaciones'!P16</x:f>
        <x:v>0</x:v>
      </x:c>
      <x:c r="K23" s="109" t="n">
        <x:f>SUM(C23:J23)</x:f>
        <x:v>0.0010755651730237881</x:v>
      </x:c>
      <x:c r="L23" s="109" t="n">
        <x:f>B23-K23</x:f>
        <x:v>-0.01658356436663291</x:v>
      </x:c>
      <x:c r="M23" s="94" t="n">
        <x:f>'Datos_fuente'!B16</x:f>
        <x:v>2361.796452</x:v>
      </x:c>
      <x:c r="N23" s="94" t="n">
        <x:f>EXP('Transformaciones'!B15+K23)</x:f>
        <x:v>2401.2900224616214</x:v>
      </x:c>
      <x:c r="O23" s="1"/>
      <x:c r="P23" s="1" t="str">
        <x:f>A78</x:f>
        <x:v>2011-05</x:v>
      </x:c>
      <x:c r="Q23" s="82" t="n">
        <x:f>M78</x:f>
        <x:v>1800.50871</x:v>
      </x:c>
      <x:c r="R23" s="82" t="n">
        <x:f>N78</x:f>
        <x:v>1806.4470432612452</x:v>
      </x:c>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f>'Transformaciones'!A17</x:f>
        <x:v>2006-11</x:v>
      </x:c>
      <x:c r="B24" s="98" t="n">
        <x:f>'Transformaciones'!C17</x:f>
        <x:v>-0.030679472287251208</x:v>
      </x:c>
      <x:c r="C24" s="98" t="n">
        <x:f>$B$6</x:f>
        <x:v>-0.0005941980394302418</x:v>
      </x:c>
      <x:c r="D24" s="98" t="n">
        <x:f>$B$7*'Transformaciones'!E17</x:f>
        <x:v>0.00025172459095052435</x:v>
      </x:c>
      <x:c r="E24" s="98" t="n">
        <x:f>$B$11*'Transformaciones'!M17</x:f>
        <x:v>-0.010444981048126443</x:v>
      </x:c>
      <x:c r="F24" s="98" t="n">
        <x:f>$B$12*'Transformaciones'!O17</x:f>
        <x:v>-0.001695132922574082</x:v>
      </x:c>
      <x:c r="G24" s="98" t="n">
        <x:f>$B$8*'Transformaciones'!G16</x:f>
        <x:v>0.0033781158005491358</x:v>
      </x:c>
      <x:c r="H24" s="98" t="n">
        <x:f>$B$9*'Transformaciones'!I16</x:f>
        <x:v>-0.0025538269967669653</x:v>
      </x:c>
      <x:c r="I24" s="98" t="n">
        <x:f>$B$10*'Transformaciones'!K16</x:f>
        <x:v>0.0011717979510522647</x:v>
      </x:c>
      <x:c r="J24" s="98" t="n">
        <x:f>$B$13*'Transformaciones'!P17</x:f>
        <x:v>0</x:v>
      </x:c>
      <x:c r="K24" s="109" t="n">
        <x:f>SUM(C24:J24)</x:f>
        <x:v>-0.010486500664345809</x:v>
      </x:c>
      <x:c r="L24" s="109" t="n">
        <x:f>B24-K24</x:f>
        <x:v>-0.020192971622905398</x:v>
      </x:c>
      <x:c r="M24" s="94" t="n">
        <x:f>'Datos_fuente'!B17</x:f>
        <x:v>2290.438</x:v>
      </x:c>
      <x:c r="N24" s="94" t="n">
        <x:f>EXP('Transformaciones'!B16+K24)</x:f>
        <x:v>2337.1588786771918</x:v>
      </x:c>
      <x:c r="O24" s="1"/>
      <x:c r="P24" s="1" t="str">
        <x:f>A90</x:f>
        <x:v>2012-05</x:v>
      </x:c>
      <x:c r="Q24" s="82" t="n">
        <x:f>M90</x:f>
        <x:v>1793.276774</x:v>
      </x:c>
      <x:c r="R24" s="82" t="n">
        <x:f>N90</x:f>
        <x:v>1839.13095305401</x:v>
      </x:c>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f>'Transformaciones'!A18</x:f>
        <x:v>2006-12</x:v>
      </x:c>
      <x:c r="B25" s="98" t="n">
        <x:f>'Transformaciones'!C18</x:f>
        <x:v>-0.013066140018598738</x:v>
      </x:c>
      <x:c r="C25" s="98" t="n">
        <x:f>$B$6</x:f>
        <x:v>-0.0005941980394302418</x:v>
      </x:c>
      <x:c r="D25" s="98" t="n">
        <x:f>$B$7*'Transformaciones'!E18</x:f>
        <x:v>-0.0029338126905332934</x:v>
      </x:c>
      <x:c r="E25" s="98" t="n">
        <x:f>$B$11*'Transformaciones'!M18</x:f>
        <x:v>-0.009422542852624099</x:v>
      </x:c>
      <x:c r="F25" s="98" t="n">
        <x:f>$B$12*'Transformaciones'!O18</x:f>
        <x:v>0.0005173522839603112</x:v>
      </x:c>
      <x:c r="G25" s="98" t="n">
        <x:f>$B$8*'Transformaciones'!G17</x:f>
        <x:v>0.0027997789612239908</x:v>
      </x:c>
      <x:c r="H25" s="98" t="n">
        <x:f>$B$9*'Transformaciones'!I17</x:f>
        <x:v>-0.0023942128119430516</x:v>
      </x:c>
      <x:c r="I25" s="98" t="n">
        <x:f>$B$10*'Transformaciones'!K17</x:f>
        <x:v>-0.0018966344613868887</x:v>
      </x:c>
      <x:c r="J25" s="98" t="n">
        <x:f>$B$13*'Transformaciones'!P18</x:f>
        <x:v>0</x:v>
      </x:c>
      <x:c r="K25" s="109" t="n">
        <x:f>SUM(C25:J25)</x:f>
        <x:v>-0.013924269610733273</x:v>
      </x:c>
      <x:c r="L25" s="109" t="n">
        <x:f>B25-K25</x:f>
        <x:v>0.000858129592134535</x:v>
      </x:c>
      <x:c r="M25" s="94" t="n">
        <x:f>'Datos_fuente'!B18</x:f>
        <x:v>2260.705484</x:v>
      </x:c>
      <x:c r="N25" s="94" t="n">
        <x:f>EXP('Transformaciones'!B17+K25)</x:f>
        <x:v>2258.766337863418</x:v>
      </x:c>
      <x:c r="O25" s="1"/>
      <x:c r="P25" s="1" t="str">
        <x:f>A102</x:f>
        <x:v>2013-05</x:v>
      </x:c>
      <x:c r="Q25" s="82" t="n">
        <x:f>M102</x:f>
        <x:v>1847.92129</x:v>
      </x:c>
      <x:c r="R25" s="82" t="n">
        <x:f>N102</x:f>
        <x:v>1861.3487273893688</x:v>
      </x:c>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f>'Transformaciones'!A19</x:f>
        <x:v>2007-01</x:v>
      </x:c>
      <x:c r="B26" s="98" t="n">
        <x:f>'Transformaciones'!C19</x:f>
        <x:v>-0.010897919154713165</x:v>
      </x:c>
      <x:c r="C26" s="98" t="n">
        <x:f>$B$6</x:f>
        <x:v>-0.0005941980394302418</x:v>
      </x:c>
      <x:c r="D26" s="98" t="n">
        <x:f>$B$7*'Transformaciones'!E19</x:f>
        <x:v>0.0044416105355892235</x:v>
      </x:c>
      <x:c r="E26" s="98" t="n">
        <x:f>$B$11*'Transformaciones'!M19</x:f>
        <x:v>0.013604901882809824</x:v>
      </x:c>
      <x:c r="F26" s="98" t="n">
        <x:f>$B$12*'Transformaciones'!O19</x:f>
        <x:v>0.000271925552995984</x:v>
      </x:c>
      <x:c r="G26" s="98" t="n">
        <x:f>$B$8*'Transformaciones'!G18</x:f>
        <x:v>0.0019628813818703414</x:v>
      </x:c>
      <x:c r="H26" s="98" t="n">
        <x:f>$B$9*'Transformaciones'!I18</x:f>
        <x:v>-0.0012162601097337683</x:v>
      </x:c>
      <x:c r="I26" s="98" t="n">
        <x:f>$B$10*'Transformaciones'!K18</x:f>
        <x:v>-0.0003839903907267169</x:v>
      </x:c>
      <x:c r="J26" s="98" t="n">
        <x:f>$B$13*'Transformaciones'!P19</x:f>
        <x:v>0</x:v>
      </x:c>
      <x:c r="K26" s="109" t="n">
        <x:f>SUM(C26:J26)</x:f>
        <x:v>0.018086870813374647</x:v>
      </x:c>
      <x:c r="L26" s="109" t="n">
        <x:f>B26-K26</x:f>
        <x:v>-0.02898478996808781</x:v>
      </x:c>
      <x:c r="M26" s="94" t="n">
        <x:f>'Datos_fuente'!B19</x:f>
        <x:v>2236.202258</x:v>
      </x:c>
      <x:c r="N26" s="94" t="n">
        <x:f>EXP('Transformaciones'!B18+K26)</x:f>
        <x:v>2301.96658935446</x:v>
      </x:c>
      <x:c r="O26" s="1"/>
      <x:c r="P26" s="1" t="str">
        <x:f>A114</x:f>
        <x:v>2014-05</x:v>
      </x:c>
      <x:c r="Q26" s="82" t="n">
        <x:f>M114</x:f>
        <x:v>1915.360968</x:v>
      </x:c>
      <x:c r="R26" s="82" t="n">
        <x:f>N114</x:f>
        <x:v>1919.3242420024533</x:v>
      </x:c>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t="str">
        <x:f>'Transformaciones'!A20</x:f>
        <x:v>2007-02</x:v>
      </x:c>
      <x:c r="B27" s="98" t="n">
        <x:f>'Transformaciones'!C20</x:f>
        <x:v>-0.0038678615098186597</x:v>
      </x:c>
      <x:c r="C27" s="98" t="n">
        <x:f>$B$6</x:f>
        <x:v>-0.0005941980394302418</x:v>
      </x:c>
      <x:c r="D27" s="98" t="n">
        <x:f>$B$7*'Transformaciones'!E20</x:f>
        <x:v>-0.0037431427965193393</x:v>
      </x:c>
      <x:c r="E27" s="98" t="n">
        <x:f>$B$11*'Transformaciones'!M20</x:f>
        <x:v>-0.004664209305620273</x:v>
      </x:c>
      <x:c r="F27" s="98" t="n">
        <x:f>$B$12*'Transformaciones'!O20</x:f>
        <x:v>0.0003897410965934329</x:v>
      </x:c>
      <x:c r="G27" s="98" t="n">
        <x:f>$B$8*'Transformaciones'!G19</x:f>
        <x:v>0.0027366059349201903</x:v>
      </x:c>
      <x:c r="H27" s="98" t="n">
        <x:f>$B$9*'Transformaciones'!I19</x:f>
        <x:v>-0.001497181071857113</x:v>
      </x:c>
      <x:c r="I27" s="98" t="n">
        <x:f>$B$10*'Transformaciones'!K19</x:f>
        <x:v>-0.0033904062460983204</x:v>
      </x:c>
      <x:c r="J27" s="98" t="n">
        <x:f>$B$13*'Transformaciones'!P20</x:f>
        <x:v>0</x:v>
      </x:c>
      <x:c r="K27" s="109" t="n">
        <x:f>SUM(C27:J27)</x:f>
        <x:v>-0.010762790428011664</x:v>
      </x:c>
      <x:c r="L27" s="109" t="n">
        <x:f>B27-K27</x:f>
        <x:v>0.006894928918193004</x:v>
      </x:c>
      <x:c r="M27" s="94" t="n">
        <x:f>'Datos_fuente'!B20</x:f>
        <x:v>2227.569643</x:v>
      </x:c>
      <x:c r="N27" s="94" t="n">
        <x:f>EXP('Transformaciones'!B19+K27)</x:f>
        <x:v>2212.263536546895</x:v>
      </x:c>
      <x:c r="O27" s="1"/>
      <x:c r="P27" s="1" t="str">
        <x:f>A126</x:f>
        <x:v>2015-05</x:v>
      </x:c>
      <x:c r="Q27" s="82" t="n">
        <x:f>M126</x:f>
        <x:v>2437.535161</x:v>
      </x:c>
      <x:c r="R27" s="82" t="n">
        <x:f>N126</x:f>
        <x:v>2470.6891995822007</x:v>
      </x:c>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f>'Transformaciones'!A21</x:f>
        <x:v>2007-03</x:v>
      </x:c>
      <x:c r="B28" s="98" t="n">
        <x:f>'Transformaciones'!C21</x:f>
        <x:v>-0.011161657942357017</x:v>
      </x:c>
      <x:c r="C28" s="98" t="n">
        <x:f>$B$6</x:f>
        <x:v>-0.0005941980394302418</x:v>
      </x:c>
      <x:c r="D28" s="98" t="n">
        <x:f>$B$7*'Transformaciones'!E21</x:f>
        <x:v>-0.00026921865299154066</x:v>
      </x:c>
      <x:c r="E28" s="98" t="n">
        <x:f>$B$11*'Transformaciones'!M21</x:f>
        <x:v>-0.006090579287165827</x:v>
      </x:c>
      <x:c r="F28" s="98" t="n">
        <x:f>$B$12*'Transformaciones'!O21</x:f>
        <x:v>0.011773949019476202</x:v>
      </x:c>
      <x:c r="G28" s="98" t="n">
        <x:f>$B$8*'Transformaciones'!G20</x:f>
        <x:v>0.002486389374135006</x:v>
      </x:c>
      <x:c r="H28" s="98" t="n">
        <x:f>$B$9*'Transformaciones'!I20</x:f>
        <x:v>-0.0024007113892983785</x:v>
      </x:c>
      <x:c r="I28" s="98" t="n">
        <x:f>$B$10*'Transformaciones'!K20</x:f>
        <x:v>0.00000361432629884644</x:v>
      </x:c>
      <x:c r="J28" s="98" t="n">
        <x:f>$B$13*'Transformaciones'!P21</x:f>
        <x:v>0</x:v>
      </x:c>
      <x:c r="K28" s="109" t="n">
        <x:f>SUM(C28:J28)</x:f>
        <x:v>0.004909245351024067</x:v>
      </x:c>
      <x:c r="L28" s="109" t="n">
        <x:f>B28-K28</x:f>
        <x:v>-0.016070903293381084</x:v>
      </x:c>
      <x:c r="M28" s="94" t="n">
        <x:f>'Datos_fuente'!B21</x:f>
        <x:v>2202.844516</x:v>
      </x:c>
      <x:c r="N28" s="94" t="n">
        <x:f>EXP('Transformaciones'!B20+K28)</x:f>
        <x:v>2238.5322158768236</x:v>
      </x:c>
      <x:c r="O28" s="1"/>
      <x:c r="P28" s="1" t="str">
        <x:f>A138</x:f>
        <x:v>2016-05</x:v>
      </x:c>
      <x:c r="Q28" s="82" t="n">
        <x:f>M138</x:f>
        <x:v>2993.508387</x:v>
      </x:c>
      <x:c r="R28" s="82" t="n">
        <x:f>N138</x:f>
        <x:v>3028.049392284136</x:v>
      </x:c>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f>'Transformaciones'!A22</x:f>
        <x:v>2007-04</x:v>
      </x:c>
      <x:c r="B29" s="98" t="n">
        <x:f>'Transformaciones'!C22</x:f>
        <x:v>-0.026656244810353336</x:v>
      </x:c>
      <x:c r="C29" s="98" t="n">
        <x:f>$B$6</x:f>
        <x:v>-0.0005941980394302418</x:v>
      </x:c>
      <x:c r="D29" s="98" t="n">
        <x:f>$B$7*'Transformaciones'!E22</x:f>
        <x:v>-0.003413220868827007</x:v>
      </x:c>
      <x:c r="E29" s="98" t="n">
        <x:f>$B$11*'Transformaciones'!M22</x:f>
        <x:v>-0.01825563097603823</x:v>
      </x:c>
      <x:c r="F29" s="98" t="n">
        <x:f>$B$12*'Transformaciones'!O22</x:f>
        <x:v>-0.0061015500638922715</x:v>
      </x:c>
      <x:c r="G29" s="98" t="n">
        <x:f>$B$8*'Transformaciones'!G21</x:f>
        <x:v>0.0010220811865897196</x:v>
      </x:c>
      <x:c r="H29" s="98" t="n">
        <x:f>$B$9*'Transformaciones'!I21</x:f>
        <x:v>-0.0026877889103693936</x:v>
      </x:c>
      <x:c r="I29" s="98" t="n">
        <x:f>$B$10*'Transformaciones'!K21</x:f>
        <x:v>0.0007902472510654638</x:v>
      </x:c>
      <x:c r="J29" s="98" t="n">
        <x:f>$B$13*'Transformaciones'!P22</x:f>
        <x:v>0</x:v>
      </x:c>
      <x:c r="K29" s="109" t="n">
        <x:f>SUM(C29:J29)</x:f>
        <x:v>-0.02924006042090196</x:v>
      </x:c>
      <x:c r="L29" s="109" t="n">
        <x:f>B29-K29</x:f>
        <x:v>0.0025838156105486253</x:v>
      </x:c>
      <x:c r="M29" s="94" t="n">
        <x:f>'Datos_fuente'!B22</x:f>
        <x:v>2144.900667</x:v>
      </x:c>
      <x:c r="N29" s="94" t="n">
        <x:f>EXP('Transformaciones'!B21+K29)</x:f>
        <x:v>2139.365792799992</x:v>
      </x:c>
      <x:c r="O29" s="1"/>
      <x:c r="P29" s="1" t="str">
        <x:f>A150</x:f>
        <x:v>2017-05</x:v>
      </x:c>
      <x:c r="Q29" s="82" t="n">
        <x:f>M150</x:f>
        <x:v>2923.612903</x:v>
      </x:c>
      <x:c r="R29" s="82" t="n">
        <x:f>N150</x:f>
        <x:v>2848.145660622754</x:v>
      </x:c>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f>'Transformaciones'!A23</x:f>
        <x:v>2007-05</x:v>
      </x:c>
      <x:c r="B30" s="98" t="n">
        <x:f>'Transformaciones'!C23</x:f>
        <x:v>-0.06524936641756351</x:v>
      </x:c>
      <x:c r="C30" s="98" t="n">
        <x:f>$B$6</x:f>
        <x:v>-0.0005941980394302418</x:v>
      </x:c>
      <x:c r="D30" s="98" t="n">
        <x:f>$B$7*'Transformaciones'!E23</x:f>
        <x:v>-0.0028903563315180254</x:v>
      </x:c>
      <x:c r="E30" s="98" t="n">
        <x:f>$B$11*'Transformaciones'!M23</x:f>
        <x:v>-0.012182064184209257</x:v>
      </x:c>
      <x:c r="F30" s="98" t="n">
        <x:f>$B$12*'Transformaciones'!O23</x:f>
        <x:v>0.001066842571070683</x:v>
      </x:c>
      <x:c r="G30" s="98" t="n">
        <x:f>$B$8*'Transformaciones'!G22</x:f>
        <x:v>0.00240381841968166</x:v>
      </x:c>
      <x:c r="H30" s="98" t="n">
        <x:f>$B$9*'Transformaciones'!I22</x:f>
        <x:v>-0.0020941381361613805</x:v>
      </x:c>
      <x:c r="I30" s="98" t="n">
        <x:f>$B$10*'Transformaciones'!K22</x:f>
        <x:v>-0.0011743111180398179</x:v>
      </x:c>
      <x:c r="J30" s="98" t="n">
        <x:f>$B$13*'Transformaciones'!P23</x:f>
        <x:v>0</x:v>
      </x:c>
      <x:c r="K30" s="109" t="n">
        <x:f>SUM(C30:J30)</x:f>
        <x:v>-0.01546440681860638</x:v>
      </x:c>
      <x:c r="L30" s="109" t="n">
        <x:f>B30-K30</x:f>
        <x:v>-0.04978495959895714</x:v>
      </x:c>
      <x:c r="M30" s="94" t="n">
        <x:f>'Datos_fuente'!B23</x:f>
        <x:v>2009.415484</x:v>
      </x:c>
      <x:c r="N30" s="94" t="n">
        <x:f>EXP('Transformaciones'!B22+K30)</x:f>
        <x:v>2111.986207743402</x:v>
      </x:c>
      <x:c r="O30" s="1"/>
      <x:c r="P30" s="1" t="str">
        <x:f>A162</x:f>
        <x:v>2018-05</x:v>
      </x:c>
      <x:c r="Q30" s="82" t="n">
        <x:f>M162</x:f>
        <x:v>2861.825806</x:v>
      </x:c>
      <x:c r="R30" s="82" t="n">
        <x:f>N162</x:f>
        <x:v>2858.265802065992</x:v>
      </x:c>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f>'Transformaciones'!A24</x:f>
        <x:v>2007-06</x:v>
      </x:c>
      <x:c r="B31" s="98" t="n">
        <x:f>'Transformaciones'!C24</x:f>
        <x:v>-0.043679583515122467</x:v>
      </x:c>
      <x:c r="C31" s="98" t="n">
        <x:f>$B$6</x:f>
        <x:v>-0.0005941980394302418</x:v>
      </x:c>
      <x:c r="D31" s="98" t="n">
        <x:f>$B$7*'Transformaciones'!E24</x:f>
        <x:v>-0.00027370794283195356</x:v>
      </x:c>
      <x:c r="E31" s="98" t="n">
        <x:f>$B$11*'Transformaciones'!M24</x:f>
        <x:v>-0.0037414436494907135</x:v>
      </x:c>
      <x:c r="F31" s="98" t="n">
        <x:f>$B$12*'Transformaciones'!O24</x:f>
        <x:v>0.004486603347154334</x:v>
      </x:c>
      <x:c r="G31" s="98" t="n">
        <x:f>$B$8*'Transformaciones'!G23</x:f>
        <x:v>-0.0018875514491243342</x:v>
      </x:c>
      <x:c r="H31" s="98" t="n">
        <x:f>$B$9*'Transformaciones'!I23</x:f>
        <x:v>-0.0031922837459587073</x:v>
      </x:c>
      <x:c r="I31" s="98" t="n">
        <x:f>$B$10*'Transformaciones'!K23</x:f>
        <x:v>-0.0028060460456275148</x:v>
      </x:c>
      <x:c r="J31" s="98" t="n">
        <x:f>$B$13*'Transformaciones'!P24</x:f>
        <x:v>0</x:v>
      </x:c>
      <x:c r="K31" s="109" t="n">
        <x:f>SUM(C31:J31)</x:f>
        <x:v>-0.008008627525309132</x:v>
      </x:c>
      <x:c r="L31" s="109" t="n">
        <x:f>B31-K31</x:f>
        <x:v>-0.03567095598981333</x:v>
      </x:c>
      <x:c r="M31" s="94" t="n">
        <x:f>'Datos_fuente'!B24</x:f>
        <x:v>1923.534333</x:v>
      </x:c>
      <x:c r="N31" s="94" t="n">
        <x:f>EXP('Transformaciones'!B23+K31)</x:f>
        <x:v>1993.3870922239823</x:v>
      </x:c>
      <x:c r="O31" s="1"/>
      <x:c r="P31" s="1" t="str">
        <x:f>A174</x:f>
        <x:v>2019-05</x:v>
      </x:c>
      <x:c r="Q31" s="82" t="n">
        <x:f>M174</x:f>
        <x:v>3304.494516</x:v>
      </x:c>
      <x:c r="R31" s="82" t="n">
        <x:f>N174</x:f>
        <x:v>3232.6682902247</x:v>
      </x:c>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f>'Transformaciones'!A25</x:f>
        <x:v>2007-07</x:v>
      </x:c>
      <x:c r="B32" s="98" t="n">
        <x:f>'Transformaciones'!C25</x:f>
        <x:v>0.01461004290450063</x:v>
      </x:c>
      <x:c r="C32" s="98" t="n">
        <x:f>$B$6</x:f>
        <x:v>-0.0005941980394302418</x:v>
      </x:c>
      <x:c r="D32" s="98" t="n">
        <x:f>$B$7*'Transformaciones'!E25</x:f>
        <x:v>-0.0011656440617532353</x:v>
      </x:c>
      <x:c r="E32" s="98" t="n">
        <x:f>$B$11*'Transformaciones'!M25</x:f>
        <x:v>-0.01683184141111526</x:v>
      </x:c>
      <x:c r="F32" s="98" t="n">
        <x:f>$B$12*'Transformaciones'!O25</x:f>
        <x:v>0.005547385652405838</x:v>
      </x:c>
      <x:c r="G32" s="98" t="n">
        <x:f>$B$8*'Transformaciones'!G24</x:f>
        <x:v>-0.0005190677934768207</x:v>
      </x:c>
      <x:c r="H32" s="98" t="n">
        <x:f>$B$9*'Transformaciones'!I24</x:f>
        <x:v>-0.002745364024493314</x:v>
      </x:c>
      <x:c r="I32" s="98" t="n">
        <x:f>$B$10*'Transformaciones'!K24</x:f>
        <x:v>0.0010738310255434156</x:v>
      </x:c>
      <x:c r="J32" s="98" t="n">
        <x:f>$B$13*'Transformaciones'!P25</x:f>
        <x:v>0</x:v>
      </x:c>
      <x:c r="K32" s="109" t="n">
        <x:f>SUM(C32:J32)</x:f>
        <x:v>-0.015234898652319619</x:v>
      </x:c>
      <x:c r="L32" s="109" t="n">
        <x:f>B32-K32</x:f>
        <x:v>0.02984494155682025</x:v>
      </x:c>
      <x:c r="M32" s="94" t="n">
        <x:f>'Datos_fuente'!B25</x:f>
        <x:v>1951.843548</x:v>
      </x:c>
      <x:c r="N32" s="94" t="n">
        <x:f>EXP('Transformaciones'!B24+K32)</x:f>
        <x:v>1894.4515812818602</x:v>
      </x:c>
      <x:c r="O32" s="1"/>
      <x:c r="P32" s="1" t="str">
        <x:f>A186</x:f>
        <x:v>2020-05</x:v>
      </x:c>
      <x:c r="Q32" s="82" t="n">
        <x:f>M186</x:f>
        <x:v>3858.191613</x:v>
      </x:c>
      <x:c r="R32" s="82" t="n">
        <x:f>N186</x:f>
        <x:v>3907.4882359802405</x:v>
      </x:c>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f>'Transformaciones'!A26</x:f>
        <x:v>2007-08</x:v>
      </x:c>
      <x:c r="B33" s="98" t="n">
        <x:f>'Transformaciones'!C26</x:f>
        <x:v>0.05203021676663333</x:v>
      </x:c>
      <x:c r="C33" s="98" t="n">
        <x:f>$B$6</x:f>
        <x:v>-0.0005941980394302418</x:v>
      </x:c>
      <x:c r="D33" s="98" t="n">
        <x:f>$B$7*'Transformaciones'!E26</x:f>
        <x:v>0.0029802463754629986</x:v>
      </x:c>
      <x:c r="E33" s="98" t="n">
        <x:f>$B$11*'Transformaciones'!M26</x:f>
        <x:v>0.007558806183886348</x:v>
      </x:c>
      <x:c r="F33" s="98" t="n">
        <x:f>$B$12*'Transformaciones'!O26</x:f>
        <x:v>0.014222348449969753</x:v>
      </x:c>
      <x:c r="G33" s="98" t="n">
        <x:f>$B$8*'Transformaciones'!G25</x:f>
        <x:v>0.003817673458393821</x:v>
      </x:c>
      <x:c r="H33" s="98" t="n">
        <x:f>$B$9*'Transformaciones'!I25</x:f>
        <x:v>-0.0015450653312627197</x:v>
      </x:c>
      <x:c r="I33" s="98" t="n">
        <x:f>$B$10*'Transformaciones'!K25</x:f>
        <x:v>0.0011294805786760055</x:v>
      </x:c>
      <x:c r="J33" s="98" t="n">
        <x:f>$B$13*'Transformaciones'!P26</x:f>
        <x:v>0</x:v>
      </x:c>
      <x:c r="K33" s="109" t="n">
        <x:f>SUM(C33:J33)</x:f>
        <x:v>0.027569291675695964</x:v>
      </x:c>
      <x:c r="L33" s="109" t="n">
        <x:f>B33-K33</x:f>
        <x:v>0.024460925090937367</x:v>
      </x:c>
      <x:c r="M33" s="94" t="n">
        <x:f>'Datos_fuente'!B26</x:f>
        <x:v>2056.086774</x:v>
      </x:c>
      <x:c r="N33" s="94" t="n">
        <x:f>EXP('Transformaciones'!B25+K33)</x:f>
        <x:v>2006.4031207726732</x:v>
      </x:c>
      <x:c r="O33" s="1"/>
      <x:c r="P33" s="1" t="str">
        <x:f>A198</x:f>
        <x:v>2021-05</x:v>
      </x:c>
      <x:c r="Q33" s="82" t="n">
        <x:f>M198</x:f>
        <x:v>3735.666129</x:v>
      </x:c>
      <x:c r="R33" s="82" t="n">
        <x:f>N198</x:f>
        <x:v>3647.44312883716</x:v>
      </x:c>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f>'Transformaciones'!A27</x:f>
        <x:v>2007-09</x:v>
      </x:c>
      <x:c r="B34" s="98" t="n">
        <x:f>'Transformaciones'!C27</x:f>
        <x:v>0.027479120264764845</x:v>
      </x:c>
      <x:c r="C34" s="98" t="n">
        <x:f>$B$6</x:f>
        <x:v>-0.0005941980394302418</x:v>
      </x:c>
      <x:c r="D34" s="98" t="n">
        <x:f>$B$7*'Transformaciones'!E27</x:f>
        <x:v>-0.0040762273551989536</x:v>
      </x:c>
      <x:c r="E34" s="98" t="n">
        <x:f>$B$11*'Transformaciones'!M27</x:f>
        <x:v>-0.018123021489415265</x:v>
      </x:c>
      <x:c r="F34" s="98" t="n">
        <x:f>$B$12*'Transformaciones'!O27</x:f>
        <x:v>-0.004598424238469936</x:v>
      </x:c>
      <x:c r="G34" s="98" t="n">
        <x:f>$B$8*'Transformaciones'!G26</x:f>
        <x:v>0.005335626727926944</x:v>
      </x:c>
      <x:c r="H34" s="98" t="n">
        <x:f>$B$9*'Transformaciones'!I26</x:f>
        <x:v>-0.004689464827711905</x:v>
      </x:c>
      <x:c r="I34" s="98" t="n">
        <x:f>$B$10*'Transformaciones'!K26</x:f>
        <x:v>-0.0005774345840525689</x:v>
      </x:c>
      <x:c r="J34" s="98" t="n">
        <x:f>$B$13*'Transformaciones'!P27</x:f>
        <x:v>0</x:v>
      </x:c>
      <x:c r="K34" s="109" t="n">
        <x:f>SUM(C34:J34)</x:f>
        <x:v>-0.027323143806351927</x:v>
      </x:c>
      <x:c r="L34" s="109" t="n">
        <x:f>B34-K34</x:f>
        <x:v>0.05480226407111677</x:v>
      </x:c>
      <x:c r="M34" s="94" t="n">
        <x:f>'Datos_fuente'!B27</x:f>
        <x:v>2113.369667</x:v>
      </x:c>
      <x:c r="N34" s="94" t="n">
        <x:f>EXP('Transformaciones'!B26+K34)</x:f>
        <x:v>2000.668566898374</x:v>
      </x:c>
      <x:c r="O34" s="1"/>
      <x:c r="P34" s="1" t="str">
        <x:f>A210</x:f>
        <x:v>2022-05</x:v>
      </x:c>
      <x:c r="Q34" s="82" t="n">
        <x:f>M210</x:f>
        <x:v>4019.079355</x:v>
      </x:c>
      <x:c r="R34" s="82" t="n">
        <x:f>N210</x:f>
        <x:v>3910.9988036094855</x:v>
      </x:c>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f>'Transformaciones'!A28</x:f>
        <x:v>2007-10</x:v>
      </x:c>
      <x:c r="B35" s="98" t="n">
        <x:f>'Transformaciones'!C28</x:f>
        <x:v>-0.05459357456620051</x:v>
      </x:c>
      <x:c r="C35" s="98" t="n">
        <x:f>$B$6</x:f>
        <x:v>-0.0005941980394302418</x:v>
      </x:c>
      <x:c r="D35" s="98" t="n">
        <x:f>$B$7*'Transformaciones'!E28</x:f>
        <x:v>-0.0029722645629598862</x:v>
      </x:c>
      <x:c r="E35" s="98" t="n">
        <x:f>$B$11*'Transformaciones'!M28</x:f>
        <x:v>-0.0283940276377349</x:v>
      </x:c>
      <x:c r="F35" s="98" t="n">
        <x:f>$B$12*'Transformaciones'!O28</x:f>
        <x:v>-0.0057363314202554805</x:v>
      </x:c>
      <x:c r="G35" s="98" t="n">
        <x:f>$B$8*'Transformaciones'!G27</x:f>
        <x:v>0.005127579425452589</x:v>
      </x:c>
      <x:c r="H35" s="98" t="n">
        <x:f>$B$9*'Transformaciones'!I27</x:f>
        <x:v>-0.0007916863693935946</x:v>
      </x:c>
      <x:c r="I35" s="98" t="n">
        <x:f>$B$10*'Transformaciones'!K27</x:f>
        <x:v>0.0011653049289515596</x:v>
      </x:c>
      <x:c r="J35" s="98" t="n">
        <x:f>$B$13*'Transformaciones'!P28</x:f>
        <x:v>0</x:v>
      </x:c>
      <x:c r="K35" s="109" t="n">
        <x:f>SUM(C35:J35)</x:f>
        <x:v>-0.03219562367536995</x:v>
      </x:c>
      <x:c r="L35" s="109" t="n">
        <x:f>B35-K35</x:f>
        <x:v>-0.022397950890830562</x:v>
      </x:c>
      <x:c r="M35" s="94" t="n">
        <x:f>'Datos_fuente'!B28</x:f>
        <x:v>2001.086129</x:v>
      </x:c>
      <x:c r="N35" s="94" t="n">
        <x:f>EXP('Transformaciones'!B27+K35)</x:f>
        <x:v>2046.412067046907</x:v>
      </x:c>
      <x:c r="O35" s="1"/>
      <x:c r="P35" s="1" t="str">
        <x:f>A222</x:f>
        <x:v>2023-05</x:v>
      </x:c>
      <x:c r="Q35" s="82" t="n">
        <x:f>M222</x:f>
        <x:v>4540.089032</x:v>
      </x:c>
      <x:c r="R35" s="82" t="n">
        <x:f>N222</x:f>
        <x:v>4552.168500631311</x:v>
      </x:c>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f>'Transformaciones'!A29</x:f>
        <x:v>2007-11</x:v>
      </x:c>
      <x:c r="B36" s="98" t="n">
        <x:f>'Transformaciones'!C29</x:f>
        <x:v>0.022371041458117524</x:v>
      </x:c>
      <x:c r="C36" s="98" t="n">
        <x:f>$B$6</x:f>
        <x:v>-0.0005941980394302418</x:v>
      </x:c>
      <x:c r="D36" s="98" t="n">
        <x:f>$B$7*'Transformaciones'!E29</x:f>
        <x:v>0.0005888060786048671</x:v>
      </x:c>
      <x:c r="E36" s="98" t="n">
        <x:f>$B$11*'Transformaciones'!M29</x:f>
        <x:v>-0.01913768839422367</x:v>
      </x:c>
      <x:c r="F36" s="98" t="n">
        <x:f>$B$12*'Transformaciones'!O29</x:f>
        <x:v>0.0111781158803386</x:v>
      </x:c>
      <x:c r="G36" s="98" t="n">
        <x:f>$B$8*'Transformaciones'!G28</x:f>
        <x:v>0.006322789518727377</x:v>
      </x:c>
      <x:c r="H36" s="98" t="n">
        <x:f>$B$9*'Transformaciones'!I28</x:f>
        <x:v>-0.001781294331135612</x:v>
      </x:c>
      <x:c r="I36" s="98" t="n">
        <x:f>$B$10*'Transformaciones'!K28</x:f>
        <x:v>0.0003366780107058483</x:v>
      </x:c>
      <x:c r="J36" s="98" t="n">
        <x:f>$B$13*'Transformaciones'!P29</x:f>
        <x:v>0</x:v>
      </x:c>
      <x:c r="K36" s="109" t="n">
        <x:f>SUM(C36:J36)</x:f>
        <x:v>-0.003086791276412833</x:v>
      </x:c>
      <x:c r="L36" s="109" t="n">
        <x:f>B36-K36</x:f>
        <x:v>0.025457832734530356</x:v>
      </x:c>
      <x:c r="M36" s="94" t="n">
        <x:f>'Datos_fuente'!B29</x:f>
        <x:v>2046.357</x:v>
      </x:c>
      <x:c r="N36" s="94" t="n">
        <x:f>EXP('Transformaciones'!B28+K36)</x:f>
        <x:v>1994.9187174468098</x:v>
      </x:c>
      <x:c r="O36" s="1"/>
      <x:c r="P36" s="1" t="str">
        <x:f>A234</x:f>
        <x:v>2024-05</x:v>
      </x:c>
      <x:c r="Q36" s="82" t="n">
        <x:f>M234</x:f>
        <x:v>3869.100645</x:v>
      </x:c>
      <x:c r="R36" s="82" t="n">
        <x:f>N234</x:f>
        <x:v>3901.5272096688805</x:v>
      </x:c>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f>'Transformaciones'!A30</x:f>
        <x:v>2007-12</x:v>
      </x:c>
      <x:c r="B37" s="98" t="n">
        <x:f>'Transformaciones'!C30</x:f>
        <x:v>-0.016020515023585702</x:v>
      </x:c>
      <x:c r="C37" s="98" t="n">
        <x:f>$B$6</x:f>
        <x:v>-0.0005941980394302418</x:v>
      </x:c>
      <x:c r="D37" s="98" t="n">
        <x:f>$B$7*'Transformaciones'!E30</x:f>
        <x:v>-0.0009295493595271725</x:v>
      </x:c>
      <x:c r="E37" s="98" t="n">
        <x:f>$B$11*'Transformaciones'!M30</x:f>
        <x:v>0.013553013780460851</x:v>
      </x:c>
      <x:c r="F37" s="98" t="n">
        <x:f>$B$12*'Transformaciones'!O30</x:f>
        <x:v>-0.006400537644286434</x:v>
      </x:c>
      <x:c r="G37" s="98" t="n">
        <x:f>$B$8*'Transformaciones'!G29</x:f>
        <x:v>0.007895952527043462</x:v>
      </x:c>
      <x:c r="H37" s="98" t="n">
        <x:f>$B$9*'Transformaciones'!I29</x:f>
        <x:v>-0.003084278150727936</x:v>
      </x:c>
      <x:c r="I37" s="98" t="n">
        <x:f>$B$10*'Transformaciones'!K29</x:f>
        <x:v>0.00037131007890286267</x:v>
      </x:c>
      <x:c r="J37" s="98" t="n">
        <x:f>$B$13*'Transformaciones'!P30</x:f>
        <x:v>0</x:v>
      </x:c>
      <x:c r="K37" s="109" t="n">
        <x:f>SUM(C37:J37)</x:f>
        <x:v>0.010811713192435391</x:v>
      </x:c>
      <x:c r="L37" s="109" t="n">
        <x:f>B37-K37</x:f>
        <x:v>-0.026832228216021093</x:v>
      </x:c>
      <x:c r="M37" s="94" t="n">
        <x:f>'Datos_fuente'!B30</x:f>
        <x:v>2013.834516</x:v>
      </x:c>
      <x:c r="N37" s="94" t="n">
        <x:f>EXP('Transformaciones'!B29+K37)</x:f>
        <x:v>2068.601659726922</x:v>
      </x:c>
      <x:c r="O37" s="1"/>
      <x:c r="P37" s="1" t="str">
        <x:f>A246</x:f>
        <x:v>2025-05</x:v>
      </x:c>
      <x:c r="Q37" s="82" t="n">
        <x:f>M246</x:f>
        <x:v>4203.377097</x:v>
      </x:c>
      <x:c r="R37" s="82" t="n">
        <x:f>N246</x:f>
        <x:v>4149.356215432614</x:v>
      </x:c>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f>'Transformaciones'!A31</x:f>
        <x:v>2008-01</x:v>
      </x:c>
      <x:c r="B38" s="98" t="n">
        <x:f>'Transformaciones'!C31</x:f>
        <x:v>-0.01533689232879265</x:v>
      </x:c>
      <x:c r="C38" s="98" t="n">
        <x:f>$B$6</x:f>
        <x:v>-0.0005941980394302418</x:v>
      </x:c>
      <x:c r="D38" s="98" t="n">
        <x:f>$B$7*'Transformaciones'!E31</x:f>
        <x:v>0.0011908271298662297</x:v>
      </x:c>
      <x:c r="E38" s="98" t="n">
        <x:f>$B$11*'Transformaciones'!M31</x:f>
        <x:v>-0.008637125493231564</x:v>
      </x:c>
      <x:c r="F38" s="98" t="n">
        <x:f>$B$12*'Transformaciones'!O31</x:f>
        <x:v>0.006749540193117802</x:v>
      </x:c>
      <x:c r="G38" s="98" t="n">
        <x:f>$B$8*'Transformaciones'!G30</x:f>
        <x:v>0.0032595363391687416</x:v>
      </x:c>
      <x:c r="H38" s="98" t="n">
        <x:f>$B$9*'Transformaciones'!I30</x:f>
        <x:v>-0.004535703154685486</x:v>
      </x:c>
      <x:c r="I38" s="98" t="n">
        <x:f>$B$10*'Transformaciones'!K30</x:f>
        <x:v>-0.00039079126918838293</x:v>
      </x:c>
      <x:c r="J38" s="98" t="n">
        <x:f>$B$13*'Transformaciones'!P31</x:f>
        <x:v>0</x:v>
      </x:c>
      <x:c r="K38" s="109" t="n">
        <x:f>SUM(C38:J38)</x:f>
        <x:v>-0.002957914294382901</x:v>
      </x:c>
      <x:c r="L38" s="109" t="n">
        <x:f>B38-K38</x:f>
        <x:v>-0.01237897803440975</x:v>
      </x:c>
      <x:c r="M38" s="94" t="n">
        <x:f>'Datos_fuente'!B31</x:f>
        <x:v>1983.184194</x:v>
      </x:c>
      <x:c r="N38" s="94" t="n">
        <x:f>EXP('Transformaciones'!B30+K38)</x:f>
        <x:v>2007.8865671966723</x:v>
      </x:c>
      <x:c r="O38" s="1"/>
      <x:c r="P38" s="1" t="str">
        <x:f>A257</x:f>
        <x:v>2026-04</x:v>
      </x:c>
      <x:c r="Q38" s="82" t="n">
        <x:f>M257</x:f>
        <x:v>3617.518667</x:v>
      </x:c>
      <x:c r="R38" s="82" t="n">
        <x:f>N257</x:f>
        <x:v>3639.017217731426</x:v>
      </x:c>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f>'Transformaciones'!A32</x:f>
        <x:v>2008-02</x:v>
      </x:c>
      <x:c r="B39" s="98" t="n">
        <x:f>'Transformaciones'!C32</x:f>
        <x:v>-0.0400673319501923</x:v>
      </x:c>
      <x:c r="C39" s="98" t="n">
        <x:f>$B$6</x:f>
        <x:v>-0.0005941980394302418</x:v>
      </x:c>
      <x:c r="D39" s="98" t="n">
        <x:f>$B$7*'Transformaciones'!E32</x:f>
        <x:v>-0.003344534026010867</x:v>
      </x:c>
      <x:c r="E39" s="98" t="n">
        <x:f>$B$11*'Transformaciones'!M32</x:f>
        <x:v>-0.010791359637683996</x:v>
      </x:c>
      <x:c r="F39" s="98" t="n">
        <x:f>$B$12*'Transformaciones'!O32</x:f>
        <x:v>-0.0005389791251250981</x:v>
      </x:c>
      <x:c r="G39" s="98" t="n">
        <x:f>$B$8*'Transformaciones'!G31</x:f>
        <x:v>0.004675710978817401</x:v>
      </x:c>
      <x:c r="H39" s="98" t="n">
        <x:f>$B$9*'Transformaciones'!I31</x:f>
        <x:v>-0.0029688238852260086</x:v>
      </x:c>
      <x:c r="I39" s="98" t="n">
        <x:f>$B$10*'Transformaciones'!K31</x:f>
        <x:v>-0.001185734788178568</x:v>
      </x:c>
      <x:c r="J39" s="98" t="n">
        <x:f>$B$13*'Transformaciones'!P32</x:f>
        <x:v>0</x:v>
      </x:c>
      <x:c r="K39" s="109" t="n">
        <x:f>SUM(C39:J39)</x:f>
        <x:v>-0.01474791852283738</x:v>
      </x:c>
      <x:c r="L39" s="109" t="n">
        <x:f>B39-K39</x:f>
        <x:v>-0.025319413427354918</x:v>
      </x:c>
      <x:c r="M39" s="94" t="n">
        <x:f>'Datos_fuente'!B32</x:f>
        <x:v>1905.294138</x:v>
      </x:c>
      <x:c r="N39" s="94" t="n">
        <x:f>EXP('Transformaciones'!B31+K39)</x:f>
        <x:v>1954.150971121761</x:v>
      </x:c>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f>'Transformaciones'!A33</x:f>
        <x:v>2008-03</x:v>
      </x:c>
      <x:c r="B40" s="98" t="n">
        <x:f>'Transformaciones'!C33</x:f>
        <x:v>-0.032974135656160364</x:v>
      </x:c>
      <x:c r="C40" s="98" t="n">
        <x:f>$B$6</x:f>
        <x:v>-0.0005941980394302418</x:v>
      </x:c>
      <x:c r="D40" s="98" t="n">
        <x:f>$B$7*'Transformaciones'!E33</x:f>
        <x:v>-0.0038276972633118963</x:v>
      </x:c>
      <x:c r="E40" s="98" t="n">
        <x:f>$B$11*'Transformaciones'!M33</x:f>
        <x:v>-0.026201054230913755</x:v>
      </x:c>
      <x:c r="F40" s="98" t="n">
        <x:f>$B$12*'Transformaciones'!O33</x:f>
        <x:v>0.0024056416702332504</x:v>
      </x:c>
      <x:c r="G40" s="98" t="n">
        <x:f>$B$8*'Transformaciones'!G32</x:f>
        <x:v>0.0035274376826502783</x:v>
      </x:c>
      <x:c r="H40" s="98" t="n">
        <x:f>$B$9*'Transformaciones'!I32</x:f>
        <x:v>-0.009926791585916557</x:v>
      </x:c>
      <x:c r="I40" s="98" t="n">
        <x:f>$B$10*'Transformaciones'!K32</x:f>
        <x:v>0.0006488825002825673</x:v>
      </x:c>
      <x:c r="J40" s="98" t="n">
        <x:f>$B$13*'Transformaciones'!P33</x:f>
        <x:v>0</x:v>
      </x:c>
      <x:c r="K40" s="109" t="n">
        <x:f>SUM(C40:J40)</x:f>
        <x:v>-0.03396777926640635</x:v>
      </x:c>
      <x:c r="L40" s="109" t="n">
        <x:f>B40-K40</x:f>
        <x:v>0.000993643610245988</x:v>
      </x:c>
      <x:c r="M40" s="94" t="n">
        <x:f>'Datos_fuente'!B33</x:f>
        <x:v>1843.493226</x:v>
      </x:c>
      <x:c r="N40" s="94" t="n">
        <x:f>EXP('Transformaciones'!B32+K40)</x:f>
        <x:v>1841.662360499994</x:v>
      </x:c>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f>'Transformaciones'!A34</x:f>
        <x:v>2008-04</x:v>
      </x:c>
      <x:c r="B41" s="98" t="n">
        <x:f>'Transformaciones'!C34</x:f>
        <x:v>-0.02659986224359212</x:v>
      </x:c>
      <x:c r="C41" s="98" t="n">
        <x:f>$B$6</x:f>
        <x:v>-0.0005941980394302418</x:v>
      </x:c>
      <x:c r="D41" s="98" t="n">
        <x:f>$B$7*'Transformaciones'!E34</x:f>
        <x:v>0.0011407940803982257</x:v>
      </x:c>
      <x:c r="E41" s="98" t="n">
        <x:f>$B$11*'Transformaciones'!M34</x:f>
        <x:v>-0.004297962756186062</x:v>
      </x:c>
      <x:c r="F41" s="98" t="n">
        <x:f>$B$12*'Transformaciones'!O34</x:f>
        <x:v>-0.008772921098163855</x:v>
      </x:c>
      <x:c r="G41" s="98" t="n">
        <x:f>$B$8*'Transformaciones'!G33</x:f>
        <x:v>0.003051819796458325</x:v>
      </x:c>
      <x:c r="H41" s="98" t="n">
        <x:f>$B$9*'Transformaciones'!I33</x:f>
        <x:v>-0.0057090142096070965</x:v>
      </x:c>
      <x:c r="I41" s="98" t="n">
        <x:f>$B$10*'Transformaciones'!K33</x:f>
        <x:v>-0.0010854363350570183</x:v>
      </x:c>
      <x:c r="J41" s="98" t="n">
        <x:f>$B$13*'Transformaciones'!P34</x:f>
        <x:v>0</x:v>
      </x:c>
      <x:c r="K41" s="109" t="n">
        <x:f>SUM(C41:J41)</x:f>
        <x:v>-0.016266918561587723</x:v>
      </x:c>
      <x:c r="L41" s="109" t="n">
        <x:f>B41-K41</x:f>
        <x:v>-0.010332943682004398</x:v>
      </x:c>
      <x:c r="M41" s="94" t="n">
        <x:f>'Datos_fuente'!B34</x:f>
        <x:v>1795.103</x:v>
      </x:c>
      <x:c r="N41" s="94" t="n">
        <x:f>EXP('Transformaciones'!B33+K41)</x:f>
        <x:v>1813.7478604570038</x:v>
      </x:c>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f>'Transformaciones'!A35</x:f>
        <x:v>2008-05</x:v>
      </x:c>
      <x:c r="B42" s="98" t="n">
        <x:f>'Transformaciones'!C35</x:f>
        <x:v>-0.011174022850453547</x:v>
      </x:c>
      <x:c r="C42" s="98" t="n">
        <x:f>$B$6</x:f>
        <x:v>-0.0005941980394302418</x:v>
      </x:c>
      <x:c r="D42" s="98" t="n">
        <x:f>$B$7*'Transformaciones'!E35</x:f>
        <x:v>-0.0034968292459239044</x:v>
      </x:c>
      <x:c r="E42" s="98" t="n">
        <x:f>$B$11*'Transformaciones'!M35</x:f>
        <x:v>0.004071862284932637</x:v>
      </x:c>
      <x:c r="F42" s="98" t="n">
        <x:f>$B$12*'Transformaciones'!O35</x:f>
        <x:v>-0.006286638162959902</x:v>
      </x:c>
      <x:c r="G42" s="98" t="n">
        <x:f>$B$8*'Transformaciones'!G34</x:f>
        <x:v>0.005238609381017519</x:v>
      </x:c>
      <x:c r="H42" s="98" t="n">
        <x:f>$B$9*'Transformaciones'!I34</x:f>
        <x:v>-0.003265706273748612</x:v>
      </x:c>
      <x:c r="I42" s="98" t="n">
        <x:f>$B$10*'Transformaciones'!K34</x:f>
        <x:v>-0.0032070028496921765</x:v>
      </x:c>
      <x:c r="J42" s="98" t="n">
        <x:f>$B$13*'Transformaciones'!P35</x:f>
        <x:v>0</x:v>
      </x:c>
      <x:c r="K42" s="109" t="n">
        <x:f>SUM(C42:J42)</x:f>
        <x:v>-0.007539902905804681</x:v>
      </x:c>
      <x:c r="L42" s="109" t="n">
        <x:f>B42-K42</x:f>
        <x:v>-0.003634119944648866</x:v>
      </x:c>
      <x:c r="M42" s="94" t="n">
        <x:f>'Datos_fuente'!B35</x:f>
        <x:v>1775.156129</x:v>
      </x:c>
      <x:c r="N42" s="94" t="n">
        <x:f>EXP('Transformaciones'!B34+K42)</x:f>
        <x:v>1781.6189955966352</x:v>
      </x:c>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f>'Transformaciones'!A36</x:f>
        <x:v>2008-06</x:v>
      </x:c>
      <x:c r="B43" s="98" t="n">
        <x:f>'Transformaciones'!C36</x:f>
        <x:v>-0.024446263298544046</x:v>
      </x:c>
      <x:c r="C43" s="98" t="n">
        <x:f>$B$6</x:f>
        <x:v>-0.0005941980394302418</x:v>
      </x:c>
      <x:c r="D43" s="98" t="n">
        <x:f>$B$7*'Transformaciones'!E36</x:f>
        <x:v>-0.0014047322316617901</x:v>
      </x:c>
      <x:c r="E43" s="98" t="n">
        <x:f>$B$11*'Transformaciones'!M36</x:f>
        <x:v>0.0036405089376103966</x:v>
      </x:c>
      <x:c r="F43" s="98" t="n">
        <x:f>$B$12*'Transformaciones'!O36</x:f>
        <x:v>0.007248923120395485</x:v>
      </x:c>
      <x:c r="G43" s="98" t="n">
        <x:f>$B$8*'Transformaciones'!G35</x:f>
        <x:v>0.00383526111736414</x:v>
      </x:c>
      <x:c r="H43" s="98" t="n">
        <x:f>$B$9*'Transformaciones'!I35</x:f>
        <x:v>-0.0029688238852260086</x:v>
      </x:c>
      <x:c r="I43" s="98" t="n">
        <x:f>$B$10*'Transformaciones'!K35</x:f>
        <x:v>0.0023175564135983558</x:v>
      </x:c>
      <x:c r="J43" s="98" t="n">
        <x:f>$B$13*'Transformaciones'!P36</x:f>
        <x:v>0</x:v>
      </x:c>
      <x:c r="K43" s="109" t="n">
        <x:f>SUM(C43:J43)</x:f>
        <x:v>0.012074495432650337</x:v>
      </x:c>
      <x:c r="L43" s="109" t="n">
        <x:f>B43-K43</x:f>
        <x:v>-0.03652075873119438</x:v>
      </x:c>
      <x:c r="M43" s="94" t="n">
        <x:f>'Datos_fuente'!B36</x:f>
        <x:v>1732.286333</x:v>
      </x:c>
      <x:c r="N43" s="94" t="n">
        <x:f>EXP('Transformaciones'!B35+K43)</x:f>
        <x:v>1796.720169032633</x:v>
      </x:c>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f>'Transformaciones'!A37</x:f>
        <x:v>2008-07</x:v>
      </x:c>
      <x:c r="B44" s="98" t="n">
        <x:f>'Transformaciones'!C37</x:f>
        <x:v>0.027758245328208808</x:v>
      </x:c>
      <x:c r="C44" s="98" t="n">
        <x:f>$B$6</x:f>
        <x:v>-0.0005941980394302418</x:v>
      </x:c>
      <x:c r="D44" s="98" t="n">
        <x:f>$B$7*'Transformaciones'!E37</x:f>
        <x:v>0.0013796975336137166</x:v>
      </x:c>
      <x:c r="E44" s="98" t="n">
        <x:f>$B$11*'Transformaciones'!M37</x:f>
        <x:v>-0.009094237798123489</x:v>
      </x:c>
      <x:c r="F44" s="98" t="n">
        <x:f>$B$12*'Transformaciones'!O37</x:f>
        <x:v>0.0036566120188872655</x:v>
      </x:c>
      <x:c r="G44" s="98" t="n">
        <x:f>$B$8*'Transformaciones'!G36</x:f>
        <x:v>0.0016076862622039568</x:v>
      </x:c>
      <x:c r="H44" s="98" t="n">
        <x:f>$B$9*'Transformaciones'!I36</x:f>
        <x:v>0.00019792159234839645</x:v>
      </x:c>
      <x:c r="I44" s="98" t="n">
        <x:f>$B$10*'Transformaciones'!K36</x:f>
        <x:v>-0.0033185972963339456</x:v>
      </x:c>
      <x:c r="J44" s="98" t="n">
        <x:f>$B$13*'Transformaciones'!P37</x:f>
        <x:v>0</x:v>
      </x:c>
      <x:c r="K44" s="109" t="n">
        <x:f>SUM(C44:J44)</x:f>
        <x:v>-0.006165115726834342</x:v>
      </x:c>
      <x:c r="L44" s="109" t="n">
        <x:f>B44-K44</x:f>
        <x:v>0.03392336105504315</x:v>
      </x:c>
      <x:c r="M44" s="94" t="n">
        <x:f>'Datos_fuente'!B37</x:f>
        <x:v>1781.045161</x:v>
      </x:c>
      <x:c r="N44" s="94" t="n">
        <x:f>EXP('Transformaciones'!B36+K44)</x:f>
        <x:v>1721.6394406695297</x:v>
      </x:c>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t="str">
        <x:f>'Transformaciones'!A38</x:f>
        <x:v>2008-08</x:v>
      </x:c>
      <x:c r="B45" s="98" t="n">
        <x:f>'Transformaciones'!C38</x:f>
        <x:v>0.03662079021394682</x:v>
      </x:c>
      <x:c r="C45" s="98" t="n">
        <x:f>$B$6</x:f>
        <x:v>-0.0005941980394302418</x:v>
      </x:c>
      <x:c r="D45" s="98" t="n">
        <x:f>$B$7*'Transformaciones'!E38</x:f>
        <x:v>0.008097497325092752</x:v>
      </x:c>
      <x:c r="E45" s="98" t="n">
        <x:f>$B$11*'Transformaciones'!M38</x:f>
        <x:v>0.03620962143944838</x:v>
      </x:c>
      <x:c r="F45" s="98" t="n">
        <x:f>$B$12*'Transformaciones'!O38</x:f>
        <x:v>-0.006193197044053156</x:v>
      </x:c>
      <x:c r="G45" s="98" t="n">
        <x:f>$B$8*'Transformaciones'!G37</x:f>
        <x:v>0.00554819833085819</x:v>
      </x:c>
      <x:c r="H45" s="98" t="n">
        <x:f>$B$9*'Transformaciones'!I37</x:f>
        <x:v>-0.00022026758336970962</x:v>
      </x:c>
      <x:c r="I45" s="98" t="n">
        <x:f>$B$10*'Transformaciones'!K37</x:f>
        <x:v>-0.0006166559305721647</x:v>
      </x:c>
      <x:c r="J45" s="98" t="n">
        <x:f>$B$13*'Transformaciones'!P38</x:f>
        <x:v>0</x:v>
      </x:c>
      <x:c r="K45" s="109" t="n">
        <x:f>SUM(C45:J45)</x:f>
        <x:v>0.04223099849797406</x:v>
      </x:c>
      <x:c r="L45" s="109" t="n">
        <x:f>B45-K45</x:f>
        <x:v>-0.005610208284027238</x:v>
      </x:c>
      <x:c r="M45" s="94" t="n">
        <x:f>'Datos_fuente'!B38</x:f>
        <x:v>1847.477419</x:v>
      </x:c>
      <x:c r="N45" s="94" t="n">
        <x:f>EXP('Transformaciones'!B37+K45)</x:f>
        <x:v>1857.8712807234672</x:v>
      </x:c>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t="str">
        <x:f>'Transformaciones'!A39</x:f>
        <x:v>2008-09</x:v>
      </x:c>
      <x:c r="B46" s="98" t="n">
        <x:f>'Transformaciones'!C39</x:f>
        <x:v>0.11188372836738125</x:v>
      </x:c>
      <x:c r="C46" s="98" t="n">
        <x:f>$B$6</x:f>
        <x:v>-0.0005941980394302418</x:v>
      </x:c>
      <x:c r="D46" s="98" t="n">
        <x:f>$B$7*'Transformaciones'!E39</x:f>
        <x:v>0.0020011795912859304</x:v>
      </x:c>
      <x:c r="E46" s="98" t="n">
        <x:f>$B$11*'Transformaciones'!M39</x:f>
        <x:v>0.03282162554773148</x:v>
      </x:c>
      <x:c r="F46" s="98" t="n">
        <x:f>$B$12*'Transformaciones'!O39</x:f>
        <x:v>0.014545988320760456</x:v>
      </x:c>
      <x:c r="G46" s="98" t="n">
        <x:f>$B$8*'Transformaciones'!G38</x:f>
        <x:v>-0.002451245977858871</x:v>
      </x:c>
      <x:c r="H46" s="98" t="n">
        <x:f>$B$9*'Transformaciones'!I38</x:f>
        <x:v>-0.002253752320985299</x:v>
      </x:c>
      <x:c r="I46" s="98" t="n">
        <x:f>$B$10*'Transformaciones'!K38</x:f>
        <x:v>0.0022999829725939003</x:v>
      </x:c>
      <x:c r="J46" s="98" t="n">
        <x:f>$B$13*'Transformaciones'!P39</x:f>
        <x:v>0</x:v>
      </x:c>
      <x:c r="K46" s="109" t="n">
        <x:f>SUM(C46:J46)</x:f>
        <x:v>0.046369580094097355</x:v>
      </x:c>
      <x:c r="L46" s="109" t="n">
        <x:f>B46-K46</x:f>
        <x:v>0.06551414827328389</x:v>
      </x:c>
      <x:c r="M46" s="94" t="n">
        <x:f>'Datos_fuente'!B39</x:f>
        <x:v>2066.187</x:v>
      </x:c>
      <x:c r="N46" s="94" t="n">
        <x:f>EXP('Transformaciones'!B38+K46)</x:f>
        <x:v>1935.1613952411826</x:v>
      </x:c>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t="str">
        <x:f>'Transformaciones'!A40</x:f>
        <x:v>2008-10</x:v>
      </x:c>
      <x:c r="B47" s="98" t="n">
        <x:f>'Transformaciones'!C40</x:f>
        <x:v>0.10234815195094793</x:v>
      </x:c>
      <x:c r="C47" s="98" t="n">
        <x:f>$B$6</x:f>
        <x:v>-0.0005941980394302418</x:v>
      </x:c>
      <x:c r="D47" s="98" t="n">
        <x:f>$B$7*'Transformaciones'!E40</x:f>
        <x:v>0.008959175907433926</x:v>
      </x:c>
      <x:c r="E47" s="98" t="n">
        <x:f>$B$11*'Transformaciones'!M40</x:f>
        <x:v>0.09127070804339728</x:v>
      </x:c>
      <x:c r="F47" s="98" t="n">
        <x:f>$B$12*'Transformaciones'!O40</x:f>
        <x:v>0.027031098170804936</x:v>
      </x:c>
      <x:c r="G47" s="98" t="n">
        <x:f>$B$8*'Transformaciones'!G39</x:f>
        <x:v>0.00430107008259595</x:v>
      </x:c>
      <x:c r="H47" s="98" t="n">
        <x:f>$B$9*'Transformaciones'!I39</x:f>
        <x:v>-0.0018802551273098015</x:v>
      </x:c>
      <x:c r="I47" s="98" t="n">
        <x:f>$B$10*'Transformaciones'!K39</x:f>
        <x:v>-0.0004458142472182</x:v>
      </x:c>
      <x:c r="J47" s="98" t="n">
        <x:f>$B$13*'Transformaciones'!P40</x:f>
        <x:v>0</x:v>
      </x:c>
      <x:c r="K47" s="109" t="n">
        <x:f>SUM(C47:J47)</x:f>
        <x:v>0.12864178479027383</x:v>
      </x:c>
      <x:c r="L47" s="109" t="n">
        <x:f>B47-K47</x:f>
        <x:v>-0.026293632839325898</x:v>
      </x:c>
      <x:c r="M47" s="94" t="n">
        <x:f>'Datos_fuente'!B40</x:f>
        <x:v>2288.858065</x:v>
      </x:c>
      <x:c r="N47" s="94" t="n">
        <x:f>EXP('Transformaciones'!B39+K47)</x:f>
        <x:v>2349.838645854811</x:v>
      </x:c>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t="str">
        <x:f>'Transformaciones'!A41</x:f>
        <x:v>2008-11</x:v>
      </x:c>
      <x:c r="B48" s="98" t="n">
        <x:f>'Transformaciones'!C41</x:f>
        <x:v>0.019384961661350175</x:v>
      </x:c>
      <x:c r="C48" s="98" t="n">
        <x:f>$B$6</x:f>
        <x:v>-0.0005941980394302418</x:v>
      </x:c>
      <x:c r="D48" s="98" t="n">
        <x:f>$B$7*'Transformaciones'!E41</x:f>
        <x:v>0.011584969393933883</x:v>
      </x:c>
      <x:c r="E48" s="98" t="n">
        <x:f>$B$11*'Transformaciones'!M41</x:f>
        <x:v>0.03496497501330337</x:v>
      </x:c>
      <x:c r="F48" s="98" t="n">
        <x:f>$B$12*'Transformaciones'!O41</x:f>
        <x:v>0.0009240423028836175</x:v>
      </x:c>
      <x:c r="G48" s="98" t="n">
        <x:f>$B$8*'Transformaciones'!G40</x:f>
        <x:v>-0.0003713372213431614</x:v>
      </x:c>
      <x:c r="H48" s="98" t="n">
        <x:f>$B$9*'Transformaciones'!I40</x:f>
        <x:v>-0.008312706878632828</x:v>
      </x:c>
      <x:c r="I48" s="98" t="n">
        <x:f>$B$10*'Transformaciones'!K40</x:f>
        <x:v>-0.00031005173541606094</x:v>
      </x:c>
      <x:c r="J48" s="98" t="n">
        <x:f>$B$13*'Transformaciones'!P41</x:f>
        <x:v>0</x:v>
      </x:c>
      <x:c r="K48" s="109" t="n">
        <x:f>SUM(C48:J48)</x:f>
        <x:v>0.037885692835298586</x:v>
      </x:c>
      <x:c r="L48" s="109" t="n">
        <x:f>B48-K48</x:f>
        <x:v>-0.01850073117394841</x:v>
      </x:c>
      <x:c r="M48" s="94" t="n">
        <x:f>'Datos_fuente'!B41</x:f>
        <x:v>2333.660333</x:v>
      </x:c>
      <x:c r="N48" s="94" t="n">
        <x:f>EXP('Transformaciones'!B40+K48)</x:f>
        <x:v>2377.23660903351</x:v>
      </x:c>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t="str">
        <x:f>'Transformaciones'!A42</x:f>
        <x:v>2008-12</x:v>
      </x:c>
      <x:c r="B49" s="98" t="n">
        <x:f>'Transformaciones'!C42</x:f>
        <x:v>-0.03583674759006694</x:v>
      </x:c>
      <x:c r="C49" s="98" t="n">
        <x:f>$B$6</x:f>
        <x:v>-0.0005941980394302418</x:v>
      </x:c>
      <x:c r="D49" s="98" t="n">
        <x:f>$B$7*'Transformaciones'!E42</x:f>
        <x:v>-0.007655366783857021</x:v>
      </x:c>
      <x:c r="E49" s="98" t="n">
        <x:f>$B$11*'Transformaciones'!M42</x:f>
        <x:v>-0.014046921334628907</x:v>
      </x:c>
      <x:c r="F49" s="98" t="n">
        <x:f>$B$12*'Transformaciones'!O42</x:f>
        <x:v>-0.006861317780150308</x:v>
      </x:c>
      <x:c r="G49" s="98" t="n">
        <x:f>$B$8*'Transformaciones'!G41</x:f>
        <x:v>-0.007912069623517915</x:v>
      </x:c>
      <x:c r="H49" s="98" t="n">
        <x:f>$B$9*'Transformaciones'!I41</x:f>
        <x:v>-0.00573972617810362</x:v>
      </x:c>
      <x:c r="I49" s="98" t="n">
        <x:f>$B$10*'Transformaciones'!K41</x:f>
        <x:v>0.003069389150577854</x:v>
      </x:c>
      <x:c r="J49" s="98" t="n">
        <x:f>$B$13*'Transformaciones'!P42</x:f>
        <x:v>0</x:v>
      </x:c>
      <x:c r="K49" s="109" t="n">
        <x:f>SUM(C49:J49)</x:f>
        <x:v>-0.03974021058911016</x:v>
      </x:c>
      <x:c r="L49" s="109" t="n">
        <x:f>B49-K49</x:f>
        <x:v>0.0039034629990432196</x:v>
      </x:c>
      <x:c r="M49" s="94" t="n">
        <x:f>'Datos_fuente'!B42</x:f>
        <x:v>2251.510323</x:v>
      </x:c>
      <x:c r="N49" s="94" t="n">
        <x:f>EXP('Transformaciones'!B41+K49)</x:f>
        <x:v>2242.738766622785</x:v>
      </x:c>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t="str">
        <x:f>'Transformaciones'!A43</x:f>
        <x:v>2009-01</x:v>
      </x:c>
      <x:c r="B50" s="98" t="n">
        <x:f>'Transformaciones'!C43</x:f>
        <x:v>0.0008860372217656121</x:v>
      </x:c>
      <x:c r="C50" s="98" t="n">
        <x:f>$B$6</x:f>
        <x:v>-0.0005941980394302418</x:v>
      </x:c>
      <x:c r="D50" s="98" t="n">
        <x:f>$B$7*'Transformaciones'!E43</x:f>
        <x:v>0.010789344025659795</x:v>
      </x:c>
      <x:c r="E50" s="98" t="n">
        <x:f>$B$11*'Transformaciones'!M43</x:f>
        <x:v>0.008792100114177989</x:v>
      </x:c>
      <x:c r="F50" s="98" t="n">
        <x:f>$B$12*'Transformaciones'!O43</x:f>
        <x:v>-0.006115007388116725</x:v>
      </x:c>
      <x:c r="G50" s="98" t="n">
        <x:f>$B$8*'Transformaciones'!G42</x:f>
        <x:v>0.00027695116221245576</x:v>
      </x:c>
      <x:c r="H50" s="98" t="n">
        <x:f>$B$9*'Transformaciones'!I42</x:f>
        <x:v>-0.0006799564340792248</x:v>
      </x:c>
      <x:c r="I50" s="98" t="n">
        <x:f>$B$10*'Transformaciones'!K42</x:f>
        <x:v>-0.00004707804840031836</x:v>
      </x:c>
      <x:c r="J50" s="98" t="n">
        <x:f>$B$13*'Transformaciones'!P43</x:f>
        <x:v>0</x:v>
      </x:c>
      <x:c r="K50" s="109" t="n">
        <x:f>SUM(C50:J50)</x:f>
        <x:v>0.01242215539202373</x:v>
      </x:c>
      <x:c r="L50" s="109" t="n">
        <x:f>B50-K50</x:f>
        <x:v>-0.011536118170258118</x:v>
      </x:c>
      <x:c r="M50" s="94" t="n">
        <x:f>'Datos_fuente'!B43</x:f>
        <x:v>2253.506129</x:v>
      </x:c>
      <x:c r="N50" s="94" t="n">
        <x:f>EXP('Transformaciones'!B42+K50)</x:f>
        <x:v>2279.653370860835</x:v>
      </x:c>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t="str">
        <x:f>'Transformaciones'!A44</x:f>
        <x:v>2009-02</x:v>
      </x:c>
      <x:c r="B51" s="98" t="n">
        <x:f>'Transformaciones'!C44</x:f>
        <x:v>0.1087290128291114</x:v>
      </x:c>
      <x:c r="C51" s="98" t="n">
        <x:f>$B$6</x:f>
        <x:v>-0.0005941980394302418</x:v>
      </x:c>
      <x:c r="D51" s="98" t="n">
        <x:f>$B$7*'Transformaciones'!E44</x:f>
        <x:v>-0.0005946004328661025</x:v>
      </x:c>
      <x:c r="E51" s="98" t="n">
        <x:f>$B$11*'Transformaciones'!M44</x:f>
        <x:v>0.03287084665649428</x:v>
      </x:c>
      <x:c r="F51" s="98" t="n">
        <x:f>$B$12*'Transformaciones'!O44</x:f>
        <x:v>0.0007544761295774723</x:v>
      </x:c>
      <x:c r="G51" s="98" t="n">
        <x:f>$B$8*'Transformaciones'!G43</x:f>
        <x:v>-0.0035817856716325192</x:v>
      </x:c>
      <x:c r="H51" s="98" t="n">
        <x:f>$B$9*'Transformaciones'!I43</x:f>
        <x:v>0.0032529371346084316</x:v>
      </x:c>
      <x:c r="I51" s="98" t="n">
        <x:f>$B$10*'Transformaciones'!K43</x:f>
        <x:v>-0.002749777487113812</x:v>
      </x:c>
      <x:c r="J51" s="98" t="n">
        <x:f>$B$13*'Transformaciones'!P44</x:f>
        <x:v>0</x:v>
      </x:c>
      <x:c r="K51" s="109" t="n">
        <x:f>SUM(C51:J51)</x:f>
        <x:v>0.029357898289637505</x:v>
      </x:c>
      <x:c r="L51" s="109" t="n">
        <x:f>B51-K51</x:f>
        <x:v>0.0793711145394739</x:v>
      </x:c>
      <x:c r="M51" s="94" t="n">
        <x:f>'Datos_fuente'!B44</x:f>
        <x:v>2512.344286</x:v>
      </x:c>
      <x:c r="N51" s="94" t="n">
        <x:f>EXP('Transformaciones'!B43+K51)</x:f>
        <x:v>2320.6450392741003</x:v>
      </x:c>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t="str">
        <x:f>'Transformaciones'!A45</x:f>
        <x:v>2009-03</x:v>
      </x:c>
      <x:c r="B52" s="98" t="n">
        <x:f>'Transformaciones'!C45</x:f>
        <x:v>-0.01714599449406151</x:v>
      </x:c>
      <x:c r="C52" s="98" t="n">
        <x:f>$B$6</x:f>
        <x:v>-0.0005941980394302418</x:v>
      </x:c>
      <x:c r="D52" s="98" t="n">
        <x:f>$B$7*'Transformaciones'!E45</x:f>
        <x:v>-0.011888939880755844</x:v>
      </x:c>
      <x:c r="E52" s="98" t="n">
        <x:f>$B$11*'Transformaciones'!M45</x:f>
        <x:v>0.005755359287706283</x:v>
      </x:c>
      <x:c r="F52" s="98" t="n">
        <x:f>$B$12*'Transformaciones'!O45</x:f>
        <x:v>-0.000658054774908579</x:v>
      </x:c>
      <x:c r="G52" s="98" t="n">
        <x:f>$B$8*'Transformaciones'!G44</x:f>
        <x:v>0.0009876125393198489</x:v>
      </x:c>
      <x:c r="H52" s="98" t="n">
        <x:f>$B$9*'Transformaciones'!I44</x:f>
        <x:v>0.005464049673061762</x:v>
      </x:c>
      <x:c r="I52" s="98" t="n">
        <x:f>$B$10*'Transformaciones'!K44</x:f>
        <x:v>-0.0006629204060435912</x:v>
      </x:c>
      <x:c r="J52" s="98" t="n">
        <x:f>$B$13*'Transformaciones'!P45</x:f>
        <x:v>0</x:v>
      </x:c>
      <x:c r="K52" s="109" t="n">
        <x:f>SUM(C52:J52)</x:f>
        <x:v>-0.0015970916010503615</x:v>
      </x:c>
      <x:c r="L52" s="109" t="n">
        <x:f>B52-K52</x:f>
        <x:v>-0.015548902893011151</x:v>
      </x:c>
      <x:c r="M52" s="94" t="n">
        <x:f>'Datos_fuente'!B45</x:f>
        <x:v>2469.634839</x:v>
      </x:c>
      <x:c r="N52" s="94" t="n">
        <x:f>EXP('Transformaciones'!B44+K52)</x:f>
        <x:v>2508.3350444570765</x:v>
      </x:c>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t="str">
        <x:f>'Transformaciones'!A46</x:f>
        <x:v>2009-04</x:v>
      </x:c>
      <x:c r="B53" s="98" t="n">
        <x:f>'Transformaciones'!C46</x:f>
        <x:v>-0.03923807025050596</x:v>
      </x:c>
      <x:c r="C53" s="98" t="n">
        <x:f>$B$6</x:f>
        <x:v>-0.0005941980394302418</x:v>
      </x:c>
      <x:c r="D53" s="98" t="n">
        <x:f>$B$7*'Transformaciones'!E46</x:f>
        <x:v>0.0013248094758845565</x:v>
      </x:c>
      <x:c r="E53" s="98" t="n">
        <x:f>$B$11*'Transformaciones'!M46</x:f>
        <x:v>-0.03400998947317275</x:v>
      </x:c>
      <x:c r="F53" s="98" t="n">
        <x:f>$B$12*'Transformaciones'!O46</x:f>
        <x:v>-0.006246731013182764</x:v>
      </x:c>
      <x:c r="G53" s="98" t="n">
        <x:f>$B$8*'Transformaciones'!G45</x:f>
        <x:v>-0.00020774840145218077</x:v>
      </x:c>
      <x:c r="H53" s="98" t="n">
        <x:f>$B$9*'Transformaciones'!I45</x:f>
        <x:v>0.011911550768710023</x:v>
      </x:c>
      <x:c r="I53" s="98" t="n">
        <x:f>$B$10*'Transformaciones'!K45</x:f>
        <x:v>0.0006610574301386126</x:v>
      </x:c>
      <x:c r="J53" s="98" t="n">
        <x:f>$B$13*'Transformaciones'!P46</x:f>
        <x:v>0</x:v>
      </x:c>
      <x:c r="K53" s="109" t="n">
        <x:f>SUM(C53:J53)</x:f>
        <x:v>-0.02716124925250474</x:v>
      </x:c>
      <x:c r="L53" s="109" t="n">
        <x:f>B53-K53</x:f>
        <x:v>-0.012076820998001222</x:v>
      </x:c>
      <x:c r="M53" s="94" t="n">
        <x:f>'Datos_fuente'!B46</x:f>
        <x:v>2374.607667</x:v>
      </x:c>
      <x:c r="N53" s="94" t="n">
        <x:f>EXP('Transformaciones'!B45+K53)</x:f>
        <x:v>2403.4592457457566</x:v>
      </x:c>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t="str">
        <x:f>'Transformaciones'!A47</x:f>
        <x:v>2009-05</x:v>
      </x:c>
      <x:c r="B54" s="98" t="n">
        <x:f>'Transformaciones'!C47</x:f>
        <x:v>-0.06403417575670378</x:v>
      </x:c>
      <x:c r="C54" s="98" t="n">
        <x:f>$B$6</x:f>
        <x:v>-0.0005941980394302418</x:v>
      </x:c>
      <x:c r="D54" s="98" t="n">
        <x:f>$B$7*'Transformaciones'!E47</x:f>
        <x:v>-0.009183209279248662</x:v>
      </x:c>
      <x:c r="E54" s="98" t="n">
        <x:f>$B$11*'Transformaciones'!M47</x:f>
        <x:v>-0.04068820838503323</x:v>
      </x:c>
      <x:c r="F54" s="98" t="n">
        <x:f>$B$12*'Transformaciones'!O47</x:f>
        <x:v>-0.006683007431108989</x:v>
      </x:c>
      <x:c r="G54" s="98" t="n">
        <x:f>$B$8*'Transformaciones'!G46</x:f>
        <x:v>-0.003874137450317196</x:v>
      </x:c>
      <x:c r="H54" s="98" t="n">
        <x:f>$B$9*'Transformaciones'!I46</x:f>
        <x:v>0.007364598601778299</x:v>
      </x:c>
      <x:c r="I54" s="98" t="n">
        <x:f>$B$10*'Transformaciones'!K46</x:f>
        <x:v>-0.0016841015249273819</x:v>
      </x:c>
      <x:c r="J54" s="98" t="n">
        <x:f>$B$13*'Transformaciones'!P47</x:f>
        <x:v>0</x:v>
      </x:c>
      <x:c r="K54" s="109" t="n">
        <x:f>SUM(C54:J54)</x:f>
        <x:v>-0.055342263508287394</x:v>
      </x:c>
      <x:c r="L54" s="109" t="n">
        <x:f>B54-K54</x:f>
        <x:v>-0.008691912248416388</x:v>
      </x:c>
      <x:c r="M54" s="94" t="n">
        <x:f>'Datos_fuente'!B47</x:f>
        <x:v>2227.317742</x:v>
      </x:c>
      <x:c r="N54" s="94" t="n">
        <x:f>EXP('Transformaciones'!B46+K54)</x:f>
        <x:v>2246.761772852616</x:v>
      </x:c>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t="str">
        <x:f>'Transformaciones'!A48</x:f>
        <x:v>2009-06</x:v>
      </x:c>
      <x:c r="B55" s="98" t="n">
        <x:f>'Transformaciones'!C48</x:f>
        <x:v>-0.06389223648377662</x:v>
      </x:c>
      <x:c r="C55" s="98" t="n">
        <x:f>$B$6</x:f>
        <x:v>-0.0005941980394302418</x:v>
      </x:c>
      <x:c r="D55" s="98" t="n">
        <x:f>$B$7*'Transformaciones'!E48</x:f>
        <x:v>-0.0044102820363388934</x:v>
      </x:c>
      <x:c r="E55" s="98" t="n">
        <x:f>$B$11*'Transformaciones'!M48</x:f>
        <x:v>-0.0198740466409185</x:v>
      </x:c>
      <x:c r="F55" s="98" t="n">
        <x:f>$B$12*'Transformaciones'!O48</x:f>
        <x:v>-0.003564488618465106</x:v>
      </x:c>
      <x:c r="G55" s="98" t="n">
        <x:f>$B$8*'Transformaciones'!G47</x:f>
        <x:v>-0.003810916356086837</x:v>
      </x:c>
      <x:c r="H55" s="98" t="n">
        <x:f>$B$9*'Transformaciones'!I47</x:f>
        <x:v>0.009235276877206976</x:v>
      </x:c>
      <x:c r="I55" s="98" t="n">
        <x:f>$B$10*'Transformaciones'!K47</x:f>
        <x:v>0.003994534020616306</x:v>
      </x:c>
      <x:c r="J55" s="98" t="n">
        <x:f>$B$13*'Transformaciones'!P48</x:f>
        <x:v>0</x:v>
      </x:c>
      <x:c r="K55" s="109" t="n">
        <x:f>SUM(C55:J55)</x:f>
        <x:v>-0.0190241207934163</x:v>
      </x:c>
      <x:c r="L55" s="109" t="n">
        <x:f>B55-K55</x:f>
        <x:v>-0.044868115690360325</x:v>
      </x:c>
      <x:c r="M55" s="94" t="n">
        <x:f>'Datos_fuente'!B48</x:f>
        <x:v>2089.460333</x:v>
      </x:c>
      <x:c r="N55" s="94" t="n">
        <x:f>EXP('Transformaciones'!B47+K55)</x:f>
        <x:v>2185.345488704835</x:v>
      </x:c>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t="str">
        <x:f>'Transformaciones'!A49</x:f>
        <x:v>2009-07</x:v>
      </x:c>
      <x:c r="B56" s="98" t="n">
        <x:f>'Transformaciones'!C49</x:f>
        <x:v>-0.01943698367259028</x:v>
      </x:c>
      <x:c r="C56" s="98" t="n">
        <x:f>$B$6</x:f>
        <x:v>-0.0005941980394302418</x:v>
      </x:c>
      <x:c r="D56" s="98" t="n">
        <x:f>$B$7*'Transformaciones'!E49</x:f>
        <x:v>0.006106468336701651</x:v>
      </x:c>
      <x:c r="E56" s="98" t="n">
        <x:f>$B$11*'Transformaciones'!M49</x:f>
        <x:v>-0.0050805149314687</x:v>
      </x:c>
      <x:c r="F56" s="98" t="n">
        <x:f>$B$12*'Transformaciones'!O49</x:f>
        <x:v>-0.004134942413243104</x:v>
      </x:c>
      <x:c r="G56" s="98" t="n">
        <x:f>$B$8*'Transformaciones'!G48</x:f>
        <x:v>-0.0029975524950197853</x:v>
      </x:c>
      <x:c r="H56" s="98" t="n">
        <x:f>$B$9*'Transformaciones'!I48</x:f>
        <x:v>0.012470124413702271</x:v>
      </x:c>
      <x:c r="I56" s="98" t="n">
        <x:f>$B$10*'Transformaciones'!K48</x:f>
        <x:v>0.0036550512219418996</x:v>
      </x:c>
      <x:c r="J56" s="98" t="n">
        <x:f>$B$13*'Transformaciones'!P49</x:f>
        <x:v>0</x:v>
      </x:c>
      <x:c r="K56" s="109" t="n">
        <x:f>SUM(C56:J56)</x:f>
        <x:v>0.009424436093183991</x:v>
      </x:c>
      <x:c r="L56" s="109" t="n">
        <x:f>B56-K56</x:f>
        <x:v>-0.02886141976577427</x:v>
      </x:c>
      <x:c r="M56" s="94" t="n">
        <x:f>'Datos_fuente'!B49</x:f>
        <x:v>2049.239677</x:v>
      </x:c>
      <x:c r="N56" s="94" t="n">
        <x:f>EXP('Transformaciones'!B48+K56)</x:f>
        <x:v>2109.245403501598</x:v>
      </x:c>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t="str">
        <x:f>'Transformaciones'!A50</x:f>
        <x:v>2009-08</x:v>
      </x:c>
      <x:c r="B57" s="98" t="n">
        <x:f>'Transformaciones'!C50</x:f>
        <x:v>-0.015551195189779321</x:v>
      </x:c>
      <x:c r="C57" s="98" t="n">
        <x:f>$B$6</x:f>
        <x:v>-0.0005941980394302418</x:v>
      </x:c>
      <x:c r="D57" s="98" t="n">
        <x:f>$B$7*'Transformaciones'!E50</x:f>
        <x:v>-0.004741207492705891</x:v>
      </x:c>
      <x:c r="E57" s="98" t="n">
        <x:f>$B$11*'Transformaciones'!M50</x:f>
        <x:v>-0.017271692148814344</x:v>
      </x:c>
      <x:c r="F57" s="98" t="n">
        <x:f>$B$12*'Transformaciones'!O50</x:f>
        <x:v>-0.0012300053454207783</x:v>
      </x:c>
      <x:c r="G57" s="98" t="n">
        <x:f>$B$8*'Transformaciones'!G49</x:f>
        <x:v>-0.0093395233970696</x:v>
      </x:c>
      <x:c r="H57" s="98" t="n">
        <x:f>$B$9*'Transformaciones'!I49</x:f>
        <x:v>0.003133758548815035</x:v>
      </x:c>
      <x:c r="I57" s="98" t="n">
        <x:f>$B$10*'Transformaciones'!K49</x:f>
        <x:v>0.0016625565210737292</x:v>
      </x:c>
      <x:c r="J57" s="98" t="n">
        <x:f>$B$13*'Transformaciones'!P50</x:f>
        <x:v>0</x:v>
      </x:c>
      <x:c r="K57" s="109" t="n">
        <x:f>SUM(C57:J57)</x:f>
        <x:v>-0.02838031135355209</x:v>
      </x:c>
      <x:c r="L57" s="109" t="n">
        <x:f>B57-K57</x:f>
        <x:v>0.012829116163772768</x:v>
      </x:c>
      <x:c r="M57" s="94" t="n">
        <x:f>'Datos_fuente'!B50</x:f>
        <x:v>2017.618065</x:v>
      </x:c>
      <x:c r="N57" s="94" t="n">
        <x:f>EXP('Transformaciones'!B49+K57)</x:f>
        <x:v>1991.8991367763501</x:v>
      </x:c>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t="str">
        <x:f>'Transformaciones'!A51</x:f>
        <x:v>2009-09</x:v>
      </x:c>
      <x:c r="B58" s="98" t="n">
        <x:f>'Transformaciones'!C51</x:f>
        <x:v>-0.019814723315751515</x:v>
      </x:c>
      <x:c r="C58" s="98" t="n">
        <x:f>$B$6</x:f>
        <x:v>-0.0005941980394302418</x:v>
      </x:c>
      <x:c r="D58" s="98" t="n">
        <x:f>$B$7*'Transformaciones'!E51</x:f>
        <x:v>-0.0027526799940474195</x:v>
      </x:c>
      <x:c r="E58" s="98" t="n">
        <x:f>$B$11*'Transformaciones'!M51</x:f>
        <x:v>-0.00961523741762721</x:v>
      </x:c>
      <x:c r="F58" s="98" t="n">
        <x:f>$B$12*'Transformaciones'!O51</x:f>
        <x:v>-0.0006265513454422655</x:v>
      </x:c>
      <x:c r="G58" s="98" t="n">
        <x:f>$B$8*'Transformaciones'!G50</x:f>
        <x:v>-0.004141778680119929</x:v>
      </x:c>
      <x:c r="H58" s="98" t="n">
        <x:f>$B$9*'Transformaciones'!I50</x:f>
        <x:v>0</x:v>
      </x:c>
      <x:c r="I58" s="98" t="n">
        <x:f>$B$10*'Transformaciones'!K50</x:f>
        <x:v>-0.0017936017675810117</x:v>
      </x:c>
      <x:c r="J58" s="98" t="n">
        <x:f>$B$13*'Transformaciones'!P51</x:f>
        <x:v>0</x:v>
      </x:c>
      <x:c r="K58" s="109" t="n">
        <x:f>SUM(C58:J58)</x:f>
        <x:v>-0.019524047244248076</x:v>
      </x:c>
      <x:c r="L58" s="109" t="n">
        <x:f>B58-K58</x:f>
        <x:v>-0.0002906760715034387</x:v>
      </x:c>
      <x:c r="M58" s="94" t="n">
        <x:f>'Datos_fuente'!B51</x:f>
        <x:v>1978.033</x:v>
      </x:c>
      <x:c r="N58" s="94" t="n">
        <x:f>EXP('Transformaciones'!B50+K58)</x:f>
        <x:v>1978.6080504343947</x:v>
      </x:c>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t="str">
        <x:f>'Transformaciones'!A52</x:f>
        <x:v>2009-10</x:v>
      </x:c>
      <x:c r="B59" s="98" t="n">
        <x:f>'Transformaciones'!C52</x:f>
        <x:v>-0.039512289762449804</x:v>
      </x:c>
      <x:c r="C59" s="98" t="n">
        <x:f>$B$6</x:f>
        <x:v>-0.0005941980394302418</x:v>
      </x:c>
      <x:c r="D59" s="98" t="n">
        <x:f>$B$7*'Transformaciones'!E52</x:f>
        <x:v>-0.00412825745119882</x:v>
      </x:c>
      <x:c r="E59" s="98" t="n">
        <x:f>$B$11*'Transformaciones'!M52</x:f>
        <x:v>-0.019251237369553604</x:v>
      </x:c>
      <x:c r="F59" s="98" t="n">
        <x:f>$B$12*'Transformaciones'!O52</x:f>
        <x:v>-0.0010521463871172912</x:v>
      </x:c>
      <x:c r="G59" s="98" t="n">
        <x:f>$B$8*'Transformaciones'!G51</x:f>
        <x:v>-0.01057402759717536</x:v>
      </x:c>
      <x:c r="H59" s="98" t="n">
        <x:f>$B$9*'Transformaciones'!I51</x:f>
        <x:v>0.0003958431846968017</x:v>
      </x:c>
      <x:c r="I59" s="98" t="n">
        <x:f>$B$10*'Transformaciones'!K51</x:f>
        <x:v>0.0005852397041720615</x:v>
      </x:c>
      <x:c r="J59" s="98" t="n">
        <x:f>$B$13*'Transformaciones'!P52</x:f>
        <x:v>0</x:v>
      </x:c>
      <x:c r="K59" s="109" t="n">
        <x:f>SUM(C59:J59)</x:f>
        <x:v>-0.034618783955606455</x:v>
      </x:c>
      <x:c r="L59" s="109" t="n">
        <x:f>B59-K59</x:f>
        <x:v>-0.0048935058068433485</x:v>
      </x:c>
      <x:c r="M59" s="94" t="n">
        <x:f>'Datos_fuente'!B52</x:f>
        <x:v>1901.400323</x:v>
      </x:c>
      <x:c r="N59" s="94" t="n">
        <x:f>EXP('Transformaciones'!B51+K59)</x:f>
        <x:v>1910.7276395476156</x:v>
      </x:c>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t="str">
        <x:f>'Transformaciones'!A53</x:f>
        <x:v>2009-11</x:v>
      </x:c>
      <x:c r="B60" s="98" t="n">
        <x:f>'Transformaciones'!C53</x:f>
        <x:v>0.0389288801009533</x:v>
      </x:c>
      <x:c r="C60" s="98" t="n">
        <x:f>$B$6</x:f>
        <x:v>-0.0005941980394302418</x:v>
      </x:c>
      <x:c r="D60" s="98" t="n">
        <x:f>$B$7*'Transformaciones'!E53</x:f>
        <x:v>0.0005654588726924947</x:v>
      </x:c>
      <x:c r="E60" s="98" t="n">
        <x:f>$B$11*'Transformaciones'!M53</x:f>
        <x:v>-0.006373083641792932</x:v>
      </x:c>
      <x:c r="F60" s="98" t="n">
        <x:f>$B$12*'Transformaciones'!O53</x:f>
        <x:v>-0.0007398610038355964</x:v>
      </x:c>
      <x:c r="G60" s="98" t="n">
        <x:f>$B$8*'Transformaciones'!G52</x:f>
        <x:v>-0.005768872374215458</x:v>
      </x:c>
      <x:c r="H60" s="98" t="n">
        <x:f>$B$9*'Transformaciones'!I52</x:f>
        <x:v>0.004156353439316414</x:v>
      </x:c>
      <x:c r="I60" s="98" t="n">
        <x:f>$B$10*'Transformaciones'!K52</x:f>
        <x:v>0.00253482322412702</x:v>
      </x:c>
      <x:c r="J60" s="98" t="n">
        <x:f>$B$13*'Transformaciones'!P53</x:f>
        <x:v>0</x:v>
      </x:c>
      <x:c r="K60" s="109" t="n">
        <x:f>SUM(C60:J60)</x:f>
        <x:v>-0.006219379523138298</x:v>
      </x:c>
      <x:c r="L60" s="109" t="n">
        <x:f>B60-K60</x:f>
        <x:v>0.0451482596240916</x:v>
      </x:c>
      <x:c r="M60" s="94" t="n">
        <x:f>'Datos_fuente'!B53</x:f>
        <x:v>1976.879333</x:v>
      </x:c>
      <x:c r="N60" s="94" t="n">
        <x:f>EXP('Transformaciones'!B52+K60)</x:f>
        <x:v>1889.6114903779337</x:v>
      </x:c>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t="str">
        <x:f>'Transformaciones'!A54</x:f>
        <x:v>2009-12</x:v>
      </x:c>
      <x:c r="B61" s="98" t="n">
        <x:f>'Transformaciones'!C54</x:f>
        <x:v>0.020593649383908286</x:v>
      </x:c>
      <x:c r="C61" s="98" t="n">
        <x:f>$B$6</x:f>
        <x:v>-0.0005941980394302418</x:v>
      </x:c>
      <x:c r="D61" s="98" t="n">
        <x:f>$B$7*'Transformaciones'!E54</x:f>
        <x:v>0.0002872003677821702</x:v>
      </x:c>
      <x:c r="E61" s="98" t="n">
        <x:f>$B$11*'Transformaciones'!M54</x:f>
        <x:v>0.006357294608939383</x:v>
      </x:c>
      <x:c r="F61" s="98" t="n">
        <x:f>$B$12*'Transformaciones'!O54</x:f>
        <x:v>-0.004348490368237549</x:v>
      </x:c>
      <x:c r="G61" s="98" t="n">
        <x:f>$B$8*'Transformaciones'!G53</x:f>
        <x:v>0.001580414873289249</x:v>
      </x:c>
      <x:c r="H61" s="98" t="n">
        <x:f>$B$9*'Transformaciones'!I53</x:f>
        <x:v>0.001154542625331031</x:v>
      </x:c>
      <x:c r="I61" s="98" t="n">
        <x:f>$B$10*'Transformaciones'!K53</x:f>
        <x:v>-0.0012260033021574798</x:v>
      </x:c>
      <x:c r="J61" s="98" t="n">
        <x:f>$B$13*'Transformaciones'!P54</x:f>
        <x:v>0</x:v>
      </x:c>
      <x:c r="K61" s="109" t="n">
        <x:f>SUM(C61:J61)</x:f>
        <x:v>0.003210760765516561</x:v>
      </x:c>
      <x:c r="L61" s="109" t="n">
        <x:f>B61-K61</x:f>
        <x:v>0.017382888618391726</x:v>
      </x:c>
      <x:c r="M61" s="94" t="n">
        <x:f>'Datos_fuente'!B54</x:f>
        <x:v>2018.012581</x:v>
      </x:c>
      <x:c r="N61" s="94" t="n">
        <x:f>EXP('Transformaciones'!B53+K61)</x:f>
        <x:v>1983.2368203243884</x:v>
      </x:c>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t="str">
        <x:f>'Transformaciones'!A55</x:f>
        <x:v>2010-01</x:v>
      </x:c>
      <x:c r="B62" s="98" t="n">
        <x:f>'Transformaciones'!C55</x:f>
        <x:v>-0.017287113581644142</x:v>
      </x:c>
      <x:c r="C62" s="98" t="n">
        <x:f>$B$6</x:f>
        <x:v>-0.0005941980394302418</x:v>
      </x:c>
      <x:c r="D62" s="98" t="n">
        <x:f>$B$7*'Transformaciones'!E55</x:f>
        <x:v>-0.0035699429218130985</x:v>
      </x:c>
      <x:c r="E62" s="98" t="n">
        <x:f>$B$11*'Transformaciones'!M55</x:f>
        <x:v>0.002507558706846675</x:v>
      </x:c>
      <x:c r="F62" s="98" t="n">
        <x:f>$B$12*'Transformaciones'!O55</x:f>
        <x:v>-0.0010925408101591643</x:v>
      </x:c>
      <x:c r="G62" s="98" t="n">
        <x:f>$B$8*'Transformaciones'!G54</x:f>
        <x:v>-0.0016453070176280329</x:v>
      </x:c>
      <x:c r="H62" s="98" t="n">
        <x:f>$B$9*'Transformaciones'!I54</x:f>
        <x:v>0.003793497183378986</x:v>
      </x:c>
      <x:c r="I62" s="98" t="n">
        <x:f>$B$10*'Transformaciones'!K54</x:f>
        <x:v>0.0037884316330197595</x:v>
      </x:c>
      <x:c r="J62" s="98" t="n">
        <x:f>$B$13*'Transformaciones'!P55</x:f>
        <x:v>0</x:v>
      </x:c>
      <x:c r="K62" s="109" t="n">
        <x:f>SUM(C62:J62)</x:f>
        <x:v>0.003187498734214883</x:v>
      </x:c>
      <x:c r="L62" s="109" t="n">
        <x:f>B62-K62</x:f>
        <x:v>-0.020474612315859026</x:v>
      </x:c>
      <x:c r="M62" s="94" t="n">
        <x:f>'Datos_fuente'!B55</x:f>
        <x:v>1983.426774</x:v>
      </x:c>
      <x:c r="N62" s="94" t="n">
        <x:f>EXP('Transformaciones'!B54+K62)</x:f>
        <x:v>2024.4552561020578</x:v>
      </x:c>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t="str">
        <x:f>'Transformaciones'!A56</x:f>
        <x:v>2010-02</x:v>
      </x:c>
      <x:c r="B63" s="98" t="n">
        <x:f>'Transformaciones'!C56</x:f>
        <x:v>-0.016112994547637705</x:v>
      </x:c>
      <x:c r="C63" s="98" t="n">
        <x:f>$B$6</x:f>
        <x:v>-0.0005941980394302418</x:v>
      </x:c>
      <x:c r="D63" s="98" t="n">
        <x:f>$B$7*'Transformaciones'!E56</x:f>
        <x:v>0.0026265879948514067</x:v>
      </x:c>
      <x:c r="E63" s="98" t="n">
        <x:f>$B$11*'Transformaciones'!M56</x:f>
        <x:v>0.019788884670371855</x:v>
      </x:c>
      <x:c r="F63" s="98" t="n">
        <x:f>$B$12*'Transformaciones'!O56</x:f>
        <x:v>0.003372180224172447</x:v>
      </x:c>
      <x:c r="G63" s="98" t="n">
        <x:f>$B$8*'Transformaciones'!G55</x:f>
        <x:v>-0.0036701278688532164</x:v>
      </x:c>
      <x:c r="H63" s="98" t="n">
        <x:f>$B$9*'Transformaciones'!I55</x:f>
        <x:v>-0.00009896079617420262</x:v>
      </x:c>
      <x:c r="I63" s="98" t="n">
        <x:f>$B$10*'Transformaciones'!K55</x:f>
        <x:v>-0.002487716375869607</x:v>
      </x:c>
      <x:c r="J63" s="98" t="n">
        <x:f>$B$13*'Transformaciones'!P56</x:f>
        <x:v>0</x:v>
      </x:c>
      <x:c r="K63" s="109" t="n">
        <x:f>SUM(C63:J63)</x:f>
        <x:v>0.01893664980906844</x:v>
      </x:c>
      <x:c r="L63" s="109" t="n">
        <x:f>B63-K63</x:f>
        <x:v>-0.03504964435670614</x:v>
      </x:c>
      <x:c r="M63" s="94" t="n">
        <x:f>'Datos_fuente'!B56</x:f>
        <x:v>1951.723929</x:v>
      </x:c>
      <x:c r="N63" s="94" t="n">
        <x:f>EXP('Transformaciones'!B55+K63)</x:f>
        <x:v>2021.3441128455781</x:v>
      </x:c>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t="str">
        <x:f>'Transformaciones'!A57</x:f>
        <x:v>2010-03</x:v>
      </x:c>
      <x:c r="B64" s="98" t="n">
        <x:f>'Transformaciones'!C57</x:f>
        <x:v>-0.02213772816348758</x:v>
      </x:c>
      <x:c r="C64" s="98" t="n">
        <x:f>$B$6</x:f>
        <x:v>-0.0005941980394302418</x:v>
      </x:c>
      <x:c r="D64" s="98" t="n">
        <x:f>$B$7*'Transformaciones'!E57</x:f>
        <x:v>-0.0031801221548557043</x:v>
      </x:c>
      <x:c r="E64" s="98" t="n">
        <x:f>$B$11*'Transformaciones'!M57</x:f>
        <x:v>-0.010042279812130067</x:v>
      </x:c>
      <x:c r="F64" s="98" t="n">
        <x:f>$B$12*'Transformaciones'!O57</x:f>
        <x:v>-0.00912699038393815</x:v>
      </x:c>
      <x:c r="G64" s="98" t="n">
        <x:f>$B$8*'Transformaciones'!G56</x:f>
        <x:v>-0.007043102872519839</x:v>
      </x:c>
      <x:c r="H64" s="98" t="n">
        <x:f>$B$9*'Transformaciones'!I56</x:f>
        <x:v>0.00019792159234840084</x:v>
      </x:c>
      <x:c r="I64" s="98" t="n">
        <x:f>$B$10*'Transformaciones'!K56</x:f>
        <x:v>-0.002460509195969407</x:v>
      </x:c>
      <x:c r="J64" s="98" t="n">
        <x:f>$B$13*'Transformaciones'!P57</x:f>
        <x:v>0</x:v>
      </x:c>
      <x:c r="K64" s="109" t="n">
        <x:f>SUM(C64:J64)</x:f>
        <x:v>-0.03224928086649501</x:v>
      </x:c>
      <x:c r="L64" s="109" t="n">
        <x:f>B64-K64</x:f>
        <x:v>0.010111552703007433</x:v>
      </x:c>
      <x:c r="M64" s="94" t="n">
        <x:f>'Datos_fuente'!B57</x:f>
        <x:v>1908.991935</x:v>
      </x:c>
      <x:c r="N64" s="94" t="n">
        <x:f>EXP('Transformaciones'!B56+K64)</x:f>
        <x:v>1889.786325343862</x:v>
      </x:c>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t="str">
        <x:f>'Transformaciones'!A58</x:f>
        <x:v>2010-04</x:v>
      </x:c>
      <x:c r="B65" s="98" t="n">
        <x:f>'Transformaciones'!C58</x:f>
        <x:v>0.014796839308575116</x:v>
      </x:c>
      <x:c r="C65" s="98" t="n">
        <x:f>$B$6</x:f>
        <x:v>-0.0005941980394302418</x:v>
      </x:c>
      <x:c r="D65" s="98" t="n">
        <x:f>$B$7*'Transformaciones'!E58</x:f>
        <x:v>-0.003136899958159411</x:v>
      </x:c>
      <x:c r="E65" s="98" t="n">
        <x:f>$B$11*'Transformaciones'!M58</x:f>
        <x:v>-0.007008597389262777</x:v>
      </x:c>
      <x:c r="F65" s="98" t="n">
        <x:f>$B$12*'Transformaciones'!O58</x:f>
        <x:v>-0.0007480248652217785</x:v>
      </x:c>
      <x:c r="G65" s="98" t="n">
        <x:f>$B$8*'Transformaciones'!G57</x:f>
        <x:v>-0.001751859190258921</x:v>
      </x:c>
      <x:c r="H65" s="98" t="n">
        <x:f>$B$9*'Transformaciones'!I57</x:f>
        <x:v>0.00029688238852260346</x:v>
      </x:c>
      <x:c r="I65" s="98" t="n">
        <x:f>$B$10*'Transformaciones'!K57</x:f>
        <x:v>-0.00016184435874436602</x:v>
      </x:c>
      <x:c r="J65" s="98" t="n">
        <x:f>$B$13*'Transformaciones'!P58</x:f>
        <x:v>0</x:v>
      </x:c>
      <x:c r="K65" s="109" t="n">
        <x:f>SUM(C65:J65)</x:f>
        <x:v>-0.01310454141255489</x:v>
      </x:c>
      <x:c r="L65" s="109" t="n">
        <x:f>B65-K65</x:f>
        <x:v>0.027901380721130006</x:v>
      </x:c>
      <x:c r="M65" s="94" t="n">
        <x:f>'Datos_fuente'!B58</x:f>
        <x:v>1937.449</x:v>
      </x:c>
      <x:c r="N65" s="94" t="n">
        <x:f>EXP('Transformaciones'!B57+K65)</x:f>
        <x:v>1884.1386721058022</x:v>
      </x:c>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t="str">
        <x:f>'Transformaciones'!A59</x:f>
        <x:v>2010-05</x:v>
      </x:c>
      <x:c r="B66" s="98" t="n">
        <x:f>'Transformaciones'!C59</x:f>
        <x:v>0.023537801305710815</x:v>
      </x:c>
      <x:c r="C66" s="98" t="n">
        <x:f>$B$6</x:f>
        <x:v>-0.0005941980394302418</x:v>
      </x:c>
      <x:c r="D66" s="98" t="n">
        <x:f>$B$7*'Transformaciones'!E59</x:f>
        <x:v>0.00574237088482528</x:v>
      </x:c>
      <x:c r="E66" s="98" t="n">
        <x:f>$B$11*'Transformaciones'!M59</x:f>
        <x:v>0.03917613779522505</x:v>
      </x:c>
      <x:c r="F66" s="98" t="n">
        <x:f>$B$12*'Transformaciones'!O59</x:f>
        <x:v>0.023233636995469258</x:v>
      </x:c>
      <x:c r="G66" s="98" t="n">
        <x:f>$B$8*'Transformaciones'!G58</x:f>
        <x:v>-0.0015986668393334332</x:v>
      </x:c>
      <x:c r="H66" s="98" t="n">
        <x:f>$B$9*'Transformaciones'!I58</x:f>
        <x:v>0.0003958431846968017</x:v>
      </x:c>
      <x:c r="I66" s="98" t="n">
        <x:f>$B$10*'Transformaciones'!K58</x:f>
        <x:v>0.0023156211883128635</x:v>
      </x:c>
      <x:c r="J66" s="98" t="n">
        <x:f>$B$13*'Transformaciones'!P59</x:f>
        <x:v>0</x:v>
      </x:c>
      <x:c r="K66" s="109" t="n">
        <x:f>SUM(C66:J66)</x:f>
        <x:v>0.0686707451697656</x:v>
      </x:c>
      <x:c r="L66" s="109" t="n">
        <x:f>B66-K66</x:f>
        <x:v>-0.04513294386405478</x:v>
      </x:c>
      <x:c r="M66" s="94" t="n">
        <x:f>'Datos_fuente'!B59</x:f>
        <x:v>1983.593226</x:v>
      </x:c>
      <x:c r="N66" s="94" t="n">
        <x:f>EXP('Transformaciones'!B58+K66)</x:f>
        <x:v>2075.1696398551644</x:v>
      </x:c>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t="str">
        <x:f>'Transformaciones'!A60</x:f>
        <x:v>2010-06</x:v>
      </x:c>
      <x:c r="B67" s="98" t="n">
        <x:f>'Transformaciones'!C60</x:f>
        <x:v>-0.029025491354669697</x:v>
      </x:c>
      <x:c r="C67" s="98" t="n">
        <x:f>$B$6</x:f>
        <x:v>-0.0005941980394302418</x:v>
      </x:c>
      <x:c r="D67" s="98" t="n">
        <x:f>$B$7*'Transformaciones'!E60</x:f>
        <x:v>-0.003006126854981771</x:v>
      </x:c>
      <x:c r="E67" s="98" t="n">
        <x:f>$B$11*'Transformaciones'!M60</x:f>
        <x:v>0.007051747722733226</x:v>
      </x:c>
      <x:c r="F67" s="98" t="n">
        <x:f>$B$12*'Transformaciones'!O60</x:f>
        <x:v>-0.0024982185811222085</x:v>
      </x:c>
      <x:c r="G67" s="98" t="n">
        <x:f>$B$8*'Transformaciones'!G59</x:f>
        <x:v>-0.0008370571441522444</x:v>
      </x:c>
      <x:c r="H67" s="98" t="n">
        <x:f>$B$9*'Transformaciones'!I59</x:f>
        <x:v>0.004628811429166105</x:v>
      </x:c>
      <x:c r="I67" s="98" t="n">
        <x:f>$B$10*'Transformaciones'!K59</x:f>
        <x:v>-0.00007439383756122959</x:v>
      </x:c>
      <x:c r="J67" s="98" t="n">
        <x:f>$B$13*'Transformaciones'!P60</x:f>
        <x:v>0</x:v>
      </x:c>
      <x:c r="K67" s="109" t="n">
        <x:f>SUM(C67:J67)</x:f>
        <x:v>0.004670564694651635</x:v>
      </x:c>
      <x:c r="L67" s="109" t="n">
        <x:f>B67-K67</x:f>
        <x:v>-0.033696056049321334</x:v>
      </x:c>
      <x:c r="M67" s="94" t="n">
        <x:f>'Datos_fuente'!B60</x:f>
        <x:v>1926.846</x:v>
      </x:c>
      <x:c r="N67" s="94" t="n">
        <x:f>EXP('Transformaciones'!B59+K67)</x:f>
        <x:v>1992.8793954366283</x:v>
      </x:c>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t="str">
        <x:f>'Transformaciones'!A61</x:f>
        <x:v>2010-07</x:v>
      </x:c>
      <x:c r="B68" s="98" t="n">
        <x:f>'Transformaciones'!C61</x:f>
        <x:v>-0.02758983781523039</x:v>
      </x:c>
      <x:c r="C68" s="98" t="n">
        <x:f>$B$6</x:f>
        <x:v>-0.0005941980394302418</x:v>
      </x:c>
      <x:c r="D68" s="98" t="n">
        <x:f>$B$7*'Transformaciones'!E61</x:f>
        <x:v>0.0028838747490221336</x:v>
      </x:c>
      <x:c r="E68" s="98" t="n">
        <x:f>$B$11*'Transformaciones'!M61</x:f>
        <x:v>-0.021488928735887727</x:v>
      </x:c>
      <x:c r="F68" s="98" t="n">
        <x:f>$B$12*'Transformaciones'!O61</x:f>
        <x:v>-0.006029201705475388</x:v>
      </x:c>
      <x:c r="G68" s="98" t="n">
        <x:f>$B$8*'Transformaciones'!G60</x:f>
        <x:v>0.0004270376529935513</x:v>
      </x:c>
      <x:c r="H68" s="98" t="n">
        <x:f>$B$9*'Transformaciones'!I60</x:f>
        <x:v>0.0001213067871955114</x:v>
      </x:c>
      <x:c r="I68" s="98" t="n">
        <x:f>$B$10*'Transformaciones'!K60</x:f>
        <x:v>0.0014195090667555228</x:v>
      </x:c>
      <x:c r="J68" s="98" t="n">
        <x:f>$B$13*'Transformaciones'!P61</x:f>
        <x:v>0</x:v>
      </x:c>
      <x:c r="K68" s="109" t="n">
        <x:f>SUM(C68:J68)</x:f>
        <x:v>-0.023260600224826636</x:v>
      </x:c>
      <x:c r="L68" s="109" t="n">
        <x:f>B68-K68</x:f>
        <x:v>-0.004329237590403753</x:v>
      </x:c>
      <x:c r="M68" s="94" t="n">
        <x:f>'Datos_fuente'!B61</x:f>
        <x:v>1874.41129</x:v>
      </x:c>
      <x:c r="N68" s="94" t="n">
        <x:f>EXP('Transformaciones'!B60+K68)</x:f>
        <x:v>1882.5436525798411</x:v>
      </x:c>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t="str">
        <x:f>'Transformaciones'!A62</x:f>
        <x:v>2010-08</x:v>
      </x:c>
      <x:c r="B69" s="98" t="n">
        <x:f>'Transformaciones'!C62</x:f>
        <x:v>-0.02879865281356775</x:v>
      </x:c>
      <x:c r="C69" s="98" t="n">
        <x:f>$B$6</x:f>
        <x:v>-0.0005941980394302418</x:v>
      </x:c>
      <x:c r="D69" s="98" t="n">
        <x:f>$B$7*'Transformaciones'!E62</x:f>
        <x:v>-0.002131324230089965</x:v>
      </x:c>
      <x:c r="E69" s="98" t="n">
        <x:f>$B$11*'Transformaciones'!M62</x:f>
        <x:v>-0.01046669532998518</x:v>
      </x:c>
      <x:c r="F69" s="98" t="n">
        <x:f>$B$12*'Transformaciones'!O62</x:f>
        <x:v>-0.001249530760640787</x:v>
      </x:c>
      <x:c r="G69" s="98" t="n">
        <x:f>$B$8*'Transformaciones'!G61</x:f>
        <x:v>0.0019252227919633366</x:v>
      </x:c>
      <x:c r="H69" s="98" t="n">
        <x:f>$B$9*'Transformaciones'!I61</x:f>
        <x:v>0</x:v>
      </x:c>
      <x:c r="I69" s="98" t="n">
        <x:f>$B$10*'Transformaciones'!K61</x:f>
        <x:v>-0.0005237669644431437</x:v>
      </x:c>
      <x:c r="J69" s="98" t="n">
        <x:f>$B$13*'Transformaciones'!P62</x:f>
        <x:v>0</x:v>
      </x:c>
      <x:c r="K69" s="109" t="n">
        <x:f>SUM(C69:J69)</x:f>
        <x:v>-0.01304029253262598</x:v>
      </x:c>
      <x:c r="L69" s="109" t="n">
        <x:f>B69-K69</x:f>
        <x:v>-0.01575836028094177</x:v>
      </x:c>
      <x:c r="M69" s="94" t="n">
        <x:f>'Datos_fuente'!B62</x:f>
        <x:v>1821.200645</x:v>
      </x:c>
      <x:c r="N69" s="94" t="n">
        <x:f>EXP('Transformaciones'!B61+K69)</x:f>
        <x:v>1850.1270990535604</x:v>
      </x:c>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t="str">
        <x:f>'Transformaciones'!A63</x:f>
        <x:v>2010-09</x:v>
      </x:c>
      <x:c r="B70" s="98" t="n">
        <x:f>'Transformaciones'!C63</x:f>
        <x:v>-0.008507593053932005</x:v>
      </x:c>
      <x:c r="C70" s="98" t="n">
        <x:f>$B$6</x:f>
        <x:v>-0.0005941980394302418</x:v>
      </x:c>
      <x:c r="D70" s="98" t="n">
        <x:f>$B$7*'Transformaciones'!E63</x:f>
        <x:v>0.00015119157591864663</x:v>
      </x:c>
      <x:c r="E70" s="98" t="n">
        <x:f>$B$11*'Transformaciones'!M63</x:f>
        <x:v>-0.01257405490895746</x:v>
      </x:c>
      <x:c r="F70" s="98" t="n">
        <x:f>$B$12*'Transformaciones'!O63</x:f>
        <x:v>-0.003619779453692458</x:v>
      </x:c>
      <x:c r="G70" s="98" t="n">
        <x:f>$B$8*'Transformaciones'!G62</x:f>
        <x:v>0.0023211952096571474</x:v>
      </x:c>
      <x:c r="H70" s="98" t="n">
        <x:f>$B$9*'Transformaciones'!I62</x:f>
        <x:v>0.00009896079617419823</x:v>
      </x:c>
      <x:c r="I70" s="98" t="n">
        <x:f>$B$10*'Transformaciones'!K62</x:f>
        <x:v>0.0005455498592867886</x:v>
      </x:c>
      <x:c r="J70" s="98" t="n">
        <x:f>$B$13*'Transformaciones'!P63</x:f>
        <x:v>0</x:v>
      </x:c>
      <x:c r="K70" s="109" t="n">
        <x:f>SUM(C70:J70)</x:f>
        <x:v>-0.01367113496104338</x:v>
      </x:c>
      <x:c r="L70" s="109" t="n">
        <x:f>B70-K70</x:f>
        <x:v>0.0051635419071113745</x:v>
      </x:c>
      <x:c r="M70" s="94" t="n">
        <x:f>'Datos_fuente'!B63</x:f>
        <x:v>1805.772333</x:v>
      </x:c>
      <x:c r="N70" s="94" t="n">
        <x:f>EXP('Transformaciones'!B62+K70)</x:f>
        <x:v>1796.4721834034451</x:v>
      </x:c>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t="str">
        <x:f>'Transformaciones'!A64</x:f>
        <x:v>2010-10</x:v>
      </x:c>
      <x:c r="B71" s="98" t="n">
        <x:f>'Transformaciones'!C64</x:f>
        <x:v>0.0015686037595941116</x:v>
      </x:c>
      <x:c r="C71" s="98" t="n">
        <x:f>$B$6</x:f>
        <x:v>-0.0005941980394302418</x:v>
      </x:c>
      <x:c r="D71" s="98" t="n">
        <x:f>$B$7*'Transformaciones'!E64</x:f>
        <x:v>-0.003225742659184234</x:v>
      </x:c>
      <x:c r="E71" s="98" t="n">
        <x:f>$B$11*'Transformaciones'!M64</x:f>
        <x:v>-0.035295465801927786</x:v>
      </x:c>
      <x:c r="F71" s="98" t="n">
        <x:f>$B$12*'Transformaciones'!O64</x:f>
        <x:v>-0.0038387835262614248</x:v>
      </x:c>
      <x:c r="G71" s="98" t="n">
        <x:f>$B$8*'Transformaciones'!G63</x:f>
        <x:v>0.0011641593759144277</x:v>
      </x:c>
      <x:c r="H71" s="98" t="n">
        <x:f>$B$9*'Transformaciones'!I63</x:f>
        <x:v>0</x:v>
      </x:c>
      <x:c r="I71" s="98" t="n">
        <x:f>$B$10*'Transformaciones'!K63</x:f>
        <x:v>-0.0015349436753830897</x:v>
      </x:c>
      <x:c r="J71" s="98" t="n">
        <x:f>$B$13*'Transformaciones'!P64</x:f>
        <x:v>0</x:v>
      </x:c>
      <x:c r="K71" s="109" t="n">
        <x:f>SUM(C71:J71)</x:f>
        <x:v>-0.04332497432627234</x:v>
      </x:c>
      <x:c r="L71" s="109" t="n">
        <x:f>B71-K71</x:f>
        <x:v>0.04489357808586645</x:v>
      </x:c>
      <x:c r="M71" s="94" t="n">
        <x:f>'Datos_fuente'!B64</x:f>
        <x:v>1808.607097</x:v>
      </x:c>
      <x:c r="N71" s="94" t="n">
        <x:f>EXP('Transformaciones'!B63+K71)</x:f>
        <x:v>1729.2078461745664</x:v>
      </x:c>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t="str">
        <x:f>'Transformaciones'!A65</x:f>
        <x:v>2010-11</x:v>
      </x:c>
      <x:c r="B72" s="98" t="n">
        <x:f>'Transformaciones'!C65</x:f>
        <x:v>0.02962788165616903</x:v>
      </x:c>
      <x:c r="C72" s="98" t="n">
        <x:f>$B$6</x:f>
        <x:v>-0.0005941980394302418</x:v>
      </x:c>
      <x:c r="D72" s="98" t="n">
        <x:f>$B$7*'Transformaciones'!E65</x:f>
        <x:v>-0.001670800515949166</x:v>
      </x:c>
      <x:c r="E72" s="98" t="n">
        <x:f>$B$11*'Transformaciones'!M65</x:f>
        <x:v>0.003955090948636125</x:v>
      </x:c>
      <x:c r="F72" s="98" t="n">
        <x:f>$B$12*'Transformaciones'!O65</x:f>
        <x:v>-0.0005263171472657596</x:v>
      </x:c>
      <x:c r="G72" s="98" t="n">
        <x:f>$B$8*'Transformaciones'!G64</x:f>
        <x:v>0.0006154481935279484</x:v>
      </x:c>
      <x:c r="H72" s="98" t="n">
        <x:f>$B$9*'Transformaciones'!I64</x:f>
        <x:v>0</x:v>
      </x:c>
      <x:c r="I72" s="98" t="n">
        <x:f>$B$10*'Transformaciones'!K64</x:f>
        <x:v>-0.001080968681455064</x:v>
      </x:c>
      <x:c r="J72" s="98" t="n">
        <x:f>$B$13*'Transformaciones'!P65</x:f>
        <x:v>0</x:v>
      </x:c>
      <x:c r="K72" s="109" t="n">
        <x:f>SUM(C72:J72)</x:f>
        <x:v>0.0006982547580638419</x:v>
      </x:c>
      <x:c r="L72" s="109" t="n">
        <x:f>B72-K72</x:f>
        <x:v>0.028929626898105187</x:v>
      </x:c>
      <x:c r="M72" s="94" t="n">
        <x:f>'Datos_fuente'!B65</x:f>
        <x:v>1862.994</x:v>
      </x:c>
      <x:c r="N72" s="94" t="n">
        <x:f>EXP('Transformaciones'!B64+K72)</x:f>
        <x:v>1809.8704065155594</x:v>
      </x:c>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t="str">
        <x:f>'Transformaciones'!A66</x:f>
        <x:v>2010-12</x:v>
      </x:c>
      <x:c r="B73" s="98" t="n">
        <x:f>'Transformaciones'!C66</x:f>
        <x:v>0.03135379201791366</x:v>
      </x:c>
      <x:c r="C73" s="98" t="n">
        <x:f>$B$6</x:f>
        <x:v>-0.0005941980394302418</x:v>
      </x:c>
      <x:c r="D73" s="98" t="n">
        <x:f>$B$7*'Transformaciones'!E66</x:f>
        <x:v>-0.0007416630532747641</x:v>
      </x:c>
      <x:c r="E73" s="98" t="n">
        <x:f>$B$11*'Transformaciones'!M66</x:f>
        <x:v>0.009455590260500668</x:v>
      </x:c>
      <x:c r="F73" s="98" t="n">
        <x:f>$B$12*'Transformaciones'!O66</x:f>
        <x:v>-0.005153334222744582</x:v>
      </x:c>
      <x:c r="G73" s="98" t="n">
        <x:f>$B$8*'Transformaciones'!G65</x:f>
        <x:v>0.0013919071529951072</x:v>
      </x:c>
      <x:c r="H73" s="98" t="n">
        <x:f>$B$9*'Transformaciones'!I65</x:f>
        <x:v>0</x:v>
      </x:c>
      <x:c r="I73" s="98" t="n">
        <x:f>$B$10*'Transformaciones'!K65</x:f>
        <x:v>-0.0007458851615745561</x:v>
      </x:c>
      <x:c r="J73" s="98" t="n">
        <x:f>$B$13*'Transformaciones'!P66</x:f>
        <x:v>0</x:v>
      </x:c>
      <x:c r="K73" s="109" t="n">
        <x:f>SUM(C73:J73)</x:f>
        <x:v>0.003612416936471631</x:v>
      </x:c>
      <x:c r="L73" s="109" t="n">
        <x:f>B73-K73</x:f>
        <x:v>0.027741375081442032</x:v>
      </x:c>
      <x:c r="M73" s="94" t="n">
        <x:f>'Datos_fuente'!B66</x:f>
        <x:v>1922.33129</x:v>
      </x:c>
      <x:c r="N73" s="94" t="n">
        <x:f>EXP('Transformaciones'!B65+K73)</x:f>
        <x:v>1869.7360813508117</x:v>
      </x:c>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t="str">
        <x:f>'Transformaciones'!A67</x:f>
        <x:v>2011-01</x:v>
      </x:c>
      <x:c r="B74" s="98" t="n">
        <x:f>'Transformaciones'!C67</x:f>
        <x:v>-0.02916467772071485</x:v>
      </x:c>
      <x:c r="C74" s="98" t="n">
        <x:f>$B$6</x:f>
        <x:v>-0.0005941980394302418</x:v>
      </x:c>
      <x:c r="D74" s="98" t="n">
        <x:f>$B$7*'Transformaciones'!E67</x:f>
        <x:v>-0.00017861187130194703</x:v>
      </x:c>
      <x:c r="E74" s="98" t="n">
        <x:f>$B$11*'Transformaciones'!M67</x:f>
        <x:v>-0.015077264080189053</x:v>
      </x:c>
      <x:c r="F74" s="98" t="n">
        <x:f>$B$12*'Transformaciones'!O67</x:f>
        <x:v>-0.0005587200388918607</x:v>
      </x:c>
      <x:c r="G74" s="98" t="n">
        <x:f>$B$8*'Transformaciones'!G66</x:f>
        <x:v>0.0006310682268477343</x:v>
      </x:c>
      <x:c r="H74" s="98" t="n">
        <x:f>$B$9*'Transformaciones'!I66</x:f>
        <x:v>-0.00009896079617419823</x:v>
      </x:c>
      <x:c r="I74" s="98" t="n">
        <x:f>$B$10*'Transformaciones'!K66</x:f>
        <x:v>0.0034963497088252448</x:v>
      </x:c>
      <x:c r="J74" s="98" t="n">
        <x:f>$B$13*'Transformaciones'!P67</x:f>
        <x:v>0</x:v>
      </x:c>
      <x:c r="K74" s="109" t="n">
        <x:f>SUM(C74:J74)</x:f>
        <x:v>-0.012380336890314324</x:v>
      </x:c>
      <x:c r="L74" s="109" t="n">
        <x:f>B74-K74</x:f>
        <x:v>-0.016784340830400524</x:v>
      </x:c>
      <x:c r="M74" s="94" t="n">
        <x:f>'Datos_fuente'!B67</x:f>
        <x:v>1867.076774</x:v>
      </x:c>
      <x:c r="N74" s="94" t="n">
        <x:f>EXP('Transformaciones'!B66+K74)</x:f>
        <x:v>1898.6788954263916</x:v>
      </x:c>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t="str">
        <x:f>'Transformaciones'!A68</x:f>
        <x:v>2011-02</x:v>
      </x:c>
      <x:c r="B75" s="98" t="n">
        <x:f>'Transformaciones'!C68</x:f>
        <x:v>0.00815839505198035</x:v>
      </x:c>
      <x:c r="C75" s="98" t="n">
        <x:f>$B$6</x:f>
        <x:v>-0.0005941980394302418</x:v>
      </x:c>
      <x:c r="D75" s="98" t="n">
        <x:f>$B$7*'Transformaciones'!E68</x:f>
        <x:v>-0.0030982555963219556</x:v>
      </x:c>
      <x:c r="E75" s="98" t="n">
        <x:f>$B$11*'Transformaciones'!M68</x:f>
        <x:v>-0.01014718142479602</x:v>
      </x:c>
      <x:c r="F75" s="98" t="n">
        <x:f>$B$12*'Transformaciones'!O68</x:f>
        <x:v>0.0002528266997271759</x:v>
      </x:c>
      <x:c r="G75" s="98" t="n">
        <x:f>$B$8*'Transformaciones'!G67</x:f>
        <x:v>0.0017973170536412439</x:v>
      </x:c>
      <x:c r="H75" s="98" t="n">
        <x:f>$B$9*'Transformaciones'!I67</x:f>
        <x:v>-0.00009896079617420262</x:v>
      </x:c>
      <x:c r="I75" s="98" t="n">
        <x:f>$B$10*'Transformaciones'!K67</x:f>
        <x:v>-0.0037614099525190353</x:v>
      </x:c>
      <x:c r="J75" s="98" t="n">
        <x:f>$B$13*'Transformaciones'!P68</x:f>
        <x:v>0</x:v>
      </x:c>
      <x:c r="K75" s="109" t="n">
        <x:f>SUM(C75:J75)</x:f>
        <x:v>-0.015649862055873036</x:v>
      </x:c>
      <x:c r="L75" s="109" t="n">
        <x:f>B75-K75</x:f>
        <x:v>0.023808257107853385</x:v>
      </x:c>
      <x:c r="M75" s="94" t="n">
        <x:f>'Datos_fuente'!B68</x:f>
        <x:v>1882.371429</x:v>
      </x:c>
      <x:c r="N75" s="94" t="n">
        <x:f>EXP('Transformaciones'!B67+K75)</x:f>
        <x:v>1838.08473248515</x:v>
      </x:c>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t="str">
        <x:f>'Transformaciones'!A69</x:f>
        <x:v>2011-03</x:v>
      </x:c>
      <x:c r="B76" s="98" t="n">
        <x:f>'Transformaciones'!C69</x:f>
        <x:v>-0.00029572925696452756</x:v>
      </x:c>
      <x:c r="C76" s="98" t="n">
        <x:f>$B$6</x:f>
        <x:v>-0.0005941980394302418</x:v>
      </x:c>
      <x:c r="D76" s="98" t="n">
        <x:f>$B$7*'Transformaciones'!E69</x:f>
        <x:v>-0.006389180629254071</x:v>
      </x:c>
      <x:c r="E76" s="98" t="n">
        <x:f>$B$11*'Transformaciones'!M69</x:f>
        <x:v>-0.013033415820976573</x:v>
      </x:c>
      <x:c r="F76" s="98" t="n">
        <x:f>$B$12*'Transformaciones'!O69</x:f>
        <x:v>0.006639223906736272</x:v>
      </x:c>
      <x:c r="G76" s="98" t="n">
        <x:f>$B$8*'Transformaciones'!G68</x:f>
        <x:v>0.0032047986180349765</x:v>
      </x:c>
      <x:c r="H76" s="98" t="n">
        <x:f>$B$9*'Transformaciones'!I68</x:f>
        <x:v>-0.000187318645659988</x:v>
      </x:c>
      <x:c r="I76" s="98" t="n">
        <x:f>$B$10*'Transformaciones'!K68</x:f>
        <x:v>0.00026421818611081896</x:v>
      </x:c>
      <x:c r="J76" s="98" t="n">
        <x:f>$B$13*'Transformaciones'!P69</x:f>
        <x:v>0</x:v>
      </x:c>
      <x:c r="K76" s="109" t="n">
        <x:f>SUM(C76:J76)</x:f>
        <x:v>-0.010095872424438806</x:v>
      </x:c>
      <x:c r="L76" s="109" t="n">
        <x:f>B76-K76</x:f>
        <x:v>0.009800143167474278</x:v>
      </x:c>
      <x:c r="M76" s="94" t="n">
        <x:f>'Datos_fuente'!B69</x:f>
        <x:v>1881.814839</x:v>
      </x:c>
      <x:c r="N76" s="94" t="n">
        <x:f>EXP('Transformaciones'!B68+K76)</x:f>
        <x:v>1863.4628570693708</x:v>
      </x:c>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t="str">
        <x:f>'Transformaciones'!A70</x:f>
        <x:v>2011-04</x:v>
      </x:c>
      <x:c r="B77" s="98" t="n">
        <x:f>'Transformaciones'!C70</x:f>
        <x:v>-0.03900152272987878</x:v>
      </x:c>
      <x:c r="C77" s="98" t="n">
        <x:f>$B$6</x:f>
        <x:v>-0.0005941980394302418</x:v>
      </x:c>
      <x:c r="D77" s="98" t="n">
        <x:f>$B$7*'Transformaciones'!E70</x:f>
        <x:v>-0.004247706929514217</x:v>
      </x:c>
      <x:c r="E77" s="98" t="n">
        <x:f>$B$11*'Transformaciones'!M70</x:f>
        <x:v>-0.02275722863048265</x:v>
      </x:c>
      <x:c r="F77" s="98" t="n">
        <x:f>$B$12*'Transformaciones'!O70</x:f>
        <x:v>-0.009342460728354722</x:v>
      </x:c>
      <x:c r="G77" s="98" t="n">
        <x:f>$B$8*'Transformaciones'!G69</x:f>
        <x:v>-0.00013729838661177276</x:v>
      </x:c>
      <x:c r="H77" s="98" t="n">
        <x:f>$B$9*'Transformaciones'!I69</x:f>
        <x:v>-0.003381654581233277</x:v>
      </x:c>
      <x:c r="I77" s="98" t="n">
        <x:f>$B$10*'Transformaciones'!K69</x:f>
        <x:v>-0.0011424169420328407</x:v>
      </x:c>
      <x:c r="J77" s="98" t="n">
        <x:f>$B$13*'Transformaciones'!P70</x:f>
        <x:v>0</x:v>
      </x:c>
      <x:c r="K77" s="109" t="n">
        <x:f>SUM(C77:J77)</x:f>
        <x:v>-0.04160296423765972</x:v>
      </x:c>
      <x:c r="L77" s="109" t="n">
        <x:f>B77-K77</x:f>
        <x:v>0.0026014415077809383</x:v>
      </x:c>
      <x:c r="M77" s="94" t="n">
        <x:f>'Datos_fuente'!B70</x:f>
        <x:v>1809.834</x:v>
      </x:c>
      <x:c r="N77" s="94" t="n">
        <x:f>EXP('Transformaciones'!B69+K77)</x:f>
        <x:v>1805.1319414271431</x:v>
      </x:c>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t="str">
        <x:f>'Transformaciones'!A71</x:f>
        <x:v>2011-05</x:v>
      </x:c>
      <x:c r="B78" s="98" t="n">
        <x:f>'Transformaciones'!C71</x:f>
        <x:v>-0.005165886724466162</x:v>
      </x:c>
      <x:c r="C78" s="98" t="n">
        <x:f>$B$6</x:f>
        <x:v>-0.0005941980394302418</x:v>
      </x:c>
      <x:c r="D78" s="98" t="n">
        <x:f>$B$7*'Transformaciones'!E71</x:f>
        <x:v>0.002361139835544836</x:v>
      </x:c>
      <x:c r="E78" s="98" t="n">
        <x:f>$B$11*'Transformaciones'!M71</x:f>
        <x:v>0.00036710309219484754</x:v>
      </x:c>
      <x:c r="F78" s="98" t="n">
        <x:f>$B$12*'Transformaciones'!O71</x:f>
        <x:v>0.001544625722782339</x:v>
      </x:c>
      <x:c r="G78" s="98" t="n">
        <x:f>$B$8*'Transformaciones'!G70</x:f>
        <x:v>-0.0006486704025947724</x:v>
      </x:c>
      <x:c r="H78" s="98" t="n">
        <x:f>$B$9*'Transformaciones'!I70</x:f>
        <x:v>-0.0020717921550361526</x:v>
      </x:c>
      <x:c r="I78" s="98" t="n">
        <x:f>$B$10*'Transformaciones'!K70</x:f>
        <x:v>-0.0028313797945811615</x:v>
      </x:c>
      <x:c r="J78" s="98" t="n">
        <x:f>$B$13*'Transformaciones'!P71</x:f>
        <x:v>0</x:v>
      </x:c>
      <x:c r="K78" s="109" t="n">
        <x:f>SUM(C78:J78)</x:f>
        <x:v>-0.0018731717411203056</x:v>
      </x:c>
      <x:c r="L78" s="109" t="n">
        <x:f>B78-K78</x:f>
        <x:v>-0.0032927149833458565</x:v>
      </x:c>
      <x:c r="M78" s="94" t="n">
        <x:f>'Datos_fuente'!B71</x:f>
        <x:v>1800.50871</x:v>
      </x:c>
      <x:c r="N78" s="94" t="n">
        <x:f>EXP('Transformaciones'!B70+K78)</x:f>
        <x:v>1806.4470432612452</x:v>
      </x:c>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t="str">
        <x:f>'Transformaciones'!A72</x:f>
        <x:v>2011-06</x:v>
      </x:c>
      <x:c r="B79" s="98" t="n">
        <x:f>'Transformaciones'!C72</x:f>
        <x:v>-0.009682544441075969</x:v>
      </x:c>
      <x:c r="C79" s="98" t="n">
        <x:f>$B$6</x:f>
        <x:v>-0.0005941980394302418</x:v>
      </x:c>
      <x:c r="D79" s="98" t="n">
        <x:f>$B$7*'Transformaciones'!E72</x:f>
        <x:v>0.0014869960891940124</x:v>
      </x:c>
      <x:c r="E79" s="98" t="n">
        <x:f>$B$11*'Transformaciones'!M72</x:f>
        <x:v>-0.00007550263480859585</x:v>
      </x:c>
      <x:c r="F79" s="98" t="n">
        <x:f>$B$12*'Transformaciones'!O72</x:f>
        <x:v>0.004775086959193316</x:v>
      </x:c>
      <x:c r="G79" s="98" t="n">
        <x:f>$B$8*'Transformaciones'!G71</x:f>
        <x:v>0.0013460104436146605</x:v>
      </x:c>
      <x:c r="H79" s="98" t="n">
        <x:f>$B$9*'Transformaciones'!I71</x:f>
        <x:v>-0.002572980700529211</x:v>
      </x:c>
      <x:c r="I79" s="98" t="n">
        <x:f>$B$10*'Transformaciones'!K71</x:f>
        <x:v>-0.0014879206517307876</x:v>
      </x:c>
      <x:c r="J79" s="98" t="n">
        <x:f>$B$13*'Transformaciones'!P72</x:f>
        <x:v>0</x:v>
      </x:c>
      <x:c r="K79" s="109" t="n">
        <x:f>SUM(C79:J79)</x:f>
        <x:v>0.0028774914655031528</x:v>
      </x:c>
      <x:c r="L79" s="109" t="n">
        <x:f>B79-K79</x:f>
        <x:v>-0.012560035906579121</x:v>
      </x:c>
      <x:c r="M79" s="94" t="n">
        <x:f>'Datos_fuente'!B72</x:f>
        <x:v>1783.159333</x:v>
      </x:c>
      <x:c r="N79" s="94" t="n">
        <x:f>EXP('Transformaciones'!B71+K79)</x:f>
        <x:v>1805.6971196688762</x:v>
      </x:c>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t="str">
        <x:f>'Transformaciones'!A73</x:f>
        <x:v>2011-07</x:v>
      </x:c>
      <x:c r="B80" s="98" t="n">
        <x:f>'Transformaciones'!C73</x:f>
        <x:v>-0.012167689442350138</x:v>
      </x:c>
      <x:c r="C80" s="98" t="n">
        <x:f>$B$6</x:f>
        <x:v>-0.0005941980394302418</x:v>
      </x:c>
      <x:c r="D80" s="98" t="n">
        <x:f>$B$7*'Transformaciones'!E73</x:f>
        <x:v>0.0001402080910481226</x:v>
      </x:c>
      <x:c r="E80" s="98" t="n">
        <x:f>$B$11*'Transformaciones'!M73</x:f>
        <x:v>-0.00917303749260493</x:v>
      </x:c>
      <x:c r="F80" s="98" t="n">
        <x:f>$B$12*'Transformaciones'!O73</x:f>
        <x:v>0.00014855845200104043</x:v>
      </x:c>
      <x:c r="G80" s="98" t="n">
        <x:f>$B$8*'Transformaciones'!G72</x:f>
        <x:v>0.000512207771406812</x:v>
      </x:c>
      <x:c r="H80" s="98" t="n">
        <x:f>$B$9*'Transformaciones'!I72</x:f>
        <x:v>-0.0033811605392505394</x:v>
      </x:c>
      <x:c r="I80" s="98" t="n">
        <x:f>$B$10*'Transformaciones'!K72</x:f>
        <x:v>-0.002982255878805548</x:v>
      </x:c>
      <x:c r="J80" s="98" t="n">
        <x:f>$B$13*'Transformaciones'!P73</x:f>
        <x:v>0</x:v>
      </x:c>
      <x:c r="K80" s="109" t="n">
        <x:f>SUM(C80:J80)</x:f>
        <x:v>-0.015329677635635284</x:v>
      </x:c>
      <x:c r="L80" s="109" t="n">
        <x:f>B80-K80</x:f>
        <x:v>0.003161988193285146</x:v>
      </x:c>
      <x:c r="M80" s="94" t="n">
        <x:f>'Datos_fuente'!B73</x:f>
        <x:v>1761.593871</x:v>
      </x:c>
      <x:c r="N80" s="94" t="n">
        <x:f>EXP('Transformaciones'!B72+K80)</x:f>
        <x:v>1756.032529060912</x:v>
      </x:c>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t="str">
        <x:f>'Transformaciones'!A74</x:f>
        <x:v>2011-08</x:v>
      </x:c>
      <x:c r="B81" s="98" t="n">
        <x:f>'Transformaciones'!C74</x:f>
        <x:v>0.013513083763454503</x:v>
      </x:c>
      <x:c r="C81" s="98" t="n">
        <x:f>$B$6</x:f>
        <x:v>-0.0005941980394302418</x:v>
      </x:c>
      <x:c r="D81" s="98" t="n">
        <x:f>$B$7*'Transformaciones'!E74</x:f>
        <x:v>0.002618843389391704</x:v>
      </x:c>
      <x:c r="E81" s="98" t="n">
        <x:f>$B$11*'Transformaciones'!M74</x:f>
        <x:v>0.008542315859063067</x:v>
      </x:c>
      <x:c r="F81" s="98" t="n">
        <x:f>$B$12*'Transformaciones'!O74</x:f>
        <x:v>0.023010113471423014</x:v>
      </x:c>
      <x:c r="G81" s="98" t="n">
        <x:f>$B$8*'Transformaciones'!G73</x:f>
        <x:v>-0.0015047662166722466</x:v>
      </x:c>
      <x:c r="H81" s="98" t="n">
        <x:f>$B$9*'Transformaciones'!I73</x:f>
        <x:v>-0.0017648008618078737</x:v>
      </x:c>
      <x:c r="I81" s="98" t="n">
        <x:f>$B$10*'Transformaciones'!K73</x:f>
        <x:v>-0.0015879305098202886</x:v>
      </x:c>
      <x:c r="J81" s="98" t="n">
        <x:f>$B$13*'Transformaciones'!P74</x:f>
        <x:v>0</x:v>
      </x:c>
      <x:c r="K81" s="109" t="n">
        <x:f>SUM(C81:J81)</x:f>
        <x:v>0.028719577092147137</x:v>
      </x:c>
      <x:c r="L81" s="109" t="n">
        <x:f>B81-K81</x:f>
        <x:v>-0.015206493328692634</x:v>
      </x:c>
      <x:c r="M81" s="94" t="n">
        <x:f>'Datos_fuente'!B74</x:f>
        <x:v>1785.56</x:v>
      </x:c>
      <x:c r="N81" s="94" t="n">
        <x:f>EXP('Transformaciones'!B73+K81)</x:f>
        <x:v>1812.9196008099386</x:v>
      </x:c>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t="str">
        <x:f>'Transformaciones'!A75</x:f>
        <x:v>2011-09</x:v>
      </x:c>
      <x:c r="B82" s="98" t="n">
        <x:f>'Transformaciones'!C75</x:f>
        <x:v>0.02639625765864828</x:v>
      </x:c>
      <x:c r="C82" s="98" t="n">
        <x:f>$B$6</x:f>
        <x:v>-0.0005941980394302418</x:v>
      </x:c>
      <x:c r="D82" s="98" t="n">
        <x:f>$B$7*'Transformaciones'!E75</x:f>
        <x:v>-0.0032857695643488194</x:v>
      </x:c>
      <x:c r="E82" s="98" t="n">
        <x:f>$B$11*'Transformaciones'!M75</x:f>
        <x:v>0.04080598653369389</x:v>
      </x:c>
      <x:c r="F82" s="98" t="n">
        <x:f>$B$12*'Transformaciones'!O75</x:f>
        <x:v>0.0016093704947518271</x:v>
      </x:c>
      <x:c r="G82" s="98" t="n">
        <x:f>$B$8*'Transformaciones'!G74</x:f>
        <x:v>0.0022132452498150198</x:v>
      </x:c>
      <x:c r="H82" s="98" t="n">
        <x:f>$B$9*'Transformaciones'!I74</x:f>
        <x:v>-0.0021771375158324137</x:v>
      </x:c>
      <x:c r="I82" s="98" t="n">
        <x:f>$B$10*'Transformaciones'!K74</x:f>
        <x:v>0.0026873165374373814</x:v>
      </x:c>
      <x:c r="J82" s="98" t="n">
        <x:f>$B$13*'Transformaciones'!P75</x:f>
        <x:v>0</x:v>
      </x:c>
      <x:c r="K82" s="109" t="n">
        <x:f>SUM(C82:J82)</x:f>
        <x:v>0.041258813696086645</x:v>
      </x:c>
      <x:c r="L82" s="109" t="n">
        <x:f>B82-K82</x:f>
        <x:v>-0.014862556037438364</x:v>
      </x:c>
      <x:c r="M82" s="94" t="n">
        <x:f>'Datos_fuente'!B75</x:f>
        <x:v>1833.319667</x:v>
      </x:c>
      <x:c r="N82" s="94" t="n">
        <x:f>EXP('Transformaciones'!B74+K82)</x:f>
        <x:v>1860.770976275669</x:v>
      </x:c>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t="str">
        <x:f>'Transformaciones'!A76</x:f>
        <x:v>2011-10</x:v>
      </x:c>
      <x:c r="B83" s="98" t="n">
        <x:f>'Transformaciones'!C76</x:f>
        <x:v>0.039722292997057984</x:v>
      </x:c>
      <x:c r="C83" s="98" t="n">
        <x:f>$B$6</x:f>
        <x:v>-0.0005941980394302418</x:v>
      </x:c>
      <x:c r="D83" s="98" t="n">
        <x:f>$B$7*'Transformaciones'!E76</x:f>
        <x:v>0.0007263041671615849</x:v>
      </x:c>
      <x:c r="E83" s="98" t="n">
        <x:f>$B$11*'Transformaciones'!M76</x:f>
        <x:v>0.012504473691205359</x:v>
      </x:c>
      <x:c r="F83" s="98" t="n">
        <x:f>$B$12*'Transformaciones'!O76</x:f>
        <x:v>-0.004097674951727783</x:v>
      </x:c>
      <x:c r="G83" s="98" t="n">
        <x:f>$B$8*'Transformaciones'!G75</x:f>
        <x:v>0.0006083285707020505</x:v>
      </x:c>
      <x:c r="H83" s="98" t="n">
        <x:f>$B$9*'Transformaciones'!I75</x:f>
        <x:v>-0.00019792159234839645</x:v>
      </x:c>
      <x:c r="I83" s="98" t="n">
        <x:f>$B$10*'Transformaciones'!K75</x:f>
        <x:v>-0.0006651021734295399</x:v>
      </x:c>
      <x:c r="J83" s="98" t="n">
        <x:f>$B$13*'Transformaciones'!P76</x:f>
        <x:v>0</x:v>
      </x:c>
      <x:c r="K83" s="109" t="n">
        <x:f>SUM(C83:J83)</x:f>
        <x:v>0.008284209672133032</x:v>
      </x:c>
      <x:c r="L83" s="109" t="n">
        <x:f>B83-K83</x:f>
        <x:v>0.031438083324924954</x:v>
      </x:c>
      <x:c r="M83" s="94" t="n">
        <x:f>'Datos_fuente'!B76</x:f>
        <x:v>1907.609032</x:v>
      </x:c>
      <x:c r="N83" s="94" t="n">
        <x:f>EXP('Transformaciones'!B75+K83)</x:f>
        <x:v>1848.5703542441142</x:v>
      </x:c>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t="str">
        <x:f>'Transformaciones'!A77</x:f>
        <x:v>2011-11</x:v>
      </x:c>
      <x:c r="B84" s="98" t="n">
        <x:f>'Transformaciones'!C77</x:f>
        <x:v>0.006201068972887747</x:v>
      </x:c>
      <x:c r="C84" s="98" t="n">
        <x:f>$B$6</x:f>
        <x:v>-0.0005941980394302418</x:v>
      </x:c>
      <x:c r="D84" s="98" t="n">
        <x:f>$B$7*'Transformaciones'!E77</x:f>
        <x:v>-0.0033034253875428945</x:v>
      </x:c>
      <x:c r="E84" s="98" t="n">
        <x:f>$B$11*'Transformaciones'!M77</x:f>
        <x:v>0.009181210932054675</x:v>
      </x:c>
      <x:c r="F84" s="98" t="n">
        <x:f>$B$12*'Transformaciones'!O77</x:f>
        <x:v>-0.0010508842446764054</x:v>
      </x:c>
      <x:c r="G84" s="98" t="n">
        <x:f>$B$8*'Transformaciones'!G76</x:f>
        <x:v>0.0004994197442025494</x:v>
      </x:c>
      <x:c r="H84" s="98" t="n">
        <x:f>$B$9*'Transformaciones'!I76</x:f>
        <x:v>-0.00009896079617419823</x:v>
      </x:c>
      <x:c r="I84" s="98" t="n">
        <x:f>$B$10*'Transformaciones'!K76</x:f>
        <x:v>0.0005526176128680725</x:v>
      </x:c>
      <x:c r="J84" s="98" t="n">
        <x:f>$B$13*'Transformaciones'!P77</x:f>
        <x:v>0</x:v>
      </x:c>
      <x:c r="K84" s="109" t="n">
        <x:f>SUM(C84:J84)</x:f>
        <x:v>0.005185779821301557</x:v>
      </x:c>
      <x:c r="L84" s="109" t="n">
        <x:f>B84-K84</x:f>
        <x:v>0.0010152891515861897</x:v>
      </x:c>
      <x:c r="M84" s="94" t="n">
        <x:f>'Datos_fuente'!B77</x:f>
        <x:v>1919.475</x:v>
      </x:c>
      <x:c r="N84" s="94" t="n">
        <x:f>EXP('Transformaciones'!B76+K84)</x:f>
        <x:v>1917.527166830024</x:v>
      </x:c>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t="str">
        <x:f>'Transformaciones'!A78</x:f>
        <x:v>2011-12</x:v>
      </x:c>
      <x:c r="B85" s="98" t="n">
        <x:f>'Transformaciones'!C78</x:f>
        <x:v>0.007203205623325104</x:v>
      </x:c>
      <x:c r="C85" s="98" t="n">
        <x:f>$B$6</x:f>
        <x:v>-0.0005941980394302418</x:v>
      </x:c>
      <x:c r="D85" s="98" t="n">
        <x:f>$B$7*'Transformaciones'!E78</x:f>
        <x:v>0.004225593267529205</x:v>
      </x:c>
      <x:c r="E85" s="98" t="n">
        <x:f>$B$11*'Transformaciones'!M78</x:f>
        <x:v>0.013070720999251268</x:v>
      </x:c>
      <x:c r="F85" s="98" t="n">
        <x:f>$B$12*'Transformaciones'!O78</x:f>
        <x:v>-0.009326976056877097</x:v>
      </x:c>
      <x:c r="G85" s="98" t="n">
        <x:f>$B$8*'Transformaciones'!G77</x:f>
        <x:v>-0.00046304338380867945</x:v>
      </x:c>
      <x:c r="H85" s="98" t="n">
        <x:f>$B$9*'Transformaciones'!I77</x:f>
        <x:v>-0.00014844119426130612</x:v>
      </x:c>
      <x:c r="I85" s="98" t="n">
        <x:f>$B$10*'Transformaciones'!K77</x:f>
        <x:v>0.0050841976451539315</x:v>
      </x:c>
      <x:c r="J85" s="98" t="n">
        <x:f>$B$13*'Transformaciones'!P78</x:f>
        <x:v>0</x:v>
      </x:c>
      <x:c r="K85" s="109" t="n">
        <x:f>SUM(C85:J85)</x:f>
        <x:v>0.01184785323755708</x:v>
      </x:c>
      <x:c r="L85" s="109" t="n">
        <x:f>B85-K85</x:f>
        <x:v>-0.004644647614231976</x:v>
      </x:c>
      <x:c r="M85" s="94" t="n">
        <x:f>'Datos_fuente'!B78</x:f>
        <x:v>1933.35129</x:v>
      </x:c>
      <x:c r="N85" s="94" t="n">
        <x:f>EXP('Transformaciones'!B77+K85)</x:f>
        <x:v>1942.3519116337957</x:v>
      </x:c>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t="str">
        <x:f>'Transformaciones'!A79</x:f>
        <x:v>2012-01</x:v>
      </x:c>
      <x:c r="B86" s="98" t="n">
        <x:f>'Transformaciones'!C79</x:f>
        <x:v>-0.04229665619062484</x:v>
      </x:c>
      <x:c r="C86" s="98" t="n">
        <x:f>$B$6</x:f>
        <x:v>-0.0005941980394302418</x:v>
      </x:c>
      <x:c r="D86" s="98" t="n">
        <x:f>$B$7*'Transformaciones'!E79</x:f>
        <x:v>-0.0027944054827959315</x:v>
      </x:c>
      <x:c r="E86" s="98" t="n">
        <x:f>$B$11*'Transformaciones'!M79</x:f>
        <x:v>-0.007755393845376832</x:v>
      </x:c>
      <x:c r="F86" s="98" t="n">
        <x:f>$B$12*'Transformaciones'!O79</x:f>
        <x:v>-0.008198064047238048</x:v>
      </x:c>
      <x:c r="G86" s="98" t="n">
        <x:f>$B$8*'Transformaciones'!G78</x:f>
        <x:v>-0.0027783326163556745</x:v>
      </x:c>
      <x:c r="H86" s="98" t="n">
        <x:f>$B$9*'Transformaciones'!I78</x:f>
        <x:v>-0.002325578710093702</x:v>
      </x:c>
      <x:c r="I86" s="98" t="n">
        <x:f>$B$10*'Transformaciones'!K78</x:f>
        <x:v>0.0008498718245818705</x:v>
      </x:c>
      <x:c r="J86" s="98" t="n">
        <x:f>$B$13*'Transformaciones'!P79</x:f>
        <x:v>0</x:v>
      </x:c>
      <x:c r="K86" s="109" t="n">
        <x:f>SUM(C86:J86)</x:f>
        <x:v>-0.023596100916708558</x:v>
      </x:c>
      <x:c r="L86" s="109" t="n">
        <x:f>B86-K86</x:f>
        <x:v>-0.01870055527391628</x:v>
      </x:c>
      <x:c r="M86" s="94" t="n">
        <x:f>'Datos_fuente'!B79</x:f>
        <x:v>1853.282258</x:v>
      </x:c>
      <x:c r="N86" s="94" t="n">
        <x:f>EXP('Transformaciones'!B78+K86)</x:f>
        <x:v>1888.2657511750492</x:v>
      </x:c>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t="str">
        <x:f>'Transformaciones'!A80</x:f>
        <x:v>2012-02</x:v>
      </x:c>
      <x:c r="B87" s="98" t="n">
        <x:f>'Transformaciones'!C80</x:f>
        <x:v>-0.03879843648336134</x:v>
      </x:c>
      <x:c r="C87" s="98" t="n">
        <x:f>$B$6</x:f>
        <x:v>-0.0005941980394302418</x:v>
      </x:c>
      <x:c r="D87" s="98" t="n">
        <x:f>$B$7*'Transformaciones'!E80</x:f>
        <x:v>-0.0012743366921908119</x:v>
      </x:c>
      <x:c r="E87" s="98" t="n">
        <x:f>$B$11*'Transformaciones'!M80</x:f>
        <x:v>-0.02366374166738203</x:v>
      </x:c>
      <x:c r="F87" s="98" t="n">
        <x:f>$B$12*'Transformaciones'!O80</x:f>
        <x:v>-0.0035906827698457652</x:v>
      </x:c>
      <x:c r="G87" s="98" t="n">
        <x:f>$B$8*'Transformaciones'!G79</x:f>
        <x:v>0.0002156008396902808</x:v>
      </x:c>
      <x:c r="H87" s="98" t="n">
        <x:f>$B$9*'Transformaciones'!I79</x:f>
        <x:v>0.000019153703762239177</x:v>
      </x:c>
      <x:c r="I87" s="98" t="n">
        <x:f>$B$10*'Transformaciones'!K79</x:f>
        <x:v>-0.0009072327603659161</x:v>
      </x:c>
      <x:c r="J87" s="98" t="n">
        <x:f>$B$13*'Transformaciones'!P80</x:f>
        <x:v>0</x:v>
      </x:c>
      <x:c r="K87" s="109" t="n">
        <x:f>SUM(C87:J87)</x:f>
        <x:v>-0.029795437385762243</x:v>
      </x:c>
      <x:c r="L87" s="109" t="n">
        <x:f>B87-K87</x:f>
        <x:v>-0.0090029990975991</x:v>
      </x:c>
      <x:c r="M87" s="94" t="n">
        <x:f>'Datos_fuente'!B80</x:f>
        <x:v>1782.754828</x:v>
      </x:c>
      <x:c r="N87" s="94" t="n">
        <x:f>EXP('Transformaciones'!B79+K87)</x:f>
        <x:v>1798.8774351163909</x:v>
      </x:c>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t="str">
        <x:f>'Transformaciones'!A81</x:f>
        <x:v>2012-03</x:v>
      </x:c>
      <x:c r="B88" s="98" t="n">
        <x:f>'Transformaciones'!C81</x:f>
        <x:v>-0.00925496321348973</x:v>
      </x:c>
      <x:c r="C88" s="98" t="n">
        <x:f>$B$6</x:f>
        <x:v>-0.0005941980394302418</x:v>
      </x:c>
      <x:c r="D88" s="98" t="n">
        <x:f>$B$7*'Transformaciones'!E81</x:f>
        <x:v>-0.0009633551461831699</x:v>
      </x:c>
      <x:c r="E88" s="98" t="n">
        <x:f>$B$11*'Transformaciones'!M81</x:f>
        <x:v>0.00777900355749129</x:v>
      </x:c>
      <x:c r="F88" s="98" t="n">
        <x:f>$B$12*'Transformaciones'!O81</x:f>
        <x:v>-0.005005095222503792</x:v>
      </x:c>
      <x:c r="G88" s="98" t="n">
        <x:f>$B$8*'Transformaciones'!G80</x:f>
        <x:v>-0.001197108145269601</x:v>
      </x:c>
      <x:c r="H88" s="98" t="n">
        <x:f>$B$9*'Transformaciones'!I80</x:f>
        <x:v>-0.002452224313489859</x:v>
      </x:c>
      <x:c r="I88" s="98" t="n">
        <x:f>$B$10*'Transformaciones'!K80</x:f>
        <x:v>-0.00030260344450763765</x:v>
      </x:c>
      <x:c r="J88" s="98" t="n">
        <x:f>$B$13*'Transformaciones'!P81</x:f>
        <x:v>0</x:v>
      </x:c>
      <x:c r="K88" s="109" t="n">
        <x:f>SUM(C88:J88)</x:f>
        <x:v>-0.002735580753893011</x:v>
      </x:c>
      <x:c r="L88" s="109" t="n">
        <x:f>B88-K88</x:f>
        <x:v>-0.00651938245959672</x:v>
      </x:c>
      <x:c r="M88" s="94" t="n">
        <x:f>'Datos_fuente'!B81</x:f>
        <x:v>1766.331613</x:v>
      </x:c>
      <x:c r="N88" s="94" t="n">
        <x:f>EXP('Transformaciones'!B80+K88)</x:f>
        <x:v>1777.8846226607507</x:v>
      </x:c>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t="str">
        <x:f>'Transformaciones'!A82</x:f>
        <x:v>2012-04</x:v>
      </x:c>
      <x:c r="B89" s="98" t="n">
        <x:f>'Transformaciones'!C82</x:f>
        <x:v>0.004472373919675476</x:v>
      </x:c>
      <x:c r="C89" s="98" t="n">
        <x:f>$B$6</x:f>
        <x:v>-0.0005941980394302418</x:v>
      </x:c>
      <x:c r="D89" s="98" t="n">
        <x:f>$B$7*'Transformaciones'!E82</x:f>
        <x:v>0.0018990957702252056</x:v>
      </x:c>
      <x:c r="E89" s="98" t="n">
        <x:f>$B$11*'Transformaciones'!M82</x:f>
        <x:v>0.004279401712833393</x:v>
      </x:c>
      <x:c r="F89" s="98" t="n">
        <x:f>$B$12*'Transformaciones'!O82</x:f>
        <x:v>0.003740179559245782</x:v>
      </x:c>
      <x:c r="G89" s="98" t="n">
        <x:f>$B$8*'Transformaciones'!G81</x:f>
        <x:v>-0.0014081264216268764</x:v>
      </x:c>
      <x:c r="H89" s="98" t="n">
        <x:f>$B$9*'Transformaciones'!I81</x:f>
        <x:v>-0.001921204421937199</x:v>
      </x:c>
      <x:c r="I89" s="98" t="n">
        <x:f>$B$10*'Transformaciones'!K81</x:f>
        <x:v>0.0007765999642788126</x:v>
      </x:c>
      <x:c r="J89" s="98" t="n">
        <x:f>$B$13*'Transformaciones'!P82</x:f>
        <x:v>0</x:v>
      </x:c>
      <x:c r="K89" s="109" t="n">
        <x:f>SUM(C89:J89)</x:f>
        <x:v>0.006771748123588875</x:v>
      </x:c>
      <x:c r="L89" s="109" t="n">
        <x:f>B89-K89</x:f>
        <x:v>-0.002299374203913399</x:v>
      </x:c>
      <x:c r="M89" s="94" t="n">
        <x:f>'Datos_fuente'!B82</x:f>
        <x:v>1774.249</x:v>
      </x:c>
      <x:c r="N89" s="94" t="n">
        <x:f>EXP('Transformaciones'!B81+K89)</x:f>
        <x:v>1778.3333563141514</x:v>
      </x:c>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t="str">
        <x:f>'Transformaciones'!A83</x:f>
        <x:v>2012-05</x:v>
      </x:c>
      <x:c r="B90" s="98" t="n">
        <x:f>'Transformaciones'!C83</x:f>
        <x:v>0.010667311542153612</x:v>
      </x:c>
      <x:c r="C90" s="98" t="n">
        <x:f>$B$6</x:f>
        <x:v>-0.0005941980394302418</x:v>
      </x:c>
      <x:c r="D90" s="98" t="n">
        <x:f>$B$7*'Transformaciones'!E83</x:f>
        <x:v>0.009465421208251723</x:v>
      </x:c>
      <x:c r="E90" s="98" t="n">
        <x:f>$B$11*'Transformaciones'!M83</x:f>
        <x:v>0.02332461854083918</x:v>
      </x:c>
      <x:c r="F90" s="98" t="n">
        <x:f>$B$12*'Transformaciones'!O83</x:f>
        <x:v>0.006295699437927765</x:v>
      </x:c>
      <x:c r="G90" s="98" t="n">
        <x:f>$B$8*'Transformaciones'!G82</x:f>
        <x:v>0.0015460203415532993</x:v>
      </x:c>
      <x:c r="H90" s="98" t="n">
        <x:f>$B$9*'Transformaciones'!I82</x:f>
        <x:v>0.00009896079617419823</x:v>
      </x:c>
      <x:c r="I90" s="98" t="n">
        <x:f>$B$10*'Transformaciones'!K82</x:f>
        <x:v>-0.0042206051642218675</x:v>
      </x:c>
      <x:c r="J90" s="98" t="n">
        <x:f>$B$13*'Transformaciones'!P83</x:f>
        <x:v>0</x:v>
      </x:c>
      <x:c r="K90" s="109" t="n">
        <x:f>SUM(C90:J90)</x:f>
        <x:v>0.035915917121094064</x:v>
      </x:c>
      <x:c r="L90" s="109" t="n">
        <x:f>B90-K90</x:f>
        <x:v>-0.02524860557894045</x:v>
      </x:c>
      <x:c r="M90" s="94" t="n">
        <x:f>'Datos_fuente'!B83</x:f>
        <x:v>1793.276774</x:v>
      </x:c>
      <x:c r="N90" s="94" t="n">
        <x:f>EXP('Transformaciones'!B82+K90)</x:f>
        <x:v>1839.13095305401</x:v>
      </x:c>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t="str">
        <x:f>'Transformaciones'!A84</x:f>
        <x:v>2012-06</x:v>
      </x:c>
      <x:c r="B91" s="98" t="n">
        <x:f>'Transformaciones'!C84</x:f>
        <x:v>-0.0004072186052113125</x:v>
      </x:c>
      <x:c r="C91" s="98" t="n">
        <x:f>$B$6</x:f>
        <x:v>-0.0005941980394302418</x:v>
      </x:c>
      <x:c r="D91" s="98" t="n">
        <x:f>$B$7*'Transformaciones'!E84</x:f>
        <x:v>0.007139946477165834</x:v>
      </x:c>
      <x:c r="E91" s="98" t="n">
        <x:f>$B$11*'Transformaciones'!M84</x:f>
        <x:v>0.018986461694938835</x:v>
      </x:c>
      <x:c r="F91" s="98" t="n">
        <x:f>$B$12*'Transformaciones'!O84</x:f>
        <x:v>0.00023514571034930385</x:v>
      </x:c>
      <x:c r="G91" s="98" t="n">
        <x:f>$B$8*'Transformaciones'!G83</x:f>
        <x:v>0.0003178496627749273</x:v>
      </x:c>
      <x:c r="H91" s="98" t="n">
        <x:f>$B$9*'Transformaciones'!I83</x:f>
        <x:v>0.00019792159234840523</x:v>
      </x:c>
      <x:c r="I91" s="98" t="n">
        <x:f>$B$10*'Transformaciones'!K83</x:f>
        <x:v>-0.00048812667333174867</x:v>
      </x:c>
      <x:c r="J91" s="98" t="n">
        <x:f>$B$13*'Transformaciones'!P84</x:f>
        <x:v>0</x:v>
      </x:c>
      <x:c r="K91" s="109" t="n">
        <x:f>SUM(C91:J91)</x:f>
        <x:v>0.025795000424815313</x:v>
      </x:c>
      <x:c r="L91" s="109" t="n">
        <x:f>B91-K91</x:f>
        <x:v>-0.026202219030026626</x:v>
      </x:c>
      <x:c r="M91" s="94" t="n">
        <x:f>'Datos_fuente'!B84</x:f>
        <x:v>1792.546667</x:v>
      </x:c>
      <x:c r="N91" s="94" t="n">
        <x:f>EXP('Transformaciones'!B83+K91)</x:f>
        <x:v>1840.1361193114715</x:v>
      </x:c>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t="str">
        <x:f>'Transformaciones'!A85</x:f>
        <x:v>2012-07</x:v>
      </x:c>
      <x:c r="B92" s="98" t="n">
        <x:f>'Transformaciones'!C85</x:f>
        <x:v>-0.004880014462842475</x:v>
      </x:c>
      <x:c r="C92" s="98" t="n">
        <x:f>$B$6</x:f>
        <x:v>-0.0005941980394302418</x:v>
      </x:c>
      <x:c r="D92" s="98" t="n">
        <x:f>$B$7*'Transformaciones'!E85</x:f>
        <x:v>-0.001011161331429984</x:v>
      </x:c>
      <x:c r="E92" s="98" t="n">
        <x:f>$B$11*'Transformaciones'!M85</x:f>
        <x:v>-0.00646127733298528</x:v>
      </x:c>
      <x:c r="F92" s="98" t="n">
        <x:f>$B$12*'Transformaciones'!O85</x:f>
        <x:v>-0.007089677971772781</x:v>
      </x:c>
      <x:c r="G92" s="98" t="n">
        <x:f>$B$8*'Transformaciones'!G84</x:f>
        <x:v>-0.00047486301903970895</x:v>
      </x:c>
      <x:c r="H92" s="98" t="n">
        <x:f>$B$9*'Transformaciones'!I84</x:f>
        <x:v>0</x:v>
      </x:c>
      <x:c r="I92" s="98" t="n">
        <x:f>$B$10*'Transformaciones'!K84</x:f>
        <x:v>-0.0017443613489034118</x:v>
      </x:c>
      <x:c r="J92" s="98" t="n">
        <x:f>$B$13*'Transformaciones'!P85</x:f>
        <x:v>0</x:v>
      </x:c>
      <x:c r="K92" s="109" t="n">
        <x:f>SUM(C92:J92)</x:f>
        <x:v>-0.017375539043561407</x:v>
      </x:c>
      <x:c r="L92" s="109" t="n">
        <x:f>B92-K92</x:f>
        <x:v>0.012495524580718932</x:v>
      </x:c>
      <x:c r="M92" s="94" t="n">
        <x:f>'Datos_fuente'!B85</x:f>
        <x:v>1783.820323</x:v>
      </x:c>
      <x:c r="N92" s="94" t="n">
        <x:f>EXP('Transformaciones'!B84+K92)</x:f>
        <x:v>1761.6692352554458</x:v>
      </x:c>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t="str">
        <x:f>'Transformaciones'!A86</x:f>
        <x:v>2012-08</x:v>
      </x:c>
      <x:c r="B93" s="98" t="n">
        <x:f>'Transformaciones'!C86</x:f>
        <x:v>0.012093112400754613</x:v>
      </x:c>
      <x:c r="C93" s="98" t="n">
        <x:f>$B$6</x:f>
        <x:v>-0.0005941980394302418</x:v>
      </x:c>
      <x:c r="D93" s="98" t="n">
        <x:f>$B$7*'Transformaciones'!E86</x:f>
        <x:v>0.0040752809512047865</x:v>
      </x:c>
      <x:c r="E93" s="98" t="n">
        <x:f>$B$11*'Transformaciones'!M86</x:f>
        <x:v>-0.01203635819230955</x:v>
      </x:c>
      <x:c r="F93" s="98" t="n">
        <x:f>$B$12*'Transformaciones'!O86</x:f>
        <x:v>-0.00433189913014291</x:v>
      </x:c>
      <x:c r="G93" s="98" t="n">
        <x:f>$B$8*'Transformaciones'!G85</x:f>
        <x:v>0.0007480852637218306</x:v>
      </x:c>
      <x:c r="H93" s="98" t="n">
        <x:f>$B$9*'Transformaciones'!I85</x:f>
        <x:v>0.0001596141848239181</x:v>
      </x:c>
      <x:c r="I93" s="98" t="n">
        <x:f>$B$10*'Transformaciones'!K85</x:f>
        <x:v>0.0004486230843331904</x:v>
      </x:c>
      <x:c r="J93" s="98" t="n">
        <x:f>$B$13*'Transformaciones'!P86</x:f>
        <x:v>0</x:v>
      </x:c>
      <x:c r="K93" s="109" t="n">
        <x:f>SUM(C93:J93)</x:f>
        <x:v>-0.011530851877798978</x:v>
      </x:c>
      <x:c r="L93" s="109" t="n">
        <x:f>B93-K93</x:f>
        <x:v>0.02362396427855359</x:v>
      </x:c>
      <x:c r="M93" s="94" t="n">
        <x:f>'Datos_fuente'!B86</x:f>
        <x:v>1805.523226</x:v>
      </x:c>
      <x:c r="N93" s="94" t="n">
        <x:f>EXP('Transformaciones'!B85+K93)</x:f>
        <x:v>1763.3694894408168</x:v>
      </x:c>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t="str">
        <x:f>'Transformaciones'!A87</x:f>
        <x:v>2012-09</x:v>
      </x:c>
      <x:c r="B94" s="98" t="n">
        <x:f>'Transformaciones'!C87</x:f>
        <x:v>-0.0015391829811042257</x:v>
      </x:c>
      <x:c r="C94" s="98" t="n">
        <x:f>$B$6</x:f>
        <x:v>-0.0005941980394302418</x:v>
      </x:c>
      <x:c r="D94" s="98" t="n">
        <x:f>$B$7*'Transformaciones'!E87</x:f>
        <x:v>-0.00834657215905668</x:v>
      </x:c>
      <x:c r="E94" s="98" t="n">
        <x:f>$B$11*'Transformaciones'!M87</x:f>
        <x:v>-0.021505492067954324</x:v>
      </x:c>
      <x:c r="F94" s="98" t="n">
        <x:f>$B$12*'Transformaciones'!O87</x:f>
        <x:v>-0.0010027867674513114</x:v>
      </x:c>
      <x:c r="G94" s="98" t="n">
        <x:f>$B$8*'Transformaciones'!G86</x:f>
        <x:v>-0.0015618857420343015</x:v>
      </x:c>
      <x:c r="H94" s="98" t="n">
        <x:f>$B$9*'Transformaciones'!I86</x:f>
        <x:v>0.002416558802964354</x:v>
      </x:c>
      <x:c r="I94" s="98" t="n">
        <x:f>$B$10*'Transformaciones'!K86</x:f>
        <x:v>0.0000726765290930763</x:v>
      </x:c>
      <x:c r="J94" s="98" t="n">
        <x:f>$B$13*'Transformaciones'!P87</x:f>
        <x:v>0</x:v>
      </x:c>
      <x:c r="K94" s="109" t="n">
        <x:f>SUM(C94:J94)</x:f>
        <x:v>-0.030521699443869427</x:v>
      </x:c>
      <x:c r="L94" s="109" t="n">
        <x:f>B94-K94</x:f>
        <x:v>0.0289825164627652</x:v>
      </x:c>
      <x:c r="M94" s="94" t="n">
        <x:f>'Datos_fuente'!B87</x:f>
        <x:v>1802.746333</x:v>
      </x:c>
      <x:c r="N94" s="94" t="n">
        <x:f>EXP('Transformaciones'!B86+K94)</x:f>
        <x:v>1751.2480868764774</x:v>
      </x:c>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t="str">
        <x:f>'Transformaciones'!A88</x:f>
        <x:v>2012-10</x:v>
      </x:c>
      <x:c r="B95" s="98" t="n">
        <x:f>'Transformaciones'!C88</x:f>
        <x:v>0.0009174203202597653</x:v>
      </x:c>
      <x:c r="C95" s="98" t="n">
        <x:f>$B$6</x:f>
        <x:v>-0.0005941980394302418</x:v>
      </x:c>
      <x:c r="D95" s="98" t="n">
        <x:f>$B$7*'Transformaciones'!E88</x:f>
        <x:v>-0.0005073433185774342</x:v>
      </x:c>
      <x:c r="E95" s="98" t="n">
        <x:f>$B$11*'Transformaciones'!M88</x:f>
        <x:v>-0.003136004870181184</x:v>
      </x:c>
      <x:c r="F95" s="98" t="n">
        <x:f>$B$12*'Transformaciones'!O88</x:f>
        <x:v>0.002410904565641134</x:v>
      </x:c>
      <x:c r="G95" s="98" t="n">
        <x:f>$B$8*'Transformaciones'!G87</x:f>
        <x:v>-0.001803661926975817</x:v>
      </x:c>
      <x:c r="H95" s="98" t="n">
        <x:f>$B$9*'Transformaciones'!I87</x:f>
        <x:v>0.00217394522857334</x:v>
      </x:c>
      <x:c r="I95" s="98" t="n">
        <x:f>$B$10*'Transformaciones'!K87</x:f>
        <x:v>0.0004968071946640156</x:v>
      </x:c>
      <x:c r="J95" s="98" t="n">
        <x:f>$B$13*'Transformaciones'!P88</x:f>
        <x:v>0</x:v>
      </x:c>
      <x:c r="K95" s="109" t="n">
        <x:f>SUM(C95:J95)</x:f>
        <x:v>-0.0009595511662861877</x:v>
      </x:c>
      <x:c r="L95" s="109" t="n">
        <x:f>B95-K95</x:f>
        <x:v>0.0018769714865459531</x:v>
      </x:c>
      <x:c r="M95" s="94" t="n">
        <x:f>'Datos_fuente'!B88</x:f>
        <x:v>1804.400968</x:v>
      </x:c>
      <x:c r="N95" s="94" t="n">
        <x:f>EXP('Transformaciones'!B87+K95)</x:f>
        <x:v>1801.017335317187</x:v>
      </x:c>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t="str">
        <x:f>'Transformaciones'!A89</x:f>
        <x:v>2012-11</x:v>
      </x:c>
      <x:c r="B96" s="98" t="n">
        <x:f>'Transformaciones'!C89</x:f>
        <x:v>0.009164642915845178</x:v>
      </x:c>
      <x:c r="C96" s="98" t="n">
        <x:f>$B$6</x:f>
        <x:v>-0.0005941980394302418</x:v>
      </x:c>
      <x:c r="D96" s="98" t="n">
        <x:f>$B$7*'Transformaciones'!E89</x:f>
        <x:v>0.0018050424841037128</x:v>
      </x:c>
      <x:c r="E96" s="98" t="n">
        <x:f>$B$11*'Transformaciones'!M89</x:f>
        <x:v>0.010050340596730281</x:v>
      </x:c>
      <x:c r="F96" s="98" t="n">
        <x:f>$B$12*'Transformaciones'!O89</x:f>
        <x:v>0.0009904469491739533</x:v>
      </x:c>
      <x:c r="G96" s="98" t="n">
        <x:f>$B$8*'Transformaciones'!G88</x:f>
        <x:v>0.0001688404437112205</x:v>
      </x:c>
      <x:c r="H96" s="98" t="n">
        <x:f>$B$9*'Transformaciones'!I88</x:f>
        <x:v>0.00019792159234840523</x:v>
      </x:c>
      <x:c r="I96" s="98" t="n">
        <x:f>$B$10*'Transformaciones'!K88</x:f>
        <x:v>0.001762467065966847</x:v>
      </x:c>
      <x:c r="J96" s="98" t="n">
        <x:f>$B$13*'Transformaciones'!P89</x:f>
        <x:v>0</x:v>
      </x:c>
      <x:c r="K96" s="109" t="n">
        <x:f>SUM(C96:J96)</x:f>
        <x:v>0.014380861092604178</x:v>
      </x:c>
      <x:c r="L96" s="109" t="n">
        <x:f>B96-K96</x:f>
        <x:v>-0.005216218176759</x:v>
      </x:c>
      <x:c r="M96" s="94" t="n">
        <x:f>'Datos_fuente'!B89</x:f>
        <x:v>1821.013667</x:v>
      </x:c>
      <x:c r="N96" s="94" t="n">
        <x:f>EXP('Transformaciones'!B88+K96)</x:f>
        <x:v>1830.537288640132</x:v>
      </x:c>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t="str">
        <x:f>'Transformaciones'!A90</x:f>
        <x:v>2012-12</x:v>
      </x:c>
      <x:c r="B97" s="98" t="n">
        <x:f>'Transformaciones'!C90</x:f>
        <x:v>-0.015784891665695078</x:v>
      </x:c>
      <x:c r="C97" s="98" t="n">
        <x:f>$B$6</x:f>
        <x:v>-0.0005941980394302418</x:v>
      </x:c>
      <x:c r="D97" s="98" t="n">
        <x:f>$B$7*'Transformaciones'!E90</x:f>
        <x:v>0.0003060345032888983</x:v>
      </x:c>
      <x:c r="E97" s="98" t="n">
        <x:f>$B$11*'Transformaciones'!M90</x:f>
        <x:v>-0.008313412138365981</x:v>
      </x:c>
      <x:c r="F97" s="98" t="n">
        <x:f>$B$12*'Transformaciones'!O90</x:f>
        <x:v>0.0013651845570621167</x:v>
      </x:c>
      <x:c r="G97" s="98" t="n">
        <x:f>$B$8*'Transformaciones'!G89</x:f>
        <x:v>-0.001850454969707669</x:v>
      </x:c>
      <x:c r="H97" s="98" t="n">
        <x:f>$B$9*'Transformaciones'!I89</x:f>
        <x:v>0.0004123366540245224</x:v>
      </x:c>
      <x:c r="I97" s="98" t="n">
        <x:f>$B$10*'Transformaciones'!K89</x:f>
        <x:v>-0.004575852288917247</x:v>
      </x:c>
      <x:c r="J97" s="98" t="n">
        <x:f>$B$13*'Transformaciones'!P90</x:f>
        <x:v>0</x:v>
      </x:c>
      <x:c r="K97" s="109" t="n">
        <x:f>SUM(C97:J97)</x:f>
        <x:v>-0.013250361722045603</x:v>
      </x:c>
      <x:c r="L97" s="109" t="n">
        <x:f>B97-K97</x:f>
        <x:v>-0.002534529943649475</x:v>
      </x:c>
      <x:c r="M97" s="94" t="n">
        <x:f>'Datos_fuente'!B90</x:f>
        <x:v>1792.494839</x:v>
      </x:c>
      <x:c r="N97" s="94" t="n">
        <x:f>EXP('Transformaciones'!B89+K97)</x:f>
        <x:v>1797.0437330622747</x:v>
      </x:c>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t="str">
        <x:f>'Transformaciones'!A91</x:f>
        <x:v>2013-01</x:v>
      </x:c>
      <x:c r="B98" s="98" t="n">
        <x:f>'Transformaciones'!C91</x:f>
        <x:v>-0.012813867280033975</x:v>
      </x:c>
      <x:c r="C98" s="98" t="n">
        <x:f>$B$6</x:f>
        <x:v>-0.0005941980394302418</x:v>
      </x:c>
      <x:c r="D98" s="98" t="n">
        <x:f>$B$7*'Transformaciones'!E91</x:f>
        <x:v>-0.0005454084257647435</x:v>
      </x:c>
      <x:c r="E98" s="98" t="n">
        <x:f>$B$11*'Transformaciones'!M91</x:f>
        <x:v>-0.000769869398496989</x:v>
      </x:c>
      <x:c r="F98" s="98" t="n">
        <x:f>$B$12*'Transformaciones'!O91</x:f>
        <x:v>-0.009514690363122089</x:v>
      </x:c>
      <x:c r="G98" s="98" t="n">
        <x:f>$B$8*'Transformaciones'!G90</x:f>
        <x:v>-0.0012010765579439483</x:v>
      </x:c>
      <x:c r="H98" s="98" t="n">
        <x:f>$B$9*'Transformaciones'!I90</x:f>
        <x:v>0.00270013999952223</x:v>
      </x:c>
      <x:c r="I98" s="98" t="n">
        <x:f>$B$10*'Transformaciones'!K90</x:f>
        <x:v>0.00620063139878851</x:v>
      </x:c>
      <x:c r="J98" s="98" t="n">
        <x:f>$B$13*'Transformaciones'!P91</x:f>
        <x:v>0</x:v>
      </x:c>
      <x:c r="K98" s="109" t="n">
        <x:f>SUM(C98:J98)</x:f>
        <x:v>-0.0037244713864472727</x:v>
      </x:c>
      <x:c r="L98" s="109" t="n">
        <x:f>B98-K98</x:f>
        <x:v>-0.009089395893586701</x:v>
      </x:c>
      <x:c r="M98" s="94" t="n">
        <x:f>'Datos_fuente'!B91</x:f>
        <x:v>1769.672581</x:v>
      </x:c>
      <x:c r="N98" s="94" t="n">
        <x:f>EXP('Transformaciones'!B90+K98)</x:f>
        <x:v>1785.8311603051416</x:v>
      </x:c>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t="str">
        <x:f>'Transformaciones'!A92</x:f>
        <x:v>2013-02</x:v>
      </x:c>
      <x:c r="B99" s="98" t="n">
        <x:f>'Transformaciones'!C92</x:f>
        <x:v>0.011727091398851641</x:v>
      </x:c>
      <x:c r="C99" s="98" t="n">
        <x:f>$B$6</x:f>
        <x:v>-0.0005941980394302418</x:v>
      </x:c>
      <x:c r="D99" s="98" t="n">
        <x:f>$B$7*'Transformaciones'!E92</x:f>
        <x:v>-0.001695041978890944</x:v>
      </x:c>
      <x:c r="E99" s="98" t="n">
        <x:f>$B$11*'Transformaciones'!M92</x:f>
        <x:v>0.010138946897125316</x:v>
      </x:c>
      <x:c r="F99" s="98" t="n">
        <x:f>$B$12*'Transformaciones'!O92</x:f>
        <x:v>0.0015786990898239946</x:v>
      </x:c>
      <x:c r="G99" s="98" t="n">
        <x:f>$B$8*'Transformaciones'!G91</x:f>
        <x:v>0.0024176749587304642</x:v>
      </x:c>
      <x:c r="H99" s="98" t="n">
        <x:f>$B$9*'Transformaciones'!I91</x:f>
        <x:v>0.0018770628400507363</x:v>
      </x:c>
      <x:c r="I99" s="98" t="n">
        <x:f>$B$10*'Transformaciones'!K91</x:f>
        <x:v>-0.004105161972373715</x:v>
      </x:c>
      <x:c r="J99" s="98" t="n">
        <x:f>$B$13*'Transformaciones'!P92</x:f>
        <x:v>0</x:v>
      </x:c>
      <x:c r="K99" s="109" t="n">
        <x:f>SUM(C99:J99)</x:f>
        <x:v>0.009617981795035611</x:v>
      </x:c>
      <x:c r="L99" s="109" t="n">
        <x:f>B99-K99</x:f>
        <x:v>0.00210910960381603</x:v>
      </x:c>
      <x:c r="M99" s="94" t="n">
        <x:f>'Datos_fuente'!B92</x:f>
        <x:v>1790.547857</x:v>
      </x:c>
      <x:c r="N99" s="94" t="n">
        <x:f>EXP('Transformaciones'!B91+K99)</x:f>
        <x:v>1786.7753750061522</x:v>
      </x:c>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t="str">
        <x:f>'Transformaciones'!A93</x:f>
        <x:v>2013-03</x:v>
      </x:c>
      <x:c r="B100" s="98" t="n">
        <x:f>'Transformaciones'!C93</x:f>
        <x:v>0.0128741755950319</x:v>
      </x:c>
      <x:c r="C100" s="98" t="n">
        <x:f>$B$6</x:f>
        <x:v>-0.0005941980394302418</x:v>
      </x:c>
      <x:c r="D100" s="98" t="n">
        <x:f>$B$7*'Transformaciones'!E93</x:f>
        <x:v>0.003273449709650219</x:v>
      </x:c>
      <x:c r="E100" s="98" t="n">
        <x:f>$B$11*'Transformaciones'!M93</x:f>
        <x:v>0.011949169182193796</x:v>
      </x:c>
      <x:c r="F100" s="98" t="n">
        <x:f>$B$12*'Transformaciones'!O93</x:f>
        <x:v>-0.002948480793820466</x:v>
      </x:c>
      <x:c r="G100" s="98" t="n">
        <x:f>$B$8*'Transformaciones'!G92</x:f>
        <x:v>0.001020078871381951</x:v>
      </x:c>
      <x:c r="H100" s="98" t="n">
        <x:f>$B$9*'Transformaciones'!I92</x:f>
        <x:v>0.002686990841028645</x:v>
      </x:c>
      <x:c r="I100" s="98" t="n">
        <x:f>$B$10*'Transformaciones'!K92</x:f>
        <x:v>0.0010231342913440797</x:v>
      </x:c>
      <x:c r="J100" s="98" t="n">
        <x:f>$B$13*'Transformaciones'!P93</x:f>
        <x:v>0</x:v>
      </x:c>
      <x:c r="K100" s="109" t="n">
        <x:f>SUM(C100:J100)</x:f>
        <x:v>0.016410144062347982</x:v>
      </x:c>
      <x:c r="L100" s="109" t="n">
        <x:f>B100-K100</x:f>
        <x:v>-0.003535968467316082</x:v>
      </x:c>
      <x:c r="M100" s="94" t="n">
        <x:f>'Datos_fuente'!B93</x:f>
        <x:v>1813.74871</x:v>
      </x:c>
      <x:c r="N100" s="94" t="n">
        <x:f>EXP('Transformaciones'!B92+K100)</x:f>
        <x:v>1820.1734203387296</x:v>
      </x:c>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t="str">
        <x:f>'Transformaciones'!A94</x:f>
        <x:v>2013-04</x:v>
      </x:c>
      <x:c r="B101" s="98" t="n">
        <x:f>'Transformaciones'!C94</x:f>
        <x:v>0.009046556357106716</x:v>
      </x:c>
      <x:c r="C101" s="98" t="n">
        <x:f>$B$6</x:f>
        <x:v>-0.0005941980394302418</x:v>
      </x:c>
      <x:c r="D101" s="98" t="n">
        <x:f>$B$7*'Transformaciones'!E94</x:f>
        <x:v>0.004883948918499344</x:v>
      </x:c>
      <x:c r="E101" s="98" t="n">
        <x:f>$B$11*'Transformaciones'!M94</x:f>
        <x:v>-0.005049166444439945</x:v>
      </x:c>
      <x:c r="F101" s="98" t="n">
        <x:f>$B$12*'Transformaciones'!O94</x:f>
        <x:v>0.0026602031386588555</x:v>
      </x:c>
      <x:c r="G101" s="98" t="n">
        <x:f>$B$8*'Transformaciones'!G93</x:f>
        <x:v>-0.0002959866316262518</x:v>
      </x:c>
      <x:c r="H101" s="98" t="n">
        <x:f>$B$9*'Transformaciones'!I93</x:f>
        <x:v>0.002979312819181151</x:v>
      </x:c>
      <x:c r="I101" s="98" t="n">
        <x:f>$B$10*'Transformaciones'!K93</x:f>
        <x:v>0.0022482346192988114</x:v>
      </x:c>
      <x:c r="J101" s="98" t="n">
        <x:f>$B$13*'Transformaciones'!P94</x:f>
        <x:v>0</x:v>
      </x:c>
      <x:c r="K101" s="109" t="n">
        <x:f>SUM(C101:J101)</x:f>
        <x:v>0.006832348380141724</x:v>
      </x:c>
      <x:c r="L101" s="109" t="n">
        <x:f>B101-K101</x:f>
        <x:v>0.0022142079769649926</x:v>
      </x:c>
      <x:c r="M101" s="94" t="n">
        <x:f>'Datos_fuente'!B94</x:f>
        <x:v>1830.231333</x:v>
      </x:c>
      <x:c r="N101" s="94" t="n">
        <x:f>EXP('Transformaciones'!B93+K101)</x:f>
        <x:v>1826.1833034263286</x:v>
      </x:c>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t="str">
        <x:f>'Transformaciones'!A95</x:f>
        <x:v>2013-05</x:v>
      </x:c>
      <x:c r="B102" s="98" t="n">
        <x:f>'Transformaciones'!C95</x:f>
        <x:v>0.00961900998160381</x:v>
      </x:c>
      <x:c r="C102" s="98" t="n">
        <x:f>$B$6</x:f>
        <x:v>-0.0005941980394302418</x:v>
      </x:c>
      <x:c r="D102" s="98" t="n">
        <x:f>$B$7*'Transformaciones'!E95</x:f>
        <x:v>0.0002553617229536916</x:v>
      </x:c>
      <x:c r="E102" s="98" t="n">
        <x:f>$B$11*'Transformaciones'!M95</x:f>
        <x:v>0.006645171701523512</x:v>
      </x:c>
      <x:c r="F102" s="98" t="n">
        <x:f>$B$12*'Transformaciones'!O95</x:f>
        <x:v>-0.0013233893843189145</x:v>
      </x:c>
      <x:c r="G102" s="98" t="n">
        <x:f>$B$8*'Transformaciones'!G94</x:f>
        <x:v>0.0038661217140725534</x:v>
      </x:c>
      <x:c r="H102" s="98" t="n">
        <x:f>$B$9*'Transformaciones'!I94</x:f>
        <x:v>0.004089315476148563</x:v>
      </x:c>
      <x:c r="I102" s="98" t="n">
        <x:f>$B$10*'Transformaciones'!K94</x:f>
        <x:v>0.0039205936729079195</x:v>
      </x:c>
      <x:c r="J102" s="98" t="n">
        <x:f>$B$13*'Transformaciones'!P95</x:f>
        <x:v>0</x:v>
      </x:c>
      <x:c r="K102" s="109" t="n">
        <x:f>SUM(C102:J102)</x:f>
        <x:v>0.016858976863857084</x:v>
      </x:c>
      <x:c r="L102" s="109" t="n">
        <x:f>B102-K102</x:f>
        <x:v>-0.007239966882253274</x:v>
      </x:c>
      <x:c r="M102" s="94" t="n">
        <x:f>'Datos_fuente'!B95</x:f>
        <x:v>1847.92129</x:v>
      </x:c>
      <x:c r="N102" s="94" t="n">
        <x:f>EXP('Transformaciones'!B94+K102)</x:f>
        <x:v>1861.3487273893688</x:v>
      </x:c>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t="str">
        <x:f>'Transformaciones'!A96</x:f>
        <x:v>2013-06</x:v>
      </x:c>
      <x:c r="B103" s="98" t="n">
        <x:f>'Transformaciones'!C96</x:f>
        <x:v>0.03296297537993276</x:v>
      </x:c>
      <x:c r="C103" s="98" t="n">
        <x:f>$B$6</x:f>
        <x:v>-0.0005941980394302418</x:v>
      </x:c>
      <x:c r="D103" s="98" t="n">
        <x:f>$B$7*'Transformaciones'!E96</x:f>
        <x:v>-0.0007895097195553234</x:v>
      </x:c>
      <x:c r="E103" s="98" t="n">
        <x:f>$B$11*'Transformaciones'!M96</x:f>
        <x:v>0.010353255797066242</x:v>
      </x:c>
      <x:c r="F103" s="98" t="n">
        <x:f>$B$12*'Transformaciones'!O96</x:f>
        <x:v>0.009468892674191126</x:v>
      </x:c>
      <x:c r="G103" s="98" t="n">
        <x:f>$B$8*'Transformaciones'!G95</x:f>
        <x:v>0.0028015056413181606</x:v>
      </x:c>
      <x:c r="H103" s="98" t="n">
        <x:f>$B$9*'Transformaciones'!I95</x:f>
        <x:v>-0.0003958431846968017</x:v>
      </x:c>
      <x:c r="I103" s="98" t="n">
        <x:f>$B$10*'Transformaciones'!K95</x:f>
        <x:v>0.00017028736733026167</x:v>
      </x:c>
      <x:c r="J103" s="98" t="n">
        <x:f>$B$13*'Transformaciones'!P96</x:f>
        <x:v>0</x:v>
      </x:c>
      <x:c r="K103" s="109" t="n">
        <x:f>SUM(C103:J103)</x:f>
        <x:v>0.021014390536223424</x:v>
      </x:c>
      <x:c r="L103" s="109" t="n">
        <x:f>B103-K103</x:f>
        <x:v>0.011948584843709333</x:v>
      </x:c>
      <x:c r="M103" s="94" t="n">
        <x:f>'Datos_fuente'!B96</x:f>
        <x:v>1909.849333</x:v>
      </x:c>
      <x:c r="N103" s="94" t="n">
        <x:f>EXP('Transformaciones'!B95+K103)</x:f>
        <x:v>1887.1651281612012</x:v>
      </x:c>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t="str">
        <x:f>'Transformaciones'!A97</x:f>
        <x:v>2013-07</x:v>
      </x:c>
      <x:c r="B104" s="98" t="n">
        <x:f>'Transformaciones'!C97</x:f>
        <x:v>-0.004358914191916696</x:v>
      </x:c>
      <x:c r="C104" s="98" t="n">
        <x:f>$B$6</x:f>
        <x:v>-0.0005941980394302418</x:v>
      </x:c>
      <x:c r="D104" s="98" t="n">
        <x:f>$B$7*'Transformaciones'!E97</x:f>
        <x:v>-0.001660427613126854</x:v>
      </x:c>
      <x:c r="E104" s="98" t="n">
        <x:f>$B$11*'Transformaciones'!M97</x:f>
        <x:v>0.008019555219115196</x:v>
      </x:c>
      <x:c r="F104" s="98" t="n">
        <x:f>$B$12*'Transformaciones'!O97</x:f>
        <x:v>-0.00812553427421073</x:v>
      </x:c>
      <x:c r="G104" s="98" t="n">
        <x:f>$B$8*'Transformaciones'!G96</x:f>
        <x:v>0.0035537103273255224</x:v>
      </x:c>
      <x:c r="H104" s="98" t="n">
        <x:f>$B$9*'Transformaciones'!I96</x:f>
        <x:v>-0.00019792159234840084</x:v>
      </x:c>
      <x:c r="I104" s="98" t="n">
        <x:f>$B$10*'Transformaciones'!K96</x:f>
        <x:v>0.00037028942729110147</x:v>
      </x:c>
      <x:c r="J104" s="98" t="n">
        <x:f>$B$13*'Transformaciones'!P97</x:f>
        <x:v>0</x:v>
      </x:c>
      <x:c r="K104" s="109" t="n">
        <x:f>SUM(C104:J104)</x:f>
        <x:v>0.0013654734546155924</x:v>
      </x:c>
      <x:c r="L104" s="109" t="n">
        <x:f>B104-K104</x:f>
        <x:v>-0.005724387646532289</x:v>
      </x:c>
      <x:c r="M104" s="94" t="n">
        <x:f>'Datos_fuente'!B97</x:f>
        <x:v>1901.542581</x:v>
      </x:c>
      <x:c r="N104" s="94" t="n">
        <x:f>EXP('Transformaciones'!B96+K104)</x:f>
        <x:v>1912.458962851197</x:v>
      </x:c>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t="str">
        <x:f>'Transformaciones'!A98</x:f>
        <x:v>2013-08</x:v>
      </x:c>
      <x:c r="B105" s="98" t="n">
        <x:f>'Transformaciones'!C98</x:f>
        <x:v>0.0002953023965170942</x:v>
      </x:c>
      <x:c r="C105" s="98" t="n">
        <x:f>$B$6</x:f>
        <x:v>-0.0005941980394302418</x:v>
      </x:c>
      <x:c r="D105" s="98" t="n">
        <x:f>$B$7*'Transformaciones'!E98</x:f>
        <x:v>-0.0012767683062523628</x:v>
      </x:c>
      <x:c r="E105" s="98" t="n">
        <x:f>$B$11*'Transformaciones'!M98</x:f>
        <x:v>-0.002140342237128182</x:v>
      </x:c>
      <x:c r="F105" s="98" t="n">
        <x:f>$B$12*'Transformaciones'!O98</x:f>
        <x:v>0.0006409447554090779</x:v>
      </x:c>
      <x:c r="G105" s="98" t="n">
        <x:f>$B$8*'Transformaciones'!G97</x:f>
        <x:v>0.004205031189407679</x:v>
      </x:c>
      <x:c r="H105" s="98" t="n">
        <x:f>$B$9*'Transformaciones'!I97</x:f>
        <x:v>0</x:v>
      </x:c>
      <x:c r="I105" s="98" t="n">
        <x:f>$B$10*'Transformaciones'!K97</x:f>
        <x:v>0.0016175000150924787</x:v>
      </x:c>
      <x:c r="J105" s="98" t="n">
        <x:f>$B$13*'Transformaciones'!P98</x:f>
        <x:v>0</x:v>
      </x:c>
      <x:c r="K105" s="109" t="n">
        <x:f>SUM(C105:J105)</x:f>
        <x:v>0.0024521673770984496</x:v>
      </x:c>
      <x:c r="L105" s="109" t="n">
        <x:f>B105-K105</x:f>
        <x:v>-0.0021568649805813554</x:v>
      </x:c>
      <x:c r="M105" s="94" t="n">
        <x:f>'Datos_fuente'!B98</x:f>
        <x:v>1902.104194</x:v>
      </x:c>
      <x:c r="N105" s="94" t="n">
        <x:f>EXP('Transformaciones'!B97+K105)</x:f>
        <x:v>1906.2112034657287</x:v>
      </x:c>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t="str">
        <x:f>'Transformaciones'!A99</x:f>
        <x:v>2013-09</x:v>
      </x:c>
      <x:c r="B106" s="98" t="n">
        <x:f>'Transformaciones'!C99</x:f>
        <x:v>0.009110416643161479</x:v>
      </x:c>
      <x:c r="C106" s="98" t="n">
        <x:f>$B$6</x:f>
        <x:v>-0.0005941980394302418</x:v>
      </x:c>
      <x:c r="D106" s="98" t="n">
        <x:f>$B$7*'Transformaciones'!E99</x:f>
        <x:v>0.0011520938103400978</x:v>
      </x:c>
      <x:c r="E106" s="98" t="n">
        <x:f>$B$11*'Transformaciones'!M99</x:f>
        <x:v>-0.0033273273042671143</x:v>
      </x:c>
      <x:c r="F106" s="98" t="n">
        <x:f>$B$12*'Transformaciones'!O99</x:f>
        <x:v>0.001279598880714578</x:v>
      </x:c>
      <x:c r="G106" s="98" t="n">
        <x:f>$B$8*'Transformaciones'!G98</x:f>
        <x:v>0.0016586813261391033</x:v>
      </x:c>
      <x:c r="H106" s="98" t="n">
        <x:f>$B$9*'Transformaciones'!I98</x:f>
        <x:v>-0.00009896079617419823</x:v>
      </x:c>
      <x:c r="I106" s="98" t="n">
        <x:f>$B$10*'Transformaciones'!K98</x:f>
        <x:v>-0.00007040252360613097</x:v>
      </x:c>
      <x:c r="J106" s="98" t="n">
        <x:f>$B$13*'Transformaciones'!P99</x:f>
        <x:v>0</x:v>
      </x:c>
      <x:c r="K106" s="109" t="n">
        <x:f>SUM(C106:J106)</x:f>
        <x:v>-5.146462839061952e-7</x:v>
      </x:c>
      <x:c r="L106" s="109" t="n">
        <x:f>B106-K106</x:f>
        <x:v>0.009110931289445385</x:v>
      </x:c>
      <x:c r="M106" s="94" t="n">
        <x:f>'Datos_fuente'!B99</x:f>
        <x:v>1919.512333</x:v>
      </x:c>
      <x:c r="N106" s="94" t="n">
        <x:f>EXP('Transformaciones'!B98+K106)</x:f>
        <x:v>1902.103215089397</x:v>
      </x:c>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t="str">
        <x:f>'Transformaciones'!A100</x:f>
        <x:v>2013-10</x:v>
      </x:c>
      <x:c r="B107" s="98" t="n">
        <x:f>'Transformaciones'!C100</x:f>
        <x:v>-0.018073692206871605</x:v>
      </x:c>
      <x:c r="C107" s="98" t="n">
        <x:f>$B$6</x:f>
        <x:v>-0.0005941980394302418</x:v>
      </x:c>
      <x:c r="D107" s="98" t="n">
        <x:f>$B$7*'Transformaciones'!E100</x:f>
        <x:v>0.00042452851777161093</x:v>
      </x:c>
      <x:c r="E107" s="98" t="n">
        <x:f>$B$11*'Transformaciones'!M100</x:f>
        <x:v>-0.013314330874768307</x:v>
      </x:c>
      <x:c r="F107" s="98" t="n">
        <x:f>$B$12*'Transformaciones'!O100</x:f>
        <x:v>0.001824903374817233</x:v>
      </x:c>
      <x:c r="G107" s="98" t="n">
        <x:f>$B$8*'Transformaciones'!G99</x:f>
        <x:v>0.0026539628149066657</x:v>
      </x:c>
      <x:c r="H107" s="98" t="n">
        <x:f>$B$9*'Transformaciones'!I99</x:f>
        <x:v>0</x:v>
      </x:c>
      <x:c r="I107" s="98" t="n">
        <x:f>$B$10*'Transformaciones'!K99</x:f>
        <x:v>-0.0008434205644561281</x:v>
      </x:c>
      <x:c r="J107" s="98" t="n">
        <x:f>$B$13*'Transformaciones'!P100</x:f>
        <x:v>0</x:v>
      </x:c>
      <x:c r="K107" s="109" t="n">
        <x:f>SUM(C107:J107)</x:f>
        <x:v>-0.009848554771159167</x:v>
      </x:c>
      <x:c r="L107" s="109" t="n">
        <x:f>B107-K107</x:f>
        <x:v>-0.008225137435712439</x:v>
      </x:c>
      <x:c r="M107" s="94" t="n">
        <x:f>'Datos_fuente'!B100</x:f>
        <x:v>1885.13129</x:v>
      </x:c>
      <x:c r="N107" s="94" t="n">
        <x:f>EXP('Transformaciones'!B99+K107)</x:f>
        <x:v>1900.7006964222453</x:v>
      </x:c>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t="str">
        <x:f>'Transformaciones'!A101</x:f>
        <x:v>2013-11</x:v>
      </x:c>
      <x:c r="B108" s="98" t="n">
        <x:f>'Transformaciones'!C101</x:f>
        <x:v>0.019240321981119912</x:v>
      </x:c>
      <x:c r="C108" s="98" t="n">
        <x:f>$B$6</x:f>
        <x:v>-0.0005941980394302418</x:v>
      </x:c>
      <x:c r="D108" s="98" t="n">
        <x:f>$B$7*'Transformaciones'!E101</x:f>
        <x:v>0.0006590798442632263</x:v>
      </x:c>
      <x:c r="E108" s="98" t="n">
        <x:f>$B$11*'Transformaciones'!M101</x:f>
        <x:v>0.011992320936570919</x:v>
      </x:c>
      <x:c r="F108" s="98" t="n">
        <x:f>$B$12*'Transformaciones'!O101</x:f>
        <x:v>-0.006743376797482219</x:v>
      </x:c>
      <x:c r="G108" s="98" t="n">
        <x:f>$B$8*'Transformaciones'!G100</x:f>
        <x:v>0.0009431704916829561</x:v>
      </x:c>
      <x:c r="H108" s="98" t="n">
        <x:f>$B$9*'Transformaciones'!I100</x:f>
        <x:v>0.00009896079617419823</x:v>
      </x:c>
      <x:c r="I108" s="98" t="n">
        <x:f>$B$10*'Transformaciones'!K100</x:f>
        <x:v>0.00043263568671324904</x:v>
      </x:c>
      <x:c r="J108" s="98" t="n">
        <x:f>$B$13*'Transformaciones'!P101</x:f>
        <x:v>0</x:v>
      </x:c>
      <x:c r="K108" s="109" t="n">
        <x:f>SUM(C108:J108)</x:f>
        <x:v>0.0067885929184920875</x:v>
      </x:c>
      <x:c r="L108" s="109" t="n">
        <x:f>B108-K108</x:f>
        <x:v>0.012451729062627825</x:v>
      </x:c>
      <x:c r="M108" s="94" t="n">
        <x:f>'Datos_fuente'!B101</x:f>
        <x:v>1921.753</x:v>
      </x:c>
      <x:c r="N108" s="94" t="n">
        <x:f>EXP('Transformaciones'!B100+K108)</x:f>
        <x:v>1897.9722155192865</x:v>
      </x:c>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t="str">
        <x:f>'Transformaciones'!A102</x:f>
        <x:v>2013-12</x:v>
      </x:c>
      <x:c r="B109" s="98" t="n">
        <x:f>'Transformaciones'!C102</x:f>
        <x:v>0.005812713835989136</x:v>
      </x:c>
      <x:c r="C109" s="98" t="n">
        <x:f>$B$6</x:f>
        <x:v>-0.0005941980394302418</x:v>
      </x:c>
      <x:c r="D109" s="98" t="n">
        <x:f>$B$7*'Transformaciones'!E102</x:f>
        <x:v>-0.0002704338997930258</x:v>
      </x:c>
      <x:c r="E109" s="98" t="n">
        <x:f>$B$11*'Transformaciones'!M102</x:f>
        <x:v>0.00218701677772852</x:v>
      </x:c>
      <x:c r="F109" s="98" t="n">
        <x:f>$B$12*'Transformaciones'!O102</x:f>
        <x:v>0.0035912816343353793</x:v>
      </x:c>
      <x:c r="G109" s="98" t="n">
        <x:f>$B$8*'Transformaciones'!G101</x:f>
        <x:v>0.00213208505900906</x:v>
      </x:c>
      <x:c r="H109" s="98" t="n">
        <x:f>$B$9*'Transformaciones'!I101</x:f>
        <x:v>-0.00009896079617419823</x:v>
      </x:c>
      <x:c r="I109" s="98" t="n">
        <x:f>$B$10*'Transformaciones'!K101</x:f>
        <x:v>-0.0001540658223623048</x:v>
      </x:c>
      <x:c r="J109" s="98" t="n">
        <x:f>$B$13*'Transformaciones'!P102</x:f>
        <x:v>0</x:v>
      </x:c>
      <x:c r="K109" s="109" t="n">
        <x:f>SUM(C109:J109)</x:f>
        <x:v>0.006792724913313189</x:v>
      </x:c>
      <x:c r="L109" s="109" t="n">
        <x:f>B109-K109</x:f>
        <x:v>-0.0009800110773240528</x:v>
      </x:c>
      <x:c r="M109" s="94" t="n">
        <x:f>'Datos_fuente'!B102</x:f>
        <x:v>1932.956129</x:v>
      </x:c>
      <x:c r="N109" s="94" t="n">
        <x:f>EXP('Transformaciones'!B101+K109)</x:f>
        <x:v>1934.8513759482175</x:v>
      </x:c>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t="str">
        <x:f>'Transformaciones'!A103</x:f>
        <x:v>2014-01</x:v>
      </x:c>
      <x:c r="B110" s="98" t="n">
        <x:f>'Transformaciones'!C103</x:f>
        <x:v>0.012508876101176014</x:v>
      </x:c>
      <x:c r="C110" s="98" t="n">
        <x:f>$B$6</x:f>
        <x:v>-0.0005941980394302418</x:v>
      </x:c>
      <x:c r="D110" s="98" t="n">
        <x:f>$B$7*'Transformaciones'!E103</x:f>
        <x:v>0.0032620128432585336</x:v>
      </x:c>
      <x:c r="E110" s="98" t="n">
        <x:f>$B$11*'Transformaciones'!M103</x:f>
        <x:v>0.012620515046379241</x:v>
      </x:c>
      <x:c r="F110" s="98" t="n">
        <x:f>$B$12*'Transformaciones'!O103</x:f>
        <x:v>0.00013105934056113481</x:v>
      </x:c>
      <x:c r="G110" s="98" t="n">
        <x:f>$B$8*'Transformaciones'!G102</x:f>
        <x:v>0.0035690803463346607</x:v>
      </x:c>
      <x:c r="H110" s="98" t="n">
        <x:f>$B$9*'Transformaciones'!I102</x:f>
        <x:v>0.00009896079617419823</x:v>
      </x:c>
      <x:c r="I110" s="98" t="n">
        <x:f>$B$10*'Transformaciones'!K102</x:f>
        <x:v>-0.0045393818936910945</x:v>
      </x:c>
      <x:c r="J110" s="98" t="n">
        <x:f>$B$13*'Transformaciones'!P103</x:f>
        <x:v>0</x:v>
      </x:c>
      <x:c r="K110" s="109" t="n">
        <x:f>SUM(C110:J110)</x:f>
        <x:v>0.01454804843958643</x:v>
      </x:c>
      <x:c r="L110" s="109" t="n">
        <x:f>B110-K110</x:f>
        <x:v>-0.0020391723384104166</x:v>
      </x:c>
      <x:c r="M110" s="94" t="n">
        <x:f>'Datos_fuente'!B103</x:f>
        <x:v>1957.287097</x:v>
      </x:c>
      <x:c r="N110" s="94" t="n">
        <x:f>EXP('Transformaciones'!B102+K110)</x:f>
        <x:v>1961.282414892943</x:v>
      </x:c>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t="str">
        <x:f>'Transformaciones'!A104</x:f>
        <x:v>2014-02</x:v>
      </x:c>
      <x:c r="B111" s="98" t="n">
        <x:f>'Transformaciones'!C104</x:f>
        <x:v>0.04065118383434463</x:v>
      </x:c>
      <x:c r="C111" s="98" t="n">
        <x:f>$B$6</x:f>
        <x:v>-0.0005941980394302418</x:v>
      </x:c>
      <x:c r="D111" s="98" t="n">
        <x:f>$B$7*'Transformaciones'!E104</x:f>
        <x:v>-0.00014913039873200805</x:v>
      </x:c>
      <x:c r="E111" s="98" t="n">
        <x:f>$B$11*'Transformaciones'!M104</x:f>
        <x:v>0.002437657317550412</x:v>
      </x:c>
      <x:c r="F111" s="98" t="n">
        <x:f>$B$12*'Transformaciones'!O104</x:f>
        <x:v>0.0031755173279577093</x:v>
      </x:c>
      <x:c r="G111" s="98" t="n">
        <x:f>$B$8*'Transformaciones'!G103</x:f>
        <x:v>0.0014519608340506879</x:v>
      </x:c>
      <x:c r="H111" s="98" t="n">
        <x:f>$B$9*'Transformaciones'!I103</x:f>
        <x:v>-0.00019792159234840084</x:v>
      </x:c>
      <x:c r="I111" s="98" t="n">
        <x:f>$B$10*'Transformaciones'!K103</x:f>
        <x:v>0.0002516007500147139</x:v>
      </x:c>
      <x:c r="J111" s="98" t="n">
        <x:f>$B$13*'Transformaciones'!P104</x:f>
        <x:v>0</x:v>
      </x:c>
      <x:c r="K111" s="109" t="n">
        <x:f>SUM(C111:J111)</x:f>
        <x:v>0.006375486199062872</x:v>
      </x:c>
      <x:c r="L111" s="109" t="n">
        <x:f>B111-K111</x:f>
        <x:v>0.03427569763528176</x:v>
      </x:c>
      <x:c r="M111" s="94" t="n">
        <x:f>'Datos_fuente'!B104</x:f>
        <x:v>2038.4925</x:v>
      </x:c>
      <x:c r="N111" s="94" t="n">
        <x:f>EXP('Transformaciones'!B103+K111)</x:f>
        <x:v>1969.8056172980778</x:v>
      </x:c>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t="str">
        <x:f>'Transformaciones'!A105</x:f>
        <x:v>2014-03</x:v>
      </x:c>
      <x:c r="B112" s="98" t="n">
        <x:f>'Transformaciones'!C105</x:f>
        <x:v>-0.009255030086472438</x:v>
      </x:c>
      <x:c r="C112" s="98" t="n">
        <x:f>$B$6</x:f>
        <x:v>-0.0005941980394302418</x:v>
      </x:c>
      <x:c r="D112" s="98" t="n">
        <x:f>$B$7*'Transformaciones'!E105</x:f>
        <x:v>-0.0016514281869095982</x:v>
      </x:c>
      <x:c r="E112" s="98" t="n">
        <x:f>$B$11*'Transformaciones'!M105</x:f>
        <x:v>-0.002760537669190377</x:v>
      </x:c>
      <x:c r="F112" s="98" t="n">
        <x:f>$B$12*'Transformaciones'!O105</x:f>
        <x:v>-0.0016035106387145735</x:v>
      </x:c>
      <x:c r="G112" s="98" t="n">
        <x:f>$B$8*'Transformaciones'!G104</x:f>
        <x:v>0.0008050938031321566</x:v>
      </x:c>
      <x:c r="H112" s="98" t="n">
        <x:f>$B$9*'Transformaciones'!I104</x:f>
        <x:v>0</x:v>
      </x:c>
      <x:c r="I112" s="98" t="n">
        <x:f>$B$10*'Transformaciones'!K104</x:f>
        <x:v>0.0005576809662250738</x:v>
      </x:c>
      <x:c r="J112" s="98" t="n">
        <x:f>$B$13*'Transformaciones'!P105</x:f>
        <x:v>0</x:v>
      </x:c>
      <x:c r="K112" s="109" t="n">
        <x:f>SUM(C112:J112)</x:f>
        <x:v>-0.00524689976488756</x:v>
      </x:c>
      <x:c r="L112" s="109" t="n">
        <x:f>B112-K112</x:f>
        <x:v>-0.004008130321584878</x:v>
      </x:c>
      <x:c r="M112" s="94" t="n">
        <x:f>'Datos_fuente'!B105</x:f>
        <x:v>2019.713226</x:v>
      </x:c>
      <x:c r="N112" s="94" t="n">
        <x:f>EXP('Transformaciones'!B104+K112)</x:f>
        <x:v>2027.824744975251</x:v>
      </x:c>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t="str">
        <x:f>'Transformaciones'!A106</x:f>
        <x:v>2014-04</x:v>
      </x:c>
      <x:c r="B113" s="98" t="n">
        <x:f>'Transformaciones'!C106</x:f>
        <x:v>-0.04111310748183783</x:v>
      </x:c>
      <x:c r="C113" s="98" t="n">
        <x:f>$B$6</x:f>
        <x:v>-0.0005941980394302418</x:v>
      </x:c>
      <x:c r="D113" s="98" t="n">
        <x:f>$B$7*'Transformaciones'!E106</x:f>
        <x:v>0.0014572436522908984</x:v>
      </x:c>
      <x:c r="E113" s="98" t="n">
        <x:f>$B$11*'Transformaciones'!M106</x:f>
        <x:v>-0.006023743451245169</x:v>
      </x:c>
      <x:c r="F113" s="98" t="n">
        <x:f>$B$12*'Transformaciones'!O106</x:f>
        <x:v>-0.0016876240120116636</x:v>
      </x:c>
      <x:c r="G113" s="98" t="n">
        <x:f>$B$8*'Transformaciones'!G105</x:f>
        <x:v>0.0002821638021882022</x:v>
      </x:c>
      <x:c r="H113" s="98" t="n">
        <x:f>$B$9*'Transformaciones'!I105</x:f>
        <x:v>0.00009896079617420262</x:v>
      </x:c>
      <x:c r="I113" s="98" t="n">
        <x:f>$B$10*'Transformaciones'!K105</x:f>
        <x:v>0.00012399289907955857</x:v>
      </x:c>
      <x:c r="J113" s="98" t="n">
        <x:f>$B$13*'Transformaciones'!P106</x:f>
        <x:v>0</x:v>
      </x:c>
      <x:c r="K113" s="109" t="n">
        <x:f>SUM(C113:J113)</x:f>
        <x:v>-0.006343204352954212</x:v>
      </x:c>
      <x:c r="L113" s="109" t="n">
        <x:f>B113-K113</x:f>
        <x:v>-0.03476990312888362</x:v>
      </x:c>
      <x:c r="M113" s="94" t="n">
        <x:f>'Datos_fuente'!B106</x:f>
        <x:v>1938.360333</x:v>
      </x:c>
      <x:c r="N113" s="94" t="n">
        <x:f>EXP('Transformaciones'!B105+K113)</x:f>
        <x:v>2006.9423193295877</x:v>
      </x:c>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t="str">
        <x:f>'Transformaciones'!A107</x:f>
        <x:v>2014-05</x:v>
      </x:c>
      <x:c r="B114" s="98" t="n">
        <x:f>'Transformaciones'!C107</x:f>
        <x:v>-0.011936326617412618</x:v>
      </x:c>
      <x:c r="C114" s="98" t="n">
        <x:f>$B$6</x:f>
        <x:v>-0.0005941980394302418</x:v>
      </x:c>
      <x:c r="D114" s="98" t="n">
        <x:f>$B$7*'Transformaciones'!E107</x:f>
        <x:v>0.003762235796673528</x:v>
      </x:c>
      <x:c r="E114" s="98" t="n">
        <x:f>$B$11*'Transformaciones'!M107</x:f>
        <x:v>-0.004421822744318349</x:v>
      </x:c>
      <x:c r="F114" s="98" t="n">
        <x:f>$B$12*'Transformaciones'!O107</x:f>
        <x:v>-0.004962396596170016</x:v>
      </x:c>
      <x:c r="G114" s="98" t="n">
        <x:f>$B$8*'Transformaciones'!G106</x:f>
        <x:v>-0.0043989540301011005</x:v>
      </x:c>
      <x:c r="H114" s="98" t="n">
        <x:f>$B$9*'Transformaciones'!I106</x:f>
        <x:v>-0.00014844119426130173</x:v>
      </x:c>
      <x:c r="I114" s="98" t="n">
        <x:f>$B$10*'Transformaciones'!K106</x:f>
        <x:v>0.0008943170791761982</x:v>
      </x:c>
      <x:c r="J114" s="98" t="n">
        <x:f>$B$13*'Transformaciones'!P107</x:f>
        <x:v>0</x:v>
      </x:c>
      <x:c r="K114" s="109" t="n">
        <x:f>SUM(C114:J114)</x:f>
        <x:v>-0.009869259728431282</x:v>
      </x:c>
      <x:c r="L114" s="109" t="n">
        <x:f>B114-K114</x:f>
        <x:v>-0.002067066888981336</x:v>
      </x:c>
      <x:c r="M114" s="94" t="n">
        <x:f>'Datos_fuente'!B107</x:f>
        <x:v>1915.360968</x:v>
      </x:c>
      <x:c r="N114" s="94" t="n">
        <x:f>EXP('Transformaciones'!B106+K114)</x:f>
        <x:v>1919.3242420024533</x:v>
      </x:c>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t="str">
        <x:f>'Transformaciones'!A108</x:f>
        <x:v>2014-06</x:v>
      </x:c>
      <x:c r="B115" s="98" t="n">
        <x:f>'Transformaciones'!C108</x:f>
        <x:v>-0.014896989542501515</x:v>
      </x:c>
      <x:c r="C115" s="98" t="n">
        <x:f>$B$6</x:f>
        <x:v>-0.0005941980394302418</x:v>
      </x:c>
      <x:c r="D115" s="98" t="n">
        <x:f>$B$7*'Transformaciones'!E108</x:f>
        <x:v>-0.008627724666449526</x:v>
      </x:c>
      <x:c r="E115" s="98" t="n">
        <x:f>$B$11*'Transformaciones'!M108</x:f>
        <x:v>0.0021396844627262577</x:v>
      </x:c>
      <x:c r="F115" s="98" t="n">
        <x:f>$B$12*'Transformaciones'!O108</x:f>
        <x:v>-0.0029845510463629935</x:v>
      </x:c>
      <x:c r="G115" s="98" t="n">
        <x:f>$B$8*'Transformaciones'!G107</x:f>
        <x:v>-0.003992198084796684</x:v>
      </x:c>
      <x:c r="H115" s="98" t="n">
        <x:f>$B$9*'Transformaciones'!I107</x:f>
        <x:v>-0.0022266179139195084</x:v>
      </x:c>
      <x:c r="I115" s="98" t="n">
        <x:f>$B$10*'Transformaciones'!K107</x:f>
        <x:v>0.0008467300409458605</x:v>
      </x:c>
      <x:c r="J115" s="98" t="n">
        <x:f>$B$13*'Transformaciones'!P108</x:f>
        <x:v>0</x:v>
      </x:c>
      <x:c r="K115" s="109" t="n">
        <x:f>SUM(C115:J115)</x:f>
        <x:v>-0.015438875247286836</x:v>
      </x:c>
      <x:c r="L115" s="109" t="n">
        <x:f>B115-K115</x:f>
        <x:v>0.000541885704785321</x:v>
      </x:c>
      <x:c r="M115" s="94" t="n">
        <x:f>'Datos_fuente'!B108</x:f>
        <x:v>1887.039333</x:v>
      </x:c>
      <x:c r="N115" s="94" t="n">
        <x:f>EXP('Transformaciones'!B107+K115)</x:f>
        <x:v>1886.017050366268</x:v>
      </x:c>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t="str">
        <x:f>'Transformaciones'!A109</x:f>
        <x:v>2014-07</x:v>
      </x:c>
      <x:c r="B116" s="98" t="n">
        <x:f>'Transformaciones'!C109</x:f>
        <x:v>-0.01569998777481718</x:v>
      </x:c>
      <x:c r="C116" s="98" t="n">
        <x:f>$B$6</x:f>
        <x:v>-0.0005941980394302418</x:v>
      </x:c>
      <x:c r="D116" s="98" t="n">
        <x:f>$B$7*'Transformaciones'!E109</x:f>
        <x:v>0.008903389082205945</x:v>
      </x:c>
      <x:c r="E116" s="98" t="n">
        <x:f>$B$11*'Transformaciones'!M109</x:f>
        <x:v>-0.0030403974910527135</x:v>
      </x:c>
      <x:c r="F116" s="98" t="n">
        <x:f>$B$12*'Transformaciones'!O109</x:f>
        <x:v>0.002430542789222861</x:v>
      </x:c>
      <x:c r="G116" s="98" t="n">
        <x:f>$B$8*'Transformaciones'!G108</x:f>
        <x:v>-0.004821486081967348</x:v>
      </x:c>
      <x:c r="H116" s="98" t="n">
        <x:f>$B$9*'Transformaciones'!I108</x:f>
        <x:v>-0.0027873957622053325</x:v>
      </x:c>
      <x:c r="I116" s="98" t="n">
        <x:f>$B$10*'Transformaciones'!K108</x:f>
        <x:v>0.0020509402744761968</x:v>
      </x:c>
      <x:c r="J116" s="98" t="n">
        <x:f>$B$13*'Transformaciones'!P109</x:f>
        <x:v>0</x:v>
      </x:c>
      <x:c r="K116" s="109" t="n">
        <x:f>SUM(C116:J116)</x:f>
        <x:v>0.0021413947712493673</x:v>
      </x:c>
      <x:c r="L116" s="109" t="n">
        <x:f>B116-K116</x:f>
        <x:v>-0.01784138254606655</x:v>
      </x:c>
      <x:c r="M116" s="94" t="n">
        <x:f>'Datos_fuente'!B109</x:f>
        <x:v>1857.644194</x:v>
      </x:c>
      <x:c r="N116" s="94" t="n">
        <x:f>EXP('Transformaciones'!B108+K116)</x:f>
        <x:v>1891.0845588277402</x:v>
      </x:c>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t="str">
        <x:f>'Transformaciones'!A110</x:f>
        <x:v>2014-08</x:v>
      </x:c>
      <x:c r="B117" s="98" t="n">
        <x:f>'Transformaciones'!C110</x:f>
        <x:v>0.02155751904692238</x:v>
      </x:c>
      <x:c r="C117" s="98" t="n">
        <x:f>$B$6</x:f>
        <x:v>-0.0005941980394302418</x:v>
      </x:c>
      <x:c r="D117" s="98" t="n">
        <x:f>$B$7*'Transformaciones'!E110</x:f>
        <x:v>-0.001940310329954013</x:v>
      </x:c>
      <x:c r="E117" s="98" t="n">
        <x:f>$B$11*'Transformaciones'!M110</x:f>
        <x:v>0.013234213069012053</x:v>
      </x:c>
      <x:c r="F117" s="98" t="n">
        <x:f>$B$12*'Transformaciones'!O110</x:f>
        <x:v>0.003559329575801165</x:v>
      </x:c>
      <x:c r="G117" s="98" t="n">
        <x:f>$B$8*'Transformaciones'!G109</x:f>
        <x:v>-0.0031537657258010627</x:v>
      </x:c>
      <x:c r="H117" s="98" t="n">
        <x:f>$B$9*'Transformaciones'!I109</x:f>
        <x:v>-0.0021606440465046844</x:v>
      </x:c>
      <x:c r="I117" s="98" t="n">
        <x:f>$B$10*'Transformaciones'!K109</x:f>
        <x:v>-0.00026384962164900536</x:v>
      </x:c>
      <x:c r="J117" s="98" t="n">
        <x:f>$B$13*'Transformaciones'!P110</x:f>
        <x:v>0</x:v>
      </x:c>
      <x:c r="K117" s="109" t="n">
        <x:f>SUM(C117:J117)</x:f>
        <x:v>0.00868077488147421</x:v>
      </x:c>
      <x:c r="L117" s="109" t="n">
        <x:f>B117-K117</x:f>
        <x:v>0.01287674416544817</x:v>
      </x:c>
      <x:c r="M117" s="94" t="n">
        <x:f>'Datos_fuente'!B110</x:f>
        <x:v>1898.125161</x:v>
      </x:c>
      <x:c r="N117" s="94" t="n">
        <x:f>EXP('Transformaciones'!B109+K117)</x:f>
        <x:v>1873.8401802080525</x:v>
      </x:c>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t="str">
        <x:f>'Transformaciones'!A111</x:f>
        <x:v>2014-09</x:v>
      </x:c>
      <x:c r="B118" s="98" t="n">
        <x:f>'Transformaciones'!C111</x:f>
        <x:v>0.03905175664962712</x:v>
      </x:c>
      <x:c r="C118" s="98" t="n">
        <x:f>$B$6</x:f>
        <x:v>-0.0005941980394302418</x:v>
      </x:c>
      <x:c r="D118" s="98" t="n">
        <x:f>$B$7*'Transformaciones'!E111</x:f>
        <x:v>0.0037474513159594974</x:v>
      </x:c>
      <x:c r="E118" s="98" t="n">
        <x:f>$B$11*'Transformaciones'!M111</x:f>
        <x:v>0.020587219717360872</x:v>
      </x:c>
      <x:c r="F118" s="98" t="n">
        <x:f>$B$12*'Transformaciones'!O111</x:f>
        <x:v>-0.00007182475934828158</x:v>
      </x:c>
      <x:c r="G118" s="98" t="n">
        <x:f>$B$8*'Transformaciones'!G110</x:f>
        <x:v>-0.00378882361260003</x:v>
      </x:c>
      <x:c r="H118" s="98" t="n">
        <x:f>$B$9*'Transformaciones'!I110</x:f>
        <x:v>-0.0024740199043550085</x:v>
      </x:c>
      <x:c r="I118" s="98" t="n">
        <x:f>$B$10*'Transformaciones'!K110</x:f>
        <x:v>0.0014977625458489306</x:v>
      </x:c>
      <x:c r="J118" s="98" t="n">
        <x:f>$B$13*'Transformaciones'!P111</x:f>
        <x:v>0</x:v>
      </x:c>
      <x:c r="K118" s="109" t="n">
        <x:f>SUM(C118:J118)</x:f>
        <x:v>0.01890356726343574</x:v>
      </x:c>
      <x:c r="L118" s="109" t="n">
        <x:f>B118-K118</x:f>
        <x:v>0.02014818938619138</x:v>
      </x:c>
      <x:c r="M118" s="94" t="n">
        <x:f>'Datos_fuente'!B111</x:f>
        <x:v>1973.716667</x:v>
      </x:c>
      <x:c r="N118" s="94" t="n">
        <x:f>EXP('Transformaciones'!B110+K118)</x:f>
        <x:v>1934.347787425253</x:v>
      </x:c>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t="str">
        <x:f>'Transformaciones'!A112</x:f>
        <x:v>2014-10</x:v>
      </x:c>
      <x:c r="B119" s="98" t="n">
        <x:f>'Transformaciones'!C112</x:f>
        <x:v>0.037222330573758455</x:v>
      </x:c>
      <x:c r="C119" s="98" t="n">
        <x:f>$B$6</x:f>
        <x:v>-0.0005941980394302418</x:v>
      </x:c>
      <x:c r="D119" s="98" t="n">
        <x:f>$B$7*'Transformaciones'!E112</x:f>
        <x:v>0.00880129581658357</x:v>
      </x:c>
      <x:c r="E119" s="98" t="n">
        <x:f>$B$11*'Transformaciones'!M112</x:f>
        <x:v>0.017368185996106417</x:v>
      </x:c>
      <x:c r="F119" s="98" t="n">
        <x:f>$B$12*'Transformaciones'!O112</x:f>
        <x:v>0.01125535248232634</x:v>
      </x:c>
      <x:c r="G119" s="98" t="n">
        <x:f>$B$8*'Transformaciones'!G111</x:f>
        <x:v>-0.0007281794474316628</x:v>
      </x:c>
      <x:c r="H119" s="98" t="n">
        <x:f>$B$9*'Transformaciones'!I111</x:f>
        <x:v>-0.0024740199043550085</x:v>
      </x:c>
      <x:c r="I119" s="98" t="n">
        <x:f>$B$10*'Transformaciones'!K111</x:f>
        <x:v>-0.0009190685075305025</x:v>
      </x:c>
      <x:c r="J119" s="98" t="n">
        <x:f>$B$13*'Transformaciones'!P112</x:f>
        <x:v>0</x:v>
      </x:c>
      <x:c r="K119" s="109" t="n">
        <x:f>SUM(C119:J119)</x:f>
        <x:v>0.03270936839626891</x:v>
      </x:c>
      <x:c r="L119" s="109" t="n">
        <x:f>B119-K119</x:f>
        <x:v>0.004512962177489546</x:v>
      </x:c>
      <x:c r="M119" s="94" t="n">
        <x:f>'Datos_fuente'!B112</x:f>
        <x:v>2048.567419</x:v>
      </x:c>
      <x:c r="N119" s="94" t="n">
        <x:f>EXP('Transformaciones'!B111+K119)</x:f>
        <x:v>2039.34314178288</x:v>
      </x:c>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t="str">
        <x:f>'Transformaciones'!A113</x:f>
        <x:v>2014-11</x:v>
      </x:c>
      <x:c r="B120" s="98" t="n">
        <x:f>'Transformaciones'!C113</x:f>
        <x:v>0.0383630631072327</x:v>
      </x:c>
      <x:c r="C120" s="98" t="n">
        <x:f>$B$6</x:f>
        <x:v>-0.0005941980394302418</x:v>
      </x:c>
      <x:c r="D120" s="98" t="n">
        <x:f>$B$7*'Transformaciones'!E113</x:f>
        <x:v>0.002524305482885412</x:v>
      </x:c>
      <x:c r="E120" s="98" t="n">
        <x:f>$B$11*'Transformaciones'!M113</x:f>
        <x:v>0.02172554046582409</x:v>
      </x:c>
      <x:c r="F120" s="98" t="n">
        <x:f>$B$12*'Transformaciones'!O113</x:f>
        <x:v>-0.01140807871377941</x:v>
      </x:c>
      <x:c r="G120" s="98" t="n">
        <x:f>$B$8*'Transformaciones'!G112</x:f>
        <x:v>-0.0012813072993646075</x:v>
      </x:c>
      <x:c r="H120" s="98" t="n">
        <x:f>$B$9*'Transformaciones'!I112</x:f>
        <x:v>0</x:v>
      </x:c>
      <x:c r="I120" s="98" t="n">
        <x:f>$B$10*'Transformaciones'!K112</x:f>
        <x:v>-0.0017295455463456155</x:v>
      </x:c>
      <x:c r="J120" s="98" t="n">
        <x:f>$B$13*'Transformaciones'!P113</x:f>
        <x:v>0</x:v>
      </x:c>
      <x:c r="K120" s="109" t="n">
        <x:f>SUM(C120:J120)</x:f>
        <x:v>0.009236716349789625</x:v>
      </x:c>
      <x:c r="L120" s="109" t="n">
        <x:f>B120-K120</x:f>
        <x:v>0.02912634675744307</x:v>
      </x:c>
      <x:c r="M120" s="94" t="n">
        <x:f>'Datos_fuente'!B113</x:f>
        <x:v>2128.683667</x:v>
      </x:c>
      <x:c r="N120" s="94" t="n">
        <x:f>EXP('Transformaciones'!B112+K120)</x:f>
        <x:v>2067.5771135972986</x:v>
      </x:c>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t="str">
        <x:f>'Transformaciones'!A114</x:f>
        <x:v>2014-12</x:v>
      </x:c>
      <x:c r="B121" s="98" t="n">
        <x:f>'Transformaciones'!C114</x:f>
        <x:v>0.09560972866176964</x:v>
      </x:c>
      <x:c r="C121" s="98" t="n">
        <x:f>$B$6</x:f>
        <x:v>-0.0005941980394302418</x:v>
      </x:c>
      <x:c r="D121" s="98" t="n">
        <x:f>$B$7*'Transformaciones'!E114</x:f>
        <x:v>0.01032595299240618</x:v>
      </x:c>
      <x:c r="E121" s="98" t="n">
        <x:f>$B$11*'Transformaciones'!M114</x:f>
        <x:v>0.029609838712125552</x:v>
      </x:c>
      <x:c r="F121" s="98" t="n">
        <x:f>$B$12*'Transformaciones'!O114</x:f>
        <x:v>0.007459385523949358</x:v>
      </x:c>
      <x:c r="G121" s="98" t="n">
        <x:f>$B$8*'Transformaciones'!G113</x:f>
        <x:v>-0.0024668878117793543</x:v>
      </x:c>
      <x:c r="H121" s="98" t="n">
        <x:f>$B$9*'Transformaciones'!I113</x:f>
        <x:v>0</x:v>
      </x:c>
      <x:c r="I121" s="98" t="n">
        <x:f>$B$10*'Transformaciones'!K113</x:f>
        <x:v>-0.0007994857447764189</x:v>
      </x:c>
      <x:c r="J121" s="98" t="n">
        <x:f>$B$13*'Transformaciones'!P114</x:f>
        <x:v>0</x:v>
      </x:c>
      <x:c r="K121" s="109" t="n">
        <x:f>SUM(C121:J121)</x:f>
        <x:v>0.043534605632495074</x:v>
      </x:c>
      <x:c r="L121" s="109" t="n">
        <x:f>B121-K121</x:f>
        <x:v>0.05207512302927457</x:v>
      </x:c>
      <x:c r="M121" s="94" t="n">
        <x:f>'Datos_fuente'!B114</x:f>
        <x:v>2342.253548</x:v>
      </x:c>
      <x:c r="N121" s="94" t="n">
        <x:f>EXP('Transformaciones'!B113+K121)</x:f>
        <x:v>2223.401871623679</x:v>
      </x:c>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t="str">
        <x:f>'Transformaciones'!A115</x:f>
        <x:v>2015-01</x:v>
      </x:c>
      <x:c r="B122" s="98" t="n">
        <x:f>'Transformaciones'!C115</x:f>
        <x:v>0.0232120906867479</x:v>
      </x:c>
      <x:c r="C122" s="98" t="n">
        <x:f>$B$6</x:f>
        <x:v>-0.0005941980394302418</x:v>
      </x:c>
      <x:c r="D122" s="98" t="n">
        <x:f>$B$7*'Transformaciones'!E115</x:f>
        <x:v>0.011811752275752917</x:v>
      </x:c>
      <x:c r="E122" s="98" t="n">
        <x:f>$B$11*'Transformaciones'!M115</x:f>
        <x:v>0.02877988270244494</x:v>
      </x:c>
      <x:c r="F122" s="98" t="n">
        <x:f>$B$12*'Transformaciones'!O115</x:f>
        <x:v>0.006138366501091478</x:v>
      </x:c>
      <x:c r="G122" s="98" t="n">
        <x:f>$B$8*'Transformaciones'!G114</x:f>
        <x:v>0.002041615204734659</x:v>
      </x:c>
      <x:c r="H122" s="98" t="n">
        <x:f>$B$9*'Transformaciones'!I114</x:f>
        <x:v>0.00029688238852260346</x:v>
      </x:c>
      <x:c r="I122" s="98" t="n">
        <x:f>$B$10*'Transformaciones'!K114</x:f>
        <x:v>-0.0021466771677434537</x:v>
      </x:c>
      <x:c r="J122" s="98" t="n">
        <x:f>$B$13*'Transformaciones'!P115</x:f>
        <x:v>0</x:v>
      </x:c>
      <x:c r="K122" s="109" t="n">
        <x:f>SUM(C122:J122)</x:f>
        <x:v>0.046327623865372904</x:v>
      </x:c>
      <x:c r="L122" s="109" t="n">
        <x:f>B122-K122</x:f>
        <x:v>-0.023115533178625004</x:v>
      </x:c>
      <x:c r="M122" s="94" t="n">
        <x:f>'Datos_fuente'!B115</x:f>
        <x:v>2397.258065</x:v>
      </x:c>
      <x:c r="N122" s="94" t="n">
        <x:f>EXP('Transformaciones'!B114+K122)</x:f>
        <x:v>2453.3173877574845</x:v>
      </x:c>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t="str">
        <x:f>'Transformaciones'!A116</x:f>
        <x:v>2015-02</x:v>
      </x:c>
      <x:c r="B123" s="98" t="n">
        <x:f>'Transformaciones'!C116</x:f>
        <x:v>0.009719782808037536</x:v>
      </x:c>
      <x:c r="C123" s="98" t="n">
        <x:f>$B$6</x:f>
        <x:v>-0.0005941980394302418</x:v>
      </x:c>
      <x:c r="D123" s="98" t="n">
        <x:f>$B$7*'Transformaciones'!E116</x:f>
        <x:v>-0.004210506781192485</x:v>
      </x:c>
      <x:c r="E123" s="98" t="n">
        <x:f>$B$11*'Transformaciones'!M116</x:f>
        <x:v>0.01717725726199374</x:v>
      </x:c>
      <x:c r="F123" s="98" t="n">
        <x:f>$B$12*'Transformaciones'!O116</x:f>
        <x:v>-0.007063125100210781</x:v>
      </x:c>
      <x:c r="G123" s="98" t="n">
        <x:f>$B$8*'Transformaciones'!G115</x:f>
        <x:v>-0.00024127845338114102</x:v>
      </x:c>
      <x:c r="H123" s="98" t="n">
        <x:f>$B$9*'Transformaciones'!I115</x:f>
        <x:v>-0.00009896079617419823</x:v>
      </x:c>
      <x:c r="I123" s="98" t="n">
        <x:f>$B$10*'Transformaciones'!K115</x:f>
        <x:v>0.0013233416692091965</x:v>
      </x:c>
      <x:c r="J123" s="98" t="n">
        <x:f>$B$13*'Transformaciones'!P116</x:f>
        <x:v>0</x:v>
      </x:c>
      <x:c r="K123" s="109" t="n">
        <x:f>SUM(C123:J123)</x:f>
        <x:v>0.006292529760814091</x:v>
      </x:c>
      <x:c r="L123" s="109" t="n">
        <x:f>B123-K123</x:f>
        <x:v>0.0034272530472234447</x:v>
      </x:c>
      <x:c r="M123" s="94" t="n">
        <x:f>'Datos_fuente'!B116</x:f>
        <x:v>2420.6725</x:v>
      </x:c>
      <x:c r="N123" s="94" t="n">
        <x:f>EXP('Transformaciones'!B115+K123)</x:f>
        <x:v>2412.390443256946</x:v>
      </x:c>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t="str">
        <x:f>'Transformaciones'!A117</x:f>
        <x:v>2015-03</x:v>
      </x:c>
      <x:c r="B124" s="98" t="n">
        <x:f>'Transformaciones'!C117</x:f>
        <x:v>0.06582024250761442</x:v>
      </x:c>
      <x:c r="C124" s="98" t="n">
        <x:f>$B$6</x:f>
        <x:v>-0.0005941980394302418</x:v>
      </x:c>
      <x:c r="D124" s="98" t="n">
        <x:f>$B$7*'Transformaciones'!E117</x:f>
        <x:v>-0.006307710948773035</x:v>
      </x:c>
      <x:c r="E124" s="98" t="n">
        <x:f>$B$11*'Transformaciones'!M117</x:f>
        <x:v>0.026343057521909928</x:v>
      </x:c>
      <x:c r="F124" s="98" t="n">
        <x:f>$B$12*'Transformaciones'!O117</x:f>
        <x:v>-0.0027273224604644495</x:v>
      </x:c>
      <x:c r="G124" s="98" t="n">
        <x:f>$B$8*'Transformaciones'!G116</x:f>
        <x:v>0.002137798964866756</x:v>
      </x:c>
      <x:c r="H124" s="98" t="n">
        <x:f>$B$9*'Transformaciones'!I116</x:f>
        <x:v>0</x:v>
      </x:c>
      <x:c r="I124" s="98" t="n">
        <x:f>$B$10*'Transformaciones'!K116</x:f>
        <x:v>0.00010189379257039565</x:v>
      </x:c>
      <x:c r="J124" s="98" t="n">
        <x:f>$B$13*'Transformaciones'!P117</x:f>
        <x:v>0</x:v>
      </x:c>
      <x:c r="K124" s="109" t="n">
        <x:f>SUM(C124:J124)</x:f>
        <x:v>0.018953518830679354</x:v>
      </x:c>
      <x:c r="L124" s="109" t="n">
        <x:f>B124-K124</x:f>
        <x:v>0.04686672367693507</x:v>
      </x:c>
      <x:c r="M124" s="94" t="n">
        <x:f>'Datos_fuente'!B117</x:f>
        <x:v>2585.362258</x:v>
      </x:c>
      <x:c r="N124" s="94" t="n">
        <x:f>EXP('Transformaciones'!B116+K124)</x:f>
        <x:v>2466.990318053132</x:v>
      </x:c>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t="str">
        <x:f>'Transformaciones'!A118</x:f>
        <x:v>2015-04</x:v>
      </x:c>
      <x:c r="B125" s="98" t="n">
        <x:f>'Transformaciones'!C118</x:f>
        <x:v>-0.03147790500074521</x:v>
      </x:c>
      <x:c r="C125" s="98" t="n">
        <x:f>$B$6</x:f>
        <x:v>-0.0005941980394302418</x:v>
      </x:c>
      <x:c r="D125" s="98" t="n">
        <x:f>$B$7*'Transformaciones'!E118</x:f>
        <x:v>-0.00216638390020156</x:v>
      </x:c>
      <x:c r="E125" s="98" t="n">
        <x:f>$B$11*'Transformaciones'!M118</x:f>
        <x:v>-0.012076646592223425</x:v>
      </x:c>
      <x:c r="F125" s="98" t="n">
        <x:f>$B$12*'Transformaciones'!O118</x:f>
        <x:v>-0.0035746308426276917</x:v>
      </x:c>
      <x:c r="G125" s="98" t="n">
        <x:f>$B$8*'Transformaciones'!G117</x:f>
        <x:v>0.006448422242959338</x:v>
      </x:c>
      <x:c r="H125" s="98" t="n">
        <x:f>$B$9*'Transformaciones'!I117</x:f>
        <x:v>0</x:v>
      </x:c>
      <x:c r="I125" s="98" t="n">
        <x:f>$B$10*'Transformaciones'!K117</x:f>
        <x:v>0.00020121683783615657</x:v>
      </x:c>
      <x:c r="J125" s="98" t="n">
        <x:f>$B$13*'Transformaciones'!P118</x:f>
        <x:v>0</x:v>
      </x:c>
      <x:c r="K125" s="109" t="n">
        <x:f>SUM(C125:J125)</x:f>
        <x:v>-0.011762220293687424</x:v>
      </x:c>
      <x:c r="L125" s="109" t="n">
        <x:f>B125-K125</x:f>
        <x:v>-0.019715684707057785</x:v>
      </x:c>
      <x:c r="M125" s="94" t="n">
        <x:f>'Datos_fuente'!B118</x:f>
        <x:v>2505.248</x:v>
      </x:c>
      <x:c r="N125" s="94" t="n">
        <x:f>EXP('Transformaciones'!B117+K125)</x:f>
        <x:v>2555.1308006552317</x:v>
      </x:c>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t="str">
        <x:f>'Transformaciones'!A119</x:f>
        <x:v>2015-05</x:v>
      </x:c>
      <x:c r="B126" s="98" t="n">
        <x:f>'Transformaciones'!C119</x:f>
        <x:v>-0.02740038282099544</x:v>
      </x:c>
      <x:c r="C126" s="98" t="n">
        <x:f>$B$6</x:f>
        <x:v>-0.0005941980394302418</x:v>
      </x:c>
      <x:c r="D126" s="98" t="n">
        <x:f>$B$7*'Transformaciones'!E119</x:f>
        <x:v>-0.004067421365947994</x:v>
      </x:c>
      <x:c r="E126" s="98" t="n">
        <x:f>$B$11*'Transformaciones'!M119</x:f>
        <x:v>-0.011385482042151862</x:v>
      </x:c>
      <x:c r="F126" s="98" t="n">
        <x:f>$B$12*'Transformaciones'!O119</x:f>
        <x:v>-0.0004467854105420634</x:v>
      </x:c>
      <x:c r="G126" s="98" t="n">
        <x:f>$B$8*'Transformaciones'!G118</x:f>
        <x:v>0.0023386406235702305</x:v>
      </x:c>
      <x:c r="H126" s="98" t="n">
        <x:f>$B$9*'Transformaciones'!I118</x:f>
        <x:v>0.00009896079617419823</x:v>
      </x:c>
      <x:c r="I126" s="98" t="n">
        <x:f>$B$10*'Transformaciones'!K118</x:f>
        <x:v>0.00016569369556256413</x:v>
      </x:c>
      <x:c r="J126" s="98" t="n">
        <x:f>$B$13*'Transformaciones'!P119</x:f>
        <x:v>0</x:v>
      </x:c>
      <x:c r="K126" s="109" t="n">
        <x:f>SUM(C126:J126)</x:f>
        <x:v>-0.01389059174276517</x:v>
      </x:c>
      <x:c r="L126" s="109" t="n">
        <x:f>B126-K126</x:f>
        <x:v>-0.01350979107823027</x:v>
      </x:c>
      <x:c r="M126" s="94" t="n">
        <x:f>'Datos_fuente'!B119</x:f>
        <x:v>2437.535161</x:v>
      </x:c>
      <x:c r="N126" s="94" t="n">
        <x:f>EXP('Transformaciones'!B118+K126)</x:f>
        <x:v>2470.6891995822007</x:v>
      </x:c>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t="str">
        <x:f>'Transformaciones'!A120</x:f>
        <x:v>2015-06</x:v>
      </x:c>
      <x:c r="B127" s="98" t="n">
        <x:f>'Transformaciones'!C120</x:f>
        <x:v>0.049987280298008585</x:v>
      </x:c>
      <x:c r="C127" s="98" t="n">
        <x:f>$B$6</x:f>
        <x:v>-0.0005941980394302418</x:v>
      </x:c>
      <x:c r="D127" s="98" t="n">
        <x:f>$B$7*'Transformaciones'!E120</x:f>
        <x:v>0.0009033164600423214</x:v>
      </x:c>
      <x:c r="E127" s="98" t="n">
        <x:f>$B$11*'Transformaciones'!M120</x:f>
        <x:v>0.009306885366332424</x:v>
      </x:c>
      <x:c r="F127" s="98" t="n">
        <x:f>$B$12*'Transformaciones'!O120</x:f>
        <x:v>0.0027760180964829175</x:v>
      </x:c>
      <x:c r="G127" s="98" t="n">
        <x:f>$B$8*'Transformaciones'!G119</x:f>
        <x:v>0.001915260671117168</x:v>
      </x:c>
      <x:c r="H127" s="98" t="n">
        <x:f>$B$9*'Transformaciones'!I119</x:f>
        <x:v>0</x:v>
      </x:c>
      <x:c r="I127" s="98" t="n">
        <x:f>$B$10*'Transformaciones'!K119</x:f>
        <x:v>-0.0010103454284508357</x:v>
      </x:c>
      <x:c r="J127" s="98" t="n">
        <x:f>$B$13*'Transformaciones'!P120</x:f>
        <x:v>0</x:v>
      </x:c>
      <x:c r="K127" s="109" t="n">
        <x:f>SUM(C127:J127)</x:f>
        <x:v>0.013296937126093752</x:v>
      </x:c>
      <x:c r="L127" s="109" t="n">
        <x:f>B127-K127</x:f>
        <x:v>0.03669034317191483</x:v>
      </x:c>
      <x:c r="M127" s="94" t="n">
        <x:f>'Datos_fuente'!B120</x:f>
        <x:v>2562.477667</x:v>
      </x:c>
      <x:c r="N127" s="94" t="n">
        <x:f>EXP('Transformaciones'!B119+K127)</x:f>
        <x:v>2470.1633595871135</x:v>
      </x:c>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t="str">
        <x:f>'Transformaciones'!A121</x:f>
        <x:v>2015-07</x:v>
      </x:c>
      <x:c r="B128" s="98" t="n">
        <x:f>'Transformaciones'!C121</x:f>
        <x:v>0.06407241866252456</x:v>
      </x:c>
      <x:c r="C128" s="98" t="n">
        <x:f>$B$6</x:f>
        <x:v>-0.0005941980394302418</x:v>
      </x:c>
      <x:c r="D128" s="98" t="n">
        <x:f>$B$7*'Transformaciones'!E121</x:f>
        <x:v>0.00614426173844694</x:v>
      </x:c>
      <x:c r="E128" s="98" t="n">
        <x:f>$B$11*'Transformaciones'!M121</x:f>
        <x:v>0.023132188342423376</x:v>
      </x:c>
      <x:c r="F128" s="98" t="n">
        <x:f>$B$12*'Transformaciones'!O121</x:f>
        <x:v>0.00003524722249378256</x:v>
      </x:c>
      <x:c r="G128" s="98" t="n">
        <x:f>$B$8*'Transformaciones'!G120</x:f>
        <x:v>0.006291529431698981</x:v>
      </x:c>
      <x:c r="H128" s="98" t="n">
        <x:f>$B$9*'Transformaciones'!I120</x:f>
        <x:v>0.00009896079617419823</x:v>
      </x:c>
      <x:c r="I128" s="98" t="n">
        <x:f>$B$10*'Transformaciones'!K120</x:f>
        <x:v>0.0004731505051780327</x:v>
      </x:c>
      <x:c r="J128" s="98" t="n">
        <x:f>$B$13*'Transformaciones'!P121</x:f>
        <x:v>0</x:v>
      </x:c>
      <x:c r="K128" s="109" t="n">
        <x:f>SUM(C128:J128)</x:f>
        <x:v>0.03558113999698506</x:v>
      </x:c>
      <x:c r="L128" s="109" t="n">
        <x:f>B128-K128</x:f>
        <x:v>0.028491278665539493</x:v>
      </x:c>
      <x:c r="M128" s="94" t="n">
        <x:f>'Datos_fuente'!B121</x:f>
        <x:v>2732.035806</x:v>
      </x:c>
      <x:c r="N128" s="94" t="n">
        <x:f>EXP('Transformaciones'!B120+K128)</x:f>
        <x:v>2655.295025155812</x:v>
      </x:c>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t="str">
        <x:f>'Transformaciones'!A122</x:f>
        <x:v>2015-08</x:v>
      </x:c>
      <x:c r="B129" s="98" t="n">
        <x:f>'Transformaciones'!C122</x:f>
        <x:v>0.09775226937892523</x:v>
      </x:c>
      <x:c r="C129" s="98" t="n">
        <x:f>$B$6</x:f>
        <x:v>-0.0005941980394302418</x:v>
      </x:c>
      <x:c r="D129" s="98" t="n">
        <x:f>$B$7*'Transformaciones'!E122</x:f>
        <x:v>0.008325242270649846</x:v>
      </x:c>
      <x:c r="E129" s="98" t="n">
        <x:f>$B$11*'Transformaciones'!M122</x:f>
        <x:v>0.0216609526266484</x:v>
      </x:c>
      <x:c r="F129" s="98" t="n">
        <x:f>$B$12*'Transformaciones'!O122</x:f>
        <x:v>0.011614806756029597</x:v>
      </x:c>
      <x:c r="G129" s="98" t="n">
        <x:f>$B$8*'Transformaciones'!G121</x:f>
        <x:v>0.0070085667574442305</x:v>
      </x:c>
      <x:c r="H129" s="98" t="n">
        <x:f>$B$9*'Transformaciones'!I121</x:f>
        <x:v>0</x:v>
      </x:c>
      <x:c r="I129" s="98" t="n">
        <x:f>$B$10*'Transformaciones'!K121</x:f>
        <x:v>0.0002539447839132317</x:v>
      </x:c>
      <x:c r="J129" s="98" t="n">
        <x:f>$B$13*'Transformaciones'!P122</x:f>
        <x:v>0</x:v>
      </x:c>
      <x:c r="K129" s="109" t="n">
        <x:f>SUM(C129:J129)</x:f>
        <x:v>0.048269315155255066</x:v>
      </x:c>
      <x:c r="L129" s="109" t="n">
        <x:f>B129-K129</x:f>
        <x:v>0.04948295422367016</x:v>
      </x:c>
      <x:c r="M129" s="94" t="n">
        <x:f>'Datos_fuente'!B122</x:f>
        <x:v>3012.587419</x:v>
      </x:c>
      <x:c r="N129" s="94" t="n">
        <x:f>EXP('Transformaciones'!B121+K129)</x:f>
        <x:v>2867.143858275693</x:v>
      </x:c>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t="str">
        <x:f>'Transformaciones'!A123</x:f>
        <x:v>2015-09</x:v>
      </x:c>
      <x:c r="B130" s="98" t="n">
        <x:f>'Transformaciones'!C123</x:f>
        <x:v>0.017707526852394295</x:v>
      </x:c>
      <x:c r="C130" s="98" t="n">
        <x:f>$B$6</x:f>
        <x:v>-0.0005941980394302418</x:v>
      </x:c>
      <x:c r="D130" s="98" t="n">
        <x:f>$B$7*'Transformaciones'!E123</x:f>
        <x:v>-0.0003489115036998202</x:v>
      </x:c>
      <x:c r="E130" s="98" t="n">
        <x:f>$B$11*'Transformaciones'!M123</x:f>
        <x:v>0.0100952850147938</x:v>
      </x:c>
      <x:c r="F130" s="98" t="n">
        <x:f>$B$12*'Transformaciones'!O123</x:f>
        <x:v>0.008704987021092393</x:v>
      </x:c>
      <x:c r="G130" s="98" t="n">
        <x:f>$B$8*'Transformaciones'!G122</x:f>
        <x:v>0.011264062769416968</x:v>
      </x:c>
      <x:c r="H130" s="98" t="n">
        <x:f>$B$9*'Transformaciones'!I122</x:f>
        <x:v>0.00009896079617419823</x:v>
      </x:c>
      <x:c r="I130" s="98" t="n">
        <x:f>$B$10*'Transformaciones'!K122</x:f>
        <x:v>-0.0008775677097857011</x:v>
      </x:c>
      <x:c r="J130" s="98" t="n">
        <x:f>$B$13*'Transformaciones'!P123</x:f>
        <x:v>0</x:v>
      </x:c>
      <x:c r="K130" s="109" t="n">
        <x:f>SUM(C130:J130)</x:f>
        <x:v>0.028342618348561593</x:v>
      </x:c>
      <x:c r="L130" s="109" t="n">
        <x:f>B130-K130</x:f>
        <x:v>-0.010635091496167298</x:v>
      </x:c>
      <x:c r="M130" s="94" t="n">
        <x:f>'Datos_fuente'!B123</x:f>
        <x:v>3066.408</x:v>
      </x:c>
      <x:c r="N130" s="94" t="n">
        <x:f>EXP('Transformaciones'!B122+K130)</x:f>
        <x:v>3099.193559338796</x:v>
      </x:c>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t="str">
        <x:f>'Transformaciones'!A124</x:f>
        <x:v>2015-10</x:v>
      </x:c>
      <x:c r="B131" s="98" t="n">
        <x:f>'Transformaciones'!C124</x:f>
        <x:v>-0.04568455392085813</x:v>
      </x:c>
      <x:c r="C131" s="98" t="n">
        <x:f>$B$6</x:f>
        <x:v>-0.0005941980394302418</x:v>
      </x:c>
      <x:c r="D131" s="98" t="n">
        <x:f>$B$7*'Transformaciones'!E124</x:f>
        <x:v>0.001164625774716925</x:v>
      </x:c>
      <x:c r="E131" s="98" t="n">
        <x:f>$B$11*'Transformaciones'!M124</x:f>
        <x:v>-0.010943663100424399</x:v>
      </x:c>
      <x:c r="F131" s="98" t="n">
        <x:f>$B$12*'Transformaciones'!O124</x:f>
        <x:v>-0.014304234888338279</x:v>
      </x:c>
      <x:c r="G131" s="98" t="n">
        <x:f>$B$8*'Transformaciones'!G123</x:f>
        <x:v>0.006345855965638609</x:v>
      </x:c>
      <x:c r="H131" s="98" t="n">
        <x:f>$B$9*'Transformaciones'!I123</x:f>
        <x:v>-0.00024740199043549557</x:v>
      </x:c>
      <x:c r="I131" s="98" t="n">
        <x:f>$B$10*'Transformaciones'!K123</x:f>
        <x:v>0.0011182433050530066</x:v>
      </x:c>
      <x:c r="J131" s="98" t="n">
        <x:f>$B$13*'Transformaciones'!P124</x:f>
        <x:v>0</x:v>
      </x:c>
      <x:c r="K131" s="109" t="n">
        <x:f>SUM(C131:J131)</x:f>
        <x:v>-0.01746077297321988</x:v>
      </x:c>
      <x:c r="L131" s="109" t="n">
        <x:f>B131-K131</x:f>
        <x:v>-0.02822378094763825</x:v>
      </x:c>
      <x:c r="M131" s="94" t="n">
        <x:f>'Datos_fuente'!B124</x:f>
        <x:v>2929.472258</x:v>
      </x:c>
      <x:c r="N131" s="94" t="n">
        <x:f>EXP('Transformaciones'!B123+K131)</x:f>
        <x:v>3013.3308783539615</x:v>
      </x:c>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t="str">
        <x:f>'Transformaciones'!A125</x:f>
        <x:v>2015-11</x:v>
      </x:c>
      <x:c r="B132" s="98" t="n">
        <x:f>'Transformaciones'!C125</x:f>
        <x:v>0.02424867104601791</x:v>
      </x:c>
      <x:c r="C132" s="98" t="n">
        <x:f>$B$6</x:f>
        <x:v>-0.0005941980394302418</x:v>
      </x:c>
      <x:c r="D132" s="98" t="n">
        <x:f>$B$7*'Transformaciones'!E125</x:f>
        <x:v>0.0020688572985416097</x:v>
      </x:c>
      <x:c r="E132" s="98" t="n">
        <x:f>$B$11*'Transformaciones'!M125</x:f>
        <x:v>0.02056989404996663</x:v>
      </x:c>
      <x:c r="F132" s="98" t="n">
        <x:f>$B$12*'Transformaciones'!O125</x:f>
        <x:v>-0.0013475306166946264</x:v>
      </x:c>
      <x:c r="G132" s="98" t="n">
        <x:f>$B$8*'Transformaciones'!G124</x:f>
        <x:v>0.0022694497635020947</x:v>
      </x:c>
      <x:c r="H132" s="98" t="n">
        <x:f>$B$9*'Transformaciones'!I124</x:f>
        <x:v>-0.0024245395062679094</x:v>
      </x:c>
      <x:c r="I132" s="98" t="n">
        <x:f>$B$10*'Transformaciones'!K124</x:f>
        <x:v>0.00016785056675953745</x:v>
      </x:c>
      <x:c r="J132" s="98" t="n">
        <x:f>$B$13*'Transformaciones'!P125</x:f>
        <x:v>0</x:v>
      </x:c>
      <x:c r="K132" s="109" t="n">
        <x:f>SUM(C132:J132)</x:f>
        <x:v>0.020709783516377093</x:v>
      </x:c>
      <x:c r="L132" s="109" t="n">
        <x:f>B132-K132</x:f>
        <x:v>0.0035388875296408183</x:v>
      </x:c>
      <x:c r="M132" s="94" t="n">
        <x:f>'Datos_fuente'!B125</x:f>
        <x:v>3001.376333</x:v>
      </x:c>
      <x:c r="N132" s="94" t="n">
        <x:f>EXP('Transformaciones'!B124+K132)</x:f>
        <x:v>2990.7735717786213</x:v>
      </x:c>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t="str">
        <x:f>'Transformaciones'!A126</x:f>
        <x:v>2015-12</x:v>
      </x:c>
      <x:c r="B133" s="98" t="n">
        <x:f>'Transformaciones'!C126</x:f>
        <x:v>0.07779832270026787</x:v>
      </x:c>
      <x:c r="C133" s="98" t="n">
        <x:f>$B$6</x:f>
        <x:v>-0.0005941980394302418</x:v>
      </x:c>
      <x:c r="D133" s="98" t="n">
        <x:f>$B$7*'Transformaciones'!E126</x:f>
        <x:v>0.007163225982723661</x:v>
      </x:c>
      <x:c r="E133" s="98" t="n">
        <x:f>$B$11*'Transformaciones'!M126</x:f>
        <x:v>0.012425272603462285</x:v>
      </x:c>
      <x:c r="F133" s="98" t="n">
        <x:f>$B$12*'Transformaciones'!O126</x:f>
        <x:v>0.004072220666061345</x:v>
      </x:c>
      <x:c r="G133" s="98" t="n">
        <x:f>$B$8*'Transformaciones'!G125</x:f>
        <x:v>0.0042493531936562134</x:v>
      </x:c>
      <x:c r="H133" s="98" t="n">
        <x:f>$B$9*'Transformaciones'!I125</x:f>
        <x:v>-0.004700637818274522</x:v>
      </x:c>
      <x:c r="I133" s="98" t="n">
        <x:f>$B$10*'Transformaciones'!K125</x:f>
        <x:v>0.0008717039492873156</x:v>
      </x:c>
      <x:c r="J133" s="98" t="n">
        <x:f>$B$13*'Transformaciones'!P126</x:f>
        <x:v>0</x:v>
      </x:c>
      <x:c r="K133" s="109" t="n">
        <x:f>SUM(C133:J133)</x:f>
        <x:v>0.023486940537486057</x:v>
      </x:c>
      <x:c r="L133" s="109" t="n">
        <x:f>B133-K133</x:f>
        <x:v>0.05431138216278182</x:v>
      </x:c>
      <x:c r="M133" s="94" t="n">
        <x:f>'Datos_fuente'!B126</x:f>
        <x:v>3244.201613</x:v>
      </x:c>
      <x:c r="N133" s="94" t="n">
        <x:f>EXP('Transformaciones'!B125+K133)</x:f>
        <x:v>3072.7038339773285</x:v>
      </x:c>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t="str">
        <x:f>'Transformaciones'!A127</x:f>
        <x:v>2016-01</x:v>
      </x:c>
      <x:c r="B134" s="98" t="n">
        <x:f>'Transformaciones'!C127</x:f>
        <x:v>0.00798038156249703</x:v>
      </x:c>
      <x:c r="C134" s="98" t="n">
        <x:f>$B$6</x:f>
        <x:v>-0.0005941980394302418</x:v>
      </x:c>
      <x:c r="D134" s="98" t="n">
        <x:f>$B$7*'Transformaciones'!E127</x:f>
        <x:v>0.010530155941442668</x:v>
      </x:c>
      <x:c r="E134" s="98" t="n">
        <x:f>$B$11*'Transformaciones'!M127</x:f>
        <x:v>0.027376350377418743</x:v>
      </x:c>
      <x:c r="F134" s="98" t="n">
        <x:f>$B$12*'Transformaciones'!O127</x:f>
        <x:v>0.010527848709416726</x:v>
      </x:c>
      <x:c r="G134" s="98" t="n">
        <x:f>$B$8*'Transformaciones'!G126</x:f>
        <x:v>0.002940069144493886</x:v>
      </x:c>
      <x:c r="H134" s="98" t="n">
        <x:f>$B$9*'Transformaciones'!I126</x:f>
        <x:v>-0.0024117703671277203</x:v>
      </x:c>
      <x:c r="I134" s="98" t="n">
        <x:f>$B$10*'Transformaciones'!K126</x:f>
        <x:v>0.00016773592499802888</x:v>
      </x:c>
      <x:c r="J134" s="98" t="n">
        <x:f>$B$13*'Transformaciones'!P127</x:f>
        <x:v>0</x:v>
      </x:c>
      <x:c r="K134" s="109" t="n">
        <x:f>SUM(C134:J134)</x:f>
        <x:v>0.048536191691212094</x:v>
      </x:c>
      <x:c r="L134" s="109" t="n">
        <x:f>B134-K134</x:f>
        <x:v>-0.040555810128715064</x:v>
      </x:c>
      <x:c r="M134" s="94" t="n">
        <x:f>'Datos_fuente'!B127</x:f>
        <x:v>3270.195161</x:v>
      </x:c>
      <x:c r="N134" s="94" t="n">
        <x:f>EXP('Transformaciones'!B126+K134)</x:f>
        <x:v>3405.5466686812424</x:v>
      </x:c>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t="str">
        <x:f>'Transformaciones'!A128</x:f>
        <x:v>2016-02</x:v>
      </x:c>
      <x:c r="B135" s="98" t="n">
        <x:f>'Transformaciones'!C128</x:f>
        <x:v>0.025589257557919964</x:v>
      </x:c>
      <x:c r="C135" s="98" t="n">
        <x:f>$B$6</x:f>
        <x:v>-0.0005941980394302418</x:v>
      </x:c>
      <x:c r="D135" s="98" t="n">
        <x:f>$B$7*'Transformaciones'!E128</x:f>
        <x:v>-0.008749337313715928</x:v>
      </x:c>
      <x:c r="E135" s="98" t="n">
        <x:f>$B$11*'Transformaciones'!M128</x:f>
        <x:v>-0.010581073675798051</x:v>
      </x:c>
      <x:c r="F135" s="98" t="n">
        <x:f>$B$12*'Transformaciones'!O128</x:f>
        <x:v>-0.0019931831368303885</x:v>
      </x:c>
      <x:c r="G135" s="98" t="n">
        <x:f>$B$8*'Transformaciones'!G127</x:f>
        <x:v>0.003342632537731271</x:v>
      </x:c>
      <x:c r="H135" s="98" t="n">
        <x:f>$B$9*'Transformaciones'!I127</x:f>
        <x:v>-0.0006065339161853874</x:v>
      </x:c>
      <x:c r="I135" s="98" t="n">
        <x:f>$B$10*'Transformaciones'!K127</x:f>
        <x:v>0.0004727278906729144</x:v>
      </x:c>
      <x:c r="J135" s="98" t="n">
        <x:f>$B$13*'Transformaciones'!P128</x:f>
        <x:v>0</x:v>
      </x:c>
      <x:c r="K135" s="109" t="n">
        <x:f>SUM(C135:J135)</x:f>
        <x:v>-0.01870896565355581</x:v>
      </x:c>
      <x:c r="L135" s="109" t="n">
        <x:f>B135-K135</x:f>
        <x:v>0.04429822321147578</x:v>
      </x:c>
      <x:c r="M135" s="94" t="n">
        <x:f>'Datos_fuente'!B128</x:f>
        <x:v>3354.956897</x:v>
      </x:c>
      <x:c r="N135" s="94" t="n">
        <x:f>EXP('Transformaciones'!B127+K135)</x:f>
        <x:v>3209.5819651548795</x:v>
      </x:c>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t="str">
        <x:f>'Transformaciones'!A129</x:f>
        <x:v>2016-03</x:v>
      </x:c>
      <x:c r="B136" s="98" t="n">
        <x:f>'Transformaciones'!C129</x:f>
        <x:v>-0.06979288399345585</x:v>
      </x:c>
      <x:c r="C136" s="98" t="n">
        <x:f>$B$6</x:f>
        <x:v>-0.0005941980394302418</x:v>
      </x:c>
      <x:c r="D136" s="98" t="n">
        <x:f>$B$7*'Transformaciones'!E129</x:f>
        <x:v>-0.009631989474667714</x:v>
      </x:c>
      <x:c r="E136" s="98" t="n">
        <x:f>$B$11*'Transformaciones'!M129</x:f>
        <x:v>-0.026919938151258222</x:v>
      </x:c>
      <x:c r="F136" s="98" t="n">
        <x:f>$B$12*'Transformaciones'!O129</x:f>
        <x:v>-0.013470619029847043</x:v>
      </x:c>
      <x:c r="G136" s="98" t="n">
        <x:f>$B$8*'Transformaciones'!G128</x:f>
        <x:v>0.0048866013864984625</x:v>
      </x:c>
      <x:c r="H136" s="98" t="n">
        <x:f>$B$9*'Transformaciones'!I128</x:f>
        <x:v>-0.002760664966746738</x:v>
      </x:c>
      <x:c r="I136" s="98" t="n">
        <x:f>$B$10*'Transformaciones'!K128</x:f>
        <x:v>0.0014592086198936844</x:v>
      </x:c>
      <x:c r="J136" s="98" t="n">
        <x:f>$B$13*'Transformaciones'!P129</x:f>
        <x:v>0</x:v>
      </x:c>
      <x:c r="K136" s="109" t="n">
        <x:f>SUM(C136:J136)</x:f>
        <x:v>-0.04703159965555782</x:v>
      </x:c>
      <x:c r="L136" s="109" t="n">
        <x:f>B136-K136</x:f>
        <x:v>-0.02276128433789803</x:v>
      </x:c>
      <x:c r="M136" s="94" t="n">
        <x:f>'Datos_fuente'!B129</x:f>
        <x:v>3128.789032</x:v>
      </x:c>
      <x:c r="N136" s="94" t="n">
        <x:f>EXP('Transformaciones'!B128+K136)</x:f>
        <x:v>3200.8209484490344</x:v>
      </x:c>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t="str">
        <x:f>'Transformaciones'!A130</x:f>
        <x:v>2016-04</x:v>
      </x:c>
      <x:c r="B137" s="98" t="n">
        <x:f>'Transformaciones'!C130</x:f>
        <x:v>-0.042791704128717356</x:v>
      </x:c>
      <x:c r="C137" s="98" t="n">
        <x:f>$B$6</x:f>
        <x:v>-0.0005941980394302418</x:v>
      </x:c>
      <x:c r="D137" s="98" t="n">
        <x:f>$B$7*'Transformaciones'!E130</x:f>
        <x:v>-0.0021115720853361495</x:v>
      </x:c>
      <x:c r="E137" s="98" t="n">
        <x:f>$B$11*'Transformaciones'!M130</x:f>
        <x:v>-0.021554813331979925</x:v>
      </x:c>
      <x:c r="F137" s="98" t="n">
        <x:f>$B$12*'Transformaciones'!O130</x:f>
        <x:v>-0.003944201697318178</x:v>
      </x:c>
      <x:c r="G137" s="98" t="n">
        <x:f>$B$8*'Transformaciones'!G129</x:f>
        <x:v>-0.0011426194746638001</x:v>
      </x:c>
      <x:c r="H137" s="98" t="n">
        <x:f>$B$9*'Transformaciones'!I129</x:f>
        <x:v>-0.0027875241836305357</x:v>
      </x:c>
      <x:c r="I137" s="98" t="n">
        <x:f>$B$10*'Transformaciones'!K129</x:f>
        <x:v>-0.000780412858779099</x:v>
      </x:c>
      <x:c r="J137" s="98" t="n">
        <x:f>$B$13*'Transformaciones'!P130</x:f>
        <x:v>0</x:v>
      </x:c>
      <x:c r="K137" s="109" t="n">
        <x:f>SUM(C137:J137)</x:f>
        <x:v>-0.032915341671137924</x:v>
      </x:c>
      <x:c r="L137" s="109" t="n">
        <x:f>B137-K137</x:f>
        <x:v>-0.009876362457579432</x:v>
      </x:c>
      <x:c r="M137" s="94" t="n">
        <x:f>'Datos_fuente'!B130</x:f>
        <x:v>2997.727</x:v>
      </x:c>
      <x:c r="N137" s="94" t="n">
        <x:f>EXP('Transformaciones'!B129+K137)</x:f>
        <x:v>3027.4803238554023</x:v>
      </x:c>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t="str">
        <x:f>'Transformaciones'!A131</x:f>
        <x:v>2016-05</x:v>
      </x:c>
      <x:c r="B138" s="98" t="n">
        <x:f>'Transformaciones'!C131</x:f>
        <x:v>-0.0014082617105479756</x:v>
      </x:c>
      <x:c r="C138" s="98" t="n">
        <x:f>$B$6</x:f>
        <x:v>-0.0005941980394302418</x:v>
      </x:c>
      <x:c r="D138" s="98" t="n">
        <x:f>$B$7*'Transformaciones'!E131</x:f>
        <x:v>-0.0062310116518176795</x:v>
      </x:c>
      <x:c r="E138" s="98" t="n">
        <x:f>$B$11*'Transformaciones'!M131</x:f>
        <x:v>0.012949618236960142</x:v>
      </x:c>
      <x:c r="F138" s="98" t="n">
        <x:f>$B$12*'Transformaciones'!O131</x:f>
        <x:v>0.0014538409467604945</x:v>
      </x:c>
      <x:c r="G138" s="98" t="n">
        <x:f>$B$8*'Transformaciones'!G130</x:f>
        <x:v>0.002538159907441119</x:v>
      </x:c>
      <x:c r="H138" s="98" t="n">
        <x:f>$B$9*'Transformaciones'!I130</x:f>
        <x:v>-0.001576988174165148</x:v>
      </x:c>
      <x:c r="I138" s="98" t="n">
        <x:f>$B$10*'Transformaciones'!K130</x:f>
        <x:v>0.001524891240198177</x:v>
      </x:c>
      <x:c r="J138" s="98" t="n">
        <x:f>$B$13*'Transformaciones'!P131</x:f>
        <x:v>0</x:v>
      </x:c>
      <x:c r="K138" s="109" t="n">
        <x:f>SUM(C138:J138)</x:f>
        <x:v>0.010064312465946863</x:v>
      </x:c>
      <x:c r="L138" s="109" t="n">
        <x:f>B138-K138</x:f>
        <x:v>-0.011472574176494839</x:v>
      </x:c>
      <x:c r="M138" s="94" t="n">
        <x:f>'Datos_fuente'!B131</x:f>
        <x:v>2993.508387</x:v>
      </x:c>
      <x:c r="N138" s="94" t="n">
        <x:f>EXP('Transformaciones'!B130+K138)</x:f>
        <x:v>3028.049392284136</x:v>
      </x:c>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t="str">
        <x:f>'Transformaciones'!A132</x:f>
        <x:v>2016-06</x:v>
      </x:c>
      <x:c r="B139" s="98" t="n">
        <x:f>'Transformaciones'!C132</x:f>
        <x:v>-0.00021706654359654465</x:v>
      </x:c>
      <x:c r="C139" s="98" t="n">
        <x:f>$B$6</x:f>
        <x:v>-0.0005941980394302418</x:v>
      </x:c>
      <x:c r="D139" s="98" t="n">
        <x:f>$B$7*'Transformaciones'!E132</x:f>
        <x:v>-0.0021184195664735203</x:v>
      </x:c>
      <x:c r="E139" s="98" t="n">
        <x:f>$B$11*'Transformaciones'!M132</x:f>
        <x:v>0.004797523188375141</x:v>
      </x:c>
      <x:c r="F139" s="98" t="n">
        <x:f>$B$12*'Transformaciones'!O132</x:f>
        <x:v>0.006888595755804158</x:v>
      </x:c>
      <x:c r="G139" s="98" t="n">
        <x:f>$B$8*'Transformaciones'!G131</x:f>
        <x:v>0.0037885286978029914</x:v>
      </x:c>
      <x:c r="H139" s="98" t="n">
        <x:f>$B$9*'Transformaciones'!I131</x:f>
        <x:v>-0.0048682327162980574</x:v>
      </x:c>
      <x:c r="I139" s="98" t="n">
        <x:f>$B$10*'Transformaciones'!K131</x:f>
        <x:v>0.00032338943464980783</x:v>
      </x:c>
      <x:c r="J139" s="98" t="n">
        <x:f>$B$13*'Transformaciones'!P132</x:f>
        <x:v>0</x:v>
      </x:c>
      <x:c r="K139" s="109" t="n">
        <x:f>SUM(C139:J139)</x:f>
        <x:v>0.008217186754430278</x:v>
      </x:c>
      <x:c r="L139" s="109" t="n">
        <x:f>B139-K139</x:f>
        <x:v>-0.008434253298026823</x:v>
      </x:c>
      <x:c r="M139" s="94" t="n">
        <x:f>'Datos_fuente'!B132</x:f>
        <x:v>2992.858667</x:v>
      </x:c>
      <x:c r="N139" s="94" t="n">
        <x:f>EXP('Transformaciones'!B131+K139)</x:f>
        <x:v>3018.2079459307083</x:v>
      </x:c>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t="str">
        <x:f>'Transformaciones'!A133</x:f>
        <x:v>2016-07</x:v>
      </x:c>
      <x:c r="B140" s="98" t="n">
        <x:f>'Transformaciones'!C133</x:f>
        <x:v>-0.0107020665381663</x:v>
      </x:c>
      <x:c r="C140" s="98" t="n">
        <x:f>$B$6</x:f>
        <x:v>-0.0005941980394302418</x:v>
      </x:c>
      <x:c r="D140" s="98" t="n">
        <x:f>$B$7*'Transformaciones'!E133</x:f>
        <x:v>0.0032800314153495383</x:v>
      </x:c>
      <x:c r="E140" s="98" t="n">
        <x:f>$B$11*'Transformaciones'!M133</x:f>
        <x:v>0.010441715379239167</x:v>
      </x:c>
      <x:c r="F140" s="98" t="n">
        <x:f>$B$12*'Transformaciones'!O133</x:f>
        <x:v>-0.011534986823132452</x:v>
      </x:c>
      <x:c r="G140" s="98" t="n">
        <x:f>$B$8*'Transformaciones'!G132</x:f>
        <x:v>0.0003886960265403426</x:v>
      </x:c>
      <x:c r="H140" s="98" t="n">
        <x:f>$B$9*'Transformaciones'!I132</x:f>
        <x:v>-0.003114604845052796</x:v>
      </x:c>
      <x:c r="I140" s="98" t="n">
        <x:f>$B$10*'Transformaciones'!K132</x:f>
        <x:v>-0.00021835568177161287</x:v>
      </x:c>
      <x:c r="J140" s="98" t="n">
        <x:f>$B$13*'Transformaciones'!P133</x:f>
        <x:v>0</x:v>
      </x:c>
      <x:c r="K140" s="109" t="n">
        <x:f>SUM(C140:J140)</x:f>
        <x:v>-0.0013517025682580552</x:v>
      </x:c>
      <x:c r="L140" s="109" t="n">
        <x:f>B140-K140</x:f>
        <x:v>-0.009350363969908244</x:v>
      </x:c>
      <x:c r="M140" s="94" t="n">
        <x:f>'Datos_fuente'!B133</x:f>
        <x:v>2960.999677</x:v>
      </x:c>
      <x:c r="N140" s="94" t="n">
        <x:f>EXP('Transformaciones'!B132+K140)</x:f>
        <x:v>2988.8159451476754</x:v>
      </x:c>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t="str">
        <x:f>'Transformaciones'!A134</x:f>
        <x:v>2016-08</x:v>
      </x:c>
      <x:c r="B141" s="98" t="n">
        <x:f>'Transformaciones'!C134</x:f>
        <x:v>-0.002784319734967511</x:v>
      </x:c>
      <x:c r="C141" s="98" t="n">
        <x:f>$B$6</x:f>
        <x:v>-0.0005941980394302418</x:v>
      </x:c>
      <x:c r="D141" s="98" t="n">
        <x:f>$B$7*'Transformaciones'!E134</x:f>
        <x:v>-0.0015782826577723692</x:v>
      </x:c>
      <x:c r="E141" s="98" t="n">
        <x:f>$B$11*'Transformaciones'!M134</x:f>
        <x:v>-0.01182787849381227</x:v>
      </x:c>
      <x:c r="F141" s="98" t="n">
        <x:f>$B$12*'Transformaciones'!O134</x:f>
        <x:v>-0.002278865123050316</x:v>
      </x:c>
      <x:c r="G141" s="98" t="n">
        <x:f>$B$8*'Transformaciones'!G133</x:f>
        <x:v>-0.0031534198651616704</x:v>
      </x:c>
      <x:c r="H141" s="98" t="n">
        <x:f>$B$9*'Transformaciones'!I133</x:f>
        <x:v>-0.0017153204637207836</x:v>
      </x:c>
      <x:c r="I141" s="98" t="n">
        <x:f>$B$10*'Transformaciones'!K133</x:f>
        <x:v>0.0018957788791698986</x:v>
      </x:c>
      <x:c r="J141" s="98" t="n">
        <x:f>$B$13*'Transformaciones'!P134</x:f>
        <x:v>0</x:v>
      </x:c>
      <x:c r="K141" s="109" t="n">
        <x:f>SUM(C141:J141)</x:f>
        <x:v>-0.019252185763777754</x:v>
      </x:c>
      <x:c r="L141" s="109" t="n">
        <x:f>B141-K141</x:f>
        <x:v>0.016467866028810244</x:v>
      </x:c>
      <x:c r="M141" s="94" t="n">
        <x:f>'Datos_fuente'!B134</x:f>
        <x:v>2952.766774</x:v>
      </x:c>
      <x:c r="N141" s="94" t="n">
        <x:f>EXP('Transformaciones'!B133+K141)</x:f>
        <x:v>2904.5391988750134</x:v>
      </x:c>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t="str">
        <x:f>'Transformaciones'!A135</x:f>
        <x:v>2016-09</x:v>
      </x:c>
      <x:c r="B142" s="98" t="n">
        <x:f>'Transformaciones'!C135</x:f>
        <x:v>-0.009699339369037219</x:v>
      </x:c>
      <x:c r="C142" s="98" t="n">
        <x:f>$B$6</x:f>
        <x:v>-0.0005941980394302418</x:v>
      </x:c>
      <x:c r="D142" s="98" t="n">
        <x:f>$B$7*'Transformaciones'!E135</x:f>
        <x:v>-0.0005118095879470544</x:v>
      </x:c>
      <x:c r="E142" s="98" t="n">
        <x:f>$B$11*'Transformaciones'!M135</x:f>
        <x:v>0.010008590572665553</x:v>
      </x:c>
      <x:c r="F142" s="98" t="n">
        <x:f>$B$12*'Transformaciones'!O135</x:f>
        <x:v>0.0052536464178984275</x:v>
      </x:c>
      <x:c r="G142" s="98" t="n">
        <x:f>$B$8*'Transformaciones'!G134</x:f>
        <x:v>-0.0026392552991069424</x:v>
      </x:c>
      <x:c r="H142" s="98" t="n">
        <x:f>$B$9*'Transformaciones'!I134</x:f>
        <x:v>-0.0023750591081808012</x:v>
      </x:c>
      <x:c r="I142" s="98" t="n">
        <x:f>$B$10*'Transformaciones'!K134</x:f>
        <x:v>0.0013471155851214175</x:v>
      </x:c>
      <x:c r="J142" s="98" t="n">
        <x:f>$B$13*'Transformaciones'!P135</x:f>
        <x:v>0</x:v>
      </x:c>
      <x:c r="K142" s="109" t="n">
        <x:f>SUM(C142:J142)</x:f>
        <x:v>0.010489030541020359</x:v>
      </x:c>
      <x:c r="L142" s="109" t="n">
        <x:f>B142-K142</x:f>
        <x:v>-0.020188369910057576</x:v>
      </x:c>
      <x:c r="M142" s="94" t="n">
        <x:f>'Datos_fuente'!B135</x:f>
        <x:v>2924.265333</x:v>
      </x:c>
      <x:c r="N142" s="94" t="n">
        <x:f>EXP('Transformaciones'!B134+K142)</x:f>
        <x:v>2983.901435629543</x:v>
      </x:c>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t="str">
        <x:f>'Transformaciones'!A136</x:f>
        <x:v>2016-10</x:v>
      </x:c>
      <x:c r="B143" s="98" t="n">
        <x:f>'Transformaciones'!C136</x:f>
        <x:v>0.0017504889324255757</x:v>
      </x:c>
      <x:c r="C143" s="98" t="n">
        <x:f>$B$6</x:f>
        <x:v>-0.0005941980394302418</x:v>
      </x:c>
      <x:c r="D143" s="98" t="n">
        <x:f>$B$7*'Transformaciones'!E136</x:f>
        <x:v>-0.004349015856489305</x:v>
      </x:c>
      <x:c r="E143" s="98" t="n">
        <x:f>$B$11*'Transformaciones'!M136</x:f>
        <x:v>0.013072179433137588</x:v>
      </x:c>
      <x:c r="F143" s="98" t="n">
        <x:f>$B$12*'Transformaciones'!O136</x:f>
        <x:v>0.0009741266397766444</x:v>
      </x:c>
      <x:c r="G143" s="98" t="n">
        <x:f>$B$8*'Transformaciones'!G135</x:f>
        <x:v>-0.0020951842841066266</x:v>
      </x:c>
      <x:c r="H143" s="98" t="n">
        <x:f>$B$9*'Transformaciones'!I135</x:f>
        <x:v>0</x:v>
      </x:c>
      <x:c r="I143" s="98" t="n">
        <x:f>$B$10*'Transformaciones'!K135</x:f>
        <x:v>0.000733115196314436</x:v>
      </x:c>
      <x:c r="J143" s="98" t="n">
        <x:f>$B$13*'Transformaciones'!P136</x:f>
        <x:v>0</x:v>
      </x:c>
      <x:c r="K143" s="109" t="n">
        <x:f>SUM(C143:J143)</x:f>
        <x:v>0.007741023089202494</x:v>
      </x:c>
      <x:c r="L143" s="109" t="n">
        <x:f>B143-K143</x:f>
        <x:v>-0.005990534156776918</x:v>
      </x:c>
      <x:c r="M143" s="94" t="n">
        <x:f>'Datos_fuente'!B136</x:f>
        <x:v>2929.38871</x:v>
      </x:c>
      <x:c r="N143" s="94" t="n">
        <x:f>EXP('Transformaciones'!B135+K143)</x:f>
        <x:v>2946.9899809959825</x:v>
      </x:c>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t="str">
        <x:f>'Transformaciones'!A137</x:f>
        <x:v>2016-11</x:v>
      </x:c>
      <x:c r="B144" s="98" t="n">
        <x:f>'Transformaciones'!C137</x:f>
        <x:v>0.05991212553819736</x:v>
      </x:c>
      <x:c r="C144" s="98" t="n">
        <x:f>$B$6</x:f>
        <x:v>-0.0005941980394302418</x:v>
      </x:c>
      <x:c r="D144" s="98" t="n">
        <x:f>$B$7*'Transformaciones'!E137</x:f>
        <x:v>0.0023103075937189756</x:v>
      </x:c>
      <x:c r="E144" s="98" t="n">
        <x:f>$B$11*'Transformaciones'!M137</x:f>
        <x:v>0.02923532369121242</x:v>
      </x:c>
      <x:c r="F144" s="98" t="n">
        <x:f>$B$12*'Transformaciones'!O137</x:f>
        <x:v>0.0016749591081965092</x:v>
      </x:c>
      <x:c r="G144" s="98" t="n">
        <x:f>$B$8*'Transformaciones'!G136</x:f>
        <x:v>0.001833339213810093</x:v>
      </x:c>
      <x:c r="H144" s="98" t="n">
        <x:f>$B$9*'Transformaciones'!I136</x:f>
        <x:v>0</x:v>
      </x:c>
      <x:c r="I144" s="98" t="n">
        <x:f>$B$10*'Transformaciones'!K136</x:f>
        <x:v>0.0005240351634154299</x:v>
      </x:c>
      <x:c r="J144" s="98" t="n">
        <x:f>$B$13*'Transformaciones'!P137</x:f>
        <x:v>0</x:v>
      </x:c>
      <x:c r="K144" s="109" t="n">
        <x:f>SUM(C144:J144)</x:f>
        <x:v>0.03498376673092319</x:v>
      </x:c>
      <x:c r="L144" s="109" t="n">
        <x:f>B144-K144</x:f>
        <x:v>0.02492835880727417</x:v>
      </x:c>
      <x:c r="M144" s="94" t="n">
        <x:f>'Datos_fuente'!B137</x:f>
        <x:v>3110.258667</x:v>
      </x:c>
      <x:c r="N144" s="94" t="n">
        <x:f>EXP('Transformaciones'!B136+K144)</x:f>
        <x:v>3033.6834358118767</x:v>
      </x:c>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t="str">
        <x:f>'Transformaciones'!A138</x:f>
        <x:v>2016-12</x:v>
      </x:c>
      <x:c r="B145" s="98" t="n">
        <x:f>'Transformaciones'!C138</x:f>
        <x:v>-0.03281104324461559</x:v>
      </x:c>
      <x:c r="C145" s="98" t="n">
        <x:f>$B$6</x:f>
        <x:v>-0.0005941980394302418</x:v>
      </x:c>
      <x:c r="D145" s="98" t="n">
        <x:f>$B$7*'Transformaciones'!E138</x:f>
        <x:v>-0.005715405752439909</x:v>
      </x:c>
      <x:c r="E145" s="98" t="n">
        <x:f>$B$11*'Transformaciones'!M138</x:f>
        <x:v>0.01957940840163503</x:v>
      </x:c>
      <x:c r="F145" s="98" t="n">
        <x:f>$B$12*'Transformaciones'!O138</x:f>
        <x:v>-0.007678121113804067</x:v>
      </x:c>
      <x:c r="G145" s="98" t="n">
        <x:f>$B$8*'Transformaciones'!G137</x:f>
        <x:v>0.004268492765138153</x:v>
      </x:c>
      <x:c r="H145" s="98" t="n">
        <x:f>$B$9*'Transformaciones'!I137</x:f>
        <x:v>0.00009896079617419823</x:v>
      </x:c>
      <x:c r="I145" s="98" t="n">
        <x:f>$B$10*'Transformaciones'!K137</x:f>
        <x:v>0.001164920565544731</x:v>
      </x:c>
      <x:c r="J145" s="98" t="n">
        <x:f>$B$13*'Transformaciones'!P138</x:f>
        <x:v>0</x:v>
      </x:c>
      <x:c r="K145" s="109" t="n">
        <x:f>SUM(C145:J145)</x:f>
        <x:v>0.011124057622817896</x:v>
      </x:c>
      <x:c r="L145" s="109" t="n">
        <x:f>B145-K145</x:f>
        <x:v>-0.043935100867433484</x:v>
      </x:c>
      <x:c r="M145" s="94" t="n">
        <x:f>'Datos_fuente'!B138</x:f>
        <x:v>3009.863871</x:v>
      </x:c>
      <x:c r="N145" s="94" t="n">
        <x:f>EXP('Transformaciones'!B137+K145)</x:f>
        <x:v>3145.0505181372646</x:v>
      </x:c>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t="str">
        <x:f>'Transformaciones'!A139</x:f>
        <x:v>2017-01</x:v>
      </x:c>
      <x:c r="B146" s="98" t="n">
        <x:f>'Transformaciones'!C139</x:f>
        <x:v>-0.023009412955964592</x:v>
      </x:c>
      <x:c r="C146" s="98" t="n">
        <x:f>$B$6</x:f>
        <x:v>-0.0005941980394302418</x:v>
      </x:c>
      <x:c r="D146" s="98" t="n">
        <x:f>$B$7*'Transformaciones'!E139</x:f>
        <x:v>-0.0052366332719485835</x:v>
      </x:c>
      <x:c r="E146" s="98" t="n">
        <x:f>$B$11*'Transformaciones'!M139</x:f>
        <x:v>-0.001287632700741039</x:v>
      </x:c>
      <x:c r="F146" s="98" t="n">
        <x:f>$B$12*'Transformaciones'!O139</x:f>
        <x:v>-0.002753482868745788</x:v>
      </x:c>
      <x:c r="G146" s="98" t="n">
        <x:f>$B$8*'Transformaciones'!G138</x:f>
        <x:v>-0.0016122443732841597</x:v>
      </x:c>
      <x:c r="H146" s="98" t="n">
        <x:f>$B$9*'Transformaciones'!I138</x:f>
        <x:v>0.0023239825714122145</x:v>
      </x:c>
      <x:c r="I146" s="98" t="n">
        <x:f>$B$10*'Transformaciones'!K138</x:f>
        <x:v>-0.0034641794925648014</x:v>
      </x:c>
      <x:c r="J146" s="98" t="n">
        <x:f>$B$13*'Transformaciones'!P139</x:f>
        <x:v>0</x:v>
      </x:c>
      <x:c r="K146" s="109" t="n">
        <x:f>SUM(C146:J146)</x:f>
        <x:v>-0.012624388175302396</x:v>
      </x:c>
      <x:c r="L146" s="109" t="n">
        <x:f>B146-K146</x:f>
        <x:v>-0.010385024780662196</x:v>
      </x:c>
      <x:c r="M146" s="94" t="n">
        <x:f>'Datos_fuente'!B139</x:f>
        <x:v>2941.399355</x:v>
      </x:c>
      <x:c r="N146" s="94" t="n">
        <x:f>EXP('Transformaciones'!B138+K146)</x:f>
        <x:v>2972.1050237936865</x:v>
      </x:c>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t="str">
        <x:f>'Transformaciones'!A140</x:f>
        <x:v>2017-02</x:v>
      </x:c>
      <x:c r="B147" s="98" t="n">
        <x:f>'Transformaciones'!C140</x:f>
        <x:v>-0.02124557789509396</x:v>
      </x:c>
      <x:c r="C147" s="98" t="n">
        <x:f>$B$6</x:f>
        <x:v>-0.0005941980394302418</x:v>
      </x:c>
      <x:c r="D147" s="98" t="n">
        <x:f>$B$7*'Transformaciones'!E140</x:f>
        <x:v>0.0009163556056083121</x:v>
      </x:c>
      <x:c r="E147" s="98" t="n">
        <x:f>$B$11*'Transformaciones'!M140</x:f>
        <x:v>-0.01815044975537677</x:v>
      </x:c>
      <x:c r="F147" s="98" t="n">
        <x:f>$B$12*'Transformaciones'!O140</x:f>
        <x:v>-0.0002585348168758742</x:v>
      </x:c>
      <x:c r="G147" s="98" t="n">
        <x:f>$B$8*'Transformaciones'!G139</x:f>
        <x:v>0.00145838916060296</x:v>
      </x:c>
      <x:c r="H147" s="98" t="n">
        <x:f>$B$9*'Transformaciones'!I139</x:f>
        <x:v>0.0025250964411236043</x:v>
      </x:c>
      <x:c r="I147" s="98" t="n">
        <x:f>$B$10*'Transformaciones'!K139</x:f>
        <x:v>-0.00024946089978059943</x:v>
      </x:c>
      <x:c r="J147" s="98" t="n">
        <x:f>$B$13*'Transformaciones'!P140</x:f>
        <x:v>0</x:v>
      </x:c>
      <x:c r="K147" s="109" t="n">
        <x:f>SUM(C147:J147)</x:f>
        <x:v>-0.01435280230412861</x:v>
      </x:c>
      <x:c r="L147" s="109" t="n">
        <x:f>B147-K147</x:f>
        <x:v>-0.006892775590965348</x:v>
      </x:c>
      <x:c r="M147" s="94" t="n">
        <x:f>'Datos_fuente'!B140</x:f>
        <x:v>2879.566786</x:v>
      </x:c>
      <x:c r="N147" s="94" t="n">
        <x:f>EXP('Transformaciones'!B139+K147)</x:f>
        <x:v>2899.4835557128204</x:v>
      </x:c>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t="str">
        <x:f>'Transformaciones'!A141</x:f>
        <x:v>2017-03</x:v>
      </x:c>
      <x:c r="B148" s="98" t="n">
        <x:f>'Transformaciones'!C141</x:f>
        <x:v>0.021547012772646923</x:v>
      </x:c>
      <x:c r="C148" s="98" t="n">
        <x:f>$B$6</x:f>
        <x:v>-0.0005941980394302418</x:v>
      </x:c>
      <x:c r="D148" s="98" t="n">
        <x:f>$B$7*'Transformaciones'!E141</x:f>
        <x:v>0.002993245155351146</x:v>
      </x:c>
      <x:c r="E148" s="98" t="n">
        <x:f>$B$11*'Transformaciones'!M141</x:f>
        <x:v>-0.005109310654688895</x:v>
      </x:c>
      <x:c r="F148" s="98" t="n">
        <x:f>$B$12*'Transformaciones'!O141</x:f>
        <x:v>0.0012028983686685627</x:v>
      </x:c>
      <x:c r="G148" s="98" t="n">
        <x:f>$B$8*'Transformaciones'!G140</x:f>
        <x:v>-0.003146019887099143</x:v>
      </x:c>
      <x:c r="H148" s="98" t="n">
        <x:f>$B$9*'Transformaciones'!I140</x:f>
        <x:v>0.0002756765050418494</x:v>
      </x:c>
      <x:c r="I148" s="98" t="n">
        <x:f>$B$10*'Transformaciones'!K140</x:f>
        <x:v>0.0004721916963979868</x:v>
      </x:c>
      <x:c r="J148" s="98" t="n">
        <x:f>$B$13*'Transformaciones'!P141</x:f>
        <x:v>0</x:v>
      </x:c>
      <x:c r="K148" s="109" t="n">
        <x:f>SUM(C148:J148)</x:f>
        <x:v>-0.0039055168557587355</x:v>
      </x:c>
      <x:c r="L148" s="109" t="n">
        <x:f>B148-K148</x:f>
        <x:v>0.02545252962840566</x:v>
      </x:c>
      <x:c r="M148" s="94" t="n">
        <x:f>'Datos_fuente'!B141</x:f>
        <x:v>2942.286129</x:v>
      </x:c>
      <x:c r="N148" s="94" t="n">
        <x:f>EXP('Transformaciones'!B140+K148)</x:f>
        <x:v>2868.3425219232954</x:v>
      </x:c>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t="str">
        <x:f>'Transformaciones'!A142</x:f>
        <x:v>2017-04</x:v>
      </x:c>
      <x:c r="B149" s="98" t="n">
        <x:f>'Transformaciones'!C142</x:f>
        <x:v>-0.022153231744213464</x:v>
      </x:c>
      <x:c r="C149" s="98" t="n">
        <x:f>$B$6</x:f>
        <x:v>-0.0005941980394302418</x:v>
      </x:c>
      <x:c r="D149" s="98" t="n">
        <x:f>$B$7*'Transformaciones'!E142</x:f>
        <x:v>-0.00041711848267553253</x:v>
      </x:c>
      <x:c r="E149" s="98" t="n">
        <x:f>$B$11*'Transformaciones'!M142</x:f>
        <x:v>-0.009802500344226035</x:v>
      </x:c>
      <x:c r="F149" s="98" t="n">
        <x:f>$B$12*'Transformaciones'!O142</x:f>
        <x:v>0.0037986459554132756</x:v>
      </x:c>
      <x:c r="G149" s="98" t="n">
        <x:f>$B$8*'Transformaciones'!G141</x:f>
        <x:v>0.003444570448318659</x:v>
      </x:c>
      <x:c r="H149" s="98" t="n">
        <x:f>$B$9*'Transformaciones'!I141</x:f>
        <x:v>0.003982830017707828</x:v>
      </x:c>
      <x:c r="I149" s="98" t="n">
        <x:f>$B$10*'Transformaciones'!K141</x:f>
        <x:v>0.0005268426621299212</x:v>
      </x:c>
      <x:c r="J149" s="98" t="n">
        <x:f>$B$13*'Transformaciones'!P142</x:f>
        <x:v>0</x:v>
      </x:c>
      <x:c r="K149" s="109" t="n">
        <x:f>SUM(C149:J149)</x:f>
        <x:v>0.0009390722172378757</x:v>
      </x:c>
      <x:c r="L149" s="109" t="n">
        <x:f>B149-K149</x:f>
        <x:v>-0.02309230396145134</x:v>
      </x:c>
      <x:c r="M149" s="94" t="n">
        <x:f>'Datos_fuente'!B142</x:f>
        <x:v>2877.821667</x:v>
      </x:c>
      <x:c r="N149" s="94" t="n">
        <x:f>EXP('Transformaciones'!B141+K149)</x:f>
        <x:v>2945.050445902367</x:v>
      </x:c>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t="str">
        <x:f>'Transformaciones'!A143</x:f>
        <x:v>2017-05</x:v>
      </x:c>
      <x:c r="B150" s="98" t="n">
        <x:f>'Transformaciones'!C143</x:f>
        <x:v>0.015786504674748514</x:v>
      </x:c>
      <x:c r="C150" s="98" t="n">
        <x:f>$B$6</x:f>
        <x:v>-0.0005941980394302418</x:v>
      </x:c>
      <x:c r="D150" s="98" t="n">
        <x:f>$B$7*'Transformaciones'!E143</x:f>
        <x:v>0.0010298976752135076</x:v>
      </x:c>
      <x:c r="E150" s="98" t="n">
        <x:f>$B$11*'Transformaciones'!M143</x:f>
        <x:v>-0.005683958194760208</x:v>
      </x:c>
      <x:c r="F150" s="98" t="n">
        <x:f>$B$12*'Transformaciones'!O143</x:f>
        <x:v>-0.007291759734631975</x:v>
      </x:c>
      <x:c r="G150" s="98" t="n">
        <x:f>$B$8*'Transformaciones'!G142</x:f>
        <x:v>0.0001003345972996629</x:v>
      </x:c>
      <x:c r="H150" s="98" t="n">
        <x:f>$B$9*'Transformaciones'!I142</x:f>
        <x:v>0.0031635531903153485</x:v>
      </x:c>
      <x:c r="I150" s="98" t="n">
        <x:f>$B$10*'Transformaciones'!K142</x:f>
        <x:v>-0.0010893747046040053</x:v>
      </x:c>
      <x:c r="J150" s="98" t="n">
        <x:f>$B$13*'Transformaciones'!P143</x:f>
        <x:v>0</x:v>
      </x:c>
      <x:c r="K150" s="109" t="n">
        <x:f>SUM(C150:J150)</x:f>
        <x:v>-0.010365505210597913</x:v>
      </x:c>
      <x:c r="L150" s="109" t="n">
        <x:f>B150-K150</x:f>
        <x:v>0.026152009885346425</x:v>
      </x:c>
      <x:c r="M150" s="94" t="n">
        <x:f>'Datos_fuente'!B143</x:f>
        <x:v>2923.612903</x:v>
      </x:c>
      <x:c r="N150" s="94" t="n">
        <x:f>EXP('Transformaciones'!B142+K150)</x:f>
        <x:v>2848.145660622754</x:v>
      </x:c>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t="str">
        <x:f>'Transformaciones'!A144</x:f>
        <x:v>2017-06</x:v>
      </x:c>
      <x:c r="B151" s="98" t="n">
        <x:f>'Transformaciones'!C144</x:f>
        <x:v>0.011388347620424177</x:v>
      </x:c>
      <x:c r="C151" s="98" t="n">
        <x:f>$B$6</x:f>
        <x:v>-0.0005941980394302418</x:v>
      </x:c>
      <x:c r="D151" s="98" t="n">
        <x:f>$B$7*'Transformaciones'!E144</x:f>
        <x:v>0.0011714467613407355</x:v>
      </x:c>
      <x:c r="E151" s="98" t="n">
        <x:f>$B$11*'Transformaciones'!M144</x:f>
        <x:v>-0.016831005830662042</x:v>
      </x:c>
      <x:c r="F151" s="98" t="n">
        <x:f>$B$12*'Transformaciones'!O144</x:f>
        <x:v>-0.0012514141260806827</x:v>
      </x:c>
      <x:c r="G151" s="98" t="n">
        <x:f>$B$8*'Transformaciones'!G143</x:f>
        <x:v>0.003476850876732227</x:v>
      </x:c>
      <x:c r="H151" s="98" t="n">
        <x:f>$B$9*'Transformaciones'!I143</x:f>
        <x:v>0.005047000604884215</x:v>
      </x:c>
      <x:c r="I151" s="98" t="n">
        <x:f>$B$10*'Transformaciones'!K143</x:f>
        <x:v>0.0001833771181731747</x:v>
      </x:c>
      <x:c r="J151" s="98" t="n">
        <x:f>$B$13*'Transformaciones'!P144</x:f>
        <x:v>0</x:v>
      </x:c>
      <x:c r="K151" s="109" t="n">
        <x:f>SUM(C151:J151)</x:f>
        <x:v>-0.008797942635042617</x:v>
      </x:c>
      <x:c r="L151" s="109" t="n">
        <x:f>B151-K151</x:f>
        <x:v>0.020186290255466796</x:v>
      </x:c>
      <x:c r="M151" s="94" t="n">
        <x:f>'Datos_fuente'!B144</x:f>
        <x:v>2957.098333</x:v>
      </x:c>
      <x:c r="N151" s="94" t="n">
        <x:f>EXP('Transformaciones'!B143+K151)</x:f>
        <x:v>2898.0039426600224</x:v>
      </x:c>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t="str">
        <x:f>'Transformaciones'!A145</x:f>
        <x:v>2017-07</x:v>
      </x:c>
      <x:c r="B152" s="98" t="n">
        <x:f>'Transformaciones'!C145</x:f>
        <x:v>0.026524662289979517</x:v>
      </x:c>
      <x:c r="C152" s="98" t="n">
        <x:f>$B$6</x:f>
        <x:v>-0.0005941980394302418</x:v>
      </x:c>
      <x:c r="D152" s="98" t="n">
        <x:f>$B$7*'Transformaciones'!E145</x:f>
        <x:v>-0.0005630295856829792</x:v>
      </x:c>
      <x:c r="E152" s="98" t="n">
        <x:f>$B$11*'Transformaciones'!M145</x:f>
        <x:v>-0.019359341434122847</x:v>
      </x:c>
      <x:c r="F152" s="98" t="n">
        <x:f>$B$12*'Transformaciones'!O145</x:f>
        <x:v>-0.0009199532948856254</x:v>
      </x:c>
      <x:c r="G152" s="98" t="n">
        <x:f>$B$8*'Transformaciones'!G144</x:f>
        <x:v>0.0049657275790125875</x:v>
      </x:c>
      <x:c r="H152" s="98" t="n">
        <x:f>$B$9*'Transformaciones'!I144</x:f>
        <x:v>0.0037605102546196117</x:v>
      </x:c>
      <x:c r="I152" s="98" t="n">
        <x:f>$B$10*'Transformaciones'!K144</x:f>
        <x:v>0.00098872964454765</x:v>
      </x:c>
      <x:c r="J152" s="98" t="n">
        <x:f>$B$13*'Transformaciones'!P145</x:f>
        <x:v>0</x:v>
      </x:c>
      <x:c r="K152" s="109" t="n">
        <x:f>SUM(C152:J152)</x:f>
        <x:v>-0.011721554875941844</x:v>
      </x:c>
      <x:c r="L152" s="109" t="n">
        <x:f>B152-K152</x:f>
        <x:v>0.03824621716592136</x:v>
      </x:c>
      <x:c r="M152" s="94" t="n">
        <x:f>'Datos_fuente'!B145</x:f>
        <x:v>3036.583871</x:v>
      </x:c>
      <x:c r="N152" s="94" t="n">
        <x:f>EXP('Transformaciones'!B144+K152)</x:f>
        <x:v>2922.6388962504643</x:v>
      </x:c>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t="str">
        <x:f>'Transformaciones'!A146</x:f>
        <x:v>2017-08</x:v>
      </x:c>
      <x:c r="B153" s="98" t="n">
        <x:f>'Transformaciones'!C146</x:f>
        <x:v>-0.021092715512181393</x:v>
      </x:c>
      <x:c r="C153" s="98" t="n">
        <x:f>$B$6</x:f>
        <x:v>-0.0005941980394302418</x:v>
      </x:c>
      <x:c r="D153" s="98" t="n">
        <x:f>$B$7*'Transformaciones'!E146</x:f>
        <x:v>-0.0012453082114459355</x:v>
      </x:c>
      <x:c r="E153" s="98" t="n">
        <x:f>$B$11*'Transformaciones'!M146</x:f>
        <x:v>-0.013321421182319475</x:v>
      </x:c>
      <x:c r="F153" s="98" t="n">
        <x:f>$B$12*'Transformaciones'!O146</x:f>
        <x:v>0.005914587965123478</x:v>
      </x:c>
      <x:c r="G153" s="98" t="n">
        <x:f>$B$8*'Transformaciones'!G145</x:f>
        <x:v>0.005631206323265129</x:v>
      </x:c>
      <x:c r="H153" s="98" t="n">
        <x:f>$B$9*'Transformaciones'!I145</x:f>
        <x:v>0.005876994381802306</x:v>
      </x:c>
      <x:c r="I153" s="98" t="n">
        <x:f>$B$10*'Transformaciones'!K145</x:f>
        <x:v>-0.00004267839136280306</x:v>
      </x:c>
      <x:c r="J153" s="98" t="n">
        <x:f>$B$13*'Transformaciones'!P146</x:f>
        <x:v>0</x:v>
      </x:c>
      <x:c r="K153" s="109" t="n">
        <x:f>SUM(C153:J153)</x:f>
        <x:v>0.0022191828456324574</x:v>
      </x:c>
      <x:c r="L153" s="109" t="n">
        <x:f>B153-K153</x:f>
        <x:v>-0.02331189835781385</x:v>
      </x:c>
      <x:c r="M153" s="94" t="n">
        <x:f>'Datos_fuente'!B146</x:f>
        <x:v>2973.204839</x:v>
      </x:c>
      <x:c r="N153" s="94" t="n">
        <x:f>EXP('Transformaciones'!B145+K153)</x:f>
        <x:v>3043.330088612416</x:v>
      </x:c>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t="str">
        <x:f>'Transformaciones'!A147</x:f>
        <x:v>2017-09</x:v>
      </x:c>
      <x:c r="B154" s="98" t="n">
        <x:f>'Transformaciones'!C147</x:f>
        <x:v>-0.01905561141908052</x:v>
      </x:c>
      <x:c r="C154" s="98" t="n">
        <x:f>$B$6</x:f>
        <x:v>-0.0005941980394302418</x:v>
      </x:c>
      <x:c r="D154" s="98" t="n">
        <x:f>$B$7*'Transformaciones'!E147</x:f>
        <x:v>-0.003978209311857827</x:v>
      </x:c>
      <x:c r="E154" s="98" t="n">
        <x:f>$B$11*'Transformaciones'!M147</x:f>
        <x:v>-0.012254576162626223</x:v>
      </x:c>
      <x:c r="F154" s="98" t="n">
        <x:f>$B$12*'Transformaciones'!O147</x:f>
        <x:v>-0.005271602291877852</x:v>
      </x:c>
      <x:c r="G154" s="98" t="n">
        <x:f>$B$8*'Transformaciones'!G146</x:f>
        <x:v>0.002549668421523536</x:v>
      </x:c>
      <x:c r="H154" s="98" t="n">
        <x:f>$B$9*'Transformaciones'!I146</x:f>
        <x:v>0.0027325948853531247</x:v>
      </x:c>
      <x:c r="I154" s="98" t="n">
        <x:f>$B$10*'Transformaciones'!K146</x:f>
        <x:v>-0.0027228329392157084</x:v>
      </x:c>
      <x:c r="J154" s="98" t="n">
        <x:f>$B$13*'Transformaciones'!P147</x:f>
        <x:v>0</x:v>
      </x:c>
      <x:c r="K154" s="109" t="n">
        <x:f>SUM(C154:J154)</x:f>
        <x:v>-0.019539155438131187</x:v>
      </x:c>
      <x:c r="L154" s="109" t="n">
        <x:f>B154-K154</x:f>
        <x:v>0.00048354401905066624</x:v>
      </x:c>
      <x:c r="M154" s="94" t="n">
        <x:f>'Datos_fuente'!B147</x:f>
        <x:v>2917.085</x:v>
      </x:c>
      <x:c r="N154" s="94" t="n">
        <x:f>EXP('Transformaciones'!B146+K154)</x:f>
        <x:v>2915.674801969077</x:v>
      </x:c>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t="str">
        <x:f>'Transformaciones'!A148</x:f>
        <x:v>2017-10</x:v>
      </x:c>
      <x:c r="B155" s="98" t="n">
        <x:f>'Transformaciones'!C148</x:f>
        <x:v>0.012492685166002993</x:v>
      </x:c>
      <x:c r="C155" s="98" t="n">
        <x:f>$B$6</x:f>
        <x:v>-0.0005941980394302418</x:v>
      </x:c>
      <x:c r="D155" s="98" t="n">
        <x:f>$B$7*'Transformaciones'!E148</x:f>
        <x:v>-0.0029600822572386004</x:v>
      </x:c>
      <x:c r="E155" s="98" t="n">
        <x:f>$B$11*'Transformaciones'!M148</x:f>
        <x:v>0.023607619394277603</x:v>
      </x:c>
      <x:c r="F155" s="98" t="n">
        <x:f>$B$12*'Transformaciones'!O148</x:f>
        <x:v>-0.0011661784012210246</x:v>
      </x:c>
      <x:c r="G155" s="98" t="n">
        <x:f>$B$8*'Transformaciones'!G147</x:f>
        <x:v>0.002266848541942903</x:v>
      </x:c>
      <x:c r="H155" s="98" t="n">
        <x:f>$B$9*'Transformaciones'!I147</x:f>
        <x:v>0.0023750591081808103</x:v>
      </x:c>
      <x:c r="I155" s="98" t="n">
        <x:f>$B$10*'Transformaciones'!K147</x:f>
        <x:v>-0.0011014380962359287</x:v>
      </x:c>
      <x:c r="J155" s="98" t="n">
        <x:f>$B$13*'Transformaciones'!P148</x:f>
        <x:v>0</x:v>
      </x:c>
      <x:c r="K155" s="109" t="n">
        <x:f>SUM(C155:J155)</x:f>
        <x:v>0.02242763025027552</x:v>
      </x:c>
      <x:c r="L155" s="109" t="n">
        <x:f>B155-K155</x:f>
        <x:v>-0.009934945084272527</x:v>
      </x:c>
      <x:c r="M155" s="94" t="n">
        <x:f>'Datos_fuente'!B148</x:f>
        <x:v>2953.755806</x:v>
      </x:c>
      <x:c r="N155" s="94" t="n">
        <x:f>EXP('Transformaciones'!B147+K155)</x:f>
        <x:v>2983.2474641508584</x:v>
      </x:c>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t="str">
        <x:f>'Transformaciones'!A149</x:f>
        <x:v>2017-11</x:v>
      </x:c>
      <x:c r="B156" s="98" t="n">
        <x:f>'Transformaciones'!C149</x:f>
        <x:v>0.020013617501344783</x:v>
      </x:c>
      <x:c r="C156" s="98" t="n">
        <x:f>$B$6</x:f>
        <x:v>-0.0005941980394302418</x:v>
      </x:c>
      <x:c r="D156" s="98" t="n">
        <x:f>$B$7*'Transformaciones'!E149</x:f>
        <x:v>0.0009341015811099491</x:v>
      </x:c>
      <x:c r="E156" s="98" t="n">
        <x:f>$B$11*'Transformaciones'!M149</x:f>
        <x:v>0.003149583715762205</x:v>
      </x:c>
      <x:c r="F156" s="98" t="n">
        <x:f>$B$12*'Transformaciones'!O149</x:f>
        <x:v>0.0015409502213464218</x:v>
      </x:c>
      <x:c r="G156" s="98" t="n">
        <x:f>$B$8*'Transformaciones'!G148</x:f>
        <x:v>0.00519320295426765</x:v>
      </x:c>
      <x:c r="H156" s="98" t="n">
        <x:f>$B$9*'Transformaciones'!I148</x:f>
        <x:v>0.00015961418482390933</x:v>
      </x:c>
      <x:c r="I156" s="98" t="n">
        <x:f>$B$10*'Transformaciones'!K148</x:f>
        <x:v>-0.0009717812365758277</x:v>
      </x:c>
      <x:c r="J156" s="98" t="n">
        <x:f>$B$13*'Transformaciones'!P149</x:f>
        <x:v>0</x:v>
      </x:c>
      <x:c r="K156" s="109" t="n">
        <x:f>SUM(C156:J156)</x:f>
        <x:v>0.009411473381304065</x:v>
      </x:c>
      <x:c r="L156" s="109" t="n">
        <x:f>B156-K156</x:f>
        <x:v>0.010602144120040718</x:v>
      </x:c>
      <x:c r="M156" s="94" t="n">
        <x:f>'Datos_fuente'!B149</x:f>
        <x:v>3013.466667</x:v>
      </x:c>
      <x:c r="N156" s="94" t="n">
        <x:f>EXP('Transformaciones'!B148+K156)</x:f>
        <x:v>2981.686227187757</x:v>
      </x:c>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t="str">
        <x:f>'Transformaciones'!A150</x:f>
        <x:v>2017-12</x:v>
      </x:c>
      <x:c r="B157" s="98" t="n">
        <x:f>'Transformaciones'!C150</x:f>
        <x:v>-0.007228642887845638</x:v>
      </x:c>
      <x:c r="C157" s="98" t="n">
        <x:f>$B$6</x:f>
        <x:v>-0.0005941980394302418</x:v>
      </x:c>
      <x:c r="D157" s="98" t="n">
        <x:f>$B$7*'Transformaciones'!E150</x:f>
        <x:v>-0.005076080928435914</x:v>
      </x:c>
      <x:c r="E157" s="98" t="n">
        <x:f>$B$11*'Transformaciones'!M150</x:f>
        <x:v>-0.003303229592163984</x:v>
      </x:c>
      <x:c r="F157" s="98" t="n">
        <x:f>$B$12*'Transformaciones'!O150</x:f>
        <x:v>-0.0010177574933710237</x:v>
      </x:c>
      <x:c r="G157" s="98" t="n">
        <x:f>$B$8*'Transformaciones'!G149</x:f>
        <x:v>0.002432277435097863</x:v>
      </x:c>
      <x:c r="H157" s="98" t="n">
        <x:f>$B$9*'Transformaciones'!I149</x:f>
        <x:v>0.0027432358329872704</x:v>
      </x:c>
      <x:c r="I157" s="98" t="n">
        <x:f>$B$10*'Transformaciones'!K149</x:f>
        <x:v>0.0008836534653435215</x:v>
      </x:c>
      <x:c r="J157" s="98" t="n">
        <x:f>$B$13*'Transformaciones'!P150</x:f>
        <x:v>0</x:v>
      </x:c>
      <x:c r="K157" s="109" t="n">
        <x:f>SUM(C157:J157)</x:f>
        <x:v>-0.003932099319972509</x:v>
      </x:c>
      <x:c r="L157" s="109" t="n">
        <x:f>B157-K157</x:f>
        <x:v>-0.0032965435678731286</x:v>
      </x:c>
      <x:c r="M157" s="94" t="n">
        <x:f>'Datos_fuente'!B150</x:f>
        <x:v>2991.761935</x:v>
      </x:c>
      <x:c r="N157" s="94" t="n">
        <x:f>EXP('Transformaciones'!B149+K157)</x:f>
        <x:v>3001.6406824779697</x:v>
      </x:c>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t="str">
        <x:f>'Transformaciones'!A151</x:f>
        <x:v>2018-01</x:v>
      </x:c>
      <x:c r="B158" s="98" t="n">
        <x:f>'Transformaciones'!C151</x:f>
        <x:v>-0.04204805485584995</x:v>
      </x:c>
      <x:c r="C158" s="98" t="n">
        <x:f>$B$6</x:f>
        <x:v>-0.0005941980394302418</x:v>
      </x:c>
      <x:c r="D158" s="98" t="n">
        <x:f>$B$7*'Transformaciones'!E151</x:f>
        <x:v>-0.0013292236336985644</x:v>
      </x:c>
      <x:c r="E158" s="98" t="n">
        <x:f>$B$11*'Transformaciones'!M151</x:f>
        <x:v>-0.0292923309699054</x:v>
      </x:c>
      <x:c r="F158" s="98" t="n">
        <x:f>$B$12*'Transformaciones'!O151</x:f>
        <x:v>0.0028716264049210823</x:v>
      </x:c>
      <x:c r="G158" s="98" t="n">
        <x:f>$B$8*'Transformaciones'!G150</x:f>
        <x:v>0.0038524651149759903</x:v>
      </x:c>
      <x:c r="H158" s="98" t="n">
        <x:f>$B$9*'Transformaciones'!I150</x:f>
        <x:v>0.003529601733511837</x:v>
      </x:c>
      <x:c r="I158" s="98" t="n">
        <x:f>$B$10*'Transformaciones'!K150</x:f>
        <x:v>0.0012358656844716543</x:v>
      </x:c>
      <x:c r="J158" s="98" t="n">
        <x:f>$B$13*'Transformaciones'!P151</x:f>
        <x:v>0</x:v>
      </x:c>
      <x:c r="K158" s="109" t="n">
        <x:f>SUM(C158:J158)</x:f>
        <x:v>-0.019726193705153643</x:v>
      </x:c>
      <x:c r="L158" s="109" t="n">
        <x:f>B158-K158</x:f>
        <x:v>-0.022321861150696305</x:v>
      </x:c>
      <x:c r="M158" s="94" t="n">
        <x:f>'Datos_fuente'!B151</x:f>
        <x:v>2868.572258</x:v>
      </x:c>
      <x:c r="N158" s="94" t="n">
        <x:f>EXP('Transformaciones'!B150+K158)</x:f>
        <x:v>2933.3241322034164</x:v>
      </x:c>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t="str">
        <x:f>'Transformaciones'!A152</x:f>
        <x:v>2018-02</x:v>
      </x:c>
      <x:c r="B159" s="98" t="n">
        <x:f>'Transformaciones'!C152</x:f>
        <x:v>-0.002904402449447119</x:v>
      </x:c>
      <x:c r="C159" s="98" t="n">
        <x:f>$B$6</x:f>
        <x:v>-0.0005941980394302418</x:v>
      </x:c>
      <x:c r="D159" s="98" t="n">
        <x:f>$B$7*'Transformaciones'!E152</x:f>
        <x:v>0.004352771526653939</x:v>
      </x:c>
      <x:c r="E159" s="98" t="n">
        <x:f>$B$11*'Transformaciones'!M152</x:f>
        <x:v>-0.008339953649164128</x:v>
      </x:c>
      <x:c r="F159" s="98" t="n">
        <x:f>$B$12*'Transformaciones'!O152</x:f>
        <x:v>0.027174458732733643</x:v>
      </x:c>
      <x:c r="G159" s="98" t="n">
        <x:f>$B$8*'Transformaciones'!G151</x:f>
        <x:v>0.004490936413036906</x:v>
      </x:c>
      <x:c r="H159" s="98" t="n">
        <x:f>$B$9*'Transformaciones'!I151</x:f>
        <x:v>0.0012481829427401206</x:v>
      </x:c>
      <x:c r="I159" s="98" t="n">
        <x:f>$B$10*'Transformaciones'!K151</x:f>
        <x:v>-0.0038748315486060734</x:v>
      </x:c>
      <x:c r="J159" s="98" t="n">
        <x:f>$B$13*'Transformaciones'!P152</x:f>
        <x:v>0</x:v>
      </x:c>
      <x:c r="K159" s="109" t="n">
        <x:f>SUM(C159:J159)</x:f>
        <x:v>0.024457366377964165</x:v>
      </x:c>
      <x:c r="L159" s="109" t="n">
        <x:f>B159-K159</x:f>
        <x:v>-0.027361768827411283</x:v>
      </x:c>
      <x:c r="M159" s="94" t="n">
        <x:f>'Datos_fuente'!B152</x:f>
        <x:v>2860.252857</x:v>
      </x:c>
      <x:c r="N159" s="94" t="n">
        <x:f>EXP('Transformaciones'!B151+K159)</x:f>
        <x:v>2939.5949545248195</x:v>
      </x:c>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t="str">
        <x:f>'Transformaciones'!A153</x:f>
        <x:v>2018-03</x:v>
      </x:c>
      <x:c r="B160" s="98" t="n">
        <x:f>'Transformaciones'!C153</x:f>
        <x:v>-0.00431739138590892</x:v>
      </x:c>
      <x:c r="C160" s="98" t="n">
        <x:f>$B$6</x:f>
        <x:v>-0.0005941980394302418</x:v>
      </x:c>
      <x:c r="D160" s="98" t="n">
        <x:f>$B$7*'Transformaciones'!E153</x:f>
        <x:v>-0.0006061658954767112</x:v>
      </x:c>
      <x:c r="E160" s="98" t="n">
        <x:f>$B$11*'Transformaciones'!M153</x:f>
        <x:v>0.0035126655626760224</x:v>
      </x:c>
      <x:c r="F160" s="98" t="n">
        <x:f>$B$12*'Transformaciones'!O153</x:f>
        <x:v>-0.006377646900233564</x:v>
      </x:c>
      <x:c r="G160" s="98" t="n">
        <x:f>$B$8*'Transformaciones'!G152</x:f>
        <x:v>0.0037415159294418503</x:v>
      </x:c>
      <x:c r="H160" s="98" t="n">
        <x:f>$B$9*'Transformaciones'!I152</x:f>
        <x:v>0.002413366515705293</x:v>
      </x:c>
      <x:c r="I160" s="98" t="n">
        <x:f>$B$10*'Transformaciones'!K152</x:f>
        <x:v>-0.00019062498360700002</x:v>
      </x:c>
      <x:c r="J160" s="98" t="n">
        <x:f>$B$13*'Transformaciones'!P153</x:f>
        <x:v>0</x:v>
      </x:c>
      <x:c r="K160" s="109" t="n">
        <x:f>SUM(C160:J160)</x:f>
        <x:v>0.0018989121890756488</x:v>
      </x:c>
      <x:c r="L160" s="109" t="n">
        <x:f>B160-K160</x:f>
        <x:v>-0.006216303574984568</x:v>
      </x:c>
      <x:c r="M160" s="94" t="n">
        <x:f>'Datos_fuente'!B153</x:f>
        <x:v>2847.930645</x:v>
      </x:c>
      <x:c r="N160" s="94" t="n">
        <x:f>EXP('Transformaciones'!B152+K160)</x:f>
        <x:v>2865.689386126091</x:v>
      </x:c>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t="str">
        <x:f>'Transformaciones'!A154</x:f>
        <x:v>2018-04</x:v>
      </x:c>
      <x:c r="B161" s="98" t="n">
        <x:f>'Transformaciones'!C154</x:f>
        <x:v>-0.029087376265255926</x:v>
      </x:c>
      <x:c r="C161" s="98" t="n">
        <x:f>$B$6</x:f>
        <x:v>-0.0005941980394302418</x:v>
      </x:c>
      <x:c r="D161" s="98" t="n">
        <x:f>$B$7*'Transformaciones'!E154</x:f>
        <x:v>-0.0012014270350232438</x:v>
      </x:c>
      <x:c r="E161" s="98" t="n">
        <x:f>$B$11*'Transformaciones'!M154</x:f>
        <x:v>-0.00004508134693314759</x:v>
      </x:c>
      <x:c r="F161" s="98" t="n">
        <x:f>$B$12*'Transformaciones'!O154</x:f>
        <x:v>-0.0015559518679780506</x:v>
      </x:c>
      <x:c r="G161" s="98" t="n">
        <x:f>$B$8*'Transformaciones'!G153</x:f>
        <x:v>0.0009538843705447308</x:v>
      </x:c>
      <x:c r="H161" s="98" t="n">
        <x:f>$B$9*'Transformaciones'!I153</x:f>
        <x:v>0.0008906471655678016</x:v>
      </x:c>
      <x:c r="I161" s="98" t="n">
        <x:f>$B$10*'Transformaciones'!K153</x:f>
        <x:v>0.00013690326061222325</x:v>
      </x:c>
      <x:c r="J161" s="98" t="n">
        <x:f>$B$13*'Transformaciones'!P154</x:f>
        <x:v>0</x:v>
      </x:c>
      <x:c r="K161" s="109" t="n">
        <x:f>SUM(C161:J161)</x:f>
        <x:v>-0.001415223492639928</x:v>
      </x:c>
      <x:c r="L161" s="109" t="n">
        <x:f>B161-K161</x:f>
        <x:v>-0.027672152772615997</x:v>
      </x:c>
      <x:c r="M161" s="94" t="n">
        <x:f>'Datos_fuente'!B154</x:f>
        <x:v>2766.285</x:v>
      </x:c>
      <x:c r="N161" s="94" t="n">
        <x:f>EXP('Transformaciones'!B153+K161)</x:f>
        <x:v>2843.9030373005307</x:v>
      </x:c>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t="str">
        <x:f>'Transformaciones'!A155</x:f>
        <x:v>2018-05</x:v>
      </x:c>
      <x:c r="B162" s="98" t="n">
        <x:f>'Transformaciones'!C155</x:f>
        <x:v>0.03395455004048831</x:v>
      </x:c>
      <x:c r="C162" s="98" t="n">
        <x:f>$B$6</x:f>
        <x:v>-0.0005941980394302418</x:v>
      </x:c>
      <x:c r="D162" s="98" t="n">
        <x:f>$B$7*'Transformaciones'!E155</x:f>
        <x:v>-0.002573571022736535</x:v>
      </x:c>
      <x:c r="E162" s="98" t="n">
        <x:f>$B$11*'Transformaciones'!M155</x:f>
        <x:v>0.036131617855235325</x:v>
      </x:c>
      <x:c r="F162" s="98" t="n">
        <x:f>$B$12*'Transformaciones'!O155</x:f>
        <x:v>-0.009866936549647178</x:v>
      </x:c>
      <x:c r="G162" s="98" t="n">
        <x:f>$B$8*'Transformaciones'!G154</x:f>
        <x:v>0.0061278689164577784</x:v>
      </x:c>
      <x:c r="H162" s="98" t="n">
        <x:f>$B$9*'Transformaciones'!I154</x:f>
        <x:v>0.001863761657982081</x:v>
      </x:c>
      <x:c r="I162" s="98" t="n">
        <x:f>$B$10*'Transformaciones'!K154</x:f>
        <x:v>0.0016212703765827337</x:v>
      </x:c>
      <x:c r="J162" s="98" t="n">
        <x:f>$B$13*'Transformaciones'!P155</x:f>
        <x:v>0</x:v>
      </x:c>
      <x:c r="K162" s="109" t="n">
        <x:f>SUM(C162:J162)</x:f>
        <x:v>0.03270981319444396</x:v>
      </x:c>
      <x:c r="L162" s="109" t="n">
        <x:f>B162-K162</x:f>
        <x:v>0.001244736846044349</x:v>
      </x:c>
      <x:c r="M162" s="94" t="n">
        <x:f>'Datos_fuente'!B155</x:f>
        <x:v>2861.825806</x:v>
      </x:c>
      <x:c r="N162" s="94" t="n">
        <x:f>EXP('Transformaciones'!B154+K162)</x:f>
        <x:v>2858.265802065992</x:v>
      </x:c>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t="str">
        <x:f>'Transformaciones'!A156</x:f>
        <x:v>2018-06</x:v>
      </x:c>
      <x:c r="B163" s="98" t="n">
        <x:f>'Transformaciones'!C156</x:f>
        <x:v>0.009689069025481167</x:v>
      </x:c>
      <x:c r="C163" s="98" t="n">
        <x:f>$B$6</x:f>
        <x:v>-0.0005941980394302418</x:v>
      </x:c>
      <x:c r="D163" s="98" t="n">
        <x:f>$B$7*'Transformaciones'!E156</x:f>
        <x:v>-0.00007094584511325373</x:v>
      </x:c>
      <x:c r="E163" s="98" t="n">
        <x:f>$B$11*'Transformaciones'!M156</x:f>
        <x:v>0.02046525585594177</x:v>
      </x:c>
      <x:c r="F163" s="98" t="n">
        <x:f>$B$12*'Transformaciones'!O156</x:f>
        <x:v>-0.0012320795789531503</x:v>
      </x:c>
      <x:c r="G163" s="98" t="n">
        <x:f>$B$8*'Transformaciones'!G155</x:f>
        <x:v>0.0023884211558291455</x:v>
      </x:c>
      <x:c r="H163" s="98" t="n">
        <x:f>$B$9*'Transformaciones'!I155</x:f>
        <x:v>0.0024905133736827377</x:v>
      </x:c>
      <x:c r="I163" s="98" t="n">
        <x:f>$B$10*'Transformaciones'!K155</x:f>
        <x:v>0.00037041515934948947</x:v>
      </x:c>
      <x:c r="J163" s="98" t="n">
        <x:f>$B$13*'Transformaciones'!P156</x:f>
        <x:v>0</x:v>
      </x:c>
      <x:c r="K163" s="109" t="n">
        <x:f>SUM(C163:J163)</x:f>
        <x:v>0.0238173820813065</x:v>
      </x:c>
      <x:c r="L163" s="109" t="n">
        <x:f>B163-K163</x:f>
        <x:v>-0.014128313055825334</x:v>
      </x:c>
      <x:c r="M163" s="94" t="n">
        <x:f>'Datos_fuente'!B156</x:f>
        <x:v>2889.689</x:v>
      </x:c>
      <x:c r="N163" s="94" t="n">
        <x:f>EXP('Transformaciones'!B155+K163)</x:f>
        <x:v>2930.805198156808</x:v>
      </x:c>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t="str">
        <x:f>'Transformaciones'!A157</x:f>
        <x:v>2018-07</x:v>
      </x:c>
      <x:c r="B164" s="98" t="n">
        <x:f>'Transformaciones'!C157</x:f>
        <x:v>-0.0015124008877460682</x:v>
      </x:c>
      <x:c r="C164" s="98" t="n">
        <x:f>$B$6</x:f>
        <x:v>-0.0005941980394302418</x:v>
      </x:c>
      <x:c r="D164" s="98" t="n">
        <x:f>$B$7*'Transformaciones'!E157</x:f>
        <x:v>0.0005475847933861017</x:v>
      </x:c>
      <x:c r="E164" s="98" t="n">
        <x:f>$B$11*'Transformaciones'!M157</x:f>
        <x:v>0.0024274568278866335</x:v>
      </x:c>
      <x:c r="F164" s="98" t="n">
        <x:f>$B$12*'Transformaciones'!O157</x:f>
        <x:v>-0.0015173496295858861</x:v>
      </x:c>
      <x:c r="G164" s="98" t="n">
        <x:f>$B$8*'Transformaciones'!G156</x:f>
        <x:v>0.0005291141253912795</x:v>
      </x:c>
      <x:c r="H164" s="98" t="n">
        <x:f>$B$9*'Transformaciones'!I156</x:f>
        <x:v>0.0011875295540904006</x:v>
      </x:c>
      <x:c r="I164" s="98" t="n">
        <x:f>$B$10*'Transformaciones'!K156</x:f>
        <x:v>-0.000016169454032628345</x:v>
      </x:c>
      <x:c r="J164" s="98" t="n">
        <x:f>$B$13*'Transformaciones'!P157</x:f>
        <x:v>0</x:v>
      </x:c>
      <x:c r="K164" s="109" t="n">
        <x:f>SUM(C164:J164)</x:f>
        <x:v>0.002563968177705659</x:v>
      </x:c>
      <x:c r="L164" s="109" t="n">
        <x:f>B164-K164</x:f>
        <x:v>-0.004076369065451727</x:v>
      </x:c>
      <x:c r="M164" s="94" t="n">
        <x:f>'Datos_fuente'!B157</x:f>
        <x:v>2885.321935</x:v>
      </x:c>
      <x:c r="N164" s="94" t="n">
        <x:f>EXP('Transformaciones'!B156+K164)</x:f>
        <x:v>2897.1075770731327</x:v>
      </x:c>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t="str">
        <x:f>'Transformaciones'!A158</x:f>
        <x:v>2018-08</x:v>
      </x:c>
      <x:c r="B165" s="98" t="n">
        <x:f>'Transformaciones'!C158</x:f>
        <x:v>0.025102269690628454</x:v>
      </x:c>
      <x:c r="C165" s="98" t="n">
        <x:f>$B$6</x:f>
        <x:v>-0.0005941980394302418</x:v>
      </x:c>
      <x:c r="D165" s="98" t="n">
        <x:f>$B$7*'Transformaciones'!E158</x:f>
        <x:v>-0.00012115333391609659</x:v>
      </x:c>
      <x:c r="E165" s="98" t="n">
        <x:f>$B$11*'Transformaciones'!M158</x:f>
        <x:v>0.008674849443073101</x:v>
      </x:c>
      <x:c r="F165" s="98" t="n">
        <x:f>$B$12*'Transformaciones'!O158</x:f>
        <x:v>-0.0017938357122855744</x:v>
      </x:c>
      <x:c r="G165" s="98" t="n">
        <x:f>$B$8*'Transformaciones'!G157</x:f>
        <x:v>0.001962876829350372</x:v>
      </x:c>
      <x:c r="H165" s="98" t="n">
        <x:f>$B$9*'Transformaciones'!I157</x:f>
        <x:v>0.000890647165567806</x:v>
      </x:c>
      <x:c r="I165" s="98" t="n">
        <x:f>$B$10*'Transformaciones'!K157</x:f>
        <x:v>0.0007600077308656394</x:v>
      </x:c>
      <x:c r="J165" s="98" t="n">
        <x:f>$B$13*'Transformaciones'!P158</x:f>
        <x:v>0</x:v>
      </x:c>
      <x:c r="K165" s="109" t="n">
        <x:f>SUM(C165:J165)</x:f>
        <x:v>0.009779194083225005</x:v>
      </x:c>
      <x:c r="L165" s="109" t="n">
        <x:f>B165-K165</x:f>
        <x:v>0.015323075607403449</x:v>
      </x:c>
      <x:c r="M165" s="94" t="n">
        <x:f>'Datos_fuente'!B158</x:f>
        <x:v>2958.666774</x:v>
      </x:c>
      <x:c r="N165" s="94" t="n">
        <x:f>EXP('Transformaciones'!B157+K165)</x:f>
        <x:v>2913.6764744994834</x:v>
      </x:c>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t="str">
        <x:f>'Transformaciones'!A159</x:f>
        <x:v>2018-09</x:v>
      </x:c>
      <x:c r="B166" s="98" t="n">
        <x:f>'Transformaciones'!C159</x:f>
        <x:v>0.025066658612159287</x:v>
      </x:c>
      <x:c r="C166" s="98" t="n">
        <x:f>$B$6</x:f>
        <x:v>-0.0005941980394302418</x:v>
      </x:c>
      <x:c r="D166" s="98" t="n">
        <x:f>$B$7*'Transformaciones'!E159</x:f>
        <x:v>-0.005864518547049419</x:v>
      </x:c>
      <x:c r="E166" s="98" t="n">
        <x:f>$B$11*'Transformaciones'!M159</x:f>
        <x:v>0.0027631011362639867</x:v>
      </x:c>
      <x:c r="F166" s="98" t="n">
        <x:f>$B$12*'Transformaciones'!O159</x:f>
        <x:v>0.0010957621956841721</x:v>
      </x:c>
      <x:c r="G166" s="98" t="n">
        <x:f>$B$8*'Transformaciones'!G158</x:f>
        <x:v>0.004537943118153205</x:v>
      </x:c>
      <x:c r="H166" s="98" t="n">
        <x:f>$B$9*'Transformaciones'!I158</x:f>
        <x:v>0</x:v>
      </x:c>
      <x:c r="I166" s="98" t="n">
        <x:f>$B$10*'Transformaciones'!K158</x:f>
        <x:v>0.0023298668613541164</x:v>
      </x:c>
      <x:c r="J166" s="98" t="n">
        <x:f>$B$13*'Transformaciones'!P159</x:f>
        <x:v>0</x:v>
      </x:c>
      <x:c r="K166" s="109" t="n">
        <x:f>SUM(C166:J166)</x:f>
        <x:v>0.00426795672497582</x:v>
      </x:c>
      <x:c r="L166" s="109" t="n">
        <x:f>B166-K166</x:f>
        <x:v>0.02079870188718347</x:v>
      </x:c>
      <x:c r="M166" s="94" t="n">
        <x:f>'Datos_fuente'!B159</x:f>
        <x:v>3033.768</x:v>
      </x:c>
      <x:c r="N166" s="94" t="n">
        <x:f>EXP('Transformaciones'!B158+K166)</x:f>
        <x:v>2971.3212208619807</x:v>
      </x:c>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t="str">
        <x:f>'Transformaciones'!A160</x:f>
        <x:v>2018-10</x:v>
      </x:c>
      <x:c r="B167" s="98" t="n">
        <x:f>'Transformaciones'!C160</x:f>
        <x:v>0.016691452992116496</x:v>
      </x:c>
      <x:c r="C167" s="98" t="n">
        <x:f>$B$6</x:f>
        <x:v>-0.0005941980394302418</x:v>
      </x:c>
      <x:c r="D167" s="98" t="n">
        <x:f>$B$7*'Transformaciones'!E160</x:f>
        <x:v>-0.00009399349067165438</x:v>
      </x:c>
      <x:c r="E167" s="98" t="n">
        <x:f>$B$11*'Transformaciones'!M160</x:f>
        <x:v>0.008381171469366197</x:v>
      </x:c>
      <x:c r="F167" s="98" t="n">
        <x:f>$B$12*'Transformaciones'!O160</x:f>
        <x:v>0.01552687125973771</x:v>
      </x:c>
      <x:c r="G167" s="98" t="n">
        <x:f>$B$8*'Transformaciones'!G159</x:f>
        <x:v>0.003968215682799173</x:v>
      </x:c>
      <x:c r="H167" s="98" t="n">
        <x:f>$B$9*'Transformaciones'!I159</x:f>
        <x:v>0.0003958431846968017</x:v>
      </x:c>
      <x:c r="I167" s="98" t="n">
        <x:f>$B$10*'Transformaciones'!K159</x:f>
        <x:v>0.00043472901298222263</x:v>
      </x:c>
      <x:c r="J167" s="98" t="n">
        <x:f>$B$13*'Transformaciones'!P160</x:f>
        <x:v>0</x:v>
      </x:c>
      <x:c r="K167" s="109" t="n">
        <x:f>SUM(C167:J167)</x:f>
        <x:v>0.028018639079480205</x:v>
      </x:c>
      <x:c r="L167" s="109" t="n">
        <x:f>B167-K167</x:f>
        <x:v>-0.01132718608736371</x:v>
      </x:c>
      <x:c r="M167" s="94" t="n">
        <x:f>'Datos_fuente'!B160</x:f>
        <x:v>3084.830968</x:v>
      </x:c>
      <x:c r="N167" s="94" t="n">
        <x:f>EXP('Transformaciones'!B159+K167)</x:f>
        <x:v>3119.9720716012757</x:v>
      </x:c>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t="str">
        <x:f>'Transformaciones'!A161</x:f>
        <x:v>2018-11</x:v>
      </x:c>
      <x:c r="B168" s="98" t="n">
        <x:f>'Transformaciones'!C161</x:f>
        <x:v>0.034787934668214504</x:v>
      </x:c>
      <x:c r="C168" s="98" t="n">
        <x:f>$B$6</x:f>
        <x:v>-0.0005941980394302418</x:v>
      </x:c>
      <x:c r="D168" s="98" t="n">
        <x:f>$B$7*'Transformaciones'!E161</x:f>
        <x:v>0.00723438983164349</x:v>
      </x:c>
      <x:c r="E168" s="98" t="n">
        <x:f>$B$11*'Transformaciones'!M161</x:f>
        <x:v>0.014763347727524913</x:v>
      </x:c>
      <x:c r="F168" s="98" t="n">
        <x:f>$B$12*'Transformaciones'!O161</x:f>
        <x:v>0.00007302273573218136</x:v>
      </x:c>
      <x:c r="G168" s="98" t="n">
        <x:f>$B$8*'Transformaciones'!G160</x:f>
        <x:v>0.00382027819871005</x:v>
      </x:c>
      <x:c r="H168" s="98" t="n">
        <x:f>$B$9*'Transformaciones'!I160</x:f>
        <x:v>0.002375059108180806</x:v>
      </x:c>
      <x:c r="I168" s="98" t="n">
        <x:f>$B$10*'Transformaciones'!K160</x:f>
        <x:v>0.00022152273499094293</x:v>
      </x:c>
      <x:c r="J168" s="98" t="n">
        <x:f>$B$13*'Transformaciones'!P161</x:f>
        <x:v>0</x:v>
      </x:c>
      <x:c r="K168" s="109" t="n">
        <x:f>SUM(C168:J168)</x:f>
        <x:v>0.027893422297352144</x:v>
      </x:c>
      <x:c r="L168" s="109" t="n">
        <x:f>B168-K168</x:f>
        <x:v>0.00689451237086236</x:v>
      </x:c>
      <x:c r="M168" s="94" t="n">
        <x:f>'Datos_fuente'!B161</x:f>
        <x:v>3194.034333</x:v>
      </x:c>
      <x:c r="N168" s="94" t="n">
        <x:f>EXP('Transformaciones'!B160+K168)</x:f>
        <x:v>3172.0887627116304</x:v>
      </x:c>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t="str">
        <x:f>'Transformaciones'!A162</x:f>
        <x:v>2018-12</x:v>
      </x:c>
      <x:c r="B169" s="98" t="n">
        <x:f>'Transformaciones'!C162</x:f>
        <x:v>0.007646449381239151</x:v>
      </x:c>
      <x:c r="C169" s="98" t="n">
        <x:f>$B$6</x:f>
        <x:v>-0.0005941980394302418</x:v>
      </x:c>
      <x:c r="D169" s="98" t="n">
        <x:f>$B$7*'Transformaciones'!E162</x:f>
        <x:v>0.006350622633948762</x:v>
      </x:c>
      <x:c r="E169" s="98" t="n">
        <x:f>$B$11*'Transformaciones'!M162</x:f>
        <x:v>0.0004690793805282324</x:v>
      </x:c>
      <x:c r="F169" s="98" t="n">
        <x:f>$B$12*'Transformaciones'!O162</x:f>
        <x:v>0.009678052673904937</x:v>
      </x:c>
      <x:c r="G169" s="98" t="n">
        <x:f>$B$8*'Transformaciones'!G161</x:f>
        <x:v>0.0025445163795451728</x:v>
      </x:c>
      <x:c r="H169" s="98" t="n">
        <x:f>$B$9*'Transformaciones'!I161</x:f>
        <x:v>0.00009896079617420262</x:v>
      </x:c>
      <x:c r="I169" s="98" t="n">
        <x:f>$B$10*'Transformaciones'!K161</x:f>
        <x:v>-0.0013791451965903961</x:v>
      </x:c>
      <x:c r="J169" s="98" t="n">
        <x:f>$B$13*'Transformaciones'!P162</x:f>
        <x:v>0</x:v>
      </x:c>
      <x:c r="K169" s="109" t="n">
        <x:f>SUM(C169:J169)</x:f>
        <x:v>0.01716788862808067</x:v>
      </x:c>
      <x:c r="L169" s="109" t="n">
        <x:f>B169-K169</x:f>
        <x:v>-0.009521439246841519</x:v>
      </x:c>
      <x:c r="M169" s="94" t="n">
        <x:f>'Datos_fuente'!B162</x:f>
        <x:v>3218.550968</x:v>
      </x:c>
      <x:c r="N169" s="94" t="n">
        <x:f>EXP('Transformaciones'!B161+K169)</x:f>
        <x:v>3249.3425630308548</x:v>
      </x:c>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t="str">
        <x:f>'Transformaciones'!A163</x:f>
        <x:v>2019-01</x:v>
      </x:c>
      <x:c r="B170" s="98" t="n">
        <x:f>'Transformaciones'!C163</x:f>
        <x:v>-0.016718774281571314</x:v>
      </x:c>
      <x:c r="C170" s="98" t="n">
        <x:f>$B$6</x:f>
        <x:v>-0.0005941980394302418</x:v>
      </x:c>
      <x:c r="D170" s="98" t="n">
        <x:f>$B$7*'Transformaciones'!E163</x:f>
        <x:v>-0.0012678678330927673</x:v>
      </x:c>
      <x:c r="E170" s="98" t="n">
        <x:f>$B$11*'Transformaciones'!M163</x:f>
        <x:v>-0.019555014215702285</x:v>
      </x:c>
      <x:c r="F170" s="98" t="n">
        <x:f>$B$12*'Transformaciones'!O163</x:f>
        <x:v>-0.009317038542262651</x:v>
      </x:c>
      <x:c r="G170" s="98" t="n">
        <x:f>$B$8*'Transformaciones'!G162</x:f>
        <x:v>0.0029537537032821434</x:v>
      </x:c>
      <x:c r="H170" s="98" t="n">
        <x:f>$B$9*'Transformaciones'!I162</x:f>
        <x:v>0.0006927255732194008</x:v>
      </x:c>
      <x:c r="I170" s="98" t="n">
        <x:f>$B$10*'Transformaciones'!K162</x:f>
        <x:v>-0.003251443807826935</x:v>
      </x:c>
      <x:c r="J170" s="98" t="n">
        <x:f>$B$13*'Transformaciones'!P163</x:f>
        <x:v>0</x:v>
      </x:c>
      <x:c r="K170" s="109" t="n">
        <x:f>SUM(C170:J170)</x:f>
        <x:v>-0.030339083161813333</x:v>
      </x:c>
      <x:c r="L170" s="109" t="n">
        <x:f>B170-K170</x:f>
        <x:v>0.01362030888024202</x:v>
      </x:c>
      <x:c r="M170" s="94" t="n">
        <x:f>'Datos_fuente'!B163</x:f>
        <x:v>3165.188065</x:v>
      </x:c>
      <x:c r="N170" s="94" t="n">
        <x:f>EXP('Transformaciones'!B162+K170)</x:f>
        <x:v>3122.369488953925</x:v>
      </x:c>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t="str">
        <x:f>'Transformaciones'!A164</x:f>
        <x:v>2019-02</x:v>
      </x:c>
      <x:c r="B171" s="98" t="n">
        <x:f>'Transformaciones'!C164</x:f>
        <x:v>-0.01571415386816888</x:v>
      </x:c>
      <x:c r="C171" s="98" t="n">
        <x:f>$B$6</x:f>
        <x:v>-0.0005941980394302418</x:v>
      </x:c>
      <x:c r="D171" s="98" t="n">
        <x:f>$B$7*'Transformaciones'!E164</x:f>
        <x:v>-0.006905556684246378</x:v>
      </x:c>
      <x:c r="E171" s="98" t="n">
        <x:f>$B$11*'Transformaciones'!M164</x:f>
        <x:v>-0.00032842550932097653</x:v>
      </x:c>
      <x:c r="F171" s="98" t="n">
        <x:f>$B$12*'Transformaciones'!O164</x:f>
        <x:v>-0.00961089362918103</x:v>
      </x:c>
      <x:c r="G171" s="98" t="n">
        <x:f>$B$8*'Transformaciones'!G163</x:f>
        <x:v>0.00171432678651766</x:v>
      </x:c>
      <x:c r="H171" s="98" t="n">
        <x:f>$B$9*'Transformaciones'!I163</x:f>
        <x:v>0.0012864903502646033</x:v>
      </x:c>
      <x:c r="I171" s="98" t="n">
        <x:f>$B$10*'Transformaciones'!K163</x:f>
        <x:v>-0.0004958359717344187</x:v>
      </x:c>
      <x:c r="J171" s="98" t="n">
        <x:f>$B$13*'Transformaciones'!P164</x:f>
        <x:v>0</x:v>
      </x:c>
      <x:c r="K171" s="109" t="n">
        <x:f>SUM(C171:J171)</x:f>
        <x:v>-0.014934092697130783</x:v>
      </x:c>
      <x:c r="L171" s="109" t="n">
        <x:f>B171-K171</x:f>
        <x:v>-0.0007800611710380954</x:v>
      </x:c>
      <x:c r="M171" s="94" t="n">
        <x:f>'Datos_fuente'!B164</x:f>
        <x:v>3115.838571</x:v>
      </x:c>
      <x:c r="N171" s="94" t="n">
        <x:f>EXP('Transformaciones'!B163+K171)</x:f>
        <x:v>3118.27006391777</x:v>
      </x:c>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t="str">
        <x:f>'Transformaciones'!A165</x:f>
        <x:v>2019-03</x:v>
      </x:c>
      <x:c r="B172" s="98" t="n">
        <x:f>'Transformaciones'!C165</x:f>
        <x:v>0.004114210678045183</x:v>
      </x:c>
      <x:c r="C172" s="98" t="n">
        <x:f>$B$6</x:f>
        <x:v>-0.0005941980394302418</x:v>
      </x:c>
      <x:c r="D172" s="98" t="n">
        <x:f>$B$7*'Transformaciones'!E165</x:f>
        <x:v>0.0003263743003714548</x:v>
      </x:c>
      <x:c r="E172" s="98" t="n">
        <x:f>$B$11*'Transformaciones'!M165</x:f>
        <x:v>0.004120996073275055</x:v>
      </x:c>
      <x:c r="F172" s="98" t="n">
        <x:f>$B$12*'Transformaciones'!O165</x:f>
        <x:v>-0.0019352140303084435</x:v>
      </x:c>
      <x:c r="G172" s="98" t="n">
        <x:f>$B$8*'Transformaciones'!G164</x:f>
        <x:v>0.001622262232525557</x:v>
      </x:c>
      <x:c r="H172" s="98" t="n">
        <x:f>$B$9*'Transformaciones'!I164</x:f>
        <x:v>0</x:v>
      </x:c>
      <x:c r="I172" s="98" t="n">
        <x:f>$B$10*'Transformaciones'!K164</x:f>
        <x:v>0.0007013455448958312</x:v>
      </x:c>
      <x:c r="J172" s="98" t="n">
        <x:f>$B$13*'Transformaciones'!P165</x:f>
        <x:v>0</x:v>
      </x:c>
      <x:c r="K172" s="109" t="n">
        <x:f>SUM(C172:J172)</x:f>
        <x:v>0.004241566081329213</x:v>
      </x:c>
      <x:c r="L172" s="109" t="n">
        <x:f>B172-K172</x:f>
        <x:v>-0.0001273554032840303</x:v>
      </x:c>
      <x:c r="M172" s="94" t="n">
        <x:f>'Datos_fuente'!B165</x:f>
        <x:v>3128.684194</x:v>
      </x:c>
      <x:c r="N172" s="94" t="n">
        <x:f>EXP('Transformaciones'!B164+K172)</x:f>
        <x:v>3129.082674211043</x:v>
      </x:c>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t="str">
        <x:f>'Transformaciones'!A166</x:f>
        <x:v>2019-04</x:v>
      </x:c>
      <x:c r="B173" s="98" t="n">
        <x:f>'Transformaciones'!C166</x:f>
        <x:v>0.008618408005897749</x:v>
      </x:c>
      <x:c r="C173" s="98" t="n">
        <x:f>$B$6</x:f>
        <x:v>-0.0005941980394302418</x:v>
      </x:c>
      <x:c r="D173" s="98" t="n">
        <x:f>$B$7*'Transformaciones'!E166</x:f>
        <x:v>-0.0019564074959317894</x:v>
      </x:c>
      <x:c r="E173" s="98" t="n">
        <x:f>$B$11*'Transformaciones'!M166</x:f>
        <x:v>0.0013344482975458833</x:v>
      </x:c>
      <x:c r="F173" s="98" t="n">
        <x:f>$B$12*'Transformaciones'!O166</x:f>
        <x:v>-0.004300514125266698</x:v>
      </x:c>
      <x:c r="G173" s="98" t="n">
        <x:f>$B$8*'Transformaciones'!G165</x:f>
        <x:v>0.0024742435024112308</x:v>
      </x:c>
      <x:c r="H173" s="98" t="n">
        <x:f>$B$9*'Transformaciones'!I165</x:f>
        <x:v>0.00009896079617420042</x:v>
      </x:c>
      <x:c r="I173" s="98" t="n">
        <x:f>$B$10*'Transformaciones'!K165</x:f>
        <x:v>-0.0007135124879923816</x:v>
      </x:c>
      <x:c r="J173" s="98" t="n">
        <x:f>$B$13*'Transformaciones'!P166</x:f>
        <x:v>0</x:v>
      </x:c>
      <x:c r="K173" s="109" t="n">
        <x:f>SUM(C173:J173)</x:f>
        <x:v>-0.0036569795524897964</x:v>
      </x:c>
      <x:c r="L173" s="109" t="n">
        <x:f>B173-K173</x:f>
        <x:v>0.012275387558387545</x:v>
      </x:c>
      <x:c r="M173" s="94" t="n">
        <x:f>'Datos_fuente'!B166</x:f>
        <x:v>3155.765</x:v>
      </x:c>
      <x:c r="N173" s="94" t="n">
        <x:f>EXP('Transformaciones'!B165+K173)</x:f>
        <x:v>3117.2635551255867</x:v>
      </x:c>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t="str">
        <x:f>'Transformaciones'!A167</x:f>
        <x:v>2019-05</x:v>
      </x:c>
      <x:c r="B174" s="98" t="n">
        <x:f>'Transformaciones'!C167</x:f>
        <x:v>0.04605257750406899</x:v>
      </x:c>
      <x:c r="C174" s="98" t="n">
        <x:f>$B$6</x:f>
        <x:v>-0.0005941980394302418</x:v>
      </x:c>
      <x:c r="D174" s="98" t="n">
        <x:f>$B$7*'Transformaciones'!E167</x:f>
        <x:v>0.001913776524072879</x:v>
      </x:c>
      <x:c r="E174" s="98" t="n">
        <x:f>$B$11*'Transformaciones'!M167</x:f>
        <x:v>0.011634430573070294</x:v>
      </x:c>
      <x:c r="F174" s="98" t="n">
        <x:f>$B$12*'Transformaciones'!O167</x:f>
        <x:v>0.009808481116855464</x:v>
      </x:c>
      <x:c r="G174" s="98" t="n">
        <x:f>$B$8*'Transformaciones'!G166</x:f>
        <x:v>0.002474138191927445</x:v>
      </x:c>
      <x:c r="H174" s="98" t="n">
        <x:f>$B$9*'Transformaciones'!I166</x:f>
        <x:v>0.00009896079617420042</x:v>
      </x:c>
      <x:c r="I174" s="98" t="n">
        <x:f>$B$10*'Transformaciones'!K166</x:f>
        <x:v>-0.001258635780613161</x:v>
      </x:c>
      <x:c r="J174" s="98" t="n">
        <x:f>$B$13*'Transformaciones'!P167</x:f>
        <x:v>0</x:v>
      </x:c>
      <x:c r="K174" s="109" t="n">
        <x:f>SUM(C174:J174)</x:f>
        <x:v>0.024076953382056877</x:v>
      </x:c>
      <x:c r="L174" s="109" t="n">
        <x:f>B174-K174</x:f>
        <x:v>0.021975624122012115</x:v>
      </x:c>
      <x:c r="M174" s="94" t="n">
        <x:f>'Datos_fuente'!B167</x:f>
        <x:v>3304.494516</x:v>
      </x:c>
      <x:c r="N174" s="94" t="n">
        <x:f>EXP('Transformaciones'!B166+K174)</x:f>
        <x:v>3232.6682902247</x:v>
      </x:c>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t="str">
        <x:f>'Transformaciones'!A168</x:f>
        <x:v>2019-06</x:v>
      </x:c>
      <x:c r="B175" s="98" t="n">
        <x:f>'Transformaciones'!C168</x:f>
        <x:v>-0.01339774461006904</x:v>
      </x:c>
      <x:c r="C175" s="98" t="n">
        <x:f>$B$6</x:f>
        <x:v>-0.0005941980394302418</x:v>
      </x:c>
      <x:c r="D175" s="98" t="n">
        <x:f>$B$7*'Transformaciones'!E168</x:f>
        <x:v>0.003072851369419189</x:v>
      </x:c>
      <x:c r="E175" s="98" t="n">
        <x:f>$B$11*'Transformaciones'!M168</x:f>
        <x:v>-0.005842568456176713</x:v>
      </x:c>
      <x:c r="F175" s="98" t="n">
        <x:f>$B$12*'Transformaciones'!O168</x:f>
        <x:v>-0.00208790596435481</x:v>
      </x:c>
      <x:c r="G175" s="98" t="n">
        <x:f>$B$8*'Transformaciones'!G167</x:f>
        <x:v>0.004019338337655716</x:v>
      </x:c>
      <x:c r="H175" s="98" t="n">
        <x:f>$B$9*'Transformaciones'!I167</x:f>
        <x:v>-0.0002968823885226013</x:v>
      </x:c>
      <x:c r="I175" s="98" t="n">
        <x:f>$B$10*'Transformaciones'!K167</x:f>
        <x:v>-0.0003293628227571097</x:v>
      </x:c>
      <x:c r="J175" s="98" t="n">
        <x:f>$B$13*'Transformaciones'!P168</x:f>
        <x:v>0</x:v>
      </x:c>
      <x:c r="K175" s="109" t="n">
        <x:f>SUM(C175:J175)</x:f>
        <x:v>-0.002058727964166571</x:v>
      </x:c>
      <x:c r="L175" s="109" t="n">
        <x:f>B175-K175</x:f>
        <x:v>-0.011339016645902469</x:v>
      </x:c>
      <x:c r="M175" s="94" t="n">
        <x:f>'Datos_fuente'!B168</x:f>
        <x:v>3260.517</x:v>
      </x:c>
      <x:c r="N175" s="94" t="n">
        <x:f>EXP('Transformaciones'!B167+K175)</x:f>
        <x:v>3297.6984587493716</x:v>
      </x:c>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t="str">
        <x:f>'Transformaciones'!A169</x:f>
        <x:v>2019-07</x:v>
      </x:c>
      <x:c r="B176" s="98" t="n">
        <x:f>'Transformaciones'!C169</x:f>
        <x:v>-0.016674485259432714</x:v>
      </x:c>
      <x:c r="C176" s="98" t="n">
        <x:f>$B$6</x:f>
        <x:v>-0.0005941980394302418</x:v>
      </x:c>
      <x:c r="D176" s="98" t="n">
        <x:f>$B$7*'Transformaciones'!E169</x:f>
        <x:v>-0.0007589306688129352</x:v>
      </x:c>
      <x:c r="E176" s="98" t="n">
        <x:f>$B$11*'Transformaciones'!M169</x:f>
        <x:v>-0.0038649845393754633</x:v>
      </x:c>
      <x:c r="F176" s="98" t="n">
        <x:f>$B$12*'Transformaciones'!O169</x:f>
        <x:v>-0.006677706668372325</x:v>
      </x:c>
      <x:c r="G176" s="98" t="n">
        <x:f>$B$8*'Transformaciones'!G168</x:f>
        <x:v>0.0005792809108895444</x:v>
      </x:c>
      <x:c r="H176" s="98" t="n">
        <x:f>$B$9*'Transformaciones'!I168</x:f>
        <x:v>-0.00009896079617420042</x:v>
      </x:c>
      <x:c r="I176" s="98" t="n">
        <x:f>$B$10*'Transformaciones'!K168</x:f>
        <x:v>-0.001710425491429292</x:v>
      </x:c>
      <x:c r="J176" s="98" t="n">
        <x:f>$B$13*'Transformaciones'!P169</x:f>
        <x:v>0</x:v>
      </x:c>
      <x:c r="K176" s="109" t="n">
        <x:f>SUM(C176:J176)</x:f>
        <x:v>-0.013125925292704912</x:v>
      </x:c>
      <x:c r="L176" s="109" t="n">
        <x:f>B176-K176</x:f>
        <x:v>-0.0035485599667278017</x:v>
      </x:c>
      <x:c r="M176" s="94" t="n">
        <x:f>'Datos_fuente'!B169</x:f>
        <x:v>3206.600323</x:v>
      </x:c>
      <x:c r="N176" s="94" t="n">
        <x:f>EXP('Transformaciones'!B168+K176)</x:f>
        <x:v>3217.999349638646</x:v>
      </x:c>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t="str">
        <x:f>'Transformaciones'!A170</x:f>
        <x:v>2019-08</x:v>
      </x:c>
      <x:c r="B177" s="98" t="n">
        <x:f>'Transformaciones'!C170</x:f>
        <x:v>0.061714774318119225</x:v>
      </x:c>
      <x:c r="C177" s="98" t="n">
        <x:f>$B$6</x:f>
        <x:v>-0.0005941980394302418</x:v>
      </x:c>
      <x:c r="D177" s="98" t="n">
        <x:f>$B$7*'Transformaciones'!E170</x:f>
        <x:v>0.0026295684026331405</x:v>
      </x:c>
      <x:c r="E177" s="98" t="n">
        <x:f>$B$11*'Transformaciones'!M170</x:f>
        <x:v>0.02220996504338583</x:v>
      </x:c>
      <x:c r="F177" s="98" t="n">
        <x:f>$B$12*'Transformaciones'!O170</x:f>
        <x:v>0.013622957429534397</x:v>
      </x:c>
      <x:c r="G177" s="98" t="n">
        <x:f>$B$8*'Transformaciones'!G169</x:f>
        <x:v>0.0021129181646002294</x:v>
      </x:c>
      <x:c r="H177" s="98" t="n">
        <x:f>$B$9*'Transformaciones'!I169</x:f>
        <x:v>0.00019792159234840084</x:v>
      </x:c>
      <x:c r="I177" s="98" t="n">
        <x:f>$B$10*'Transformaciones'!K169</x:f>
        <x:v>-0.0012039731135754165</x:v>
      </x:c>
      <x:c r="J177" s="98" t="n">
        <x:f>$B$13*'Transformaciones'!P170</x:f>
        <x:v>0</x:v>
      </x:c>
      <x:c r="K177" s="109" t="n">
        <x:f>SUM(C177:J177)</x:f>
        <x:v>0.03897515947949634</x:v>
      </x:c>
      <x:c r="L177" s="109" t="n">
        <x:f>B177-K177</x:f>
        <x:v>0.022739614838622885</x:v>
      </x:c>
      <x:c r="M177" s="94" t="n">
        <x:f>'Datos_fuente'!B170</x:f>
        <x:v>3410.729032</x:v>
      </x:c>
      <x:c r="N177" s="94" t="n">
        <x:f>EXP('Transformaciones'!B169+K177)</x:f>
        <x:v>3334.045548263013</x:v>
      </x:c>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t="str">
        <x:f>'Transformaciones'!A171</x:f>
        <x:v>2019-09</x:v>
      </x:c>
      <x:c r="B178" s="98" t="n">
        <x:f>'Transformaciones'!C171</x:f>
        <x:v>-0.00331034783503803</x:v>
      </x:c>
      <x:c r="C178" s="98" t="n">
        <x:f>$B$6</x:f>
        <x:v>-0.0005941980394302418</x:v>
      </x:c>
      <x:c r="D178" s="98" t="n">
        <x:f>$B$7*'Transformaciones'!E171</x:f>
        <x:v>-0.001877962616160254</x:v>
      </x:c>
      <x:c r="E178" s="98" t="n">
        <x:f>$B$11*'Transformaciones'!M171</x:f>
        <x:v>0.0024307832520237102</x:v>
      </x:c>
      <x:c r="F178" s="98" t="n">
        <x:f>$B$12*'Transformaciones'!O171</x:f>
        <x:v>-0.007622182682375255</x:v>
      </x:c>
      <x:c r="G178" s="98" t="n">
        <x:f>$B$8*'Transformaciones'!G170</x:f>
        <x:v>0.002890916293583913</x:v>
      </x:c>
      <x:c r="H178" s="98" t="n">
        <x:f>$B$9*'Transformaciones'!I170</x:f>
        <x:v>-0.0026719414967034095</x:v>
      </x:c>
      <x:c r="I178" s="98" t="n">
        <x:f>$B$10*'Transformaciones'!K170</x:f>
        <x:v>-0.00012907241992663555</x:v>
      </x:c>
      <x:c r="J178" s="98" t="n">
        <x:f>$B$13*'Transformaciones'!P171</x:f>
        <x:v>0</x:v>
      </x:c>
      <x:c r="K178" s="109" t="n">
        <x:f>SUM(C178:J178)</x:f>
        <x:v>-0.007573657708988174</x:v>
      </x:c>
      <x:c r="L178" s="109" t="n">
        <x:f>B178-K178</x:f>
        <x:v>0.004263309873950144</x:v>
      </x:c>
      <x:c r="M178" s="94" t="n">
        <x:f>'Datos_fuente'!B171</x:f>
        <x:v>3399.457</x:v>
      </x:c>
      <x:c r="N178" s="94" t="n">
        <x:f>EXP('Transformaciones'!B170+K178)</x:f>
        <x:v>3384.9949114932037</x:v>
      </x:c>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t="str">
        <x:f>'Transformaciones'!A172</x:f>
        <x:v>2019-10</x:v>
      </x:c>
      <x:c r="B179" s="98" t="n">
        <x:f>'Transformaciones'!C172</x:f>
        <x:v>0.009909567251369822</x:v>
      </x:c>
      <x:c r="C179" s="98" t="n">
        <x:f>$B$6</x:f>
        <x:v>-0.0005941980394302418</x:v>
      </x:c>
      <x:c r="D179" s="98" t="n">
        <x:f>$B$7*'Transformaciones'!E172</x:f>
        <x:v>0.0005214035312865383</x:v>
      </x:c>
      <x:c r="E179" s="98" t="n">
        <x:f>$B$11*'Transformaciones'!M172</x:f>
        <x:v>-0.006291202984517197</x:v>
      </x:c>
      <x:c r="F179" s="98" t="n">
        <x:f>$B$12*'Transformaciones'!O172</x:f>
        <x:v>-0.00022868426592313667</x:v>
      </x:c>
      <x:c r="G179" s="98" t="n">
        <x:f>$B$8*'Transformaciones'!G171</x:f>
        <x:v>0.0012532680865815669</x:v>
      </x:c>
      <x:c r="H179" s="98" t="n">
        <x:f>$B$9*'Transformaciones'!I171</x:f>
        <x:v>-0.0008906471655678016</x:v>
      </x:c>
      <x:c r="I179" s="98" t="n">
        <x:f>$B$10*'Transformaciones'!K171</x:f>
        <x:v>-0.0011951436806399013</x:v>
      </x:c>
      <x:c r="J179" s="98" t="n">
        <x:f>$B$13*'Transformaciones'!P172</x:f>
        <x:v>0</x:v>
      </x:c>
      <x:c r="K179" s="109" t="n">
        <x:f>SUM(C179:J179)</x:f>
        <x:v>-0.007425204518210173</x:v>
      </x:c>
      <x:c r="L179" s="109" t="n">
        <x:f>B179-K179</x:f>
        <x:v>0.017334771769579996</x:v>
      </x:c>
      <x:c r="M179" s="94" t="n">
        <x:f>'Datos_fuente'!B172</x:f>
        <x:v>3433.311613</x:v>
      </x:c>
      <x:c r="N179" s="94" t="n">
        <x:f>EXP('Transformaciones'!B171+K179)</x:f>
        <x:v>3374.308817266679</x:v>
      </x:c>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t="str">
        <x:f>'Transformaciones'!A173</x:f>
        <x:v>2019-11</x:v>
      </x:c>
      <x:c r="B180" s="98" t="n">
        <x:f>'Transformaciones'!C173</x:f>
        <x:v>-0.009316707139870317</x:v>
      </x:c>
      <x:c r="C180" s="98" t="n">
        <x:f>$B$6</x:f>
        <x:v>-0.0005941980394302418</x:v>
      </x:c>
      <x:c r="D180" s="98" t="n">
        <x:f>$B$7*'Transformaciones'!E173</x:f>
        <x:v>-0.0009380380797094419</x:v>
      </x:c>
      <x:c r="E180" s="98" t="n">
        <x:f>$B$11*'Transformaciones'!M173</x:f>
        <x:v>-0.002040966483759907</x:v>
      </x:c>
      <x:c r="F180" s="98" t="n">
        <x:f>$B$12*'Transformaciones'!O173</x:f>
        <x:v>-0.008096789561792769</x:v>
      </x:c>
      <x:c r="G180" s="98" t="n">
        <x:f>$B$8*'Transformaciones'!G172</x:f>
        <x:v>-0.0007607921083110256</x:v>
      </x:c>
      <x:c r="H180" s="98" t="n">
        <x:f>$B$9*'Transformaciones'!I172</x:f>
        <x:v>-0.002078176719658207</x:v>
      </x:c>
      <x:c r="I180" s="98" t="n">
        <x:f>$B$10*'Transformaciones'!K172</x:f>
        <x:v>0.0013661379416506556</x:v>
      </x:c>
      <x:c r="J180" s="98" t="n">
        <x:f>$B$13*'Transformaciones'!P173</x:f>
        <x:v>0</x:v>
      </x:c>
      <x:c r="K180" s="109" t="n">
        <x:f>SUM(C180:J180)</x:f>
        <x:v>-0.013142823051010936</x:v>
      </x:c>
      <x:c r="L180" s="109" t="n">
        <x:f>B180-K180</x:f>
        <x:v>0.0038261159111406193</x:v>
      </x:c>
      <x:c r="M180" s="94" t="n">
        <x:f>'Datos_fuente'!B173</x:f>
        <x:v>3401.473</x:v>
      </x:c>
      <x:c r="N180" s="94" t="n">
        <x:f>EXP('Transformaciones'!B172+K180)</x:f>
        <x:v>3388.483435669128</x:v>
      </x:c>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t="str">
        <x:f>'Transformaciones'!A174</x:f>
        <x:v>2019-12</x:v>
      </x:c>
      <x:c r="B181" s="98" t="n">
        <x:f>'Transformaciones'!C174</x:f>
        <x:v>-0.0069097622245291035</x:v>
      </x:c>
      <x:c r="C181" s="98" t="n">
        <x:f>$B$6</x:f>
        <x:v>-0.0005941980394302418</x:v>
      </x:c>
      <x:c r="D181" s="98" t="n">
        <x:f>$B$7*'Transformaciones'!E174</x:f>
        <x:v>-0.0013979677652868597</x:v>
      </x:c>
      <x:c r="E181" s="98" t="n">
        <x:f>$B$11*'Transformaciones'!M174</x:f>
        <x:v>-0.007126242638466251</x:v>
      </x:c>
      <x:c r="F181" s="98" t="n">
        <x:f>$B$12*'Transformaciones'!O174</x:f>
        <x:v>0.003602692207311361</x:v>
      </x:c>
      <x:c r="G181" s="98" t="n">
        <x:f>$B$8*'Transformaciones'!G173</x:f>
        <x:v>-0.0017781322084079183</x:v>
      </x:c>
      <x:c r="H181" s="98" t="n">
        <x:f>$B$9*'Transformaciones'!I173</x:f>
        <x:v>-0.002770902292877612</x:v>
      </x:c>
      <x:c r="I181" s="98" t="n">
        <x:f>$B$10*'Transformaciones'!K173</x:f>
        <x:v>0.000361185501021534</x:v>
      </x:c>
      <x:c r="J181" s="98" t="n">
        <x:f>$B$13*'Transformaciones'!P174</x:f>
        <x:v>0</x:v>
      </x:c>
      <x:c r="K181" s="109" t="n">
        <x:f>SUM(C181:J181)</x:f>
        <x:v>-0.009703565236135988</x:v>
      </x:c>
      <x:c r="L181" s="109" t="n">
        <x:f>B181-K181</x:f>
        <x:v>0.002793803011606885</x:v>
      </x:c>
      <x:c r="M181" s="94" t="n">
        <x:f>'Datos_fuente'!B174</x:f>
        <x:v>3378.050645</x:v>
      </x:c>
      <x:c r="N181" s="94" t="n">
        <x:f>EXP('Transformaciones'!B173+K181)</x:f>
        <x:v>3368.626208074844</x:v>
      </x:c>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t="str">
        <x:f>'Transformaciones'!A175</x:f>
        <x:v>2020-01</x:v>
      </x:c>
      <x:c r="B182" s="98" t="n">
        <x:f>'Transformaciones'!C175</x:f>
        <x:v>-0.019991364271753298</x:v>
      </x:c>
      <x:c r="C182" s="98" t="n">
        <x:f>$B$6</x:f>
        <x:v>-0.0005941980394302418</x:v>
      </x:c>
      <x:c r="D182" s="98" t="n">
        <x:f>$B$7*'Transformaciones'!E175</x:f>
        <x:v>0.0047806459602777645</x:v>
      </x:c>
      <x:c r="E182" s="98" t="n">
        <x:f>$B$11*'Transformaciones'!M175</x:f>
        <x:v>-0.006949202912369655</x:v>
      </x:c>
      <x:c r="F182" s="98" t="n">
        <x:f>$B$12*'Transformaciones'!O175</x:f>
        <x:v>0.0005104698234182745</x:v>
      </x:c>
      <x:c r="G182" s="98" t="n">
        <x:f>$B$8*'Transformaciones'!G174</x:f>
        <x:v>0.0015538561202655392</x:v>
      </x:c>
      <x:c r="H182" s="98" t="n">
        <x:f>$B$9*'Transformaciones'!I174</x:f>
        <x:v>0</x:v>
      </x:c>
      <x:c r="I182" s="98" t="n">
        <x:f>$B$10*'Transformaciones'!K174</x:f>
        <x:v>0.0016404935804736804</x:v>
      </x:c>
      <x:c r="J182" s="98" t="n">
        <x:f>$B$13*'Transformaciones'!P175</x:f>
        <x:v>0</x:v>
      </x:c>
      <x:c r="K182" s="109" t="n">
        <x:f>SUM(C182:J182)</x:f>
        <x:v>0.0009420645326353614</x:v>
      </x:c>
      <x:c r="L182" s="109" t="n">
        <x:f>B182-K182</x:f>
        <x:v>-0.02093342880438866</x:v>
      </x:c>
      <x:c r="M182" s="94" t="n">
        <x:f>'Datos_fuente'!B175</x:f>
        <x:v>3311.189355</x:v>
      </x:c>
      <x:c r="N182" s="94" t="n">
        <x:f>EXP('Transformaciones'!B174+K182)</x:f>
        <x:v>3381.234486158547</x:v>
      </x:c>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t="str">
        <x:f>'Transformaciones'!A176</x:f>
        <x:v>2020-02</x:v>
      </x:c>
      <x:c r="B183" s="98" t="n">
        <x:f>'Transformaciones'!C176</x:f>
        <x:v>0.02971352402789229</x:v>
      </x:c>
      <x:c r="C183" s="98" t="n">
        <x:f>$B$6</x:f>
        <x:v>-0.0005941980394302418</x:v>
      </x:c>
      <x:c r="D183" s="98" t="n">
        <x:f>$B$7*'Transformaciones'!E176</x:f>
        <x:v>0.005641228246217278</x:v>
      </x:c>
      <x:c r="E183" s="98" t="n">
        <x:f>$B$11*'Transformaciones'!M176</x:f>
        <x:v>0.015726403260404177</x:v>
      </x:c>
      <x:c r="F183" s="98" t="n">
        <x:f>$B$12*'Transformaciones'!O176</x:f>
        <x:v>0.013125996731650482</x:v>
      </x:c>
      <x:c r="G183" s="98" t="n">
        <x:f>$B$8*'Transformaciones'!G175</x:f>
        <x:v>-0.0013522347828105622</x:v>
      </x:c>
      <x:c r="H183" s="98" t="n">
        <x:f>$B$9*'Transformaciones'!I175</x:f>
        <x:v>0</x:v>
      </x:c>
      <x:c r="I183" s="98" t="n">
        <x:f>$B$10*'Transformaciones'!K175</x:f>
        <x:v>0.001322446628423897</x:v>
      </x:c>
      <x:c r="J183" s="98" t="n">
        <x:f>$B$13*'Transformaciones'!P176</x:f>
        <x:v>0</x:v>
      </x:c>
      <x:c r="K183" s="109" t="n">
        <x:f>SUM(C183:J183)</x:f>
        <x:v>0.03386964204445503</x:v>
      </x:c>
      <x:c r="L183" s="109" t="n">
        <x:f>B183-K183</x:f>
        <x:v>-0.004156118016562738</x:v>
      </x:c>
      <x:c r="M183" s="94" t="n">
        <x:f>'Datos_fuente'!B176</x:f>
        <x:v>3411.052759</x:v>
      </x:c>
      <x:c r="N183" s="94" t="n">
        <x:f>EXP('Transformaciones'!B175+K183)</x:f>
        <x:v>3425.2589977805283</x:v>
      </x:c>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t="str">
        <x:f>'Transformaciones'!A177</x:f>
        <x:v>2020-03</x:v>
      </x:c>
      <x:c r="B184" s="98" t="n">
        <x:f>'Transformaciones'!C177</x:f>
        <x:v>0.1280531685085613</x:v>
      </x:c>
      <x:c r="C184" s="98" t="n">
        <x:f>$B$6</x:f>
        <x:v>-0.0005941980394302418</x:v>
      </x:c>
      <x:c r="D184" s="98" t="n">
        <x:f>$B$7*'Transformaciones'!E177</x:f>
        <x:v>0.022457162683162574</x:v>
      </x:c>
      <x:c r="E184" s="98" t="n">
        <x:f>$B$11*'Transformaciones'!M177</x:f>
        <x:v>0.04624474131153416</x:v>
      </x:c>
      <x:c r="F184" s="98" t="n">
        <x:f>$B$12*'Transformaciones'!O177</x:f>
        <x:v>0.04138676558562853</x:v>
      </x:c>
      <x:c r="G184" s="98" t="n">
        <x:f>$B$8*'Transformaciones'!G176</x:f>
        <x:v>0.0009445618651960071</x:v>
      </x:c>
      <x:c r="H184" s="98" t="n">
        <x:f>$B$9*'Transformaciones'!I176</x:f>
        <x:v>0.00029688238852260346</x:v>
      </x:c>
      <x:c r="I184" s="98" t="n">
        <x:f>$B$10*'Transformaciones'!K176</x:f>
        <x:v>-0.0017149639008343918</x:v>
      </x:c>
      <x:c r="J184" s="98" t="n">
        <x:f>$B$13*'Transformaciones'!P177</x:f>
        <x:v>0.010814502032393727</x:v>
      </x:c>
      <x:c r="K184" s="109" t="n">
        <x:f>SUM(C184:J184)</x:f>
        <x:v>0.11983545392617298</x:v>
      </x:c>
      <x:c r="L184" s="109" t="n">
        <x:f>B184-K184</x:f>
        <x:v>0.008217714582388319</x:v>
      </x:c>
      <x:c r="M184" s="94" t="n">
        <x:f>'Datos_fuente'!B177</x:f>
        <x:v>3877.048387</x:v>
      </x:c>
      <x:c r="N184" s="94" t="n">
        <x:f>EXP('Transformaciones'!B176+K184)</x:f>
        <x:v>3845.318462228426</x:v>
      </x:c>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t="str">
        <x:f>'Transformaciones'!A178</x:f>
        <x:v>2020-04</x:v>
      </x:c>
      <x:c r="B185" s="98" t="n">
        <x:f>'Transformaciones'!C178</x:f>
        <x:v>0.025552524134122123</x:v>
      </x:c>
      <x:c r="C185" s="98" t="n">
        <x:f>$B$6</x:f>
        <x:v>-0.0005941980394302418</x:v>
      </x:c>
      <x:c r="D185" s="98" t="n">
        <x:f>$B$7*'Transformaciones'!E178</x:f>
        <x:v>0.0034868326377717404</x:v>
      </x:c>
      <x:c r="E185" s="98" t="n">
        <x:f>$B$11*'Transformaciones'!M178</x:f>
        <x:v>0.02355793512649063</x:v>
      </x:c>
      <x:c r="F185" s="98" t="n">
        <x:f>$B$12*'Transformaciones'!O178</x:f>
        <x:v>-0.012709425404828077</x:v>
      </x:c>
      <x:c r="G185" s="98" t="n">
        <x:f>$B$8*'Transformaciones'!G177</x:f>
        <x:v>0.006131999006961011</x:v>
      </x:c>
      <x:c r="H185" s="98" t="n">
        <x:f>$B$9*'Transformaciones'!I177</x:f>
        <x:v>-0.00888412566465672</x:v>
      </x:c>
      <x:c r="I185" s="98" t="n">
        <x:f>$B$10*'Transformaciones'!K177</x:f>
        <x:v>-0.0007294738595417667</x:v>
      </x:c>
      <x:c r="J185" s="98" t="n">
        <x:f>$B$13*'Transformaciones'!P178</x:f>
        <x:v>0.010814502032393727</x:v>
      </x:c>
      <x:c r="K185" s="109" t="n">
        <x:f>SUM(C185:J185)</x:f>
        <x:v>0.0210740458351603</x:v>
      </x:c>
      <x:c r="L185" s="109" t="n">
        <x:f>B185-K185</x:f>
        <x:v>0.004478478298961822</x:v>
      </x:c>
      <x:c r="M185" s="94" t="n">
        <x:f>'Datos_fuente'!B178</x:f>
        <x:v>3977.393333</x:v>
      </x:c>
      <x:c r="N185" s="94" t="n">
        <x:f>EXP('Transformaciones'!B177+K185)</x:f>
        <x:v>3959.6204906216494</x:v>
      </x:c>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t="str">
        <x:f>'Transformaciones'!A179</x:f>
        <x:v>2020-05</x:v>
      </x:c>
      <x:c r="B186" s="98" t="n">
        <x:f>'Transformaciones'!C179</x:f>
        <x:v>-0.030428083613546875</x:v>
      </x:c>
      <x:c r="C186" s="98" t="n">
        <x:f>$B$6</x:f>
        <x:v>-0.0005941980394302418</x:v>
      </x:c>
      <x:c r="D186" s="98" t="n">
        <x:f>$B$7*'Transformaciones'!E179</x:f>
        <x:v>-0.0034868326377717404</x:v>
      </x:c>
      <x:c r="E186" s="98" t="n">
        <x:f>$B$11*'Transformaciones'!M179</x:f>
        <x:v>-0.006897589773169072</x:v>
      </x:c>
      <x:c r="F186" s="98" t="n">
        <x:f>$B$12*'Transformaciones'!O179</x:f>
        <x:v>-0.011274949575601706</x:v>
      </x:c>
      <x:c r="G186" s="98" t="n">
        <x:f>$B$8*'Transformaciones'!G178</x:f>
        <x:v>-0.009605873122900245</x:v>
      </x:c>
      <x:c r="H186" s="98" t="n">
        <x:f>$B$9*'Transformaciones'!I178</x:f>
        <x:v>-0.0013088363412859165</x:v>
      </x:c>
      <x:c r="I186" s="98" t="n">
        <x:f>$B$10*'Transformaciones'!K178</x:f>
        <x:v>0.0046218868698567304</x:v>
      </x:c>
      <x:c r="J186" s="98" t="n">
        <x:f>$B$13*'Transformaciones'!P179</x:f>
        <x:v>0.010814502032393727</x:v>
      </x:c>
      <x:c r="K186" s="109" t="n">
        <x:f>SUM(C186:J186)</x:f>
        <x:v>-0.017731890587908465</x:v>
      </x:c>
      <x:c r="L186" s="109" t="n">
        <x:f>B186-K186</x:f>
        <x:v>-0.01269619302563841</x:v>
      </x:c>
      <x:c r="M186" s="94" t="n">
        <x:f>'Datos_fuente'!B179</x:f>
        <x:v>3858.191613</x:v>
      </x:c>
      <x:c r="N186" s="94" t="n">
        <x:f>EXP('Transformaciones'!B178+K186)</x:f>
        <x:v>3907.4882359802405</x:v>
      </x:c>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t="str">
        <x:f>'Transformaciones'!A180</x:f>
        <x:v>2020-06</x:v>
      </x:c>
      <x:c r="B187" s="98" t="n">
        <x:f>'Transformaciones'!C180</x:f>
        <x:v>-0.041432250472812626</x:v>
      </x:c>
      <x:c r="C187" s="98" t="n">
        <x:f>$B$6</x:f>
        <x:v>-0.0005941980394302418</x:v>
      </x:c>
      <x:c r="D187" s="98" t="n">
        <x:f>$B$7*'Transformaciones'!E180</x:f>
        <x:v>-0.007559778907647307</x:v>
      </x:c>
      <x:c r="E187" s="98" t="n">
        <x:f>$B$11*'Transformaciones'!M180</x:f>
        <x:v>-0.030917229407046415</x:v>
      </x:c>
      <x:c r="F187" s="98" t="n">
        <x:f>$B$12*'Transformaciones'!O180</x:f>
        <x:v>0.0002753134669597488</x:v>
      </x:c>
      <x:c r="G187" s="98" t="n">
        <x:f>$B$8*'Transformaciones'!G179</x:f>
        <x:v>-0.008179002093101722</x:v>
      </x:c>
      <x:c r="H187" s="98" t="n">
        <x:f>$B$9*'Transformaciones'!I179</x:f>
        <x:v>0.004469197244342191</x:v>
      </x:c>
      <x:c r="I187" s="98" t="n">
        <x:f>$B$10*'Transformaciones'!K179</x:f>
        <x:v>0.003543974639307369</x:v>
      </x:c>
      <x:c r="J187" s="98" t="n">
        <x:f>$B$13*'Transformaciones'!P180</x:f>
        <x:v>0</x:v>
      </x:c>
      <x:c r="K187" s="109" t="n">
        <x:f>SUM(C187:J187)</x:f>
        <x:v>-0.03896172309661638</x:v>
      </x:c>
      <x:c r="L187" s="109" t="n">
        <x:f>B187-K187</x:f>
        <x:v>-0.002470527376196248</x:v>
      </x:c>
      <x:c r="M187" s="94" t="n">
        <x:f>'Datos_fuente'!B180</x:f>
        <x:v>3701.604333</x:v>
      </x:c>
      <x:c r="N187" s="94" t="n">
        <x:f>EXP('Transformaciones'!B179+K187)</x:f>
        <x:v>3710.7605535301777</x:v>
      </x:c>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t="str">
        <x:f>'Transformaciones'!A181</x:f>
        <x:v>2020-07</x:v>
      </x:c>
      <x:c r="B188" s="98" t="n">
        <x:f>'Transformaciones'!C181</x:f>
        <x:v>-0.011886200327753116</x:v>
      </x:c>
      <x:c r="C188" s="98" t="n">
        <x:f>$B$6</x:f>
        <x:v>-0.0005941980394302418</x:v>
      </x:c>
      <x:c r="D188" s="98" t="n">
        <x:f>$B$7*'Transformaciones'!E181</x:f>
        <x:v>-0.008808846515847088</x:v>
      </x:c>
      <x:c r="E188" s="98" t="n">
        <x:f>$B$11*'Transformaciones'!M181</x:f>
        <x:v>-0.010550766010225174</x:v>
      </x:c>
      <x:c r="F188" s="98" t="n">
        <x:f>$B$12*'Transformaciones'!O181</x:f>
        <x:v>-0.005674511842281368</x:v>
      </x:c>
      <x:c r="G188" s="98" t="n">
        <x:f>$B$8*'Transformaciones'!G180</x:f>
        <x:v>0.00002730779591040136</x:v>
      </x:c>
      <x:c r="H188" s="98" t="n">
        <x:f>$B$9*'Transformaciones'!I180</x:f>
        <x:v>0.005723764761600446</x:v>
      </x:c>
      <x:c r="I188" s="98" t="n">
        <x:f>$B$10*'Transformaciones'!K180</x:f>
        <x:v>0.006140565909594955</x:v>
      </x:c>
      <x:c r="J188" s="98" t="n">
        <x:f>$B$13*'Transformaciones'!P181</x:f>
        <x:v>0</x:v>
      </x:c>
      <x:c r="K188" s="109" t="n">
        <x:f>SUM(C188:J188)</x:f>
        <x:v>-0.01373668394067807</x:v>
      </x:c>
      <x:c r="L188" s="109" t="n">
        <x:f>B188-K188</x:f>
        <x:v>0.0018504836129249538</x:v>
      </x:c>
      <x:c r="M188" s="94" t="n">
        <x:f>'Datos_fuente'!B181</x:f>
        <x:v>3657.866774</x:v>
      </x:c>
      <x:c r="N188" s="94" t="n">
        <x:f>EXP('Transformaciones'!B180+K188)</x:f>
        <x:v>3651.104210412747</x:v>
      </x:c>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t="str">
        <x:f>'Transformaciones'!A182</x:f>
        <x:v>2020-08</x:v>
      </x:c>
      <x:c r="B189" s="98" t="n">
        <x:f>'Transformaciones'!C182</x:f>
        <x:v>0.03364403834070728</x:v>
      </x:c>
      <x:c r="C189" s="98" t="n">
        <x:f>$B$6</x:f>
        <x:v>-0.0005941980394302418</x:v>
      </x:c>
      <x:c r="D189" s="98" t="n">
        <x:f>$B$7*'Transformaciones'!E182</x:f>
        <x:v>-0.003909723952596753</x:v>
      </x:c>
      <x:c r="E189" s="98" t="n">
        <x:f>$B$11*'Transformaciones'!M182</x:f>
        <x:v>-0.01887533614425792</x:v>
      </x:c>
      <x:c r="F189" s="98" t="n">
        <x:f>$B$12*'Transformaciones'!O182</x:f>
        <x:v>-0.006108180237492922</x:v>
      </x:c>
      <x:c r="G189" s="98" t="n">
        <x:f>$B$8*'Transformaciones'!G181</x:f>
        <x:v>-0.00090789986778945</x:v>
      </x:c>
      <x:c r="H189" s="98" t="n">
        <x:f>$B$9*'Transformaciones'!I181</x:f>
        <x:v>0.0025729807005292066</x:v>
      </x:c>
      <x:c r="I189" s="98" t="n">
        <x:f>$B$10*'Transformaciones'!K181</x:f>
        <x:v>0.002982153137170207</x:v>
      </x:c>
      <x:c r="J189" s="98" t="n">
        <x:f>$B$13*'Transformaciones'!P182</x:f>
        <x:v>0</x:v>
      </x:c>
      <x:c r="K189" s="109" t="n">
        <x:f>SUM(C189:J189)</x:f>
        <x:v>-0.024840204403867874</x:v>
      </x:c>
      <x:c r="L189" s="109" t="n">
        <x:f>B189-K189</x:f>
        <x:v>0.05848424274457516</x:v>
      </x:c>
      <x:c r="M189" s="94" t="n">
        <x:f>'Datos_fuente'!B182</x:f>
        <x:v>3783.025806</x:v>
      </x:c>
      <x:c r="N189" s="94" t="n">
        <x:f>EXP('Transformaciones'!B181+K189)</x:f>
        <x:v>3568.123846485485</x:v>
      </x:c>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t="str">
        <x:f>'Transformaciones'!A183</x:f>
        <x:v>2020-09</x:v>
      </x:c>
      <x:c r="B190" s="98" t="n">
        <x:f>'Transformaciones'!C183</x:f>
        <x:v>-0.008710906730742707</x:v>
      </x:c>
      <x:c r="C190" s="98" t="n">
        <x:f>$B$6</x:f>
        <x:v>-0.0005941980394302418</x:v>
      </x:c>
      <x:c r="D190" s="98" t="n">
        <x:f>$B$7*'Transformaciones'!E183</x:f>
        <x:v>0.0006630026784036812</x:v>
      </x:c>
      <x:c r="E190" s="98" t="n">
        <x:f>$B$11*'Transformaciones'!M183</x:f>
        <x:v>-0.006580587444323618</x:v>
      </x:c>
      <x:c r="F190" s="98" t="n">
        <x:f>$B$12*'Transformaciones'!O183</x:f>
        <x:v>0.00724477804034573</x:v>
      </x:c>
      <x:c r="G190" s="98" t="n">
        <x:f>$B$8*'Transformaciones'!G182</x:f>
        <x:v>-0.0018223221172477013</x:v>
      </x:c>
      <x:c r="H190" s="98" t="n">
        <x:f>$B$9*'Transformaciones'!I182</x:f>
        <x:v>0.002413366515705293</x:v>
      </x:c>
      <x:c r="I190" s="98" t="n">
        <x:f>$B$10*'Transformaciones'!K182</x:f>
        <x:v>0.0025872804059641884</x:v>
      </x:c>
      <x:c r="J190" s="98" t="n">
        <x:f>$B$13*'Transformaciones'!P183</x:f>
        <x:v>0</x:v>
      </x:c>
      <x:c r="K190" s="109" t="n">
        <x:f>SUM(C190:J190)</x:f>
        <x:v>0.003911320039417331</x:v>
      </x:c>
      <x:c r="L190" s="109" t="n">
        <x:f>B190-K190</x:f>
        <x:v>-0.012622226770160037</x:v>
      </x:c>
      <x:c r="M190" s="94" t="n">
        <x:f>'Datos_fuente'!B183</x:f>
        <x:v>3750.215333</x:v>
      </x:c>
      <x:c r="N190" s="94" t="n">
        <x:f>EXP('Transformaciones'!B182+K190)</x:f>
        <x:v>3797.8514055763135</x:v>
      </x:c>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t="str">
        <x:f>'Transformaciones'!A184</x:f>
        <x:v>2020-10</x:v>
      </x:c>
      <x:c r="B191" s="98" t="n">
        <x:f>'Transformaciones'!C184</x:f>
        <x:v>0.02204018884077108</x:v>
      </x:c>
      <x:c r="C191" s="98" t="n">
        <x:f>$B$6</x:f>
        <x:v>-0.0005941980394302418</x:v>
      </x:c>
      <x:c r="D191" s="98" t="n">
        <x:f>$B$7*'Transformaciones'!E184</x:f>
        <x:v>0.0005600065579724344</x:v>
      </x:c>
      <x:c r="E191" s="98" t="n">
        <x:f>$B$11*'Transformaciones'!M184</x:f>
        <x:v>-0.0061864727812221175</x:v>
      </x:c>
      <x:c r="F191" s="98" t="n">
        <x:f>$B$12*'Transformaciones'!O184</x:f>
        <x:v>0.0024078266967186303</x:v>
      </x:c>
      <x:c r="G191" s="98" t="n">
        <x:f>$B$8*'Transformaciones'!G183</x:f>
        <x:v>0.0028936048340871324</x:v>
      </x:c>
      <x:c r="H191" s="98" t="n">
        <x:f>$B$9*'Transformaciones'!I183</x:f>
        <x:v>0.0027820752834402263</x:v>
      </x:c>
      <x:c r="I191" s="98" t="n">
        <x:f>$B$10*'Transformaciones'!K183</x:f>
        <x:v>0.005039874796013858</x:v>
      </x:c>
      <x:c r="J191" s="98" t="n">
        <x:f>$B$13*'Transformaciones'!P184</x:f>
        <x:v>0</x:v>
      </x:c>
      <x:c r="K191" s="109" t="n">
        <x:f>SUM(C191:J191)</x:f>
        <x:v>0.0069027173475799215</x:v>
      </x:c>
      <x:c r="L191" s="109" t="n">
        <x:f>B191-K191</x:f>
        <x:v>0.015137471493191158</x:v>
      </x:c>
      <x:c r="M191" s="94" t="n">
        <x:f>'Datos_fuente'!B184</x:f>
        <x:v>3833.788387</x:v>
      </x:c>
      <x:c r="N191" s="94" t="n">
        <x:f>EXP('Transformaciones'!B183+K191)</x:f>
        <x:v>3776.1915595693567</x:v>
      </x:c>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t="str">
        <x:f>'Transformaciones'!A185</x:f>
        <x:v>2020-11</x:v>
      </x:c>
      <x:c r="B192" s="98" t="n">
        <x:f>'Transformaciones'!C185</x:f>
        <x:v>-0.039412879237527676</x:v>
      </x:c>
      <x:c r="C192" s="98" t="n">
        <x:f>$B$6</x:f>
        <x:v>-0.0005941980394302418</x:v>
      </x:c>
      <x:c r="D192" s="98" t="n">
        <x:f>$B$7*'Transformaciones'!E185</x:f>
        <x:v>-0.001849224580959579</x:v>
      </x:c>
      <x:c r="E192" s="98" t="n">
        <x:f>$B$11*'Transformaciones'!M185</x:f>
        <x:v>-0.018646211152838</x:v>
      </x:c>
      <x:c r="F192" s="98" t="n">
        <x:f>$B$12*'Transformaciones'!O185</x:f>
        <x:v>-0.006276247161160979</x:v>
      </x:c>
      <x:c r="G192" s="98" t="n">
        <x:f>$B$8*'Transformaciones'!G184</x:f>
        <x:v>0.001999204884837563</x:v>
      </x:c>
      <x:c r="H192" s="98" t="n">
        <x:f>$B$9*'Transformaciones'!I184</x:f>
        <x:v>0.0022266179139195084</x:v>
      </x:c>
      <x:c r="I192" s="98" t="n">
        <x:f>$B$10*'Transformaciones'!K184</x:f>
        <x:v>-0.004284401216887966</x:v>
      </x:c>
      <x:c r="J192" s="98" t="n">
        <x:f>$B$13*'Transformaciones'!P185</x:f>
        <x:v>0</x:v>
      </x:c>
      <x:c r="K192" s="109" t="n">
        <x:f>SUM(C192:J192)</x:f>
        <x:v>-0.027424459352519692</x:v>
      </x:c>
      <x:c r="L192" s="109" t="n">
        <x:f>B192-K192</x:f>
        <x:v>-0.011988419885007984</x:v>
      </x:c>
      <x:c r="M192" s="94" t="n">
        <x:f>'Datos_fuente'!B185</x:f>
        <x:v>3685.626667</x:v>
      </x:c>
      <x:c r="N192" s="94" t="n">
        <x:f>EXP('Transformaciones'!B184+K192)</x:f>
        <x:v>3730.077421800969</x:v>
      </x:c>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t="str">
        <x:f>'Transformaciones'!A186</x:f>
        <x:v>2020-12</x:v>
      </x:c>
      <x:c r="B193" s="98" t="n">
        <x:f>'Transformaciones'!C186</x:f>
        <x:v>-0.06140270980120022</x:v>
      </x:c>
      <x:c r="C193" s="98" t="n">
        <x:f>$B$6</x:f>
        <x:v>-0.0005941980394302418</x:v>
      </x:c>
      <x:c r="D193" s="98" t="n">
        <x:f>$B$7*'Transformaciones'!E186</x:f>
        <x:v>-0.00467249675768901</x:v>
      </x:c>
      <x:c r="E193" s="98" t="n">
        <x:f>$B$11*'Transformaciones'!M186</x:f>
        <x:v>-0.02480719657277586</x:v>
      </x:c>
      <x:c r="F193" s="98" t="n">
        <x:f>$B$12*'Transformaciones'!O186</x:f>
        <x:v>-0.004250045067709959</x:v>
      </x:c>
      <x:c r="G193" s="98" t="n">
        <x:f>$B$8*'Transformaciones'!G185</x:f>
        <x:v>0.0024016900119154297</x:v>
      </x:c>
      <x:c r="H193" s="98" t="n">
        <x:f>$B$9*'Transformaciones'!I185</x:f>
        <x:v>0</x:v>
      </x:c>
      <x:c r="I193" s="98" t="n">
        <x:f>$B$10*'Transformaciones'!K185</x:f>
        <x:v>0.0020112305427052632</x:v>
      </x:c>
      <x:c r="J193" s="98" t="n">
        <x:f>$B$13*'Transformaciones'!P186</x:f>
        <x:v>0</x:v>
      </x:c>
      <x:c r="K193" s="109" t="n">
        <x:f>SUM(C193:J193)</x:f>
        <x:v>-0.029911015882984376</x:v>
      </x:c>
      <x:c r="L193" s="109" t="n">
        <x:f>B193-K193</x:f>
        <x:v>-0.03149169391821584</x:v>
      </x:c>
      <x:c r="M193" s="94" t="n">
        <x:f>'Datos_fuente'!B186</x:f>
        <x:v>3466.127097</x:v>
      </x:c>
      <x:c r="N193" s="94" t="n">
        <x:f>EXP('Transformaciones'!B185+K193)</x:f>
        <x:v>3577.018220964065</x:v>
      </x:c>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t="str">
        <x:f>'Transformaciones'!A187</x:f>
        <x:v>2021-01</x:v>
      </x:c>
      <x:c r="B194" s="98" t="n">
        <x:f>'Transformaciones'!C187</x:f>
        <x:v>0.0072424899352565575</x:v>
      </x:c>
      <x:c r="C194" s="98" t="n">
        <x:f>$B$6</x:f>
        <x:v>-0.0005941980394302418</x:v>
      </x:c>
      <x:c r="D194" s="98" t="n">
        <x:f>$B$7*'Transformaciones'!E187</x:f>
        <x:v>-0.0035347490299413122</x:v>
      </x:c>
      <x:c r="E194" s="98" t="n">
        <x:f>$B$11*'Transformaciones'!M187</x:f>
        <x:v>-0.004700950784828442</x:v>
      </x:c>
      <x:c r="F194" s="98" t="n">
        <x:f>$B$12*'Transformaciones'!O187</x:f>
        <x:v>0.004118603548184481</x:v>
      </x:c>
      <x:c r="G194" s="98" t="n">
        <x:f>$B$8*'Transformaciones'!G186</x:f>
        <x:v>0.00044702822982091244</x:v>
      </x:c>
      <x:c r="H194" s="98" t="n">
        <x:f>$B$9*'Transformaciones'!I186</x:f>
        <x:v>0</x:v>
      </x:c>
      <x:c r="I194" s="98" t="n">
        <x:f>$B$10*'Transformaciones'!K186</x:f>
        <x:v>0.004330917762635817</x:v>
      </x:c>
      <x:c r="J194" s="98" t="n">
        <x:f>$B$13*'Transformaciones'!P187</x:f>
        <x:v>0</x:v>
      </x:c>
      <x:c r="K194" s="109" t="n">
        <x:f>SUM(C194:J194)</x:f>
        <x:v>0.00006665168644121294</x:v>
      </x:c>
      <x:c r="L194" s="109" t="n">
        <x:f>B194-K194</x:f>
        <x:v>0.0071758382488153446</x:v>
      </x:c>
      <x:c r="M194" s="94" t="n">
        <x:f>'Datos_fuente'!B187</x:f>
        <x:v>3491.321613</x:v>
      </x:c>
      <x:c r="N194" s="94" t="n">
        <x:f>EXP('Transformaciones'!B186+K194)</x:f>
        <x:v>3466.3581279156515</x:v>
      </x:c>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t="str">
        <x:f>'Transformaciones'!A188</x:f>
        <x:v>2021-02</x:v>
      </x:c>
      <x:c r="B195" s="98" t="n">
        <x:f>'Transformaciones'!C188</x:f>
        <x:v>0.017935261977779504</x:v>
      </x:c>
      <x:c r="C195" s="98" t="n">
        <x:f>$B$6</x:f>
        <x:v>-0.0005941980394302418</x:v>
      </x:c>
      <x:c r="D195" s="98" t="n">
        <x:f>$B$7*'Transformaciones'!E188</x:f>
        <x:v>0.0005767665213623737</x:v>
      </x:c>
      <x:c r="E195" s="98" t="n">
        <x:f>$B$11*'Transformaciones'!M188</x:f>
        <x:v>0.006042500571732148</x:v>
      </x:c>
      <x:c r="F195" s="98" t="n">
        <x:f>$B$12*'Transformaciones'!O188</x:f>
        <x:v>-0.0028265510380110492</x:v>
      </x:c>
      <x:c r="G195" s="98" t="n">
        <x:f>$B$8*'Transformaciones'!G187</x:f>
        <x:v>0.00038835953811484664</x:v>
      </x:c>
      <x:c r="H195" s="98" t="n">
        <x:f>$B$9*'Transformaciones'!I187</x:f>
        <x:v>0</x:v>
      </x:c>
      <x:c r="I195" s="98" t="n">
        <x:f>$B$10*'Transformaciones'!K187</x:f>
        <x:v>-0.003380528268508776</x:v>
      </x:c>
      <x:c r="J195" s="98" t="n">
        <x:f>$B$13*'Transformaciones'!P188</x:f>
        <x:v>0</x:v>
      </x:c>
      <x:c r="K195" s="109" t="n">
        <x:f>SUM(C195:J195)</x:f>
        <x:v>0.0002063492852593012</x:v>
      </x:c>
      <x:c r="L195" s="109" t="n">
        <x:f>B195-K195</x:f>
        <x:v>0.017728912692520204</x:v>
      </x:c>
      <x:c r="M195" s="94" t="n">
        <x:f>'Datos_fuente'!B188</x:f>
        <x:v>3554.504286</x:v>
      </x:c>
      <x:c r="N195" s="94" t="n">
        <x:f>EXP('Transformaciones'!B187+K195)</x:f>
        <x:v>3492.042119054849</x:v>
      </x:c>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t="str">
        <x:f>'Transformaciones'!A189</x:f>
        <x:v>2021-03</x:v>
      </x:c>
      <x:c r="B196" s="98" t="n">
        <x:f>'Transformaciones'!C189</x:f>
        <x:v>0.016258732475984417</x:v>
      </x:c>
      <x:c r="C196" s="98" t="n">
        <x:f>$B$6</x:f>
        <x:v>-0.0005941980394302418</x:v>
      </x:c>
      <x:c r="D196" s="98" t="n">
        <x:f>$B$7*'Transformaciones'!E189</x:f>
        <x:v>-0.0031718897706467116</x:v>
      </x:c>
      <x:c r="E196" s="98" t="n">
        <x:f>$B$11*'Transformaciones'!M189</x:f>
        <x:v>0.014927446432340185</x:v>
      </x:c>
      <x:c r="F196" s="98" t="n">
        <x:f>$B$12*'Transformaciones'!O189</x:f>
        <x:v>-0.0022135158097287967</x:v>
      </x:c>
      <x:c r="G196" s="98" t="n">
        <x:f>$B$8*'Transformaciones'!G188</x:f>
        <x:v>0.002769439896525484</x:v>
      </x:c>
      <x:c r="H196" s="98" t="n">
        <x:f>$B$9*'Transformaciones'!I188</x:f>
        <x:v>-0.00009896079617420042</x:v>
      </x:c>
      <x:c r="I196" s="98" t="n">
        <x:f>$B$10*'Transformaciones'!K188</x:f>
        <x:v>0.0028945458582533647</x:v>
      </x:c>
      <x:c r="J196" s="98" t="n">
        <x:f>$B$13*'Transformaciones'!P189</x:f>
        <x:v>0</x:v>
      </x:c>
      <x:c r="K196" s="109" t="n">
        <x:f>SUM(C196:J196)</x:f>
        <x:v>0.014512867771139084</x:v>
      </x:c>
      <x:c r="L196" s="109" t="n">
        <x:f>B196-K196</x:f>
        <x:v>0.0017458647048453329</x:v>
      </x:c>
      <x:c r="M196" s="94" t="n">
        <x:f>'Datos_fuente'!B189</x:f>
        <x:v>3612.768387</x:v>
      </x:c>
      <x:c r="N196" s="94" t="n">
        <x:f>EXP('Transformaciones'!B188+K196)</x:f>
        <x:v>3606.4664849212672</x:v>
      </x:c>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t="str">
        <x:f>'Transformaciones'!A190</x:f>
        <x:v>2021-04</x:v>
      </x:c>
      <x:c r="B197" s="98" t="n">
        <x:f>'Transformaciones'!C190</x:f>
        <x:v>0.01046540307923749</x:v>
      </x:c>
      <x:c r="C197" s="98" t="n">
        <x:f>$B$6</x:f>
        <x:v>-0.0005941980394302418</x:v>
      </x:c>
      <x:c r="D197" s="98" t="n">
        <x:f>$B$7*'Transformaciones'!E190</x:f>
        <x:v>0.00572062523994532</x:v>
      </x:c>
      <x:c r="E197" s="98" t="n">
        <x:f>$B$11*'Transformaciones'!M190</x:f>
        <x:v>-0.007946053875504691</x:v>
      </x:c>
      <x:c r="F197" s="98" t="n">
        <x:f>$B$12*'Transformaciones'!O190</x:f>
        <x:v>-0.008687975480572147</x:v>
      </x:c>
      <x:c r="G197" s="98" t="n">
        <x:f>$B$8*'Transformaciones'!G189</x:f>
        <x:v>0.003019617649168572</x:v>
      </x:c>
      <x:c r="H197" s="98" t="n">
        <x:f>$B$9*'Transformaciones'!I189</x:f>
        <x:v>-0.00009896079617420042</x:v>
      </x:c>
      <x:c r="I197" s="98" t="n">
        <x:f>$B$10*'Transformaciones'!K189</x:f>
        <x:v>-0.0006208620869028801</x:v>
      </x:c>
      <x:c r="J197" s="98" t="n">
        <x:f>$B$13*'Transformaciones'!P190</x:f>
        <x:v>0</x:v>
      </x:c>
      <x:c r="K197" s="109" t="n">
        <x:f>SUM(C197:J197)</x:f>
        <x:v>-0.009207807389470269</x:v>
      </x:c>
      <x:c r="L197" s="109" t="n">
        <x:f>B197-K197</x:f>
        <x:v>0.019673210468707757</x:v>
      </x:c>
      <x:c r="M197" s="94" t="n">
        <x:f>'Datos_fuente'!B190</x:f>
        <x:v>3650.776</x:v>
      </x:c>
      <x:c r="N197" s="94" t="n">
        <x:f>EXP('Transformaciones'!B189+K197)</x:f>
        <x:v>3579.6553945313244</x:v>
      </x:c>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t="str">
        <x:f>'Transformaciones'!A191</x:f>
        <x:v>2021-05</x:v>
      </x:c>
      <x:c r="B198" s="98" t="n">
        <x:f>'Transformaciones'!C191</x:f>
        <x:v>0.02298640273650321</x:v>
      </x:c>
      <x:c r="C198" s="98" t="n">
        <x:f>$B$6</x:f>
        <x:v>-0.0005941980394302418</x:v>
      </x:c>
      <x:c r="D198" s="98" t="n">
        <x:f>$B$7*'Transformaciones'!E191</x:f>
        <x:v>-0.0015825374204261025</x:v>
      </x:c>
      <x:c r="E198" s="98" t="n">
        <x:f>$B$11*'Transformaciones'!M191</x:f>
        <x:v>-0.01617180811894661</x:v>
      </x:c>
      <x:c r="F198" s="98" t="n">
        <x:f>$B$12*'Transformaciones'!O191</x:f>
        <x:v>0.0048443476589944716</x:v>
      </x:c>
      <x:c r="G198" s="98" t="n">
        <x:f>$B$8*'Transformaciones'!G190</x:f>
        <x:v>0.01372964427867766</x:v>
      </x:c>
      <x:c r="H198" s="98" t="n">
        <x:f>$B$9*'Transformaciones'!I190</x:f>
        <x:v>0</x:v>
      </x:c>
      <x:c r="I198" s="98" t="n">
        <x:f>$B$10*'Transformaciones'!K190</x:f>
        <x:v>-0.0011387866228178957</x:v>
      </x:c>
      <x:c r="J198" s="98" t="n">
        <x:f>$B$13*'Transformaciones'!P191</x:f>
        <x:v>0</x:v>
      </x:c>
      <x:c r="K198" s="109" t="n">
        <x:f>SUM(C198:J198)</x:f>
        <x:v>-0.0009133382639487152</x:v>
      </x:c>
      <x:c r="L198" s="109" t="n">
        <x:f>B198-K198</x:f>
        <x:v>0.023899741000451925</x:v>
      </x:c>
      <x:c r="M198" s="94" t="n">
        <x:f>'Datos_fuente'!B191</x:f>
        <x:v>3735.666129</x:v>
      </x:c>
      <x:c r="N198" s="94" t="n">
        <x:f>EXP('Transformaciones'!B190+K198)</x:f>
        <x:v>3647.44312883716</x:v>
      </x:c>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t="str">
        <x:f>'Transformaciones'!A192</x:f>
        <x:v>2021-06</x:v>
      </x:c>
      <x:c r="B199" s="98" t="n">
        <x:f>'Transformaciones'!C192</x:f>
        <x:v>-0.013644046337864424</x:v>
      </x:c>
      <x:c r="C199" s="98" t="n">
        <x:f>$B$6</x:f>
        <x:v>-0.0005941980394302418</x:v>
      </x:c>
      <x:c r="D199" s="98" t="n">
        <x:f>$B$7*'Transformaciones'!E192</x:f>
        <x:v>-0.004624512349288756</x:v>
      </x:c>
      <x:c r="E199" s="98" t="n">
        <x:f>$B$11*'Transformaciones'!M192</x:f>
        <x:v>0.004181282821101709</x:v>
      </x:c>
      <x:c r="F199" s="98" t="n">
        <x:f>$B$12*'Transformaciones'!O192</x:f>
        <x:v>-0.005869734067830597</x:v>
      </x:c>
      <x:c r="G199" s="98" t="n">
        <x:f>$B$8*'Transformaciones'!G191</x:f>
        <x:v>0.011332505501314512</x:v>
      </x:c>
      <x:c r="H199" s="98" t="n">
        <x:f>$B$9*'Transformaciones'!I191</x:f>
        <x:v>-0.00009896079617420042</x:v>
      </x:c>
      <x:c r="I199" s="98" t="n">
        <x:f>$B$10*'Transformaciones'!K191</x:f>
        <x:v>-0.0013173493058803393</x:v>
      </x:c>
      <x:c r="J199" s="98" t="n">
        <x:f>$B$13*'Transformaciones'!P192</x:f>
        <x:v>0</x:v>
      </x:c>
      <x:c r="K199" s="109" t="n">
        <x:f>SUM(C199:J199)</x:f>
        <x:v>0.003009033763812087</x:v>
      </x:c>
      <x:c r="L199" s="109" t="n">
        <x:f>B199-K199</x:f>
        <x:v>-0.01665308010167651</x:v>
      </x:c>
      <x:c r="M199" s="94" t="n">
        <x:f>'Datos_fuente'!B192</x:f>
        <x:v>3685.042667</x:v>
      </x:c>
      <x:c r="N199" s="94" t="n">
        <x:f>EXP('Transformaciones'!B191+K199)</x:f>
        <x:v>3746.9238033794663</x:v>
      </x:c>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t="str">
        <x:f>'Transformaciones'!A193</x:f>
        <x:v>2021-07</x:v>
      </x:c>
      <x:c r="B200" s="98" t="n">
        <x:f>'Transformaciones'!C193</x:f>
        <x:v>0.03843074625904386</x:v>
      </x:c>
      <x:c r="C200" s="98" t="n">
        <x:f>$B$6</x:f>
        <x:v>-0.0005941980394302418</x:v>
      </x:c>
      <x:c r="D200" s="98" t="n">
        <x:f>$B$7*'Transformaciones'!E193</x:f>
        <x:v>0.001070343945385969</x:v>
      </x:c>
      <x:c r="E200" s="98" t="n">
        <x:f>$B$11*'Transformaciones'!M193</x:f>
        <x:v>0.01685900624012658</x:v>
      </x:c>
      <x:c r="F200" s="98" t="n">
        <x:f>$B$12*'Transformaciones'!O193</x:f>
        <x:v>0.0014353842590594077</x:v>
      </x:c>
      <x:c r="G200" s="98" t="n">
        <x:f>$B$8*'Transformaciones'!G192</x:f>
        <x:v>0.00610197736125525</x:v>
      </x:c>
      <x:c r="H200" s="98" t="n">
        <x:f>$B$9*'Transformaciones'!I192</x:f>
        <x:v>0.00019792159234840084</x:v>
      </x:c>
      <x:c r="I200" s="98" t="n">
        <x:f>$B$10*'Transformaciones'!K192</x:f>
        <x:v>-0.0007346677990836035</x:v>
      </x:c>
      <x:c r="J200" s="98" t="n">
        <x:f>$B$13*'Transformaciones'!P193</x:f>
        <x:v>0</x:v>
      </x:c>
      <x:c r="K200" s="109" t="n">
        <x:f>SUM(C200:J200)</x:f>
        <x:v>0.024335767559661763</x:v>
      </x:c>
      <x:c r="L200" s="109" t="n">
        <x:f>B200-K200</x:f>
        <x:v>0.014094978699382095</x:v>
      </x:c>
      <x:c r="M200" s="94" t="n">
        <x:f>'Datos_fuente'!B193</x:f>
        <x:v>3829.418065</x:v>
      </x:c>
      <x:c r="N200" s="94" t="n">
        <x:f>EXP('Transformaciones'!B192+K200)</x:f>
        <x:v>3775.821110242893</x:v>
      </x:c>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t="str">
        <x:f>'Transformaciones'!A194</x:f>
        <x:v>2021-08</x:v>
      </x:c>
      <x:c r="B201" s="98" t="n">
        <x:f>'Transformaciones'!C194</x:f>
        <x:v>0.013427294869787332</x:v>
      </x:c>
      <x:c r="C201" s="98" t="n">
        <x:f>$B$6</x:f>
        <x:v>-0.0005941980394302418</x:v>
      </x:c>
      <x:c r="D201" s="98" t="n">
        <x:f>$B$7*'Transformaciones'!E194</x:f>
        <x:v>-0.000021958574948388373</x:v>
      </x:c>
      <x:c r="E201" s="98" t="n">
        <x:f>$B$11*'Transformaciones'!M194</x:f>
        <x:v>0.003818401965270929</x:v>
      </x:c>
      <x:c r="F201" s="98" t="n">
        <x:f>$B$12*'Transformaciones'!O194</x:f>
        <x:v>-0.0002856728491471826</x:v>
      </x:c>
      <x:c r="G201" s="98" t="n">
        <x:f>$B$8*'Transformaciones'!G193</x:f>
        <x:v>0.005434831050388339</x:v>
      </x:c>
      <x:c r="H201" s="98" t="n">
        <x:f>$B$9*'Transformaciones'!I193</x:f>
        <x:v>0.00019792159234840084</x:v>
      </x:c>
      <x:c r="I201" s="98" t="n">
        <x:f>$B$10*'Transformaciones'!K193</x:f>
        <x:v>-0.001332101689591342</x:v>
      </x:c>
      <x:c r="J201" s="98" t="n">
        <x:f>$B$13*'Transformaciones'!P194</x:f>
        <x:v>0</x:v>
      </x:c>
      <x:c r="K201" s="109" t="n">
        <x:f>SUM(C201:J201)</x:f>
        <x:v>0.007217223454890515</x:v>
      </x:c>
      <x:c r="L201" s="109" t="n">
        <x:f>B201-K201</x:f>
        <x:v>0.006210071414896817</x:v>
      </x:c>
      <x:c r="M201" s="94" t="n">
        <x:f>'Datos_fuente'!B194</x:f>
        <x:v>3881.183548</x:v>
      </x:c>
      <x:c r="N201" s="94" t="n">
        <x:f>EXP('Transformaciones'!B193+K201)</x:f>
        <x:v>3857.155805211011</x:v>
      </x:c>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t="str">
        <x:f>'Transformaciones'!A195</x:f>
        <x:v>2021-09</x:v>
      </x:c>
      <x:c r="B202" s="98" t="n">
        <x:f>'Transformaciones'!C195</x:f>
        <x:v>-0.015487273011800085</x:v>
      </x:c>
      <x:c r="C202" s="98" t="n">
        <x:f>$B$6</x:f>
        <x:v>-0.0005941980394302418</x:v>
      </x:c>
      <x:c r="D202" s="98" t="n">
        <x:f>$B$7*'Transformaciones'!E195</x:f>
        <x:v>-0.007152099029557048</x:v>
      </x:c>
      <x:c r="E202" s="98" t="n">
        <x:f>$B$11*'Transformaciones'!M195</x:f>
        <x:v>0.0004631157243555815</x:v>
      </x:c>
      <x:c r="F202" s="98" t="n">
        <x:f>$B$12*'Transformaciones'!O195</x:f>
        <x:v>0.004844570114594117</x:v>
      </x:c>
      <x:c r="G202" s="98" t="n">
        <x:f>$B$8*'Transformaciones'!G194</x:f>
        <x:v>0.0036970851174899775</x:v>
      </x:c>
      <x:c r="H202" s="98" t="n">
        <x:f>$B$9*'Transformaciones'!I194</x:f>
        <x:v>-0.00009896079617420042</x:v>
      </x:c>
      <x:c r="I202" s="98" t="n">
        <x:f>$B$10*'Transformaciones'!K194</x:f>
        <x:v>-0.006532647474451979</x:v>
      </x:c>
      <x:c r="J202" s="98" t="n">
        <x:f>$B$13*'Transformaciones'!P195</x:f>
        <x:v>0</x:v>
      </x:c>
      <x:c r="K202" s="109" t="n">
        <x:f>SUM(C202:J202)</x:f>
        <x:v>-0.005373134383173794</x:v>
      </x:c>
      <x:c r="L202" s="109" t="n">
        <x:f>B202-K202</x:f>
        <x:v>-0.010114138628626292</x:v>
      </x:c>
      <x:c r="M202" s="94" t="n">
        <x:f>'Datos_fuente'!B195</x:f>
        <x:v>3821.537667</x:v>
      </x:c>
      <x:c r="N202" s="94" t="n">
        <x:f>EXP('Transformaciones'!B194+K202)</x:f>
        <x:v>3860.3853530170795</x:v>
      </x:c>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t="str">
        <x:f>'Transformaciones'!A196</x:f>
        <x:v>2021-10</x:v>
      </x:c>
      <x:c r="B203" s="98" t="n">
        <x:f>'Transformaciones'!C196</x:f>
        <x:v>-0.01268060926168424</x:v>
      </x:c>
      <x:c r="C203" s="98" t="n">
        <x:f>$B$6</x:f>
        <x:v>-0.0005941980394302418</x:v>
      </x:c>
      <x:c r="D203" s="98" t="n">
        <x:f>$B$7*'Transformaciones'!E196</x:f>
        <x:v>-0.0020235818839441726</x:v>
      </x:c>
      <x:c r="E203" s="98" t="n">
        <x:f>$B$11*'Transformaciones'!M196</x:f>
        <x:v>0.006944156554372725</x:v>
      </x:c>
      <x:c r="F203" s="98" t="n">
        <x:f>$B$12*'Transformaciones'!O196</x:f>
        <x:v>-0.003979078422715283</x:v>
      </x:c>
      <x:c r="G203" s="98" t="n">
        <x:f>$B$8*'Transformaciones'!G195</x:f>
        <x:v>0.0010077128799656572</x:v>
      </x:c>
      <x:c r="H203" s="98" t="n">
        <x:f>$B$9*'Transformaciones'!I195</x:f>
        <x:v>-0.00009896079617420042</x:v>
      </x:c>
      <x:c r="I203" s="98" t="n">
        <x:f>$B$10*'Transformaciones'!K195</x:f>
        <x:v>-0.0021299051085850876</x:v>
      </x:c>
      <x:c r="J203" s="98" t="n">
        <x:f>$B$13*'Transformaciones'!P196</x:f>
        <x:v>0</x:v>
      </x:c>
      <x:c r="K203" s="109" t="n">
        <x:f>SUM(C203:J203)</x:f>
        <x:v>-0.0008738548165106036</x:v>
      </x:c>
      <x:c r="L203" s="109" t="n">
        <x:f>B203-K203</x:f>
        <x:v>-0.011806754445173635</x:v>
      </x:c>
      <x:c r="M203" s="94" t="n">
        <x:f>'Datos_fuente'!B196</x:f>
        <x:v>3773.384194</x:v>
      </x:c>
      <x:c r="N203" s="94" t="n">
        <x:f>EXP('Transformaciones'!B195+K203)</x:f>
        <x:v>3818.1996565838645</x:v>
      </x:c>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t="str">
        <x:f>'Transformaciones'!A197</x:f>
        <x:v>2021-11</x:v>
      </x:c>
      <x:c r="B204" s="98" t="n">
        <x:f>'Transformaciones'!C197</x:f>
        <x:v>0.03374785978165917</x:v>
      </x:c>
      <x:c r="C204" s="98" t="n">
        <x:f>$B$6</x:f>
        <x:v>-0.0005941980394302418</x:v>
      </x:c>
      <x:c r="D204" s="98" t="n">
        <x:f>$B$7*'Transformaciones'!E197</x:f>
        <x:v>-0.0008974312133515739</x:v>
      </x:c>
      <x:c r="E204" s="98" t="n">
        <x:f>$B$11*'Transformaciones'!M197</x:f>
        <x:v>0.010309275270118561</x:v>
      </x:c>
      <x:c r="F204" s="98" t="n">
        <x:f>$B$12*'Transformaciones'!O197</x:f>
        <x:v>0.0013270131530828298</x:v>
      </x:c>
      <x:c r="G204" s="98" t="n">
        <x:f>$B$8*'Transformaciones'!G196</x:f>
        <x:v>0.0005869259134640684</x:v>
      </x:c>
      <x:c r="H204" s="98" t="n">
        <x:f>$B$9*'Transformaciones'!I196</x:f>
        <x:v>-0.0024740199043550085</x:v>
      </x:c>
      <x:c r="I204" s="98" t="n">
        <x:f>$B$10*'Transformaciones'!K196</x:f>
        <x:v>0.0068434811994547385</x:v>
      </x:c>
      <x:c r="J204" s="98" t="n">
        <x:f>$B$13*'Transformaciones'!P197</x:f>
        <x:v>0</x:v>
      </x:c>
      <x:c r="K204" s="109" t="n">
        <x:f>SUM(C204:J204)</x:f>
        <x:v>0.015101046378983372</x:v>
      </x:c>
      <x:c r="L204" s="109" t="n">
        <x:f>B204-K204</x:f>
        <x:v>0.0186468134026758</x:v>
      </x:c>
      <x:c r="M204" s="94" t="n">
        <x:f>'Datos_fuente'!B197</x:f>
        <x:v>3902.901</x:v>
      </x:c>
      <x:c r="N204" s="94" t="n">
        <x:f>EXP('Transformaciones'!B196+K204)</x:f>
        <x:v>3830.7986619209805</x:v>
      </x:c>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t="str">
        <x:f>'Transformaciones'!A198</x:f>
        <x:v>2021-12</x:v>
      </x:c>
      <x:c r="B205" s="98" t="n">
        <x:f>'Transformaciones'!C198</x:f>
        <x:v>0.015314889580594127</x:v>
      </x:c>
      <x:c r="C205" s="98" t="n">
        <x:f>$B$6</x:f>
        <x:v>-0.0005941980394302418</x:v>
      </x:c>
      <x:c r="D205" s="98" t="n">
        <x:f>$B$7*'Transformaciones'!E198</x:f>
        <x:v>0.000790647656784</x:v>
      </x:c>
      <x:c r="E205" s="98" t="n">
        <x:f>$B$11*'Transformaciones'!M198</x:f>
        <x:v>0.00899918718392168</x:v>
      </x:c>
      <x:c r="F205" s="98" t="n">
        <x:f>$B$12*'Transformaciones'!O198</x:f>
        <x:v>0.005503512227515434</x:v>
      </x:c>
      <x:c r="G205" s="98" t="n">
        <x:f>$B$8*'Transformaciones'!G197</x:f>
        <x:v>0.007126015979802427</x:v>
      </x:c>
      <x:c r="H205" s="98" t="n">
        <x:f>$B$9*'Transformaciones'!I197</x:f>
        <x:v>-0.00478310514512099</x:v>
      </x:c>
      <x:c r="I205" s="98" t="n">
        <x:f>$B$10*'Transformaciones'!K197</x:f>
        <x:v>0.0019014613688385009</x:v>
      </x:c>
      <x:c r="J205" s="98" t="n">
        <x:f>$B$13*'Transformaciones'!P198</x:f>
        <x:v>0</x:v>
      </x:c>
      <x:c r="K205" s="109" t="n">
        <x:f>SUM(C205:J205)</x:f>
        <x:v>0.01894352123231081</x:v>
      </x:c>
      <x:c r="L205" s="109" t="n">
        <x:f>B205-K205</x:f>
        <x:v>-0.0036286316517166843</x:v>
      </x:c>
      <x:c r="M205" s="94" t="n">
        <x:f>'Datos_fuente'!B198</x:f>
        <x:v>3963.133548</x:v>
      </x:c>
      <x:c r="N205" s="94" t="n">
        <x:f>EXP('Transformaciones'!B197+K205)</x:f>
        <x:v>3977.540422645022</x:v>
      </x:c>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t="str">
        <x:f>'Transformaciones'!A199</x:f>
        <x:v>2022-01</x:v>
      </x:c>
      <x:c r="B206" s="98" t="n">
        <x:f>'Transformaciones'!C199</x:f>
        <x:v>0.009163376411086332</x:v>
      </x:c>
      <x:c r="C206" s="98" t="n">
        <x:f>$B$6</x:f>
        <x:v>-0.0005941980394302418</x:v>
      </x:c>
      <x:c r="D206" s="98" t="n">
        <x:f>$B$7*'Transformaciones'!E199</x:f>
        <x:v>-0.007217564108867783</x:v>
      </x:c>
      <x:c r="E206" s="98" t="n">
        <x:f>$B$11*'Transformaciones'!M199</x:f>
        <x:v>-0.008472947709333191</x:v>
      </x:c>
      <x:c r="F206" s="98" t="n">
        <x:f>$B$12*'Transformaciones'!O199</x:f>
        <x:v>0.0031481846445949166</x:v>
      </x:c>
      <x:c r="G206" s="98" t="n">
        <x:f>$B$8*'Transformaciones'!G198</x:f>
        <x:v>0.005263840536233697</x:v>
      </x:c>
      <x:c r="H206" s="98" t="n">
        <x:f>$B$9*'Transformaciones'!I198</x:f>
        <x:v>-0.0020803049111642502</x:v>
      </x:c>
      <x:c r="I206" s="98" t="n">
        <x:f>$B$10*'Transformaciones'!K198</x:f>
        <x:v>0.0015885306757596077</x:v>
      </x:c>
      <x:c r="J206" s="98" t="n">
        <x:f>$B$13*'Transformaciones'!P199</x:f>
        <x:v>0</x:v>
      </x:c>
      <x:c r="K206" s="109" t="n">
        <x:f>SUM(C206:J206)</x:f>
        <x:v>-0.008364458912207245</x:v>
      </x:c>
      <x:c r="L206" s="109" t="n">
        <x:f>B206-K206</x:f>
        <x:v>0.017527835323293578</x:v>
      </x:c>
      <x:c r="M206" s="94" t="n">
        <x:f>'Datos_fuente'!B199</x:f>
        <x:v>3999.616129</x:v>
      </x:c>
      <x:c r="N206" s="94" t="n">
        <x:f>EXP('Transformaciones'!B198+K206)</x:f>
        <x:v>3930.1223332156505</x:v>
      </x:c>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t="str">
        <x:f>'Transformaciones'!A200</x:f>
        <x:v>2022-02</x:v>
      </x:c>
      <x:c r="B207" s="98" t="n">
        <x:f>'Transformaciones'!C200</x:f>
        <x:v>-0.016075149775062414</x:v>
      </x:c>
      <x:c r="C207" s="98" t="n">
        <x:f>$B$6</x:f>
        <x:v>-0.0005941980394302418</x:v>
      </x:c>
      <x:c r="D207" s="98" t="n">
        <x:f>$B$7*'Transformaciones'!E200</x:f>
        <x:v>0.0009540938609642012</x:v>
      </x:c>
      <x:c r="E207" s="98" t="n">
        <x:f>$B$11*'Transformaciones'!M200</x:f>
        <x:v>-0.000438152781416382</x:v>
      </x:c>
      <x:c r="F207" s="98" t="n">
        <x:f>$B$12*'Transformaciones'!O200</x:f>
        <x:v>0.004029401288176959</x:v>
      </x:c>
      <x:c r="G207" s="98" t="n">
        <x:f>$B$8*'Transformaciones'!G199</x:f>
        <x:v>0.0037323806016165808</x:v>
      </x:c>
      <x:c r="H207" s="98" t="n">
        <x:f>$B$9*'Transformaciones'!I199</x:f>
        <x:v>-0.003351897940678706</x:v>
      </x:c>
      <x:c r="I207" s="98" t="n">
        <x:f>$B$10*'Transformaciones'!K199</x:f>
        <x:v>-0.008516997460320641</x:v>
      </x:c>
      <x:c r="J207" s="98" t="n">
        <x:f>$B$13*'Transformaciones'!P200</x:f>
        <x:v>0</x:v>
      </x:c>
      <x:c r="K207" s="109" t="n">
        <x:f>SUM(C207:J207)</x:f>
        <x:v>-0.00418537047108823</x:v>
      </x:c>
      <x:c r="L207" s="109" t="n">
        <x:f>B207-K207</x:f>
        <x:v>-0.011889779303974184</x:v>
      </x:c>
      <x:c r="M207" s="94" t="n">
        <x:f>'Datos_fuente'!B200</x:f>
        <x:v>3935.835714</x:v>
      </x:c>
      <x:c r="N207" s="94" t="n">
        <x:f>EXP('Transformaciones'!B199+K207)</x:f>
        <x:v>3982.9112362258797</x:v>
      </x:c>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t="str">
        <x:f>'Transformaciones'!A201</x:f>
        <x:v>2022-03</x:v>
      </x:c>
      <x:c r="B208" s="98" t="n">
        <x:f>'Transformaciones'!C201</x:f>
        <x:v>-0.03323685374552632</x:v>
      </x:c>
      <x:c r="C208" s="98" t="n">
        <x:f>$B$6</x:f>
        <x:v>-0.0005941980394302418</x:v>
      </x:c>
      <x:c r="D208" s="98" t="n">
        <x:f>$B$7*'Transformaciones'!E201</x:f>
        <x:v>-0.005604562487546632</x:v>
      </x:c>
      <x:c r="E208" s="98" t="n">
        <x:f>$B$11*'Transformaciones'!M201</x:f>
        <x:v>0.014252379183319907</x:v>
      </x:c>
      <x:c r="F208" s="98" t="n">
        <x:f>$B$12*'Transformaciones'!O201</x:f>
        <x:v>0.0017762248828766818</x:v>
      </x:c>
      <x:c r="G208" s="98" t="n">
        <x:f>$B$8*'Transformaciones'!G200</x:f>
        <x:v>0.0013055600684020716</x:v>
      </x:c>
      <x:c r="H208" s="98" t="n">
        <x:f>$B$9*'Transformaciones'!I200</x:f>
        <x:v>-0.009576851237876122</x:v>
      </x:c>
      <x:c r="I208" s="98" t="n">
        <x:f>$B$10*'Transformaciones'!K200</x:f>
        <x:v>-0.0004620692618971646</x:v>
      </x:c>
      <x:c r="J208" s="98" t="n">
        <x:f>$B$13*'Transformaciones'!P201</x:f>
        <x:v>0</x:v>
      </x:c>
      <x:c r="K208" s="109" t="n">
        <x:f>SUM(C208:J208)</x:f>
        <x:v>0.0010964831078484995</x:v>
      </x:c>
      <x:c r="L208" s="109" t="n">
        <x:f>B208-K208</x:f>
        <x:v>-0.034333336853374814</x:v>
      </x:c>
      <x:c r="M208" s="94" t="n">
        <x:f>'Datos_fuente'!B201</x:f>
        <x:v>3807.170968</x:v>
      </x:c>
      <x:c r="N208" s="94" t="n">
        <x:f>EXP('Transformaciones'!B200+K208)</x:f>
        <x:v>3940.1536582195085</x:v>
      </x:c>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t="str">
        <x:f>'Transformaciones'!A202</x:f>
        <x:v>2022-04</x:v>
      </x:c>
      <x:c r="B209" s="98" t="n">
        <x:f>'Transformaciones'!C202</x:f>
        <x:v>-0.003733868132572482</x:v>
      </x:c>
      <x:c r="C209" s="98" t="n">
        <x:f>$B$6</x:f>
        <x:v>-0.0005941980394302418</x:v>
      </x:c>
      <x:c r="D209" s="98" t="n">
        <x:f>$B$7*'Transformaciones'!E202</x:f>
        <x:v>-0.003246692590130895</x:v>
      </x:c>
      <x:c r="E209" s="98" t="n">
        <x:f>$B$11*'Transformaciones'!M202</x:f>
        <x:v>0.009586696491613549</x:v>
      </x:c>
      <x:c r="F209" s="98" t="n">
        <x:f>$B$12*'Transformaciones'!O202</x:f>
        <x:v>-0.0038813284395633287</x:v>
      </x:c>
      <x:c r="G209" s="98" t="n">
        <x:f>$B$8*'Transformaciones'!G201</x:f>
        <x:v>-0.0019466638862888038</x:v>
      </x:c>
      <x:c r="H209" s="98" t="n">
        <x:f>$B$9*'Transformaciones'!I201</x:f>
        <x:v>0.0011875295540904052</x:v>
      </x:c>
      <x:c r="I209" s="98" t="n">
        <x:f>$B$10*'Transformaciones'!K201</x:f>
        <x:v>0.00322956974172327</x:v>
      </x:c>
      <x:c r="J209" s="98" t="n">
        <x:f>$B$13*'Transformaciones'!P202</x:f>
        <x:v>0</x:v>
      </x:c>
      <x:c r="K209" s="109" t="n">
        <x:f>SUM(C209:J209)</x:f>
        <x:v>0.004334912832013954</x:v>
      </x:c>
      <x:c r="L209" s="109" t="n">
        <x:f>B209-K209</x:f>
        <x:v>-0.008068780964586436</x:v>
      </x:c>
      <x:c r="M209" s="94" t="n">
        <x:f>'Datos_fuente'!B202</x:f>
        <x:v>3792.982</x:v>
      </x:c>
      <x:c r="N209" s="94" t="n">
        <x:f>EXP('Transformaciones'!B201+K209)</x:f>
        <x:v>3823.7105451953294</x:v>
      </x:c>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t="str">
        <x:f>'Transformaciones'!A203</x:f>
        <x:v>2022-05</x:v>
      </x:c>
      <x:c r="B210" s="98" t="n">
        <x:f>'Transformaciones'!C203</x:f>
        <x:v>0.05790034312203751</x:v>
      </x:c>
      <x:c r="C210" s="98" t="n">
        <x:f>$B$6</x:f>
        <x:v>-0.0005941980394302418</x:v>
      </x:c>
      <x:c r="D210" s="98" t="n">
        <x:f>$B$7*'Transformaciones'!E203</x:f>
        <x:v>0.006046293574803565</x:v>
      </x:c>
      <x:c r="E210" s="98" t="n">
        <x:f>$B$11*'Transformaciones'!M203</x:f>
        <x:v>0.027201616968128818</x:v>
      </x:c>
      <x:c r="F210" s="98" t="n">
        <x:f>$B$12*'Transformaciones'!O203</x:f>
        <x:v>0.0070796763867966555</x:v>
      </x:c>
      <x:c r="G210" s="98" t="n">
        <x:f>$B$8*'Transformaciones'!G202</x:f>
        <x:v>0.0014491000998616296</x:v>
      </x:c>
      <x:c r="H210" s="98" t="n">
        <x:f>$B$9*'Transformaciones'!I202</x:f>
        <x:v>-0.00860958926715543</x:v>
      </x:c>
      <x:c r="I210" s="98" t="n">
        <x:f>$B$10*'Transformaciones'!K202</x:f>
        <x:v>-0.0019326269651974912</x:v>
      </x:c>
      <x:c r="J210" s="98" t="n">
        <x:f>$B$13*'Transformaciones'!P203</x:f>
        <x:v>0</x:v>
      </x:c>
      <x:c r="K210" s="109" t="n">
        <x:f>SUM(C210:J210)</x:f>
        <x:v>0.030640272757807507</x:v>
      </x:c>
      <x:c r="L210" s="109" t="n">
        <x:f>B210-K210</x:f>
        <x:v>0.027260070364230005</x:v>
      </x:c>
      <x:c r="M210" s="94" t="n">
        <x:f>'Datos_fuente'!B203</x:f>
        <x:v>4019.079355</x:v>
      </x:c>
      <x:c r="N210" s="94" t="n">
        <x:f>EXP('Transformaciones'!B202+K210)</x:f>
        <x:v>3910.9988036094855</x:v>
      </x:c>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t="str">
        <x:f>'Transformaciones'!A204</x:f>
        <x:v>2022-06</x:v>
      </x:c>
      <x:c r="B211" s="98" t="n">
        <x:f>'Transformaciones'!C204</x:f>
        <x:v>-0.022218372716578116</x:v>
      </x:c>
      <x:c r="C211" s="98" t="n">
        <x:f>$B$6</x:f>
        <x:v>-0.0005941980394302418</x:v>
      </x:c>
      <x:c r="D211" s="98" t="n">
        <x:f>$B$7*'Transformaciones'!E204</x:f>
        <x:v>-0.016725637050969425</x:v>
      </x:c>
      <x:c r="E211" s="98" t="n">
        <x:f>$B$11*'Transformaciones'!M204</x:f>
        <x:v>0.003504119871124328</x:v>
      </x:c>
      <x:c r="F211" s="98" t="n">
        <x:f>$B$12*'Transformaciones'!O204</x:f>
        <x:v>-0.001440624060844257</x:v>
      </x:c>
      <x:c r="G211" s="98" t="n">
        <x:f>$B$8*'Transformaciones'!G203</x:f>
        <x:v>0.0025798666237606283</x:v>
      </x:c>
      <x:c r="H211" s="98" t="n">
        <x:f>$B$9*'Transformaciones'!I203</x:f>
        <x:v>-0.005222576206211307</x:v>
      </x:c>
      <x:c r="I211" s="98" t="n">
        <x:f>$B$10*'Transformaciones'!K203</x:f>
        <x:v>-0.0004348815663926277</x:v>
      </x:c>
      <x:c r="J211" s="98" t="n">
        <x:f>$B$13*'Transformaciones'!P204</x:f>
        <x:v>0</x:v>
      </x:c>
      <x:c r="K211" s="109" t="n">
        <x:f>SUM(C211:J211)</x:f>
        <x:v>-0.0183339304289629</x:v>
      </x:c>
      <x:c r="L211" s="109" t="n">
        <x:f>B211-K211</x:f>
        <x:v>-0.0038844422876152147</x:v>
      </x:c>
      <x:c r="M211" s="94" t="n">
        <x:f>'Datos_fuente'!B204</x:f>
        <x:v>3930.766667</x:v>
      </x:c>
      <x:c r="N211" s="94" t="n">
        <x:f>EXP('Transformaciones'!B203+K211)</x:f>
        <x:v>3946.0651971563</x:v>
      </x:c>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t="str">
        <x:f>'Transformaciones'!A205</x:f>
        <x:v>2022-07</x:v>
      </x:c>
      <x:c r="B212" s="98" t="n">
        <x:f>'Transformaciones'!C205</x:f>
        <x:v>0.10542629160397965</x:v>
      </x:c>
      <x:c r="C212" s="98" t="n">
        <x:f>$B$6</x:f>
        <x:v>-0.0005941980394302418</x:v>
      </x:c>
      <x:c r="D212" s="98" t="n">
        <x:f>$B$7*'Transformaciones'!E205</x:f>
        <x:v>0.002420895813222763</x:v>
      </x:c>
      <x:c r="E212" s="98" t="n">
        <x:f>$B$11*'Transformaciones'!M205</x:f>
        <x:v>0.02861946234659674</x:v>
      </x:c>
      <x:c r="F212" s="98" t="n">
        <x:f>$B$12*'Transformaciones'!O205</x:f>
        <x:v>-0.004672794866979431</x:v>
      </x:c>
      <x:c r="G212" s="98" t="n">
        <x:f>$B$8*'Transformaciones'!G204</x:f>
        <x:v>0.003815948407131205</x:v>
      </x:c>
      <x:c r="H212" s="98" t="n">
        <x:f>$B$9*'Transformaciones'!I204</x:f>
        <x:v>0.004035046652120902</x:v>
      </x:c>
      <x:c r="I212" s="98" t="n">
        <x:f>$B$10*'Transformaciones'!K204</x:f>
        <x:v>0.001062222365179293</x:v>
      </x:c>
      <x:c r="J212" s="98" t="n">
        <x:f>$B$13*'Transformaciones'!P205</x:f>
        <x:v>0</x:v>
      </x:c>
      <x:c r="K212" s="109" t="n">
        <x:f>SUM(C212:J212)</x:f>
        <x:v>0.03468658267784123</x:v>
      </x:c>
      <x:c r="L212" s="109" t="n">
        <x:f>B212-K212</x:f>
        <x:v>0.07073970892613843</x:v>
      </x:c>
      <x:c r="M212" s="94" t="n">
        <x:f>'Datos_fuente'!B205</x:f>
        <x:v>4367.805806</x:v>
      </x:c>
      <x:c r="N212" s="94" t="n">
        <x:f>EXP('Transformaciones'!B204+K212)</x:f>
        <x:v>4069.503778165726</x:v>
      </x:c>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t="str">
        <x:f>'Transformaciones'!A206</x:f>
        <x:v>2022-08</x:v>
      </x:c>
      <x:c r="B213" s="98" t="n">
        <x:f>'Transformaciones'!C206</x:f>
        <x:v>-0.010433930217986997</x:v>
      </x:c>
      <x:c r="C213" s="98" t="n">
        <x:f>$B$6</x:f>
        <x:v>-0.0005941980394302418</x:v>
      </x:c>
      <x:c r="D213" s="98" t="n">
        <x:f>$B$7*'Transformaciones'!E206</x:f>
        <x:v>0.015913856339157168</x:v>
      </x:c>
      <x:c r="E213" s="98" t="n">
        <x:f>$B$11*'Transformaciones'!M206</x:f>
        <x:v>-0.004508736894297974</x:v>
      </x:c>
      <x:c r="F213" s="98" t="n">
        <x:f>$B$12*'Transformaciones'!O206</x:f>
        <x:v>-0.004601916243898217</x:v>
      </x:c>
      <x:c r="G213" s="98" t="n">
        <x:f>$B$8*'Transformaciones'!G205</x:f>
        <x:v>0.004533628796778362</x:v>
      </x:c>
      <x:c r="H213" s="98" t="n">
        <x:f>$B$9*'Transformaciones'!I205</x:f>
        <x:v>-0.010192962005942637</x:v>
      </x:c>
      <x:c r="I213" s="98" t="n">
        <x:f>$B$10*'Transformaciones'!K205</x:f>
        <x:v>-0.00048805657218102343</x:v>
      </x:c>
      <x:c r="J213" s="98" t="n">
        <x:f>$B$13*'Transformaciones'!P206</x:f>
        <x:v>0</x:v>
      </x:c>
      <x:c r="K213" s="109" t="n">
        <x:f>SUM(C213:J213)</x:f>
        <x:v>0.00006161538018543641</x:v>
      </x:c>
      <x:c r="L213" s="109" t="n">
        <x:f>B213-K213</x:f>
        <x:v>-0.010495545598172434</x:v>
      </x:c>
      <x:c r="M213" s="94" t="n">
        <x:f>'Datos_fuente'!B206</x:f>
        <x:v>4322.469355</x:v>
      </x:c>
      <x:c r="N213" s="94" t="n">
        <x:f>EXP('Transformaciones'!B205+K213)</x:f>
        <x:v>4368.074938306569</x:v>
      </x:c>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t="str">
        <x:f>'Transformaciones'!A207</x:f>
        <x:v>2022-09</x:v>
      </x:c>
      <x:c r="B214" s="98" t="n">
        <x:f>'Transformaciones'!C207</x:f>
        <x:v>0.02539654922491863</x:v>
      </x:c>
      <x:c r="C214" s="98" t="n">
        <x:f>$B$6</x:f>
        <x:v>-0.0005941980394302418</x:v>
      </x:c>
      <x:c r="D214" s="98" t="n">
        <x:f>$B$7*'Transformaciones'!E207</x:f>
        <x:v>-0.006135527181097772</x:v>
      </x:c>
      <x:c r="E214" s="98" t="n">
        <x:f>$B$11*'Transformaciones'!M207</x:f>
        <x:v>0.03369685187888429</x:v>
      </x:c>
      <x:c r="F214" s="98" t="n">
        <x:f>$B$12*'Transformaciones'!O207</x:f>
        <x:v>0.008044082152701446</x:v>
      </x:c>
      <x:c r="G214" s="98" t="n">
        <x:f>$B$8*'Transformaciones'!G206</x:f>
        <x:v>0.0007596024089654843</x:v>
      </x:c>
      <x:c r="H214" s="98" t="n">
        <x:f>$B$9*'Transformaciones'!I206</x:f>
        <x:v>-0.008411667674807026</x:v>
      </x:c>
      <x:c r="I214" s="98" t="n">
        <x:f>$B$10*'Transformaciones'!K206</x:f>
        <x:v>0.0047855219454270076</x:v>
      </x:c>
      <x:c r="J214" s="98" t="n">
        <x:f>$B$13*'Transformaciones'!P207</x:f>
        <x:v>0</x:v>
      </x:c>
      <x:c r="K214" s="109" t="n">
        <x:f>SUM(C214:J214)</x:f>
        <x:v>0.03214466549064319</x:v>
      </x:c>
      <x:c r="L214" s="109" t="n">
        <x:f>B214-K214</x:f>
        <x:v>-0.006748116265724559</x:v>
      </x:c>
      <x:c r="M214" s="94" t="n">
        <x:f>'Datos_fuente'!B207</x:f>
        <x:v>4433.651</x:v>
      </x:c>
      <x:c r="N214" s="94" t="n">
        <x:f>EXP('Transformaciones'!B206+K214)</x:f>
        <x:v>4463.670967627193</x:v>
      </x:c>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t="str">
        <x:f>'Transformaciones'!A208</x:f>
        <x:v>2022-10</x:v>
      </x:c>
      <x:c r="B215" s="98" t="n">
        <x:f>'Transformaciones'!C208</x:f>
        <x:v>0.060853038022941064</x:v>
      </x:c>
      <x:c r="C215" s="98" t="n">
        <x:f>$B$6</x:f>
        <x:v>-0.0005941980394302418</x:v>
      </x:c>
      <x:c r="D215" s="98" t="n">
        <x:f>$B$7*'Transformaciones'!E208</x:f>
        <x:v>0.0015906408895298382</x:v>
      </x:c>
      <x:c r="E215" s="98" t="n">
        <x:f>$B$11*'Transformaciones'!M208</x:f>
        <x:v>0.018997970701031708</x:v>
      </x:c>
      <x:c r="F215" s="98" t="n">
        <x:f>$B$12*'Transformaciones'!O208</x:f>
        <x:v>0.003566396721487326</x:v>
      </x:c>
      <x:c r="G215" s="98" t="n">
        <x:f>$B$8*'Transformaciones'!G207</x:f>
        <x:v>0.00205811639794386</x:v>
      </x:c>
      <x:c r="H215" s="98" t="n">
        <x:f>$B$9*'Transformaciones'!I207</x:f>
        <x:v>0.00194622899472463</x:v>
      </x:c>
      <x:c r="I215" s="98" t="n">
        <x:f>$B$10*'Transformaciones'!K207</x:f>
        <x:v>-0.0006524989457155323</x:v>
      </x:c>
      <x:c r="J215" s="98" t="n">
        <x:f>$B$13*'Transformaciones'!P208</x:f>
        <x:v>0</x:v>
      </x:c>
      <x:c r="K215" s="109" t="n">
        <x:f>SUM(C215:J215)</x:f>
        <x:v>0.02691265671957159</x:v>
      </x:c>
      <x:c r="L215" s="109" t="n">
        <x:f>B215-K215</x:f>
        <x:v>0.033940381303369474</x:v>
      </x:c>
      <x:c r="M215" s="94" t="n">
        <x:f>'Datos_fuente'!B208</x:f>
        <x:v>4711.830323</x:v>
      </x:c>
      <x:c r="N215" s="94" t="n">
        <x:f>EXP('Transformaciones'!B207+K215)</x:f>
        <x:v>4554.5924556704</x:v>
      </x:c>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t="str">
        <x:f>'Transformaciones'!A209</x:f>
        <x:v>2022-11</x:v>
      </x:c>
      <x:c r="B216" s="98" t="n">
        <x:f>'Transformaciones'!C209</x:f>
        <x:v>0.044584972906045905</x:v>
      </x:c>
      <x:c r="C216" s="98" t="n">
        <x:f>$B$6</x:f>
        <x:v>-0.0005941980394302418</x:v>
      </x:c>
      <x:c r="D216" s="98" t="n">
        <x:f>$B$7*'Transformaciones'!E209</x:f>
        <x:v>0.0006172068020082288</x:v>
      </x:c>
      <x:c r="E216" s="98" t="n">
        <x:f>$B$11*'Transformaciones'!M209</x:f>
        <x:v>-0.0265493185431196</x:v>
      </x:c>
      <x:c r="F216" s="98" t="n">
        <x:f>$B$12*'Transformaciones'!O209</x:f>
        <x:v>-0.009704194017068452</x:v>
      </x:c>
      <x:c r="G216" s="98" t="n">
        <x:f>$B$8*'Transformaciones'!G208</x:f>
        <x:v>0.006848357962661641</x:v>
      </x:c>
      <x:c r="H216" s="98" t="n">
        <x:f>$B$9*'Transformaciones'!I208</x:f>
        <x:v>-0.004739477278623547</x:v>
      </x:c>
      <x:c r="I216" s="98" t="n">
        <x:f>$B$10*'Transformaciones'!K208</x:f>
        <x:v>-0.0022526679448677</x:v>
      </x:c>
      <x:c r="J216" s="98" t="n">
        <x:f>$B$13*'Transformaciones'!P209</x:f>
        <x:v>0</x:v>
      </x:c>
      <x:c r="K216" s="109" t="n">
        <x:f>SUM(C216:J216)</x:f>
        <x:v>-0.03637429105843967</x:v>
      </x:c>
      <x:c r="L216" s="109" t="n">
        <x:f>B216-K216</x:f>
        <x:v>0.08095926396448558</x:v>
      </x:c>
      <x:c r="M216" s="94" t="n">
        <x:f>'Datos_fuente'!B209</x:f>
        <x:v>4926.660667</x:v>
      </x:c>
      <x:c r="N216" s="94" t="n">
        <x:f>EXP('Transformaciones'!B208+K216)</x:f>
        <x:v>4543.520468237076</x:v>
      </x:c>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t="str">
        <x:f>'Transformaciones'!A210</x:f>
        <x:v>2022-12</x:v>
      </x:c>
      <x:c r="B217" s="98" t="n">
        <x:f>'Transformaciones'!C210</x:f>
        <x:v>-0.028446152718185402</x:v>
      </x:c>
      <x:c r="C217" s="98" t="n">
        <x:f>$B$6</x:f>
        <x:v>-0.0005941980394302418</x:v>
      </x:c>
      <x:c r="D217" s="98" t="n">
        <x:f>$B$7*'Transformaciones'!E210</x:f>
        <x:v>0.0038286676537062614</x:v>
      </x:c>
      <x:c r="E217" s="98" t="n">
        <x:f>$B$11*'Transformaciones'!M210</x:f>
        <x:v>-0.027015112009153276</x:v>
      </x:c>
      <x:c r="F217" s="98" t="n">
        <x:f>$B$12*'Transformaciones'!O210</x:f>
        <x:v>-0.002578803840654689</x:v>
      </x:c>
      <x:c r="G217" s="98" t="n">
        <x:f>$B$8*'Transformaciones'!G209</x:f>
        <x:v>-0.0001351300397646908</x:v>
      </x:c>
      <x:c r="H217" s="98" t="n">
        <x:f>$B$9*'Transformaciones'!I209</x:f>
        <x:v>-0.0026495955056821006</x:v>
      </x:c>
      <x:c r="I217" s="98" t="n">
        <x:f>$B$10*'Transformaciones'!K209</x:f>
        <x:v>-0.0025891993570755084</x:v>
      </x:c>
      <x:c r="J217" s="98" t="n">
        <x:f>$B$13*'Transformaciones'!P210</x:f>
        <x:v>0</x:v>
      </x:c>
      <x:c r="K217" s="109" t="n">
        <x:f>SUM(C217:J217)</x:f>
        <x:v>-0.031733371138054245</x:v>
      </x:c>
      <x:c r="L217" s="109" t="n">
        <x:f>B217-K217</x:f>
        <x:v>0.0032872184198688426</x:v>
      </x:c>
      <x:c r="M217" s="94" t="n">
        <x:f>'Datos_fuente'!B210</x:f>
        <x:v>4788.490645</x:v>
      </x:c>
      <x:c r="N217" s="94" t="n">
        <x:f>EXP('Transformaciones'!B209+K217)</x:f>
        <x:v>4772.775673770908</x:v>
      </x:c>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t="str">
        <x:f>'Transformaciones'!A211</x:f>
        <x:v>2023-01</x:v>
      </x:c>
      <x:c r="B218" s="98" t="n">
        <x:f>'Transformaciones'!C211</x:f>
        <x:v>-0.01542310237575073</x:v>
      </x:c>
      <x:c r="C218" s="98" t="n">
        <x:f>$B$6</x:f>
        <x:v>-0.0005941980394302418</x:v>
      </x:c>
      <x:c r="D218" s="98" t="n">
        <x:f>$B$7*'Transformaciones'!E211</x:f>
        <x:v>0.0010195452578345338</x:v>
      </x:c>
      <x:c r="E218" s="98" t="n">
        <x:f>$B$11*'Transformaciones'!M211</x:f>
        <x:v>-0.025533201165649957</x:v>
      </x:c>
      <x:c r="F218" s="98" t="n">
        <x:f>$B$12*'Transformaciones'!O211</x:f>
        <x:v>-0.002955284134146147</x:v>
      </x:c>
      <x:c r="G218" s="98" t="n">
        <x:f>$B$8*'Transformaciones'!G210</x:f>
        <x:v>0.0005304466676413767</x:v>
      </x:c>
      <x:c r="H218" s="98" t="n">
        <x:f>$B$9*'Transformaciones'!I210</x:f>
        <x:v>-0.0009832233971199499</x:v>
      </x:c>
      <x:c r="I218" s="98" t="n">
        <x:f>$B$10*'Transformaciones'!K210</x:f>
        <x:v>0.000016488604360111495</x:v>
      </x:c>
      <x:c r="J218" s="98" t="n">
        <x:f>$B$13*'Transformaciones'!P211</x:f>
        <x:v>0</x:v>
      </x:c>
      <x:c r="K218" s="109" t="n">
        <x:f>SUM(C218:J218)</x:f>
        <x:v>-0.028499426206510275</x:v>
      </x:c>
      <x:c r="L218" s="109" t="n">
        <x:f>B218-K218</x:f>
        <x:v>0.013076323830759545</x:v>
      </x:c>
      <x:c r="M218" s="94" t="n">
        <x:f>'Datos_fuente'!B211</x:f>
        <x:v>4715.203871</x:v>
      </x:c>
      <x:c r="N218" s="94" t="n">
        <x:f>EXP('Transformaciones'!B210+K218)</x:f>
        <x:v>4653.94771377695</x:v>
      </x:c>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t="str">
        <x:f>'Transformaciones'!A212</x:f>
        <x:v>2023-02</x:v>
      </x:c>
      <x:c r="B219" s="98" t="n">
        <x:f>'Transformaciones'!C212</x:f>
        <x:v>0.01847199130613575</x:v>
      </x:c>
      <x:c r="C219" s="98" t="n">
        <x:f>$B$6</x:f>
        <x:v>-0.0005941980394302418</x:v>
      </x:c>
      <x:c r="D219" s="98" t="n">
        <x:f>$B$7*'Transformaciones'!E212</x:f>
        <x:v>-0.0013529888356390535</x:v>
      </x:c>
      <x:c r="E219" s="98" t="n">
        <x:f>$B$11*'Transformaciones'!M212</x:f>
        <x:v>0.005290290410573209</x:v>
      </x:c>
      <x:c r="F219" s="98" t="n">
        <x:f>$B$12*'Transformaciones'!O212</x:f>
        <x:v>-0.00009244644296816081</x:v>
      </x:c>
      <x:c r="G219" s="98" t="n">
        <x:f>$B$8*'Transformaciones'!G211</x:f>
        <x:v>0.0035135350086139693</x:v>
      </x:c>
      <x:c r="H219" s="98" t="n">
        <x:f>$B$9*'Transformaciones'!I211</x:f>
        <x:v>-0.003948854995086893</x:v>
      </x:c>
      <x:c r="I219" s="98" t="n">
        <x:f>$B$10*'Transformaciones'!K211</x:f>
        <x:v>-0.0021115808782432273</x:v>
      </x:c>
      <x:c r="J219" s="98" t="n">
        <x:f>$B$13*'Transformaciones'!P212</x:f>
        <x:v>0</x:v>
      </x:c>
      <x:c r="K219" s="109" t="n">
        <x:f>SUM(C219:J219)</x:f>
        <x:v>0.0007037562278196016</x:v>
      </x:c>
      <x:c r="L219" s="109" t="n">
        <x:f>B219-K219</x:f>
        <x:v>0.017768235078316146</x:v>
      </x:c>
      <x:c r="M219" s="94" t="n">
        <x:f>'Datos_fuente'!B212</x:f>
        <x:v>4803.1125</x:v>
      </x:c>
      <x:c r="N219" s="94" t="n">
        <x:f>EXP('Transformaciones'!B211+K219)</x:f>
        <x:v>4718.523393019799</x:v>
      </x:c>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t="str">
        <x:f>'Transformaciones'!A213</x:f>
        <x:v>2023-03</x:v>
      </x:c>
      <x:c r="B220" s="98" t="n">
        <x:f>'Transformaciones'!C213</x:f>
        <x:v>-0.0076926045720711045</x:v>
      </x:c>
      <x:c r="C220" s="98" t="n">
        <x:f>$B$6</x:f>
        <x:v>-0.0005941980394302418</x:v>
      </x:c>
      <x:c r="D220" s="98" t="n">
        <x:f>$B$7*'Transformaciones'!E213</x:f>
        <x:v>0.00531054651268225</x:v>
      </x:c>
      <x:c r="E220" s="98" t="n">
        <x:f>$B$11*'Transformaciones'!M213</x:f>
        <x:v>0.004617596610195444</x:v>
      </x:c>
      <x:c r="F220" s="98" t="n">
        <x:f>$B$12*'Transformaciones'!O213</x:f>
        <x:v>0.00280051543324003</x:v>
      </x:c>
      <x:c r="G220" s="98" t="n">
        <x:f>$B$8*'Transformaciones'!G212</x:f>
        <x:v>0.0053182550924918155</x:v>
      </x:c>
      <x:c r="H220" s="98" t="n">
        <x:f>$B$9*'Transformaciones'!I212</x:f>
        <x:v>-0.004568158040516389</x:v>
      </x:c>
      <x:c r="I220" s="98" t="n">
        <x:f>$B$10*'Transformaciones'!K212</x:f>
        <x:v>0.0001395247701502426</x:v>
      </x:c>
      <x:c r="J220" s="98" t="n">
        <x:f>$B$13*'Transformaciones'!P213</x:f>
        <x:v>0</x:v>
      </x:c>
      <x:c r="K220" s="109" t="n">
        <x:f>SUM(C220:J220)</x:f>
        <x:v>0.013024082338813152</x:v>
      </x:c>
      <x:c r="L220" s="109" t="n">
        <x:f>B220-K220</x:f>
        <x:v>-0.020716686910884255</x:v>
      </x:c>
      <x:c r="M220" s="94" t="n">
        <x:f>'Datos_fuente'!B213</x:f>
        <x:v>4766.305806</x:v>
      </x:c>
      <x:c r="N220" s="94" t="n">
        <x:f>EXP('Transformaciones'!B212+K220)</x:f>
        <x:v>4866.077775099355</x:v>
      </x:c>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t="str">
        <x:f>'Transformaciones'!A214</x:f>
        <x:v>2023-04</x:v>
      </x:c>
      <x:c r="B221" s="98" t="n">
        <x:f>'Transformaciones'!C214</x:f>
        <x:v>-0.04805564193941869</x:v>
      </x:c>
      <x:c r="C221" s="98" t="n">
        <x:f>$B$6</x:f>
        <x:v>-0.0005941980394302418</x:v>
      </x:c>
      <x:c r="D221" s="98" t="n">
        <x:f>$B$7*'Transformaciones'!E214</x:f>
        <x:v>-0.0011568885125473587</x:v>
      </x:c>
      <x:c r="E221" s="98" t="n">
        <x:f>$B$11*'Transformaciones'!M214</x:f>
        <x:v>-0.015932032853087776</x:v>
      </x:c>
      <x:c r="F221" s="98" t="n">
        <x:f>$B$12*'Transformaciones'!O214</x:f>
        <x:v>-0.007462696147265488</x:v>
      </x:c>
      <x:c r="G221" s="98" t="n">
        <x:f>$B$8*'Transformaciones'!G213</x:f>
        <x:v>0.0035086811052272753</x:v>
      </x:c>
      <x:c r="H221" s="98" t="n">
        <x:f>$B$9*'Transformaciones'!I213</x:f>
        <x:v>0.0007118792769816355</x:v>
      </x:c>
      <x:c r="I221" s="98" t="n">
        <x:f>$B$10*'Transformaciones'!K213</x:f>
        <x:v>-0.00082638266792346</x:v>
      </x:c>
      <x:c r="J221" s="98" t="n">
        <x:f>$B$13*'Transformaciones'!P214</x:f>
        <x:v>0</x:v>
      </x:c>
      <x:c r="K221" s="109" t="n">
        <x:f>SUM(C221:J221)</x:f>
        <x:v>-0.02175163783804542</x:v>
      </x:c>
      <x:c r="L221" s="109" t="n">
        <x:f>B221-K221</x:f>
        <x:v>-0.026304004101373273</x:v>
      </x:c>
      <x:c r="M221" s="94" t="n">
        <x:f>'Datos_fuente'!B214</x:f>
        <x:v>4542.674333</x:v>
      </x:c>
      <x:c r="N221" s="94" t="n">
        <x:f>EXP('Transformaciones'!B213+K221)</x:f>
        <x:v>4663.750267259655</x:v>
      </x:c>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t="str">
        <x:f>'Transformaciones'!A215</x:f>
        <x:v>2023-05</x:v>
      </x:c>
      <x:c r="B222" s="98" t="n">
        <x:f>'Transformaciones'!C215</x:f>
        <x:v>-0.0005692763239384391</x:v>
      </x:c>
      <x:c r="C222" s="98" t="n">
        <x:f>$B$6</x:f>
        <x:v>-0.0005941980394302418</x:v>
      </x:c>
      <x:c r="D222" s="98" t="n">
        <x:f>$B$7*'Transformaciones'!E215</x:f>
        <x:v>0.0019400124690272921</x:v>
      </x:c>
      <x:c r="E222" s="98" t="n">
        <x:f>$B$11*'Transformaciones'!M215</x:f>
        <x:v>0.004099130507603835</x:v>
      </x:c>
      <x:c r="F222" s="98" t="n">
        <x:f>$B$12*'Transformaciones'!O215</x:f>
        <x:v>-0.00039342839125092107</x:v>
      </x:c>
      <x:c r="G222" s="98" t="n">
        <x:f>$B$8*'Transformaciones'!G214</x:f>
        <x:v>-0.0005081160914104668</x:v>
      </x:c>
      <x:c r="H222" s="98" t="n">
        <x:f>$B$9*'Transformaciones'!I214</x:f>
        <x:v>-0.0006129184808074373</x:v>
      </x:c>
      <x:c r="I222" s="98" t="n">
        <x:f>$B$10*'Transformaciones'!K214</x:f>
        <x:v>-0.0018426677577589045</x:v>
      </x:c>
      <x:c r="J222" s="98" t="n">
        <x:f>$B$13*'Transformaciones'!P215</x:f>
        <x:v>0</x:v>
      </x:c>
      <x:c r="K222" s="109" t="n">
        <x:f>SUM(C222:J222)</x:f>
        <x:v>0.0020878142159731555</x:v>
      </x:c>
      <x:c r="L222" s="109" t="n">
        <x:f>B222-K222</x:f>
        <x:v>-0.0026570905399115946</x:v>
      </x:c>
      <x:c r="M222" s="94" t="n">
        <x:f>'Datos_fuente'!B215</x:f>
        <x:v>4540.089032</x:v>
      </x:c>
      <x:c r="N222" s="94" t="n">
        <x:f>EXP('Transformaciones'!B214+K222)</x:f>
        <x:v>4552.168500631311</x:v>
      </x:c>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t="str">
        <x:f>'Transformaciones'!A216</x:f>
        <x:v>2023-06</x:v>
      </x:c>
      <x:c r="B223" s="98" t="n">
        <x:f>'Transformaciones'!C216</x:f>
        <x:v>-0.07565786159077881</x:v>
      </x:c>
      <x:c r="C223" s="98" t="n">
        <x:f>$B$6</x:f>
        <x:v>-0.0005941980394302418</x:v>
      </x:c>
      <x:c r="D223" s="98" t="n">
        <x:f>$B$7*'Transformaciones'!E216</x:f>
        <x:v>0.0024875233825145428</x:v>
      </x:c>
      <x:c r="E223" s="98" t="n">
        <x:f>$B$11*'Transformaciones'!M216</x:f>
        <x:v>-0.0035454838253319984</x:v>
      </x:c>
      <x:c r="F223" s="98" t="n">
        <x:f>$B$12*'Transformaciones'!O216</x:f>
        <x:v>-0.008848337321868417</x:v>
      </x:c>
      <x:c r="G223" s="98" t="n">
        <x:f>$B$8*'Transformaciones'!G215</x:f>
        <x:v>0.0010122206822414156</x:v>
      </x:c>
      <x:c r="H223" s="98" t="n">
        <x:f>$B$9*'Transformaciones'!I215</x:f>
        <x:v>-0.00011811449993644619</x:v>
      </x:c>
      <x:c r="I223" s="98" t="n">
        <x:f>$B$10*'Transformaciones'!K215</x:f>
        <x:v>-0.0009727966267218645</x:v>
      </x:c>
      <x:c r="J223" s="98" t="n">
        <x:f>$B$13*'Transformaciones'!P216</x:f>
        <x:v>0</x:v>
      </x:c>
      <x:c r="K223" s="109" t="n">
        <x:f>SUM(C223:J223)</x:f>
        <x:v>-0.01057918624853301</x:v>
      </x:c>
      <x:c r="L223" s="109" t="n">
        <x:f>B223-K223</x:f>
        <x:v>-0.0650786753422458</x:v>
      </x:c>
      <x:c r="M223" s="94" t="n">
        <x:f>'Datos_fuente'!B216</x:f>
        <x:v>4209.268</x:v>
      </x:c>
      <x:c r="N223" s="94" t="n">
        <x:f>EXP('Transformaciones'!B215+K223)</x:f>
        <x:v>4492.311752513291</x:v>
      </x:c>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t="str">
        <x:f>'Transformaciones'!A217</x:f>
        <x:v>2023-07</x:v>
      </x:c>
      <x:c r="B224" s="98" t="n">
        <x:f>'Transformaciones'!C217</x:f>
        <x:v>-0.033834096567050054</x:v>
      </x:c>
      <x:c r="C224" s="98" t="n">
        <x:f>$B$6</x:f>
        <x:v>-0.0005941980394302418</x:v>
      </x:c>
      <x:c r="D224" s="98" t="n">
        <x:f>$B$7*'Transformaciones'!E217</x:f>
        <x:v>0.000047026714152322965</x:v>
      </x:c>
      <x:c r="E224" s="98" t="n">
        <x:f>$B$11*'Transformaciones'!M217</x:f>
        <x:v>-0.013401962435248235</x:v>
      </x:c>
      <x:c r="F224" s="98" t="n">
        <x:f>$B$12*'Transformaciones'!O217</x:f>
        <x:v>-0.00019444489340761137</x:v>
      </x:c>
      <x:c r="G224" s="98" t="n">
        <x:f>$B$8*'Transformaciones'!G216</x:f>
        <x:v>-0.0010689855196578356</x:v>
      </x:c>
      <x:c r="H224" s="98" t="n">
        <x:f>$B$9*'Transformaciones'!I216</x:f>
        <x:v>0.00011811449993644619</x:v>
      </x:c>
      <x:c r="I224" s="98" t="n">
        <x:f>$B$10*'Transformaciones'!K216</x:f>
        <x:v>-0.0022845162903561704</x:v>
      </x:c>
      <x:c r="J224" s="98" t="n">
        <x:f>$B$13*'Transformaciones'!P217</x:f>
        <x:v>0</x:v>
      </x:c>
      <x:c r="K224" s="109" t="n">
        <x:f>SUM(C224:J224)</x:f>
        <x:v>-0.017378965964011325</x:v>
      </x:c>
      <x:c r="L224" s="109" t="n">
        <x:f>B224-K224</x:f>
        <x:v>-0.01645513060303873</x:v>
      </x:c>
      <x:c r="M224" s="94" t="n">
        <x:f>'Datos_fuente'!B217</x:f>
        <x:v>4069.233548</x:v>
      </x:c>
      <x:c r="N224" s="94" t="n">
        <x:f>EXP('Transformaciones'!B216+K224)</x:f>
        <x:v>4136.7472676322395</x:v>
      </x:c>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t="str">
        <x:f>'Transformaciones'!A218</x:f>
        <x:v>2023-08</x:v>
      </x:c>
      <x:c r="B225" s="98" t="n">
        <x:f>'Transformaciones'!C218</x:f>
        <x:v>0.00036649154375822945</x:v>
      </x:c>
      <x:c r="C225" s="98" t="n">
        <x:f>$B$6</x:f>
        <x:v>-0.0005941980394302418</x:v>
      </x:c>
      <x:c r="D225" s="98" t="n">
        <x:f>$B$7*'Transformaciones'!E218</x:f>
        <x:v>-0.006042967375774706</x:v>
      </x:c>
      <x:c r="E225" s="98" t="n">
        <x:f>$B$11*'Transformaciones'!M218</x:f>
        <x:v>0.019364748606053864</x:v>
      </x:c>
      <x:c r="F225" s="98" t="n">
        <x:f>$B$12*'Transformaciones'!O218</x:f>
        <x:v>0.004956203817813673</x:v>
      </x:c>
      <x:c r="G225" s="98" t="n">
        <x:f>$B$8*'Transformaciones'!G217</x:f>
        <x:v>-0.003616397747472597</x:v>
      </x:c>
      <x:c r="H225" s="98" t="n">
        <x:f>$B$9*'Transformaciones'!I217</x:f>
        <x:v>0.0003958431846967929</x:v>
      </x:c>
      <x:c r="I225" s="98" t="n">
        <x:f>$B$10*'Transformaciones'!K217</x:f>
        <x:v>-0.001771108987052862</x:v>
      </x:c>
      <x:c r="J225" s="98" t="n">
        <x:f>$B$13*'Transformaciones'!P218</x:f>
        <x:v>0</x:v>
      </x:c>
      <x:c r="K225" s="109" t="n">
        <x:f>SUM(C225:J225)</x:f>
        <x:v>0.012692123458833924</x:v>
      </x:c>
      <x:c r="L225" s="109" t="n">
        <x:f>B225-K225</x:f>
        <x:v>-0.012325631915075694</x:v>
      </x:c>
      <x:c r="M225" s="94" t="n">
        <x:f>'Datos_fuente'!B218</x:f>
        <x:v>4070.725161</x:v>
      </x:c>
      <x:c r="N225" s="94" t="n">
        <x:f>EXP('Transformaciones'!B217+K225)</x:f>
        <x:v>4121.20991003855</x:v>
      </x:c>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t="str">
        <x:f>'Transformaciones'!A219</x:f>
        <x:v>2023-09</x:v>
      </x:c>
      <x:c r="B226" s="98" t="n">
        <x:f>'Transformaciones'!C219</x:f>
        <x:v>-0.01639726610736858</x:v>
      </x:c>
      <x:c r="C226" s="98" t="n">
        <x:f>$B$6</x:f>
        <x:v>-0.0005941980394302418</x:v>
      </x:c>
      <x:c r="D226" s="98" t="n">
        <x:f>$B$7*'Transformaciones'!E219</x:f>
        <x:v>-0.0004292413503035912</x:v>
      </x:c>
      <x:c r="E226" s="98" t="n">
        <x:f>$B$11*'Transformaciones'!M219</x:f>
        <x:v>0.018886345655090002</x:v>
      </x:c>
      <x:c r="F226" s="98" t="n">
        <x:f>$B$12*'Transformaciones'!O219</x:f>
        <x:v>-0.0016831385711253023</x:v>
      </x:c>
      <x:c r="G226" s="98" t="n">
        <x:f>$B$8*'Transformaciones'!G218</x:f>
        <x:v>0.003348715391634229</x:v>
      </x:c>
      <x:c r="H226" s="98" t="n">
        <x:f>$B$9*'Transformaciones'!I218</x:f>
        <x:v>0.0020781767196582156</x:v>
      </x:c>
      <x:c r="I226" s="98" t="n">
        <x:f>$B$10*'Transformaciones'!K218</x:f>
        <x:v>-0.0014295335701039504</x:v>
      </x:c>
      <x:c r="J226" s="98" t="n">
        <x:f>$B$13*'Transformaciones'!P219</x:f>
        <x:v>0</x:v>
      </x:c>
      <x:c r="K226" s="109" t="n">
        <x:f>SUM(C226:J226)</x:f>
        <x:v>0.020177126235419358</x:v>
      </x:c>
      <x:c r="L226" s="109" t="n">
        <x:f>B226-K226</x:f>
        <x:v>-0.036574392342787934</x:v>
      </x:c>
      <x:c r="M226" s="94" t="n">
        <x:f>'Datos_fuente'!B219</x:f>
        <x:v>4004.520667</x:v>
      </x:c>
      <x:c r="N226" s="94" t="n">
        <x:f>EXP('Transformaciones'!B218+K226)</x:f>
        <x:v>4153.69492732384</x:v>
      </x:c>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t="str">
        <x:f>'Transformaciones'!A220</x:f>
        <x:v>2023-10</x:v>
      </x:c>
      <x:c r="B227" s="98" t="n">
        <x:f>'Transformaciones'!C220</x:f>
        <x:v>0.0529876660082067</x:v>
      </x:c>
      <x:c r="C227" s="98" t="n">
        <x:f>$B$6</x:f>
        <x:v>-0.0005941980394302418</x:v>
      </x:c>
      <x:c r="D227" s="98" t="n">
        <x:f>$B$7*'Transformaciones'!E220</x:f>
        <x:v>0.0010256523758165376</x:v>
      </x:c>
      <x:c r="E227" s="98" t="n">
        <x:f>$B$11*'Transformaciones'!M220</x:f>
        <x:v>0.019255134874057486</x:v>
      </x:c>
      <x:c r="F227" s="98" t="n">
        <x:f>$B$12*'Transformaciones'!O220</x:f>
        <x:v>0.008399912003870734</x:v>
      </x:c>
      <x:c r="G227" s="98" t="n">
        <x:f>$B$8*'Transformaciones'!G219</x:f>
        <x:v>0.003647560885654602</x:v>
      </x:c>
      <x:c r="H227" s="98" t="n">
        <x:f>$B$9*'Transformaciones'!I219</x:f>
        <x:v>0</x:v>
      </x:c>
      <x:c r="I227" s="98" t="n">
        <x:f>$B$10*'Transformaciones'!K219</x:f>
        <x:v>0.001592047415204741</x:v>
      </x:c>
      <x:c r="J227" s="98" t="n">
        <x:f>$B$13*'Transformaciones'!P220</x:f>
        <x:v>0</x:v>
      </x:c>
      <x:c r="K227" s="109" t="n">
        <x:f>SUM(C227:J227)</x:f>
        <x:v>0.033326109515173855</x:v>
      </x:c>
      <x:c r="L227" s="109" t="n">
        <x:f>B227-K227</x:f>
        <x:v>0.019661556493032847</x:v>
      </x:c>
      <x:c r="M227" s="94" t="n">
        <x:f>'Datos_fuente'!B220</x:f>
        <x:v>4222.433226</x:v>
      </x:c>
      <x:c r="N227" s="94" t="n">
        <x:f>EXP('Transformaciones'!B219+K227)</x:f>
        <x:v>4140.224441238891</x:v>
      </x:c>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t="str">
        <x:f>'Transformaciones'!A221</x:f>
        <x:v>2023-11</x:v>
      </x:c>
      <x:c r="B228" s="98" t="n">
        <x:f>'Transformaciones'!C221</x:f>
        <x:v>-0.04446278203181642</x:v>
      </x:c>
      <x:c r="C228" s="98" t="n">
        <x:f>$B$6</x:f>
        <x:v>-0.0005941980394302418</x:v>
      </x:c>
      <x:c r="D228" s="98" t="n">
        <x:f>$B$7*'Transformaciones'!E221</x:f>
        <x:v>0.009498833661480615</x:v>
      </x:c>
      <x:c r="E228" s="98" t="n">
        <x:f>$B$11*'Transformaciones'!M221</x:f>
        <x:v>-0.023699378020194443</x:v>
      </x:c>
      <x:c r="F228" s="98" t="n">
        <x:f>$B$12*'Transformaciones'!O221</x:f>
        <x:v>-0.01143497550634748</x:v>
      </x:c>
      <x:c r="G228" s="98" t="n">
        <x:f>$B$8*'Transformaciones'!G220</x:f>
        <x:v>-0.00023858588889010376</x:v>
      </x:c>
      <x:c r="H228" s="98" t="n">
        <x:f>$B$9*'Transformaciones'!I220</x:f>
        <x:v>0</x:v>
      </x:c>
      <x:c r="I228" s="98" t="n">
        <x:f>$B$10*'Transformaciones'!K220</x:f>
        <x:v>0.0017479247238470616</x:v>
      </x:c>
      <x:c r="J228" s="98" t="n">
        <x:f>$B$13*'Transformaciones'!P221</x:f>
        <x:v>0</x:v>
      </x:c>
      <x:c r="K228" s="109" t="n">
        <x:f>SUM(C228:J228)</x:f>
        <x:v>-0.024720379069534594</x:v>
      </x:c>
      <x:c r="L228" s="109" t="n">
        <x:f>B228-K228</x:f>
        <x:v>-0.019742402962281823</x:v>
      </x:c>
      <x:c r="M228" s="94" t="n">
        <x:f>'Datos_fuente'!B221</x:f>
        <x:v>4038.804667</x:v>
      </x:c>
      <x:c r="N228" s="94" t="n">
        <x:f>EXP('Transformaciones'!B220+K228)</x:f>
        <x:v>4119.332668803413</x:v>
      </x:c>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t="str">
        <x:f>'Transformaciones'!A222</x:f>
        <x:v>2023-12</x:v>
      </x:c>
      <x:c r="B229" s="98" t="n">
        <x:f>'Transformaciones'!C222</x:f>
        <x:v>-0.022687279122097337</x:v>
      </x:c>
      <x:c r="C229" s="98" t="n">
        <x:f>$B$6</x:f>
        <x:v>-0.0005941980394302418</x:v>
      </x:c>
      <x:c r="D229" s="98" t="n">
        <x:f>$B$7*'Transformaciones'!E222</x:f>
        <x:v>-0.003924521867149125</x:v>
      </x:c>
      <x:c r="E229" s="98" t="n">
        <x:f>$B$11*'Transformaciones'!M222</x:f>
        <x:v>-0.014688928516338809</x:v>
      </x:c>
      <x:c r="F229" s="98" t="n">
        <x:f>$B$12*'Transformaciones'!O222</x:f>
        <x:v>-0.003734872369906952</x:v>
      </x:c>
      <x:c r="G229" s="98" t="n">
        <x:f>$B$8*'Transformaciones'!G221</x:f>
        <x:v>0.0020571679572235686</x:v>
      </x:c>
      <x:c r="H229" s="98" t="n">
        <x:f>$B$9*'Transformaciones'!I221</x:f>
        <x:v>0</x:v>
      </x:c>
      <x:c r="I229" s="98" t="n">
        <x:f>$B$10*'Transformaciones'!K221</x:f>
        <x:v>0.0023080206155535595</x:v>
      </x:c>
      <x:c r="J229" s="98" t="n">
        <x:f>$B$13*'Transformaciones'!P222</x:f>
        <x:v>0</x:v>
      </x:c>
      <x:c r="K229" s="109" t="n">
        <x:f>SUM(C229:J229)</x:f>
        <x:v>-0.018577332220048</x:v>
      </x:c>
      <x:c r="L229" s="109" t="n">
        <x:f>B229-K229</x:f>
        <x:v>-0.004109946902049338</x:v>
      </x:c>
      <x:c r="M229" s="94" t="n">
        <x:f>'Datos_fuente'!B222</x:f>
        <x:v>3948.206774</x:v>
      </x:c>
      <x:c r="N229" s="94" t="n">
        <x:f>EXP('Transformaciones'!B221+K229)</x:f>
        <x:v>3964.4670858199092</x:v>
      </x:c>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t="str">
        <x:f>'Transformaciones'!A223</x:f>
        <x:v>2024-01</x:v>
      </x:c>
      <x:c r="B230" s="98" t="n">
        <x:f>'Transformaciones'!C223</x:f>
        <x:v>-0.008395410345380938</x:v>
      </x:c>
      <x:c r="C230" s="98" t="n">
        <x:f>$B$6</x:f>
        <x:v>-0.0005941980394302418</x:v>
      </x:c>
      <x:c r="D230" s="98" t="n">
        <x:f>$B$7*'Transformaciones'!E223</x:f>
        <x:v>-0.0020775048064569164</x:v>
      </x:c>
      <x:c r="E230" s="98" t="n">
        <x:f>$B$11*'Transformaciones'!M223</x:f>
        <x:v>0.004186210658783595</x:v>
      </x:c>
      <x:c r="F230" s="98" t="n">
        <x:f>$B$12*'Transformaciones'!O223</x:f>
        <x:v>0.0019697621937147486</x:v>
      </x:c>
      <x:c r="G230" s="98" t="n">
        <x:f>$B$8*'Transformaciones'!G222</x:f>
        <x:v>0.0017960132069990609</x:v>
      </x:c>
      <x:c r="H230" s="98" t="n">
        <x:f>$B$9*'Transformaciones'!I222</x:f>
        <x:v>0.0009576851287356519</x:v>
      </x:c>
      <x:c r="I230" s="98" t="n">
        <x:f>$B$10*'Transformaciones'!K222</x:f>
        <x:v>0.00032235215486664065</x:v>
      </x:c>
      <x:c r="J230" s="98" t="n">
        <x:f>$B$13*'Transformaciones'!P223</x:f>
        <x:v>0</x:v>
      </x:c>
      <x:c r="K230" s="109" t="n">
        <x:f>SUM(C230:J230)</x:f>
        <x:v>0.006560320497212539</x:v>
      </x:c>
      <x:c r="L230" s="109" t="n">
        <x:f>B230-K230</x:f>
        <x:v>-0.014955730842593478</x:v>
      </x:c>
      <x:c r="M230" s="94" t="n">
        <x:f>'Datos_fuente'!B223</x:f>
        <x:v>3915.19871</x:v>
      </x:c>
      <x:c r="N230" s="94" t="n">
        <x:f>EXP('Transformaciones'!B222+K230)</x:f>
        <x:v>3974.193422999119</x:v>
      </x:c>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t="str">
        <x:f>'Transformaciones'!A224</x:f>
        <x:v>2024-02</x:v>
      </x:c>
      <x:c r="B231" s="98" t="n">
        <x:f>'Transformaciones'!C224</x:f>
        <x:v>0.004139335999093774</x:v>
      </x:c>
      <x:c r="C231" s="98" t="n">
        <x:f>$B$6</x:f>
        <x:v>-0.0005941980394302418</x:v>
      </x:c>
      <x:c r="D231" s="98" t="n">
        <x:f>$B$7*'Transformaciones'!E224</x:f>
        <x:v>0.0005219712878890047</x:v>
      </x:c>
      <x:c r="E231" s="98" t="n">
        <x:f>$B$11*'Transformaciones'!M224</x:f>
        <x:v>0.008859483914916094</x:v>
      </x:c>
      <x:c r="F231" s="98" t="n">
        <x:f>$B$12*'Transformaciones'!O224</x:f>
        <x:v>0.0016593027156325605</x:v>
      </x:c>
      <x:c r="G231" s="98" t="n">
        <x:f>$B$8*'Transformaciones'!G223</x:f>
        <x:v>0.0034792135376125444</x:v>
      </x:c>
      <x:c r="H231" s="98" t="n">
        <x:f>$B$9*'Transformaciones'!I223</x:f>
        <x:v>0.0015163347756193565</x:v>
      </x:c>
      <x:c r="I231" s="98" t="n">
        <x:f>$B$10*'Transformaciones'!K223</x:f>
        <x:v>-0.00019651372273207524</x:v>
      </x:c>
      <x:c r="J231" s="98" t="n">
        <x:f>$B$13*'Transformaciones'!P224</x:f>
        <x:v>0</x:v>
      </x:c>
      <x:c r="K231" s="109" t="n">
        <x:f>SUM(C231:J231)</x:f>
        <x:v>0.015245594469507243</x:v>
      </x:c>
      <x:c r="L231" s="109" t="n">
        <x:f>B231-K231</x:f>
        <x:v>-0.01110625847041347</x:v>
      </x:c>
      <x:c r="M231" s="94" t="n">
        <x:f>'Datos_fuente'!B224</x:f>
        <x:v>3931.438621</x:v>
      </x:c>
      <x:c r="N231" s="94" t="n">
        <x:f>EXP('Transformaciones'!B223+K231)</x:f>
        <x:v>3975.3455640925927</x:v>
      </x:c>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t="str">
        <x:f>'Transformaciones'!A225</x:f>
        <x:v>2024-03</x:v>
      </x:c>
      <x:c r="B232" s="98" t="n">
        <x:f>'Transformaciones'!C225</x:f>
        <x:v>-0.008197781349837285</x:v>
      </x:c>
      <x:c r="C232" s="98" t="n">
        <x:f>$B$6</x:f>
        <x:v>-0.0005941980394302418</x:v>
      </x:c>
      <x:c r="D232" s="98" t="n">
        <x:f>$B$7*'Transformaciones'!E225</x:f>
        <x:v>-0.0009231579389512793</x:v>
      </x:c>
      <x:c r="E232" s="98" t="n">
        <x:f>$B$11*'Transformaciones'!M225</x:f>
        <x:v>-0.004293321684302964</x:v>
      </x:c>
      <x:c r="F232" s="98" t="n">
        <x:f>$B$12*'Transformaciones'!O225</x:f>
        <x:v>-0.0005331886964720705</x:v>
      </x:c>
      <x:c r="G232" s="98" t="n">
        <x:f>$B$8*'Transformaciones'!G224</x:f>
        <x:v>0.002189368669726552</x:v>
      </x:c>
      <x:c r="H232" s="98" t="n">
        <x:f>$B$9*'Transformaciones'!I224</x:f>
        <x:v>0.0024740199043550085</x:v>
      </x:c>
      <x:c r="I232" s="98" t="n">
        <x:f>$B$10*'Transformaciones'!K224</x:f>
        <x:v>0.0007495438878551429</x:v>
      </x:c>
      <x:c r="J232" s="98" t="n">
        <x:f>$B$13*'Transformaciones'!P225</x:f>
        <x:v>0</x:v>
      </x:c>
      <x:c r="K232" s="109" t="n">
        <x:f>SUM(C232:J232)</x:f>
        <x:v>-0.0009309338972198531</x:v>
      </x:c>
      <x:c r="L232" s="109" t="n">
        <x:f>B232-K232</x:f>
        <x:v>-0.007266847452617432</x:v>
      </x:c>
      <x:c r="M232" s="94" t="n">
        <x:f>'Datos_fuente'!B225</x:f>
        <x:v>3899.34129</x:v>
      </x:c>
      <x:c r="N232" s="94" t="n">
        <x:f>EXP('Transformaciones'!B224+K232)</x:f>
        <x:v>3927.7804145612595</x:v>
      </x:c>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t="str">
        <x:f>'Transformaciones'!A226</x:f>
        <x:v>2024-04</x:v>
      </x:c>
      <x:c r="B233" s="98" t="n">
        <x:f>'Transformaciones'!C226</x:f>
        <x:v>-0.008076438497193195</x:v>
      </x:c>
      <x:c r="C233" s="98" t="n">
        <x:f>$B$6</x:f>
        <x:v>-0.0005941980394302418</x:v>
      </x:c>
      <x:c r="D233" s="98" t="n">
        <x:f>$B$7*'Transformaciones'!E226</x:f>
        <x:v>-0.0024187800281351497</x:v>
      </x:c>
      <x:c r="E233" s="98" t="n">
        <x:f>$B$11*'Transformaciones'!M226</x:f>
        <x:v>0.015580731601976022</x:v>
      </x:c>
      <x:c r="F233" s="98" t="n">
        <x:f>$B$12*'Transformaciones'!O226</x:f>
        <x:v>0.00603784767564408</x:v>
      </x:c>
      <x:c r="G233" s="98" t="n">
        <x:f>$B$8*'Transformaciones'!G225</x:f>
        <x:v>0.0009591633012199174</x:v>
      </x:c>
      <x:c r="H233" s="98" t="n">
        <x:f>$B$9*'Transformaciones'!I225</x:f>
        <x:v>0.0009576851287356519</x:v>
      </x:c>
      <x:c r="I233" s="98" t="n">
        <x:f>$B$10*'Transformaciones'!K225</x:f>
        <x:v>-0.0013387964464714808</x:v>
      </x:c>
      <x:c r="J233" s="98" t="n">
        <x:f>$B$13*'Transformaciones'!P226</x:f>
        <x:v>0</x:v>
      </x:c>
      <x:c r="K233" s="109" t="n">
        <x:f>SUM(C233:J233)</x:f>
        <x:v>0.019183653193538795</x:v>
      </x:c>
      <x:c r="L233" s="109" t="n">
        <x:f>B233-K233</x:f>
        <x:v>-0.02726009169073199</x:v>
      </x:c>
      <x:c r="M233" s="94" t="n">
        <x:f>'Datos_fuente'!B226</x:f>
        <x:v>3867.975333</x:v>
      </x:c>
      <x:c r="N233" s="94" t="n">
        <x:f>EXP('Transformaciones'!B225+K233)</x:f>
        <x:v>3974.867014456184</x:v>
      </x:c>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t="str">
        <x:f>'Transformaciones'!A227</x:f>
        <x:v>2024-05</x:v>
      </x:c>
      <x:c r="B234" s="98" t="n">
        <x:f>'Transformaciones'!C227</x:f>
        <x:v>0.0002908881885446135</x:v>
      </x:c>
      <x:c r="C234" s="98" t="n">
        <x:f>$B$6</x:f>
        <x:v>-0.0005941980394302418</x:v>
      </x:c>
      <x:c r="D234" s="98" t="n">
        <x:f>$B$7*'Transformaciones'!E227</x:f>
        <x:v>0.004186804754187558</x:v>
      </x:c>
      <x:c r="E234" s="98" t="n">
        <x:f>$B$11*'Transformaciones'!M227</x:f>
        <x:v>-0.0029720413082542554</x:v>
      </x:c>
      <x:c r="F234" s="98" t="n">
        <x:f>$B$12*'Transformaciones'!O227</x:f>
        <x:v>-0.008121135956584634</x:v>
      </x:c>
      <x:c r="G234" s="98" t="n">
        <x:f>$B$8*'Transformaciones'!G226</x:f>
        <x:v>0.005106584829985509</x:v>
      </x:c>
      <x:c r="H234" s="98" t="n">
        <x:f>$B$9*'Transformaciones'!I226</x:f>
        <x:v>0.003990354679974365</x:v>
      </x:c>
      <x:c r="I234" s="98" t="n">
        <x:f>$B$10*'Transformaciones'!K226</x:f>
        <x:v>0.00704049937309341</x:v>
      </x:c>
      <x:c r="J234" s="98" t="n">
        <x:f>$B$13*'Transformaciones'!P227</x:f>
        <x:v>0</x:v>
      </x:c>
      <x:c r="K234" s="109" t="n">
        <x:f>SUM(C234:J234)</x:f>
        <x:v>0.00863686833297171</x:v>
      </x:c>
      <x:c r="L234" s="109" t="n">
        <x:f>B234-K234</x:f>
        <x:v>-0.008345980144427096</x:v>
      </x:c>
      <x:c r="M234" s="94" t="n">
        <x:f>'Datos_fuente'!B227</x:f>
        <x:v>3869.100645</x:v>
      </x:c>
      <x:c r="N234" s="94" t="n">
        <x:f>EXP('Transformaciones'!B226+K234)</x:f>
        <x:v>3901.5272096688805</x:v>
      </x:c>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t="str">
        <x:f>'Transformaciones'!A228</x:f>
        <x:v>2024-06</x:v>
      </x:c>
      <x:c r="B235" s="98" t="n">
        <x:f>'Transformaciones'!C228</x:f>
        <x:v>0.043914690596396966</x:v>
      </x:c>
      <x:c r="C235" s="98" t="n">
        <x:f>$B$6</x:f>
        <x:v>-0.0005941980394302418</x:v>
      </x:c>
      <x:c r="D235" s="98" t="n">
        <x:f>$B$7*'Transformaciones'!E228</x:f>
        <x:v>-0.004799987402219761</x:v>
      </x:c>
      <x:c r="E235" s="98" t="n">
        <x:f>$B$11*'Transformaciones'!M228</x:f>
        <x:v>0.019216818972258486</x:v>
      </x:c>
      <x:c r="F235" s="98" t="n">
        <x:f>$B$12*'Transformaciones'!O228</x:f>
        <x:v>-0.0011682334235751939</x:v>
      </x:c>
      <x:c r="G235" s="98" t="n">
        <x:f>$B$8*'Transformaciones'!G227</x:f>
        <x:v>0.0021690026017726657</x:v>
      </x:c>
      <x:c r="H235" s="98" t="n">
        <x:f>$B$9*'Transformaciones'!I227</x:f>
        <x:v>0.004788425623886099</x:v>
      </x:c>
      <x:c r="I235" s="98" t="n">
        <x:f>$B$10*'Transformaciones'!K227</x:f>
        <x:v>0.001367695859227602</x:v>
      </x:c>
      <x:c r="J235" s="98" t="n">
        <x:f>$B$13*'Transformaciones'!P228</x:f>
        <x:v>0</x:v>
      </x:c>
      <x:c r="K235" s="109" t="n">
        <x:f>SUM(C235:J235)</x:f>
        <x:v>0.020979524191919653</x:v>
      </x:c>
      <x:c r="L235" s="109" t="n">
        <x:f>B235-K235</x:f>
        <x:v>0.022935166404477313</x:v>
      </x:c>
      <x:c r="M235" s="94" t="n">
        <x:f>'Datos_fuente'!B228</x:f>
        <x:v>4042.797</x:v>
      </x:c>
      <x:c r="N235" s="94" t="n">
        <x:f>EXP('Transformaciones'!B227+K235)</x:f>
        <x:v>3951.1299952712216</x:v>
      </x:c>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t="str">
        <x:f>'Transformaciones'!A229</x:f>
        <x:v>2024-07</x:v>
      </x:c>
      <x:c r="B236" s="98" t="n">
        <x:f>'Transformaciones'!C229</x:f>
        <x:v>-0.0014542748535451011</x:v>
      </x:c>
      <x:c r="C236" s="98" t="n">
        <x:f>$B$6</x:f>
        <x:v>-0.0005941980394302418</x:v>
      </x:c>
      <x:c r="D236" s="98" t="n">
        <x:f>$B$7*'Transformaciones'!E229</x:f>
        <x:v>0.0005491338746936331</x:v>
      </x:c>
      <x:c r="E236" s="98" t="n">
        <x:f>$B$11*'Transformaciones'!M229</x:f>
        <x:v>-0.0033740525541103524</x:v>
      </x:c>
      <x:c r="F236" s="98" t="n">
        <x:f>$B$12*'Transformaciones'!O229</x:f>
        <x:v>0.004849336367944527</x:v>
      </x:c>
      <x:c r="G236" s="98" t="n">
        <x:f>$B$8*'Transformaciones'!G228</x:f>
        <x:v>0.0060263515547039495</x:v>
      </x:c>
      <x:c r="H236" s="98" t="n">
        <x:f>$B$9*'Transformaciones'!I228</x:f>
        <x:v>0.0001596141848239181</x:v>
      </x:c>
      <x:c r="I236" s="98" t="n">
        <x:f>$B$10*'Transformaciones'!K228</x:f>
        <x:v>0.0026396297592742677</x:v>
      </x:c>
      <x:c r="J236" s="98" t="n">
        <x:f>$B$13*'Transformaciones'!P229</x:f>
        <x:v>0</x:v>
      </x:c>
      <x:c r="K236" s="109" t="n">
        <x:f>SUM(C236:J236)</x:f>
        <x:v>0.010255815147899701</x:v>
      </x:c>
      <x:c r="L236" s="109" t="n">
        <x:f>B236-K236</x:f>
        <x:v>-0.011710090001444802</x:v>
      </x:c>
      <x:c r="M236" s="94" t="n">
        <x:f>'Datos_fuente'!B229</x:f>
        <x:v>4036.921935</x:v>
      </x:c>
      <x:c r="N236" s="94" t="n">
        <x:f>EXP('Transformaciones'!B228+K236)</x:f>
        <x:v>4084.47252164421</x:v>
      </x:c>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t="str">
        <x:f>'Transformaciones'!A230</x:f>
        <x:v>2024-08</x:v>
      </x:c>
      <x:c r="B237" s="98" t="n">
        <x:f>'Transformaciones'!C230</x:f>
        <x:v>0.007065658196761859</x:v>
      </x:c>
      <x:c r="C237" s="98" t="n">
        <x:f>$B$6</x:f>
        <x:v>-0.0005941980394302418</x:v>
      </x:c>
      <x:c r="D237" s="98" t="n">
        <x:f>$B$7*'Transformaciones'!E230</x:f>
        <x:v>-0.0005809677665311162</x:v>
      </x:c>
      <x:c r="E237" s="98" t="n">
        <x:f>$B$11*'Transformaciones'!M230</x:f>
        <x:v>-0.007965872023566833</x:v>
      </x:c>
      <x:c r="F237" s="98" t="n">
        <x:f>$B$12*'Transformaciones'!O230</x:f>
        <x:v>0.011328850912085636</x:v>
      </x:c>
      <x:c r="G237" s="98" t="n">
        <x:f>$B$8*'Transformaciones'!G229</x:f>
        <x:v>0.006172970115898617</x:v>
      </x:c>
      <x:c r="H237" s="98" t="n">
        <x:f>$B$9*'Transformaciones'!I229</x:f>
        <x:v>0.004788425623886099</x:v>
      </x:c>
      <x:c r="I237" s="98" t="n">
        <x:f>$B$10*'Transformaciones'!K229</x:f>
        <x:v>0.0005406013416623815</x:v>
      </x:c>
      <x:c r="J237" s="98" t="n">
        <x:f>$B$13*'Transformaciones'!P230</x:f>
        <x:v>0</x:v>
      </x:c>
      <x:c r="K237" s="109" t="n">
        <x:f>SUM(C237:J237)</x:f>
        <x:v>0.013689810164004543</x:v>
      </x:c>
      <x:c r="L237" s="109" t="n">
        <x:f>B237-K237</x:f>
        <x:v>-0.0066241519672426835</x:v>
      </x:c>
      <x:c r="M237" s="94" t="n">
        <x:f>'Datos_fuente'!B230</x:f>
        <x:v>4065.546452</x:v>
      </x:c>
      <x:c r="N237" s="94" t="n">
        <x:f>EXP('Transformaciones'!B229+K237)</x:f>
        <x:v>4092.566643653396</x:v>
      </x:c>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t="str">
        <x:f>'Transformaciones'!A231</x:f>
        <x:v>2024-09</x:v>
      </x:c>
      <x:c r="B238" s="98" t="n">
        <x:f>'Transformaciones'!C231</x:f>
        <x:v>0.02836394008802401</x:v>
      </x:c>
      <x:c r="C238" s="98" t="n">
        <x:f>$B$6</x:f>
        <x:v>-0.0005941980394302418</x:v>
      </x:c>
      <x:c r="D238" s="98" t="n">
        <x:f>$B$7*'Transformaciones'!E231</x:f>
        <x:v>0.0024356601042432426</x:v>
      </x:c>
      <x:c r="E238" s="98" t="n">
        <x:f>$B$11*'Transformaciones'!M231</x:f>
        <x:v>-0.0075995941060350205</x:v>
      </x:c>
      <x:c r="F238" s="98" t="n">
        <x:f>$B$12*'Transformaciones'!O231</x:f>
        <x:v>-0.003423670692441971</x:v>
      </x:c>
      <x:c r="G238" s="98" t="n">
        <x:f>$B$8*'Transformaciones'!G230</x:f>
        <x:v>0.003005106926009656</x:v>
      </x:c>
      <x:c r="H238" s="98" t="n">
        <x:f>$B$9*'Transformaciones'!I230</x:f>
        <x:v>0.005107653993533935</x:v>
      </x:c>
      <x:c r="I238" s="98" t="n">
        <x:f>$B$10*'Transformaciones'!K230</x:f>
        <x:v>0.001681712834035434</x:v>
      </x:c>
      <x:c r="J238" s="98" t="n">
        <x:f>$B$13*'Transformaciones'!P231</x:f>
        <x:v>0</x:v>
      </x:c>
      <x:c r="K238" s="109" t="n">
        <x:f>SUM(C238:J238)</x:f>
        <x:v>0.0006126710199150355</x:v>
      </x:c>
      <x:c r="L238" s="109" t="n">
        <x:f>B238-K238</x:f>
        <x:v>0.027751269068108972</x:v>
      </x:c>
      <x:c r="M238" s="94" t="n">
        <x:f>'Datos_fuente'!B231</x:f>
        <x:v>4182.512333</x:v>
      </x:c>
      <x:c r="N238" s="94" t="n">
        <x:f>EXP('Transformaciones'!B230+K238)</x:f>
        <x:v>4068.038057680621</x:v>
      </x:c>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t="str">
        <x:f>'Transformaciones'!A232</x:f>
        <x:v>2024-10</x:v>
      </x:c>
      <x:c r="B239" s="98" t="n">
        <x:f>'Transformaciones'!C232</x:f>
        <x:v>0.01588216668817033</x:v>
      </x:c>
      <x:c r="C239" s="98" t="n">
        <x:f>$B$6</x:f>
        <x:v>-0.0005941980394302418</x:v>
      </x:c>
      <x:c r="D239" s="98" t="n">
        <x:f>$B$7*'Transformaciones'!E232</x:f>
        <x:v>-0.0025883219858914624</x:v>
      </x:c>
      <x:c r="E239" s="98" t="n">
        <x:f>$B$11*'Transformaciones'!M232</x:f>
        <x:v>0.017762471329282385</x:v>
      </x:c>
      <x:c r="F239" s="98" t="n">
        <x:f>$B$12*'Transformaciones'!O232</x:f>
        <x:v>0.004690835516316933</x:v>
      </x:c>
      <x:c r="G239" s="98" t="n">
        <x:f>$B$8*'Transformaciones'!G231</x:f>
        <x:v>0.0038174800384994895</x:v>
      </x:c>
      <x:c r="H239" s="98" t="n">
        <x:f>$B$9*'Transformaciones'!I231</x:f>
        <x:v>-0.0019792159234840083</x:v>
      </x:c>
      <x:c r="I239" s="98" t="n">
        <x:f>$B$10*'Transformaciones'!K231</x:f>
        <x:v>-0.0007002549424609344</x:v>
      </x:c>
      <x:c r="J239" s="98" t="n">
        <x:f>$B$13*'Transformaciones'!P232</x:f>
        <x:v>0</x:v>
      </x:c>
      <x:c r="K239" s="109" t="n">
        <x:f>SUM(C239:J239)</x:f>
        <x:v>0.020408795992832164</x:v>
      </x:c>
      <x:c r="L239" s="109" t="n">
        <x:f>B239-K239</x:f>
        <x:v>-0.004526629304661835</x:v>
      </x:c>
      <x:c r="M239" s="94" t="n">
        <x:f>'Datos_fuente'!B232</x:f>
        <x:v>4249.47</x:v>
      </x:c>
      <x:c r="N239" s="94" t="n">
        <x:f>EXP('Transformaciones'!B231+K239)</x:f>
        <x:v>4268.749377809443</x:v>
      </x:c>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t="str">
        <x:f>'Transformaciones'!A233</x:f>
        <x:v>2024-11</x:v>
      </x:c>
      <x:c r="B240" s="98" t="n">
        <x:f>'Transformaciones'!C233</x:f>
        <x:v>0.03677478005398527</x:v>
      </x:c>
      <x:c r="C240" s="98" t="n">
        <x:f>$B$6</x:f>
        <x:v>-0.0005941980394302418</x:v>
      </x:c>
      <x:c r="D240" s="98" t="n">
        <x:f>$B$7*'Transformaciones'!E233</x:f>
        <x:v>0.00006358081848271763</x:v>
      </x:c>
      <x:c r="E240" s="98" t="n">
        <x:f>$B$11*'Transformaciones'!M233</x:f>
        <x:v>0.027706544336531785</x:v>
      </x:c>
      <x:c r="F240" s="98" t="n">
        <x:f>$B$12*'Transformaciones'!O233</x:f>
        <x:v>-0.008448258755721883</x:v>
      </x:c>
      <x:c r="G240" s="98" t="n">
        <x:f>$B$8*'Transformaciones'!G232</x:f>
        <x:v>0.0036406808197902655</x:v>
      </x:c>
      <x:c r="H240" s="98" t="n">
        <x:f>$B$9*'Transformaciones'!I232</x:f>
        <x:v>0.0019792159234840083</x:v>
      </x:c>
      <x:c r="I240" s="98" t="n">
        <x:f>$B$10*'Transformaciones'!K232</x:f>
        <x:v>0.000029117329573461186</x:v>
      </x:c>
      <x:c r="J240" s="98" t="n">
        <x:f>$B$13*'Transformaciones'!P233</x:f>
        <x:v>0</x:v>
      </x:c>
      <x:c r="K240" s="109" t="n">
        <x:f>SUM(C240:J240)</x:f>
        <x:v>0.02437668243271011</x:v>
      </x:c>
      <x:c r="L240" s="109" t="n">
        <x:f>B240-K240</x:f>
        <x:v>0.012398097621275157</x:v>
      </x:c>
      <x:c r="M240" s="94" t="n">
        <x:f>'Datos_fuente'!B233</x:f>
        <x:v>4408.652333</x:v>
      </x:c>
      <x:c r="N240" s="94" t="n">
        <x:f>EXP('Transformaciones'!B232+K240)</x:f>
        <x:v>4354.330868232462</x:v>
      </x:c>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t="str">
        <x:f>'Transformaciones'!A234</x:f>
        <x:v>2024-12</x:v>
      </x:c>
      <x:c r="B241" s="98" t="n">
        <x:f>'Transformaciones'!C234</x:f>
        <x:v>-0.005345510741495474</x:v>
      </x:c>
      <x:c r="C241" s="98" t="n">
        <x:f>$B$6</x:f>
        <x:v>-0.0005941980394302418</x:v>
      </x:c>
      <x:c r="D241" s="98" t="n">
        <x:f>$B$7*'Transformaciones'!E234</x:f>
        <x:v>-0.0025432498384007135</x:v>
      </x:c>
      <x:c r="E241" s="98" t="n">
        <x:f>$B$11*'Transformaciones'!M234</x:f>
        <x:v>0.012696047104915193</x:v>
      </x:c>
      <x:c r="F241" s="98" t="n">
        <x:f>$B$12*'Transformaciones'!O234</x:f>
        <x:v>-0.0003586781149795977</x:v>
      </x:c>
      <x:c r="G241" s="98" t="n">
        <x:f>$B$8*'Transformaciones'!G233</x:f>
        <x:v>0.0034900262961584257</x:v>
      </x:c>
      <x:c r="H241" s="98" t="n">
        <x:f>$B$9*'Transformaciones'!I233</x:f>
        <x:v>0.0030677846814002067</x:v>
      </x:c>
      <x:c r="I241" s="98" t="n">
        <x:f>$B$10*'Transformaciones'!K233</x:f>
        <x:v>0.0014617608284117104</x:v>
      </x:c>
      <x:c r="J241" s="98" t="n">
        <x:f>$B$13*'Transformaciones'!P234</x:f>
        <x:v>0</x:v>
      </x:c>
      <x:c r="K241" s="109" t="n">
        <x:f>SUM(C241:J241)</x:f>
        <x:v>0.017219492918074984</x:v>
      </x:c>
      <x:c r="L241" s="109" t="n">
        <x:f>B241-K241</x:f>
        <x:v>-0.022565003659570457</x:v>
      </x:c>
      <x:c r="M241" s="94" t="n">
        <x:f>'Datos_fuente'!B234</x:f>
        <x:v>4385.14871</x:v>
      </x:c>
      <x:c r="N241" s="94" t="n">
        <x:f>EXP('Transformaciones'!B233+K241)</x:f>
        <x:v>4485.224465240568</x:v>
      </x:c>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t="str">
        <x:f>'Transformaciones'!A235</x:f>
        <x:v>2025-01</x:v>
      </x:c>
      <x:c r="B242" s="98" t="n">
        <x:f>'Transformaciones'!C235</x:f>
        <x:v>-0.01785019775455865</x:v>
      </x:c>
      <x:c r="C242" s="98" t="n">
        <x:f>$B$6</x:f>
        <x:v>-0.0005941980394302418</x:v>
      </x:c>
      <x:c r="D242" s="98" t="n">
        <x:f>$B$7*'Transformaciones'!E235</x:f>
        <x:v>-0.002625280744383347</x:v>
      </x:c>
      <x:c r="E242" s="98" t="n">
        <x:f>$B$11*'Transformaciones'!M235</x:f>
        <x:v>0.012538453059276521</x:v>
      </x:c>
      <x:c r="F242" s="98" t="n">
        <x:f>$B$12*'Transformaciones'!O235</x:f>
        <x:v>0.002110656145510819</x:v>
      </x:c>
      <x:c r="G242" s="98" t="n">
        <x:f>$B$8*'Transformaciones'!G234</x:f>
        <x:v>0.004332470638019583</x:v>
      </x:c>
      <x:c r="H242" s="98" t="n">
        <x:f>$B$9*'Transformaciones'!I234</x:f>
        <x:v>-0.0008651088971835037</x:v>
      </x:c>
      <x:c r="I242" s="98" t="n">
        <x:f>$B$10*'Transformaciones'!K234</x:f>
        <x:v>-0.0013091016261787393</x:v>
      </x:c>
      <x:c r="J242" s="98" t="n">
        <x:f>$B$13*'Transformaciones'!P235</x:f>
        <x:v>0</x:v>
      </x:c>
      <x:c r="K242" s="109" t="n">
        <x:f>SUM(C242:J242)</x:f>
        <x:v>0.013587890535631092</x:v>
      </x:c>
      <x:c r="L242" s="109" t="n">
        <x:f>B242-K242</x:f>
        <x:v>-0.03143808829018974</x:v>
      </x:c>
      <x:c r="M242" s="94" t="n">
        <x:f>'Datos_fuente'!B235</x:f>
        <x:v>4307.567419</x:v>
      </x:c>
      <x:c r="N242" s="94" t="n">
        <x:f>EXP('Transformaciones'!B234+K242)</x:f>
        <x:v>4445.140287124043</x:v>
      </x:c>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t="str">
        <x:f>'Transformaciones'!A236</x:f>
        <x:v>2025-02</x:v>
      </x:c>
      <x:c r="B243" s="98" t="n">
        <x:f>'Transformaciones'!C236</x:f>
        <x:v>-0.0425914733289634</x:v>
      </x:c>
      <x:c r="C243" s="98" t="n">
        <x:f>$B$6</x:f>
        <x:v>-0.0005941980394302418</x:v>
      </x:c>
      <x:c r="D243" s="98" t="n">
        <x:f>$B$7*'Transformaciones'!E236</x:f>
        <x:v>0.0006970178415061285</x:v>
      </x:c>
      <x:c r="E243" s="98" t="n">
        <x:f>$B$11*'Transformaciones'!M236</x:f>
        <x:v>-0.009544176008735425</x:v>
      </x:c>
      <x:c r="F243" s="98" t="n">
        <x:f>$B$12*'Transformaciones'!O236</x:f>
        <x:v>0.0004648212518539606</x:v>
      </x:c>
      <x:c r="G243" s="98" t="n">
        <x:f>$B$8*'Transformaciones'!G235</x:f>
        <x:v>0.002251602505018613</x:v>
      </x:c>
      <x:c r="H243" s="98" t="n">
        <x:f>$B$9*'Transformaciones'!I235</x:f>
        <x:v>0.0002713441201383055</x:v>
      </x:c>
      <x:c r="I243" s="98" t="n">
        <x:f>$B$10*'Transformaciones'!K235</x:f>
        <x:v>0.0004461106689835979</x:v>
      </x:c>
      <x:c r="J243" s="98" t="n">
        <x:f>$B$13*'Transformaciones'!P236</x:f>
        <x:v>0</x:v>
      </x:c>
      <x:c r="K243" s="109" t="n">
        <x:f>SUM(C243:J243)</x:f>
        <x:v>-0.0060074776606650615</x:v>
      </x:c>
      <x:c r="L243" s="109" t="n">
        <x:f>B243-K243</x:f>
        <x:v>-0.03658399566829834</x:v>
      </x:c>
      <x:c r="M243" s="94" t="n">
        <x:f>'Datos_fuente'!B236</x:f>
        <x:v>4127.953929</x:v>
      </x:c>
      <x:c r="N243" s="94" t="n">
        <x:f>EXP('Transformaciones'!B235+K243)</x:f>
        <x:v>4281.767378136238</x:v>
      </x:c>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t="str">
        <x:f>'Transformaciones'!A237</x:f>
        <x:v>2025-03</x:v>
      </x:c>
      <x:c r="B244" s="98" t="n">
        <x:f>'Transformaciones'!C237</x:f>
        <x:v>0.0023544682143779028</x:v>
      </x:c>
      <x:c r="C244" s="98" t="n">
        <x:f>$B$6</x:f>
        <x:v>-0.0005941980394302418</x:v>
      </x:c>
      <x:c r="D244" s="98" t="n">
        <x:f>$B$7*'Transformaciones'!E237</x:f>
        <x:v>0.00040833805502694503</x:v>
      </x:c>
      <x:c r="E244" s="98" t="n">
        <x:f>$B$11*'Transformaciones'!M237</x:f>
        <x:v>-0.01637966331710522</x:v>
      </x:c>
      <x:c r="F244" s="98" t="n">
        <x:f>$B$12*'Transformaciones'!O237</x:f>
        <x:v>0.009685237991517144</x:v>
      </x:c>
      <x:c r="G244" s="98" t="n">
        <x:f>$B$8*'Transformaciones'!G236</x:f>
        <x:v>0.002711321497414161</x:v>
      </x:c>
      <x:c r="H244" s="98" t="n">
        <x:f>$B$9*'Transformaciones'!I236</x:f>
        <x:v>0</x:v>
      </x:c>
      <x:c r="I244" s="98" t="n">
        <x:f>$B$10*'Transformaciones'!K236</x:f>
        <x:v>0.0011909494001889711</x:v>
      </x:c>
      <x:c r="J244" s="98" t="n">
        <x:f>$B$13*'Transformaciones'!P237</x:f>
        <x:v>0</x:v>
      </x:c>
      <x:c r="K244" s="109" t="n">
        <x:f>SUM(C244:J244)</x:f>
        <x:v>-0.0029780144123882422</x:v>
      </x:c>
      <x:c r="L244" s="109" t="n">
        <x:f>B244-K244</x:f>
        <x:v>0.005332482626766145</x:v>
      </x:c>
      <x:c r="M244" s="94" t="n">
        <x:f>'Datos_fuente'!B237</x:f>
        <x:v>4137.684516</x:v>
      </x:c>
      <x:c r="N244" s="94" t="n">
        <x:f>EXP('Transformaciones'!B236+K244)</x:f>
        <x:v>4115.679109072761</x:v>
      </x:c>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t="str">
        <x:f>'Transformaciones'!A238</x:f>
        <x:v>2025-04</x:v>
      </x:c>
      <x:c r="B245" s="98" t="n">
        <x:f>'Transformaciones'!C238</x:f>
        <x:v>0.03387695242985522</x:v>
      </x:c>
      <x:c r="C245" s="98" t="n">
        <x:f>$B$6</x:f>
        <x:v>-0.0005941980394302418</x:v>
      </x:c>
      <x:c r="D245" s="98" t="n">
        <x:f>$B$7*'Transformaciones'!E238</x:f>
        <x:v>0.0009079494834797173</x:v>
      </x:c>
      <x:c r="E245" s="98" t="n">
        <x:f>$B$11*'Transformaciones'!M238</x:f>
        <x:v>-0.02141005144113336</x:v>
      </x:c>
      <x:c r="F245" s="98" t="n">
        <x:f>$B$12*'Transformaciones'!O238</x:f>
        <x:v>0.014610379052111355</x:v>
      </x:c>
      <x:c r="G245" s="98" t="n">
        <x:f>$B$8*'Transformaciones'!G237</x:f>
        <x:v>0.004440614357070529</x:v>
      </x:c>
      <x:c r="H245" s="98" t="n">
        <x:f>$B$9*'Transformaciones'!I237</x:f>
        <x:v>0</x:v>
      </x:c>
      <x:c r="I245" s="98" t="n">
        <x:f>$B$10*'Transformaciones'!K237</x:f>
        <x:v>0.001435451303057206</x:v>
      </x:c>
      <x:c r="J245" s="98" t="n">
        <x:f>$B$13*'Transformaciones'!P238</x:f>
        <x:v>0</x:v>
      </x:c>
      <x:c r="K245" s="109" t="n">
        <x:f>SUM(C245:J245)</x:f>
        <x:v>-0.000609855284844793</x:v>
      </x:c>
      <x:c r="L245" s="109" t="n">
        <x:f>B245-K245</x:f>
        <x:v>0.034486807714700016</x:v>
      </x:c>
      <x:c r="M245" s="94" t="n">
        <x:f>'Datos_fuente'!B238</x:f>
        <x:v>4280.258</x:v>
      </x:c>
      <x:c r="N245" s="94" t="n">
        <x:f>EXP('Transformaciones'!B237+K245)</x:f>
        <x:v>4135.161896525494</x:v>
      </x:c>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t="str">
        <x:f>'Transformaciones'!A239</x:f>
        <x:v>2025-05</x:v>
      </x:c>
      <x:c r="B246" s="98" t="n">
        <x:f>'Transformaciones'!C239</x:f>
        <x:v>-0.018125015238815934</x:v>
      </x:c>
      <x:c r="C246" s="98" t="n">
        <x:f>$B$6</x:f>
        <x:v>-0.0005941980394302418</x:v>
      </x:c>
      <x:c r="D246" s="98" t="n">
        <x:f>$B$7*'Transformaciones'!E239</x:f>
        <x:v>0.002793354431929331</x:v>
      </x:c>
      <x:c r="E246" s="98" t="n">
        <x:f>$B$11*'Transformaciones'!M239</x:f>
        <x:v>-0.018596305746062393</x:v>
      </x:c>
      <x:c r="F246" s="98" t="n">
        <x:f>$B$12*'Transformaciones'!O239</x:f>
        <x:v>-0.01711247149873969</x:v>
      </x:c>
      <x:c r="G246" s="98" t="n">
        <x:f>$B$8*'Transformaciones'!G238</x:f>
        <x:v>0.003764473305761474</x:v>
      </x:c>
      <x:c r="H246" s="98" t="n">
        <x:f>$B$9*'Transformaciones'!I238</x:f>
        <x:v>0</x:v>
      </x:c>
      <x:c r="I246" s="98" t="n">
        <x:f>$B$10*'Transformaciones'!K238</x:f>
        <x:v>-0.0013149472067370198</x:v>
      </x:c>
      <x:c r="J246" s="98" t="n">
        <x:f>$B$13*'Transformaciones'!P239</x:f>
        <x:v>0</x:v>
      </x:c>
      <x:c r="K246" s="109" t="n">
        <x:f>SUM(C246:J246)</x:f>
        <x:v>-0.031060094753278544</x:v>
      </x:c>
      <x:c r="L246" s="109" t="n">
        <x:f>B246-K246</x:f>
        <x:v>0.01293507951446261</x:v>
      </x:c>
      <x:c r="M246" s="94" t="n">
        <x:f>'Datos_fuente'!B239</x:f>
        <x:v>4203.377097</x:v>
      </x:c>
      <x:c r="N246" s="94" t="n">
        <x:f>EXP('Transformaciones'!B238+K246)</x:f>
        <x:v>4149.356215432614</x:v>
      </x:c>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t="str">
        <x:f>'Transformaciones'!A240</x:f>
        <x:v>2025-06</x:v>
      </x:c>
      <x:c r="B247" s="98" t="n">
        <x:f>'Transformaciones'!C240</x:f>
        <x:v>-0.02161767182145269</x:v>
      </x:c>
      <x:c r="C247" s="98" t="n">
        <x:f>$B$6</x:f>
        <x:v>-0.0005941980394302418</x:v>
      </x:c>
      <x:c r="D247" s="98" t="n">
        <x:f>$B$7*'Transformaciones'!E240</x:f>
        <x:v>-0.004146128403941742</x:v>
      </x:c>
      <x:c r="E247" s="98" t="n">
        <x:f>$B$11*'Transformaciones'!M240</x:f>
        <x:v>-0.018345748711455615</x:v>
      </x:c>
      <x:c r="F247" s="98" t="n">
        <x:f>$B$12*'Transformaciones'!O240</x:f>
        <x:v>-0.004068172237991944</x:v>
      </x:c>
      <x:c r="G247" s="98" t="n">
        <x:f>$B$8*'Transformaciones'!G239</x:f>
        <x:v>0.00300601672528269</x:v>
      </x:c>
      <x:c r="H247" s="98" t="n">
        <x:f>$B$9*'Transformaciones'!I239</x:f>
        <x:v>0.0023942128119430494</x:v>
      </x:c>
      <x:c r="I247" s="98" t="n">
        <x:f>$B$10*'Transformaciones'!K239</x:f>
        <x:v>0.0003930479579065636</x:v>
      </x:c>
      <x:c r="J247" s="98" t="n">
        <x:f>$B$13*'Transformaciones'!P240</x:f>
        <x:v>0</x:v>
      </x:c>
      <x:c r="K247" s="109" t="n">
        <x:f>SUM(C247:J247)</x:f>
        <x:v>-0.021360969897687238</x:v>
      </x:c>
      <x:c r="L247" s="109" t="n">
        <x:f>B247-K247</x:f>
        <x:v>-0.0002567019237654511</x:v>
      </x:c>
      <x:c r="M247" s="94" t="n">
        <x:f>'Datos_fuente'!B240</x:f>
        <x:v>4113.485</x:v>
      </x:c>
      <x:c r="N247" s="94" t="n">
        <x:f>EXP('Transformaciones'!B239+K247)</x:f>
        <x:v>4114.541075055332</x:v>
      </x:c>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t="str">
        <x:f>'Transformaciones'!A241</x:f>
        <x:v>2025-07</x:v>
      </x:c>
      <x:c r="B248" s="98" t="n">
        <x:f>'Transformaciones'!C241</x:f>
        <x:v>-0.017815934381481213</x:v>
      </x:c>
      <x:c r="C248" s="98" t="n">
        <x:f>$B$6</x:f>
        <x:v>-0.0005941980394302418</x:v>
      </x:c>
      <x:c r="D248" s="98" t="n">
        <x:f>$B$7*'Transformaciones'!E241</x:f>
        <x:v>-0.00020650556380476975</x:v>
      </x:c>
      <x:c r="E248" s="98" t="n">
        <x:f>$B$11*'Transformaciones'!M241</x:f>
        <x:v>-0.0050959520996723615</x:v>
      </x:c>
      <x:c r="F248" s="98" t="n">
        <x:f>$B$12*'Transformaciones'!O241</x:f>
        <x:v>-0.004464822780283441</x:v>
      </x:c>
      <x:c r="G248" s="98" t="n">
        <x:f>$B$8*'Transformaciones'!G240</x:f>
        <x:v>0.0014680713614532075</x:v>
      </x:c>
      <x:c r="H248" s="98" t="n">
        <x:f>$B$9*'Transformaciones'!I240</x:f>
        <x:v>0.00007980709241195906</x:v>
      </x:c>
      <x:c r="I248" s="98" t="n">
        <x:f>$B$10*'Transformaciones'!K240</x:f>
        <x:v>-0.001090982079958779</x:v>
      </x:c>
      <x:c r="J248" s="98" t="n">
        <x:f>$B$13*'Transformaciones'!P241</x:f>
        <x:v>0</x:v>
      </x:c>
      <x:c r="K248" s="109" t="n">
        <x:f>SUM(C248:J248)</x:f>
        <x:v>-0.009904582109284427</x:v>
      </x:c>
      <x:c r="L248" s="109" t="n">
        <x:f>B248-K248</x:f>
        <x:v>-0.007911352272196786</x:v>
      </x:c>
      <x:c r="M248" s="94" t="n">
        <x:f>'Datos_fuente'!B241</x:f>
        <x:v>4040.848387</x:v>
      </x:c>
      <x:c r="N248" s="94" t="n">
        <x:f>EXP('Transformaciones'!B240+K248)</x:f>
        <x:v>4072.9437535410466</x:v>
      </x:c>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t="str">
        <x:f>'Transformaciones'!A242</x:f>
        <x:v>2025-08</x:v>
      </x:c>
      <x:c r="B249" s="98" t="n">
        <x:f>'Transformaciones'!C242</x:f>
        <x:v>0.0016229021917020248</x:v>
      </x:c>
      <x:c r="C249" s="98" t="n">
        <x:f>$B$6</x:f>
        <x:v>-0.0005941980394302418</x:v>
      </x:c>
      <x:c r="D249" s="98" t="n">
        <x:f>$B$7*'Transformaciones'!E242</x:f>
        <x:v>-0.0016607543553185118</x:v>
      </x:c>
      <x:c r="E249" s="98" t="n">
        <x:f>$B$11*'Transformaciones'!M242</x:f>
        <x:v>0.004905402064473839</x:v>
      </x:c>
      <x:c r="F249" s="98" t="n">
        <x:f>$B$12*'Transformaciones'!O242</x:f>
        <x:v>-0.0015075813682382548</x:v>
      </x:c>
      <x:c r="G249" s="98" t="n">
        <x:f>$B$8*'Transformaciones'!G241</x:f>
        <x:v>0.0033065815348672437</x:v>
      </x:c>
      <x:c r="H249" s="98" t="n">
        <x:f>$B$9*'Transformaciones'!I241</x:f>
        <x:v>0</x:v>
      </x:c>
      <x:c r="I249" s="98" t="n">
        <x:f>$B$10*'Transformaciones'!K241</x:f>
        <x:v>-0.00022007659325270015</x:v>
      </x:c>
      <x:c r="J249" s="98" t="n">
        <x:f>$B$13*'Transformaciones'!P242</x:f>
        <x:v>0</x:v>
      </x:c>
      <x:c r="K249" s="109" t="n">
        <x:f>SUM(C249:J249)</x:f>
        <x:v>0.004229373243101374</x:v>
      </x:c>
      <x:c r="L249" s="109" t="n">
        <x:f>B249-K249</x:f>
        <x:v>-0.002606471051399349</x:v>
      </x:c>
      <x:c r="M249" s="94" t="n">
        <x:f>'Datos_fuente'!B242</x:f>
        <x:v>4047.411613</x:v>
      </x:c>
      <x:c r="N249" s="94" t="n">
        <x:f>EXP('Transformaciones'!B241+K249)</x:f>
        <x:v>4057.974834587751</x:v>
      </x:c>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t="str">
        <x:f>'Transformaciones'!A243</x:f>
        <x:v>2025-09</x:v>
      </x:c>
      <x:c r="B250" s="98" t="n">
        <x:f>'Transformaciones'!C243</x:f>
        <x:v>-0.031421788533361195</x:v>
      </x:c>
      <x:c r="C250" s="98" t="n">
        <x:f>$B$6</x:f>
        <x:v>-0.0005941980394302418</x:v>
      </x:c>
      <x:c r="D250" s="98" t="n">
        <x:f>$B$7*'Transformaciones'!E243</x:f>
        <x:v>-0.0011982475788563447</x:v>
      </x:c>
      <x:c r="E250" s="98" t="n">
        <x:f>$B$11*'Transformaciones'!M243</x:f>
        <x:v>-0.005793161253037335</x:v>
      </x:c>
      <x:c r="F250" s="98" t="n">
        <x:f>$B$12*'Transformaciones'!O243</x:f>
        <x:v>0.00009509140724693973</x:v>
      </x:c>
      <x:c r="G250" s="98" t="n">
        <x:f>$B$8*'Transformaciones'!G242</x:f>
        <x:v>0.0018638909243116717</x:v>
      </x:c>
      <x:c r="H250" s="98" t="n">
        <x:f>$B$9*'Transformaciones'!I242</x:f>
        <x:v>0</x:v>
      </x:c>
      <x:c r="I250" s="98" t="n">
        <x:f>$B$10*'Transformaciones'!K242</x:f>
        <x:v>-0.0013348448190007181</x:v>
      </x:c>
      <x:c r="J250" s="98" t="n">
        <x:f>$B$13*'Transformaciones'!P243</x:f>
        <x:v>0</x:v>
      </x:c>
      <x:c r="K250" s="109" t="n">
        <x:f>SUM(C250:J250)</x:f>
        <x:v>-0.006961469358766028</x:v>
      </x:c>
      <x:c r="L250" s="109" t="n">
        <x:f>B250-K250</x:f>
        <x:v>-0.024460319174595166</x:v>
      </x:c>
      <x:c r="M250" s="94" t="n">
        <x:f>'Datos_fuente'!B243</x:f>
        <x:v>3922.212</x:v>
      </x:c>
      <x:c r="N250" s="94" t="n">
        <x:f>EXP('Transformaciones'!B242+K250)</x:f>
        <x:v>4019.3335268354253</x:v>
      </x:c>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t="str">
        <x:f>'Transformaciones'!A244</x:f>
        <x:v>2025-10</x:v>
      </x:c>
      <x:c r="B251" s="98" t="n">
        <x:f>'Transformaciones'!C244</x:f>
        <x:v>-0.011376234919783457</x:v>
      </x:c>
      <x:c r="C251" s="98" t="n">
        <x:f>$B$6</x:f>
        <x:v>-0.0005941980394302418</x:v>
      </x:c>
      <x:c r="D251" s="98" t="n">
        <x:f>$B$7*'Transformaciones'!E244</x:f>
        <x:v>0.004043060617976388</x:v>
      </x:c>
      <x:c r="E251" s="98" t="n">
        <x:f>$B$11*'Transformaciones'!M244</x:f>
        <x:v>0.007757397472731149</x:v>
      </x:c>
      <x:c r="F251" s="98" t="n">
        <x:f>$B$12*'Transformaciones'!O244</x:f>
        <x:v>0.005211189973310144</x:v>
      </x:c>
      <x:c r="G251" s="98" t="n">
        <x:f>$B$8*'Transformaciones'!G243</x:f>
        <x:v>0.0013493032915107741</x:v>
      </x:c>
      <x:c r="H251" s="98" t="n">
        <x:f>$B$9*'Transformaciones'!I243</x:f>
        <x:v>-0.0010885687579162068</x:v>
      </x:c>
      <x:c r="I251" s="98" t="n">
        <x:f>$B$10*'Transformaciones'!K243</x:f>
        <x:v>-0.0009237919023117017</x:v>
      </x:c>
      <x:c r="J251" s="98" t="n">
        <x:f>$B$13*'Transformaciones'!P244</x:f>
        <x:v>0</x:v>
      </x:c>
      <x:c r="K251" s="109" t="n">
        <x:f>SUM(C251:J251)</x:f>
        <x:v>0.0157543926558703</x:v>
      </x:c>
      <x:c r="L251" s="109" t="n">
        <x:f>B251-K251</x:f>
        <x:v>-0.027130627575653758</x:v>
      </x:c>
      <x:c r="M251" s="94" t="n">
        <x:f>'Datos_fuente'!B244</x:f>
        <x:v>3877.844839</x:v>
      </x:c>
      <x:c r="N251" s="94" t="n">
        <x:f>EXP('Transformaciones'!B243+K251)</x:f>
        <x:v>3984.493382418575</x:v>
      </x:c>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t="str">
        <x:f>'Transformaciones'!A245</x:f>
        <x:v>2025-11</x:v>
      </x:c>
      <x:c r="B252" s="98" t="n">
        <x:f>'Transformaciones'!C245</x:f>
        <x:v>-0.02392106990255627</x:v>
      </x:c>
      <x:c r="C252" s="98" t="n">
        <x:f>$B$6</x:f>
        <x:v>-0.0005941980394302418</x:v>
      </x:c>
      <x:c r="D252" s="98" t="n">
        <x:f>$B$7*'Transformaciones'!E245</x:f>
        <x:v>0.0006096781594490394</x:v>
      </x:c>
      <x:c r="E252" s="98" t="n">
        <x:f>$B$11*'Transformaciones'!M245</x:f>
        <x:v>0.006904278052770687</x:v>
      </x:c>
      <x:c r="F252" s="98" t="n">
        <x:f>$B$12*'Transformaciones'!O245</x:f>
        <x:v>0.0034130632989139075</x:v>
      </x:c>
      <x:c r="G252" s="98" t="n">
        <x:f>$B$8*'Transformaciones'!G244</x:f>
        <x:v>0.0011886257257058966</x:v>
      </x:c>
      <x:c r="H252" s="98" t="n">
        <x:f>$B$9*'Transformaciones'!I244</x:f>
        <x:v>-0.0012864903502646033</x:v>
      </x:c>
      <x:c r="I252" s="98" t="n">
        <x:f>$B$10*'Transformaciones'!K244</x:f>
        <x:v>-0.001017014741173677</x:v>
      </x:c>
      <x:c r="J252" s="98" t="n">
        <x:f>$B$13*'Transformaciones'!P245</x:f>
        <x:v>0</x:v>
      </x:c>
      <x:c r="K252" s="109" t="n">
        <x:f>SUM(C252:J252)</x:f>
        <x:v>0.00921794210597101</x:v>
      </x:c>
      <x:c r="L252" s="109" t="n">
        <x:f>B252-K252</x:f>
        <x:v>-0.03313901200852728</x:v>
      </x:c>
      <x:c r="M252" s="94" t="n">
        <x:f>'Datos_fuente'!B245</x:f>
        <x:v>3786.183333</x:v>
      </x:c>
      <x:c r="N252" s="94" t="n">
        <x:f>EXP('Transformaciones'!B244+K252)</x:f>
        <x:v>3913.7558467361177</x:v>
      </x:c>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t="str">
        <x:f>'Transformaciones'!A246</x:f>
        <x:v>2025-12</x:v>
      </x:c>
      <x:c r="B253" s="98" t="n">
        <x:f>'Transformaciones'!C246</x:f>
        <x:v>0.0013958415028501037</x:v>
      </x:c>
      <x:c r="C253" s="98" t="n">
        <x:f>$B$6</x:f>
        <x:v>-0.0005941980394302418</x:v>
      </x:c>
      <x:c r="D253" s="98" t="n">
        <x:f>$B$7*'Transformaciones'!E246</x:f>
        <x:v>-0.001075206699618291</x:v>
      </x:c>
      <x:c r="E253" s="98" t="n">
        <x:f>$B$11*'Transformaciones'!M246</x:f>
        <x:v>-0.012971583107686993</x:v>
      </x:c>
      <x:c r="F253" s="98" t="n">
        <x:f>$B$12*'Transformaciones'!O246</x:f>
        <x:v>-0.009214067151736576</x:v>
      </x:c>
      <x:c r="G253" s="98" t="n">
        <x:f>$B$8*'Transformaciones'!G245</x:f>
        <x:v>0.0007973735014793038</x:v>
      </x:c>
      <x:c r="H253" s="98" t="n">
        <x:f>$B$9*'Transformaciones'!I245</x:f>
        <x:v>-0.002078176719658207</x:v>
      </x:c>
      <x:c r="I253" s="98" t="n">
        <x:f>$B$10*'Transformaciones'!K245</x:f>
        <x:v>0.001994690841511643</x:v>
      </x:c>
      <x:c r="J253" s="98" t="n">
        <x:f>$B$13*'Transformaciones'!P246</x:f>
        <x:v>0</x:v>
      </x:c>
      <x:c r="K253" s="109" t="n">
        <x:f>SUM(C253:J253)</x:f>
        <x:v>-0.023141167375139365</x:v>
      </x:c>
      <x:c r="L253" s="109" t="n">
        <x:f>B253-K253</x:f>
        <x:v>0.02453700887798947</x:v>
      </x:c>
      <x:c r="M253" s="94" t="n">
        <x:f>'Datos_fuente'!B246</x:f>
        <x:v>3791.471935</x:v>
      </x:c>
      <x:c r="N253" s="94" t="n">
        <x:f>EXP('Transformaciones'!B245+K253)</x:f>
        <x:v>3699.5726322062455</x:v>
      </x:c>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t="str">
        <x:f>'Transformaciones'!A247</x:f>
        <x:v>2026-01</x:v>
      </x:c>
      <x:c r="B254" s="98" t="n">
        <x:f>'Transformaciones'!C247</x:f>
        <x:v>-0.023611276526077418</x:v>
      </x:c>
      <x:c r="C254" s="98" t="n">
        <x:f>$B$6</x:f>
        <x:v>-0.0005941980394302418</x:v>
      </x:c>
      <x:c r="D254" s="98" t="n">
        <x:f>$B$7*'Transformaciones'!E247</x:f>
        <x:v>-0.00020146505279051576</x:v>
      </x:c>
      <x:c r="E254" s="98" t="n">
        <x:f>$B$11*'Transformaciones'!M247</x:f>
        <x:v>-0.01020584771076705</x:v>
      </x:c>
      <x:c r="F254" s="98" t="n">
        <x:f>$B$12*'Transformaciones'!O247</x:f>
        <x:v>0.0015257259186733402</x:v>
      </x:c>
      <x:c r="G254" s="98" t="n">
        <x:f>$B$8*'Transformaciones'!G246</x:f>
        <x:v>0.0015876709191073896</x:v>
      </x:c>
      <x:c r="H254" s="98" t="n">
        <x:f>$B$9*'Transformaciones'!I246</x:f>
        <x:v>-0.0015833727387872067</x:v>
      </x:c>
      <x:c r="I254" s="98" t="n">
        <x:f>$B$10*'Transformaciones'!K246</x:f>
        <x:v>-0.001154875797067027</x:v>
      </x:c>
      <x:c r="J254" s="98" t="n">
        <x:f>$B$13*'Transformaciones'!P247</x:f>
        <x:v>0</x:v>
      </x:c>
      <x:c r="K254" s="109" t="n">
        <x:f>SUM(C254:J254)</x:f>
        <x:v>-0.010626362501061309</x:v>
      </x:c>
      <x:c r="L254" s="109" t="n">
        <x:f>B254-K254</x:f>
        <x:v>-0.01298491402501611</x:v>
      </x:c>
      <x:c r="M254" s="94" t="n">
        <x:f>'Datos_fuente'!B247</x:f>
        <x:v>3702.999032</x:v>
      </x:c>
      <x:c r="N254" s="94" t="n">
        <x:f>EXP('Transformaciones'!B246+K254)</x:f>
        <x:v>3751.3956892788133</x:v>
      </x:c>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t="str">
        <x:f>'Transformaciones'!A248</x:f>
        <x:v>2026-02</x:v>
      </x:c>
      <x:c r="B255" s="98" t="n">
        <x:f>'Transformaciones'!C248</x:f>
        <x:v>-0.0074153845836448795</x:v>
      </x:c>
      <x:c r="C255" s="98" t="n">
        <x:f>$B$6</x:f>
        <x:v>-0.0005941980394302418</x:v>
      </x:c>
      <x:c r="D255" s="98" t="n">
        <x:f>$B$7*'Transformaciones'!E248</x:f>
        <x:v>-0.0005837845850662089</x:v>
      </x:c>
      <x:c r="E255" s="98" t="n">
        <x:f>$B$11*'Transformaciones'!M248</x:f>
        <x:v>-0.014230887880781</x:v>
      </x:c>
      <x:c r="F255" s="98" t="n">
        <x:f>$B$12*'Transformaciones'!O248</x:f>
        <x:v>0.0065810438201165675</x:v>
      </x:c>
      <x:c r="G255" s="98" t="n">
        <x:f>$B$8*'Transformaciones'!G247</x:f>
        <x:v>0.0002205230839507686</x:v>
      </x:c>
      <x:c r="H255" s="98" t="n">
        <x:f>$B$9*'Transformaciones'!I247</x:f>
        <x:v>-0.0007916863693936034</x:v>
      </x:c>
      <x:c r="I255" s="98" t="n">
        <x:f>$B$10*'Transformaciones'!K247</x:f>
        <x:v>-0.004162428803085052</x:v>
      </x:c>
      <x:c r="J255" s="98" t="n">
        <x:f>$B$13*'Transformaciones'!P248</x:f>
        <x:v>0</x:v>
      </x:c>
      <x:c r="K255" s="109" t="n">
        <x:f>SUM(C255:J255)</x:f>
        <x:v>-0.013561418773688771</x:v>
      </x:c>
      <x:c r="L255" s="109" t="n">
        <x:f>B255-K255</x:f>
        <x:v>0.006146034190043892</x:v>
      </x:c>
      <x:c r="M255" s="94" t="n">
        <x:f>'Datos_fuente'!B248</x:f>
        <x:v>3675.641429</x:v>
      </x:c>
      <x:c r="N255" s="94" t="n">
        <x:f>EXP('Transformaciones'!B247+K255)</x:f>
        <x:v>3653.1200904582433</x:v>
      </x:c>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t="str">
        <x:f>'Transformaciones'!A249</x:f>
        <x:v>2026-03</x:v>
      </x:c>
      <x:c r="B256" s="98" t="n">
        <x:f>'Transformaciones'!C249</x:f>
        <x:v>0.011339188889921914</x:v>
      </x:c>
      <x:c r="C256" s="98" t="n">
        <x:f>$B$6</x:f>
        <x:v>-0.0005941980394302418</x:v>
      </x:c>
      <x:c r="D256" s="98" t="n">
        <x:f>$B$7*'Transformaciones'!E249</x:f>
        <x:v>-0.008699683551703493</x:v>
      </x:c>
      <x:c r="E256" s="98" t="n">
        <x:f>$B$11*'Transformaciones'!M249</x:f>
        <x:v>0.021586426144487986</x:v>
      </x:c>
      <x:c r="F256" s="98" t="n">
        <x:f>$B$12*'Transformaciones'!O249</x:f>
        <x:v>0.011016881734222824</x:v>
      </x:c>
      <x:c r="G256" s="98" t="n">
        <x:f>$B$8*'Transformaciones'!G248</x:f>
        <x:v>0.0014628089186563096</x:v>
      </x:c>
      <x:c r="H256" s="98" t="n">
        <x:f>$B$9*'Transformaciones'!I248</x:f>
        <x:v>-0.009542648199684723</x:v>
      </x:c>
      <x:c r="I256" s="98" t="n">
        <x:f>$B$10*'Transformaciones'!K248</x:f>
        <x:v>0.0025473279484739255</x:v>
      </x:c>
      <x:c r="J256" s="98" t="n">
        <x:f>$B$13*'Transformaciones'!P249</x:f>
        <x:v>0</x:v>
      </x:c>
      <x:c r="K256" s="109" t="n">
        <x:f>SUM(C256:J256)</x:f>
        <x:v>0.017776914955022587</x:v>
      </x:c>
      <x:c r="L256" s="109" t="n">
        <x:f>B256-K256</x:f>
        <x:v>-0.006437726065100673</x:v>
      </x:c>
      <x:c r="M256" s="94" t="n">
        <x:f>'Datos_fuente'!B249</x:f>
        <x:v>3717.557419</x:v>
      </x:c>
      <x:c r="N256" s="94" t="n">
        <x:f>EXP('Transformaciones'!B248+K256)</x:f>
        <x:v>3741.5672366868976</x:v>
      </x:c>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t="str">
        <x:f>'Transformaciones'!A250</x:f>
        <x:v>2026-04</x:v>
      </x:c>
      <x:c r="B257" s="98" t="n">
        <x:f>'Transformaciones'!C250</x:f>
        <x:v>-0.027278505124357366</x:v>
      </x:c>
      <x:c r="C257" s="98" t="n">
        <x:f>$B$6</x:f>
        <x:v>-0.0005941980394302418</x:v>
      </x:c>
      <x:c r="D257" s="98" t="n">
        <x:f>$B$7*'Transformaciones'!E250</x:f>
        <x:v>-0.002741384429047061</x:v>
      </x:c>
      <x:c r="E257" s="98" t="n">
        <x:f>$B$11*'Transformaciones'!M250</x:f>
        <x:v>-0.009425709564737117</x:v>
      </x:c>
      <x:c r="F257" s="98" t="n">
        <x:f>$B$12*'Transformaciones'!O250</x:f>
        <x:v>-0.009827390718944892</x:v>
      </x:c>
      <x:c r="G257" s="98" t="n">
        <x:f>$B$8*'Transformaciones'!G249</x:f>
        <x:v>0.002846537241416167</x:v>
      </x:c>
      <x:c r="H257" s="98" t="n">
        <x:f>$B$9*'Transformaciones'!I249</x:f>
        <x:v>-0.00035343141773531116</x:v>
      </x:c>
      <x:c r="I257" s="98" t="n">
        <x:f>$B$10*'Transformaciones'!K249</x:f>
        <x:v>-0.0012576178348980569</x:v>
      </x:c>
      <x:c r="J257" s="98" t="n">
        <x:f>$B$13*'Transformaciones'!P250</x:f>
        <x:v>0</x:v>
      </x:c>
      <x:c r="K257" s="109" t="n">
        <x:f>SUM(C257:J257)</x:f>
        <x:v>-0.021353194763376514</x:v>
      </x:c>
      <x:c r="L257" s="109" t="n">
        <x:f>B257-K257</x:f>
        <x:v>-0.0059253103609808525</x:v>
      </x:c>
      <x:c r="M257" s="94" t="n">
        <x:f>'Datos_fuente'!B250</x:f>
        <x:v>3617.518667</x:v>
      </x:c>
      <x:c r="N257" s="94" t="n">
        <x:f>EXP('Transformaciones'!B249+K257)</x:f>
        <x:v>3639.017217731426</x:v>
      </x:c>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W1"/>
    <x:mergeCell ref="A2:W3"/>
  </x:mergeCells>
  <x:conditionalFormatting sqref="E6:E13">
    <x:cfRule type="cellIs" dxfId="0" priority="1" operator="lessThan">
      <x:formula>0.05</x:formula>
    </x:cfRule>
  </x:conditionalFormatting>
  <x:pageMargins left="0.7" right="0.7" top="0.75" bottom="0.75" header="0.3" footer="0.3"/>
  <x:drawing xmlns:r="http://schemas.openxmlformats.org/officeDocument/2006/relationships" r:id="R1d2c9412e00f42e6"/>
  <x:tableParts count="2">
    <x:tablePart xmlns:r="http://schemas.openxmlformats.org/officeDocument/2006/relationships" r:id="R4be6732bab7f4129"/>
    <x:tablePart xmlns:r="http://schemas.openxmlformats.org/officeDocument/2006/relationships" r:id="Ra50a6d27059d4d8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3" hidden="0" customWidth="1"/>
    <x:col min="16" max="16" width="13" hidden="0" customWidth="1"/>
    <x:col min="17" max="17" width="13" hidden="0" customWidth="1"/>
    <x:col min="18" max="18" width="13" hidden="0" customWidth="1"/>
    <x:col min="19" max="19" width="13" hidden="0" customWidth="1"/>
    <x:col min="20" max="20" width="13" hidden="0" customWidth="1"/>
    <x:col min="21" max="21" width="13" hidden="0" customWidth="1"/>
    <x:col min="22" max="22" width="13" hidden="0" customWidth="1"/>
    <x:col min="23" max="23" width="13" hidden="0" customWidth="1"/>
  </x:cols>
  <x:sheetData>
    <x:row r="1" ht="30" customHeight="1">
      <x:c r="A1" s="4" t="str">
        <x:v>Modelo ampliado: nuevos canales domésticos y regionales</x:v>
      </x:c>
      <x:c r="B1" s="4" t="str">
        <x:v>Modelo ampliado: nuevos canales domésticos y regionales</x:v>
      </x:c>
      <x:c r="C1" s="4" t="str">
        <x:v>Modelo ampliado: nuevos canales domésticos y regionales</x:v>
      </x:c>
      <x:c r="D1" s="4" t="str">
        <x:v>Modelo ampliado: nuevos canales domésticos y regionales</x:v>
      </x:c>
      <x:c r="E1" s="4" t="str">
        <x:v>Modelo ampliado: nuevos canales domésticos y regionales</x:v>
      </x:c>
      <x:c r="F1" s="4" t="str">
        <x:v>Modelo ampliado: nuevos canales domésticos y regionales</x:v>
      </x:c>
      <x:c r="G1" s="4" t="str">
        <x:v>Modelo ampliado: nuevos canales domésticos y regionales</x:v>
      </x:c>
      <x:c r="H1" s="4" t="str">
        <x:v>Modelo ampliado: nuevos canales domésticos y regionales</x:v>
      </x:c>
      <x:c r="I1" s="4" t="str">
        <x:v>Modelo ampliado: nuevos canales domésticos y regionales</x:v>
      </x:c>
      <x:c r="J1" s="4" t="str">
        <x:v>Modelo ampliado: nuevos canales domésticos y regionales</x:v>
      </x:c>
      <x:c r="K1" s="4" t="str">
        <x:v>Modelo ampliado: nuevos canales domésticos y regionales</x:v>
      </x:c>
      <x:c r="L1" s="4" t="str">
        <x:v>Modelo ampliado: nuevos canales domésticos y regionales</x:v>
      </x:c>
      <x:c r="M1" s="4" t="str">
        <x:v>Modelo ampliado: nuevos canales domésticos y regionales</x:v>
      </x:c>
      <x:c r="N1" s="4" t="str">
        <x:v>Modelo ampliado: nuevos canales domésticos y regionales</x:v>
      </x:c>
      <x:c r="O1" s="4" t="str">
        <x:v>Modelo ampliado: nuevos canales domésticos y regionales</x:v>
      </x:c>
      <x:c r="P1" s="4" t="str">
        <x:v>Modelo ampliado: nuevos canales domésticos y regionales</x:v>
      </x:c>
      <x:c r="Q1" s="4" t="str">
        <x:v>Modelo ampliado: nuevos canales domésticos y regionales</x:v>
      </x:c>
      <x:c r="R1" s="4" t="str">
        <x:v>Modelo ampliado: nuevos canales domésticos y regionales</x:v>
      </x:c>
      <x:c r="S1" s="4" t="str">
        <x:v>Modelo ampliado: nuevos canales domésticos y regionales</x:v>
      </x:c>
      <x:c r="T1" s="4" t="str">
        <x:v>Modelo ampliado: nuevos canales domésticos y regionales</x:v>
      </x:c>
      <x:c r="U1" s="4" t="str">
        <x:v>Modelo ampliado: nuevos canales domésticos y regionales</x:v>
      </x:c>
      <x:c r="V1" s="4" t="str">
        <x:v>Modelo ampliado: nuevos canales domésticos y regionales</x:v>
      </x:c>
      <x:c r="W1" s="4" t="str">
        <x:v>Modelo ampliado: nuevos canales domésticos y regionales</x:v>
      </x:c>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B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C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D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E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F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G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H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I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J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K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L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M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N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O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P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Q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R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S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T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U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V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W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B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C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D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E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F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G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H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I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J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K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L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M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N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O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P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Q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R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S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T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U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V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W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62" t="str">
        <x:v>Variable</x:v>
      </x:c>
      <x:c r="B5" s="62" t="str">
        <x:v>Coeficiente</x:v>
      </x:c>
      <x:c r="C5" s="62" t="str">
        <x:v>EE HAC</x:v>
      </x:c>
      <x:c r="D5" s="62" t="str">
        <x:v>t</x:v>
      </x:c>
      <x:c r="E5" s="62" t="str">
        <x:v>p-valor</x:v>
      </x:c>
      <x:c r="F5" s="62" t="str">
        <x:v>IC 95% inferior</x:v>
      </x:c>
      <x:c r="G5" s="62" t="str">
        <x:v>IC 95% superior</x:v>
      </x:c>
      <x:c r="H5" s="64"/>
      <x:c r="I5" s="66" t="str">
        <x:v>Indicador</x:v>
      </x:c>
      <x:c r="J5" s="66" t="str">
        <x:v>Valor</x:v>
      </x:c>
      <x:c r="K5" s="66" t="str">
        <x:v>Lectura</x:v>
      </x:c>
      <x:c r="L5" s="66" t="str">
        <x:v>Indicador</x:v>
      </x:c>
      <x:c r="M5" s="66" t="str">
        <x:v>Valor</x:v>
      </x:c>
      <x:c r="N5" s="66" t="str">
        <x:v>Lectura</x:v>
      </x:c>
      <x:c r="O5" s="64"/>
      <x:c r="P5" s="64"/>
      <x:c r="Q5" s="64"/>
      <x:c r="R5" s="64"/>
      <x:c r="S5" s="64"/>
      <x:c r="T5" s="64"/>
      <x:c r="U5" s="64"/>
      <x:c r="V5" s="64"/>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4" t="str">
        <x:v>Intercepto</x:v>
      </x:c>
      <x:c r="B6" s="110" t="n">
        <x:v>0.004938013250958489</x:v>
      </x:c>
      <x:c r="C6" s="110" t="n">
        <x:v>0.003927709711493777</x:v>
      </x:c>
      <x:c r="D6" s="110" t="n">
        <x:v>1.2572245949104208</x:v>
      </x:c>
      <x:c r="E6" s="110" t="n">
        <x:v>0.2099699998841684</x:v>
      </x:c>
      <x:c r="F6" s="110" t="n">
        <x:v>-0.0028016025320843864</x:v>
      </x:c>
      <x:c r="G6" s="110" t="n">
        <x:v>0.012677629034001364</x:v>
      </x:c>
      <x:c r="H6" s="64"/>
      <x:c r="I6" s="67" t="str">
        <x:v>R²</x:v>
      </x:c>
      <x:c r="J6" s="107" t="n">
        <x:v>0.6041652113002105</x:v>
      </x:c>
      <x:c r="K6" s="67" t="str">
        <x:v>Variación explicada dentro de muestra</x:v>
      </x:c>
      <x:c r="L6" s="67" t="str">
        <x:v>AIC</x:v>
      </x:c>
      <x:c r="M6" s="108" t="n">
        <x:v>-1150.0167866979243</x:v>
      </x:c>
      <x:c r="N6" s="67" t="str">
        <x:v>Comparación relativa</x:v>
      </x:c>
      <x:c r="O6" s="64"/>
      <x:c r="P6" s="64"/>
      <x:c r="Q6" s="64"/>
      <x:c r="R6" s="64"/>
      <x:c r="S6" s="64"/>
      <x:c r="T6" s="64"/>
      <x:c r="U6" s="64"/>
      <x:c r="V6" s="64"/>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64" t="str">
        <x:v>Δ ln términos de intercambio (t)</x:v>
      </x:c>
      <x:c r="B7" s="110" t="n">
        <x:v>-0.08584357303270934</x:v>
      </x:c>
      <x:c r="C7" s="110" t="n">
        <x:v>0.026616187762983842</x:v>
      </x:c>
      <x:c r="D7" s="110" t="n">
        <x:v>-3.22523923400087</x:v>
      </x:c>
      <x:c r="E7" s="110" t="n">
        <x:v>0.0014449808739183188</x:v>
      </x:c>
      <x:c r="F7" s="110" t="n">
        <x:v>-0.13829120333797376</x:v>
      </x:c>
      <x:c r="G7" s="110" t="n">
        <x:v>-0.03339594272744492</x:v>
      </x:c>
      <x:c r="H7" s="64"/>
      <x:c r="I7" s="67" t="str">
        <x:v>R² ajustado</x:v>
      </x:c>
      <x:c r="J7" s="107" t="n">
        <x:v>0.581395953543143</x:v>
      </x:c>
      <x:c r="K7" s="67" t="str">
        <x:v>Penaliza el número de parámetros</x:v>
      </x:c>
      <x:c r="L7" s="67" t="str">
        <x:v>BIC</x:v>
      </x:c>
      <x:c r="M7" s="108" t="n">
        <x:v>-1101.2878417711365</x:v>
      </x:c>
      <x:c r="N7" s="67" t="str">
        <x:v>Comparación relativa</x:v>
      </x:c>
      <x:c r="O7" s="64"/>
      <x:c r="P7" s="64"/>
      <x:c r="Q7" s="64"/>
      <x:c r="R7" s="64"/>
      <x:c r="S7" s="64"/>
      <x:c r="T7" s="64"/>
      <x:c r="U7" s="64"/>
      <x:c r="V7" s="64"/>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64" t="str">
        <x:v>Δ ln remesas 12m (t−1)</x:v>
      </x:c>
      <x:c r="B8" s="110" t="n">
        <x:v>0.07147244760526641</x:v>
      </x:c>
      <x:c r="C8" s="110" t="n">
        <x:v>0.10819804482448374</x:v>
      </x:c>
      <x:c r="D8" s="110" t="n">
        <x:v>0.6605706020030888</x:v>
      </x:c>
      <x:c r="E8" s="110" t="n">
        <x:v>0.5095604699025443</x:v>
      </x:c>
      <x:c r="F8" s="110" t="n">
        <x:v>-0.1417335571479394</x:v>
      </x:c>
      <x:c r="G8" s="110" t="n">
        <x:v>0.2846784523584722</x:v>
      </x:c>
      <x:c r="H8" s="64"/>
      <x:c r="I8" s="67" t="str">
        <x:v>Observaciones</x:v>
      </x:c>
      <x:c r="J8" s="67" t="n">
        <x:v>240</x:v>
      </x:c>
      <x:c r="K8" s="67" t="str">
        <x:v>Muestra común completa</x:v>
      </x:c>
      <x:c r="L8" s="67" t="str">
        <x:v>MAPE condicional</x:v>
      </x:c>
      <x:c r="M8" s="107" t="n">
        <x:v>0.01691434493778879</x:v>
      </x:c>
      <x:c r="N8" s="67" t="str">
        <x:v>Ventana de validación</x:v>
      </x:c>
      <x:c r="O8" s="64"/>
      <x:c r="P8" s="64"/>
      <x:c r="Q8" s="64"/>
      <x:c r="R8" s="64"/>
      <x:c r="S8" s="64"/>
      <x:c r="T8" s="64"/>
      <x:c r="U8" s="64"/>
      <x:c r="V8" s="64"/>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64" t="str">
        <x:v>Δ diferencial tasas (t−1)</x:v>
      </x:c>
      <x:c r="B9" s="110" t="n">
        <x:v>-0.006566622468483976</x:v>
      </x:c>
      <x:c r="C9" s="110" t="n">
        <x:v>0.005267327437792898</x:v>
      </x:c>
      <x:c r="D9" s="110" t="n">
        <x:v>-1.246670640098939</x:v>
      </x:c>
      <x:c r="E9" s="110" t="n">
        <x:v>0.21380883411815096</x:v>
      </x:c>
      <x:c r="F9" s="110" t="n">
        <x:v>-0.016945976740185553</x:v>
      </x:c>
      <x:c r="G9" s="110" t="n">
        <x:v>0.0038127318032176007</x:v>
      </x:c>
      <x:c r="H9" s="64"/>
      <x:c r="I9" s="67" t="str">
        <x:v>Acierto dirección</x:v>
      </x:c>
      <x:c r="J9" s="107" t="n">
        <x:v>0.8125</x:v>
      </x:c>
      <x:c r="K9" s="67" t="str">
        <x:v>Signo del cambio mensual</x:v>
      </x:c>
      <x:c r="L9" s="67" t="str">
        <x:v>Inferencia</x:v>
      </x:c>
      <x:c r="M9" s="67" t="str">
        <x:v>HAC</x:v>
      </x:c>
      <x:c r="N9" s="67" t="str">
        <x:v>Errores robustos</x:v>
      </x:c>
      <x:c r="O9" s="64"/>
      <x:c r="P9" s="64"/>
      <x:c r="Q9" s="64"/>
      <x:c r="R9" s="64"/>
      <x:c r="S9" s="64"/>
      <x:c r="T9" s="64"/>
      <x:c r="U9" s="64"/>
      <x:c r="V9" s="64"/>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64" t="str">
        <x:v>Δ déficit fiscal 12m/PIB (t−1)</x:v>
      </x:c>
      <x:c r="B10" s="110" t="n">
        <x:v>-0.0005004717595323947</x:v>
      </x:c>
      <x:c r="C10" s="110" t="n">
        <x:v>0.0034563661475404744</x:v>
      </x:c>
      <x:c r="D10" s="110" t="n">
        <x:v>-0.14479708982467812</x:v>
      </x:c>
      <x:c r="E10" s="110" t="n">
        <x:v>0.8850001261191988</x:v>
      </x:c>
      <x:c r="F10" s="110" t="n">
        <x:v>-0.007311297393921119</x:v>
      </x:c>
      <x:c r="G10" s="110" t="n">
        <x:v>0.006310353874856329</x:v>
      </x:c>
      <x:c r="H10" s="64"/>
      <x:c r="I10" s="64"/>
      <x:c r="J10" s="64"/>
      <x:c r="K10" s="64"/>
      <x:c r="L10" s="64"/>
      <x:c r="M10" s="64"/>
      <x:c r="N10" s="64"/>
      <x:c r="O10" s="64"/>
      <x:c r="P10" s="64"/>
      <x:c r="Q10" s="64"/>
      <x:c r="R10" s="64"/>
      <x:c r="S10" s="64"/>
      <x:c r="T10" s="64"/>
      <x:c r="U10" s="64"/>
      <x:c r="V10" s="64"/>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64" t="str">
        <x:v>Δ ln índice dólar amplio (t)</x:v>
      </x:c>
      <x:c r="B11" s="110" t="n">
        <x:v>0.2673477367686793</x:v>
      </x:c>
      <x:c r="C11" s="110" t="n">
        <x:v>0.22537479128592594</x:v>
      </x:c>
      <x:c r="D11" s="110" t="n">
        <x:v>1.186236203451448</x:v>
      </x:c>
      <x:c r="E11" s="110" t="n">
        <x:v>0.23677460702926137</x:v>
      </x:c>
      <x:c r="F11" s="110" t="n">
        <x:v>-0.1767569501515649</x:v>
      </x:c>
      <x:c r="G11" s="110" t="n">
        <x:v>0.7114524236889235</x:v>
      </x:c>
      <x:c r="H11" s="64"/>
      <x:c r="I11" s="64"/>
      <x:c r="J11" s="64"/>
      <x:c r="K11" s="64"/>
      <x:c r="L11" s="64"/>
      <x:c r="M11" s="64"/>
      <x:c r="N11" s="64"/>
      <x:c r="O11" s="64"/>
      <x:c r="P11" s="64"/>
      <x:c r="Q11" s="64"/>
      <x:c r="R11" s="64"/>
      <x:c r="S11" s="64"/>
      <x:c r="T11" s="64"/>
      <x:c r="U11" s="64"/>
      <x:c r="V11" s="64"/>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22" customHeight="1">
      <x:c r="A12" s="64" t="str">
        <x:v>Δ ln VIX (t)</x:v>
      </x:c>
      <x:c r="B12" s="110" t="n">
        <x:v>0.014161429027162512</x:v>
      </x:c>
      <x:c r="C12" s="110" t="n">
        <x:v>0.010309929846560649</x:v>
      </x:c>
      <x:c r="D12" s="110" t="n">
        <x:v>1.3735718126042058</x:v>
      </x:c>
      <x:c r="E12" s="110" t="n">
        <x:v>0.1709356426814441</x:v>
      </x:c>
      <x:c r="F12" s="110" t="n">
        <x:v>-0.0061544551964091455</x:v>
      </x:c>
      <x:c r="G12" s="110" t="n">
        <x:v>0.034477313250734165</x:v>
      </x:c>
      <x:c r="H12" s="64"/>
      <x:c r="I12" s="111" t="str">
        <x:v>Diagnósticos del modelo ampliado</x:v>
      </x:c>
      <x:c r="J12" s="111" t="str">
        <x:v>Diagnósticos del modelo ampliado</x:v>
      </x:c>
      <x:c r="K12" s="111" t="str">
        <x:v>Diagnósticos del modelo ampliado</x:v>
      </x:c>
      <x:c r="L12" s="111" t="str">
        <x:v>Diagnósticos del modelo ampliado</x:v>
      </x:c>
      <x:c r="M12" s="64"/>
      <x:c r="N12" s="64"/>
      <x:c r="O12" s="64"/>
      <x:c r="P12" s="64"/>
      <x:c r="Q12" s="64"/>
      <x:c r="R12" s="64"/>
      <x:c r="S12" s="64"/>
      <x:c r="T12" s="64"/>
      <x:c r="U12" s="64"/>
      <x:c r="V12" s="64"/>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64" t="str">
        <x:v>Δ EMBIG Colombia (t)</x:v>
      </x:c>
      <x:c r="B13" s="110" t="n">
        <x:v>0.015191594320774457</x:v>
      </x:c>
      <x:c r="C13" s="110" t="n">
        <x:v>0.012077291744241441</x:v>
      </x:c>
      <x:c r="D13" s="110" t="n">
        <x:v>1.257864316146701</x:v>
      </x:c>
      <x:c r="E13" s="110" t="n">
        <x:v>0.20973893627248869</x:v>
      </x:c>
      <x:c r="F13" s="110" t="n">
        <x:v>-0.008606905228876536</x:v>
      </x:c>
      <x:c r="G13" s="110" t="n">
        <x:v>0.03899009387042545</x:v>
      </x:c>
      <x:c r="H13" s="64"/>
      <x:c r="I13" s="62" t="str">
        <x:v>Prueba</x:v>
      </x:c>
      <x:c r="J13" s="62" t="str">
        <x:v>Estadístico</x:v>
      </x:c>
      <x:c r="K13" s="62" t="str">
        <x:v>p-valor</x:v>
      </x:c>
      <x:c r="L13" s="62" t="str">
        <x:v>Lectura</x:v>
      </x:c>
      <x:c r="M13" s="64"/>
      <x:c r="N13" s="64"/>
      <x:c r="O13" s="64"/>
      <x:c r="P13" s="64"/>
      <x:c r="Q13" s="64"/>
      <x:c r="R13" s="64"/>
      <x:c r="S13" s="64"/>
      <x:c r="T13" s="64"/>
      <x:c r="U13" s="64"/>
      <x:c r="V13" s="64"/>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64" t="str">
        <x:v>Δ ln reservas netas sin FLAR (t−1)</x:v>
      </x:c>
      <x:c r="B14" s="110" t="n">
        <x:v>-0.2854654483706136</x:v>
      </x:c>
      <x:c r="C14" s="110" t="n">
        <x:v>0.1137136692430623</x:v>
      </x:c>
      <x:c r="D14" s="110" t="n">
        <x:v>-2.510388155362685</x:v>
      </x:c>
      <x:c r="E14" s="110" t="n">
        <x:v>0.012760049729396249</x:v>
      </x:c>
      <x:c r="F14" s="110" t="n">
        <x:v>-0.5095400806291683</x:v>
      </x:c>
      <x:c r="G14" s="110" t="n">
        <x:v>-0.06139081611205888</x:v>
      </x:c>
      <x:c r="H14" s="64"/>
      <x:c r="I14" s="64" t="str">
        <x:v>Ljung-Box (6)</x:v>
      </x:c>
      <x:c r="J14" s="65" t="n">
        <x:v>4.671304823014807</x:v>
      </x:c>
      <x:c r="K14" s="65" t="n">
        <x:v>0.5866070518252882</x:v>
      </x:c>
      <x:c r="L14" s="64" t="str">
        <x:v>Sin autocorrelación detectada</x:v>
      </x:c>
      <x:c r="M14" s="64"/>
      <x:c r="N14" s="64"/>
      <x:c r="O14" s="64"/>
      <x:c r="P14" s="64"/>
      <x:c r="Q14" s="64"/>
      <x:c r="R14" s="64"/>
      <x:c r="S14" s="64"/>
      <x:c r="T14" s="64"/>
      <x:c r="U14" s="64"/>
      <x:c r="V14" s="64"/>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64" t="str">
        <x:v>Δ asinh balanza comercial cambiaria (t−1)</x:v>
      </x:c>
      <x:c r="B15" s="110" t="n">
        <x:v>0.0483485336653283</x:v>
      </x:c>
      <x:c r="C15" s="110" t="n">
        <x:v>0.011731490515854572</x:v>
      </x:c>
      <x:c r="D15" s="110" t="n">
        <x:v>4.121260942928562</x:v>
      </x:c>
      <x:c r="E15" s="110" t="n">
        <x:v>0.00005291076224470567</x:v>
      </x:c>
      <x:c r="F15" s="110" t="n">
        <x:v>0.025231441052953423</x:v>
      </x:c>
      <x:c r="G15" s="110" t="n">
        <x:v>0.07146562627770317</x:v>
      </x:c>
      <x:c r="H15" s="64"/>
      <x:c r="I15" s="64" t="str">
        <x:v>Ljung-Box (12)</x:v>
      </x:c>
      <x:c r="J15" s="65" t="n">
        <x:v>7.542956352305785</x:v>
      </x:c>
      <x:c r="K15" s="65" t="n">
        <x:v>0.8197501768716258</x:v>
      </x:c>
      <x:c r="L15" s="64" t="str">
        <x:v>Sin autocorrelación detectada</x:v>
      </x:c>
      <x:c r="M15" s="64"/>
      <x:c r="N15" s="64"/>
      <x:c r="O15" s="64"/>
      <x:c r="P15" s="64"/>
      <x:c r="Q15" s="64"/>
      <x:c r="R15" s="64"/>
      <x:c r="S15" s="64"/>
      <x:c r="T15" s="64"/>
      <x:c r="U15" s="64"/>
      <x:c r="V15" s="64"/>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64" t="str">
        <x:v>Δ asinh flujo neto de capital (t−1)</x:v>
      </x:c>
      <x:c r="B16" s="110" t="n">
        <x:v>0.0007004427286033807</x:v>
      </x:c>
      <x:c r="C16" s="110" t="n">
        <x:v>0.0034840614126883766</x:v>
      </x:c>
      <x:c r="D16" s="110" t="n">
        <x:v>0.20104201552030163</x:v>
      </x:c>
      <x:c r="E16" s="110" t="n">
        <x:v>0.8408465387899965</x:v>
      </x:c>
      <x:c r="F16" s="110" t="n">
        <x:v>-0.006164956875604702</x:v>
      </x:c>
      <x:c r="G16" s="110" t="n">
        <x:v>0.007565842332811463</x:v>
      </x:c>
      <x:c r="H16" s="64"/>
      <x:c r="I16" s="64" t="str">
        <x:v>Breusch-Godfrey (12)</x:v>
      </x:c>
      <x:c r="J16" s="65" t="n">
        <x:v>8.911433870798033</x:v>
      </x:c>
      <x:c r="K16" s="65" t="n">
        <x:v>0.7104759804314794</x:v>
      </x:c>
      <x:c r="L16" s="64" t="str">
        <x:v>Sin autocorrelación detectada</x:v>
      </x:c>
      <x:c r="M16" s="64"/>
      <x:c r="N16" s="64"/>
      <x:c r="O16" s="64"/>
      <x:c r="P16" s="64"/>
      <x:c r="Q16" s="64"/>
      <x:c r="R16" s="64"/>
      <x:c r="S16" s="64"/>
      <x:c r="T16" s="64"/>
      <x:c r="U16" s="64"/>
      <x:c r="V16" s="64"/>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64" t="str">
        <x:v>Diferencial BEI 5 años (t−1)</x:v>
      </x:c>
      <x:c r="B17" s="110" t="n">
        <x:v>-0.000721588077740221</x:v>
      </x:c>
      <x:c r="C17" s="110" t="n">
        <x:v>0.0016846727626651837</x:v>
      </x:c>
      <x:c r="D17" s="110" t="n">
        <x:v>-0.4283253660483328</x:v>
      </x:c>
      <x:c r="E17" s="110" t="n">
        <x:v>0.6688221788906132</x:v>
      </x:c>
      <x:c r="F17" s="110" t="n">
        <x:v>-0.004041263120177878</x:v>
      </x:c>
      <x:c r="G17" s="110" t="n">
        <x:v>0.002598086964697436</x:v>
      </x:c>
      <x:c r="H17" s="64"/>
      <x:c r="I17" s="64" t="str">
        <x:v>ARCH-LM (12)</x:v>
      </x:c>
      <x:c r="J17" s="65" t="n">
        <x:v>33.86409201070287</x:v>
      </x:c>
      <x:c r="K17" s="65" t="n">
        <x:v>0.000708639052829489</x:v>
      </x:c>
      <x:c r="L17" s="64" t="str">
        <x:v>Heterocedasticidad condicional</x:v>
      </x:c>
      <x:c r="M17" s="64"/>
      <x:c r="N17" s="64"/>
      <x:c r="O17" s="64"/>
      <x:c r="P17" s="64"/>
      <x:c r="Q17" s="64"/>
      <x:c r="R17" s="64"/>
      <x:c r="S17" s="64"/>
      <x:c r="T17" s="64"/>
      <x:c r="U17" s="64"/>
      <x:c r="V17" s="64"/>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64" t="str">
        <x:v>Factor regional BRL, CLP, MXN y PEN (t)</x:v>
      </x:c>
      <x:c r="B18" s="110" t="n">
        <x:v>0.016209169118454582</x:v>
      </x:c>
      <x:c r="C18" s="110" t="n">
        <x:v>0.003572021376912837</x:v>
      </x:c>
      <x:c r="D18" s="110" t="n">
        <x:v>4.537814141656552</x:v>
      </x:c>
      <x:c r="E18" s="110" t="n">
        <x:v>0.000009233517626858688</x:v>
      </x:c>
      <x:c r="F18" s="110" t="n">
        <x:v>0.00917044297603637</x:v>
      </x:c>
      <x:c r="G18" s="110" t="n">
        <x:v>0.023247895260872793</x:v>
      </x:c>
      <x:c r="H18" s="64"/>
      <x:c r="I18" s="64" t="str">
        <x:v>Jarque-Bera</x:v>
      </x:c>
      <x:c r="J18" s="65" t="n">
        <x:v>16.695733746902793</x:v>
      </x:c>
      <x:c r="K18" s="65" t="n">
        <x:v>0.00023690132032985336</x:v>
      </x:c>
      <x:c r="L18" s="64" t="str">
        <x:v>Residuos no normales</x:v>
      </x:c>
      <x:c r="M18" s="64"/>
      <x:c r="N18" s="64"/>
      <x:c r="O18" s="64"/>
      <x:c r="P18" s="64"/>
      <x:c r="Q18" s="64"/>
      <x:c r="R18" s="64"/>
      <x:c r="S18" s="64"/>
      <x:c r="T18" s="64"/>
      <x:c r="U18" s="64"/>
      <x:c r="V18" s="64"/>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64" t="str">
        <x:v>Dummy pandemia 2020</x:v>
      </x:c>
      <x:c r="B19" s="110" t="n">
        <x:v>-0.0026558009733916726</x:v>
      </x:c>
      <x:c r="C19" s="110" t="n">
        <x:v>0.006533670191002195</x:v>
      </x:c>
      <x:c r="D19" s="110" t="n">
        <x:v>-0.40647919098351387</x:v>
      </x:c>
      <x:c r="E19" s="110" t="n">
        <x:v>0.6847751931932203</x:v>
      </x:c>
      <x:c r="F19" s="110" t="n">
        <x:v>-0.015530504209096282</x:v>
      </x:c>
      <x:c r="G19" s="110" t="n">
        <x:v>0.010218902262312937</x:v>
      </x:c>
      <x:c r="H19" s="64"/>
      <x:c r="I19" s="64" t="str">
        <x:v>Ramsey RESET</x:v>
      </x:c>
      <x:c r="J19" s="65" t="n">
        <x:v>2.7136343758224055</x:v>
      </x:c>
      <x:c r="K19" s="65" t="n">
        <x:v>0.10088991911393737</x:v>
      </x:c>
      <x:c r="L19" s="64" t="str">
        <x:v>Sin evidencia de mala forma funcional</x:v>
      </x:c>
      <x:c r="M19" s="64"/>
      <x:c r="N19" s="64"/>
      <x:c r="O19" s="64"/>
      <x:c r="P19" s="64"/>
      <x:c r="Q19" s="64"/>
      <x:c r="R19" s="64"/>
      <x:c r="S19" s="64"/>
      <x:c r="T19" s="64"/>
      <x:c r="U19" s="64"/>
      <x:c r="V19" s="64"/>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64"/>
      <x:c r="B20" s="64"/>
      <x:c r="C20" s="64"/>
      <x:c r="D20" s="64"/>
      <x:c r="E20" s="64"/>
      <x:c r="F20" s="64"/>
      <x:c r="G20" s="64"/>
      <x:c r="H20" s="64"/>
      <x:c r="I20" s="64" t="str">
        <x:v>CUSUM estabilidad</x:v>
      </x:c>
      <x:c r="J20" s="65" t="n">
        <x:v>0.8007604560245631</x:v>
      </x:c>
      <x:c r="K20" s="65" t="n">
        <x:v>0.5429056295505539</x:v>
      </x:c>
      <x:c r="L20" s="64" t="str">
        <x:v>Sin inestabilidad detectada</x:v>
      </x:c>
      <x:c r="M20" s="64"/>
      <x:c r="N20" s="64"/>
      <x:c r="O20" s="64"/>
      <x:c r="P20" s="64"/>
      <x:c r="Q20" s="64"/>
      <x:c r="R20" s="64"/>
      <x:c r="S20" s="64"/>
      <x:c r="T20" s="64"/>
      <x:c r="U20" s="64"/>
      <x:c r="V20" s="64"/>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64"/>
      <x:c r="B21" s="64"/>
      <x:c r="C21" s="64"/>
      <x:c r="D21" s="64"/>
      <x:c r="E21" s="64"/>
      <x:c r="F21" s="64"/>
      <x:c r="G21" s="64"/>
      <x:c r="H21" s="64"/>
      <x:c r="I21" s="64" t="str">
        <x:v>Durbin-Watson</x:v>
      </x:c>
      <x:c r="J21" s="65" t="n">
        <x:v>1.8144539211725461</x:v>
      </x:c>
      <x:c r="K21" s="65"/>
      <x:c r="L21" s="64" t="str">
        <x:v>Cercano a 2</x:v>
      </x:c>
      <x:c r="M21" s="64"/>
      <x:c r="N21" s="64"/>
      <x:c r="O21" s="64"/>
      <x:c r="P21" s="64"/>
      <x:c r="Q21" s="64"/>
      <x:c r="R21" s="64"/>
      <x:c r="S21" s="64"/>
      <x:c r="T21" s="64"/>
      <x:c r="U21" s="64"/>
      <x:c r="V21" s="64"/>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64"/>
      <x:c r="B22" s="64"/>
      <x:c r="C22" s="64"/>
      <x:c r="D22" s="64"/>
      <x:c r="E22" s="64"/>
      <x:c r="F22" s="64"/>
      <x:c r="G22" s="64"/>
      <x:c r="H22" s="64"/>
      <x:c r="I22" s="64"/>
      <x:c r="J22" s="64"/>
      <x:c r="K22" s="64"/>
      <x:c r="L22" s="64"/>
      <x:c r="M22" s="64"/>
      <x:c r="N22" s="64"/>
      <x:c r="O22" s="64"/>
      <x:c r="P22" s="64"/>
      <x:c r="Q22" s="64"/>
      <x:c r="R22" s="64"/>
      <x:c r="S22" s="64"/>
      <x:c r="T22" s="64"/>
      <x:c r="U22" s="64"/>
      <x:c r="V22" s="64"/>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64"/>
      <x:c r="B23" s="64"/>
      <x:c r="C23" s="64"/>
      <x:c r="D23" s="64"/>
      <x:c r="E23" s="64"/>
      <x:c r="F23" s="64"/>
      <x:c r="G23" s="64"/>
      <x:c r="H23" s="64"/>
      <x:c r="I23" s="64"/>
      <x:c r="J23" s="64"/>
      <x:c r="K23" s="64"/>
      <x:c r="L23" s="64"/>
      <x:c r="M23" s="64"/>
      <x:c r="N23" s="64"/>
      <x:c r="O23" s="64"/>
      <x:c r="P23" s="64"/>
      <x:c r="Q23" s="64"/>
      <x:c r="R23" s="64"/>
      <x:c r="S23" s="64"/>
      <x:c r="T23" s="64"/>
      <x:c r="U23" s="64"/>
      <x:c r="V23" s="64"/>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48" customHeight="1">
      <x:c r="A24" s="62" t="str">
        <x:v>Mes</x:v>
      </x:c>
      <x:c r="B24" s="62" t="str">
        <x:v>Δln TRM observado</x:v>
      </x:c>
      <x:c r="C24" s="62" t="str">
        <x:v>Δln TRM ajustado</x:v>
      </x:c>
      <x:c r="D24" s="62" t="str">
        <x:v>Residuo</x:v>
      </x:c>
      <x:c r="E24" s="62" t="str">
        <x:v>TRM observada</x:v>
      </x:c>
      <x:c r="F24" s="62" t="str">
        <x:v>TRM ajustada 1 paso</x:v>
      </x:c>
      <x:c r="G24" s="62" t="str">
        <x:v>Intercepto</x:v>
      </x:c>
      <x:c r="H24" s="62" t="str">
        <x:v>Δ ln términos de intercambio (t)</x:v>
      </x:c>
      <x:c r="I24" s="62" t="str">
        <x:v>Δ ln remesas 12m (t−1)</x:v>
      </x:c>
      <x:c r="J24" s="62" t="str">
        <x:v>Δ diferencial tasas (t−1)</x:v>
      </x:c>
      <x:c r="K24" s="62" t="str">
        <x:v>Δ déficit fiscal 12m/PIB (t−1)</x:v>
      </x:c>
      <x:c r="L24" s="62" t="str">
        <x:v>Δ ln índice dólar amplio (t)</x:v>
      </x:c>
      <x:c r="M24" s="62" t="str">
        <x:v>Δ ln VIX (t)</x:v>
      </x:c>
      <x:c r="N24" s="62" t="str">
        <x:v>Δ EMBIG Colombia (t)</x:v>
      </x:c>
      <x:c r="O24" s="62" t="str">
        <x:v>Δ ln reservas netas sin FLAR (t−1)</x:v>
      </x:c>
      <x:c r="P24" s="62" t="str">
        <x:v>Δ asinh balanza comercial cambiaria (t−1)</x:v>
      </x:c>
      <x:c r="Q24" s="62" t="str">
        <x:v>Δ asinh flujo neto de capital (t−1)</x:v>
      </x:c>
      <x:c r="R24" s="62" t="str">
        <x:v>Diferencial BEI 5 años (t−1)</x:v>
      </x:c>
      <x:c r="S24" s="62" t="str">
        <x:v>Factor regional BRL, CLP, MXN y PEN (t)</x:v>
      </x:c>
      <x:c r="T24" s="62" t="str">
        <x:v>Dummy pandemia 2020</x:v>
      </x:c>
      <x:c r="U24" s="62" t="str">
        <x:v>Ajuste total de contribuciones</x:v>
      </x:c>
      <x:c r="V24" s="62" t="str">
        <x:v>Diferencia de control</x:v>
      </x:c>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64" t="str">
        <x:v>2006-05</x:v>
      </x:c>
      <x:c r="B25" s="110" t="n">
        <x:v>0.03513841925748107</x:v>
      </x:c>
      <x:c r="C25" s="110" t="n">
        <x:v>0.004992137853811165</x:v>
      </x:c>
      <x:c r="D25" s="110" t="n">
        <x:v>0.030146281403669904</x:v>
      </x:c>
      <x:c r="E25" s="112" t="n">
        <x:v>2418.6493548387098</x:v>
      </x:c>
      <x:c r="F25" s="112" t="n">
        <x:v>2346.8241417833933</x:v>
      </x:c>
      <x:c r="G25" s="110" t="n">
        <x:v>0.004938013250958489</x:v>
      </x:c>
      <x:c r="H25" s="110" t="n">
        <x:v>0.0005743755221957049</x:v>
      </x:c>
      <x:c r="I25" s="110" t="n">
        <x:v>0.00044695355369018484</x:v>
      </x:c>
      <x:c r="J25" s="110" t="n">
        <x:v>0.0013133244936967964</x:v>
      </x:c>
      <x:c r="K25" s="110" t="n">
        <x:v>-0.00036397387683191526</x:v>
      </x:c>
      <x:c r="L25" s="110" t="n">
        <x:v>-0.0060496946845193375</x:v>
      </x:c>
      <x:c r="M25" s="110" t="n">
        <x:v>0.0028167529931860183</x:v>
      </x:c>
      <x:c r="N25" s="110" t="n">
        <x:v>0.0022572727648368118</x:v>
      </x:c>
      <x:c r="O25" s="110" t="n">
        <x:v>0.0008833898526491182</x:v>
      </x:c>
      <x:c r="P25" s="110" t="n">
        <x:v>0.0019853283726074143</x:v>
      </x:c>
      <x:c r="Q25" s="110" t="n">
        <x:v>-0.00007635389256172134</x:v>
      </x:c>
      <x:c r="R25" s="110" t="n">
        <x:v>-0.001117918653567943</x:v>
      </x:c>
      <x:c r="S25" s="110" t="n">
        <x:v>-0.0026153318425284565</x:v>
      </x:c>
      <x:c r="T25" s="110" t="n">
        <x:v>0</x:v>
      </x:c>
      <x:c r="U25" s="110" t="n">
        <x:v>0.004992137853811165</x:v>
      </x:c>
      <x:c r="V25" s="113" t="n">
        <x:f>C25-U25</x:f>
        <x:v>0</x:v>
      </x:c>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64" t="str">
        <x:v>2006-06</x:v>
      </x:c>
      <x:c r="B26" s="110" t="n">
        <x:v>0.04982844852150414</x:v>
      </x:c>
      <x:c r="C26" s="110" t="n">
        <x:v>0.03522574689384859</x:v>
      </x:c>
      <x:c r="D26" s="110" t="n">
        <x:v>0.014602701627655555</x:v>
      </x:c>
      <x:c r="E26" s="112" t="n">
        <x:v>2542.22</x:v>
      </x:c>
      <x:c r="F26" s="112" t="n">
        <x:v>2505.3664554077086</x:v>
      </x:c>
      <x:c r="G26" s="110" t="n">
        <x:v>0.004938013250958489</x:v>
      </x:c>
      <x:c r="H26" s="110" t="n">
        <x:v>0.0001521262860489871</x:v>
      </x:c>
      <x:c r="I26" s="110" t="n">
        <x:v>0.001974493568851005</x:v>
      </x:c>
      <x:c r="J26" s="110" t="n">
        <x:v>-0.0006037056140380422</x:v>
      </x:c>
      <x:c r="K26" s="110" t="n">
        <x:v>0.00024480647930184574</x:v>
      </x:c>
      <x:c r="L26" s="110" t="n">
        <x:v>0.003218354430147151</x:v>
      </x:c>
      <x:c r="M26" s="110" t="n">
        <x:v>0.002229105627966083</x:v>
      </x:c>
      <x:c r="N26" s="110" t="n">
        <x:v>0.006488251874827208</x:v>
      </x:c>
      <x:c r="O26" s="110" t="n">
        <x:v>0.009822887607782663</x:v>
      </x:c>
      <x:c r="P26" s="110" t="n">
        <x:v>-0.002897450913537553</x:v>
      </x:c>
      <x:c r="Q26" s="110" t="n">
        <x:v>-0.0003518568622818912</x:v>
      </x:c>
      <x:c r="R26" s="110" t="n">
        <x:v>-0.0014100637035023996</x:v>
      </x:c>
      <x:c r="S26" s="110" t="n">
        <x:v>0.011420784861325048</x:v>
      </x:c>
      <x:c r="T26" s="110" t="n">
        <x:v>0</x:v>
      </x:c>
      <x:c r="U26" s="110" t="n">
        <x:v>0.035225746893848595</x:v>
      </x:c>
      <x:c r="V26" s="113" t="n">
        <x:f>C26-U26</x:f>
        <x:v>-6.938893903907228e-18</x:v>
      </x:c>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64" t="str">
        <x:v>2006-07</x:v>
      </x:c>
      <x:c r="B27" s="110" t="n">
        <x:v>-0.011282585389189137</x:v>
      </x:c>
      <x:c r="C27" s="110" t="n">
        <x:v>-0.010464307445794541</x:v>
      </x:c>
      <x:c r="D27" s="110" t="n">
        <x:v>-0.000818277943394596</x:v>
      </x:c>
      <x:c r="E27" s="112" t="n">
        <x:v>2513.6983870967747</x:v>
      </x:c>
      <x:c r="F27" s="112" t="n">
        <x:v>2515.7561328324373</x:v>
      </x:c>
      <x:c r="G27" s="110" t="n">
        <x:v>0.004938013250958489</x:v>
      </x:c>
      <x:c r="H27" s="110" t="n">
        <x:v>-0.0015653503694882508</x:v>
      </x:c>
      <x:c r="I27" s="110" t="n">
        <x:v>0.0014098340258789119</x:v>
      </x:c>
      <x:c r="J27" s="110" t="n">
        <x:v>-0.00027184404842648486</x:v>
      </x:c>
      <x:c r="K27" s="110" t="n">
        <x:v>-0.00006744898406286632</x:v>
      </x:c>
      <x:c r="L27" s="110" t="n">
        <x:v>-0.0006889679351247411</x:v>
      </x:c>
      <x:c r="M27" s="110" t="n">
        <x:v>-0.0014000700378701343</x:v>
      </x:c>
      <x:c r="N27" s="110" t="n">
        <x:v>-0.00046068016544166334</x:v>
      </x:c>
      <x:c r="O27" s="110" t="n">
        <x:v>0.002636310202552155</x:v>
      </x:c>
      <x:c r="P27" s="110" t="n">
        <x:v>-0.0017747117101611415</x:v>
      </x:c>
      <x:c r="Q27" s="110" t="n">
        <x:v>0.0003042501073755718</x:v>
      </x:c>
      <x:c r="R27" s="110" t="n">
        <x:v>-0.001379086369373229</x:v>
      </x:c>
      <x:c r="S27" s="110" t="n">
        <x:v>-0.012144555412611157</x:v>
      </x:c>
      <x:c r="T27" s="110" t="n">
        <x:v>0</x:v>
      </x:c>
      <x:c r="U27" s="110" t="n">
        <x:v>-0.010464307445794541</x:v>
      </x:c>
      <x:c r="V27" s="113" t="n">
        <x:f>C27-U27</x:f>
        <x:v>0</x:v>
      </x:c>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64" t="str">
        <x:v>2006-08</x:v>
      </x:c>
      <x:c r="B28" s="110" t="n">
        <x:v>-0.05088714774135372</x:v>
      </x:c>
      <x:c r="C28" s="110" t="n">
        <x:v>-0.018513536558856607</x:v>
      </x:c>
      <x:c r="D28" s="110" t="n">
        <x:v>-0.03237361118249711</x:v>
      </x:c>
      <x:c r="E28" s="112" t="n">
        <x:v>2388.9835483870975</x:v>
      </x:c>
      <x:c r="F28" s="112" t="n">
        <x:v>2467.5890802716585</x:v>
      </x:c>
      <x:c r="G28" s="110" t="n">
        <x:v>0.004938013250958489</x:v>
      </x:c>
      <x:c r="H28" s="110" t="n">
        <x:v>0.0022021278092971774</x:v>
      </x:c>
      <x:c r="I28" s="110" t="n">
        <x:v>0.0009963993456185618</x:v>
      </x:c>
      <x:c r="J28" s="110" t="n">
        <x:v>0.0005472185390403293</x:v>
      </x:c>
      <x:c r="K28" s="110" t="n">
        <x:v>0.00006693830686486913</x:v>
      </x:c>
      <x:c r="L28" s="110" t="n">
        <x:v>-0.0019761603384978463</x:v>
      </x:c>
      <x:c r="M28" s="110" t="n">
        <x:v>-0.0019529189015762023</x:v>
      </x:c>
      <x:c r="N28" s="110" t="n">
        <x:v>-0.0048320592867506845</x:v>
      </x:c>
      <x:c r="O28" s="110" t="n">
        <x:v>-0.004449875999868268</x:v>
      </x:c>
      <x:c r="P28" s="110" t="n">
        <x:v>-0.007401583867066839</x:v>
      </x:c>
      <x:c r="Q28" s="110" t="n">
        <x:v>0.00045415055460068586</x:v>
      </x:c>
      <x:c r="R28" s="110" t="n">
        <x:v>-0.0013346295508883332</x:v>
      </x:c>
      <x:c r="S28" s="110" t="n">
        <x:v>-0.005771156420588548</x:v>
      </x:c>
      <x:c r="T28" s="110" t="n">
        <x:v>0</x:v>
      </x:c>
      <x:c r="U28" s="110" t="n">
        <x:v>-0.01851353655885661</x:v>
      </x:c>
      <x:c r="V28" s="113" t="n">
        <x:f>C28-U28</x:f>
        <x:v>3.469446951953614e-18</x:v>
      </x:c>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64" t="str">
        <x:v>2006-09</x:v>
      </x:c>
      <x:c r="B29" s="110" t="n">
        <x:v>0.004062555075931229</x:v>
      </x:c>
      <x:c r="C29" s="110" t="n">
        <x:v>0.01019586178090279</x:v>
      </x:c>
      <x:c r="D29" s="110" t="n">
        <x:v>-0.006133306704971562</x:v>
      </x:c>
      <x:c r="E29" s="112" t="n">
        <x:v>2398.7086666666664</x:v>
      </x:c>
      <x:c r="F29" s="112" t="n">
        <x:v>2413.4658916479325</x:v>
      </x:c>
      <x:c r="G29" s="110" t="n">
        <x:v>0.004938013250958489</x:v>
      </x:c>
      <x:c r="H29" s="110" t="n">
        <x:v>0.0042247610223318955</x:v>
      </x:c>
      <x:c r="I29" s="110" t="n">
        <x:v>0.0006735062696318493</x:v>
      </x:c>
      <x:c r="J29" s="110" t="n">
        <x:v>-0.0004639001034187105</x:v>
      </x:c>
      <x:c r="K29" s="110" t="n">
        <x:v>-0.000009292514506994045</x:v>
      </x:c>
      <x:c r="L29" s="110" t="n">
        <x:v>0.0007311517090633646</x:v>
      </x:c>
      <x:c r="M29" s="110" t="n">
        <x:v>-0.0012955157954199856</x:v>
      </x:c>
      <x:c r="N29" s="110" t="n">
        <x:v>0.001497142628714007</x:v>
      </x:c>
      <x:c r="O29" s="110" t="n">
        <x:v>-0.005657184325187556</x:v>
      </x:c>
      <x:c r="P29" s="110" t="n">
        <x:v>0.005223584550820067</x:v>
      </x:c>
      <x:c r="Q29" s="110" t="n">
        <x:v>-0.00008967997878858701</x:v>
      </x:c>
      <x:c r="R29" s="110" t="n">
        <x:v>-0.0016246961906185753</x:v>
      </x:c>
      <x:c r="S29" s="110" t="n">
        <x:v>0.002047971257323524</x:v>
      </x:c>
      <x:c r="T29" s="110" t="n">
        <x:v>0</x:v>
      </x:c>
      <x:c r="U29" s="110" t="n">
        <x:v>0.01019586178090279</x:v>
      </x:c>
      <x:c r="V29" s="113" t="n">
        <x:f>C29-U29</x:f>
        <x:v>0</x:v>
      </x:c>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64" t="str">
        <x:v>2006-10</x:v>
      </x:c>
      <x:c r="B30" s="110" t="n">
        <x:v>-0.015507999218544732</x:v>
      </x:c>
      <x:c r="C30" s="110" t="n">
        <x:v>-0.009617308888122057</x:v>
      </x:c>
      <x:c r="D30" s="110" t="n">
        <x:v>-0.005890690330422676</x:v>
      </x:c>
      <x:c r="E30" s="112" t="n">
        <x:v>2361.7964516129027</x:v>
      </x:c>
      <x:c r="F30" s="112" t="n">
        <x:v>2375.750121156365</x:v>
      </x:c>
      <x:c r="G30" s="110" t="n">
        <x:v>0.004938013250958489</x:v>
      </x:c>
      <x:c r="H30" s="110" t="n">
        <x:v>0.00032287230552262216</x:v>
      </x:c>
      <x:c r="I30" s="110" t="n">
        <x:v>0.0006767518361700749</x:v>
      </x:c>
      <x:c r="J30" s="110" t="n">
        <x:v>-0.001112089289017445</x:v>
      </x:c>
      <x:c r="K30" s="110" t="n">
        <x:v>0.00011568712036559907</x:v>
      </x:c>
      <x:c r="L30" s="110" t="n">
        <x:v>0.0009105840620795733</x:v>
      </x:c>
      <x:c r="M30" s="110" t="n">
        <x:v>-0.001059259757049951</x:v>
      </x:c>
      <x:c r="N30" s="110" t="n">
        <x:v>-0.0038416319577837263</x:v>
      </x:c>
      <x:c r="O30" s="110" t="n">
        <x:v>-0.0005875721229718024</x:v>
      </x:c>
      <x:c r="P30" s="110" t="n">
        <x:v>-0.0012607444348251293</x:v>
      </x:c>
      <x:c r="Q30" s="110" t="n">
        <x:v>-0.00017411734078508808</x:v>
      </x:c>
      <x:c r="R30" s="110" t="n">
        <x:v>-0.00195734442033035</x:v>
      </x:c>
      <x:c r="S30" s="110" t="n">
        <x:v>-0.006588458140454922</x:v>
      </x:c>
      <x:c r="T30" s="110" t="n">
        <x:v>0</x:v>
      </x:c>
      <x:c r="U30" s="110" t="n">
        <x:v>-0.009617308888122057</x:v>
      </x:c>
      <x:c r="V30" s="113" t="n">
        <x:f>C30-U30</x:f>
        <x:v>0</x:v>
      </x:c>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64" t="str">
        <x:v>2006-11</x:v>
      </x:c>
      <x:c r="B31" s="110" t="n">
        <x:v>-0.03067947212335209</x:v>
      </x:c>
      <x:c r="C31" s="110" t="n">
        <x:v>-0.008309133394837121</x:v>
      </x:c>
      <x:c r="D31" s="110" t="n">
        <x:v>-0.02237033872851497</x:v>
      </x:c>
      <x:c r="E31" s="112" t="n">
        <x:v>2290.4380000000006</x:v>
      </x:c>
      <x:c r="F31" s="112" t="n">
        <x:v>2342.2532757137915</x:v>
      </x:c>
      <x:c r="G31" s="110" t="n">
        <x:v>0.004938013250958489</x:v>
      </x:c>
      <x:c r="H31" s="110" t="n">
        <x:v>0.00021592483771202986</x:v>
      </x:c>
      <x:c r="I31" s="110" t="n">
        <x:v>0.0008731488708599971</x:v>
      </x:c>
      <x:c r="J31" s="110" t="n">
        <x:v>-0.0016946122499313472</x:v>
      </x:c>
      <x:c r="K31" s="110" t="n">
        <x:v>-0.00012093591730432554</x:v>
      </x:c>
      <x:c r="L31" s="110" t="n">
        <x:v>-0.002190827740657587</x:v>
      </x:c>
      <x:c r="M31" s="110" t="n">
        <x:v>-0.0006257867896807644</x:v>
      </x:c>
      <x:c r="N31" s="110" t="n">
        <x:v>0.001277474976974221</x:v>
      </x:c>
      <x:c r="O31" s="110" t="n">
        <x:v>-0.0023162027218371203</x:v>
      </x:c>
      <x:c r="P31" s="110" t="n">
        <x:v>-0.003881139991088617</x:v>
      </x:c>
      <x:c r="Q31" s="110" t="n">
        <x:v>0.00024774858649322736</x:v>
      </x:c>
      <x:c r="R31" s="110" t="n">
        <x:v>-0.0020579165198741415</x:v>
      </x:c>
      <x:c r="S31" s="110" t="n">
        <x:v>-0.002974021987461182</x:v>
      </x:c>
      <x:c r="T31" s="110" t="n">
        <x:v>0</x:v>
      </x:c>
      <x:c r="U31" s="110" t="n">
        <x:v>-0.008309133394837121</x:v>
      </x:c>
      <x:c r="V31" s="113" t="n">
        <x:f>C31-U31</x:f>
        <x:v>0</x:v>
      </x:c>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64" t="str">
        <x:v>2006-12</x:v>
      </x:c>
      <x:c r="B32" s="110" t="n">
        <x:v>-0.01306614007567486</x:v>
      </x:c>
      <x:c r="C32" s="110" t="n">
        <x:v>-0.009387314053728125</x:v>
      </x:c>
      <x:c r="D32" s="110" t="n">
        <x:v>-0.003678826021946734</x:v>
      </x:c>
      <x:c r="E32" s="112" t="n">
        <x:v>2260.7054838709682</x:v>
      </x:c>
      <x:c r="F32" s="112" t="n">
        <x:v>2269.0375427334643</x:v>
      </x:c>
      <x:c r="G32" s="110" t="n">
        <x:v>0.004938013250958489</x:v>
      </x:c>
      <x:c r="H32" s="110" t="n">
        <x:v>-0.002516571887906669</x:v>
      </x:c>
      <x:c r="I32" s="110" t="n">
        <x:v>0.000723664901674748</x:v>
      </x:c>
      <x:c r="J32" s="110" t="n">
        <x:v>-0.0015886989843106407</x:v>
      </x:c>
      <x:c r="K32" s="110" t="n">
        <x:v>0.0001957429846106654</x:v>
      </x:c>
      <x:c r="L32" s="110" t="n">
        <x:v>-0.0019763720233280475</x:v>
      </x:c>
      <x:c r="M32" s="110" t="n">
        <x:v>0.0001909892885858744</x:v>
      </x:c>
      <x:c r="N32" s="110" t="n">
        <x:v>-0.0012699120620526191</x:v>
      </x:c>
      <x:c r="O32" s="110" t="n">
        <x:v>-0.005917408527938668</x:v>
      </x:c>
      <x:c r="P32" s="110" t="n">
        <x:v>0.003737819529415058</x:v>
      </x:c>
      <x:c r="Q32" s="110" t="n">
        <x:v>0.000006442082693131457</x:v>
      </x:c>
      <x:c r="R32" s="110" t="n">
        <x:v>-0.0017780720583365965</x:v>
      </x:c>
      <x:c r="S32" s="110" t="n">
        <x:v>-0.00413295054779285</x:v>
      </x:c>
      <x:c r="T32" s="110" t="n">
        <x:v>0</x:v>
      </x:c>
      <x:c r="U32" s="110" t="n">
        <x:v>-0.009387314053728125</x:v>
      </x:c>
      <x:c r="V32" s="113" t="n">
        <x:f>C32-U32</x:f>
        <x:v>0</x:v>
      </x:c>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64" t="str">
        <x:v>2007-01</x:v>
      </x:c>
      <x:c r="B33" s="110" t="n">
        <x:v>-0.010897919068785455</x:v>
      </x:c>
      <x:c r="C33" s="110" t="n">
        <x:v>0.001730650322894211</x:v>
      </x:c>
      <x:c r="D33" s="110" t="n">
        <x:v>-0.012628569391679667</x:v>
      </x:c>
      <x:c r="E33" s="112" t="n">
        <x:v>2236.202258064517</x:v>
      </x:c>
      <x:c r="F33" s="112" t="n">
        <x:v>2264.6213620771528</x:v>
      </x:c>
      <x:c r="G33" s="110" t="n">
        <x:v>0.004938013250958489</x:v>
      </x:c>
      <x:c r="H33" s="110" t="n">
        <x:v>0.003809933826710018</x:v>
      </x:c>
      <x:c r="I33" s="110" t="n">
        <x:v>0.0005073501808119175</x:v>
      </x:c>
      <x:c r="J33" s="110" t="n">
        <x:v>-0.0008070590840298056</x:v>
      </x:c>
      <x:c r="K33" s="110" t="n">
        <x:v>0.000039629895506101764</x:v>
      </x:c>
      <x:c r="L33" s="110" t="n">
        <x:v>0.0028536190286849368</x:v>
      </x:c>
      <x:c r="M33" s="110" t="n">
        <x:v>0.0001003858853582219</x:v>
      </x:c>
      <x:c r="N33" s="110" t="n">
        <x:v>-0.002478148481436481</x:v>
      </x:c>
      <x:c r="O33" s="110" t="n">
        <x:v>0.0003166282192028417</x:v>
      </x:c>
      <x:c r="P33" s="110" t="n">
        <x:v>-0.007572334900614887</x:v>
      </x:c>
      <x:c r="Q33" s="110" t="n">
        <x:v>-0.00004409798433953769</x:v>
      </x:c>
      <x:c r="R33" s="110" t="n">
        <x:v>-0.001820769489229234</x:v>
      </x:c>
      <x:c r="S33" s="110" t="n">
        <x:v>0.001887499975311633</x:v>
      </x:c>
      <x:c r="T33" s="110" t="n">
        <x:v>0</x:v>
      </x:c>
      <x:c r="U33" s="110" t="n">
        <x:v>0.0017306503228942114</x:v>
      </x:c>
      <x:c r="V33" s="113" t="n">
        <x:f>C33-U33</x:f>
        <x:v>-4.336808689942018e-19</x:v>
      </x:c>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64" t="str">
        <x:v>2007-02</x:v>
      </x:c>
      <x:c r="B34" s="110" t="n">
        <x:v>-0.0038678616028011703</x:v>
      </x:c>
      <x:c r="C34" s="110" t="n">
        <x:v>-0.012041224935913718</x:v>
      </x:c>
      <x:c r="D34" s="110" t="n">
        <x:v>0.008173363333112547</x:v>
      </x:c>
      <x:c r="E34" s="112" t="n">
        <x:v>2227.569642857143</x:v>
      </x:c>
      <x:c r="F34" s="112" t="n">
        <x:v>2209.4371096507844</x:v>
      </x:c>
      <x:c r="G34" s="110" t="n">
        <x:v>0.004938013250958489</x:v>
      </x:c>
      <x:c r="H34" s="110" t="n">
        <x:v>-0.003210800731940601</x:v>
      </x:c>
      <x:c r="I34" s="110" t="n">
        <x:v>0.0007073364334271511</x:v>
      </x:c>
      <x:c r="J34" s="110" t="n">
        <x:v>-0.0009934664315222536</x:v>
      </x:c>
      <x:c r="K34" s="110" t="n">
        <x:v>0.0003499083513736578</x:v>
      </x:c>
      <x:c r="L34" s="110" t="n">
        <x:v>-0.0009783147714819706</x:v>
      </x:c>
      <x:c r="M34" s="110" t="n">
        <x:v>0.00014387946952468405</x:v>
      </x:c>
      <x:c r="N34" s="110" t="n">
        <x:v>-0.0002328276955683907</x:v>
      </x:c>
      <x:c r="O34" s="110" t="n">
        <x:v>-0.018112254410783457</x:v>
      </x:c>
      <x:c r="P34" s="110" t="n">
        <x:v>0.009343959342673722</x:v>
      </x:c>
      <x:c r="Q34" s="110" t="n">
        <x:v>0.00043350550354439855</x:v>
      </x:c>
      <x:c r="R34" s="110" t="n">
        <x:v>-0.001793983652124493</x:v>
      </x:c>
      <x:c r="S34" s="110" t="n">
        <x:v>-0.0026361795939946536</x:v>
      </x:c>
      <x:c r="T34" s="110" t="n">
        <x:v>0</x:v>
      </x:c>
      <x:c r="U34" s="110" t="n">
        <x:v>-0.012041224935913718</x:v>
      </x:c>
      <x:c r="V34" s="113" t="n">
        <x:f>C34-U34</x:f>
        <x:v>0</x:v>
      </x:c>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64" t="str">
        <x:v>2007-03</x:v>
      </x:c>
      <x:c r="B35" s="110" t="n">
        <x:v>-0.011161657819650728</x:v>
      </x:c>
      <x:c r="C35" s="110" t="n">
        <x:v>-0.018981706746557955</x:v>
      </x:c>
      <x:c r="D35" s="110" t="n">
        <x:v>0.007820048926907228</x:v>
      </x:c>
      <x:c r="E35" s="112" t="n">
        <x:v>2202.8445161290324</x:v>
      </x:c>
      <x:c r="F35" s="112" t="n">
        <x:v>2185.685344460247</x:v>
      </x:c>
      <x:c r="G35" s="110" t="n">
        <x:v>0.004938013250958489</x:v>
      </x:c>
      <x:c r="H35" s="110" t="n">
        <x:v>-0.00023093093025494346</x:v>
      </x:c>
      <x:c r="I35" s="110" t="n">
        <x:v>0.0006426624197404265</x:v>
      </x:c>
      <x:c r="J35" s="110" t="n">
        <x:v>-0.0015930111672680547</x:v>
      </x:c>
      <x:c r="K35" s="110" t="n">
        <x:v>-3.730180034572513e-7</x:v>
      </x:c>
      <x:c r="L35" s="110" t="n">
        <x:v>-0.0012774949206011959</x:v>
      </x:c>
      <x:c r="M35" s="110" t="n">
        <x:v>0.004346551050020413</x:v>
      </x:c>
      <x:c r="N35" s="110" t="n">
        <x:v>0.0011911591001516329</x:v>
      </x:c>
      <x:c r="O35" s="110" t="n">
        <x:v>-0.019199486802259032</x:v>
      </x:c>
      <x:c r="P35" s="110" t="n">
        <x:v>-0.004363451383431824</x:v>
      </x:c>
      <x:c r="Q35" s="110" t="n">
        <x:v>0.00009669060290768403</x:v>
      </x:c>
      <x:c r="R35" s="110" t="n">
        <x:v>-0.001998378691365142</x:v>
      </x:c>
      <x:c r="S35" s="110" t="n">
        <x:v>-0.0015336562571529517</x:v>
      </x:c>
      <x:c r="T35" s="110" t="n">
        <x:v>0</x:v>
      </x:c>
      <x:c r="U35" s="110" t="n">
        <x:v>-0.018981706746557955</x:v>
      </x:c>
      <x:c r="V35" s="113" t="n">
        <x:f>C35-U35</x:f>
        <x:v>0</x:v>
      </x:c>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64" t="str">
        <x:v>2007-04</x:v>
      </x:c>
      <x:c r="B36" s="110" t="n">
        <x:v>-0.026656245024335945</x:v>
      </x:c>
      <x:c r="C36" s="110" t="n">
        <x:v>-0.04539630944515698</x:v>
      </x:c>
      <x:c r="D36" s="110" t="n">
        <x:v>0.01874006442082104</x:v>
      </x:c>
      <x:c r="E36" s="112" t="n">
        <x:v>2144.900666666667</x:v>
      </x:c>
      <x:c r="F36" s="112" t="n">
        <x:v>2105.07938211231</x:v>
      </x:c>
      <x:c r="G36" s="110" t="n">
        <x:v>0.004938013250958489</x:v>
      </x:c>
      <x:c r="H36" s="110" t="n">
        <x:v>-0.002927799621776483</x:v>
      </x:c>
      <x:c r="I36" s="110" t="n">
        <x:v>0.0002641795268986899</x:v>
      </x:c>
      <x:c r="J36" s="110" t="n">
        <x:v>-0.00178350374072016</x:v>
      </x:c>
      <x:c r="K36" s="110" t="n">
        <x:v>-0.0000815578116375023</x:v>
      </x:c>
      <x:c r="L36" s="110" t="n">
        <x:v>-0.003829106303309015</x:v>
      </x:c>
      <x:c r="M36" s="110" t="n">
        <x:v>-0.002252489694938776</x:v>
      </x:c>
      <x:c r="N36" s="110" t="n">
        <x:v>-0.004354266060512889</x:v>
      </x:c>
      <x:c r="O36" s="110" t="n">
        <x:v>-0.021896808401483562</x:v>
      </x:c>
      <x:c r="P36" s="110" t="n">
        <x:v>-0.002912017334323954</x:v>
      </x:c>
      <x:c r="Q36" s="110" t="n">
        <x:v>0.0001209369164490079</x:v>
      </x:c>
      <x:c r="R36" s="110" t="n">
        <x:v>-0.002001652248282431</x:v>
      </x:c>
      <x:c r="S36" s="110" t="n">
        <x:v>-0.008680237922478398</x:v>
      </x:c>
      <x:c r="T36" s="110" t="n">
        <x:v>0</x:v>
      </x:c>
      <x:c r="U36" s="110" t="n">
        <x:v>-0.04539630944515698</x:v>
      </x:c>
      <x:c r="V36" s="113" t="n">
        <x:f>C36-U36</x:f>
        <x:v>0</x:v>
      </x:c>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64" t="str">
        <x:v>2007-05</x:v>
      </x:c>
      <x:c r="B37" s="110" t="n">
        <x:v>-0.06524936632637068</x:v>
      </x:c>
      <x:c r="C37" s="110" t="n">
        <x:v>-0.021771019163339986</x:v>
      </x:c>
      <x:c r="D37" s="110" t="n">
        <x:v>-0.0434783471630307</x:v>
      </x:c>
      <x:c r="E37" s="112" t="n">
        <x:v>2009.4154838709676</x:v>
      </x:c>
      <x:c r="F37" s="112" t="n">
        <x:v>2098.708641366323</x:v>
      </x:c>
      <x:c r="G37" s="110" t="n">
        <x:v>0.004938013250958489</x:v>
      </x:c>
      <x:c r="H37" s="110" t="n">
        <x:v>-0.0024792958028309296</x:v>
      </x:c>
      <x:c r="I37" s="110" t="n">
        <x:v>0.0006213201272011797</x:v>
      </x:c>
      <x:c r="J37" s="110" t="n">
        <x:v>-0.0013895820449437019</x:v>
      </x:c>
      <x:c r="K37" s="110" t="n">
        <x:v>0.00012119529008944617</x:v>
      </x:c>
      <x:c r="L37" s="110" t="n">
        <x:v>-0.0025551797782564644</x:v>
      </x:c>
      <x:c r="M37" s="110" t="n">
        <x:v>0.00039384285751967684</x:v>
      </x:c>
      <x:c r="N37" s="110" t="n">
        <x:v>-0.0018880981512962513</x:v>
      </x:c>
      <x:c r="O37" s="110" t="n">
        <x:v>-0.01152709821112687</x:v>
      </x:c>
      <x:c r="P37" s="110" t="n">
        <x:v>0.004070525923385856</x:v>
      </x:c>
      <x:c r="Q37" s="110" t="n">
        <x:v>-0.00031032672844068005</x:v>
      </x:c>
      <x:c r="R37" s="110" t="n">
        <x:v>-0.001960874555289509</x:v>
      </x:c>
      <x:c r="S37" s="110" t="n">
        <x:v>-0.009805461340310226</x:v>
      </x:c>
      <x:c r="T37" s="110" t="n">
        <x:v>0</x:v>
      </x:c>
      <x:c r="U37" s="110" t="n">
        <x:v>-0.021771019163339986</x:v>
      </x:c>
      <x:c r="V37" s="113" t="n">
        <x:f>C37-U37</x:f>
        <x:v>0</x:v>
      </x:c>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64" t="str">
        <x:v>2007-06</x:v>
      </x:c>
      <x:c r="B38" s="110" t="n">
        <x:v>-0.04367958327761645</x:v>
      </x:c>
      <x:c r="C38" s="110" t="n">
        <x:v>-0.015650874230998098</x:v>
      </x:c>
      <x:c r="D38" s="110" t="n">
        <x:v>-0.028028709046618354</x:v>
      </x:c>
      <x:c r="E38" s="112" t="n">
        <x:v>1923.534333333333</x:v>
      </x:c>
      <x:c r="F38" s="112" t="n">
        <x:v>1978.2111989787536</x:v>
      </x:c>
      <x:c r="G38" s="110" t="n">
        <x:v>0.004938013250958489</x:v>
      </x:c>
      <x:c r="H38" s="110" t="n">
        <x:v>-0.0002347817625338762</x:v>
      </x:c>
      <x:c r="I38" s="110" t="n">
        <x:v>-0.000487879490757881</x:v>
      </x:c>
      <x:c r="J38" s="110" t="n">
        <x:v>-0.0021182653124141838</x:v>
      </x:c>
      <x:c r="K38" s="110" t="n">
        <x:v>0.0002895992027943137</x:v>
      </x:c>
      <x:c r="L38" s="110" t="n">
        <x:v>-0.0007847652666142485</x:v>
      </x:c>
      <x:c r="M38" s="110" t="n">
        <x:v>0.00165630498086632</x:v>
      </x:c>
      <x:c r="N38" s="110" t="n">
        <x:v>-0.0032842780103007644</x:v>
      </x:c>
      <x:c r="O38" s="110" t="n">
        <x:v>-0.009001624771531273</x:v>
      </x:c>
      <x:c r="P38" s="110" t="n">
        <x:v>-0.0023878183624612467</x:v>
      </x:c>
      <x:c r="Q38" s="110" t="n">
        <x:v>0.0000035327959822870365</x:v>
      </x:c>
      <x:c r="R38" s="110" t="n">
        <x:v>-0.0019840234497201276</x:v>
      </x:c>
      <x:c r="S38" s="110" t="n">
        <x:v>-0.0022548880352659065</x:v>
      </x:c>
      <x:c r="T38" s="110" t="n">
        <x:v>0</x:v>
      </x:c>
      <x:c r="U38" s="110" t="n">
        <x:v>-0.015650874230998098</x:v>
      </x:c>
      <x:c r="V38" s="113" t="n">
        <x:f>C38-U38</x:f>
        <x:v>0</x:v>
      </x:c>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64" t="str">
        <x:v>2007-07</x:v>
      </x:c>
      <x:c r="B39" s="110" t="n">
        <x:v>0.014610042929533051</x:v>
      </x:c>
      <x:c r="C39" s="110" t="n">
        <x:v>0.0041974841254929065</x:v>
      </x:c>
      <x:c r="D39" s="110" t="n">
        <x:v>0.010412558804040146</x:v>
      </x:c>
      <x:c r="E39" s="112" t="n">
        <x:v>1951.8435483870976</x:v>
      </x:c>
      <x:c r="F39" s="112" t="n">
        <x:v>1931.625307149935</x:v>
      </x:c>
      <x:c r="G39" s="110" t="n">
        <x:v>0.004938013250958489</x:v>
      </x:c>
      <x:c r="H39" s="110" t="n">
        <x:v>-0.0009998685623588035</x:v>
      </x:c>
      <x:c r="I39" s="110" t="n">
        <x:v>-0.00013416457117911755</x:v>
      </x:c>
      <x:c r="J39" s="110" t="n">
        <x:v>-0.0018217081686761993</x:v>
      </x:c>
      <x:c r="K39" s="110" t="n">
        <x:v>-0.0001108251981933975</x:v>
      </x:c>
      <x:c r="L39" s="110" t="n">
        <x:v>-0.003530467433654635</x:v>
      </x:c>
      <x:c r="M39" s="110" t="n">
        <x:v>0.0020479105967102416</x:v>
      </x:c>
      <x:c r="N39" s="110" t="n">
        <x:v>0.004112910427797555</x:v>
      </x:c>
      <x:c r="O39" s="110" t="n">
        <x:v>0.005863572981111359</x:v>
      </x:c>
      <x:c r="P39" s="110" t="n">
        <x:v>0.0036010827829258134</x:v>
      </x:c>
      <x:c r="Q39" s="110" t="n">
        <x:v>-0.000751323676577794</x:v>
      </x:c>
      <x:c r="R39" s="110" t="n">
        <x:v>-0.001504921842678249</x:v>
      </x:c>
      <x:c r="S39" s="110" t="n">
        <x:v>-0.007512726460692354</x:v>
      </x:c>
      <x:c r="T39" s="110" t="n">
        <x:v>0</x:v>
      </x:c>
      <x:c r="U39" s="110" t="n">
        <x:v>0.0041974841254929065</x:v>
      </x:c>
      <x:c r="V39" s="113" t="n">
        <x:f>C39-U39</x:f>
        <x:v>0</x:v>
      </x:c>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64" t="str">
        <x:v>2007-08</x:v>
      </x:c>
      <x:c r="B40" s="110" t="n">
        <x:v>0.052030216662443785</x:v>
      </x:c>
      <x:c r="C40" s="110" t="n">
        <x:v>0.02089550250573779</x:v>
      </x:c>
      <x:c r="D40" s="110" t="n">
        <x:v>0.031134714156705996</x:v>
      </x:c>
      <x:c r="E40" s="112" t="n">
        <x:v>2056.0867741935485</x:v>
      </x:c>
      <x:c r="F40" s="112" t="n">
        <x:v>1993.0573925737015</x:v>
      </x:c>
      <x:c r="G40" s="110" t="n">
        <x:v>0.004938013250958489</x:v>
      </x:c>
      <x:c r="H40" s="110" t="n">
        <x:v>0.0025564018697330723</x:v>
      </x:c>
      <x:c r="I40" s="110" t="n">
        <x:v>0.0009867622859366983</x:v>
      </x:c>
      <x:c r="J40" s="110" t="n">
        <x:v>-0.0010252404112084665</x:v>
      </x:c>
      <x:c r="K40" s="110" t="n">
        <x:v>-0.00011656853437897431</x:v>
      </x:c>
      <x:c r="L40" s="110" t="n">
        <x:v>0.0015854545285483867</x:v>
      </x:c>
      <x:c r="M40" s="110" t="n">
        <x:v>0.005250418815057439</x:v>
      </x:c>
      <x:c r="N40" s="110" t="n">
        <x:v>0.007744710812227229</x:v>
      </x:c>
      <x:c r="O40" s="110" t="n">
        <x:v>-0.002859641887071916</x:v>
      </x:c>
      <x:c r="P40" s="110" t="n">
        <x:v>-0.004299282486176953</x:v>
      </x:c>
      <x:c r="Q40" s="110" t="n">
        <x:v>0.0005432492024822661</x:v>
      </x:c>
      <x:c r="R40" s="110" t="n">
        <x:v>-0.0014605400708301332</x:v>
      </x:c>
      <x:c r="S40" s="110" t="n">
        <x:v>0.007051765130460647</x:v>
      </x:c>
      <x:c r="T40" s="110" t="n">
        <x:v>0</x:v>
      </x:c>
      <x:c r="U40" s="110" t="n">
        <x:v>0.02089550250573779</x:v>
      </x:c>
      <x:c r="V40" s="113" t="n">
        <x:f>C40-U40</x:f>
        <x:v>0</x:v>
      </x:c>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64" t="str">
        <x:v>2007-09</x:v>
      </x:c>
      <x:c r="B41" s="110" t="n">
        <x:v>0.02747912001290409</x:v>
      </x:c>
      <x:c r="C41" s="110" t="n">
        <x:v>-0.012805609368810296</x:v>
      </x:c>
      <x:c r="D41" s="110" t="n">
        <x:v>0.04028472938171439</x:v>
      </x:c>
      <x:c r="E41" s="112" t="n">
        <x:v>2113.3696666666665</x:v>
      </x:c>
      <x:c r="F41" s="112" t="n">
        <x:v>2029.9251951208037</x:v>
      </x:c>
      <x:c r="G41" s="110" t="n">
        <x:v>0.004938013250958489</x:v>
      </x:c>
      <x:c r="H41" s="110" t="n">
        <x:v>-0.0034965146902221533</x:v>
      </x:c>
      <x:c r="I41" s="110" t="n">
        <x:v>0.0013791109387258167</x:v>
      </x:c>
      <x:c r="J41" s="110" t="n">
        <x:v>-0.0031117317439364432</x:v>
      </x:c>
      <x:c r="K41" s="110" t="n">
        <x:v>0.000059594387268110286</x:v>
      </x:c>
      <x:c r="L41" s="110" t="n">
        <x:v>-0.003801291571427276</x:v>
      </x:c>
      <x:c r="M41" s="110" t="n">
        <x:v>-0.0016975855453239283</x:v>
      </x:c>
      <x:c r="N41" s="110" t="n">
        <x:v>-0.0008863965034121448</x:v>
      </x:c>
      <x:c r="O41" s="110" t="n">
        <x:v>0.0012044325023014453</x:v>
      </x:c>
      <x:c r="P41" s="110" t="n">
        <x:v>0.0038857642945722727</x:v>
      </x:c>
      <x:c r="Q41" s="110" t="n">
        <x:v>-0.000362325958221748</x:v>
      </x:c>
      <x:c r="R41" s="110" t="n">
        <x:v>-0.0017798298498354524</x:v>
      </x:c>
      <x:c r="S41" s="110" t="n">
        <x:v>-0.009136848880257283</x:v>
      </x:c>
      <x:c r="T41" s="110" t="n">
        <x:v>0</x:v>
      </x:c>
      <x:c r="U41" s="110" t="n">
        <x:v>-0.012805609368810296</x:v>
      </x:c>
      <x:c r="V41" s="113" t="n">
        <x:f>C41-U41</x:f>
        <x:v>0</x:v>
      </x:c>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64" t="str">
        <x:v>2007-10</x:v>
      </x:c>
      <x:c r="B42" s="110" t="n">
        <x:v>-0.054593574392353794</x:v>
      </x:c>
      <x:c r="C42" s="110" t="n">
        <x:v>-0.04691667885626141</x:v>
      </x:c>
      <x:c r="D42" s="110" t="n">
        <x:v>-0.007676895536092382</x:v>
      </x:c>
      <x:c r="E42" s="112" t="n">
        <x:v>2001.086129032258</x:v>
      </x:c>
      <x:c r="F42" s="112" t="n">
        <x:v>2016.5073761178464</x:v>
      </x:c>
      <x:c r="G42" s="110" t="n">
        <x:v>0.004938013250958489</x:v>
      </x:c>
      <x:c r="H42" s="110" t="n">
        <x:v>-0.0025495552141764004</x:v>
      </x:c>
      <x:c r="I42" s="110" t="n">
        <x:v>0.0013253365041100992</x:v>
      </x:c>
      <x:c r="J42" s="110" t="n">
        <x:v>-0.0005253297974787127</x:v>
      </x:c>
      <x:c r="K42" s="110" t="n">
        <x:v>-0.00012026580197342798</x:v>
      </x:c>
      <x:c r="L42" s="110" t="n">
        <x:v>-0.005955628192496611</x:v>
      </x:c>
      <x:c r="M42" s="110" t="n">
        <x:v>-0.0021176630916950006</x:v>
      </x:c>
      <x:c r="N42" s="110" t="n">
        <x:v>-0.0030369978559530867</x:v>
      </x:c>
      <x:c r="O42" s="110" t="n">
        <x:v>-0.006140408051119569</x:v>
      </x:c>
      <x:c r="P42" s="110" t="n">
        <x:v>-0.004365677399618351</x:v>
      </x:c>
      <x:c r="Q42" s="110" t="n">
        <x:v>0.0004889755876069283</x:v>
      </x:c>
      <x:c r="R42" s="110" t="n">
        <x:v>-0.0019397971302321803</x:v>
      </x:c>
      <x:c r="S42" s="110" t="n">
        <x:v>-0.026917681664193588</x:v>
      </x:c>
      <x:c r="T42" s="110" t="n">
        <x:v>0</x:v>
      </x:c>
      <x:c r="U42" s="110" t="n">
        <x:v>-0.04691667885626141</x:v>
      </x:c>
      <x:c r="V42" s="113" t="n">
        <x:f>C42-U42</x:f>
        <x:v>0</x:v>
      </x:c>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64" t="str">
        <x:v>2007-11</x:v>
      </x:c>
      <x:c r="B43" s="110" t="n">
        <x:v>0.022371041441997086</x:v>
      </x:c>
      <x:c r="C43" s="110" t="n">
        <x:v>0.003980773795695068</x:v>
      </x:c>
      <x:c r="D43" s="110" t="n">
        <x:v>0.018390267646302017</x:v>
      </x:c>
      <x:c r="E43" s="112" t="n">
        <x:v>2046.357</x:v>
      </x:c>
      <x:c r="F43" s="112" t="n">
        <x:v>2009.0678764829197</x:v>
      </x:c>
      <x:c r="G43" s="110" t="n">
        <x:v>0.004938013250958489</x:v>
      </x:c>
      <x:c r="H43" s="110" t="n">
        <x:v>0.000505067289955796</x:v>
      </x:c>
      <x:c r="I43" s="110" t="n">
        <x:v>0.0016342650326151638</x:v>
      </x:c>
      <x:c r="J43" s="110" t="n">
        <x:v>-0.0011819920443271196</x:v>
      </x:c>
      <x:c r="K43" s="110" t="n">
        <x:v>-0.00003474700052748089</x:v>
      </x:c>
      <x:c r="L43" s="110" t="n">
        <x:v>-0.004014117254825512</x:v>
      </x:c>
      <x:c r="M43" s="110" t="n">
        <x:v>0.004126589231837573</x:v>
      </x:c>
      <x:c r="N43" s="110" t="n">
        <x:v>0.0055077035141226785</x:v>
      </x:c>
      <x:c r="O43" s="110" t="n">
        <x:v>-0.0015695752389331978</x:v>
      </x:c>
      <x:c r="P43" s="110" t="n">
        <x:v>-0.0012159787448180655</x:v>
      </x:c>
      <x:c r="Q43" s="110" t="n">
        <x:v>-0.00017582669467029993</x:v>
      </x:c>
      <x:c r="R43" s="110" t="n">
        <x:v>-0.0019252265006508278</x:v>
      </x:c>
      <x:c r="S43" s="110" t="n">
        <x:v>-0.0026134010450421293</x:v>
      </x:c>
      <x:c r="T43" s="110" t="n">
        <x:v>0</x:v>
      </x:c>
      <x:c r="U43" s="110" t="n">
        <x:v>0.003980773795695068</x:v>
      </x:c>
      <x:c r="V43" s="113" t="n">
        <x:f>C43-U43</x:f>
        <x:v>0</x:v>
      </x:c>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64" t="str">
        <x:v>2007-12</x:v>
      </x:c>
      <x:c r="B44" s="110" t="n">
        <x:v>-0.01602051495951251</x:v>
      </x:c>
      <x:c r="C44" s="110" t="n">
        <x:v>-0.0009675292832881605</x:v>
      </x:c>
      <x:c r="D44" s="110" t="n">
        <x:v>-0.01505298567622435</x:v>
      </x:c>
      <x:c r="E44" s="112" t="n">
        <x:v>2013.8345161290322</x:v>
      </x:c>
      <x:c r="F44" s="112" t="n">
        <x:v>2044.3780471802163</x:v>
      </x:c>
      <x:c r="G44" s="110" t="n">
        <x:v>0.004938013250958489</x:v>
      </x:c>
      <x:c r="H44" s="110" t="n">
        <x:v>-0.000797350762765468</x:v>
      </x:c>
      <x:c r="I44" s="110" t="n">
        <x:v>0.0020408838655653597</x:v>
      </x:c>
      <x:c r="J44" s="110" t="n">
        <x:v>-0.0020465973360108323</x:v>
      </x:c>
      <x:c r="K44" s="110" t="n">
        <x:v>-0.0000383212181763161</x:v>
      </x:c>
      <x:c r="L44" s="110" t="n">
        <x:v>0.002842735517567151</x:v>
      </x:c>
      <x:c r="M44" s="110" t="n">
        <x:v>-0.0023628659810363975</x:v>
      </x:c>
      <x:c r="N44" s="110" t="n">
        <x:v>-0.001382698141100795</x:v>
      </x:c>
      <x:c r="O44" s="110" t="n">
        <x:v>-0.0030394127707195854</x:v>
      </x:c>
      <x:c r="P44" s="110" t="n">
        <x:v>0.006192905889421004</x:v>
      </x:c>
      <x:c r="Q44" s="110" t="n">
        <x:v>-0.00010732358478272641</x:v>
      </x:c>
      <x:c r="R44" s="110" t="n">
        <x:v>-0.0019339261356719451</x:v>
      </x:c>
      <x:c r="S44" s="110" t="n">
        <x:v>-0.005273571876536097</x:v>
      </x:c>
      <x:c r="T44" s="110" t="n">
        <x:v>0</x:v>
      </x:c>
      <x:c r="U44" s="110" t="n">
        <x:v>-0.0009675292832881594</x:v>
      </x:c>
      <x:c r="V44" s="113" t="n">
        <x:f>C44-U44</x:f>
        <x:v>-1.0842021724855044e-18</x:v>
      </x:c>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64" t="str">
        <x:v>2008-01</x:v>
      </x:c>
      <x:c r="B45" s="110" t="n">
        <x:v>-0.015336892620586795</x:v>
      </x:c>
      <x:c r="C45" s="110" t="n">
        <x:v>-0.009082578332335946</x:v>
      </x:c>
      <x:c r="D45" s="110" t="n">
        <x:v>-0.006254314288250849</x:v>
      </x:c>
      <x:c r="E45" s="112" t="n">
        <x:v>1983.1841935483867</x:v>
      </x:c>
      <x:c r="F45" s="112" t="n">
        <x:v>1995.6265193360339</x:v>
      </x:c>
      <x:c r="G45" s="110" t="n">
        <x:v>0.004938013250958489</x:v>
      </x:c>
      <x:c r="H45" s="110" t="n">
        <x:v>0.0010214701463552517</x:v>
      </x:c>
      <x:c r="I45" s="110" t="n">
        <x:v>0.0008424993819364241</x:v>
      </x:c>
      <x:c r="J45" s="110" t="n">
        <x:v>-0.0030097019647218263</x:v>
      </x:c>
      <x:c r="K45" s="110" t="n">
        <x:v>0.00004033178283483336</x:v>
      </x:c>
      <x:c r="L45" s="110" t="n">
        <x:v>-0.001811631266206258</x:v>
      </x:c>
      <x:c r="M45" s="110" t="n">
        <x:v>0.002491706130643767</x:v>
      </x:c>
      <x:c r="N45" s="110" t="n">
        <x:v>0.007869749099380909</x:v>
      </x:c>
      <x:c r="O45" s="110" t="n">
        <x:v>-0.0009046223885061217</x:v>
      </x:c>
      <x:c r="P45" s="110" t="n">
        <x:v>-0.008735076295522852</x:v>
      </x:c>
      <x:c r="Q45" s="110" t="n">
        <x:v>0.00009856836713934658</x:v>
      </x:c>
      <x:c r="R45" s="110" t="n">
        <x:v>-0.0019673577930962253</x:v>
      </x:c>
      <x:c r="S45" s="110" t="n">
        <x:v>-0.00995652678353168</x:v>
      </x:c>
      <x:c r="T45" s="110" t="n">
        <x:v>0</x:v>
      </x:c>
      <x:c r="U45" s="110" t="n">
        <x:v>-0.009082578332335944</x:v>
      </x:c>
      <x:c r="V45" s="113" t="n">
        <x:f>C45-U45</x:f>
        <x:v>-1.734723475976807e-18</x:v>
      </x:c>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64" t="str">
        <x:v>2008-02</x:v>
      </x:c>
      <x:c r="B46" s="110" t="n">
        <x:v>-0.04006733175866817</x:v>
      </x:c>
      <x:c r="C46" s="110" t="n">
        <x:v>-0.020426740998308997</x:v>
      </x:c>
      <x:c r="D46" s="110" t="n">
        <x:v>-0.01964059076035917</x:v>
      </x:c>
      <x:c r="E46" s="112" t="n">
        <x:v>1905.2941379310348</x:v>
      </x:c>
      <x:c r="F46" s="112" t="n">
        <x:v>1943.0851443940096</x:v>
      </x:c>
      <x:c r="G46" s="110" t="n">
        <x:v>0.004938013250958489</x:v>
      </x:c>
      <x:c r="H46" s="110" t="n">
        <x:v>-0.0028688812803779598</x:v>
      </x:c>
      <x:c r="I46" s="110" t="n">
        <x:v>0.0012085410929247753</x:v>
      </x:c>
      <x:c r="J46" s="110" t="n">
        <x:v>-0.0019699867405451976</x:v>
      </x:c>
      <x:c r="K46" s="110" t="n">
        <x:v>0.00012237427444424404</x:v>
      </x:c>
      <x:c r="L46" s="110" t="n">
        <x:v>-0.0022634804424311976</x:v>
      </x:c>
      <x:c r="M46" s="110" t="n">
        <x:v>-0.00019897319505621138</x:v>
      </x:c>
      <x:c r="N46" s="110" t="n">
        <x:v>0.001534571194431851</x:v>
      </x:c>
      <x:c r="O46" s="110" t="n">
        <x:v>-0.005657460047826686</x:v>
      </x:c>
      <x:c r="P46" s="110" t="n">
        <x:v>0.0020018571654233062</x:v>
      </x:c>
      <x:c r="Q46" s="110" t="n">
        <x:v>0.00018545503824805802</x:v>
      </x:c>
      <x:c r="R46" s="110" t="n">
        <x:v>-0.0023238010864397225</x:v>
      </x:c>
      <x:c r="S46" s="110" t="n">
        <x:v>-0.015134970222062744</x:v>
      </x:c>
      <x:c r="T46" s="110" t="n">
        <x:v>0</x:v>
      </x:c>
      <x:c r="U46" s="110" t="n">
        <x:v>-0.020426740998308997</x:v>
      </x:c>
      <x:c r="V46" s="113" t="n">
        <x:f>C46-U46</x:f>
        <x:v>0</x:v>
      </x:c>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64" t="str">
        <x:v>2008-03</x:v>
      </x:c>
      <x:c r="B47" s="110" t="n">
        <x:v>-0.032974135724953335</x:v>
      </x:c>
      <x:c r="C47" s="110" t="n">
        <x:v>-0.03720331347063602</x:v>
      </x:c>
      <x:c r="D47" s="110" t="n">
        <x:v>0.004229177745682683</x:v>
      </x:c>
      <x:c r="E47" s="112" t="n">
        <x:v>1843.4932258064518</x:v>
      </x:c>
      <x:c r="F47" s="112" t="n">
        <x:v>1835.7132283736034</x:v>
      </x:c>
      <x:c r="G47" s="110" t="n">
        <x:v>0.004938013250958489</x:v>
      </x:c>
      <x:c r="H47" s="110" t="n">
        <x:v>-0.0032833300364915365</x:v>
      </x:c>
      <x:c r="I47" s="110" t="n">
        <x:v>0.0009117444195176565</x:v>
      </x:c>
      <x:c r="J47" s="110" t="n">
        <x:v>-0.006587001641662018</x:v>
      </x:c>
      <x:c r="K47" s="110" t="n">
        <x:v>-0.00006696820061981221</x:v>
      </x:c>
      <x:c r="L47" s="110" t="n">
        <x:v>-0.00549565349420027</x:v>
      </x:c>
      <x:c r="M47" s="110" t="n">
        <x:v>0.0008880830295656872</x:v>
      </x:c>
      <x:c r="N47" s="110" t="n">
        <x:v>0.002134057297442125</x:v>
      </x:c>
      <x:c r="O47" s="110" t="n">
        <x:v>-0.006277822596477788</x:v>
      </x:c>
      <x:c r="P47" s="110" t="n">
        <x:v>0.00012389231413481336</x:v>
      </x:c>
      <x:c r="Q47" s="110" t="n">
        <x:v>0.00005861753219188563</x:v>
      </x:c>
      <x:c r="R47" s="110" t="n">
        <x:v>-0.002556944076829832</x:v>
      </x:c>
      <x:c r="S47" s="110" t="n">
        <x:v>-0.021990001268165422</x:v>
      </x:c>
      <x:c r="T47" s="110" t="n">
        <x:v>0</x:v>
      </x:c>
      <x:c r="U47" s="110" t="n">
        <x:v>-0.03720331347063602</x:v>
      </x:c>
      <x:c r="V47" s="113" t="n">
        <x:f>C47-U47</x:f>
        <x:v>0</x:v>
      </x:c>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64" t="str">
        <x:v>2008-04</x:v>
      </x:c>
      <x:c r="B48" s="110" t="n">
        <x:v>-0.026599862138602326</x:v>
      </x:c>
      <x:c r="C48" s="110" t="n">
        <x:v>-0.017114751889753557</x:v>
      </x:c>
      <x:c r="D48" s="110" t="n">
        <x:v>-0.00948511024884877</x:v>
      </x:c>
      <x:c r="E48" s="112" t="n">
        <x:v>1795.1029999999996</x:v>
      </x:c>
      <x:c r="F48" s="112" t="n">
        <x:v>1812.2107560779107</x:v>
      </x:c>
      <x:c r="G48" s="110" t="n">
        <x:v>0.004938013250958489</x:v>
      </x:c>
      <x:c r="H48" s="110" t="n">
        <x:v>0.0009785526942071615</x:v>
      </x:c>
      <x:c r="I48" s="110" t="n">
        <x:v>0.0007888104395096842</x:v>
      </x:c>
      <x:c r="J48" s="110" t="n">
        <x:v>-0.0037882618585426643</x:v>
      </x:c>
      <x:c r="K48" s="110" t="n">
        <x:v>0.00011202292932023353</x:v>
      </x:c>
      <x:c r="L48" s="110" t="n">
        <x:v>-0.0009014947751811688</x:v>
      </x:c>
      <x:c r="M48" s="110" t="n">
        <x:v>-0.0032386711782947182</x:v>
      </x:c>
      <x:c r="N48" s="110" t="n">
        <x:v>-0.007283087069498558</x:v>
      </x:c>
      <x:c r="O48" s="110" t="n">
        <x:v>-0.0037257024299332414</x:v>
      </x:c>
      <x:c r="P48" s="110" t="n">
        <x:v>0.009703148148896522</x:v>
      </x:c>
      <x:c r="Q48" s="110" t="n">
        <x:v>-0.00020715182392045837</x:v>
      </x:c>
      <x:c r="R48" s="110" t="n">
        <x:v>-0.0026088371428459886</x:v>
      </x:c>
      <x:c r="S48" s="110" t="n">
        <x:v>-0.01188209307442885</x:v>
      </x:c>
      <x:c r="T48" s="110" t="n">
        <x:v>0</x:v>
      </x:c>
      <x:c r="U48" s="110" t="n">
        <x:v>-0.017114751889753557</x:v>
      </x:c>
      <x:c r="V48" s="113" t="n">
        <x:f>C48-U48</x:f>
        <x:v>0</x:v>
      </x:c>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64" t="str">
        <x:v>2008-05</x:v>
      </x:c>
      <x:c r="B49" s="110" t="n">
        <x:v>-0.011174022832282304</x:v>
      </x:c>
      <x:c r="C49" s="110" t="n">
        <x:v>-0.005123660824298172</x:v>
      </x:c>
      <x:c r="D49" s="110" t="n">
        <x:v>-0.0060503620079841326</x:v>
      </x:c>
      <x:c r="E49" s="112" t="n">
        <x:v>1775.1561290322572</x:v>
      </x:c>
      <x:c r="F49" s="112" t="n">
        <x:v>1785.9290233252823</x:v>
      </x:c>
      <x:c r="G49" s="110" t="n">
        <x:v>0.004938013250958489</x:v>
      </x:c>
      <x:c r="H49" s="110" t="n">
        <x:v>-0.0029995173875610828</x:v>
      </x:c>
      <x:c r="I49" s="110" t="n">
        <x:v>0.001354034655996247</x:v>
      </x:c>
      <x:c r="J49" s="110" t="n">
        <x:v>-0.0021669854145997124</x:v>
      </x:c>
      <x:c r="K49" s="110" t="n">
        <x:v>0.00033098012383064006</x:v>
      </x:c>
      <x:c r="L49" s="110" t="n">
        <x:v>0.0008540703525089261</x:v>
      </x:c>
      <x:c r="M49" s="110" t="n">
        <x:v>-0.002320818072255945</x:v>
      </x:c>
      <x:c r="N49" s="110" t="n">
        <x:v>-0.005579458277811712</x:v>
      </x:c>
      <x:c r="O49" s="110" t="n">
        <x:v>-0.0010209689090854748</x:v>
      </x:c>
      <x:c r="P49" s="110" t="n">
        <x:v>-0.006910017195491827</x:v>
      </x:c>
      <x:c r="Q49" s="110" t="n">
        <x:v>0.00006265672030997801</x:v>
      </x:c>
      <x:c r="R49" s="110" t="n">
        <x:v>-0.002138546227168194</x:v>
      </x:c>
      <x:c r="S49" s="110" t="n">
        <x:v>0.010472895556071496</x:v>
      </x:c>
      <x:c r="T49" s="110" t="n">
        <x:v>0</x:v>
      </x:c>
      <x:c r="U49" s="110" t="n">
        <x:v>-0.005123660824298172</x:v>
      </x:c>
      <x:c r="V49" s="113" t="n">
        <x:f>C49-U49</x:f>
        <x:v>0</x:v>
      </x:c>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64" t="str">
        <x:v>2008-06</x:v>
      </x:c>
      <x:c r="B50" s="110" t="n">
        <x:v>-0.024446263124291434</x:v>
      </x:c>
      <x:c r="C50" s="110" t="n">
        <x:v>0.01617483034022527</x:v>
      </x:c>
      <x:c r="D50" s="110" t="n">
        <x:v>-0.0406210934645167</x:v>
      </x:c>
      <x:c r="E50" s="112" t="n">
        <x:v>1732.2863333333335</x:v>
      </x:c>
      <x:c r="F50" s="112" t="n">
        <x:v>1804.1024480587416</x:v>
      </x:c>
      <x:c r="G50" s="110" t="n">
        <x:v>0.004938013250958489</x:v>
      </x:c>
      <x:c r="H50" s="110" t="n">
        <x:v>-0.0012049541048218268</x:v>
      </x:c>
      <x:c r="I50" s="110" t="n">
        <x:v>0.0009913082060524353</x:v>
      </x:c>
      <x:c r="J50" s="110" t="n">
        <x:v>-0.001969986740545186</x:v>
      </x:c>
      <x:c r="K50" s="110" t="n">
        <x:v>-0.00023918441779019424</x:v>
      </x:c>
      <x:c r="L50" s="110" t="n">
        <x:v>0.0007635943175742826</x:v>
      </x:c>
      <x:c r="M50" s="110" t="n">
        <x:v>0.002676061726081939</x:v>
      </x:c>
      <x:c r="N50" s="110" t="n">
        <x:v>0.00023905387600006695</x:v>
      </x:c>
      <x:c r="O50" s="110" t="n">
        <x:v>-0.0021571115208618157</x:v>
      </x:c>
      <x:c r="P50" s="110" t="n">
        <x:v>0.0016162980853275644</x:v>
      </x:c>
      <x:c r="Q50" s="110" t="n">
        <x:v>-0.00015117162192757985</x:v>
      </x:c>
      <x:c r="R50" s="110" t="n">
        <x:v>-0.0023080310032501513</x:v>
      </x:c>
      <x:c r="S50" s="110" t="n">
        <x:v>0.012980940287427247</x:v>
      </x:c>
      <x:c r="T50" s="110" t="n">
        <x:v>0</x:v>
      </x:c>
      <x:c r="U50" s="110" t="n">
        <x:v>0.016174830340225273</x:v>
      </x:c>
      <x:c r="V50" s="113" t="n">
        <x:f>C50-U50</x:f>
        <x:v>-3.469446951953614e-18</x:v>
      </x:c>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64" t="str">
        <x:v>2008-07</x:v>
      </x:c>
      <x:c r="B51" s="110" t="n">
        <x:v>0.02775824529879145</x:v>
      </x:c>
      <x:c r="C51" s="110" t="n">
        <x:v>-0.008920620063462906</x:v>
      </x:c>
      <x:c r="D51" s="110" t="n">
        <x:v>0.036678865362254356</x:v>
      </x:c>
      <x:c r="E51" s="112" t="n">
        <x:v>1781.0451612903223</x:v>
      </x:c>
      <x:c r="F51" s="112" t="n">
        <x:v>1716.9019860913472</x:v>
      </x:c>
      <x:c r="G51" s="110" t="n">
        <x:v>0.004938013250958489</x:v>
      </x:c>
      <x:c r="H51" s="110" t="n">
        <x:v>0.0011834797900049578</x:v>
      </x:c>
      <x:c r="I51" s="110" t="n">
        <x:v>0.0004155421327807428</x:v>
      </x:c>
      <x:c r="J51" s="110" t="n">
        <x:v>0.0001313324493696767</x:v>
      </x:c>
      <x:c r="K51" s="110" t="n">
        <x:v>0.00034249727771339296</x:v>
      </x:c>
      <x:c r="L51" s="110" t="n">
        <x:v>-0.0019075102605216898</x:v>
      </x:c>
      <x:c r="M51" s="110" t="n">
        <x:v>0.0013498997467805852</x:v>
      </x:c>
      <x:c r="N51" s="110" t="n">
        <x:v>0.005606107187856813</x:v>
      </x:c>
      <x:c r="O51" s="110" t="n">
        <x:v>-0.0059297730713719484</x:v>
      </x:c>
      <x:c r="P51" s="110" t="n">
        <x:v>-0.003834438494796986</x:v>
      </x:c>
      <x:c r="Q51" s="110" t="n">
        <x:v>0.00037663876520594304</x:v>
      </x:c>
      <x:c r="R51" s="110" t="n">
        <x:v>-0.002706274644947926</x:v>
      </x:c>
      <x:c r="S51" s="110" t="n">
        <x:v>-0.008886134192494956</x:v>
      </x:c>
      <x:c r="T51" s="110" t="n">
        <x:v>0</x:v>
      </x:c>
      <x:c r="U51" s="110" t="n">
        <x:v>-0.008920620063462906</x:v>
      </x:c>
      <x:c r="V51" s="113" t="n">
        <x:f>C51-U51</x:f>
        <x:v>0</x:v>
      </x:c>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64" t="str">
        <x:v>2008-08</x:v>
      </x:c>
      <x:c r="B52" s="110" t="n">
        <x:v>0.03662079024300713</x:v>
      </x:c>
      <x:c r="C52" s="110" t="n">
        <x:v>0.01654891196521828</x:v>
      </x:c>
      <x:c r="D52" s="110" t="n">
        <x:v>0.02007187827778885</x:v>
      </x:c>
      <x:c r="E52" s="112" t="n">
        <x:v>1847.4774193548383</x:v>
      </x:c>
      <x:c r="F52" s="112" t="n">
        <x:v>1810.764756085894</x:v>
      </x:c>
      <x:c r="G52" s="110" t="n">
        <x:v>0.004938013250958489</x:v>
      </x:c>
      <x:c r="H52" s="110" t="n">
        <x:v>0.006945887921366888</x:v>
      </x:c>
      <x:c r="I52" s="110" t="n">
        <x:v>0.0014340547790305644</x:v>
      </x:c>
      <x:c r="J52" s="110" t="n">
        <x:v>-0.00014616030655658586</x:v>
      </x:c>
      <x:c r="K52" s="110" t="n">
        <x:v>0.00006364224381694574</x:v>
      </x:c>
      <x:c r="L52" s="110" t="n">
        <x:v>0.007594943725970889</x:v>
      </x:c>
      <x:c r="M52" s="110" t="n">
        <x:v>-0.0022863227184820568</x:v>
      </x:c>
      <x:c r="N52" s="110" t="n">
        <x:v>0.0006730851313966286</x:v>
      </x:c>
      <x:c r="O52" s="110" t="n">
        <x:v>-0.006156214543199511</x:v>
      </x:c>
      <x:c r="P52" s="110" t="n">
        <x:v>-0.002047838510930684</x:v>
      </x:c>
      <x:c r="Q52" s="110" t="n">
        <x:v>-0.00008545204268008145</x:v>
      </x:c>
      <x:c r="R52" s="110" t="n">
        <x:v>-0.003247620219521053</x:v>
      </x:c>
      <x:c r="S52" s="110" t="n">
        <x:v>0.008868893254047841</x:v>
      </x:c>
      <x:c r="T52" s="110" t="n">
        <x:v>0</x:v>
      </x:c>
      <x:c r="U52" s="110" t="n">
        <x:v>0.016548911965218276</x:v>
      </x:c>
      <x:c r="V52" s="113" t="n">
        <x:f>C52-U52</x:f>
        <x:v>3.469446951953614e-18</x:v>
      </x:c>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64" t="str">
        <x:v>2008-09</x:v>
      </x:c>
      <x:c r="B53" s="110" t="n">
        <x:v>0.11188372817531445</x:v>
      </x:c>
      <x:c r="C53" s="110" t="n">
        <x:v>0.049491203874720516</x:v>
      </x:c>
      <x:c r="D53" s="110" t="n">
        <x:v>0.06239252430059393</x:v>
      </x:c>
      <x:c r="E53" s="112" t="n">
        <x:v>2066.1870000000004</x:v>
      </x:c>
      <x:c r="F53" s="112" t="n">
        <x:v>1941.2116798872867</x:v>
      </x:c>
      <x:c r="G53" s="110" t="n">
        <x:v>0.004938013250958489</x:v>
      </x:c>
      <x:c r="H53" s="110" t="n">
        <x:v>0.0017165759485372233</x:v>
      </x:c>
      <x:c r="I53" s="110" t="n">
        <x:v>-0.0006335788303703686</x:v>
      </x:c>
      <x:c r="J53" s="110" t="n">
        <x:v>-0.001495495310564408</x:v>
      </x:c>
      <x:c r="K53" s="110" t="n">
        <x:v>-0.0002373707433087927</x:v>
      </x:c>
      <x:c r="L53" s="110" t="n">
        <x:v>0.0068843138864331105</x:v>
      </x:c>
      <x:c r="M53" s="110" t="n">
        <x:v>0.005369895916427453</x:v>
      </x:c>
      <x:c r="N53" s="110" t="n">
        <x:v>0.007368252067963509</x:v>
      </x:c>
      <x:c r="O53" s="110" t="n">
        <x:v>-0.0035640764461060278</x:v>
      </x:c>
      <x:c r="P53" s="110" t="n">
        <x:v>0.0011110766491886214</x:v>
      </x:c>
      <x:c r="Q53" s="110" t="n">
        <x:v>-0.00016238768492416708</x:v>
      </x:c>
      <x:c r="R53" s="110" t="n">
        <x:v>-0.0029502359319975983</x:v>
      </x:c>
      <x:c r="S53" s="110" t="n">
        <x:v>0.031146221102483475</x:v>
      </x:c>
      <x:c r="T53" s="110" t="n">
        <x:v>0</x:v>
      </x:c>
      <x:c r="U53" s="110" t="n">
        <x:v>0.049491203874720516</x:v>
      </x:c>
      <x:c r="V53" s="113" t="n">
        <x:f>C53-U53</x:f>
        <x:v>0</x:v>
      </x:c>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64" t="str">
        <x:v>2008-10</x:v>
      </x:c>
      <x:c r="B54" s="110" t="n">
        <x:v>0.10234815173954459</x:v>
      </x:c>
      <x:c r="C54" s="110" t="n">
        <x:v>0.15541497231788462</x:v>
      </x:c>
      <x:c r="D54" s="110" t="n">
        <x:v>-0.05306682057834003</x:v>
      </x:c>
      <x:c r="E54" s="112" t="n">
        <x:v>2288.8580645161287</x:v>
      </x:c>
      <x:c r="F54" s="112" t="n">
        <x:v>2413.6010695274326</x:v>
      </x:c>
      <x:c r="G54" s="110" t="n">
        <x:v>0.004938013250958489</x:v>
      </x:c>
      <x:c r="H54" s="110" t="n">
        <x:v>0.007685020349189563</x:v>
      </x:c>
      <x:c r="I54" s="110" t="n">
        <x:v>0.001111706853121462</x:v>
      </x:c>
      <x:c r="J54" s="110" t="n">
        <x:v>-0.001247658269011952</x:v>
      </x:c>
      <x:c r="K54" s="110" t="n">
        <x:v>0.000046010453002166345</x:v>
      </x:c>
      <x:c r="L54" s="110" t="n">
        <x:v>0.019143969607505775</x:v>
      </x:c>
      <x:c r="M54" s="110" t="n">
        <x:v>0.00997898392644601</x:v>
      </x:c>
      <x:c r="N54" s="110" t="n">
        <x:v>0.040089596633458756</x:v>
      </x:c>
      <x:c r="O54" s="110" t="n">
        <x:v>-0.005305061773521083</x:v>
      </x:c>
      <x:c r="P54" s="110" t="n">
        <x:v>0.0008855773519451051</x:v>
      </x:c>
      <x:c r="Q54" s="110" t="n">
        <x:v>0.00006591803426639074</x:v>
      </x:c>
      <x:c r="R54" s="110" t="n">
        <x:v>-0.0033173493679459014</x:v>
      </x:c>
      <x:c r="S54" s="110" t="n">
        <x:v>0.08134024526846984</x:v>
      </x:c>
      <x:c r="T54" s="110" t="n">
        <x:v>0</x:v>
      </x:c>
      <x:c r="U54" s="110" t="n">
        <x:v>0.15541497231788465</x:v>
      </x:c>
      <x:c r="V54" s="113" t="n">
        <x:f>C54-U54</x:f>
        <x:v>-2.7755575615628914e-17</x:v>
      </x:c>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64" t="str">
        <x:v>2008-11</x:v>
      </x:c>
      <x:c r="B55" s="110" t="n">
        <x:v>0.019384962015591256</x:v>
      </x:c>
      <x:c r="C55" s="110" t="n">
        <x:v>0.041297793295141855</x:v>
      </x:c>
      <x:c r="D55" s="110" t="n">
        <x:v>-0.0219128312795506</x:v>
      </x:c>
      <x:c r="E55" s="112" t="n">
        <x:v>2333.660333333334</x:v>
      </x:c>
      <x:c r="F55" s="112" t="n">
        <x:v>2385.361832813723</x:v>
      </x:c>
      <x:c r="G55" s="110" t="n">
        <x:v>0.004938013250958489</x:v>
      </x:c>
      <x:c r="H55" s="110" t="n">
        <x:v>0.009937378890311377</x:v>
      </x:c>
      <x:c r="I55" s="110" t="n">
        <x:v>-0.00009598033183805126</x:v>
      </x:c>
      <x:c r="J55" s="110" t="n">
        <x:v>-0.0055159628735265386</x:v>
      </x:c>
      <x:c r="K55" s="110" t="n">
        <x:v>0.000031999024491323245</x:v>
      </x:c>
      <x:c r="L55" s="110" t="n">
        <x:v>0.0073338799865201995</x:v>
      </x:c>
      <x:c r="M55" s="110" t="n">
        <x:v>0.0003411257356681579</x:v>
      </x:c>
      <x:c r="N55" s="110" t="n">
        <x:v>0.0023170483859685626</x:v>
      </x:c>
      <x:c r="O55" s="110" t="n">
        <x:v>0.008113116155685678</x:v>
      </x:c>
      <x:c r="P55" s="110" t="n">
        <x:v>0.0027654313670156727</x:v>
      </x:c>
      <x:c r="Q55" s="110" t="n">
        <x:v>-0.0006729351304750598</x:v>
      </x:c>
      <x:c r="R55" s="110" t="n">
        <x:v>-0.004291159660747542</x:v>
      </x:c>
      <x:c r="S55" s="110" t="n">
        <x:v>0.016095838495109586</x:v>
      </x:c>
      <x:c r="T55" s="110" t="n">
        <x:v>0</x:v>
      </x:c>
      <x:c r="U55" s="110" t="n">
        <x:v>0.041297793295141855</x:v>
      </x:c>
      <x:c r="V55" s="113" t="n">
        <x:f>C55-U55</x:f>
        <x:v>0</x:v>
      </x:c>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64" t="str">
        <x:v>2008-12</x:v>
      </x:c>
      <x:c r="B56" s="110" t="n">
        <x:v>-0.03583674791915925</x:v>
      </x:c>
      <x:c r="C56" s="110" t="n">
        <x:v>-0.012705213333461206</x:v>
      </x:c>
      <x:c r="D56" s="110" t="n">
        <x:v>-0.023131534585698044</x:v>
      </x:c>
      <x:c r="E56" s="112" t="n">
        <x:v>2251.5103225806456</x:v>
      </x:c>
      <x:c r="F56" s="112" t="n">
        <x:v>2304.198238370593</x:v>
      </x:c>
      <x:c r="G56" s="110" t="n">
        <x:v>0.004938013250958489</x:v>
      </x:c>
      <x:c r="H56" s="110" t="n">
        <x:v>-0.006566636275735492</x:v>
      </x:c>
      <x:c r="I56" s="110" t="n">
        <x:v>-0.002045049686223705</x:v>
      </x:c>
      <x:c r="J56" s="110" t="n">
        <x:v>-0.0038086410317207066</x:v>
      </x:c>
      <x:c r="K56" s="110" t="n">
        <x:v>-0.00031677764270326167</x:v>
      </x:c>
      <x:c r="L56" s="110" t="n">
        <x:v>-0.002946332310435904</x:v>
      </x:c>
      <x:c r="M56" s="110" t="n">
        <x:v>-0.002532970706131648</x:v>
      </x:c>
      <x:c r="N56" s="110" t="n">
        <x:v>-0.0020264265815711385</x:v>
      </x:c>
      <x:c r="O56" s="110" t="n">
        <x:v>-0.0023925759025362086</x:v>
      </x:c>
      <x:c r="P56" s="110" t="n">
        <x:v>-0.0007818021955297663</x:v>
      </x:c>
      <x:c r="Q56" s="110" t="n">
        <x:v>0.0005212912250078522</x:v>
      </x:c>
      <x:c r="R56" s="110" t="n">
        <x:v>-0.005247350597261155</x:v>
      </x:c>
      <x:c r="S56" s="110" t="n">
        <x:v>0.010500045120421436</x:v>
      </x:c>
      <x:c r="T56" s="110" t="n">
        <x:v>0</x:v>
      </x:c>
      <x:c r="U56" s="110" t="n">
        <x:v>-0.01270521333346121</x:v>
      </x:c>
      <x:c r="V56" s="113" t="n">
        <x:f>C56-U56</x:f>
        <x:v>3.469446951953614e-18</x:v>
      </x:c>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64" t="str">
        <x:v>2009-01</x:v>
      </x:c>
      <x:c r="B57" s="110" t="n">
        <x:v>0.000886037422334951</x:v>
      </x:c>
      <x:c r="C57" s="110" t="n">
        <x:v>-0.013428822597560258</x:v>
      </x:c>
      <x:c r="D57" s="110" t="n">
        <x:v>0.01431486001989521</x:v>
      </x:c>
      <x:c r="E57" s="112" t="n">
        <x:v>2253.506129032258</x:v>
      </x:c>
      <x:c r="F57" s="112" t="n">
        <x:v>2221.477295307952</x:v>
      </x:c>
      <x:c r="G57" s="110" t="n">
        <x:v>0.004938013250958489</x:v>
      </x:c>
      <x:c r="H57" s="110" t="n">
        <x:v>0.00925490572439839</x:v>
      </x:c>
      <x:c r="I57" s="110" t="n">
        <x:v>0.00007158416373111314</x:v>
      </x:c>
      <x:c r="J57" s="110" t="n">
        <x:v>-0.0004511905115442195</x:v>
      </x:c>
      <x:c r="K57" s="110" t="n">
        <x:v>0.0000048587103887642225</x:v>
      </x:c>
      <x:c r="L57" s="110" t="n">
        <x:v>0.0018441371226453774</x:v>
      </x:c>
      <x:c r="M57" s="110" t="n">
        <x:v>-0.002257457689668582</x:v>
      </x:c>
      <x:c r="N57" s="110" t="n">
        <x:v>-0.005059761642055575</x:v>
      </x:c>
      <x:c r="O57" s="110" t="n">
        <x:v>-0.005096351077530113</x:v>
      </x:c>
      <x:c r="P57" s="110" t="n">
        <x:v>-0.009285186921115986</x:v>
      </x:c>
      <x:c r="Q57" s="110" t="n">
        <x:v>0.00020417467300843788</x:v>
      </x:c>
      <x:c r="R57" s="110" t="n">
        <x:v>-0.004871093432550321</x:v>
      </x:c>
      <x:c r="S57" s="110" t="n">
        <x:v>-0.0027254549682260306</x:v>
      </x:c>
      <x:c r="T57" s="110" t="n">
        <x:v>0</x:v>
      </x:c>
      <x:c r="U57" s="110" t="n">
        <x:v>-0.013428822597560258</x:v>
      </x:c>
      <x:c r="V57" s="113" t="n">
        <x:f>C57-U57</x:f>
        <x:v>0</x:v>
      </x:c>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64" t="str">
        <x:v>2009-02</x:v>
      </x:c>
      <x:c r="B58" s="110" t="n">
        <x:v>0.10872901270107249</x:v>
      </x:c>
      <x:c r="C58" s="110" t="n">
        <x:v>0.03654218734082153</x:v>
      </x:c>
      <x:c r="D58" s="110" t="n">
        <x:v>0.07218682536025096</x:v>
      </x:c>
      <x:c r="E58" s="112" t="n">
        <x:v>2512.344285714285</x:v>
      </x:c>
      <x:c r="F58" s="112" t="n">
        <x:v>2337.3772566297503</x:v>
      </x:c>
      <x:c r="G58" s="110" t="n">
        <x:v>0.004938013250958489</x:v>
      </x:c>
      <x:c r="H58" s="110" t="n">
        <x:v>-0.0005100375830796378</x:v>
      </x:c>
      <x:c r="I58" s="110" t="n">
        <x:v>-0.0009257918613506574</x:v>
      </x:c>
      <x:c r="J58" s="110" t="n">
        <x:v>0.002158512353350052</x:v>
      </x:c>
      <x:c r="K58" s="110" t="n">
        <x:v>0.00028379198189490006</x:v>
      </x:c>
      <x:c r="L58" s="110" t="n">
        <x:v>0.006894637985445016</x:v>
      </x:c>
      <x:c r="M58" s="110" t="n">
        <x:v>0.0002785275346837104</x:v>
      </x:c>
      <x:c r="N58" s="110" t="n">
        <x:v>-0.0038289722958497426</x:v>
      </x:c>
      <x:c r="O58" s="110" t="n">
        <x:v>0.004895062163039886</x:v>
      </x:c>
      <x:c r="P58" s="110" t="n">
        <x:v>0.016332610470574143</x:v>
      </x:c>
      <x:c r="Q58" s="110" t="n">
        <x:v>-0.0006398605136797705</x:v>
      </x:c>
      <x:c r="R58" s="110" t="n">
        <x:v>-0.0041291242153808925</x:v>
      </x:c>
      <x:c r="S58" s="110" t="n">
        <x:v>0.010794818070216034</x:v>
      </x:c>
      <x:c r="T58" s="110" t="n">
        <x:v>0</x:v>
      </x:c>
      <x:c r="U58" s="110" t="n">
        <x:v>0.03654218734082153</x:v>
      </x:c>
      <x:c r="V58" s="113" t="n">
        <x:f>C58-U58</x:f>
        <x:v>0</x:v>
      </x:c>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64" t="str">
        <x:v>2009-03</x:v>
      </x:c>
      <x:c r="B59" s="110" t="n">
        <x:v>-0.017145994497894</x:v>
      </x:c>
      <x:c r="C59" s="110" t="n">
        <x:v>-0.015244487654072164</x:v>
      </x:c>
      <x:c r="D59" s="110" t="n">
        <x:v>-0.0019015068438218378</x:v>
      </x:c>
      <x:c r="E59" s="112" t="n">
        <x:v>2469.634838709678</x:v>
      </x:c>
      <x:c r="F59" s="112" t="n">
        <x:v>2474.335333852759</x:v>
      </x:c>
      <x:c r="G59" s="110" t="n">
        <x:v>0.004938013250958489</x:v>
      </x:c>
      <x:c r="H59" s="110" t="n">
        <x:v>-0.0101981193201138</x:v>
      </x:c>
      <x:c r="I59" s="110" t="n">
        <x:v>0.0002552703413583757</x:v>
      </x:c>
      <x:c r="J59" s="110" t="n">
        <x:v>0.003625713691527229</x:v>
      </x:c>
      <x:c r="K59" s="110" t="n">
        <x:v>0.00006841698876498984</x:v>
      </x:c>
      <x:c r="L59" s="110" t="n">
        <x:v>0.0012071825802312762</x:v>
      </x:c>
      <x:c r="M59" s="110" t="n">
        <x:v>-0.00024293197347778056</x:v>
      </x:c>
      <x:c r="N59" s="110" t="n">
        <x:v>0.0008597061331529188</x:v>
      </x:c>
      <x:c r="O59" s="110" t="n">
        <x:v>0.0033991692317907303</x:v>
      </x:c>
      <x:c r="P59" s="110" t="n">
        <x:v>-0.005145018213149889</x:v>
      </x:c>
      <x:c r="Q59" s="110" t="n">
        <x:v>0.00006797345829796531</x:v>
      </x:c>
      <x:c r="R59" s="110" t="n">
        <x:v>-0.0033249137121036014</x:v>
      </x:c>
      <x:c r="S59" s="110" t="n">
        <x:v>-0.010754950111309067</x:v>
      </x:c>
      <x:c r="T59" s="110" t="n">
        <x:v>0</x:v>
      </x:c>
      <x:c r="U59" s="110" t="n">
        <x:v>-0.015244487654072164</x:v>
      </x:c>
      <x:c r="V59" s="113" t="n">
        <x:f>C59-U59</x:f>
        <x:v>0</x:v>
      </x:c>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64" t="str">
        <x:v>2009-04</x:v>
      </x:c>
      <x:c r="B60" s="110" t="n">
        <x:v>-0.03923807027332327</x:v>
      </x:c>
      <x:c r="C60" s="110" t="n">
        <x:v>-0.04192418599405196</x:v>
      </x:c>
      <x:c r="D60" s="110" t="n">
        <x:v>0.002686115720728695</x:v>
      </x:c>
      <x:c r="E60" s="112" t="n">
        <x:v>2374.607666666667</x:v>
      </x:c>
      <x:c r="F60" s="112" t="n">
        <x:v>2368.237754673068</x:v>
      </x:c>
      <x:c r="G60" s="110" t="n">
        <x:v>0.004938013250958489</x:v>
      </x:c>
      <x:c r="H60" s="110" t="n">
        <x:v>0.0011363977988783631</x:v>
      </x:c>
      <x:c r="I60" s="110" t="n">
        <x:v>-0.000053697177024379684</x:v>
      </x:c>
      <x:c r="J60" s="110" t="n">
        <x:v>0.007904004403943178</x:v>
      </x:c>
      <x:c r="K60" s="110" t="n">
        <x:v>-0.00006822471933202381</x:v>
      </x:c>
      <x:c r="L60" s="110" t="n">
        <x:v>-0.007133572390985062</x:v>
      </x:c>
      <x:c r="M60" s="110" t="n">
        <x:v>-0.0023060856755382636</x:v>
      </x:c>
      <x:c r="N60" s="110" t="n">
        <x:v>-0.010005736441273715</x:v>
      </x:c>
      <x:c r="O60" s="110" t="n">
        <x:v>-0.006043325120945532</x:v>
      </x:c>
      <x:c r="P60" s="110" t="n">
        <x:v>0.0033584082458381352</x:v>
      </x:c>
      <x:c r="Q60" s="110" t="n">
        <x:v>0.0005169622955718121</x:v>
      </x:c>
      <x:c r="R60" s="110" t="n">
        <x:v>-0.0027134528285644955</x:v>
      </x:c>
      <x:c r="S60" s="110" t="n">
        <x:v>-0.03145387763557847</x:v>
      </x:c>
      <x:c r="T60" s="110" t="n">
        <x:v>0</x:v>
      </x:c>
      <x:c r="U60" s="110" t="n">
        <x:v>-0.04192418599405197</x:v>
      </x:c>
      <x:c r="V60" s="113" t="n">
        <x:f>C60-U60</x:f>
        <x:v>6.938893903907228e-18</x:v>
      </x:c>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64" t="str">
        <x:v>2009-05</x:v>
      </x:c>
      <x:c r="B61" s="110" t="n">
        <x:v>-0.06403417564529601</x:v>
      </x:c>
      <x:c r="C61" s="110" t="n">
        <x:v>-0.053273612764549956</x:v>
      </x:c>
      <x:c r="D61" s="110" t="n">
        <x:v>-0.010760562880746054</x:v>
      </x:c>
      <x:c r="E61" s="112" t="n">
        <x:v>2227.3177419354834</x:v>
      </x:c>
      <x:c r="F61" s="112" t="n">
        <x:v>2251.4143485672685</x:v>
      </x:c>
      <x:c r="G61" s="110" t="n">
        <x:v>0.004938013250958489</x:v>
      </x:c>
      <x:c r="H61" s="110" t="n">
        <x:v>-0.007877192155958666</x:v>
      </x:c>
      <x:c r="I61" s="110" t="n">
        <x:v>-0.0010013566556099135</x:v>
      </x:c>
      <x:c r="J61" s="110" t="n">
        <x:v>0.004886838075739532</x:v>
      </x:c>
      <x:c r="K61" s="110" t="n">
        <x:v>0.00017380843048999425</x:v>
      </x:c>
      <x:c r="L61" s="110" t="n">
        <x:v>-0.008534324239436484</x:v>
      </x:c>
      <x:c r="M61" s="110" t="n">
        <x:v>-0.0024671444475200363</x:v>
      </x:c>
      <x:c r="N61" s="110" t="n">
        <x:v>-0.014442536921148393</x:v>
      </x:c>
      <x:c r="O61" s="110" t="n">
        <x:v>0.0051627845436074985</x:v>
      </x:c>
      <x:c r="P61" s="110" t="n">
        <x:v>-0.006801249747707596</x:v>
      </x:c>
      <x:c r="Q61" s="110" t="n">
        <x:v>-0.00025299106217898927</x:v>
      </x:c>
      <x:c r="R61" s="110" t="n">
        <x:v>-0.0022361670921861457</x:v>
      </x:c>
      <x:c r="S61" s="110" t="n">
        <x:v>-0.024822094743599248</x:v>
      </x:c>
      <x:c r="T61" s="110" t="n">
        <x:v>0</x:v>
      </x:c>
      <x:c r="U61" s="110" t="n">
        <x:v>-0.05327361276454995</x:v>
      </x:c>
      <x:c r="V61" s="113" t="n">
        <x:f>C61-U61</x:f>
        <x:v>-6.938893903907228e-18</x:v>
      </x:c>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64" t="str">
        <x:v>2009-06</x:v>
      </x:c>
      <x:c r="B62" s="110" t="n">
        <x:v>-0.0638922362952794</x:v>
      </x:c>
      <x:c r="C62" s="110" t="n">
        <x:v>-0.00887571476683852</x:v>
      </x:c>
      <x:c r="D62" s="110" t="n">
        <x:v>-0.05501652152844089</x:v>
      </x:c>
      <x:c r="E62" s="112" t="n">
        <x:v>2089.460333333333</x:v>
      </x:c>
      <x:c r="F62" s="112" t="n">
        <x:v>2207.63617814267</x:v>
      </x:c>
      <x:c r="G62" s="110" t="n">
        <x:v>0.004938013250958489</x:v>
      </x:c>
      <x:c r="H62" s="110" t="n">
        <x:v>-0.003783060802144379</x:v>
      </x:c>
      <x:c r="I62" s="110" t="n">
        <x:v>-0.0009850157631417517</x:v>
      </x:c>
      <x:c r="J62" s="110" t="n">
        <x:v>0.0061281415488142355</x:v>
      </x:c>
      <x:c r="K62" s="110" t="n">
        <x:v>-0.0004122576214745216</x:v>
      </x:c>
      <x:c r="L62" s="110" t="n">
        <x:v>-0.004168567907701501</x:v>
      </x:c>
      <x:c r="M62" s="110" t="n">
        <x:v>-0.001315890847594893</x:v>
      </x:c>
      <x:c r="N62" s="110" t="n">
        <x:v>-0.0037873762637809574</x:v>
      </x:c>
      <x:c r="O62" s="110" t="n">
        <x:v>-0.0020776632011438065</x:v>
      </x:c>
      <x:c r="P62" s="110" t="n">
        <x:v>0.008410784107514679</x:v>
      </x:c>
      <x:c r="Q62" s="110" t="n">
        <x:v>0.00014533033469557043</x:v>
      </x:c>
      <x:c r="R62" s="110" t="n">
        <x:v>-0.0018827591249919054</x:v>
      </x:c>
      <x:c r="S62" s="110" t="n">
        <x:v>-0.010085392476847779</x:v>
      </x:c>
      <x:c r="T62" s="110" t="n">
        <x:v>0</x:v>
      </x:c>
      <x:c r="U62" s="110" t="n">
        <x:v>-0.00887571476683852</x:v>
      </x:c>
      <x:c r="V62" s="113" t="n">
        <x:f>C62-U62</x:f>
        <x:v>0</x:v>
      </x:c>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64" t="str">
        <x:v>2009-07</x:v>
      </x:c>
      <x:c r="B63" s="110" t="n">
        <x:v>-0.019436983627482363</x:v>
      </x:c>
      <x:c r="C63" s="110" t="n">
        <x:v>0.00787638221159412</x:v>
      </x:c>
      <x:c r="D63" s="110" t="n">
        <x:v>-0.02731336583907648</x:v>
      </x:c>
      <x:c r="E63" s="112" t="n">
        <x:v>2049.239677419354</x:v>
      </x:c>
      <x:c r="F63" s="112" t="n">
        <x:v>2105.9827043723185</x:v>
      </x:c>
      <x:c r="G63" s="110" t="n">
        <x:v>0.004938013250958489</x:v>
      </x:c>
      <x:c r="H63" s="110" t="n">
        <x:v>0.00523801897787216</x:v>
      </x:c>
      <x:c r="I63" s="110" t="n">
        <x:v>-0.0007747838531599867</x:v>
      </x:c>
      <x:c r="J63" s="110" t="n">
        <x:v>0.008274650398727285</x:v>
      </x:c>
      <x:c r="K63" s="110" t="n">
        <x:v>-0.000377221151473244</x:v>
      </x:c>
      <x:c r="L63" s="110" t="n">
        <x:v>-0.0010656345915036908</x:v>
      </x:c>
      <x:c r="M63" s="110" t="n">
        <x:v>-0.0015264834418216883</x:v>
      </x:c>
      <x:c r="N63" s="110" t="n">
        <x:v>0.000009607332376772955</x:v>
      </x:c>
      <x:c r="O63" s="110" t="n">
        <x:v>-0.0016735252076196011</x:v>
      </x:c>
      <x:c r="P63" s="110" t="n">
        <x:v>-0.0005023655165100157</x:v>
      </x:c>
      <x:c r="Q63" s="110" t="n">
        <x:v>0.000035224268832940074</x:v>
      </x:c>
      <x:c r="R63" s="110" t="n">
        <x:v>-0.0019927086264225377</x:v>
      </x:c>
      <x:c r="S63" s="110" t="n">
        <x:v>-0.0027064096286627598</x:v>
      </x:c>
      <x:c r="T63" s="110" t="n">
        <x:v>0</x:v>
      </x:c>
      <x:c r="U63" s="110" t="n">
        <x:v>0.007876382211594125</x:v>
      </x:c>
      <x:c r="V63" s="113" t="n">
        <x:f>C63-U63</x:f>
        <x:v>-5.204170427930421e-18</x:v>
      </x:c>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64" t="str">
        <x:v>2009-08</x:v>
      </x:c>
      <x:c r="B64" s="110" t="n">
        <x:v>-0.015551195634241566</x:v>
      </x:c>
      <x:c r="C64" s="110" t="n">
        <x:v>-0.04165884238379655</x:v>
      </x:c>
      <x:c r="D64" s="110" t="n">
        <x:v>0.026107646749554986</x:v>
      </x:c>
      <x:c r="E64" s="112" t="n">
        <x:v>2017.618064516128</x:v>
      </x:c>
      <x:c r="F64" s="112" t="n">
        <x:v>1965.6244732121036</x:v>
      </x:c>
      <x:c r="G64" s="110" t="n">
        <x:v>0.004938013250958489</x:v>
      </x:c>
      <x:c r="H64" s="110" t="n">
        <x:v>-0.004066922721200461</x:v>
      </x:c>
      <x:c r="I64" s="110" t="n">
        <x:v>-0.00241400673925868</x:v>
      </x:c>
      <x:c r="J64" s="110" t="n">
        <x:v>0.0020794304483532575</x:v>
      </x:c>
      <x:c r="K64" s="110" t="n">
        <x:v>-0.0001715848689851406</x:v>
      </x:c>
      <x:c r="L64" s="110" t="n">
        <x:v>-0.003622725819399837</x:v>
      </x:c>
      <x:c r="M64" s="110" t="n">
        <x:v>-0.0004540771364466038</x:v>
      </x:c>
      <x:c r="N64" s="110" t="n">
        <x:v>-0.005539742252004148</x:v>
      </x:c>
      <x:c r="O64" s="110" t="n">
        <x:v>-0.004762223359030042</x:v>
      </x:c>
      <x:c r="P64" s="110" t="n">
        <x:v>-0.010650333788572552</x:v>
      </x:c>
      <x:c r="Q64" s="110" t="n">
        <x:v>0.0002210041790396964</x:v>
      </x:c>
      <x:c r="R64" s="110" t="n">
        <x:v>-0.002090612077904329</x:v>
      </x:c>
      <x:c r="S64" s="110" t="n">
        <x:v>-0.0151250614993462</x:v>
      </x:c>
      <x:c r="T64" s="110" t="n">
        <x:v>0</x:v>
      </x:c>
      <x:c r="U64" s="110" t="n">
        <x:v>-0.04165884238379655</x:v>
      </x:c>
      <x:c r="V64" s="113" t="n">
        <x:f>C64-U64</x:f>
        <x:v>0</x:v>
      </x:c>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64" t="str">
        <x:v>2009-09</x:v>
      </x:c>
      <x:c r="B65" s="110" t="n">
        <x:v>-0.019814723075928242</x:v>
      </x:c>
      <x:c r="C65" s="110" t="n">
        <x:v>-0.01166961009345724</x:v>
      </x:c>
      <x:c r="D65" s="110" t="n">
        <x:v>-0.008145112982471002</x:v>
      </x:c>
      <x:c r="E65" s="112" t="n">
        <x:v>1978.0329999999992</x:v>
      </x:c>
      <x:c r="F65" s="112" t="n">
        <x:v>1994.2100949650276</x:v>
      </x:c>
      <x:c r="G65" s="110" t="n">
        <x:v>0.004938013250958489</x:v>
      </x:c>
      <x:c r="H65" s="110" t="n">
        <x:v>-0.002361199510717101</x:v>
      </x:c>
      <x:c r="I65" s="110" t="n">
        <x:v>-0.0010705344610480363</x:v>
      </x:c>
      <x:c r="J65" s="110" t="n">
        <x:v>0</x:v>
      </x:c>
      <x:c r="K65" s="110" t="n">
        <x:v>0.00018510945102987594</x:v>
      </x:c>
      <x:c r="L65" s="110" t="n">
        <x:v>-0.002016789571648149</x:v>
      </x:c>
      <x:c r="M65" s="110" t="n">
        <x:v>-0.00023130195350288377</x:v>
      </x:c>
      <x:c r="N65" s="110" t="n">
        <x:v>-0.0016444407618656574</x:v>
      </x:c>
      <x:c r="O65" s="110" t="n">
        <x:v>-0.012916030471397454</x:v>
      </x:c>
      <x:c r="P65" s="110" t="n">
        <x:v>0.00818693170233427</x:v>
      </x:c>
      <x:c r="Q65" s="110" t="n">
        <x:v>0.00013929294684217276</x:v>
      </x:c>
      <x:c r="R65" s="110" t="n">
        <x:v>-0.002356298311162267</x:v>
      </x:c>
      <x:c r="S65" s="110" t="n">
        <x:v>-0.002522362403280499</x:v>
      </x:c>
      <x:c r="T65" s="110" t="n">
        <x:v>0</x:v>
      </x:c>
      <x:c r="U65" s="110" t="n">
        <x:v>-0.01166961009345724</x:v>
      </x:c>
      <x:c r="V65" s="113" t="n">
        <x:f>C65-U65</x:f>
        <x:v>0</x:v>
      </x:c>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64" t="str">
        <x:v>2009-10</x:v>
      </x:c>
      <x:c r="B66" s="110" t="n">
        <x:v>-0.03951228998300049</x:v>
      </x:c>
      <x:c r="C66" s="110" t="n">
        <x:v>-0.03466862687218689</x:v>
      </x:c>
      <x:c r="D66" s="110" t="n">
        <x:v>-0.004843663110813599</x:v>
      </x:c>
      <x:c r="E66" s="112" t="n">
        <x:v>1901.4003225806448</x:v>
      </x:c>
      <x:c r="F66" s="112" t="n">
        <x:v>1910.6324056826556</x:v>
      </x:c>
      <x:c r="G66" s="110" t="n">
        <x:v>0.004938013250958489</x:v>
      </x:c>
      <x:c r="H66" s="110" t="n">
        <x:v>-0.0035411451730545623</x:v>
      </x:c>
      <x:c r="I66" s="110" t="n">
        <x:v>-0.0027330917002357574</x:v>
      </x:c>
      <x:c r="J66" s="110" t="n">
        <x:v>0.00026266489873935927</x:v>
      </x:c>
      <x:c r="K66" s="110" t="n">
        <x:v>-0.0000603999184217015</x:v>
      </x:c>
      <x:c r="L66" s="110" t="n">
        <x:v>-0.004037934073286903</x:v>
      </x:c>
      <x:c r="M66" s="110" t="n">
        <x:v>-0.00038841751115928477</x:v>
      </x:c>
      <x:c r="N66" s="110" t="n">
        <x:v>-0.004854404912502016</x:v>
      </x:c>
      <x:c r="O66" s="110" t="n">
        <x:v>0.0013189076164485326</x:v>
      </x:c>
      <x:c r="P66" s="110" t="n">
        <x:v>-0.009309840554149126</x:v>
      </x:c>
      <x:c r="Q66" s="110" t="n">
        <x:v>-0.0003318666214407913</x:v>
      </x:c>
      <x:c r="R66" s="110" t="n">
        <x:v>-0.002480719758831144</x:v>
      </x:c>
      <x:c r="S66" s="110" t="n">
        <x:v>-0.01345039241525199</x:v>
      </x:c>
      <x:c r="T66" s="110" t="n">
        <x:v>0</x:v>
      </x:c>
      <x:c r="U66" s="110" t="n">
        <x:v>-0.03466862687218689</x:v>
      </x:c>
      <x:c r="V66" s="113" t="n">
        <x:f>C66-U66</x:f>
        <x:v>0</x:v>
      </x:c>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64" t="str">
        <x:v>2009-11</x:v>
      </x:c>
      <x:c r="B67" s="110" t="n">
        <x:v>0.03892888049012022</x:v>
      </x:c>
      <x:c r="C67" s="110" t="n">
        <x:v>-0.006524510761083845</x:v>
      </x:c>
      <x:c r="D67" s="110" t="n">
        <x:v>0.04545339125120407</x:v>
      </x:c>
      <x:c r="E67" s="112" t="n">
        <x:v>1976.8793333333338</x:v>
      </x:c>
      <x:c r="F67" s="112" t="n">
        <x:v>1889.034998425271</x:v>
      </x:c>
      <x:c r="G67" s="110" t="n">
        <x:v>0.004938013250958489</x:v>
      </x:c>
      <x:c r="H67" s="110" t="n">
        <x:v>0.0004850404756162737</x:v>
      </x:c>
      <x:c r="I67" s="110" t="n">
        <x:v>-0.001491092874573111</x:v>
      </x:c>
      <x:c r="J67" s="110" t="n">
        <x:v>0.0027579814367632693</x:v>
      </x:c>
      <x:c r="K67" s="110" t="n">
        <x:v>-0.0002616075333605103</x:v>
      </x:c>
      <x:c r="L67" s="110" t="n">
        <x:v>-0.0013367500309330474</x:v>
      </x:c>
      <x:c r="M67" s="110" t="n">
        <x:v>-0.00027313211524520426</x:v>
      </x:c>
      <x:c r="N67" s="110" t="n">
        <x:v>-0.0007641832294692604</x:v>
      </x:c>
      <x:c r="O67" s="110" t="n">
        <x:v>-0.0007168931074841078</x:v>
      </x:c>
      <x:c r="P67" s="110" t="n">
        <x:v>0.005439510720562136</x:v>
      </x:c>
      <x:c r="Q67" s="110" t="n">
        <x:v>0.00003982046072824471</x:v>
      </x:c>
      <x:c r="R67" s="110" t="n">
        <x:v>-0.0021438622316006413</x:v>
      </x:c>
      <x:c r="S67" s="110" t="n">
        <x:v>-0.013197355983046376</x:v>
      </x:c>
      <x:c r="T67" s="110" t="n">
        <x:v>0</x:v>
      </x:c>
      <x:c r="U67" s="110" t="n">
        <x:v>-0.006524510761083846</x:v>
      </x:c>
      <x:c r="V67" s="113" t="n">
        <x:f>C67-U67</x:f>
        <x:v>8.673617379884035e-19</x:v>
      </x:c>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64" t="str">
        <x:v>2009-12</x:v>
      </x:c>
      <x:c r="B68" s="110" t="n">
        <x:v>0.020593649039456707</x:v>
      </x:c>
      <x:c r="C68" s="110" t="n">
        <x:v>-0.0011912699439918402</x:v>
      </x:c>
      <x:c r="D68" s="110" t="n">
        <x:v>0.02178491898344855</x:v>
      </x:c>
      <x:c r="E68" s="112" t="n">
        <x:v>2018.0125806451622</x:v>
      </x:c>
      <x:c r="F68" s="112" t="n">
        <x:v>1974.5257385623272</x:v>
      </x:c>
      <x:c r="G68" s="110" t="n">
        <x:v>0.004938013250958489</x:v>
      </x:c>
      <x:c r="H68" s="110" t="n">
        <x:v>0.0002463553225770818</x:v>
      </x:c>
      <x:c r="I68" s="110" t="n">
        <x:v>0.00040849323811769115</x:v>
      </x:c>
      <x:c r="J68" s="110" t="n">
        <x:v>0.000766105954656464</x:v>
      </x:c>
      <x:c r="K68" s="110" t="n">
        <x:v>0.00012653020405109297</x:v>
      </x:c>
      <x:c r="L68" s="110" t="n">
        <x:v>0.0013334382712152785</x:v>
      </x:c>
      <x:c r="M68" s="110" t="n">
        <x:v>-0.0016053182569773189</x:v>
      </x:c>
      <x:c r="N68" s="110" t="n">
        <x:v>-0.0007904032407475415</x:v>
      </x:c>
      <x:c r="O68" s="110" t="n">
        <x:v>-0.0028731561209512035</x:v>
      </x:c>
      <x:c r="P68" s="110" t="n">
        <x:v>0.001902727662996959</x:v>
      </x:c>
      <x:c r="Q68" s="110" t="n">
        <x:v>-0.00007879807433806851</x:v>
      </x:c>
      <x:c r="R68" s="110" t="n">
        <x:v>-0.0013756924737913954</x:v>
      </x:c>
      <x:c r="S68" s="110" t="n">
        <x:v>-0.004189565681759368</x:v>
      </x:c>
      <x:c r="T68" s="110" t="n">
        <x:v>0</x:v>
      </x:c>
      <x:c r="U68" s="110" t="n">
        <x:v>-0.0011912699439918413</x:v>
      </x:c>
      <x:c r="V68" s="113" t="n">
        <x:f>C68-U68</x:f>
        <x:v>1.0842021724855044e-18</x:v>
      </x:c>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64" t="str">
        <x:v>2010-01</x:v>
      </x:c>
      <x:c r="B69" s="110" t="n">
        <x:v>-0.01728711330822552</x:v>
      </x:c>
      <x:c r="C69" s="110" t="n">
        <x:v>-0.0023899292393372196</x:v>
      </x:c>
      <x:c r="D69" s="110" t="n">
        <x:v>-0.014897184068888302</x:v>
      </x:c>
      <x:c r="E69" s="112" t="n">
        <x:v>1983.4267741935485</x:v>
      </x:c>
      <x:c r="F69" s="112" t="n">
        <x:v>2013.1954319884078</x:v>
      </x:c>
      <x:c r="G69" s="110" t="n">
        <x:v>0.004938013250958489</x:v>
      </x:c>
      <x:c r="H69" s="110" t="n">
        <x:v>-0.0030622329869440888</x:v>
      </x:c>
      <x:c r="I69" s="110" t="n">
        <x:v>-0.00042526605050864343</x:v>
      </x:c>
      <x:c r="J69" s="110" t="n">
        <x:v>0.002517205279585524</x:v>
      </x:c>
      <x:c r="K69" s="110" t="n">
        <x:v>-0.0003909867349960174</x:v>
      </x:c>
      <x:c r="L69" s="110" t="n">
        <x:v>0.0005259587587125863</x:v>
      </x:c>
      <x:c r="M69" s="110" t="n">
        <x:v>-0.00040332979100322344</x:v>
      </x:c>
      <x:c r="N69" s="110" t="n">
        <x:v>0.0002406122081861849</x:v>
      </x:c>
      <x:c r="O69" s="110" t="n">
        <x:v>0.0009531206816774689</x:v>
      </x:c>
      <x:c r="P69" s="110" t="n">
        <x:v>-0.003388335666497335</x:v>
      </x:c>
      <x:c r="Q69" s="110" t="n">
        <x:v>-0.00015359210775296874</x:v>
      </x:c>
      <x:c r="R69" s="110" t="n">
        <x:v>-0.0013102905532794342</x:v>
      </x:c>
      <x:c r="S69" s="110" t="n">
        <x:v>-0.0024308055274757626</x:v>
      </x:c>
      <x:c r="T69" s="110" t="n">
        <x:v>0</x:v>
      </x:c>
      <x:c r="U69" s="110" t="n">
        <x:v>-0.0023899292393372196</x:v>
      </x:c>
      <x:c r="V69" s="113" t="n">
        <x:f>C69-U69</x:f>
        <x:v>0</x:v>
      </x:c>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64" t="str">
        <x:v>2010-02</x:v>
      </x:c>
      <x:c r="B70" s="110" t="n">
        <x:v>-0.016112994864807106</x:v>
      </x:c>
      <x:c r="C70" s="110" t="n">
        <x:v>0.02234779947577692</x:v>
      </x:c>
      <x:c r="D70" s="110" t="n">
        <x:v>-0.038460794340584026</x:v>
      </x:c>
      <x:c r="E70" s="112" t="n">
        <x:v>1951.7239285714281</x:v>
      </x:c>
      <x:c r="F70" s="112" t="n">
        <x:v>2028.250993845072</x:v>
      </x:c>
      <x:c r="G70" s="110" t="n">
        <x:v>0.004938013250958489</x:v>
      </x:c>
      <x:c r="H70" s="110" t="n">
        <x:v>0.0022530400561307363</x:v>
      </x:c>
      <x:c r="I70" s="110" t="n">
        <x:v>-0.0009486258594449723</x:v>
      </x:c>
      <x:c r="J70" s="110" t="n">
        <x:v>-0.00006566622468484128</x:v>
      </x:c>
      <x:c r="K70" s="110" t="n">
        <x:v>0.00025674585088640377</x:v>
      </x:c>
      <x:c r="L70" s="110" t="n">
        <x:v>0.0041507052467327134</x:v>
      </x:c>
      <x:c r="M70" s="110" t="n">
        <x:v>0.0012448969682242728</x:v>
      </x:c>
      <x:c r="N70" s="110" t="n">
        <x:v>0.003856494729716597</x:v>
      </x:c>
      <x:c r="O70" s="110" t="n">
        <x:v>0.0010890748034189425</x:v>
      </x:c>
      <x:c r="P70" s="110" t="n">
        <x:v>-0.00510532285240899</x:v>
      </x:c>
      <x:c r="Q70" s="110" t="n">
        <x:v>0.000185787651530481</x:v>
      </x:c>
      <x:c r="R70" s="110" t="n">
        <x:v>-0.001752045396517149</x:v>
      </x:c>
      <x:c r="S70" s="110" t="n">
        <x:v>0.012244701251234238</x:v>
      </x:c>
      <x:c r="T70" s="110" t="n">
        <x:v>0</x:v>
      </x:c>
      <x:c r="U70" s="110" t="n">
        <x:v>0.02234779947577692</x:v>
      </x:c>
      <x:c r="V70" s="113" t="n">
        <x:f>C70-U70</x:f>
        <x:v>0</x:v>
      </x:c>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64" t="str">
        <x:v>2010-03</x:v>
      </x:c>
      <x:c r="B71" s="110" t="n">
        <x:v>-0.022137727690432207</x:v>
      </x:c>
      <x:c r="C71" s="110" t="n">
        <x:v>-0.026712988009141077</x:v>
      </x:c>
      <x:c r="D71" s="110" t="n">
        <x:v>0.0045752603187088695</x:v>
      </x:c>
      <x:c r="E71" s="112" t="n">
        <x:v>1908.9919354838712</x:v>
      </x:c>
      <x:c r="F71" s="112" t="n">
        <x:v>1900.2777504663463</x:v>
      </x:c>
      <x:c r="G71" s="110" t="n">
        <x:v>0.004938013250958489</x:v>
      </x:c>
      <x:c r="H71" s="110" t="n">
        <x:v>-0.0027278517271545036</x:v>
      </x:c>
      <x:c r="I71" s="110" t="n">
        <x:v>-0.001820445977456376</x:v>
      </x:c>
      <x:c r="J71" s="110" t="n">
        <x:v>0.00013133244936967963</x:v>
      </x:c>
      <x:c r="K71" s="110" t="n">
        <x:v>0.0002539379222216643</x:v>
      </x:c>
      <x:c r="L71" s="110" t="n">
        <x:v>-0.0021063614322025695</x:v>
      </x:c>
      <x:c r="M71" s="110" t="n">
        <x:v>-0.003369381800682794</x:v>
      </x:c>
      <x:c r="N71" s="110" t="n">
        <x:v>-0.007003324981877026</x:v>
      </x:c>
      <x:c r="O71" s="110" t="n">
        <x:v>0.0006096856962348746</x:v>
      </x:c>
      <x:c r="P71" s="110" t="n">
        <x:v>-0.0003158610168838692</x:v>
      </x:c>
      <x:c r="Q71" s="110" t="n">
        <x:v>0.00006752921445872359</x:v>
      </x:c>
      <x:c r="R71" s="110" t="n">
        <x:v>-0.002317607986073156</x:v>
      </x:c>
      <x:c r="S71" s="110" t="n">
        <x:v>-0.013052651620054213</x:v>
      </x:c>
      <x:c r="T71" s="110" t="n">
        <x:v>0</x:v>
      </x:c>
      <x:c r="U71" s="110" t="n">
        <x:v>-0.026712988009141077</x:v>
      </x:c>
      <x:c r="V71" s="113" t="n">
        <x:f>C71-U71</x:f>
        <x:v>0</x:v>
      </x:c>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64" t="str">
        <x:v>2010-04</x:v>
      </x:c>
      <x:c r="B72" s="110" t="n">
        <x:v>0.01479683905510587</x:v>
      </x:c>
      <x:c r="C72" s="110" t="n">
        <x:v>-0.011465135201345851</x:v>
      </x:c>
      <x:c r="D72" s="110" t="n">
        <x:v>0.02626197425645172</x:v>
      </x:c>
      <x:c r="E72" s="112" t="n">
        <x:v>1937.4490000000003</x:v>
      </x:c>
      <x:c r="F72" s="112" t="n">
        <x:v>1887.2300745654074</x:v>
      </x:c>
      <x:c r="G72" s="110" t="n">
        <x:v>0.004938013250958489</x:v>
      </x:c>
      <x:c r="H72" s="110" t="n">
        <x:v>-0.002690776502314675</x:v>
      </x:c>
      <x:c r="I72" s="110" t="n">
        <x:v>-0.00045280682019001046</x:v>
      </x:c>
      <x:c r="J72" s="110" t="n">
        <x:v>0.0001969986740545209</x:v>
      </x:c>
      <x:c r="K72" s="110" t="n">
        <x:v>0.00001670321707449694</x:v>
      </x:c>
      <x:c r="L72" s="110" t="n">
        <x:v>-0.0014700485793990503</x:v>
      </x:c>
      <x:c r="M72" s="110" t="n">
        <x:v>-0.0002761459433771289</x:v>
      </x:c>
      <x:c r="N72" s="110" t="n">
        <x:v>-0.0024651814420529436</x:v>
      </x:c>
      <x:c r="O72" s="110" t="n">
        <x:v>-0.0033299389779834943</x:v>
      </x:c>
      <x:c r="P72" s="110" t="n">
        <x:v>0.0033946556984755655</x:v>
      </x:c>
      <x:c r="Q72" s="110" t="n">
        <x:v>0.00021661941047963667</x:v>
      </x:c>
      <x:c r="R72" s="110" t="n">
        <x:v>-0.002154583779564215</x:v>
      </x:c>
      <x:c r="S72" s="110" t="n">
        <x:v>-0.007388643407507044</x:v>
      </x:c>
      <x:c r="T72" s="110" t="n">
        <x:v>0</x:v>
      </x:c>
      <x:c r="U72" s="110" t="n">
        <x:v>-0.011465135201345851</x:v>
      </x:c>
      <x:c r="V72" s="113" t="n">
        <x:f>C72-U72</x:f>
        <x:v>0</x:v>
      </x:c>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64" t="str">
        <x:v>2010-05</x:v>
      </x:c>
      <x:c r="B73" s="110" t="n">
        <x:v>0.023537801208136422</x:v>
      </x:c>
      <x:c r="C73" s="110" t="n">
        <x:v>0.04601841112060291</x:v>
      </x:c>
      <x:c r="D73" s="110" t="n">
        <x:v>-0.02248060991246649</x:v>
      </x:c>
      <x:c r="E73" s="112" t="n">
        <x:v>1983.5932258064518</x:v>
      </x:c>
      <x:c r="F73" s="112" t="n">
        <x:v>2028.690620557958</x:v>
      </x:c>
      <x:c r="G73" s="110" t="n">
        <x:v>0.004938013250958489</x:v>
      </x:c>
      <x:c r="H73" s="110" t="n">
        <x:v>0.004925702716235166</x:v>
      </x:c>
      <x:c r="I73" s="110" t="n">
        <x:v>-0.000413210863114402</x:v>
      </x:c>
      <x:c r="J73" s="110" t="n">
        <x:v>0.00026266489873935927</x:v>
      </x:c>
      <x:c r="K73" s="110" t="n">
        <x:v>-0.00023898469214803515</x:v>
      </x:c>
      <x:c r="L73" s="110" t="n">
        <x:v>0.008217168536494384</x:v>
      </x:c>
      <x:c r="M73" s="110" t="n">
        <x:v>0.008577087343347245</x:v>
      </x:c>
      <x:c r="N73" s="110" t="n">
        <x:v>0.008852885149311917</x:v>
      </x:c>
      <x:c r="O73" s="110" t="n">
        <x:v>-0.004492323448164596</x:v>
      </x:c>
      <x:c r="P73" s="110" t="n">
        <x:v>0.004566268315052631</x:v>
      </x:c>
      <x:c r="Q73" s="110" t="n">
        <x:v>-0.00010611657560227659</x:v>
      </x:c>
      <x:c r="R73" s="110" t="n">
        <x:v>-0.0014691923373246595</x:v>
      </x:c>
      <x:c r="S73" s="110" t="n">
        <x:v>0.01239844882681769</x:v>
      </x:c>
      <x:c r="T73" s="110" t="n">
        <x:v>0</x:v>
      </x:c>
      <x:c r="U73" s="110" t="n">
        <x:v>0.046018411120602905</x:v>
      </x:c>
      <x:c r="V73" s="113" t="n">
        <x:f>C73-U73</x:f>
        <x:v>6.938893903907228e-18</x:v>
      </x:c>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64" t="str">
        <x:v>2010-06</x:v>
      </x:c>
      <x:c r="B74" s="110" t="n">
        <x:v>-0.029025491257095304</x:v>
      </x:c>
      <x:c r="C74" s="110" t="n">
        <x:v>-0.004051540067406196</x:v>
      </x:c>
      <x:c r="D74" s="110" t="n">
        <x:v>-0.024973951189689106</x:v>
      </x:c>
      <x:c r="E74" s="112" t="n">
        <x:v>1926.8460000000005</x:v>
      </x:c>
      <x:c r="F74" s="112" t="n">
        <x:v>1975.5728767286334</x:v>
      </x:c>
      <x:c r="G74" s="110" t="n">
        <x:v>0.004938013250958489</x:v>
      </x:c>
      <x:c r="H74" s="110" t="n">
        <x:v>-0.002578601680720545</x:v>
      </x:c>
      <x:c r="I74" s="110" t="n">
        <x:v>-0.00021635596392018808</x:v>
      </x:c>
      <x:c r="J74" s="110" t="n">
        <x:v>0.0030714847030005694</x:v>
      </x:c>
      <x:c r="K74" s="110" t="n">
        <x:v>0.000007677848740993075</x:v>
      </x:c>
      <x:c r="L74" s="110" t="n">
        <x:v>0.001479099348404052</x:v>
      </x:c>
      <x:c r="M74" s="110" t="n">
        <x:v>-0.0009222593529343376</x:v>
      </x:c>
      <x:c r="N74" s="110" t="n">
        <x:v>-0.00121565636804985</x:v>
      </x:c>
      <x:c r="O74" s="110" t="n">
        <x:v>-0.00031212146490844833</x:v>
      </x:c>
      <x:c r="P74" s="110" t="n">
        <x:v>-0.005079418917022955</x:v>
      </x:c>
      <x:c r="Q74" s="110" t="n">
        <x:v>-0.00008197975778163002</x:v>
      </x:c>
      <x:c r="R74" s="110" t="n">
        <x:v>-0.001484863449339389</x:v>
      </x:c>
      <x:c r="S74" s="110" t="n">
        <x:v>-0.0016565582638329575</x:v>
      </x:c>
      <x:c r="T74" s="110" t="n">
        <x:v>0</x:v>
      </x:c>
      <x:c r="U74" s="110" t="n">
        <x:v>-0.004051540067406196</x:v>
      </x:c>
      <x:c r="V74" s="113" t="n">
        <x:f>C74-U74</x:f>
        <x:v>0</x:v>
      </x:c>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64" t="str">
        <x:v>2010-07</x:v>
      </x:c>
      <x:c r="B75" s="110" t="n">
        <x:v>-0.027589837643133386</x:v>
      </x:c>
      <x:c r="C75" s="110" t="n">
        <x:v>-0.023405110980769268</x:v>
      </x:c>
      <x:c r="D75" s="110" t="n">
        <x:v>-0.004184726662364118</x:v>
      </x:c>
      <x:c r="E75" s="112" t="n">
        <x:v>1874.41129032258</x:v>
      </x:c>
      <x:c r="F75" s="112" t="n">
        <x:v>1882.271624429483</x:v>
      </x:c>
      <x:c r="G75" s="110" t="n">
        <x:v>0.004938013250958489</x:v>
      </x:c>
      <x:c r="H75" s="110" t="n">
        <x:v>0.002473736017657547</x:v>
      </x:c>
      <x:c r="I75" s="110" t="n">
        <x:v>0.00011037734244202357</x:v>
      </x:c>
      <x:c r="J75" s="110" t="n">
        <x:v>0.00008049408187173875</x:v>
      </x:c>
      <x:c r="K75" s="110" t="n">
        <x:v>-0.00014650105073901363</x:v>
      </x:c>
      <x:c r="L75" s="110" t="n">
        <x:v>-0.004507288364151255</x:v>
      </x:c>
      <x:c r="M75" s="110" t="n">
        <x:v>-0.002225781081580043</x:v>
      </x:c>
      <x:c r="N75" s="110" t="n">
        <x:v>-0.0036459826369858728</x:v>
      </x:c>
      <x:c r="O75" s="110" t="n">
        <x:v>-0.005109445214751064</x:v>
      </x:c>
      <x:c r="P75" s="110" t="n">
        <x:v>-0.008078714016602692</x:v>
      </x:c>
      <x:c r="Q75" s="110" t="n">
        <x:v>0.00032917658816235837</x:v>
      </x:c>
      <x:c r="R75" s="110" t="n">
        <x:v>-0.0015727533505677405</x:v>
      </x:c>
      <x:c r="S75" s="110" t="n">
        <x:v>-0.006050442546483747</x:v>
      </x:c>
      <x:c r="T75" s="110" t="n">
        <x:v>0</x:v>
      </x:c>
      <x:c r="U75" s="110" t="n">
        <x:v>-0.02340511098076927</x:v>
      </x:c>
      <x:c r="V75" s="113" t="n">
        <x:f>C75-U75</x:f>
        <x:v>3.469446951953614e-18</x:v>
      </x:c>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64" t="str">
        <x:v>2010-08</x:v>
      </x:c>
      <x:c r="B76" s="110" t="n">
        <x:v>-0.028798652897101817</x:v>
      </x:c>
      <x:c r="C76" s="110" t="n">
        <x:v>-0.021696712929909528</x:v>
      </x:c>
      <x:c r="D76" s="110" t="n">
        <x:v>-0.00710193996719229</x:v>
      </x:c>
      <x:c r="E76" s="112" t="n">
        <x:v>1821.2006451612901</x:v>
      </x:c>
      <x:c r="F76" s="112" t="n">
        <x:v>1834.1807401822703</x:v>
      </x:c>
      <x:c r="G76" s="110" t="n">
        <x:v>0.004938013250958489</x:v>
      </x:c>
      <x:c r="H76" s="110" t="n">
        <x:v>-0.001828211684667489</x:v>
      </x:c>
      <x:c r="I76" s="110" t="n">
        <x:v>0.0004976164839238073</x:v>
      </x:c>
      <x:c r="J76" s="110" t="n">
        <x:v>0</x:v>
      </x:c>
      <x:c r="K76" s="110" t="n">
        <x:v>0.0000540555971464212</x:v>
      </x:c>
      <x:c r="L76" s="110" t="n">
        <x:v>-0.0021953822984508834</x:v>
      </x:c>
      <x:c r="M76" s="110" t="n">
        <x:v>-0.00046128526520772365</x:v>
      </x:c>
      <x:c r="N76" s="110" t="n">
        <x:v>-0.005054657746730407</x:v>
      </x:c>
      <x:c r="O76" s="110" t="n">
        <x:v>-0.0028273915551656685</x:v>
      </x:c>
      <x:c r="P76" s="110" t="n">
        <x:v>-0.0014133089124684795</x:v>
      </x:c>
      <x:c r="Q76" s="110" t="n">
        <x:v>-0.00011207641997901755</x:v>
      </x:c>
      <x:c r="R76" s="110" t="n">
        <x:v>-0.0018828535231161928</x:v>
      </x:c>
      <x:c r="S76" s="110" t="n">
        <x:v>-0.011411230856152383</x:v>
      </x:c>
      <x:c r="T76" s="110" t="n">
        <x:v>0</x:v>
      </x:c>
      <x:c r="U76" s="110" t="n">
        <x:v>-0.021696712929909528</x:v>
      </x:c>
      <x:c r="V76" s="113" t="n">
        <x:f>C76-U76</x:f>
        <x:v>0</x:v>
      </x:c>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64" t="str">
        <x:v>2010-09</x:v>
      </x:c>
      <x:c r="B77" s="110" t="n">
        <x:v>-0.008507592957902155</x:v>
      </x:c>
      <x:c r="C77" s="110" t="n">
        <x:v>-0.00389790789856591</x:v>
      </x:c>
      <x:c r="D77" s="110" t="n">
        <x:v>-0.004609685059336245</x:v>
      </x:c>
      <x:c r="E77" s="112" t="n">
        <x:v>1805.7723333333327</x:v>
      </x:c>
      <x:c r="F77" s="112" t="n">
        <x:v>1814.1155901981674</x:v>
      </x:c>
      <x:c r="G77" s="110" t="n">
        <x:v>0.004938013250958489</x:v>
      </x:c>
      <x:c r="H77" s="110" t="n">
        <x:v>0.00012968942116615173</x:v>
      </x:c>
      <x:c r="I77" s="110" t="n">
        <x:v>0.000599964328051842</x:v>
      </x:c>
      <x:c r="J77" s="110" t="n">
        <x:v>0.00006566622468483835</x:v>
      </x:c>
      <x:c r="K77" s="110" t="n">
        <x:v>-0.00005630371020579955</x:v>
      </x:c>
      <x:c r="L77" s="110" t="n">
        <x:v>-0.0026373995583194466</x:v>
      </x:c>
      <x:c r="M77" s="110" t="n">
        <x:v>-0.0013363023879349554</x:v>
      </x:c>
      <x:c r="N77" s="110" t="n">
        <x:v>0.001519159432077447</x:v>
      </x:c>
      <x:c r="O77" s="110" t="n">
        <x:v>-0.0003945503098871714</x:v>
      </x:c>
      <x:c r="P77" s="110" t="n">
        <x:v>0.004446035033152425</x:v>
      </x:c>
      <x:c r="Q77" s="110" t="n">
        <x:v>-0.00016377836897839152</x:v>
      </x:c>
      <x:c r="R77" s="110" t="n">
        <x:v>-0.001843822066020819</x:v>
      </x:c>
      <x:c r="S77" s="110" t="n">
        <x:v>-0.00916427918731052</x:v>
      </x:c>
      <x:c r="T77" s="110" t="n">
        <x:v>0</x:v>
      </x:c>
      <x:c r="U77" s="110" t="n">
        <x:v>-0.00389790789856591</x:v>
      </x:c>
      <x:c r="V77" s="113" t="n">
        <x:f>C77-U77</x:f>
        <x:v>0</x:v>
      </x:c>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64" t="str">
        <x:v>2010-10</x:v>
      </x:c>
      <x:c r="B78" s="110" t="n">
        <x:v>0.0015686034501500856</x:v>
      </x:c>
      <x:c r="C78" s="110" t="n">
        <x:v>-0.03419419511800468</x:v>
      </x:c>
      <x:c r="D78" s="110" t="n">
        <x:v>0.035762798568154765</x:v>
      </x:c>
      <x:c r="E78" s="112" t="n">
        <x:v>1808.6070967741932</x:v>
      </x:c>
      <x:c r="F78" s="112" t="n">
        <x:v>1745.0691644435344</x:v>
      </x:c>
      <x:c r="G78" s="110" t="n">
        <x:v>0.004938013250958489</x:v>
      </x:c>
      <x:c r="H78" s="110" t="n">
        <x:v>-0.002766984177251184</x:v>
      </x:c>
      <x:c r="I78" s="110" t="n">
        <x:v>0.00030090278267415376</x:v>
      </x:c>
      <x:c r="J78" s="110" t="n">
        <x:v>0</x:v>
      </x:c>
      <x:c r="K78" s="110" t="n">
        <x:v>0.00015841452937560816</x:v>
      </x:c>
      <x:c r="L78" s="110" t="n">
        <x:v>-0.007403200201608406</x:v>
      </x:c>
      <x:c r="M78" s="110" t="n">
        <x:v>-0.0014171514140518308</x:v>
      </x:c>
      <x:c r="N78" s="110" t="n">
        <x:v>-0.0026782583494092643</x:v>
      </x:c>
      <x:c r="O78" s="110" t="n">
        <x:v>-0.006178031278284013</x:v>
      </x:c>
      <x:c r="P78" s="110" t="n">
        <x:v>-0.007460235886539109</x:v>
      </x:c>
      <x:c r="Q78" s="110" t="n">
        <x:v>0.0003003782879577846</x:v>
      </x:c>
      <x:c r="R78" s="110" t="n">
        <x:v>-0.0018304234262023903</x:v>
      </x:c>
      <x:c r="S78" s="110" t="n">
        <x:v>-0.010157619235624516</x:v>
      </x:c>
      <x:c r="T78" s="110" t="n">
        <x:v>0</x:v>
      </x:c>
      <x:c r="U78" s="110" t="n">
        <x:v>-0.03419419511800468</x:v>
      </x:c>
      <x:c r="V78" s="113" t="n">
        <x:f>C78-U78</x:f>
        <x:v>0</x:v>
      </x:c>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64" t="str">
        <x:v>2010-11</x:v>
      </x:c>
      <x:c r="B79" s="110" t="n">
        <x:v>0.02962788178102027</x:v>
      </x:c>
      <x:c r="C79" s="110" t="n">
        <x:v>0.002614242296304676</x:v>
      </x:c>
      <x:c r="D79" s="110" t="n">
        <x:v>0.027013639484715597</x:v>
      </x:c>
      <x:c r="E79" s="112" t="n">
        <x:v>1862.994</x:v>
      </x:c>
      <x:c r="F79" s="112" t="n">
        <x:v>1813.3414195811392</x:v>
      </x:c>
      <x:c r="G79" s="110" t="n">
        <x:v>0.004938013250958489</x:v>
      </x:c>
      <x:c r="H79" s="110" t="n">
        <x:v>-0.0014331827053257864</x:v>
      </x:c>
      <x:c r="I79" s="110" t="n">
        <x:v>0.00015907622088159285</x:v>
      </x:c>
      <x:c r="J79" s="110" t="n">
        <x:v>0</x:v>
      </x:c>
      <x:c r="K79" s="110" t="n">
        <x:v>0.0001115618429908073</x:v>
      </x:c>
      <x:c r="L79" s="110" t="n">
        <x:v>0.0008295776657078546</x:v>
      </x:c>
      <x:c r="M79" s="110" t="n">
        <x:v>-0.00019429882067599645</x:v>
      </x:c>
      <x:c r="N79" s="110" t="n">
        <x:v>-0.000988440098014026</x:v>
      </x:c>
      <x:c r="O79" s="110" t="n">
        <x:v>-0.005725353355709275</x:v>
      </x:c>
      <x:c r="P79" s="110" t="n">
        <x:v>0.005977675784773814</x:v>
      </x:c>
      <x:c r="Q79" s="110" t="n">
        <x:v>-0.00004171097021603815</x:v>
      </x:c>
      <x:c r="R79" s="110" t="n">
        <x:v>-0.0014662164597541384</x:v>
      </x:c>
      <x:c r="S79" s="110" t="n">
        <x:v>0.0004475399406873792</x:v>
      </x:c>
      <x:c r="T79" s="110" t="n">
        <x:v>0</x:v>
      </x:c>
      <x:c r="U79" s="110" t="n">
        <x:v>0.0026142422963046754</x:v>
      </x:c>
      <x:c r="V79" s="113" t="n">
        <x:f>C79-U79</x:f>
        <x:v>4.336808689942018e-19</x:v>
      </x:c>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64" t="str">
        <x:v>2010-12</x:v>
      </x:c>
      <x:c r="B80" s="110" t="n">
        <x:v>0.031353792185720764</x:v>
      </x:c>
      <x:c r="C80" s="110" t="n">
        <x:v>0.0006500390186601505</x:v>
      </x:c>
      <x:c r="D80" s="110" t="n">
        <x:v>0.030703753167060612</x:v>
      </x:c>
      <x:c r="E80" s="112" t="n">
        <x:v>1922.331290322581</x:v>
      </x:c>
      <x:c r="F80" s="112" t="n">
        <x:v>1864.205412481564</x:v>
      </x:c>
      <x:c r="G80" s="110" t="n">
        <x:v>0.004938013250958489</x:v>
      </x:c>
      <x:c r="H80" s="110" t="n">
        <x:v>-0.0006361852602904327</x:v>
      </x:c>
      <x:c r="I80" s="110" t="n">
        <x:v>0.00035976924141606993</x:v>
      </x:c>
      <x:c r="J80" s="110" t="n">
        <x:v>0</x:v>
      </x:c>
      <x:c r="K80" s="110" t="n">
        <x:v>0.00007697940251412047</x:v>
      </x:c>
      <x:c r="L80" s="110" t="n">
        <x:v>0.0019833036917483392</x:v>
      </x:c>
      <x:c r="M80" s="110" t="n">
        <x:v>-0.0019024398809889063</x:v>
      </x:c>
      <x:c r="N80" s="110" t="n">
        <x:v>0.0013828554039819559</x:v>
      </x:c>
      <x:c r="O80" s="110" t="n">
        <x:v>-0.0003299946745980019</x:v>
      </x:c>
      <x:c r="P80" s="110" t="n">
        <x:v>0.0002576697103128832</x:v>
      </x:c>
      <x:c r="Q80" s="110" t="n">
        <x:v>-0.00033007480456705043</x:v>
      </x:c>
      <x:c r="R80" s="110" t="n">
        <x:v>-0.0014979937240445756</x:v>
      </x:c>
      <x:c r="S80" s="110" t="n">
        <x:v>-0.003651863337782741</x:v>
      </x:c>
      <x:c r="T80" s="110" t="n">
        <x:v>0</x:v>
      </x:c>
      <x:c r="U80" s="110" t="n">
        <x:v>0.0006500390186601505</x:v>
      </x:c>
      <x:c r="V80" s="113" t="n">
        <x:f>C80-U80</x:f>
        <x:v>0</x:v>
      </x:c>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64" t="str">
        <x:v>2011-01</x:v>
      </x:c>
      <x:c r="B81" s="110" t="n">
        <x:v>-0.029164677784858206</x:v>
      </x:c>
      <x:c r="C81" s="110" t="n">
        <x:v>-0.018140853782285526</x:v>
      </x:c>
      <x:c r="D81" s="110" t="n">
        <x:v>-0.01102382400257268</x:v>
      </x:c>
      <x:c r="E81" s="112" t="n">
        <x:v>1867.0767741935488</x:v>
      </x:c>
      <x:c r="F81" s="112" t="n">
        <x:v>1887.7729659481533</x:v>
      </x:c>
      <x:c r="G81" s="110" t="n">
        <x:v>0.004938013250958489</x:v>
      </x:c>
      <x:c r="H81" s="110" t="n">
        <x:v>-0.00015321005857506803</x:v>
      </x:c>
      <x:c r="I81" s="110" t="n">
        <x:v>0.00016311356455529948</x:v>
      </x:c>
      <x:c r="J81" s="110" t="n">
        <x:v>-0.00006566622468483835</x:v>
      </x:c>
      <x:c r="K81" s="110" t="n">
        <x:v>-0.000360842292251488</x:v>
      </x:c>
      <x:c r="L81" s="110" t="n">
        <x:v>-0.0031624459934737276</x:v>
      </x:c>
      <x:c r="M81" s="110" t="n">
        <x:v>-0.00020626089071015268</x:v>
      </x:c>
      <x:c r="N81" s="110" t="n">
        <x:v>-0.0022752793647304818</x:v>
      </x:c>
      <x:c r="O81" s="110" t="n">
        <x:v>-0.005887427660459392</x:v>
      </x:c>
      <x:c r="P81" s="110" t="n">
        <x:v>-0.006155760878598396</x:v>
      </x:c>
      <x:c r="Q81" s="110" t="n">
        <x:v>0.0005139370122123706</x:v>
      </x:c>
      <x:c r="R81" s="110" t="n">
        <x:v>-0.001828752029880831</x:v>
      </x:c>
      <x:c r="S81" s="110" t="n">
        <x:v>-0.0036602722166473103</x:v>
      </x:c>
      <x:c r="T81" s="110" t="n">
        <x:v>0</x:v>
      </x:c>
      <x:c r="U81" s="110" t="n">
        <x:v>-0.018140853782285526</x:v>
      </x:c>
      <x:c r="V81" s="113" t="n">
        <x:f>C81-U81</x:f>
        <x:v>0</x:v>
      </x:c>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64" t="str">
        <x:v>2011-02</x:v>
      </x:c>
      <x:c r="B82" s="110" t="n">
        <x:v>0.008158394720640061</x:v>
      </x:c>
      <x:c r="C82" s="110" t="n">
        <x:v>-0.016355511641660984</x:v>
      </x:c>
      <x:c r="D82" s="110" t="n">
        <x:v>0.024513906362301045</x:v>
      </x:c>
      <x:c r="E82" s="112" t="n">
        <x:v>1882.3714285714277</x:v>
      </x:c>
      <x:c r="F82" s="112" t="n">
        <x:v>1836.7881464669981</x:v>
      </x:c>
      <x:c r="G82" s="110" t="n">
        <x:v>0.004938013250958489</x:v>
      </x:c>
      <x:c r="H82" s="110" t="n">
        <x:v>-0.0026576280620819225</x:v>
      </x:c>
      <x:c r="I82" s="110" t="n">
        <x:v>0.00046455641210084165</x:v>
      </x:c>
      <x:c r="J82" s="110" t="n">
        <x:v>-0.00006566622468484128</x:v>
      </x:c>
      <x:c r="K82" s="110" t="n">
        <x:v>0.00038819795026206463</x:v>
      </x:c>
      <x:c r="L82" s="110" t="n">
        <x:v>-0.0021283644663650236</x:v>
      </x:c>
      <x:c r="M82" s="110" t="n">
        <x:v>0.00009333522287508121</x:v>
      </x:c>
      <x:c r="N82" s="110" t="n">
        <x:v>0.0007881543815468443</x:v>
      </x:c>
      <x:c r="O82" s="110" t="n">
        <x:v>-0.004424032558663988</x:v>
      </x:c>
      <x:c r="P82" s="110" t="n">
        <x:v>-0.002306188581767406</x:v>
      </x:c>
      <x:c r="Q82" s="110" t="n">
        <x:v>-0.00016024538384163512</x:v>
      </x:c>
      <x:c r="R82" s="110" t="n">
        <x:v>-0.0020803275973465926</x:v>
      </x:c>
      <x:c r="S82" s="110" t="n">
        <x:v>-0.009205315984652894</x:v>
      </x:c>
      <x:c r="T82" s="110" t="n">
        <x:v>0</x:v>
      </x:c>
      <x:c r="U82" s="110" t="n">
        <x:v>-0.016355511641660984</x:v>
      </x:c>
      <x:c r="V82" s="113" t="n">
        <x:f>C82-U82</x:f>
        <x:v>0</x:v>
      </x:c>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64" t="str">
        <x:v>2011-03</x:v>
      </x:c>
      <x:c r="B83" s="110" t="n">
        <x:v>-0.00029572918356635114</x:v>
      </x:c>
      <x:c r="C83" s="110" t="n">
        <x:v>0.007155887864256113</x:v>
      </x:c>
      <x:c r="D83" s="110" t="n">
        <x:v>-0.0074516170478224645</x:v>
      </x:c>
      <x:c r="E83" s="112" t="n">
        <x:v>1881.814838709677</x:v>
      </x:c>
      <x:c r="F83" s="112" t="n">
        <x:v>1895.889777642372</x:v>
      </x:c>
      <x:c r="G83" s="110" t="n">
        <x:v>0.004938013250958489</x:v>
      </x:c>
      <x:c r="H83" s="110" t="n">
        <x:v>-0.005480524510041543</x:v>
      </x:c>
      <x:c r="I83" s="110" t="n">
        <x:v>0.0008283512051943399</x:v>
      </x:c>
      <x:c r="J83" s="110" t="n">
        <x:v>-0.00012429678243916083</x:v>
      </x:c>
      <x:c r="K83" s="110" t="n">
        <x:v>-0.00002726875276408061</x:v>
      </x:c>
      <x:c r="L83" s="110" t="n">
        <x:v>-0.0027337502204948833</x:v>
      </x:c>
      <x:c r="M83" s="110" t="n">
        <x:v>0.0024509810232531586</x:v>
      </x:c>
      <x:c r="N83" s="110" t="n">
        <x:v>0.0006350746930184632</x:v>
      </x:c>
      <x:c r="O83" s="110" t="n">
        <x:v>-0.004077340755828201</x:v>
      </x:c>
      <x:c r="P83" s="110" t="n">
        <x:v>0.01316713889317907</x:v>
      </x:c>
      <x:c r="Q83" s="110" t="n">
        <x:v>-0.0002667466991275852</x:v>
      </x:c>
      <x:c r="R83" s="110" t="n">
        <x:v>-0.002002167658355183</x:v>
      </x:c>
      <x:c r="S83" s="110" t="n">
        <x:v>-0.00015157582229677008</x:v>
      </x:c>
      <x:c r="T83" s="110" t="n">
        <x:v>0</x:v>
      </x:c>
      <x:c r="U83" s="110" t="n">
        <x:v>0.007155887864256113</x:v>
      </x:c>
      <x:c r="V83" s="113" t="n">
        <x:f>C83-U83</x:f>
        <x:v>0</x:v>
      </x:c>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64" t="str">
        <x:v>2011-04</x:v>
      </x:c>
      <x:c r="B84" s="110" t="n">
        <x:v>-0.03900152257560041</x:v>
      </x:c>
      <x:c r="C84" s="110" t="n">
        <x:v>-0.03738052657054942</x:v>
      </x:c>
      <x:c r="D84" s="110" t="n">
        <x:v>-0.001620996005050994</x:v>
      </x:c>
      <x:c r="E84" s="112" t="n">
        <x:v>1809.8340000000005</x:v>
      </x:c>
      <x:c r="F84" s="112" t="n">
        <x:v>1812.7701127544105</x:v>
      </x:c>
      <x:c r="G84" s="110" t="n">
        <x:v>0.004938013250958489</x:v>
      </x:c>
      <x:c r="H84" s="110" t="n">
        <x:v>-0.00364360679240866</x:v>
      </x:c>
      <x:c r="I84" s="110" t="n">
        <x:v>-0.00003548780986770232</x:v>
      </x:c>
      <x:c r="J84" s="110" t="n">
        <x:v>-0.002243923836839897</x:v>
      </x:c>
      <x:c r="K84" s="110" t="n">
        <x:v>0.00011790363742139912</x:v>
      </x:c>
      <x:c r="L84" s="110" t="n">
        <x:v>-0.00477331339648385</x:v>
      </x:c>
      <x:c r="M84" s="110" t="n">
        <x:v>-0.003448926301588666</x:v>
      </x:c>
      <x:c r="N84" s="110" t="n">
        <x:v>-0.0005479038779873497</x:v>
      </x:c>
      <x:c r="O84" s="110" t="n">
        <x:v>-0.0051605554920520005</x:v>
      </x:c>
      <x:c r="P84" s="110" t="n">
        <x:v>-0.012690152036628799</x:v>
      </x:c>
      <x:c r="Q84" s="110" t="n">
        <x:v>0.00035967399778695763</x:v>
      </x:c>
      <x:c r="R84" s="110" t="n">
        <x:v>-0.0015756821509104843</x:v>
      </x:c>
      <x:c r="S84" s="110" t="n">
        <x:v>-0.008676565761948855</x:v>
      </x:c>
      <x:c r="T84" s="110" t="n">
        <x:v>0</x:v>
      </x:c>
      <x:c r="U84" s="110" t="n">
        <x:v>-0.03738052657054942</x:v>
      </x:c>
      <x:c r="V84" s="113" t="n">
        <x:f>C84-U84</x:f>
        <x:v>0</x:v>
      </x:c>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64" t="str">
        <x:v>2011-05</x:v>
      </x:c>
      <x:c r="B85" s="110" t="n">
        <x:v>-0.005165886903627737</x:v>
      </x:c>
      <x:c r="C85" s="110" t="n">
        <x:v>-0.008304542908987215</x:v>
      </x:c>
      <x:c r="D85" s="110" t="n">
        <x:v>0.0031386560053594786</x:v>
      </x:c>
      <x:c r="E85" s="112" t="n">
        <x:v>1800.5087096774187</x:v>
      </x:c>
      <x:c r="F85" s="112" t="n">
        <x:v>1794.8663914829788</x:v>
      </x:c>
      <x:c r="G85" s="110" t="n">
        <x:v>0.004938013250958489</x:v>
      </x:c>
      <x:c r="H85" s="110" t="n">
        <x:v>0.0020253433877091206</x:v>
      </x:c>
      <x:c r="I85" s="110" t="n">
        <x:v>-0.00016766323685347178</x:v>
      </x:c>
      <x:c r="J85" s="110" t="n">
        <x:v>-0.0013747541877568072</x:v>
      </x:c>
      <x:c r="K85" s="110" t="n">
        <x:v>0.0002922137832784769</x:v>
      </x:c>
      <x:c r="L85" s="110" t="n">
        <x:v>0.00007699964273050413</x:v>
      </x:c>
      <x:c r="M85" s="110" t="n">
        <x:v>0.0005702245314774555</x:v>
      </x:c>
      <x:c r="N85" s="110" t="n">
        <x:v>-0.0005974702788062178</x:v>
      </x:c>
      <x:c r="O85" s="110" t="n">
        <x:v>-0.006700948528109468</x:v>
      </x:c>
      <x:c r="P85" s="110" t="n">
        <x:v>-0.0010028481881163664</x:v>
      </x:c>
      <x:c r="Q85" s="110" t="n">
        <x:v>0.0000651026805591771</x:v>
      </x:c>
      <x:c r="R85" s="110" t="n">
        <x:v>-0.0011864725159908918</x:v>
      </x:c>
      <x:c r="S85" s="110" t="n">
        <x:v>-0.0052422832500672156</x:v>
      </x:c>
      <x:c r="T85" s="110" t="n">
        <x:v>0</x:v>
      </x:c>
      <x:c r="U85" s="110" t="n">
        <x:v>-0.008304542908987215</x:v>
      </x:c>
      <x:c r="V85" s="113" t="n">
        <x:f>C85-U85</x:f>
        <x:v>0</x:v>
      </x:c>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64" t="str">
        <x:v>2011-06</x:v>
      </x:c>
      <x:c r="B86" s="110" t="n">
        <x:v>-0.00968254407498037</x:v>
      </x:c>
      <x:c r="C86" s="110" t="n">
        <x:v>0.0026355023875622384</x:v>
      </x:c>
      <x:c r="D86" s="110" t="n">
        <x:v>-0.01231804646254261</x:v>
      </x:c>
      <x:c r="E86" s="112" t="n">
        <x:v>1783.159333333334</x:v>
      </x:c>
      <x:c r="F86" s="112" t="n">
        <x:v>1805.2602132298007</x:v>
      </x:c>
      <x:c r="G86" s="110" t="n">
        <x:v>0.004938013250958489</x:v>
      </x:c>
      <x:c r="H86" s="110" t="n">
        <x:v>0.0012755185658470186</x:v>
      </x:c>
      <x:c r="I86" s="110" t="n">
        <x:v>0.0003479062200345106</x:v>
      </x:c>
      <x:c r="J86" s="110" t="n">
        <x:v>-0.0017073218418058353</x:v>
      </x:c>
      <x:c r="K86" s="110" t="n">
        <x:v>0.00015356149835323013</x:v>
      </x:c>
      <x:c r="L86" s="110" t="n">
        <x:v>-0.000015836646691709476</x:v>
      </x:c>
      <x:c r="M86" s="110" t="n">
        <x:v>0.00176280355446165</x:v>
      </x:c>
      <x:c r="N86" s="110" t="n">
        <x:v>-0.0004488425594774271</x:v>
      </x:c>
      <x:c r="O86" s="110" t="n">
        <x:v>-0.002383018688245852</x:v>
      </x:c>
      <x:c r="P86" s="110" t="n">
        <x:v>0.002179264348533073</x:v>
      </x:c>
      <x:c r="Q86" s="110" t="n">
        <x:v>-0.00024328377703346522</x:v>
      </x:c>
      <x:c r="R86" s="110" t="n">
        <x:v>-0.0012811655781974924</x:v>
      </x:c>
      <x:c r="S86" s="110" t="n">
        <x:v>-0.001942095959173952</x:v>
      </x:c>
      <x:c r="T86" s="110" t="n">
        <x:v>0</x:v>
      </x:c>
      <x:c r="U86" s="110" t="n">
        <x:v>0.0026355023875622376</x:v>
      </x:c>
      <x:c r="V86" s="113" t="n">
        <x:f>C86-U86</x:f>
        <x:v>8.673617379884035e-19</x:v>
      </x:c>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64" t="str">
        <x:v>2011-07</x:v>
      </x:c>
      <x:c r="B87" s="110" t="n">
        <x:v>-0.012167689647595736</x:v>
      </x:c>
      <x:c r="C87" s="110" t="n">
        <x:v>-0.014425063542825712</x:v>
      </x:c>
      <x:c r="D87" s="110" t="n">
        <x:v>0.0022573738952299752</x:v>
      </x:c>
      <x:c r="E87" s="112" t="n">
        <x:v>1761.593870967742</x:v>
      </x:c>
      <x:c r="F87" s="112" t="n">
        <x:v>1757.621779883512</x:v>
      </x:c>
      <x:c r="G87" s="110" t="n">
        <x:v>0.004938013250958489</x:v>
      </x:c>
      <x:c r="H87" s="110" t="n">
        <x:v>0.0001202679849082751</x:v>
      </x:c>
      <x:c r="I87" s="110" t="n">
        <x:v>0.0001323914464912282</x:v>
      </x:c>
      <x:c r="J87" s="110" t="n">
        <x:v>-0.002243596010065359</x:v>
      </x:c>
      <x:c r="K87" s="110" t="n">
        <x:v>0.0003077850152719916</x:v>
      </x:c>
      <x:c r="L87" s="110" t="n">
        <x:v>-0.0019240384289790189</x:v>
      </x:c>
      <x:c r="M87" s="110" t="n">
        <x:v>0.00005484284920199271</x:v>
      </x:c>
      <x:c r="N87" s="110" t="n">
        <x:v>-0.0005958261668667357</x:v>
      </x:c>
      <x:c r="O87" s="110" t="n">
        <x:v>-0.0035556651052888813</x:v>
      </x:c>
      <x:c r="P87" s="110" t="n">
        <x:v>-0.0007854190110799294</x:v>
      </x:c>
      <x:c r="Q87" s="110" t="n">
        <x:v>0.00010766362965226682</x:v>
      </x:c>
      <x:c r="R87" s="110" t="n">
        <x:v>-0.0013115918126561333</x:v>
      </x:c>
      <x:c r="S87" s="110" t="n">
        <x:v>-0.009669891184373898</x:v>
      </x:c>
      <x:c r="T87" s="110" t="n">
        <x:v>0</x:v>
      </x:c>
      <x:c r="U87" s="110" t="n">
        <x:v>-0.014425063542825712</x:v>
      </x:c>
      <x:c r="V87" s="113" t="n">
        <x:f>C87-U87</x:f>
        <x:v>0</x:v>
      </x:c>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64" t="str">
        <x:v>2011-08</x:v>
      </x:c>
      <x:c r="B88" s="110" t="n">
        <x:v>0.013513083781766078</x:v>
      </x:c>
      <x:c r="C88" s="110" t="n">
        <x:v>0.03308332374502357</x:v>
      </x:c>
      <x:c r="D88" s="110" t="n">
        <x:v>-0.01957023996325749</x:v>
      </x:c>
      <x:c r="E88" s="112" t="n">
        <x:v>1785.56</x:v>
      </x:c>
      <x:c r="F88" s="112" t="n">
        <x:v>1820.8480088173428</x:v>
      </x:c>
      <x:c r="G88" s="110" t="n">
        <x:v>0.004938013250958489</x:v>
      </x:c>
      <x:c r="H88" s="110" t="n">
        <x:v>0.002246396872519967</x:v>
      </x:c>
      <x:c r="I88" s="110" t="n">
        <x:v>-0.00038894016681786367</x:v>
      </x:c>
      <x:c r="J88" s="110" t="n">
        <x:v>-0.0011710476735463055</x:v>
      </x:c>
      <x:c r="K88" s="110" t="n">
        <x:v>0.00016388305874647156</x:v>
      </x:c>
      <x:c r="L88" s="110" t="n">
        <x:v>0.001791744999285708</x:v>
      </x:c>
      <x:c r="M88" s="110" t="n">
        <x:v>0.00849456988539002</x:v>
      </x:c>
      <x:c r="N88" s="110" t="n">
        <x:v>0.00457446268739842</x:v>
      </x:c>
      <x:c r="O88" s="110" t="n">
        <x:v>-0.008534255857434626</x:v>
      </x:c>
      <x:c r="P88" s="110" t="n">
        <x:v>0.012724157854449338</x:v>
      </x:c>
      <x:c r="Q88" s="110" t="n">
        <x:v>0.00003762057138078628</x:v>
      </x:c>
      <x:c r="R88" s="110" t="n">
        <x:v>-0.0010893687638741994</x:v>
      </x:c>
      <x:c r="S88" s="110" t="n">
        <x:v>0.009296087026567361</x:v>
      </x:c>
      <x:c r="T88" s="110" t="n">
        <x:v>0</x:v>
      </x:c>
      <x:c r="U88" s="110" t="n">
        <x:v>0.03308332374502357</x:v>
      </x:c>
      <x:c r="V88" s="113" t="n">
        <x:f>C88-U88</x:f>
        <x:v>0</x:v>
      </x:c>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64" t="str">
        <x:v>2011-09</x:v>
      </x:c>
      <x:c r="B89" s="110" t="n">
        <x:v>0.02639625747682839</x:v>
      </x:c>
      <x:c r="C89" s="110" t="n">
        <x:v>0.03733440543650051</x:v>
      </x:c>
      <x:c r="D89" s="110" t="n">
        <x:v>-0.010938147959672122</x:v>
      </x:c>
      <x:c r="E89" s="112" t="n">
        <x:v>1833.319666666666</x:v>
      </x:c>
      <x:c r="F89" s="112" t="n">
        <x:v>1853.482861409937</x:v>
      </x:c>
      <x:c r="G89" s="110" t="n">
        <x:v>0.004938013250958489</x:v>
      </x:c>
      <x:c r="H89" s="110" t="n">
        <x:v>-0.002818474179507523</x:v>
      </x:c>
      <x:c r="I89" s="110" t="n">
        <x:v>0.0005720622692976057</x:v>
      </x:c>
      <x:c r="J89" s="110" t="n">
        <x:v>-0.001444656943066479</x:v>
      </x:c>
      <x:c r="K89" s="110" t="n">
        <x:v>-0.00027734567191744683</x:v>
      </x:c>
      <x:c r="L89" s="110" t="n">
        <x:v>0.008559028218828061</x:v>
      </x:c>
      <x:c r="M89" s="110" t="n">
        <x:v>0.0005941261484229931</x:v>
      </x:c>
      <x:c r="N89" s="110" t="n">
        <x:v>0.006683100584593659</x:v>
      </x:c>
      <x:c r="O89" s="110" t="n">
        <x:v>-0.0018647857698389034</x:v>
      </x:c>
      <x:c r="P89" s="110" t="n">
        <x:v>-0.001297423949408539</x:v>
      </x:c>
      <x:c r="Q89" s="110" t="n">
        <x:v>-0.00040412193513022766</x:v>
      </x:c>
      <x:c r="R89" s="110" t="n">
        <x:v>-0.0011950891526765768</x:v>
      </x:c>
      <x:c r="S89" s="110" t="n">
        <x:v>0.025289972565945392</x:v>
      </x:c>
      <x:c r="T89" s="110" t="n">
        <x:v>0</x:v>
      </x:c>
      <x:c r="U89" s="110" t="n">
        <x:v>0.037334405436500503</x:v>
      </x:c>
      <x:c r="V89" s="113" t="n">
        <x:f>C89-U89</x:f>
        <x:v>6.938893903907228e-18</x:v>
      </x:c>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64" t="str">
        <x:v>2011-10</x:v>
      </x:c>
      <x:c r="B90" s="110" t="n">
        <x:v>0.039722293314158996</x:v>
      </x:c>
      <x:c r="C90" s="110" t="n">
        <x:v>0.02335014408330691</x:v>
      </x:c>
      <x:c r="D90" s="110" t="n">
        <x:v>0.016372149230852086</x:v>
      </x:c>
      <x:c r="E90" s="112" t="n">
        <x:v>1907.6090322580642</x:v>
      </x:c>
      <x:c r="F90" s="112" t="n">
        <x:v>1876.6316476369047</x:v>
      </x:c>
      <x:c r="G90" s="110" t="n">
        <x:v>0.004938013250958489</x:v>
      </x:c>
      <x:c r="H90" s="110" t="n">
        <x:v>0.0006230106833494075</x:v>
      </x:c>
      <x:c r="I90" s="110" t="n">
        <x:v>0.00015723599662688514</x:v>
      </x:c>
      <x:c r="J90" s="110" t="n">
        <x:v>-0.0001313324493696767</x:v>
      </x:c>
      <x:c r="K90" s="110" t="n">
        <x:v>0.00006864215915262016</x:v>
      </x:c>
      <x:c r="L90" s="110" t="n">
        <x:v>0.002622804954337211</x:v>
      </x:c>
      <x:c r="M90" s="110" t="n">
        <x:v>-0.0015127255365265054</x:v>
      </x:c>
      <x:c r="N90" s="110" t="n">
        <x:v>-0.0011732382800113239</x:v>
      </x:c>
      <x:c r="O90" s="110" t="n">
        <x:v>-0.0006947467951776647</x:v>
      </x:c>
      <x:c r="P90" s="110" t="n">
        <x:v>0.010066372846454612</x:v>
      </x:c>
      <x:c r="Q90" s="110" t="n">
        <x:v>-0.00015880544420190804</x:v>
      </x:c>
      <x:c r="R90" s="110" t="n">
        <x:v>-0.001284642344607988</x:v>
      </x:c>
      <x:c r="S90" s="110" t="n">
        <x:v>0.00982955504232275</x:v>
      </x:c>
      <x:c r="T90" s="110" t="n">
        <x:v>0</x:v>
      </x:c>
      <x:c r="U90" s="110" t="n">
        <x:v>0.02335014408330691</x:v>
      </x:c>
      <x:c r="V90" s="113" t="n">
        <x:f>C90-U90</x:f>
        <x:v>0</x:v>
      </x:c>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64" t="str">
        <x:v>2011-11</x:v>
      </x:c>
      <x:c r="B91" s="110" t="n">
        <x:v>0.006201068837606627</x:v>
      </x:c>
      <x:c r="C91" s="110" t="n">
        <x:v>-0.010465138143243988</x:v>
      </x:c>
      <x:c r="D91" s="110" t="n">
        <x:v>0.016666206980850615</x:v>
      </x:c>
      <x:c r="E91" s="112" t="n">
        <x:v>1919.4750000000006</x:v>
      </x:c>
      <x:c r="F91" s="112" t="n">
        <x:v>1887.749736595828</x:v>
      </x:c>
      <x:c r="G91" s="110" t="n">
        <x:v>0.004938013250958489</x:v>
      </x:c>
      <x:c r="H91" s="110" t="n">
        <x:v>-0.0028336190278652356</x:v>
      </x:c>
      <x:c r="I91" s="110" t="n">
        <x:v>0.00012908609754134503</x:v>
      </x:c>
      <x:c r="J91" s="110" t="n">
        <x:v>-0.00006566622468483835</x:v>
      </x:c>
      <x:c r="K91" s="110" t="n">
        <x:v>-0.000057033141339720805</x:v>
      </x:c>
      <x:c r="L91" s="110" t="n">
        <x:v>0.0019257528163826013</x:v>
      </x:c>
      <x:c r="M91" s="110" t="n">
        <x:v>-0.0003879515691232452</x:v>
      </x:c>
      <x:c r="N91" s="110" t="n">
        <x:v>-0.0015267223469990455</x:v>
      </x:c>
      <x:c r="O91" s="110" t="n">
        <x:v>-0.0026710978872510646</x:v>
      </x:c>
      <x:c r="P91" s="110" t="n">
        <x:v>-0.007883222211285294</x:v>
      </x:c>
      <x:c r="Q91" s="110" t="n">
        <x:v>0.0002958578511218234</x:v>
      </x:c>
      <x:c r="R91" s="110" t="n">
        <x:v>-0.0014668601705540218</x:v>
      </x:c>
      <x:c r="S91" s="110" t="n">
        <x:v>-0.0008616755801457838</x:v>
      </x:c>
      <x:c r="T91" s="110" t="n">
        <x:v>0</x:v>
      </x:c>
      <x:c r="U91" s="110" t="n">
        <x:v>-0.01046513814324399</x:v>
      </x:c>
      <x:c r="V91" s="113" t="n">
        <x:f>C91-U91</x:f>
        <x:v>1.734723475976807e-18</x:v>
      </x:c>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64" t="str">
        <x:v>2011-12</x:v>
      </x:c>
      <x:c r="B92" s="110" t="n">
        <x:v>0.0072032057901756374</x:v>
      </x:c>
      <x:c r="C92" s="110" t="n">
        <x:v>0.018882696801290535</x:v>
      </x:c>
      <x:c r="D92" s="110" t="n">
        <x:v>-0.011679491011114897</x:v>
      </x:c>
      <x:c r="E92" s="112" t="n">
        <x:v>1933.3512903225812</x:v>
      </x:c>
      <x:c r="F92" s="112" t="n">
        <x:v>1956.0642289306782</x:v>
      </x:c>
      <x:c r="G92" s="110" t="n">
        <x:v>0.004938013250958489</x:v>
      </x:c>
      <x:c r="H92" s="110" t="n">
        <x:v>0.0036246380899179653</x:v>
      </x:c>
      <x:c r="I92" s="110" t="n">
        <x:v>-0.00011968382127871936</x:v>
      </x:c>
      <x:c r="J92" s="110" t="n">
        <x:v>-0.00009849933702726338</x:v>
      </x:c>
      <x:c r="K92" s="110" t="n">
        <x:v>-0.0005247168296761226</x:v>
      </x:c>
      <x:c r="L92" s="110" t="n">
        <x:v>0.0027415749252821617</x:v>
      </x:c>
      <x:c r="M92" s="110" t="n">
        <x:v>-0.0034432098766167076</x:v>
      </x:c>
      <x:c r="N92" s="110" t="n">
        <x:v>-0.0015053488917858295</x:v>
      </x:c>
      <x:c r="O92" s="110" t="n">
        <x:v>0.001311444821139425</x:v>
      </x:c>
      <x:c r="P92" s="110" t="n">
        <x:v>0.010073700963250965</x:v>
      </x:c>
      <x:c r="Q92" s="110" t="n">
        <x:v>-0.0005251843046868043</x:v>
      </x:c>
      <x:c r="R92" s="110" t="n">
        <x:v>-0.0016519891272344903</x:v>
      </x:c>
      <x:c r="S92" s="110" t="n">
        <x:v>0.004061956939047467</x:v>
      </x:c>
      <x:c r="T92" s="110" t="n">
        <x:v>0</x:v>
      </x:c>
      <x:c r="U92" s="110" t="n">
        <x:v>0.018882696801290535</x:v>
      </x:c>
      <x:c r="V92" s="113" t="n">
        <x:f>C92-U92</x:f>
        <x:v>0</x:v>
      </x:c>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64" t="str">
        <x:v>2012-01</x:v>
      </x:c>
      <x:c r="B93" s="110" t="n">
        <x:v>-0.04229665632266322</x:v>
      </x:c>
      <x:c r="C93" s="110" t="n">
        <x:v>-0.02936324689126094</x:v>
      </x:c>
      <x:c r="D93" s="110" t="n">
        <x:v>-0.012933409431402278</x:v>
      </x:c>
      <x:c r="E93" s="112" t="n">
        <x:v>1853.282258064516</x:v>
      </x:c>
      <x:c r="F93" s="112" t="n">
        <x:v>1877.4071888167953</x:v>
      </x:c>
      <x:c r="G93" s="110" t="n">
        <x:v>0.004938013250958489</x:v>
      </x:c>
      <x:c r="H93" s="110" t="n">
        <x:v>-0.002396990886333035</x:v>
      </x:c>
      <x:c r="I93" s="110" t="n">
        <x:v>-0.0007181216186994278</x:v>
      </x:c>
      <x:c r="J93" s="110" t="n">
        <x:v>-0.0015431562800937305</x:v>
      </x:c>
      <x:c r="K93" s="110" t="n">
        <x:v>-0.00008771139121061756</x:v>
      </x:c>
      <x:c r="L93" s="110" t="n">
        <x:v>-0.0016266886306179915</x:v>
      </x:c>
      <x:c r="M93" s="110" t="n">
        <x:v>-0.0030264530426513535</x:v>
      </x:c>
      <x:c r="N93" s="110" t="n">
        <x:v>0.0015191594320774437</x:v>
      </x:c>
      <x:c r="O93" s="110" t="n">
        <x:v>0.0025385666668589083</x:v>
      </x:c>
      <x:c r="P93" s="110" t="n">
        <x:v>-0.013773853282379064</x:v>
      </x:c>
      <x:c r="Q93" s="110" t="n">
        <x:v>0.00024112983840471428</x:v>
      </x:c>
      <x:c r="R93" s="110" t="n">
        <x:v>-0.0017099266470012367</x:v>
      </x:c>
      <x:c r="S93" s="110" t="n">
        <x:v>-0.013717214300574041</x:v>
      </x:c>
      <x:c r="T93" s="110" t="n">
        <x:v>0</x:v>
      </x:c>
      <x:c r="U93" s="110" t="n">
        <x:v>-0.029363246891260943</x:v>
      </x:c>
      <x:c r="V93" s="113" t="n">
        <x:f>C93-U93</x:f>
        <x:v>3.469446951953614e-18</x:v>
      </x:c>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64" t="str">
        <x:v>2012-02</x:v>
      </x:c>
      <x:c r="B94" s="110" t="n">
        <x:v>-0.03879843675028205</x:v>
      </x:c>
      <x:c r="C94" s="110" t="n">
        <x:v>-0.030283705446901142</x:v>
      </x:c>
      <x:c r="D94" s="110" t="n">
        <x:v>-0.008514731303380908</x:v>
      </x:c>
      <x:c r="E94" s="112" t="n">
        <x:v>1782.7548275862068</x:v>
      </x:c>
      <x:c r="F94" s="112" t="n">
        <x:v>1797.999315177934</x:v>
      </x:c>
      <x:c r="G94" s="110" t="n">
        <x:v>0.004938013250958489</x:v>
      </x:c>
      <x:c r="H94" s="110" t="n">
        <x:v>-0.0010931031506010791</x:v>
      </x:c>
      <x:c r="I94" s="110" t="n">
        <x:v>0.00005572681365790786</x:v>
      </x:c>
      <x:c r="J94" s="110" t="n">
        <x:v>0.00001270959187448522</x:v>
      </x:c>
      <x:c r="K94" s="110" t="n">
        <x:v>0.00009363135131372927</x:v>
      </x:c>
      <x:c r="L94" s="110" t="n">
        <x:v>-0.004963453895064034</x:v>
      </x:c>
      <x:c r="M94" s="110" t="n">
        <x:v>-0.0013255608563451304</x:v>
      </x:c>
      <x:c r="N94" s="110" t="n">
        <x:v>-0.003276057450603371</x:v>
      </x:c>
      <x:c r="O94" s="110" t="n">
        <x:v>-0.0019192064530404217</x:v>
      </x:c>
      <x:c r="P94" s="110" t="n">
        <x:v>-0.0017310503755292499</x:v>
      </x:c>
      <x:c r="Q94" s="110" t="n">
        <x:v>0.00032541678029230373</x:v>
      </x:c>
      <x:c r="R94" s="110" t="n">
        <x:v>-0.0016674564923415442</x:v>
      </x:c>
      <x:c r="S94" s="110" t="n">
        <x:v>-0.019733314561473227</x:v>
      </x:c>
      <x:c r="T94" s="110" t="n">
        <x:v>0</x:v>
      </x:c>
      <x:c r="U94" s="110" t="n">
        <x:v>-0.030283705446901142</x:v>
      </x:c>
      <x:c r="V94" s="113" t="n">
        <x:f>C94-U94</x:f>
        <x:v>0</x:v>
      </x:c>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64" t="str">
        <x:v>2012-03</x:v>
      </x:c>
      <x:c r="B95" s="110" t="n">
        <x:v>-0.00925496303616935</x:v>
      </x:c>
      <x:c r="C95" s="110" t="n">
        <x:v>0.007328087955090594</x:v>
      </x:c>
      <x:c r="D95" s="110" t="n">
        <x:v>-0.016583050991259944</x:v>
      </x:c>
      <x:c r="E95" s="112" t="n">
        <x:v>1766.3316129032253</x:v>
      </x:c>
      <x:c r="F95" s="112" t="n">
        <x:v>1795.8669966513585</x:v>
      </x:c>
      <x:c r="G95" s="110" t="n">
        <x:v>0.004938013250958489</x:v>
      </x:c>
      <x:c r="H95" s="110" t="n">
        <x:v>-0.0008263487600205652</x:v>
      </x:c>
      <x:c r="I95" s="110" t="n">
        <x:v>-0.0003094191220944955</x:v>
      </x:c>
      <x:c r="J95" s="110" t="n">
        <x:v>-0.0016271929780914095</x:v>
      </x:c>
      <x:c r="K95" s="110" t="n">
        <x:v>0.00003123032052783662</x:v>
      </x:c>
      <x:c r="L95" s="110" t="n">
        <x:v>0.0016316407521553293</x:v>
      </x:c>
      <x:c r="M95" s="110" t="n">
        <x:v>-0.0018477149731870696</x:v>
      </x:c>
      <x:c r="N95" s="110" t="n">
        <x:v>-0.004022813093514171</x:v>
      </x:c>
      <x:c r="O95" s="110" t="n">
        <x:v>-0.0026211584713897573</x:v>
      </x:c>
      <x:c r="P95" s="110" t="n">
        <x:v>0.01016683691893856</x:v>
      </x:c>
      <x:c r="Q95" s="110" t="n">
        <x:v>-0.00016131977630326477</x:v>
      </x:c>
      <x:c r="R95" s="110" t="n">
        <x:v>-0.001394432388930413</x:v>
      </x:c>
      <x:c r="S95" s="110" t="n">
        <x:v>0.0033707662760415267</x:v>
      </x:c>
      <x:c r="T95" s="110" t="n">
        <x:v>0</x:v>
      </x:c>
      <x:c r="U95" s="110" t="n">
        <x:v>0.007328087955090596</x:v>
      </x:c>
      <x:c r="V95" s="113" t="n">
        <x:f>C95-U95</x:f>
        <x:v>-1.734723475976807e-18</x:v>
      </x:c>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64" t="str">
        <x:v>2012-04</x:v>
      </x:c>
      <x:c r="B96" s="110" t="n">
        <x:v>0.00447237397446365</x:v>
      </x:c>
      <x:c r="C96" s="110" t="n">
        <x:v>0.01062676187661944</x:v>
      </x:c>
      <x:c r="D96" s="110" t="n">
        <x:v>-0.00615438790215579</x:v>
      </x:c>
      <x:c r="E96" s="112" t="n">
        <x:v>1774.2489999999993</x:v>
      </x:c>
      <x:c r="F96" s="112" t="n">
        <x:v>1785.2020867813826</x:v>
      </x:c>
      <x:c r="G96" s="110" t="n">
        <x:v>0.004938013250958489</x:v>
      </x:c>
      <x:c r="H96" s="110" t="n">
        <x:v>0.001629010278404132</x:v>
      </x:c>
      <x:c r="I96" s="110" t="n">
        <x:v>-0.00036396147073222625</x:v>
      </x:c>
      <x:c r="J96" s="110" t="n">
        <x:v>-0.0012748304999160276</x:v>
      </x:c>
      <x:c r="K96" s="110" t="n">
        <x:v>-0.00008014933754539098</x:v>
      </x:c>
      <x:c r="L96" s="110" t="n">
        <x:v>0.0008976016522752814</x:v>
      </x:c>
      <x:c r="M96" s="110" t="n">
        <x:v>0.0013807501096035684</x:v>
      </x:c>
      <x:c r="N96" s="110" t="n">
        <x:v>-0.0002453015013700825</x:v>
      </x:c>
      <x:c r="O96" s="110" t="n">
        <x:v>-0.0026273904277683622</x:v>
      </x:c>
      <x:c r="P96" s="110" t="n">
        <x:v>0.003322942900895973</x:v>
      </x:c>
      <x:c r="Q96" s="110" t="n">
        <x:v>-0.000011297640840621563</x:v>
      </x:c>
      <x:c r="R96" s="110" t="n">
        <x:v>-0.0010023789821941623</x:v>
      </x:c>
      <x:c r="S96" s="110" t="n">
        <x:v>0.004063753544848869</x:v>
      </x:c>
      <x:c r="T96" s="110" t="n">
        <x:v>0</x:v>
      </x:c>
      <x:c r="U96" s="110" t="n">
        <x:v>0.01062676187661944</x:v>
      </x:c>
      <x:c r="V96" s="113" t="n">
        <x:f>C96-U96</x:f>
        <x:v>0</x:v>
      </x:c>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64" t="str">
        <x:v>2012-05</x:v>
      </x:c>
      <x:c r="B97" s="110" t="n">
        <x:v>0.010667311650083278</x:v>
      </x:c>
      <x:c r="C97" s="110" t="n">
        <x:v>0.041367234554508685</x:v>
      </x:c>
      <x:c r="D97" s="110" t="n">
        <x:v>-0.030699922904425407</x:v>
      </x:c>
      <x:c r="E97" s="112" t="n">
        <x:v>1793.276774193548</x:v>
      </x:c>
      <x:c r="F97" s="112" t="n">
        <x:v>1849.18401600394</x:v>
      </x:c>
      <x:c r="G97" s="110" t="n">
        <x:v>0.004938013250958489</x:v>
      </x:c>
      <x:c r="H97" s="110" t="n">
        <x:v>0.008119268485252858</x:v>
      </x:c>
      <x:c r="I97" s="110" t="n">
        <x:v>0.0003996032093791497</x:v>
      </x:c>
      <x:c r="J97" s="110" t="n">
        <x:v>0.00006566622468483835</x:v>
      </x:c>
      <x:c r="K97" s="110" t="n">
        <x:v>0.0004355893921454285</x:v>
      </x:c>
      <x:c r="L97" s="110" t="n">
        <x:v>0.004892323046711328</x:v>
      </x:c>
      <x:c r="M97" s="110" t="n">
        <x:v>0.0023241631961243114</x:v>
      </x:c>
      <x:c r="N97" s="110" t="n">
        <x:v>0.004075624828335312</x:v>
      </x:c>
      <x:c r="O97" s="110" t="n">
        <x:v>-0.003705830883656448</x:v>
      </x:c>
      <x:c r="P97" s="110" t="n">
        <x:v>0.002703189948166694</x:v>
      </x:c>
      <x:c r="Q97" s="110" t="n">
        <x:v>0.000051732554198658114</x:v>
      </x:c>
      <x:c r="R97" s="110" t="n">
        <x:v>-0.0008902866287296353</x:v>
      </x:c>
      <x:c r="S97" s="110" t="n">
        <x:v>0.0179581779309377</x:v>
      </x:c>
      <x:c r="T97" s="110" t="n">
        <x:v>0</x:v>
      </x:c>
      <x:c r="U97" s="110" t="n">
        <x:v>0.041367234554508685</x:v>
      </x:c>
      <x:c r="V97" s="113" t="n">
        <x:f>C97-U97</x:f>
        <x:v>0</x:v>
      </x:c>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64" t="str">
        <x:v>2012-06</x:v>
      </x:c>
      <x:c r="B98" s="110" t="n">
        <x:v>-0.0004072188990962289</x:v>
      </x:c>
      <x:c r="C98" s="110" t="n">
        <x:v>0.024451801814288993</x:v>
      </x:c>
      <x:c r="D98" s="110" t="n">
        <x:v>-0.02485902071338522</x:v>
      </x:c>
      <x:c r="E98" s="112" t="n">
        <x:v>1792.5466666666669</x:v>
      </x:c>
      <x:c r="F98" s="112" t="n">
        <x:v>1837.6661104588961</x:v>
      </x:c>
      <x:c r="G98" s="110" t="n">
        <x:v>0.004938013250958489</x:v>
      </x:c>
      <x:c r="H98" s="110" t="n">
        <x:v>0.0061245179842506</x:v>
      </x:c>
      <x:c r="I98" s="110" t="n">
        <x:v>0.00008215528730839962</x:v>
      </x:c>
      <x:c r="J98" s="110" t="n">
        <x:v>0.00013133244936968256</x:v>
      </x:c>
      <x:c r="K98" s="110" t="n">
        <x:v>0.00005037732548604265</x:v>
      </x:c>
      <x:c r="L98" s="110" t="n">
        <x:v>0.003982397547458395</x:v>
      </x:c>
      <x:c r="M98" s="110" t="n">
        <x:v>0.00008680798807508049</x:v>
      </x:c>
      <x:c r="N98" s="110" t="n">
        <x:v>-0.00023432169293948388</x:v>
      </x:c>
      <x:c r="O98" s="110" t="n">
        <x:v>-0.0009735539896316658</x:v>
      </x:c>
      <x:c r="P98" s="110" t="n">
        <x:v>0.003984856906854008</x:v>
      </x:c>
      <x:c r="Q98" s="110" t="n">
        <x:v>-0.0002772438762579593</x:v>
      </x:c>
      <x:c r="R98" s="110" t="n">
        <x:v>-0.0009923112070796647</x:v>
      </x:c>
      <x:c r="S98" s="110" t="n">
        <x:v>0.007548773840437068</x:v>
      </x:c>
      <x:c r="T98" s="110" t="n">
        <x:v>0</x:v>
      </x:c>
      <x:c r="U98" s="110" t="n">
        <x:v>0.024451801814288993</x:v>
      </x:c>
      <x:c r="V98" s="113" t="n">
        <x:f>C98-U98</x:f>
        <x:v>0</x:v>
      </x:c>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64" t="str">
        <x:v>2012-07</x:v>
      </x:c>
      <x:c r="B99" s="110" t="n">
        <x:v>-0.004880014511975617</x:v>
      </x:c>
      <x:c r="C99" s="110" t="n">
        <x:v>-0.028750746985751117</x:v>
      </x:c>
      <x:c r="D99" s="110" t="n">
        <x:v>0.0238707324737755</x:v>
      </x:c>
      <x:c r="E99" s="112" t="n">
        <x:v>1783.820322580645</x:v>
      </x:c>
      <x:c r="F99" s="112" t="n">
        <x:v>1741.743426023507</x:v>
      </x:c>
      <x:c r="G99" s="110" t="n">
        <x:v>0.004938013250958489</x:v>
      </x:c>
      <x:c r="H99" s="110" t="n">
        <x:v>-0.0008673560479937869</x:v>
      </x:c>
      <x:c r="I99" s="110" t="n">
        <x:v>-0.00012273886786838122</x:v>
      </x:c>
      <x:c r="J99" s="110" t="n">
        <x:v>0</x:v>
      </x:c>
      <x:c r="K99" s="110" t="n">
        <x:v>0.0001800275718669909</x:v>
      </x:c>
      <x:c r="L99" s="110" t="n">
        <x:v>-0.0013552485738483552</x:v>
      </x:c>
      <x:c r="M99" s="110" t="n">
        <x:v>-0.0026172737114158774</x:v>
      </x:c>
      <x:c r="N99" s="110" t="n">
        <x:v>-0.0033128855580476734</x:v>
      </x:c>
      <x:c r="O99" s="110" t="n">
        <x:v>-0.005012175156895844</x:v>
      </x:c>
      <x:c r="P99" s="110" t="n">
        <x:v>-0.0031516459101483397</x:v>
      </x:c>
      <x:c r="Q99" s="110" t="n">
        <x:v>0.0004058378567033868</x:v>
      </x:c>
      <x:c r="R99" s="110" t="n">
        <x:v>-0.0010057623008085407</x:v>
      </x:c>
      <x:c r="S99" s="110" t="n">
        <x:v>-0.016829539538253186</x:v>
      </x:c>
      <x:c r="T99" s="110" t="n">
        <x:v>0</x:v>
      </x:c>
      <x:c r="U99" s="110" t="n">
        <x:v>-0.02875074698575112</x:v>
      </x:c>
      <x:c r="V99" s="113" t="n">
        <x:f>C99-U99</x:f>
        <x:v>3.469446951953614e-18</x:v>
      </x:c>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64" t="str">
        <x:v>2012-08</x:v>
      </x:c>
      <x:c r="B100" s="110" t="n">
        <x:v>0.0120931125286452</x:v>
      </x:c>
      <x:c r="C100" s="110" t="n">
        <x:v>-0.013025626593305044</x:v>
      </x:c>
      <x:c r="D100" s="110" t="n">
        <x:v>0.025118739121950243</x:v>
      </x:c>
      <x:c r="E100" s="112" t="n">
        <x:v>1805.5232258064523</x:v>
      </x:c>
      <x:c r="F100" s="112" t="n">
        <x:v>1760.7356179123663</x:v>
      </x:c>
      <x:c r="G100" s="110" t="n">
        <x:v>0.004938013250958489</x:v>
      </x:c>
      <x:c r="H100" s="110" t="n">
        <x:v>0.0034957028818561973</x:v>
      </x:c>
      <x:c r="I100" s="110" t="n">
        <x:v>0.00019335921024955365</x:v>
      </x:c>
      <x:c r="J100" s="110" t="n">
        <x:v>0.00010591326562071211</x:v>
      </x:c>
      <x:c r="K100" s="110" t="n">
        <x:v>-0.0000463003401293503</x:v>
      </x:c>
      <x:c r="L100" s="110" t="n">
        <x:v>-0.002524618031430973</x:v>
      </x:c>
      <x:c r="M100" s="110" t="n">
        <x:v>-0.0015991933243017008</x:v>
      </x:c>
      <x:c r="N100" s="110" t="n">
        <x:v>-0.0033682706854697366</x:v>
      </x:c>
      <x:c r="O100" s="110" t="n">
        <x:v>-0.0037001142246726533</x:v>
      </x:c>
      <x:c r="P100" s="110" t="n">
        <x:v>-0.0009766943514872971</x:v>
      </x:c>
      <x:c r="Q100" s="110" t="n">
        <x:v>-0.00007601700530073621</x:v>
      </x:c>
      <x:c r="R100" s="110" t="n">
        <x:v>-0.0007976340051469112</x:v>
      </x:c>
      <x:c r="S100" s="110" t="n">
        <x:v>-0.008669773234050637</x:v>
      </x:c>
      <x:c r="T100" s="110" t="n">
        <x:v>0</x:v>
      </x:c>
      <x:c r="U100" s="110" t="n">
        <x:v>-0.013025626593305042</x:v>
      </x:c>
      <x:c r="V100" s="113" t="n">
        <x:f>C100-U100</x:f>
        <x:v>-1.734723475976807e-18</x:v>
      </x:c>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64" t="str">
        <x:v>2012-09</x:v>
      </x:c>
      <x:c r="B101" s="110" t="n">
        <x:v>-0.0015391826890036597</x:v>
      </x:c>
      <x:c r="C101" s="110" t="n">
        <x:v>-0.014116612401212664</x:v>
      </x:c>
      <x:c r="D101" s="110" t="n">
        <x:v>0.012577429712209005</x:v>
      </x:c>
      <x:c r="E101" s="112" t="n">
        <x:v>1802.746333333333</x:v>
      </x:c>
      <x:c r="F101" s="112" t="n">
        <x:v>1780.2144118955077</x:v>
      </x:c>
      <x:c r="G101" s="110" t="n">
        <x:v>0.004938013250958489</x:v>
      </x:c>
      <x:c r="H101" s="110" t="n">
        <x:v>-0.007159539845077286</x:v>
      </x:c>
      <x:c r="I101" s="110" t="n">
        <x:v>-0.000403703973631659</x:v>
      </x:c>
      <x:c r="J101" s="110" t="n">
        <x:v>0.0016035268414975325</x:v>
      </x:c>
      <x:c r="K101" s="110" t="n">
        <x:v>-0.00000750061291786011</x:v>
      </x:c>
      <x:c r="L101" s="110" t="n">
        <x:v>-0.004510762485998505</x:v>
      </x:c>
      <x:c r="M101" s="110" t="n">
        <x:v>-0.00037019557447370887</x:v>
      </x:c>
      <x:c r="N101" s="110" t="n">
        <x:v>-0.00034676465297420346</x:v>
      </x:c>
      <x:c r="O101" s="110" t="n">
        <x:v>-0.004548120375255145</x:v>
      </x:c>
      <x:c r="P101" s="110" t="n">
        <x:v>0.005420663626897218</x:v>
      </x:c>
      <x:c r="Q101" s="110" t="n">
        <x:v>-0.00011541722217285274</x:v>
      </x:c>
      <x:c r="R101" s="110" t="n">
        <x:v>-0.0006282776260044002</x:v>
      </x:c>
      <x:c r="S101" s="110" t="n">
        <x:v>-0.007988533752060283</x:v>
      </x:c>
      <x:c r="T101" s="110" t="n">
        <x:v>0</x:v>
      </x:c>
      <x:c r="U101" s="110" t="n">
        <x:v>-0.014116612401212664</x:v>
      </x:c>
      <x:c r="V101" s="113" t="n">
        <x:f>C101-U101</x:f>
        <x:v>0</x:v>
      </x:c>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64" t="str">
        <x:v>2012-10</x:v>
      </x:c>
      <x:c r="B102" s="110" t="n">
        <x:v>0.0009174199923371873</x:v>
      </x:c>
      <x:c r="C102" s="110" t="n">
        <x:v>-0.0061554598669114</x:v>
      </x:c>
      <x:c r="D102" s="110" t="n">
        <x:v>0.007072879859248587</x:v>
      </x:c>
      <x:c r="E102" s="112" t="n">
        <x:v>1804.4009677419356</x:v>
      </x:c>
      <x:c r="F102" s="112" t="n">
        <x:v>1791.683683407105</x:v>
      </x:c>
      <x:c r="G102" s="110" t="n">
        <x:v>0.004938013250958489</x:v>
      </x:c>
      <x:c r="H102" s="110" t="n">
        <x:v>-0.0004351899959970397</x:v>
      </x:c>
      <x:c r="I102" s="110" t="n">
        <x:v>-0.00046619638518492946</x:v>
      </x:c>
      <x:c r="J102" s="110" t="n">
        <x:v>0.0014425386777540607</x:v>
      </x:c>
      <x:c r="K102" s="110" t="n">
        <x:v>-0.00005127320277027307</x:v>
      </x:c>
      <x:c r="L102" s="110" t="n">
        <x:v>-0.0006577749117884209</x:v>
      </x:c>
      <x:c r="M102" s="110" t="n">
        <x:v>0.0008900259105400286</x:v>
      </x:c>
      <x:c r="N102" s="110" t="n">
        <x:v>-0.002407537447792296</x:v>
      </x:c>
      <x:c r="O102" s="110" t="n">
        <x:v>-0.004492250344603682</x:v>
      </x:c>
      <x:c r="P102" s="110" t="n">
        <x:v>-0.001423471658486542</x:v>
      </x:c>
      <x:c r="Q102" s="110" t="n">
        <x:v>0.00006719213780125599</x:v>
      </x:c>
      <x:c r="R102" s="110" t="n">
        <x:v>-0.0007060853391982965</x:v>
      </x:c>
      <x:c r="S102" s="110" t="n">
        <x:v>-0.0028534505581437543</x:v>
      </x:c>
      <x:c r="T102" s="110" t="n">
        <x:v>0</x:v>
      </x:c>
      <x:c r="U102" s="110" t="n">
        <x:v>-0.0061554598669114</x:v>
      </x:c>
      <x:c r="V102" s="113" t="n">
        <x:f>C102-U102</x:f>
        <x:v>0</x:v>
      </x:c>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64" t="str">
        <x:v>2012-11</x:v>
      </x:c>
      <x:c r="B103" s="110" t="n">
        <x:v>0.009164642875816753</x:v>
      </x:c>
      <x:c r="C103" s="110" t="n">
        <x:v>0.016944928757092765</x:v>
      </x:c>
      <x:c r="D103" s="110" t="n">
        <x:v>-0.007780285881276012</x:v>
      </x:c>
      <x:c r="E103" s="112" t="n">
        <x:v>1821.013666666667</x:v>
      </x:c>
      <x:c r="F103" s="112" t="n">
        <x:v>1835.23693237591</x:v>
      </x:c>
      <x:c r="G103" s="110" t="n">
        <x:v>0.004938013250958489</x:v>
      </x:c>
      <x:c r="H103" s="110" t="n">
        <x:v>0.0015483330570592456</x:v>
      </x:c>
      <x:c r="I103" s="110" t="n">
        <x:v>0.00004364055333981994</x:v>
      </x:c>
      <x:c r="J103" s="110" t="n">
        <x:v>0.00013133244936968256</x:v>
      </x:c>
      <x:c r="K103" s="110" t="n">
        <x:v>-0.00018189618026319982</x:v>
      </x:c>
      <x:c r="L103" s="110" t="n">
        <x:v>0.002108052178845473</x:v>
      </x:c>
      <x:c r="M103" s="110" t="n">
        <x:v>0.00036564013252232073</x:v>
      </x:c>
      <x:c r="N103" s="110" t="n">
        <x:v>0.001848210565981963</x:v>
      </x:c>
      <x:c r="O103" s="110" t="n">
        <x:v>-0.004473246337786521</x:v>
      </x:c>
      <x:c r="P103" s="110" t="n">
        <x:v>0.005719304871302351</x:v>
      </x:c>
      <x:c r="Q103" s="110" t="n">
        <x:v>-0.00000193513180745086</x:v>
      </x:c>
      <x:c r="R103" s="110" t="n">
        <x:v>-0.0007240802155776997</x:v>
      </x:c>
      <x:c r="S103" s="110" t="n">
        <x:v>0.005623559563148291</x:v>
      </x:c>
      <x:c r="T103" s="110" t="n">
        <x:v>0</x:v>
      </x:c>
      <x:c r="U103" s="110" t="n">
        <x:v>0.016944928757092765</x:v>
      </x:c>
      <x:c r="V103" s="113" t="n">
        <x:f>C103-U103</x:f>
        <x:v>0</x:v>
      </x:c>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64" t="str">
        <x:v>2012-12</x:v>
      </x:c>
      <x:c r="B104" s="110" t="n">
        <x:v>-0.015784891644613275</x:v>
      </x:c>
      <x:c r="C104" s="110" t="n">
        <x:v>-0.012824159731487745</x:v>
      </x:c>
      <x:c r="D104" s="110" t="n">
        <x:v>-0.0029607319131255295</x:v>
      </x:c>
      <x:c r="E104" s="112" t="n">
        <x:v>1792.4948387096765</x:v>
      </x:c>
      <x:c r="F104" s="112" t="n">
        <x:v>1797.809799587352</x:v>
      </x:c>
      <x:c r="G104" s="110" t="n">
        <x:v>0.004938013250958489</x:v>
      </x:c>
      <x:c r="H104" s="110" t="n">
        <x:v>0.0002625109060954833</x:v>
      </x:c>
      <x:c r="I104" s="110" t="n">
        <x:v>-0.00047829108377956574</x:v>
      </x:c>
      <x:c r="J104" s="110" t="n">
        <x:v>0.0002736092695201676</x:v>
      </x:c>
      <x:c r="K104" s="110" t="n">
        <x:v>0.00047225282597462636</x:v>
      </x:c>
      <x:c r="L104" s="110" t="n">
        <x:v>-0.0017437326032138975</x:v>
      </x:c>
      <x:c r="M104" s="110" t="n">
        <x:v>0.0005039808083093554</x:v>
      </x:c>
      <x:c r="N104" s="110" t="n">
        <x:v>-0.0010140882442698765</x:v>
      </x:c>
      <x:c r="O104" s="110" t="n">
        <x:v>-0.0038526347684040957</x:v>
      </x:c>
      <x:c r="P104" s="110" t="n">
        <x:v>-0.0031819025661508336</x:v>
      </x:c>
      <x:c r="Q104" s="110" t="n">
        <x:v>-0.00006842623482080462</x:v>
      </x:c>
      <x:c r="R104" s="110" t="n">
        <x:v>-0.0008186993925854471</x:v>
      </x:c>
      <x:c r="S104" s="110" t="n">
        <x:v>-0.008116751899121349</x:v>
      </x:c>
      <x:c r="T104" s="110" t="n">
        <x:v>0</x:v>
      </x:c>
      <x:c r="U104" s="110" t="n">
        <x:v>-0.012824159731487747</x:v>
      </x:c>
      <x:c r="V104" s="113" t="n">
        <x:f>C104-U104</x:f>
        <x:v>1.734723475976807e-18</x:v>
      </x:c>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64" t="str">
        <x:v>2013-01</x:v>
      </x:c>
      <x:c r="B105" s="110" t="n">
        <x:v>-0.012813867318578254</x:v>
      </x:c>
      <x:c r="C105" s="110" t="n">
        <x:v>-0.022107263089042054</x:v>
      </x:c>
      <x:c r="D105" s="110" t="n">
        <x:v>0.0092933957704638</x:v>
      </x:c>
      <x:c r="E105" s="112" t="n">
        <x:v>1769.6725806451618</x:v>
      </x:c>
      <x:c r="F105" s="112" t="n">
        <x:v>1753.302497618957</x:v>
      </x:c>
      <x:c r="G105" s="110" t="n">
        <x:v>0.004938013250958489</x:v>
      </x:c>
      <x:c r="H105" s="110" t="n">
        <x:v>-0.000467841561983798</x:v>
      </x:c>
      <x:c r="I105" s="110" t="n">
        <x:v>-0.0003104448462704251</x:v>
      </x:c>
      <x:c r="J105" s="110" t="n">
        <x:v>0.001791699410083663</x:v>
      </x:c>
      <x:c r="K105" s="110" t="n">
        <x:v>-0.0006399388609931067</x:v>
      </x:c>
      <x:c r="L105" s="110" t="n">
        <x:v>-0.0001614796010239158</x:v>
      </x:c>
      <x:c r="M105" s="110" t="n">
        <x:v>-0.0035125077685628802</x:v>
      </x:c>
      <x:c r="N105" s="110" t="n">
        <x:v>-0.0005633156403417604</x:v>
      </x:c>
      <x:c r="O105" s="110" t="n">
        <x:v>-0.004428622722111367</x:v>
      </x:c>
      <x:c r="P105" s="110" t="n">
        <x:v>-0.009424610224370453</x:v>
      </x:c>
      <x:c r="Q105" s="110" t="n">
        <x:v>0.00016880316898495418</x:v>
      </x:c>
      <x:c r="R105" s="110" t="n">
        <x:v>-0.0005029105180641647</x:v>
      </x:c>
      <x:c r="S105" s="110" t="n">
        <x:v>-0.008994107175347288</x:v>
      </x:c>
      <x:c r="T105" s="110" t="n">
        <x:v>0</x:v>
      </x:c>
      <x:c r="U105" s="110" t="n">
        <x:v>-0.022107263089042054</x:v>
      </x:c>
      <x:c r="V105" s="113" t="n">
        <x:f>C105-U105</x:f>
        <x:v>0</x:v>
      </x:c>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64" t="str">
        <x:v>2013-02</x:v>
      </x:c>
      <x:c r="B106" s="110" t="n">
        <x:v>0.01172709167914654</x:v>
      </x:c>
      <x:c r="C106" s="110" t="n">
        <x:v>0.012165522326048601</x:v>
      </x:c>
      <x:c r="D106" s="110" t="n">
        <x:v>-0.0004384306469020615</x:v>
      </x:c>
      <x:c r="E106" s="112" t="n">
        <x:v>1790.547857142857</x:v>
      </x:c>
      <x:c r="F106" s="112" t="n">
        <x:v>1791.3330603141628</x:v>
      </x:c>
      <x:c r="G106" s="110" t="n">
        <x:v>0.004938013250958489</x:v>
      </x:c>
      <x:c r="H106" s="110" t="n">
        <x:v>-0.0014539765973005058</x:v>
      </x:c>
      <x:c r="I106" s="110" t="n">
        <x:v>0.0006249016567101812</x:v>
      </x:c>
      <x:c r="J106" s="110" t="n">
        <x:v>0.0012455400036995399</x:v>
      </x:c>
      <x:c r="K106" s="110" t="n">
        <x:v>0.0004236750273237581</x:v>
      </x:c>
      <x:c r="L106" s="110" t="n">
        <x:v>0.002126637315654769</x:v>
      </x:c>
      <x:c r="M106" s="110" t="n">
        <x:v>0.0005828032899809778</x:v>
      </x:c>
      <x:c r="N106" s="110" t="n">
        <x:v>0.0028659272938191477</x:v>
      </x:c>
      <x:c r="O106" s="110" t="n">
        <x:v>-0.0030006141470212203</x:v>
      </x:c>
      <x:c r="P106" s="110" t="n">
        <x:v>0.004990289586171687</x:v>
      </x:c>
      <x:c r="Q106" s="110" t="n">
        <x:v>-0.00010983860106252456</x:v>
      </x:c>
      <x:c r="R106" s="110" t="n">
        <x:v>-0.00034514709361217646</x:v>
      </x:c>
      <x:c r="S106" s="110" t="n">
        <x:v>-0.00072268865927352</x:v>
      </x:c>
      <x:c r="T106" s="110" t="n">
        <x:v>0</x:v>
      </x:c>
      <x:c r="U106" s="110" t="n">
        <x:v>0.012165522326048603</x:v>
      </x:c>
      <x:c r="V106" s="113" t="n">
        <x:f>C106-U106</x:f>
        <x:v>-1.734723475976807e-18</x:v>
      </x:c>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64" t="str">
        <x:v>2013-03</x:v>
      </x:c>
      <x:c r="B107" s="110" t="n">
        <x:v>0.012874175337395322</x:v>
      </x:c>
      <x:c r="C107" s="110" t="n">
        <x:v>0.015505417656920404</x:v>
      </x:c>
      <x:c r="D107" s="110" t="n">
        <x:v>-0.0026312423195250824</x:v>
      </x:c>
      <x:c r="E107" s="112" t="n">
        <x:v>1813.74870967742</x:v>
      </x:c>
      <x:c r="F107" s="112" t="n">
        <x:v>1818.527406236534</x:v>
      </x:c>
      <x:c r="G107" s="110" t="n">
        <x:v>0.004938013250958489</x:v>
      </x:c>
      <x:c r="H107" s="110" t="n">
        <x:v>0.002807906429188072</x:v>
      </x:c>
      <x:c r="I107" s="110" t="n">
        <x:v>0.0002636619841719175</x:v>
      </x:c>
      <x:c r="J107" s="110" t="n">
        <x:v>0.001782974174392054</x:v>
      </x:c>
      <x:c r="K107" s="110" t="n">
        <x:v>-0.00010559301946146325</x:v>
      </x:c>
      <x:c r="L107" s="110" t="n">
        <x:v>0.0025063301849228056</x:v>
      </x:c>
      <x:c r="M107" s="110" t="n">
        <x:v>-0.001088481208920108</x:v>
      </x:c>
      <x:c r="N107" s="110" t="n">
        <x:v>0.0015965642221880522</x:v>
      </x:c>
      <x:c r="O107" s="110" t="n">
        <x:v>-0.005031608111340495</x:v>
      </x:c>
      <x:c r="P107" s="110" t="n">
        <x:v>0.009148965810721412</x:v>
      </x:c>
      <x:c r="Q107" s="110" t="n">
        <x:v>-0.00012681843887639432</x:v>
      </x:c>
      <x:c r="R107" s="110" t="n">
        <x:v>-0.00015833335694103863</x:v>
      </x:c>
      <x:c r="S107" s="110" t="n">
        <x:v>-0.0010281642640829</x:v>
      </x:c>
      <x:c r="T107" s="110" t="n">
        <x:v>0</x:v>
      </x:c>
      <x:c r="U107" s="110" t="n">
        <x:v>0.015505417656920404</x:v>
      </x:c>
      <x:c r="V107" s="113" t="n">
        <x:f>C107-U107</x:f>
        <x:v>0</x:v>
      </x:c>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64" t="str">
        <x:v>2013-04</x:v>
      </x:c>
      <x:c r="B108" s="110" t="n">
        <x:v>0.00904655671708543</x:v>
      </x:c>
      <x:c r="C108" s="110" t="n">
        <x:v>0.006097525729540597</x:v>
      </x:c>
      <x:c r="D108" s="110" t="n">
        <x:v>0.0029490309875448333</x:v>
      </x:c>
      <x:c r="E108" s="112" t="n">
        <x:v>1830.2313333333332</x:v>
      </x:c>
      <x:c r="F108" s="112" t="n">
        <x:v>1824.8418751624454</x:v>
      </x:c>
      <x:c r="G108" s="110" t="n">
        <x:v>0.004938013250958489</x:v>
      </x:c>
      <x:c r="H108" s="110" t="n">
        <x:v>0.004189363755200565</x:v>
      </x:c>
      <x:c r="I108" s="110" t="n">
        <x:v>-0.00007650430253222949</x:v>
      </x:c>
      <x:c r="J108" s="110" t="n">
        <x:v>0.0019769467551431267</x:v>
      </x:c>
      <x:c r="K108" s="110" t="n">
        <x:v>-0.00023203003204559555</x:v>
      </x:c>
      <x:c r="L108" s="110" t="n">
        <x:v>-0.0010590592728398115</x:v>
      </x:c>
      <x:c r="M108" s="110" t="n">
        <x:v>0.0009820586686791072</x:v>
      </x:c>
      <x:c r="N108" s="110" t="n">
        <x:v>-0.0014971283320884396</x:v>
      </x:c>
      <x:c r="O108" s="110" t="n">
        <x:v>-0.005859323438688305</x:v>
      </x:c>
      <x:c r="P108" s="110" t="n">
        <x:v>0.006030592731689549</x:v>
      </x:c>
      <x:c r="Q108" s="110" t="n">
        <x:v>0.00015142617003421828</x:v>
      </x:c>
      <x:c r="R108" s="110" t="n">
        <x:v>-0.00021018127410588273</x:v>
      </x:c>
      <x:c r="S108" s="110" t="n">
        <x:v>-0.003236648949864197</x:v>
      </x:c>
      <x:c r="T108" s="110" t="n">
        <x:v>0</x:v>
      </x:c>
      <x:c r="U108" s="110" t="n">
        <x:v>0.006097525729540598</x:v>
      </x:c>
      <x:c r="V108" s="113" t="n">
        <x:f>C108-U108</x:f>
        <x:v>-1.734723475976807e-18</x:v>
      </x:c>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64" t="str">
        <x:v>2013-05</x:v>
      </x:c>
      <x:c r="B109" s="110" t="n">
        <x:v>0.00961900997404097</x:v>
      </x:c>
      <x:c r="C109" s="110" t="n">
        <x:v>0.0009091392463894583</x:v>
      </x:c>
      <x:c r="D109" s="110" t="n">
        <x:v>0.008709870727651512</x:v>
      </x:c>
      <x:c r="E109" s="112" t="n">
        <x:v>1847.9212903225798</x:v>
      </x:c>
      <x:c r="F109" s="112" t="n">
        <x:v>1831.8960250720745</x:v>
      </x:c>
      <x:c r="G109" s="110" t="n">
        <x:v>0.004938013250958489</x:v>
      </x:c>
      <x:c r="H109" s="110" t="n">
        <x:v>0.000219044704287463</x:v>
      </x:c>
      <x:c r="I109" s="110" t="n">
        <x:v>0.0009992848109887245</x:v>
      </x:c>
      <x:c r="J109" s="110" t="n">
        <x:v>0.002713497865202571</x:v>
      </x:c>
      <x:c r="K109" s="110" t="n">
        <x:v>-0.0004046265756578883</x:v>
      </x:c>
      <x:c r="L109" s="110" t="n">
        <x:v>0.0013938203070615637</x:v>
      </x:c>
      <x:c r="M109" s="110" t="n">
        <x:v>-0.0004885514133010108</x:v>
      </x:c>
      <x:c r="N109" s="110" t="n">
        <x:v>0.0005220984688503319</x:v>
      </x:c>
      <x:c r="O109" s="110" t="n">
        <x:v>-0.005425418576510037</x:v>
      </x:c>
      <x:c r="P109" s="110" t="n">
        <x:v>-0.014289253970246784</x:v>
      </x:c>
      <x:c r="Q109" s="110" t="n">
        <x:v>0.00010204679413573079</x:v>
      </x:c>
      <x:c r="R109" s="110" t="n">
        <x:v>-0.00033320751801716055</x:v>
      </x:c>
      <x:c r="S109" s="110" t="n">
        <x:v>0.010962391098637463</x:v>
      </x:c>
      <x:c r="T109" s="110" t="n">
        <x:v>0</x:v>
      </x:c>
      <x:c r="U109" s="110" t="n">
        <x:v>0.000909139246389459</x:v>
      </x:c>
      <x:c r="V109" s="113" t="n">
        <x:f>C109-U109</x:f>
        <x:v>-6.505213034913027e-19</x:v>
      </x:c>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64" t="str">
        <x:v>2013-06</x:v>
      </x:c>
      <x:c r="B110" s="110" t="n">
        <x:v>0.03296297537990256</x:v>
      </x:c>
      <x:c r="C110" s="110" t="n">
        <x:v>0.053888082799226966</x:v>
      </x:c>
      <x:c r="D110" s="110" t="n">
        <x:v>-0.020925107419324407</x:v>
      </x:c>
      <x:c r="E110" s="112" t="n">
        <x:v>1909.8493333333329</x:v>
      </x:c>
      <x:c r="F110" s="112" t="n">
        <x:v>1950.2341909642796</x:v>
      </x:c>
      <x:c r="G110" s="110" t="n">
        <x:v>0.004938013250958489</x:v>
      </x:c>
      <x:c r="H110" s="110" t="n">
        <x:v>-0.0006772272721680962</x:v>
      </x:c>
      <x:c r="I110" s="110" t="n">
        <x:v>0.0007241112003997105</x:v>
      </x:c>
      <x:c r="J110" s="110" t="n">
        <x:v>-0.00026266489873935927</x:v>
      </x:c>
      <x:c r="K110" s="110" t="n">
        <x:v>-0.000017574581799856137</x:v>
      </x:c>
      <x:c r="L110" s="110" t="n">
        <x:v>0.0021715884330777853</x:v>
      </x:c>
      <x:c r="M110" s="110" t="n">
        <x:v>0.0034956007736313783</x:v>
      </x:c>
      <x:c r="N110" s="110" t="n">
        <x:v>0.006776772075267214</x:v>
      </x:c>
      <x:c r="O110" s="110" t="n">
        <x:v>-0.002972307427594258</x:v>
      </x:c>
      <x:c r="P110" s="110" t="n">
        <x:v>0.00823340052555348</x:v>
      </x:c>
      <x:c r="Q110" s="110" t="n">
        <x:v>-0.0003668599431969336</x:v>
      </x:c>
      <x:c r="R110" s="110" t="n">
        <x:v>-0.0005175695297952046</x:v>
      </x:c>
      <x:c r="S110" s="110" t="n">
        <x:v>0.032362800193632614</x:v>
      </x:c>
      <x:c r="T110" s="110" t="n">
        <x:v>0</x:v>
      </x:c>
      <x:c r="U110" s="110" t="n">
        <x:v>0.05388808279922696</x:v>
      </x:c>
      <x:c r="V110" s="113" t="n">
        <x:f>C110-U110</x:f>
        <x:v>6.938893903907228e-18</x:v>
      </x:c>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64" t="str">
        <x:v>2013-07</x:v>
      </x:c>
      <x:c r="B111" s="110" t="n">
        <x:v>-0.004358914553056259</x:v>
      </x:c>
      <x:c r="C111" s="110" t="n">
        <x:v>0.0016937405888311347</x:v>
      </x:c>
      <x:c r="D111" s="110" t="n">
        <x:v>-0.006052655141887394</x:v>
      </x:c>
      <x:c r="E111" s="112" t="n">
        <x:v>1901.5425806451606</x:v>
      </x:c>
      <x:c r="F111" s="112" t="n">
        <x:v>1913.0868636620412</x:v>
      </x:c>
      <x:c r="G111" s="110" t="n">
        <x:v>0.004938013250958489</x:v>
      </x:c>
      <x:c r="H111" s="110" t="n">
        <x:v>-0.0014242850153938936</x:v>
      </x:c>
      <x:c r="I111" s="110" t="n">
        <x:v>0.0009185351666048246</x:v>
      </x:c>
      <x:c r="J111" s="110" t="n">
        <x:v>-0.00013133244936967963</x:v>
      </x:c>
      <x:c r="K111" s="110" t="n">
        <x:v>-0.00003821588128477234</x:v>
      </x:c>
      <x:c r="L111" s="110" t="n">
        <x:v>0.0016820963224483765</x:v>
      </x:c>
      <x:c r="M111" s="110" t="n">
        <x:v>-0.002999677455412637</x:v>
      </x:c>
      <x:c r="N111" s="110" t="n">
        <x:v>-0.001591814883176803</x:v>
      </x:c>
      <x:c r="O111" s="110" t="n">
        <x:v>-0.0021586744266032893</x:v>
      </x:c>
      <x:c r="P111" s="110" t="n">
        <x:v>-0.0011355181117105814</x:v>
      </x:c>
      <x:c r="Q111" s="110" t="n">
        <x:v>0.00007776799510537405</x:v>
      </x:c>
      <x:c r="R111" s="110" t="n">
        <x:v>-0.0009616411941269586</x:v>
      </x:c>
      <x:c r="S111" s="110" t="n">
        <x:v>0.004518487270792686</x:v>
      </x:c>
      <x:c r="T111" s="110" t="n">
        <x:v>0</x:v>
      </x:c>
      <x:c r="U111" s="110" t="n">
        <x:v>0.001693740588831135</x:v>
      </x:c>
      <x:c r="V111" s="113" t="n">
        <x:f>C111-U111</x:f>
        <x:v>-2.168404344971009e-19</x:v>
      </x:c>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64" t="str">
        <x:v>2013-08</x:v>
      </x:c>
      <x:c r="B112" s="110" t="n">
        <x:v>0.00029530234569552505</x:v>
      </x:c>
      <x:c r="C112" s="110" t="n">
        <x:v>0.00017223125292832492</x:v>
      </x:c>
      <x:c r="D112" s="110" t="n">
        <x:v>0.00012307109276720013</x:v>
      </x:c>
      <x:c r="E112" s="112" t="n">
        <x:v>1902.1041935483875</x:v>
      </x:c>
      <x:c r="F112" s="112" t="n">
        <x:v>1901.8701139112436</x:v>
      </x:c>
      <x:c r="G112" s="110" t="n">
        <x:v>0.004938013250958489</x:v>
      </x:c>
      <x:c r="H112" s="110" t="n">
        <x:v>-0.001095188945515418</x:v>
      </x:c>
      <x:c r="I112" s="110" t="n">
        <x:v>0.001086883473433782</x:v>
      </x:c>
      <x:c r="J112" s="110" t="n">
        <x:v>0</x:v>
      </x:c>
      <x:c r="K112" s="110" t="n">
        <x:v>-0.0001669347924880947</x:v>
      </x:c>
      <x:c r="L112" s="110" t="n">
        <x:v>-0.00044893534431527</x:v>
      </x:c>
      <x:c r="M112" s="110" t="n">
        <x:v>0.00023661551765179518</x:v>
      </x:c>
      <x:c r="N112" s="110" t="n">
        <x:v>0.00204065744265423</x:v>
      </x:c>
      <x:c r="O112" s="110" t="n">
        <x:v>-0.004904227727685745</x:v>
      </x:c>
      <x:c r="P112" s="110" t="n">
        <x:v>-0.010987128702683781</x:v>
      </x:c>
      <x:c r="Q112" s="110" t="n">
        <x:v>0.00033183216229571376</x:v>
      </x:c>
      <x:c r="R112" s="110" t="n">
        <x:v>-0.0008463877032467442</x:v>
      </x:c>
      <x:c r="S112" s="110" t="n">
        <x:v>0.009987032621869367</x:v>
      </x:c>
      <x:c r="T112" s="110" t="n">
        <x:v>0</x:v>
      </x:c>
      <x:c r="U112" s="110" t="n">
        <x:v>0.00017223125292832424</x:v>
      </x:c>
      <x:c r="V112" s="113" t="n">
        <x:f>C112-U112</x:f>
        <x:v>6.776263578034403e-19</x:v>
      </x:c>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64" t="str">
        <x:v>2013-09</x:v>
      </x:c>
      <x:c r="B113" s="110" t="n">
        <x:v>0.009110417054244202</x:v>
      </x:c>
      <x:c r="C113" s="110" t="n">
        <x:v>0.0027936644355283547</x:v>
      </x:c>
      <x:c r="D113" s="110" t="n">
        <x:v>0.006316752618715848</x:v>
      </x:c>
      <x:c r="E113" s="112" t="n">
        <x:v>1919.5123333333331</x:v>
      </x:c>
      <x:c r="F113" s="112" t="n">
        <x:v>1907.4254638475186</x:v>
      </x:c>
      <x:c r="G113" s="110" t="n">
        <x:v>0.004938013250958489</x:v>
      </x:c>
      <x:c r="H113" s="110" t="n">
        <x:v>0.0009882453998132183</x:v>
      </x:c>
      <x:c r="I113" s="110" t="n">
        <x:v>0.00042872293685121556</x:v>
      </x:c>
      <x:c r="J113" s="110" t="n">
        <x:v>-0.00006566622468483835</x:v>
      </x:c>
      <x:c r="K113" s="110" t="n">
        <x:v>0.000007265922988993451</x:v>
      </x:c>
      <x:c r="L113" s="110" t="n">
        <x:v>-0.0006979046740002767</x:v>
      </x:c>
      <x:c r="M113" s="110" t="n">
        <x:v>0.00047238541993815415</x:v>
      </x:c>
      <x:c r="N113" s="110" t="n">
        <x:v>-0.00023905387600006695</x:v>
      </x:c>
      <x:c r="O113" s="110" t="n">
        <x:v>-0.00388419904325759</x:v>
      </x:c>
      <x:c r="P113" s="110" t="n">
        <x:v>0.010250023399605226</x:v>
      </x:c>
      <x:c r="Q113" s="110" t="n">
        <x:v>-0.00025754108858648447</x:v>
      </x:c>
      <x:c r="R113" s="110" t="n">
        <x:v>-0.0008707931719006026</x:v>
      </x:c>
      <x:c r="S113" s="110" t="n">
        <x:v>-0.008275833816197085</x:v>
      </x:c>
      <x:c r="T113" s="110" t="n">
        <x:v>0</x:v>
      </x:c>
      <x:c r="U113" s="110" t="n">
        <x:v>0.0027936644355283525</x:v>
      </x:c>
      <x:c r="V113" s="113" t="n">
        <x:f>C113-U113</x:f>
        <x:v>2.168404344971009e-18</x:v>
      </x:c>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64" t="str">
        <x:v>2013-10</x:v>
      </x:c>
      <x:c r="B114" s="110" t="n">
        <x:v>-0.018073692209408243</x:v>
      </x:c>
      <x:c r="C114" s="110" t="n">
        <x:v>-0.019254228079211493</x:v>
      </x:c>
      <x:c r="D114" s="110" t="n">
        <x:v>0.0011805358698032502</x:v>
      </x:c>
      <x:c r="E114" s="112" t="n">
        <x:v>1885.1312903225808</x:v>
      </x:c>
      <x:c r="F114" s="112" t="n">
        <x:v>1882.9071383189864</x:v>
      </x:c>
      <x:c r="G114" s="110" t="n">
        <x:v>0.004938013250958489</x:v>
      </x:c>
      <x:c r="H114" s="110" t="n">
        <x:v>0.0003641529457166193</x:v>
      </x:c>
      <x:c r="I114" s="110" t="n">
        <x:v>0.000685975488100047</x:v>
      </x:c>
      <x:c r="J114" s="110" t="n">
        <x:v>0</x:v>
      </x:c>
      <x:c r="K114" s="110" t="n">
        <x:v>0.00008704558632107774</x:v>
      </x:c>
      <x:c r="L114" s="110" t="n">
        <x:v>-0.0027926719385749955</x:v>
      </x:c>
      <x:c r="M114" s="110" t="n">
        <x:v>0.0006736937304905956</x:v>
      </x:c>
      <x:c r="N114" s="110" t="n">
        <x:v>-0.0015307968852838337</x:v>
      </x:c>
      <x:c r="O114" s="110" t="n">
        <x:v>-0.006515888683908182</x:v>
      </x:c>
      <x:c r="P114" s="110" t="n">
        <x:v>-0.006826816205711613</x:v>
      </x:c>
      <x:c r="Q114" s="110" t="n">
        <x:v>0.0002804244689627829</x:v>
      </x:c>
      <x:c r="R114" s="110" t="n">
        <x:v>-0.0007136341158768416</x:v>
      </x:c>
      <x:c r="S114" s="110" t="n">
        <x:v>-0.007903725720405637</x:v>
      </x:c>
      <x:c r="T114" s="110" t="n">
        <x:v>0</x:v>
      </x:c>
      <x:c r="U114" s="110" t="n">
        <x:v>-0.01925422807921149</x:v>
      </x:c>
      <x:c r="V114" s="113" t="n">
        <x:f>C114-U114</x:f>
        <x:v>-3.469446951953614e-18</x:v>
      </x:c>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64" t="str">
        <x:v>2013-11</x:v>
      </x:c>
      <x:c r="B115" s="110" t="n">
        <x:v>0.01924032181000168</x:v>
      </x:c>
      <x:c r="C115" s="110" t="n">
        <x:v>0.010863146511034406</x:v>
      </x:c>
      <x:c r="D115" s="110" t="n">
        <x:v>0.008377175298967275</x:v>
      </x:c>
      <x:c r="E115" s="112" t="n">
        <x:v>1921.7529999999997</x:v>
      </x:c>
      <x:c r="F115" s="112" t="n">
        <x:v>1905.7213818297691</x:v>
      </x:c>
      <x:c r="G115" s="110" t="n">
        <x:v>0.004938013250958489</x:v>
      </x:c>
      <x:c r="H115" s="110" t="n">
        <x:v>0.0005653468652961171</x:v>
      </x:c>
      <x:c r="I115" s="110" t="n">
        <x:v>0.00024378330953236455</x:v>
      </x:c>
      <x:c r="J115" s="110" t="n">
        <x:v>0.00006566622468483835</x:v>
      </x:c>
      <x:c r="K115" s="110" t="n">
        <x:v>-0.000044650354237341406</x:v>
      </x:c>
      <x:c r="L115" s="110" t="n">
        <x:v>0.0025153812464277212</x:v>
      </x:c>
      <x:c r="M115" s="110" t="n">
        <x:v>-0.002489430808912199</x:v>
      </x:c>
      <x:c r="N115" s="110" t="n">
        <x:v>0.0017984583090308126</x:v>
      </x:c>
      <x:c r="O115" s="110" t="n">
        <x:v>-0.0015081601302663397</x:v>
      </x:c>
      <x:c r="P115" s="110" t="n">
        <x:v>-0.008413265135991301</x:v>
      </x:c>
      <x:c r="Q115" s="110" t="n">
        <x:v>-0.00016073519756672571</x:v>
      </x:c>
      <x:c r="R115" s="110" t="n">
        <x:v>-0.0006815432227621982</x:v>
      </x:c>
      <x:c r="S115" s="110" t="n">
        <x:v>0.014034282154840169</x:v>
      </x:c>
      <x:c r="T115" s="110" t="n">
        <x:v>0</x:v>
      </x:c>
      <x:c r="U115" s="110" t="n">
        <x:v>0.010863146511034406</x:v>
      </x:c>
      <x:c r="V115" s="113" t="n">
        <x:f>C115-U115</x:f>
        <x:v>0</x:v>
      </x:c>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64" t="str">
        <x:v>2013-12</x:v>
      </x:c>
      <x:c r="B116" s="110" t="n">
        <x:v>0.0058127138526771205</x:v>
      </x:c>
      <x:c r="C116" s="110" t="n">
        <x:v>0.017343633650447342</x:v>
      </x:c>
      <x:c r="D116" s="110" t="n">
        <x:v>-0.011530919797770222</x:v>
      </x:c>
      <x:c r="E116" s="112" t="n">
        <x:v>1932.9561290322576</x:v>
      </x:c>
      <x:c r="F116" s="112" t="n">
        <x:v>1955.3738914467585</x:v>
      </x:c>
      <x:c r="G116" s="110" t="n">
        <x:v>0.004938013250958489</x:v>
      </x:c>
      <x:c r="H116" s="110" t="n">
        <x:v>-0.00023197334715747923</x:v>
      </x:c>
      <x:c r="I116" s="110" t="n">
        <x:v>0.0005510846198785164</x:v>
      </x:c>
      <x:c r="J116" s="110" t="n">
        <x:v>-0.00006566622468483835</x:v>
      </x:c>
      <x:c r="K116" s="110" t="n">
        <x:v>0.000015900430124667054</x:v>
      </x:c>
      <x:c r="L116" s="110" t="n">
        <x:v>0.00045872529480970334</x:v>
      </x:c>
      <x:c r="M116" s="110" t="n">
        <x:v>0.001325781939606211</x:v>
      </x:c>
      <x:c r="N116" s="110" t="n">
        <x:v>-0.0009193873965559591</x:v>
      </x:c>
      <x:c r="O116" s="110" t="n">
        <x:v>-0.0008194899906487536</x:v>
      </x:c>
      <x:c r="P116" s="110" t="n">
        <x:v>0.011851422696089268</x:v>
      </x:c>
      <x:c r="Q116" s="110" t="n">
        <x:v>-0.00038957188024657486</x:v>
      </x:c>
      <x:c r="R116" s="110" t="n">
        <x:v>-0.0007315004255312752</x:v>
      </x:c>
      <x:c r="S116" s="110" t="n">
        <x:v>0.001360294683805367</x:v>
      </x:c>
      <x:c r="T116" s="110" t="n">
        <x:v>0</x:v>
      </x:c>
      <x:c r="U116" s="110" t="n">
        <x:v>0.017343633650447342</x:v>
      </x:c>
      <x:c r="V116" s="113" t="n">
        <x:f>C116-U116</x:f>
        <x:v>0</x:v>
      </x:c>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64" t="str">
        <x:v>2014-01</x:v>
      </x:c>
      <x:c r="B117" s="110" t="n">
        <x:v>0.012508875969120758</x:v>
      </x:c>
      <x:c r="C117" s="110" t="n">
        <x:v>0.007698781838428086</x:v>
      </x:c>
      <x:c r="D117" s="110" t="n">
        <x:v>0.004810094130692673</x:v>
      </x:c>
      <x:c r="E117" s="112" t="n">
        <x:v>1957.2870967741935</x:v>
      </x:c>
      <x:c r="F117" s="112" t="n">
        <x:v>1947.894968217945</x:v>
      </x:c>
      <x:c r="G117" s="110" t="n">
        <x:v>0.004938013250958489</x:v>
      </x:c>
      <x:c r="H117" s="110" t="n">
        <x:v>0.0027980960903958474</x:v>
      </x:c>
      <x:c r="I117" s="110" t="n">
        <x:v>0.0009225078885407464</x:v>
      </x:c>
      <x:c r="J117" s="110" t="n">
        <x:v>0.00006566622468483835</x:v>
      </x:c>
      <x:c r="K117" s="110" t="n">
        <x:v>0.0004684888830620183</x:v>
      </x:c>
      <x:c r="L117" s="110" t="n">
        <x:v>0.002647144537891416</x:v>
      </x:c>
      <x:c r="M117" s="110" t="n">
        <x:v>0.00004838275551245438</x:v>
      </x:c>
      <x:c r="N117" s="110" t="n">
        <x:v>0.0007589792577651714</x:v>
      </x:c>
      <x:c r="O117" s="110" t="n">
        <x:v>-0.0014129330676275398</x:v>
      </x:c>
      <x:c r="P117" s="110" t="n">
        <x:v>-0.011114773155083545</x:v>
      </x:c>
      <x:c r="Q117" s="110" t="n">
        <x:v>0.00025817827197412217</x:v>
      </x:c>
      <x:c r="R117" s="110" t="n">
        <x:v>-0.0008617593601137522</x:v>
      </x:c>
      <x:c r="S117" s="110" t="n">
        <x:v>0.008182790260467818</x:v>
      </x:c>
      <x:c r="T117" s="110" t="n">
        <x:v>0</x:v>
      </x:c>
      <x:c r="U117" s="110" t="n">
        <x:v>0.007698781838428087</x:v>
      </x:c>
      <x:c r="V117" s="113" t="n">
        <x:f>C117-U117</x:f>
        <x:v>-1.734723475976807e-18</x:v>
      </x:c>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64" t="str">
        <x:v>2014-02</x:v>
      </x:c>
      <x:c r="B118" s="110" t="n">
        <x:v>0.0406511839497119</x:v>
      </x:c>
      <x:c r="C118" s="110" t="n">
        <x:v>0.018210698320732993</x:v>
      </x:c>
      <x:c r="D118" s="110" t="n">
        <x:v>0.022440485628978907</x:v>
      </x:c>
      <x:c r="E118" s="112" t="n">
        <x:v>2038.4925000000007</x:v>
      </x:c>
      <x:c r="F118" s="112" t="n">
        <x:v>1993.2571878022036</x:v>
      </x:c>
      <x:c r="G118" s="110" t="n">
        <x:v>0.004938013250958489</x:v>
      </x:c>
      <x:c r="H118" s="110" t="n">
        <x:v>-0.00012792138035678898</x:v>
      </x:c>
      <x:c r="I118" s="110" t="n">
        <x:v>0.00037529144577524894</x:v>
      </x:c>
      <x:c r="J118" s="110" t="n">
        <x:v>-0.00013133244936967963</x:v>
      </x:c>
      <x:c r="K118" s="110" t="n">
        <x:v>-0.00002596656479364445</x:v>
      </x:c>
      <x:c r="L118" s="110" t="n">
        <x:v>0.0005112969934371755</x:v>
      </x:c>
      <x:c r="M118" s="110" t="n">
        <x:v>0.001172295559088515</x:v>
      </x:c>
      <x:c r="N118" s="110" t="n">
        <x:v>0.0009362645630303416</x:v>
      </x:c>
      <x:c r="O118" s="110" t="n">
        <x:v>-0.0005082888871527936</x:v>
      </x:c>
      <x:c r="P118" s="110" t="n">
        <x:v>0.0076959971960673425</x:v>
      </x:c>
      <x:c r="Q118" s="110" t="n">
        <x:v>-0.00014492562986723255</x:v>
      </x:c>
      <x:c r="R118" s="110" t="n">
        <x:v>-0.0009448199400348337</x:v>
      </x:c>
      <x:c r="S118" s="110" t="n">
        <x:v>0.004464794163950854</x:v>
      </x:c>
      <x:c r="T118" s="110" t="n">
        <x:v>0</x:v>
      </x:c>
      <x:c r="U118" s="110" t="n">
        <x:v>0.018210698320732993</x:v>
      </x:c>
      <x:c r="V118" s="113" t="n">
        <x:f>C118-U118</x:f>
        <x:v>0</x:v>
      </x:c>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64" t="str">
        <x:v>2014-03</x:v>
      </x:c>
      <x:c r="B119" s="110" t="n">
        <x:v>-0.009255030182302448</x:v>
      </x:c>
      <x:c r="C119" s="110" t="n">
        <x:v>-0.002607893382064237</x:v>
      </x:c>
      <x:c r="D119" s="110" t="n">
        <x:v>-0.006647136800238211</x:v>
      </x:c>
      <x:c r="E119" s="112" t="n">
        <x:v>2019.7132258064514</x:v>
      </x:c>
      <x:c r="F119" s="112" t="n">
        <x:v>2033.1832548815287</x:v>
      </x:c>
      <x:c r="G119" s="110" t="n">
        <x:v>0.004938013250958489</x:v>
      </x:c>
      <x:c r="H119" s="110" t="n">
        <x:v>-0.0014165654690511038</x:v>
      </x:c>
      <x:c r="I119" s="110" t="n">
        <x:v>0.0002080943302852292</x:v>
      </x:c>
      <x:c r="J119" s="110" t="n">
        <x:v>0</x:v>
      </x:c>
      <x:c r="K119" s="110" t="n">
        <x:v>-0.00005755570686985026</x:v>
      </x:c>
      <x:c r="L119" s="110" t="n">
        <x:v>-0.0005790209198325212</x:v>
      </x:c>
      <x:c r="M119" s="110" t="n">
        <x:v>-0.0005919628892553332</x:v>
      </x:c>
      <x:c r="N119" s="110" t="n">
        <x:v>-0.0017452248237556376</x:v>
      </x:c>
      <x:c r="O119" s="110" t="n">
        <x:v>-0.002058649602356672</x:v>
      </x:c>
      <x:c r="P119" s="110" t="n">
        <x:v>0.002603845036239367</x:v>
      </x:c>
      <x:c r="Q119" s="110" t="n">
        <x:v>0.00005108385518165746</x:v>
      </x:c>
      <x:c r="R119" s="110" t="n">
        <x:v>-0.0009818345194698966</x:v>
      </x:c>
      <x:c r="S119" s="110" t="n">
        <x:v>-0.0029781159241379653</x:v>
      </x:c>
      <x:c r="T119" s="110" t="n">
        <x:v>0</x:v>
      </x:c>
      <x:c r="U119" s="110" t="n">
        <x:v>-0.0026078933820642375</x:v>
      </x:c>
      <x:c r="V119" s="113" t="n">
        <x:f>C119-U119</x:f>
        <x:v>4.336808689942018e-19</x:v>
      </x:c>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64" t="str">
        <x:v>2014-04</x:v>
      </x:c>
      <x:c r="B120" s="110" t="n">
        <x:v>-0.04111310721404138</x:v>
      </x:c>
      <x:c r="C120" s="110" t="n">
        <x:v>-0.018077454069333768</x:v>
      </x:c>
      <x:c r="D120" s="110" t="n">
        <x:v>-0.02303565314470761</x:v>
      </x:c>
      <x:c r="E120" s="112" t="n">
        <x:v>1938.360333333333</x:v>
      </x:c>
      <x:c r="F120" s="112" t="n">
        <x:v>1983.5299885066386</x:v>
      </x:c>
      <x:c r="G120" s="110" t="n">
        <x:v>0.004938013250958489</x:v>
      </x:c>
      <x:c r="H120" s="110" t="n">
        <x:v>0.001249997459285344</x:v>
      </x:c>
      <x:c r="I120" s="110" t="n">
        <x:v>0.00007293148601896449</x:v>
      </x:c>
      <x:c r="J120" s="110" t="n">
        <x:v>0.00006566622468484128</x:v>
      </x:c>
      <x:c r="K120" s="110" t="n">
        <x:v>-0.000012796741059121471</x:v>
      </x:c>
      <x:c r="L120" s="110" t="n">
        <x:v>-0.0012634761439035934</x:v>
      </x:c>
      <x:c r="M120" s="110" t="n">
        <x:v>-0.0006230147493771403</x:v>
      </x:c>
      <x:c r="N120" s="110" t="n">
        <x:v>-0.002311621386905727</x:v>
      </x:c>
      <x:c r="O120" s="110" t="n">
        <x:v>-0.0017551001887877017</x:v>
      </x:c>
      <x:c r="P120" s="110" t="n">
        <x:v>-0.006789532267732246</x:v>
      </x:c>
      <x:c r="Q120" s="110" t="n">
        <x:v>0.00014870627401659145</x:v>
      </x:c>
      <x:c r="R120" s="110" t="n">
        <x:v>-0.0008897421579934173</x:v>
      </x:c>
      <x:c r="S120" s="110" t="n">
        <x:v>-0.01090748512853905</x:v>
      </x:c>
      <x:c r="T120" s="110" t="n">
        <x:v>0</x:v>
      </x:c>
      <x:c r="U120" s="110" t="n">
        <x:v>-0.018077454069333768</x:v>
      </x:c>
      <x:c r="V120" s="113" t="n">
        <x:f>C120-U120</x:f>
        <x:v>0</x:v>
      </x:c>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64" t="str">
        <x:v>2014-05</x:v>
      </x:c>
      <x:c r="B121" s="110" t="n">
        <x:v>-0.011936326924113061</x:v>
      </x:c>
      <x:c r="C121" s="110" t="n">
        <x:v>0.0019504922860195586</x:v>
      </x:c>
      <x:c r="D121" s="110" t="n">
        <x:v>-0.01388681921013262</x:v>
      </x:c>
      <x:c r="E121" s="112" t="n">
        <x:v>1915.3609677419352</x:v>
      </x:c>
      <x:c r="F121" s="112" t="n">
        <x:v>1942.1447797780233</x:v>
      </x:c>
      <x:c r="G121" s="110" t="n">
        <x:v>0.004938013250958489</x:v>
      </x:c>
      <x:c r="H121" s="110" t="n">
        <x:v>0.0032271783649090832</x:v>
      </x:c>
      <x:c r="I121" s="110" t="n">
        <x:v>-0.0011370071279745467</x:v>
      </x:c>
      <x:c r="J121" s="110" t="n">
        <x:v>-0.00009849933702726045</x:v>
      </x:c>
      <x:c r="K121" s="110" t="n">
        <x:v>-0.00009229838341320714</x:v>
      </x:c>
      <x:c r="L121" s="110" t="n">
        <x:v>-0.0009274743417833147</x:v>
      </x:c>
      <x:c r="M121" s="110" t="n">
        <x:v>-0.0018319520591939438</x:v>
      </x:c>
      <x:c r="N121" s="110" t="n">
        <x:v>-0.0011462748442038872</x:v>
      </x:c>
      <x:c r="O121" s="110" t="n">
        <x:v>-0.0022083528682977855</x:v>
      </x:c>
      <x:c r="P121" s="110" t="n">
        <x:v>0.0062458792288902255</x:v>
      </x:c>
      <x:c r="Q121" s="110" t="n">
        <x:v>0.00000763063800069667</x:v>
      </x:c>
      <x:c r="R121" s="110" t="n">
        <x:v>-0.0007666547823421639</x:v>
      </x:c>
      <x:c r="S121" s="110" t="n">
        <x:v>-0.004259695452502829</x:v>
      </x:c>
      <x:c r="T121" s="110" t="n">
        <x:v>0</x:v>
      </x:c>
      <x:c r="U121" s="110" t="n">
        <x:v>0.0019504922860195577</x:v>
      </x:c>
      <x:c r="V121" s="113" t="n">
        <x:f>C121-U121</x:f>
        <x:v>8.673617379884035e-19</x:v>
      </x:c>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64" t="str">
        <x:v>2014-06</x:v>
      </x:c>
      <x:c r="B122" s="110" t="n">
        <x:v>-0.014896989231123925</x:v>
      </x:c>
      <x:c r="C122" s="110" t="n">
        <x:v>-0.012152295848010608</x:v>
      </x:c>
      <x:c r="D122" s="110" t="n">
        <x:v>-0.0027446933831133166</x:v>
      </x:c>
      <x:c r="E122" s="112" t="n">
        <x:v>1887.0393333333334</x:v>
      </x:c>
      <x:c r="F122" s="112" t="n">
        <x:v>1892.225792068748</x:v>
      </x:c>
      <x:c r="G122" s="110" t="n">
        <x:v>0.004938013250958489</x:v>
      </x:c>
      <x:c r="H122" s="110" t="n">
        <x:v>-0.007400707421522221</x:v>
      </x:c>
      <x:c r="I122" s="110" t="n">
        <x:v>-0.0010318720422263293</x:v>
      </x:c>
      <x:c r="J122" s="110" t="n">
        <x:v>-0.001477490055408895</x:v>
      </x:c>
      <x:c r="K122" s="110" t="n">
        <x:v>-0.00008738714225930325</x:v>
      </x:c>
      <x:c r="L122" s="110" t="n">
        <x:v>0.0004487973779444699</x:v>
      </x:c>
      <x:c r="M122" s="110" t="n">
        <x:v>-0.001101797142410619</x:v>
      </x:c>
      <x:c r="N122" s="110" t="n">
        <x:v>-0.0014829889694089366</x:v>
      </x:c>
      <x:c r="O122" s="110" t="n">
        <x:v>-0.002506918922139736</x:v>
      </x:c>
      <x:c r="P122" s="110" t="n">
        <x:v>-0.002305308627160708</x:v>
      </x:c>
      <x:c r="Q122" s="110" t="n">
        <x:v>0.000026866933478740656</x:v>
      </x:c>
      <x:c r="R122" s="110" t="n">
        <x:v>-0.000794231395060295</x:v>
      </x:c>
      <x:c r="S122" s="110" t="n">
        <x:v>0.0006227283072047328</x:v>
      </x:c>
      <x:c r="T122" s="110" t="n">
        <x:v>0</x:v>
      </x:c>
      <x:c r="U122" s="110" t="n">
        <x:v>-0.01215229584801061</x:v>
      </x:c>
      <x:c r="V122" s="113" t="n">
        <x:f>C122-U122</x:f>
        <x:v>1.734723475976807e-18</x:v>
      </x:c>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64" t="str">
        <x:v>2014-07</x:v>
      </x:c>
      <x:c r="B123" s="110" t="n">
        <x:v>-0.01569998819457119</x:v>
      </x:c>
      <x:c r="C123" s="110" t="n">
        <x:v>0.006232064445862986</x:v>
      </x:c>
      <x:c r="D123" s="110" t="n">
        <x:v>-0.02193205264043418</x:v>
      </x:c>
      <x:c r="E123" s="112" t="n">
        <x:v>1857.6441935483879</x:v>
      </x:c>
      <x:c r="F123" s="112" t="n">
        <x:v>1898.8362053226247</x:v>
      </x:c>
      <x:c r="G123" s="110" t="n">
        <x:v>0.004938013250958489</x:v>
      </x:c>
      <x:c r="H123" s="110" t="n">
        <x:v>0.007637167411427956</x:v>
      </x:c>
      <x:c r="I123" s="110" t="n">
        <x:v>-0.0012462198979835556</x:v>
      </x:c>
      <x:c r="J123" s="110" t="n">
        <x:v>-0.0018495986619563173</x:v>
      </x:c>
      <x:c r="K123" s="110" t="n">
        <x:v>-0.00021166818304409234</x:v>
      </x:c>
      <x:c r="L123" s="110" t="n">
        <x:v>-0.0006377213311663037</x:v>
      </x:c>
      <x:c r="M123" s="110" t="n">
        <x:v>0.0008972756899581702</x:v>
      </x:c>
      <x:c r="N123" s="110" t="n">
        <x:v>0.00018840093163859022</x:v>
      </x:c>
      <x:c r="O123" s="110" t="n">
        <x:v>-0.0029352769406828173</x:v>
      </x:c>
      <x:c r="P123" s="110" t="n">
        <x:v>0.0015508990637294</x:v>
      </x:c>
      <x:c r="Q123" s="110" t="n">
        <x:v>0.00007404040654047677</x:v>
      </x:c>
      <x:c r="R123" s="110" t="n">
        <x:v>-0.0007941409051858113</x:v>
      </x:c>
      <x:c r="S123" s="110" t="n">
        <x:v>-0.0013791063883712023</x:v>
      </x:c>
      <x:c r="T123" s="110" t="n">
        <x:v>0</x:v>
      </x:c>
      <x:c r="U123" s="110" t="n">
        <x:v>0.006232064445862986</x:v>
      </x:c>
      <x:c r="V123" s="113" t="n">
        <x:f>C123-U123</x:f>
        <x:v>0</x:v>
      </x:c>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64" t="str">
        <x:v>2014-08</x:v>
      </x:c>
      <x:c r="B124" s="110" t="n">
        <x:v>0.021557519442985118</x:v>
      </x:c>
      <x:c r="C124" s="110" t="n">
        <x:v>0.009643628786425473</x:v>
      </x:c>
      <x:c r="D124" s="110" t="n">
        <x:v>0.011913890656559645</x:v>
      </x:c>
      <x:c r="E124" s="112" t="n">
        <x:v>1898.1251612903231</x:v>
      </x:c>
      <x:c r="F124" s="112" t="n">
        <x:v>1875.6452829727154</x:v>
      </x:c>
      <x:c r="G124" s="110" t="n">
        <x:v>0.004938013250958489</x:v>
      </x:c>
      <x:c r="H124" s="110" t="n">
        <x:v>-0.0016643633882739764</x:v>
      </x:c>
      <x:c r="I124" s="110" t="n">
        <x:v>-0.0008151606235619642</x:v>
      </x:c>
      <x:c r="J124" s="110" t="n">
        <x:v>-0.0014337125722856706</x:v>
      </x:c>
      <x:c r="K124" s="110" t="n">
        <x:v>0.000027230714787720083</x:v>
      </x:c>
      <x:c r="L124" s="110" t="n">
        <x:v>0.0027758672961432436</x:v>
      </x:c>
      <x:c r="M124" s="110" t="n">
        <x:v>0.001313986304318519</x:v>
      </x:c>
      <x:c r="N124" s="110" t="n">
        <x:v>0.001229481204967028</x:v>
      </x:c>
      <x:c r="O124" s="110" t="n">
        <x:v>-0.0036798197593437736</x:v>
      </x:c>
      <x:c r="P124" s="110" t="n">
        <x:v>-0.004060053279118769</x:v>
      </x:c>
      <x:c r="Q124" s="110" t="n">
        <x:v>0.00006151381510820624</x:v>
      </x:c>
      <x:c r="R124" s="110" t="n">
        <x:v>-0.0007450964592385612</x:v>
      </x:c>
      <x:c r="S124" s="110" t="n">
        <x:v>0.011695742281964981</x:v>
      </x:c>
      <x:c r="T124" s="110" t="n">
        <x:v>0</x:v>
      </x:c>
      <x:c r="U124" s="110" t="n">
        <x:v>0.009643628786425471</x:v>
      </x:c>
      <x:c r="V124" s="113" t="n">
        <x:f>C124-U124</x:f>
        <x:v>1.734723475976807e-18</x:v>
      </x:c>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64" t="str">
        <x:v>2014-09</x:v>
      </x:c>
      <x:c r="B125" s="110" t="n">
        <x:v>0.03905175632778857</x:v>
      </x:c>
      <x:c r="C125" s="110" t="n">
        <x:v>0.022206351872516933</x:v>
      </x:c>
      <x:c r="D125" s="110" t="n">
        <x:v>0.016845404455271634</x:v>
      </x:c>
      <x:c r="E125" s="112" t="n">
        <x:v>1973.7166666666658</x:v>
      </x:c>
      <x:c r="F125" s="112" t="n">
        <x:v>1940.7470837540684</x:v>
      </x:c>
      <x:c r="G125" s="110" t="n">
        <x:v>0.004938013250958489</x:v>
      </x:c>
      <x:c r="H125" s="110" t="n">
        <x:v>0.0032144965026135513</x:v>
      </x:c>
      <x:c r="I125" s="110" t="n">
        <x:v>-0.000979305404122511</x:v>
      </x:c>
      <x:c r="J125" s="110" t="n">
        <x:v>-0.001641655617120994</x:v>
      </x:c>
      <x:c r="K125" s="110" t="n">
        <x:v>-0.0001545772346679722</x:v>
      </x:c>
      <x:c r="L125" s="110" t="n">
        <x:v>0.004318155465723237</x:v>
      </x:c>
      <x:c r="M125" s="110" t="n">
        <x:v>-0.000026515321841654014</x:v>
      </x:c>
      <x:c r="N125" s="110" t="n">
        <x:v>-0.0002525355939037853</x:v>
      </x:c>
      <x:c r="O125" s="110" t="n">
        <x:v>-0.003772010475516983</x:v>
      </x:c>
      <x:c r="P125" s="110" t="n">
        <x:v>0.00489243658014564</x:v>
      </x:c>
      <x:c r="Q125" s="110" t="n">
        <x:v>0.00009468164204507697</x:v>
      </x:c>
      <x:c r="R125" s="110" t="n">
        <x:v>-0.0008413362657273613</x:v>
      </x:c>
      <x:c r="S125" s="110" t="n">
        <x:v>0.012416504343932199</x:v>
      </x:c>
      <x:c r="T125" s="110" t="n">
        <x:v>0</x:v>
      </x:c>
      <x:c r="U125" s="110" t="n">
        <x:v>0.022206351872516933</x:v>
      </x:c>
      <x:c r="V125" s="113" t="n">
        <x:f>C125-U125</x:f>
        <x:v>0</x:v>
      </x:c>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64" t="str">
        <x:v>2014-10</x:v>
      </x:c>
      <x:c r="B126" s="110" t="n">
        <x:v>0.03722233091585725</x:v>
      </x:c>
      <x:c r="C126" s="110" t="n">
        <x:v>0.030398002550820424</x:v>
      </x:c>
      <x:c r="D126" s="110" t="n">
        <x:v>0.006824328365036825</x:v>
      </x:c>
      <x:c r="E126" s="112" t="n">
        <x:v>2048.567419354838</x:v>
      </x:c>
      <x:c r="F126" s="112" t="n">
        <x:v>2034.6349166652667</x:v>
      </x:c>
      <x:c r="G126" s="110" t="n">
        <x:v>0.004938013250958489</x:v>
      </x:c>
      <x:c r="H126" s="110" t="n">
        <x:v>0.007549593639919336</x:v>
      </x:c>
      <x:c r="I126" s="110" t="n">
        <x:v>-0.00018821411101569045</x:v>
      </x:c>
      <x:c r="J126" s="110" t="n">
        <x:v>-0.001641655617120994</x:v>
      </x:c>
      <x:c r="K126" s="110" t="n">
        <x:v>0.00009485286475514913</x:v>
      </x:c>
      <x:c r="L126" s="110" t="n">
        <x:v>0.0036429653251186414</x:v>
      </x:c>
      <x:c r="M126" s="110" t="n">
        <x:v>0.0041551024275774</x:v>
      </x:c>
      <x:c r="N126" s="110" t="n">
        <x:v>0.0033823814548981216</x:v>
      </x:c>
      <x:c r="O126" s="110" t="n">
        <x:v>-0.00244339437592014</x:v>
      </x:c>
      <x:c r="P126" s="110" t="n">
        <x:v>0.002130905159669035</x:v>
      </x:c>
      <x:c r="Q126" s="110" t="n">
        <x:v>-0.0002459919001204986</x:v>
      </x:c>
      <x:c r="R126" s="110" t="n">
        <x:v>-0.0009417430450451267</x:v>
      </x:c>
      <x:c r="S126" s="110" t="n">
        <x:v>0.0099651874771467</x:v>
      </x:c>
      <x:c r="T126" s="110" t="n">
        <x:v>0</x:v>
      </x:c>
      <x:c r="U126" s="110" t="n">
        <x:v>0.030398002550820424</x:v>
      </x:c>
      <x:c r="V126" s="113" t="n">
        <x:f>C126-U126</x:f>
        <x:v>0</x:v>
      </x:c>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64" t="str">
        <x:v>2014-11</x:v>
      </x:c>
      <x:c r="B127" s="110" t="n">
        <x:v>0.03836306277742896</x:v>
      </x:c>
      <x:c r="C127" s="110" t="n">
        <x:v>0.011021526254862014</x:v>
      </x:c>
      <x:c r="D127" s="110" t="n">
        <x:v>0.027341536522566944</x:v>
      </x:c>
      <x:c r="E127" s="112" t="n">
        <x:v>2128.683666666666</x:v>
      </x:c>
      <x:c r="F127" s="112" t="n">
        <x:v>2071.27064120944</x:v>
      </x:c>
      <x:c r="G127" s="110" t="n">
        <x:v>0.004938013250958489</x:v>
      </x:c>
      <x:c r="H127" s="110" t="n">
        <x:v>0.002165303952503987</x:v>
      </x:c>
      <x:c r="I127" s="110" t="n">
        <x:v>-0.00033118225890391774</x:v>
      </x:c>
      <x:c r="J127" s="110" t="n">
        <x:v>0</x:v>
      </x:c>
      <x:c r="K127" s="110" t="n">
        <x:v>0.0001784985008166781</x:v>
      </x:c>
      <x:c r="L127" s="110" t="n">
        <x:v>0.0045569175064272245</x:v>
      </x:c>
      <x:c r="M127" s="110" t="n">
        <x:v>-0.004211483872718602</x:v>
      </x:c>
      <x:c r="N127" s="110" t="n">
        <x:v>-0.00020871929588541757</x:v>
      </x:c>
      <x:c r="O127" s="110" t="n">
        <x:v>-0.0015594540952969783</x:v>
      </x:c>
      <x:c r="P127" s="110" t="n">
        <x:v>-0.0017263930692558488</x:v>
      </x:c>
      <x:c r="Q127" s="110" t="n">
        <x:v>-0.00001999422968972986</x:v>
      </x:c>
      <x:c r="R127" s="110" t="n">
        <x:v>-0.0011109110875997894</x:v>
      </x:c>
      <x:c r="S127" s="110" t="n">
        <x:v>0.008350930953505918</x:v>
      </x:c>
      <x:c r="T127" s="110" t="n">
        <x:v>0</x:v>
      </x:c>
      <x:c r="U127" s="110" t="n">
        <x:v>0.011021526254862014</x:v>
      </x:c>
      <x:c r="V127" s="113" t="n">
        <x:f>C127-U127</x:f>
        <x:v>0</x:v>
      </x:c>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64" t="str">
        <x:v>2014-12</x:v>
      </x:c>
      <x:c r="B128" s="110" t="n">
        <x:v>0.09560972898362774</x:v>
      </x:c>
      <x:c r="C128" s="110" t="n">
        <x:v>0.051530943882620334</x:v>
      </x:c>
      <x:c r="D128" s="110" t="n">
        <x:v>0.044078785101007406</x:v>
      </x:c>
      <x:c r="E128" s="112" t="n">
        <x:v>2342.2535483870965</x:v>
      </x:c>
      <x:c r="F128" s="112" t="n">
        <x:v>2241.252218295905</x:v>
      </x:c>
      <x:c r="G128" s="110" t="n">
        <x:v>0.004938013250958489</x:v>
      </x:c>
      <x:c r="H128" s="110" t="n">
        <x:v>0.008857417210166725</x:v>
      </x:c>
      <x:c r="I128" s="110" t="n">
        <x:v>-0.0006376218088921912</x:v>
      </x:c>
      <x:c r="J128" s="110" t="n">
        <x:v>0</x:v>
      </x:c>
      <x:c r="K128" s="110" t="n">
        <x:v>0.00008251127387148504</x:v>
      </x:c>
      <x:c r="L128" s="110" t="n">
        <x:v>0.006210643840834895</x:v>
      </x:c>
      <x:c r="M128" s="110" t="n">
        <x:v>0.0027537574523438585</x:v>
      </x:c>
      <x:c r="N128" s="110" t="n">
        <x:v>0.004092483409196453</x:v>
      </x:c>
      <x:c r="O128" s="110" t="n">
        <x:v>-0.00009412593166467212</x:v>
      </x:c>
      <x:c r="P128" s="110" t="n">
        <x:v>0.0059531719346061366</x:v>
      </x:c>
      <x:c r="Q128" s="110" t="n">
        <x:v>-0.00033899487297748133</x:v>
      </x:c>
      <x:c r="R128" s="110" t="n">
        <x:v>-0.0011270965223762967</x:v>
      </x:c>
      <x:c r="S128" s="110" t="n">
        <x:v>0.020840784646552937</x:v>
      </x:c>
      <x:c r="T128" s="110" t="n">
        <x:v>0</x:v>
      </x:c>
      <x:c r="U128" s="110" t="n">
        <x:v>0.051530943882620334</x:v>
      </x:c>
      <x:c r="V128" s="113" t="n">
        <x:f>C128-U128</x:f>
        <x:v>0</x:v>
      </x:c>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64" t="str">
        <x:v>2015-01</x:v>
      </x:c>
      <x:c r="B129" s="110" t="n">
        <x:v>0.023212090319638</x:v>
      </x:c>
      <x:c r="C129" s="110" t="n">
        <x:v>0.030561669802816747</x:v>
      </x:c>
      <x:c r="D129" s="110" t="n">
        <x:v>-0.0073495794831787455</x:v>
      </x:c>
      <x:c r="E129" s="112" t="n">
        <x:v>2397.2580645161297</x:v>
      </x:c>
      <x:c r="F129" s="112" t="n">
        <x:v>2414.9418076399857</x:v>
      </x:c>
      <x:c r="G129" s="110" t="n">
        <x:v>0.004938013250958489</x:v>
      </x:c>
      <x:c r="H129" s="110" t="n">
        <x:v>0.010131909177430865</x:v>
      </x:c>
      <x:c r="I129" s="110" t="n">
        <x:v>0.0005277006816801429</x:v>
      </x:c>
      <x:c r="J129" s="110" t="n">
        <x:v>0.0001969986740545209</x:v>
      </x:c>
      <x:c r="K129" s="110" t="n">
        <x:v>0.00022154875112023823</x:v>
      </x:c>
      <x:c r="L129" s="110" t="n">
        <x:v>0.006036560947461787</x:v>
      </x:c>
      <x:c r="M129" s="110" t="n">
        <x:v>0.002266081100951333</x:v>
      </x:c>
      <x:c r="N129" s="110" t="n">
        <x:v>0.00452115057068266</x:v>
      </x:c>
      <x:c r="O129" s="110" t="n">
        <x:v>0.00034429498136087915</x:v>
      </x:c>
      <x:c r="P129" s="110" t="n">
        <x:v>-0.004249544084917005</x:v>
      </x:c>
      <x:c r="Q129" s="110" t="n">
        <x:v>-0.00003972476578693979</x:v>
      </x:c>
      <x:c r="R129" s="110" t="n">
        <x:v>-0.0016208278638777322</x:v>
      </x:c>
      <x:c r="S129" s="110" t="n">
        <x:v>0.007287508381697506</x:v>
      </x:c>
      <x:c r="T129" s="110" t="n">
        <x:v>0</x:v>
      </x:c>
      <x:c r="U129" s="110" t="n">
        <x:v>0.030561669802816747</x:v>
      </x:c>
      <x:c r="V129" s="113" t="n">
        <x:f>C129-U129</x:f>
        <x:v>0</x:v>
      </x:c>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64" t="str">
        <x:v>2015-02</x:v>
      </x:c>
      <x:c r="B130" s="110" t="n">
        <x:v>0.009719783009880523</x:v>
      </x:c>
      <x:c r="C130" s="110" t="n">
        <x:v>0.0181538640468254</x:v>
      </x:c>
      <x:c r="D130" s="110" t="n">
        <x:v>-0.008434081036944877</x:v>
      </x:c>
      <x:c r="E130" s="112" t="n">
        <x:v>2420.672500000001</x:v>
      </x:c>
      <x:c r="F130" s="112" t="n">
        <x:v>2441.1749863096975</x:v>
      </x:c>
      <x:c r="G130" s="110" t="n">
        <x:v>0.004938013250958489</x:v>
      </x:c>
      <x:c r="H130" s="110" t="n">
        <x:v>-0.0036116971726178303</x:v>
      </x:c>
      <x:c r="I130" s="110" t="n">
        <x:v>-0.0000623637618041142</x:v>
      </x:c>
      <x:c r="J130" s="110" t="n">
        <x:v>-0.00006566622468483835</x:v>
      </x:c>
      <x:c r="K130" s="110" t="n">
        <x:v>-0.00013657605277261943</x:v>
      </x:c>
      <x:c r="L130" s="110" t="n">
        <x:v>0.0036029181265398386</x:v>
      </x:c>
      <x:c r="M130" s="110" t="n">
        <x:v>-0.0026074712716795028</x:v>
      </x:c>
      <x:c r="N130" s="110" t="n">
        <x:v>-0.003304171764768441</x:v>
      </x:c>
      <x:c r="O130" s="110" t="n">
        <x:v>0.001548027497305765</x:v>
      </x:c>
      <x:c r="P130" s="110" t="n">
        <x:v>0.0031105274621748987</x:v>
      </x:c>
      <x:c r="Q130" s="110" t="n">
        <x:v>-0.00017291451557214165</x:v>
      </x:c>
      <x:c r="R130" s="110" t="n">
        <x:v>-0.0015630879528708373</x:v>
      </x:c>
      <x:c r="S130" s="110" t="n">
        <x:v>0.016478326426616733</x:v>
      </x:c>
      <x:c r="T130" s="110" t="n">
        <x:v>0</x:v>
      </x:c>
      <x:c r="U130" s="110" t="n">
        <x:v>0.0181538640468254</x:v>
      </x:c>
      <x:c r="V130" s="113" t="n">
        <x:f>C130-U130</x:f>
        <x:v>0</x:v>
      </x:c>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64" t="str">
        <x:v>2015-03</x:v>
      </x:c>
      <x:c r="B131" s="110" t="n">
        <x:v>0.06582024253256868</x:v>
      </x:c>
      <x:c r="C131" s="110" t="n">
        <x:v>0.024532984892006383</x:v>
      </x:c>
      <x:c r="D131" s="110" t="n">
        <x:v>0.041287257640562305</x:v>
      </x:c>
      <x:c r="E131" s="112" t="n">
        <x:v>2585.3622580645156</x:v>
      </x:c>
      <x:c r="F131" s="112" t="n">
        <x:v>2480.7932775707504</x:v>
      </x:c>
      <x:c r="G131" s="110" t="n">
        <x:v>0.004938013250958489</x:v>
      </x:c>
      <x:c r="H131" s="110" t="n">
        <x:v>-0.005410641279841852</x:v>
      </x:c>
      <x:c r="I131" s="110" t="n">
        <x:v>0.0005525615054391113</x:v>
      </x:c>
      <x:c r="J131" s="110" t="n">
        <x:v>0</x:v>
      </x:c>
      <x:c r="K131" s="110" t="n">
        <x:v>-0.000010515993096108124</x:v>
      </x:c>
      <x:c r="L131" s="110" t="n">
        <x:v>0.005525438609442318</x:v>
      </x:c>
      <x:c r="M131" s="110" t="n">
        <x:v>-0.0010068368905884813</x:v>
      </x:c>
      <x:c r="N131" s="110" t="n">
        <x:v>0.00214408638027294</x:v>
      </x:c>
      <x:c r="O131" s="110" t="n">
        <x:v>0.00007218341503998109</x:v>
      </x:c>
      <x:c r="P131" s="110" t="n">
        <x:v>0.0022685066767444955</x:v>
      </x:c>
      <x:c r="Q131" s="110" t="n">
        <x:v>0.00010893184953142595</x:v>
      </x:c>
      <x:c r="R131" s="110" t="n">
        <x:v>-0.0012709102953605402</x:v>
      </x:c>
      <x:c r="S131" s="110" t="n">
        <x:v>0.016622167663464606</x:v>
      </x:c>
      <x:c r="T131" s="110" t="n">
        <x:v>0</x:v>
      </x:c>
      <x:c r="U131" s="110" t="n">
        <x:v>0.024532984892006386</x:v>
      </x:c>
      <x:c r="V131" s="113" t="n">
        <x:f>C131-U131</x:f>
        <x:v>-3.469446951953614e-18</x:v>
      </x:c>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64" t="str">
        <x:v>2015-04</x:v>
      </x:c>
      <x:c r="B132" s="110" t="n">
        <x:v>-0.03147790502569947</x:v>
      </x:c>
      <x:c r="C132" s="110" t="n">
        <x:v>-0.007131436308106034</x:v>
      </x:c>
      <x:c r="D132" s="110" t="n">
        <x:v>-0.024346468717593436</x:v>
      </x:c>
      <x:c r="E132" s="112" t="n">
        <x:v>2505.248</x:v>
      </x:c>
      <x:c r="F132" s="112" t="n">
        <x:v>2566.9904981671057</x:v>
      </x:c>
      <x:c r="G132" s="110" t="n">
        <x:v>0.004938013250958489</x:v>
      </x:c>
      <x:c r="H132" s="110" t="n">
        <x:v>-0.0018582852406538067</x:v>
      </x:c>
      <x:c r="I132" s="110" t="n">
        <x:v>0.0016667375935878724</x:v>
      </x:c>
      <x:c r="J132" s="110" t="n">
        <x:v>0</x:v>
      </x:c>
      <x:c r="K132" s="110" t="n">
        <x:v>-0.000020766671579378565</x:v>
      </x:c>
      <x:c r="L132" s="110" t="n">
        <x:v>-0.002533068440649708</x:v>
      </x:c>
      <x:c r="M132" s="110" t="n">
        <x:v>-0.0013196350154023307</x:v>
      </x:c>
      <x:c r="N132" s="110" t="n">
        <x:v>-0.0009322114696838893</x:v>
      </x:c>
      <x:c r="O132" s="110" t="n">
        <x:v>0.0008605082398540292</x:v>
      </x:c>
      <x:c r="P132" s="110" t="n">
        <x:v>-0.0012304011281827638</x:v>
      </x:c>
      <x:c r="Q132" s="110" t="n">
        <x:v>-0.00008039724235058079</x:v>
      </x:c>
      <x:c r="R132" s="110" t="n">
        <x:v>-0.0013987597520305698</x:v>
      </x:c>
      <x:c r="S132" s="110" t="n">
        <x:v>-0.005223170431973398</x:v>
      </x:c>
      <x:c r="T132" s="110" t="n">
        <x:v>0</x:v>
      </x:c>
      <x:c r="U132" s="110" t="n">
        <x:v>-0.007131436308106034</x:v>
      </x:c>
      <x:c r="V132" s="113" t="n">
        <x:f>C132-U132</x:f>
        <x:v>0</x:v>
      </x:c>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64" t="str">
        <x:v>2015-05</x:v>
      </x:c>
      <x:c r="B133" s="110" t="n">
        <x:v>-0.027400382701890713</x:v>
      </x:c>
      <x:c r="C133" s="110" t="n">
        <x:v>-0.00562295885737448</x:v>
      </x:c>
      <x:c r="D133" s="110" t="n">
        <x:v>-0.021777423844516232</x:v>
      </x:c>
      <x:c r="E133" s="112" t="n">
        <x:v>2437.535161290322</x:v>
      </x:c>
      <x:c r="F133" s="112" t="n">
        <x:v>2491.2006244878426</x:v>
      </x:c>
      <x:c r="G133" s="110" t="n">
        <x:v>0.004938013250958489</x:v>
      </x:c>
      <x:c r="H133" s="110" t="n">
        <x:v>-0.0034889610706384353</x:v>
      </x:c>
      <x:c r="I133" s="110" t="n">
        <x:v>0.0006044734817810947</x:v>
      </x:c>
      <x:c r="J133" s="110" t="n">
        <x:v>0.00006566622468483835</x:v>
      </x:c>
      <x:c r="K133" s="110" t="n">
        <x:v>-0.00001710048966547494</x:v>
      </x:c>
      <x:c r="L133" s="110" t="n">
        <x:v>-0.0023880972445179402</x:v>
      </x:c>
      <x:c r="M133" s="110" t="n">
        <x:v>-0.00016493834384853035</x:v>
      </x:c>
      <x:c r="N133" s="110" t="n">
        <x:v>-0.0010292140741130734</x:v>
      </x:c>
      <x:c r="O133" s="110" t="n">
        <x:v>-0.0015738370923870008</x:v>
      </x:c>
      <x:c r="P133" s="110" t="n">
        <x:v>-0.002950958655403374</x:v>
      </x:c>
      <x:c r="Q133" s="110" t="n">
        <x:v>0.00035897646710933174</x:v>
      </x:c>
      <x:c r="R133" s="110" t="n">
        <x:v>-0.0011579192589948203</x:v>
      </x:c>
      <x:c r="S133" s="110" t="n">
        <x:v>0.0011809379476604143</x:v>
      </x:c>
      <x:c r="T133" s="110" t="n">
        <x:v>0</x:v>
      </x:c>
      <x:c r="U133" s="110" t="n">
        <x:v>-0.00562295885737448</x:v>
      </x:c>
      <x:c r="V133" s="113" t="n">
        <x:f>C133-U133</x:f>
        <x:v>0</x:v>
      </x:c>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64" t="str">
        <x:v>2015-06</x:v>
      </x:c>
      <x:c r="B134" s="110" t="n">
        <x:v>0.04998728004882125</x:v>
      </x:c>
      <x:c r="C134" s="110" t="n">
        <x:v>0.027108363799391716</x:v>
      </x:c>
      <x:c r="D134" s="110" t="n">
        <x:v>0.02287891624942953</x:v>
      </x:c>
      <x:c r="E134" s="112" t="n">
        <x:v>2562.477666666667</x:v>
      </x:c>
      <x:c r="F134" s="112" t="n">
        <x:v>2504.5165270357165</x:v>
      </x:c>
      <x:c r="G134" s="110" t="n">
        <x:v>0.004938013250958489</x:v>
      </x:c>
      <x:c r="H134" s="110" t="n">
        <x:v>0.0007748486522541603</x:v>
      </x:c>
      <x:c r="I134" s="110" t="n">
        <x:v>0.0004950415530801728</x:v>
      </x:c>
      <x:c r="J134" s="110" t="n">
        <x:v>0</x:v>
      </x:c>
      <x:c r="K134" s="110" t="n">
        <x:v>0.00010427313920628067</x:v>
      </x:c>
      <x:c r="L134" s="110" t="n">
        <x:v>0.0019521128528657023</x:v>
      </x:c>
      <x:c r="M134" s="110" t="n">
        <x:v>0.0010248137129307271</x:v>
      </x:c>
      <x:c r="N134" s="110" t="n">
        <x:v>0.0024171733734201935</x:v>
      </x:c>
      <x:c r="O134" s="110" t="n">
        <x:v>0.0010155447932746157</x:v>
      </x:c>
      <x:c r="P134" s="110" t="n">
        <x:v>0.006056712135286332</x:v>
      </x:c>
      <x:c r="Q134" s="110" t="n">
        <x:v>-0.00046848600663742764</x:v>
      </x:c>
      <x:c r="R134" s="110" t="n">
        <x:v>-0.001086360153847597</x:v>
      </x:c>
      <x:c r="S134" s="110" t="n">
        <x:v>0.009884676496600067</x:v>
      </x:c>
      <x:c r="T134" s="110" t="n">
        <x:v>0</x:v>
      </x:c>
      <x:c r="U134" s="110" t="n">
        <x:v>0.027108363799391716</x:v>
      </x:c>
      <x:c r="V134" s="113" t="n">
        <x:f>C134-U134</x:f>
        <x:v>0</x:v>
      </x:c>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64" t="str">
        <x:v>2015-07</x:v>
      </x:c>
      <x:c r="B135" s="110" t="n">
        <x:v>0.06407241895791049</x:v>
      </x:c>
      <x:c r="C135" s="110" t="n">
        <x:v>0.03385952009384134</x:v>
      </x:c>
      <x:c r="D135" s="110" t="n">
        <x:v>0.03021289886406915</x:v>
      </x:c>
      <x:c r="E135" s="112" t="n">
        <x:v>2732.035806451614</x:v>
      </x:c>
      <x:c r="F135" s="112" t="n">
        <x:v>2650.727548903843</x:v>
      </x:c>
      <x:c r="G135" s="110" t="n">
        <x:v>0.004938013250958489</x:v>
      </x:c>
      <x:c r="H135" s="110" t="n">
        <x:v>0.005270437479805651</x:v>
      </x:c>
      <x:c r="I135" s="110" t="n">
        <x:v>0.001626185170554961</x:v>
      </x:c>
      <x:c r="J135" s="110" t="n">
        <x:v>0.00006566622468483835</x:v>
      </x:c>
      <x:c r="K135" s="110" t="n">
        <x:v>-0.00004883170354469932</x:v>
      </x:c>
      <x:c r="L135" s="110" t="n">
        <x:v>0.0048519609893572955</x:v>
      </x:c>
      <x:c r="M135" s="110" t="n">
        <x:v>0.000013012102424835027</x:v>
      </x:c>
      <x:c r="N135" s="110" t="n">
        <x:v>0.0026032868449690776</x:v>
      </x:c>
      <x:c r="O135" s="110" t="n">
        <x:v>0.00018042588284305765</x:v>
      </x:c>
      <x:c r="P135" s="110" t="n">
        <x:v>0.00177816715346282</x:v>
      </x:c>
      <x:c r="Q135" s="110" t="n">
        <x:v>0.0001908877701623441</x:v>
      </x:c>
      <x:c r="R135" s="110" t="n">
        <x:v>-0.0010455232981198045</x:v>
      </x:c>
      <x:c r="S135" s="110" t="n">
        <x:v>0.01343583222628248</x:v>
      </x:c>
      <x:c r="T135" s="110" t="n">
        <x:v>0</x:v>
      </x:c>
      <x:c r="U135" s="110" t="n">
        <x:v>0.03385952009384135</x:v>
      </x:c>
      <x:c r="V135" s="113" t="n">
        <x:f>C135-U135</x:f>
        <x:v>-6.938893903907228e-18</x:v>
      </x:c>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64" t="str">
        <x:v>2015-08</x:v>
      </x:c>
      <x:c r="B136" s="110" t="n">
        <x:v>0.0977522693314068</x:v>
      </x:c>
      <x:c r="C136" s="110" t="n">
        <x:v>0.05277991032197488</x:v>
      </x:c>
      <x:c r="D136" s="110" t="n">
        <x:v>0.04497235900943192</x:v>
      </x:c>
      <x:c r="E136" s="112" t="n">
        <x:v>3012.5874193548398</x:v>
      </x:c>
      <x:c r="F136" s="112" t="n">
        <x:v>2880.1055945766543</x:v>
      </x:c>
      <x:c r="G136" s="110" t="n">
        <x:v>0.004938013250958489</x:v>
      </x:c>
      <x:c r="H136" s="110" t="n">
        <x:v>0.007141243449499604</x:v>
      </x:c>
      <x:c r="I136" s="110" t="n">
        <x:v>0.0018115193533669188</x:v>
      </x:c>
      <x:c r="J136" s="110" t="n">
        <x:v>0</x:v>
      </x:c>
      <x:c r="K136" s="110" t="n">
        <x:v>-0.00002620848211332352</x:v>
      </x:c>
      <x:c r="L136" s="110" t="n">
        <x:v>0.004543370332397045</x:v>
      </x:c>
      <x:c r="M136" s="110" t="n">
        <x:v>0.00428780100109472</x:v>
      </x:c>
      <x:c r="N136" s="110" t="n">
        <x:v>0.005121737513861103</x:v>
      </x:c>
      <x:c r="O136" s="110" t="n">
        <x:v>0.0007909048645840125</x:v>
      </x:c>
      <x:c r="P136" s="110" t="n">
        <x:v>-0.0026746122225509254</x:v>
      </x:c>
      <x:c r="Q136" s="110" t="n">
        <x:v>-0.00015764634977047208</x:v>
      </x:c>
      <x:c r="R136" s="110" t="n">
        <x:v>-0.0010608525506506014</x:v>
      </x:c>
      <x:c r="S136" s="110" t="n">
        <x:v>0.028064640161298303</x:v>
      </x:c>
      <x:c r="T136" s="110" t="n">
        <x:v>0</x:v>
      </x:c>
      <x:c r="U136" s="110" t="n">
        <x:v>0.05277991032197488</x:v>
      </x:c>
      <x:c r="V136" s="113" t="n">
        <x:f>C136-U136</x:f>
        <x:v>0</x:v>
      </x:c>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64" t="str">
        <x:v>2015-09</x:v>
      </x:c>
      <x:c r="B137" s="110" t="n">
        <x:v>0.01770752673461118</x:v>
      </x:c>
      <x:c r="C137" s="110" t="n">
        <x:v>0.02823333302794379</x:v>
      </x:c>
      <x:c r="D137" s="110" t="n">
        <x:v>-0.01052580629333261</x:v>
      </x:c>
      <x:c r="E137" s="112" t="n">
        <x:v>3066.408000000003</x:v>
      </x:c>
      <x:c r="F137" s="112" t="n">
        <x:v>3098.8548818485983</x:v>
      </x:c>
      <x:c r="G137" s="110" t="n">
        <x:v>0.004938013250958489</x:v>
      </x:c>
      <x:c r="H137" s="110" t="n">
        <x:v>-0.00029929002775518093</x:v>
      </x:c>
      <x:c r="I137" s="110" t="n">
        <x:v>0.002911446578241568</x:v>
      </x:c>
      <x:c r="J137" s="110" t="n">
        <x:v>0.00006566622468483835</x:v>
      </x:c>
      <x:c r="K137" s="110" t="n">
        <x:v>0.00009056975742612209</x:v>
      </x:c>
      <x:c r="L137" s="110" t="n">
        <x:v>0.00211747929735585</x:v>
      </x:c>
      <x:c r="M137" s="110" t="n">
        <x:v>0.003213592174190777</x:v>
      </x:c>
      <x:c r="N137" s="110" t="n">
        <x:v>0.0022807120824435484</x:v>
      </x:c>
      <x:c r="O137" s="110" t="n">
        <x:v>0.000869801545411285</x:v>
      </x:c>
      <x:c r="P137" s="110" t="n">
        <x:v>0.0023332087431278715</x:v>
      </x:c>
      <x:c r="Q137" s="110" t="n">
        <x:v>-0.00007874308715554826</x:v>
      </x:c>
      <x:c r="R137" s="110" t="n">
        <x:v>-0.0016837440329663747</x:v>
      </x:c>
      <x:c r="S137" s="110" t="n">
        <x:v>0.011474620521980543</x:v>
      </x:c>
      <x:c r="T137" s="110" t="n">
        <x:v>0</x:v>
      </x:c>
      <x:c r="U137" s="110" t="n">
        <x:v>0.02823333302794379</x:v>
      </x:c>
      <x:c r="V137" s="113" t="n">
        <x:f>C137-U137</x:f>
        <x:v>0</x:v>
      </x:c>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64" t="str">
        <x:v>2015-10</x:v>
      </x:c>
      <x:c r="B138" s="110" t="n">
        <x:v>-0.04568455389883663</x:v>
      </x:c>
      <x:c r="C138" s="110" t="n">
        <x:v>-0.010430544319841747</x:v>
      </x:c>
      <x:c r="D138" s="110" t="n">
        <x:v>-0.03525400957899488</x:v>
      </x:c>
      <x:c r="E138" s="112" t="n">
        <x:v>2929.4722580645157</x:v>
      </x:c>
      <x:c r="F138" s="112" t="n">
        <x:v>3034.589923853431</x:v>
      </x:c>
      <x:c r="G138" s="110" t="n">
        <x:v>0.004938013250958489</x:v>
      </x:c>
      <x:c r="H138" s="110" t="n">
        <x:v>0.0009989950940090119</x:v>
      </x:c>
      <x:c r="I138" s="110" t="n">
        <x:v>0.0016402270668568616</x:v>
      </x:c>
      <x:c r="J138" s="110" t="n">
        <x:v>-0.00016416556171210172</x:v>
      </x:c>
      <x:c r="K138" s="110" t="n">
        <x:v>-0.00011540878653027435</x:v>
      </x:c>
      <x:c r="L138" s="110" t="n">
        <x:v>-0.002295426006876398</x:v>
      </x:c>
      <x:c r="M138" s="110" t="n">
        <x:v>-0.005280648568415802</x:v>
      </x:c>
      <x:c r="N138" s="110" t="n">
        <x:v>-0.0012567591665368066</x:v>
      </x:c>
      <x:c r="O138" s="110" t="n">
        <x:v>-0.0001410986199146977</x:v>
      </x:c>
      <x:c r="P138" s="110" t="n">
        <x:v>-0.003810638899468449</x:v>
      </x:c>
      <x:c r="Q138" s="110" t="n">
        <x:v>0.00008361097444320097</x:v>
      </x:c>
      <x:c r="R138" s="110" t="n">
        <x:v>-0.0021646420972552104</x:v>
      </x:c>
      <x:c r="S138" s="110" t="n">
        <x:v>-0.0028626029993995693</x:v>
      </x:c>
      <x:c r="T138" s="110" t="n">
        <x:v>0</x:v>
      </x:c>
      <x:c r="U138" s="110" t="n">
        <x:v>-0.010430544319841745</x:v>
      </x:c>
      <x:c r="V138" s="113" t="n">
        <x:f>C138-U138</x:f>
        <x:v>-1.734723475976807e-18</x:v>
      </x:c>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64" t="str">
        <x:v>2015-11</x:v>
      </x:c>
      <x:c r="B139" s="110" t="n">
        <x:v>0.024248671135054245</x:v>
      </x:c>
      <x:c r="C139" s="110" t="n">
        <x:v>0.012844923676238077</x:v>
      </x:c>
      <x:c r="D139" s="110" t="n">
        <x:v>0.011403747458816168</x:v>
      </x:c>
      <x:c r="E139" s="112" t="n">
        <x:v>3001.376333333332</x:v>
      </x:c>
      <x:c r="F139" s="112" t="n">
        <x:v>2967.3438135434135</x:v>
      </x:c>
      <x:c r="G139" s="110" t="n">
        <x:v>0.004938013250958489</x:v>
      </x:c>
      <x:c r="H139" s="110" t="n">
        <x:v>0.0017746286715577444</x:v>
      </x:c>
      <x:c r="I139" s="110" t="n">
        <x:v>0.0005865895710719047</x:v>
      </x:c>
      <x:c r="J139" s="110" t="n">
        <x:v>-0.001608822504778569</x:v>
      </x:c>
      <x:c r="K139" s="110" t="n">
        <x:v>-0.00001732309103141958</x:v>
      </x:c>
      <x:c r="L139" s="110" t="n">
        <x:v>0.004314521432170485</x:v>
      </x:c>
      <x:c r="M139" s="110" t="n">
        <x:v>-0.0004974635651425678</x:v>
      </x:c>
      <x:c r="N139" s="110" t="n">
        <x:v>-0.00031501184760393086</x:v>
      </x:c>
      <x:c r="O139" s="110" t="n">
        <x:v>-0.0006100334266856312</x:v>
      </x:c>
      <x:c r="P139" s="110" t="n">
        <x:v>-0.0036621825468760786</x:v>
      </x:c>
      <x:c r="Q139" s="110" t="n">
        <x:v>0.0003185303968113483</x:v>
      </x:c>
      <x:c r="R139" s="110" t="n">
        <x:v>-0.0022972134392013435</x:v>
      </x:c>
      <x:c r="S139" s="110" t="n">
        <x:v>0.009920690774987645</x:v>
      </x:c>
      <x:c r="T139" s="110" t="n">
        <x:v>0</x:v>
      </x:c>
      <x:c r="U139" s="110" t="n">
        <x:v>0.012844923676238075</x:v>
      </x:c>
      <x:c r="V139" s="113" t="n">
        <x:f>C139-U139</x:f>
        <x:v>1.734723475976807e-18</x:v>
      </x:c>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64" t="str">
        <x:v>2015-12</x:v>
      </x:c>
      <x:c r="B140" s="110" t="n">
        <x:v>0.07779832255937968</x:v>
      </x:c>
      <x:c r="C140" s="110" t="n">
        <x:v>0.0341334409482734</x:v>
      </x:c>
      <x:c r="D140" s="110" t="n">
        <x:v>0.043664881611106286</x:v>
      </x:c>
      <x:c r="E140" s="112" t="n">
        <x:v>3244.2016129032277</x:v>
      </x:c>
      <x:c r="F140" s="112" t="n">
        <x:v>3105.5921389761106</x:v>
      </x:c>
      <x:c r="G140" s="110" t="n">
        <x:v>0.004938013250958489</x:v>
      </x:c>
      <x:c r="H140" s="110" t="n">
        <x:v>0.006144486726440662</x:v>
      </x:c>
      <x:c r="I140" s="110" t="n">
        <x:v>0.0010983394773865086</x:v>
      </x:c>
      <x:c r="J140" s="110" t="n">
        <x:v>-0.003119145672529886</x:v>
      </x:c>
      <x:c r="K140" s="110" t="n">
        <x:v>-0.00008996458541790802</x:v>
      </x:c>
      <x:c r="L140" s="110" t="n">
        <x:v>0.002606192528092409</x:v>
      </x:c>
      <x:c r="M140" s="110" t="n">
        <x:v>0.00150332865544118</x:v>
      </x:c>
      <x:c r="N140" s="110" t="n">
        <x:v>0.0050676390827395015</x:v>
      </x:c>
      <x:c r="O140" s="110" t="n">
        <x:v>0.00041826580886460525</x:v>
      </x:c>
      <x:c r="P140" s="110" t="n">
        <x:v>0.008647404422291663</x:v>
      </x:c>
      <x:c r="Q140" s="110" t="n">
        <x:v>-0.00039104583306166037</x:v>
      </x:c>
      <x:c r="R140" s="110" t="n">
        <x:v>-0.002342571123749751</x:v>
      </x:c>
      <x:c r="S140" s="110" t="n">
        <x:v>0.009652498210817586</x:v>
      </x:c>
      <x:c r="T140" s="110" t="n">
        <x:v>0</x:v>
      </x:c>
      <x:c r="U140" s="110" t="n">
        <x:v>0.03413344094827339</x:v>
      </x:c>
      <x:c r="V140" s="113" t="n">
        <x:f>C140-U140</x:f>
        <x:v>6.938893903907228e-18</x:v>
      </x:c>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64" t="str">
        <x:v>2016-01</x:v>
      </x:c>
      <x:c r="B141" s="110" t="n">
        <x:v>0.007980381681104376</x:v>
      </x:c>
      <x:c r="C141" s="110" t="n">
        <x:v>0.04429558871582621</x:v>
      </x:c>
      <x:c r="D141" s="110" t="n">
        <x:v>-0.03631520703472183</x:v>
      </x:c>
      <x:c r="E141" s="112" t="n">
        <x:v>3270.195161290325</x:v>
      </x:c>
      <x:c r="F141" s="112" t="n">
        <x:v>3391.1356744919926</x:v>
      </x:c>
      <x:c r="G141" s="110" t="n">
        <x:v>0.004938013250958489</x:v>
      </x:c>
      <x:c r="H141" s="110" t="n">
        <x:v>0.009032578836071158</x:v>
      </x:c>
      <x:c r="I141" s="110" t="n">
        <x:v>0.0007599260076720436</x:v>
      </x:c>
      <x:c r="J141" s="110" t="n">
        <x:v>-0.00160034944352892</x:v>
      </x:c>
      <x:c r="K141" s="110" t="n">
        <x:v>-0.0000173112588454394</x:v>
      </x:c>
      <x:c r="L141" s="110" t="n">
        <x:v>0.00574217105280538</x:v>
      </x:c>
      <x:c r="M141" s="110" t="n">
        <x:v>0.0038865321865730195</x:v>
      </x:c>
      <x:c r="N141" s="110" t="n">
        <x:v>0.008156282068867976</x:v>
      </x:c>
      <x:c r="O141" s="110" t="n">
        <x:v>0.00016281100083455298</x:v>
      </x:c>
      <x:c r="P141" s="110" t="n">
        <x:v>-0.004996004809425619</x:v>
      </x:c>
      <x:c r="Q141" s="110" t="n">
        <x:v>0.00008607130934875399</x:v>
      </x:c>
      <x:c r="R141" s="110" t="n">
        <x:v>-0.002334368288961967</x:v>
      </x:c>
      <x:c r="S141" s="110" t="n">
        <x:v>0.020479236803456775</x:v>
      </x:c>
      <x:c r="T141" s="110" t="n">
        <x:v>0</x:v>
      </x:c>
      <x:c r="U141" s="110" t="n">
        <x:v>0.0442955887158262</x:v>
      </x:c>
      <x:c r="V141" s="113" t="n">
        <x:f>C141-U141</x:f>
        <x:v>6.938893903907228e-18</x:v>
      </x:c>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64" t="str">
        <x:v>2016-02</x:v>
      </x:c>
      <x:c r="B142" s="110" t="n">
        <x:v>0.025589257335525417</x:v>
      </x:c>
      <x:c r="C142" s="110" t="n">
        <x:v>0.0032210366162347464</x:v>
      </x:c>
      <x:c r="D142" s="110" t="n">
        <x:v>0.02236822071929067</x:v>
      </x:c>
      <x:c r="E142" s="112" t="n">
        <x:v>3354.9568965517233</x:v>
      </x:c>
      <x:c r="F142" s="112" t="n">
        <x:v>3280.7455621390345</x:v>
      </x:c>
      <x:c r="G142" s="110" t="n">
        <x:v>0.004938013250958489</x:v>
      </x:c>
      <x:c r="H142" s="110" t="n">
        <x:v>-0.007505024568391236</x:v>
      </x:c>
      <x:c r="I142" s="110" t="n">
        <x:v>0.0008639774354524806</x:v>
      </x:c>
      <x:c r="J142" s="110" t="n">
        <x:v>-0.00040247040935869667</x:v>
      </x:c>
      <x:c r="K142" s="110" t="n">
        <x:v>-0.0000487880876458824</x:v>
      </x:c>
      <x:c r="L142" s="110" t="n">
        <x:v>-0.0022193730851317903</x:v>
      </x:c>
      <x:c r="M142" s="110" t="n">
        <x:v>-0.0007358170321052339</x:v>
      </x:c>
      <x:c r="N142" s="110" t="n">
        <x:v>0.003913644060732852</x:v>
      </x:c>
      <x:c r="O142" s="110" t="n">
        <x:v>-0.000019424944977710742</x:v>
      </x:c>
      <x:c r="P142" s="110" t="n">
        <x:v>0.00447166493481943</x:v>
      </x:c>
      <x:c r="Q142" s="110" t="n">
        <x:v>0.00004772578120049836</x:v>
      </x:c>
      <x:c r="R142" s="110" t="n">
        <x:v>-0.0024789208961098616</x:v>
      </x:c>
      <x:c r="S142" s="110" t="n">
        <x:v>0.002395830176791408</x:v>
      </x:c>
      <x:c r="T142" s="110" t="n">
        <x:v>0</x:v>
      </x:c>
      <x:c r="U142" s="110" t="n">
        <x:v>0.003221036616234747</x:v>
      </x:c>
      <x:c r="V142" s="113" t="n">
        <x:f>C142-U142</x:f>
        <x:v>-4.336808689942018e-19</x:v>
      </x:c>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64" t="str">
        <x:v>2016-03</x:v>
      </x:c>
      <x:c r="B143" s="110" t="n">
        <x:v>-0.06979288377736026</x:v>
      </x:c>
      <x:c r="C143" s="110" t="n">
        <x:v>-0.060204900584055414</x:v>
      </x:c>
      <x:c r="D143" s="110" t="n">
        <x:v>-0.009587983193304846</x:v>
      </x:c>
      <x:c r="E143" s="112" t="n">
        <x:v>3128.789032258063</x:v>
      </x:c>
      <x:c r="F143" s="112" t="n">
        <x:v>3158.9320835301583</x:v>
      </x:c>
      <x:c r="G143" s="110" t="n">
        <x:v>0.004938013250958489</x:v>
      </x:c>
      <x:c r="H143" s="110" t="n">
        <x:v>-0.008262147755641328</x:v>
      </x:c>
      <x:c r="I143" s="110" t="n">
        <x:v>0.0012630503910702063</x:v>
      </x:c>
      <x:c r="J143" s="110" t="n">
        <x:v>-0.001831861233449493</x:v>
      </x:c>
      <x:c r="K143" s="110" t="n">
        <x:v>-0.00015059826036868402</x:v>
      </x:c>
      <x:c r="L143" s="110" t="n">
        <x:v>-0.005646438906578339</x:v>
      </x:c>
      <x:c r="M143" s="110" t="n">
        <x:v>-0.004972905278509666</x:v>
      </x:c>
      <x:c r="N143" s="110" t="n">
        <x:v>-0.012743640312522134</x:v>
      </x:c>
      <x:c r="O143" s="110" t="n">
        <x:v>-0.0007021970000543153</x:v>
      </x:c>
      <x:c r="P143" s="110" t="n">
        <x:v>0.0004851165150120872</x:v>
      </x:c>
      <x:c r="Q143" s="110" t="n">
        <x:v>0.00001238486254631599</x:v>
      </x:c>
      <x:c r="R143" s="110" t="n">
        <x:v>-0.0025832564581691887</x:v>
      </x:c>
      <x:c r="S143" s="110" t="n">
        <x:v>-0.03001042039834936</x:v>
      </x:c>
      <x:c r="T143" s="110" t="n">
        <x:v>0</x:v>
      </x:c>
      <x:c r="U143" s="110" t="n">
        <x:v>-0.06020490058405541</x:v>
      </x:c>
      <x:c r="V143" s="113" t="n">
        <x:f>C143-U143</x:f>
        <x:v>-6.938893903907228e-18</x:v>
      </x:c>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64" t="str">
        <x:v>2016-04</x:v>
      </x:c>
      <x:c r="B144" s="110" t="n">
        <x:v>-0.04279170421119716</x:v>
      </x:c>
      <x:c r="C144" s="110" t="n">
        <x:v>-0.03701419331841768</x:v>
      </x:c>
      <x:c r="D144" s="110" t="n">
        <x:v>-0.005777510892779475</x:v>
      </x:c>
      <x:c r="E144" s="112" t="n">
        <x:v>2997.727000000002</x:v>
      </x:c>
      <x:c r="F144" s="112" t="n">
        <x:v>3015.0965284001677</x:v>
      </x:c>
      <x:c r="G144" s="110" t="n">
        <x:v>0.004938013250958489</x:v>
      </x:c>
      <x:c r="H144" s="110" t="n">
        <x:v>-0.001811268649287722</x:v>
      </x:c>
      <x:c r="I144" s="110" t="n">
        <x:v>-0.000295335317979082</x:v>
      </x:c>
      <x:c r="J144" s="110" t="n">
        <x:v>-0.0018496838795263612</x:v>
      </x:c>
      <x:c r="K144" s="110" t="n">
        <x:v>0.0000805428487668571</x:v>
      </x:c>
      <x:c r="L144" s="110" t="n">
        <x:v>-0.0045211076290163</x:v>
      </x:c>
      <x:c r="M144" s="110" t="n">
        <x:v>-0.0014560683051122565</x:v>
      </x:c>
      <x:c r="N144" s="110" t="n">
        <x:v>-0.003417322407768413</x:v>
      </x:c>
      <x:c r="O144" s="110" t="n">
        <x:v>-0.0022793211548148076</x:v>
      </x:c>
      <x:c r="P144" s="110" t="n">
        <x:v>-0.005268760926537212</x:v>
      </x:c>
      <x:c r="Q144" s="110" t="n">
        <x:v>0.0003295336790990378</x:v>
      </x:c>
      <x:c r="R144" s="110" t="n">
        <x:v>-0.0020676516018314846</x:v>
      </x:c>
      <x:c r="S144" s="110" t="n">
        <x:v>-0.01939576322536842</x:v>
      </x:c>
      <x:c r="T144" s="110" t="n">
        <x:v>0</x:v>
      </x:c>
      <x:c r="U144" s="110" t="n">
        <x:v>-0.03701419331841768</x:v>
      </x:c>
      <x:c r="V144" s="113" t="n">
        <x:f>C144-U144</x:f>
        <x:v>0</x:v>
      </x:c>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64" t="str">
        <x:v>2016-05</x:v>
      </x:c>
      <x:c r="B145" s="110" t="n">
        <x:v>-0.0014082616782200574</x:v>
      </x:c>
      <x:c r="C145" s="110" t="n">
        <x:v>0.014264401190000742</x:v>
      </x:c>
      <x:c r="D145" s="110" t="n">
        <x:v>-0.015672662868220798</x:v>
      </x:c>
      <x:c r="E145" s="112" t="n">
        <x:v>2993.5083870967765</x:v>
      </x:c>
      <x:c r="F145" s="112" t="n">
        <x:v>3040.794214348596</x:v>
      </x:c>
      <x:c r="G145" s="110" t="n">
        <x:v>0.004938013250958489</x:v>
      </x:c>
      <x:c r="H145" s="110" t="n">
        <x:v>-0.0053448499990409746</x:v>
      </x:c>
      <x:c r="I145" s="110" t="n">
        <x:v>0.0006560436610503616</x:v>
      </x:c>
      <x:c r="J145" s="110" t="n">
        <x:v>-0.0010464230643326066</x:v>
      </x:c>
      <x:c r="K145" s="110" t="n">
        <x:v>-0.000157377064125889</x:v>
      </x:c>
      <x:c r="L145" s="110" t="n">
        <x:v>0.0027161737021874264</x:v>
      </x:c>
      <x:c r="M145" s="110" t="n">
        <x:v>0.0005367098075747043</x:v>
      </x:c>
      <x:c r="N145" s="110" t="n">
        <x:v>0.0006711264936948251</x:v>
      </x:c>
      <x:c r="O145" s="110" t="n">
        <x:v>-0.0004106904010545087</x:v>
      </x:c>
      <x:c r="P145" s="110" t="n">
        <x:v>0.004590284552705161</x:v>
      </x:c>
      <x:c r="Q145" s="110" t="n">
        <x:v>-0.0002850945738555721</x:v>
      </x:c>
      <x:c r="R145" s="110" t="n">
        <x:v>-0.0020592302623496286</x:v>
      </x:c>
      <x:c r="S145" s="110" t="n">
        <x:v>0.009459715086588954</x:v>
      </x:c>
      <x:c r="T145" s="110" t="n">
        <x:v>0</x:v>
      </x:c>
      <x:c r="U145" s="110" t="n">
        <x:v>0.014264401190000742</x:v>
      </x:c>
      <x:c r="V145" s="113" t="n">
        <x:f>C145-U145</x:f>
        <x:v>0</x:v>
      </x:c>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64" t="str">
        <x:v>2016-06</x:v>
      </x:c>
      <x:c r="B146" s="110" t="n">
        <x:v>-0.00021706668730026024</x:v>
      </x:c>
      <x:c r="C146" s="110" t="n">
        <x:v>0.0037666653775996635</x:v>
      </x:c>
      <x:c r="D146" s="110" t="n">
        <x:v>-0.003983732064899924</x:v>
      </x:c>
      <x:c r="E146" s="112" t="n">
        <x:v>2992.8586666666656</x:v>
      </x:c>
      <x:c r="F146" s="112" t="n">
        <x:v>3004.8051937849514</x:v>
      </x:c>
      <x:c r="G146" s="110" t="n">
        <x:v>0.004938013250958489</x:v>
      </x:c>
      <x:c r="H146" s="110" t="n">
        <x:v>-0.0018171422957508662</x:v>
      </x:c>
      <x:c r="I146" s="110" t="n">
        <x:v>0.0009792291768593744</x:v>
      </x:c>
      <x:c r="J146" s="110" t="n">
        <x:v>-0.003230354601431635</x:v>
      </x:c>
      <x:c r="K146" s="110" t="n">
        <x:v>-0.00003337554689745531</x:v>
      </x:c>
      <x:c r="L146" s="110" t="n">
        <x:v>0.0010062772302573554</x:v>
      </x:c>
      <x:c r="M146" s="110" t="n">
        <x:v>0.0025430408302801674</x:v>
      </x:c>
      <x:c r="N146" s="110" t="n">
        <x:v>-0.0015882121335355174</x:v>
      </x:c>
      <x:c r="O146" s="110" t="n">
        <x:v>-0.0014420602017168203</x:v>
      </x:c>
      <x:c r="P146" s="110" t="n">
        <x:v>0.00825901512858142</x:v>
      </x:c>
      <x:c r="Q146" s="110" t="n">
        <x:v>-0.00017245192894646815</x:v>
      </x:c>
      <x:c r="R146" s="110" t="n">
        <x:v>-0.0019689596013809786</x:v>
      </x:c>
      <x:c r="S146" s="110" t="n">
        <x:v>-0.0037063539296773988</x:v>
      </x:c>
      <x:c r="T146" s="110" t="n">
        <x:v>0</x:v>
      </x:c>
      <x:c r="U146" s="110" t="n">
        <x:v>0.0037666653775996653</x:v>
      </x:c>
      <x:c r="V146" s="113" t="n">
        <x:f>C146-U146</x:f>
        <x:v>-1.734723475976807e-18</x:v>
      </x:c>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64" t="str">
        <x:v>2016-07</x:v>
      </x:c>
      <x:c r="B147" s="110" t="n">
        <x:v>-0.010702066285164236</x:v>
      </x:c>
      <x:c r="C147" s="110" t="n">
        <x:v>-0.021007856211283454</x:v>
      </x:c>
      <x:c r="D147" s="110" t="n">
        <x:v>0.010305789926119219</x:v>
      </x:c>
      <x:c r="E147" s="112" t="n">
        <x:v>2960.999677419356</x:v>
      </x:c>
      <x:c r="F147" s="112" t="n">
        <x:v>2930.640940851199</x:v>
      </x:c>
      <x:c r="G147" s="110" t="n">
        <x:v>0.004938013250958489</x:v>
      </x:c>
      <x:c r="H147" s="110" t="n">
        <x:v>0.0028135520982489593</x:v>
      </x:c>
      <x:c r="I147" s="110" t="n">
        <x:v>0.00010046709962586172</x:v>
      </x:c>
      <x:c r="J147" s="110" t="n">
        <x:v>-0.002066720856478772</x:v>
      </x:c>
      <x:c r="K147" s="110" t="n">
        <x:v>0.000022535492831430803</x:v>
      </x:c>
      <x:c r="L147" s="110" t="n">
        <x:v>0.0021901428415390415</x:v>
      </x:c>
      <x:c r="M147" s="110" t="n">
        <x:v>-0.004258334139849846</x:v>
      </x:c>
      <x:c r="N147" s="110" t="n">
        <x:v>-0.004703804258845859</x:v>
      </x:c>
      <x:c r="O147" s="110" t="n">
        <x:v>0.003063549438763868</x:v>
      </x:c>
      <x:c r="P147" s="110" t="n">
        <x:v>-0.007784233601872632</x:v>
      </x:c>
      <x:c r="Q147" s="110" t="n">
        <x:v>-0.0001991454129588296</x:v>
      </x:c>
      <x:c r="R147" s="110" t="n">
        <x:v>-0.0018470424494815322</x:v>
      </x:c>
      <x:c r="S147" s="110" t="n">
        <x:v>-0.013276835713763634</x:v>
      </x:c>
      <x:c r="T147" s="110" t="n">
        <x:v>0</x:v>
      </x:c>
      <x:c r="U147" s="110" t="n">
        <x:v>-0.021007856211283454</x:v>
      </x:c>
      <x:c r="V147" s="113" t="n">
        <x:f>C147-U147</x:f>
        <x:v>0</x:v>
      </x:c>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64" t="str">
        <x:v>2016-08</x:v>
      </x:c>
      <x:c r="B148" s="110" t="n">
        <x:v>-0.0027843198110462097</x:v>
      </x:c>
      <x:c r="C148" s="110" t="n">
        <x:v>-0.0014198984771107645</x:v>
      </x:c>
      <x:c r="D148" s="110" t="n">
        <x:v>-0.0013644213339354453</x:v>
      </x:c>
      <x:c r="E148" s="112" t="n">
        <x:v>2952.7667741935475</x:v>
      </x:c>
      <x:c r="F148" s="112" t="n">
        <x:v>2956.7983419274597</x:v>
      </x:c>
      <x:c r="G148" s="110" t="n">
        <x:v>0.004938013250958489</x:v>
      </x:c>
      <x:c r="H148" s="110" t="n">
        <x:v>-0.0013538225465234393</x:v>
      </x:c>
      <x:c r="I148" s="110" t="n">
        <x:v>-0.0008150712282171653</x:v>
      </x:c>
      <x:c r="J148" s="110" t="n">
        <x:v>-0.0011382145612038922</x:v>
      </x:c>
      <x:c r="K148" s="110" t="n">
        <x:v>-0.0001956546838753395</x:v>
      </x:c>
      <x:c r="L148" s="110" t="n">
        <x:v>-0.0024808896403738317</x:v>
      </x:c>
      <x:c r="M148" s="110" t="n">
        <x:v>-0.0008412813407165286</x:v>
      </x:c>
      <x:c r="N148" s="110" t="n">
        <x:v>-0.002381903598162003</x:v>
      </x:c>
      <x:c r="O148" s="110" t="n">
        <x:v>-0.00040103850047707714</x:v>
      </x:c>
      <x:c r="P148" s="110" t="n">
        <x:v>0.005210344372898025</x:v>
      </x:c>
      <x:c r="Q148" s="110" t="n">
        <x:v>0.00026787372072835765</x:v>
      </x:c>
      <x:c r="R148" s="110" t="n">
        <x:v>-0.0018799815301121078</x:v>
      </x:c>
      <x:c r="S148" s="110" t="n">
        <x:v>-0.00034827219203425205</x:v>
      </x:c>
      <x:c r="T148" s="110" t="n">
        <x:v>0</x:v>
      </x:c>
      <x:c r="U148" s="110" t="n">
        <x:v>-0.0014198984771107651</x:v>
      </x:c>
      <x:c r="V148" s="113" t="n">
        <x:f>C148-U148</x:f>
        <x:v>6.505213034913027e-19</x:v>
      </x:c>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64" t="str">
        <x:v>2016-09</x:v>
      </x:c>
      <x:c r="B149" s="110" t="n">
        <x:v>-0.009699339320595968</x:v>
      </x:c>
      <x:c r="C149" s="110" t="n">
        <x:v>0.007314705018669661</x:v>
      </x:c>
      <x:c r="D149" s="110" t="n">
        <x:v>-0.01701404433926563</x:v>
      </x:c>
      <x:c r="E149" s="112" t="n">
        <x:v>2924.265333333333</x:v>
      </x:c>
      <x:c r="F149" s="112" t="n">
        <x:v>2974.444578853308</x:v>
      </x:c>
      <x:c r="G149" s="110" t="n">
        <x:v>0.004938013250958489</x:v>
      </x:c>
      <x:c r="H149" s="110" t="n">
        <x:v>-0.00043902108172915637</x:v>
      </x:c>
      <x:c r="I149" s="110" t="n">
        <x:v>-0.0006821740047963674</x:v>
      </x:c>
      <x:c r="J149" s="110" t="n">
        <x:v>-0.0015759893924361498</x:v>
      </x:c>
      <x:c r="K149" s="110" t="n">
        <x:v>-0.0001390296499624224</x:v>
      </x:c>
      <x:c r="L149" s="110" t="n">
        <x:v>0.0020992952341653747</x:v>
      </x:c>
      <x:c r="M149" s="110" t="n">
        <x:v>0.0019394718219393696</x:v>
      </x:c>
      <x:c r="N149" s="110" t="n">
        <x:v>-0.0004065102511922685</x:v>
      </x:c>
      <x:c r="O149" s="110" t="n">
        <x:v>0.0003315398091409949</x:v>
      </x:c>
      <x:c r="P149" s="110" t="n">
        <x:v>-0.008941202088533896</x:v>
      </x:c>
      <x:c r="Q149" s="110" t="n">
        <x:v>0.00003848433154874739</x:v>
      </x:c>
      <x:c r="R149" s="110" t="n">
        <x:v>-0.001780887926199394</x:v>
      </x:c>
      <x:c r="S149" s="110" t="n">
        <x:v>0.01193271496576634</x:v>
      </x:c>
      <x:c r="T149" s="110" t="n">
        <x:v>0</x:v>
      </x:c>
      <x:c r="U149" s="110" t="n">
        <x:v>0.007314705018669662</x:v>
      </x:c>
      <x:c r="V149" s="113" t="n">
        <x:f>C149-U149</x:f>
        <x:v>-8.673617379884035e-19</x:v>
      </x:c>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64" t="str">
        <x:v>2016-10</x:v>
      </x:c>
      <x:c r="B150" s="110" t="n">
        <x:v>0.0017504887083177323</x:v>
      </x:c>
      <x:c r="C150" s="110" t="n">
        <x:v>-0.00042956114255393623</x:v>
      </x:c>
      <x:c r="D150" s="110" t="n">
        <x:v>0.0021800498508716686</x:v>
      </x:c>
      <x:c r="E150" s="112" t="n">
        <x:v>2929.388709677419</x:v>
      </x:c>
      <x:c r="F150" s="112" t="n">
        <x:v>2923.009452333765</x:v>
      </x:c>
      <x:c r="G150" s="110" t="n">
        <x:v>0.004938013250958489</x:v>
      </x:c>
      <x:c r="H150" s="110" t="n">
        <x:v>-0.0037305077722981275</x:v>
      </x:c>
      <x:c r="I150" s="110" t="n">
        <x:v>-0.0005415467970677411</x:v>
      </x:c>
      <x:c r="J150" s="110" t="n">
        <x:v>0</x:v>
      </x:c>
      <x:c r="K150" s="110" t="n">
        <x:v>-0.00007566147254377656</x:v>
      </x:c>
      <x:c r="L150" s="110" t="n">
        <x:v>0.002741880830519446</x:v>
      </x:c>
      <x:c r="M150" s="110" t="n">
        <x:v>0.00035961520710101974</x:v>
      </x:c>
      <x:c r="N150" s="110" t="n">
        <x:v>-0.0003439482177387419</x:v>
      </x:c>
      <x:c r="O150" s="110" t="n">
        <x:v>-0.00042160649470365926</x:v>
      </x:c>
      <x:c r="P150" s="110" t="n">
        <x:v>0.004118750913174086</x:v>
      </x:c>
      <x:c r="Q150" s="110" t="n">
        <x:v>-0.00009981612782220111</x:v>
      </x:c>
      <x:c r="R150" s="110" t="n">
        <x:v>-0.0014194209123805834</x:v>
      </x:c>
      <x:c r="S150" s="110" t="n">
        <x:v>-0.005955313549752146</x:v>
      </x:c>
      <x:c r="T150" s="110" t="n">
        <x:v>0</x:v>
      </x:c>
      <x:c r="U150" s="110" t="n">
        <x:v>-0.00042956114255393585</x:v>
      </x:c>
      <x:c r="V150" s="113" t="n">
        <x:f>C150-U150</x:f>
        <x:v>-3.7947076036992655e-19</x:v>
      </x:c>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64" t="str">
        <x:v>2016-11</x:v>
      </x:c>
      <x:c r="B151" s="110" t="n">
        <x:v>0.05991212554114522</x:v>
      </x:c>
      <x:c r="C151" s="110" t="n">
        <x:v>0.03855213835949231</x:v>
      </x:c>
      <x:c r="D151" s="110" t="n">
        <x:v>0.021359987181652912</x:v>
      </x:c>
      <x:c r="E151" s="112" t="n">
        <x:v>3110.258666666669</x:v>
      </x:c>
      <x:c r="F151" s="112" t="n">
        <x:v>3044.5280827375127</x:v>
      </x:c>
      <x:c r="G151" s="110" t="n">
        <x:v>0.004938013250958489</x:v>
      </x:c>
      <x:c r="H151" s="110" t="n">
        <x:v>0.001981740402695452</x:v>
      </x:c>
      <x:c r="I151" s="110" t="n">
        <x:v>0.0004738671374679992</x:v>
      </x:c>
      <x:c r="J151" s="110" t="n">
        <x:v>0</x:v>
      </x:c>
      <x:c r="K151" s="110" t="n">
        <x:v>-0.00005408327723867382</x:v>
      </x:c>
      <x:c r="L151" s="110" t="n">
        <x:v>0.006132089476307224</x:v>
      </x:c>
      <x:c r="M151" s="110" t="n">
        <x:v>0.0006183392897688837</x:v>
      </x:c>
      <x:c r="N151" s="110" t="n">
        <x:v>0.0034306039729142786</x:v>
      </x:c>
      <x:c r="O151" s="110" t="n">
        <x:v>0.0008476657501147876</x:v>
      </x:c>
      <x:c r="P151" s="110" t="n">
        <x:v>0.006665802769901469</x:v>
      </x:c>
      <x:c r="Q151" s="110" t="n">
        <x:v>-0.00023747033689006938</x:v>
      </x:c>
      <x:c r="R151" s="110" t="n">
        <x:v>-0.0014560997937137037</x:v>
      </x:c>
      <x:c r="S151" s="110" t="n">
        <x:v>0.015211669717206177</x:v>
      </x:c>
      <x:c r="T151" s="110" t="n">
        <x:v>0</x:v>
      </x:c>
      <x:c r="U151" s="110" t="n">
        <x:v>0.03855213835949231</x:v>
      </x:c>
      <x:c r="V151" s="113" t="n">
        <x:f>C151-U151</x:f>
        <x:v>0</x:v>
      </x:c>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64" t="str">
        <x:v>2016-12</x:v>
      </x:c>
      <x:c r="B152" s="110" t="n">
        <x:v>-0.032811043148162966</x:v>
      </x:c>
      <x:c r="C152" s="110" t="n">
        <x:v>0.0002781778682686275</x:v>
      </x:c>
      <x:c r="D152" s="110" t="n">
        <x:v>-0.033089221016431594</x:v>
      </x:c>
      <x:c r="E152" s="112" t="n">
        <x:v>3009.863870967741</x:v>
      </x:c>
      <x:c r="F152" s="112" t="n">
        <x:v>3111.1239921439465</x:v>
      </x:c>
      <x:c r="G152" s="110" t="n">
        <x:v>0.004938013250958489</x:v>
      </x:c>
      <x:c r="H152" s="110" t="n">
        <x:v>-0.0049025725094794075</x:v>
      </x:c>
      <x:c r="I152" s="110" t="n">
        <x:v>0.0011032865236735197</x:v>
      </x:c>
      <x:c r="J152" s="110" t="n">
        <x:v>0.00006566622468483835</x:v>
      </x:c>
      <x:c r="K152" s="110" t="n">
        <x:v>-0.00012022613374226159</x:v>
      </x:c>
      <x:c r="L152" s="110" t="n">
        <x:v>0.0041067676755039756</x:v>
      </x:c>
      <x:c r="M152" s="110" t="n">
        <x:v>-0.0028345073705166144</x:v>
      </x:c>
      <x:c r="N152" s="110" t="n">
        <x:v>-0.003666698447423287</x:v>
      </x:c>
      <x:c r="O152" s="110" t="n">
        <x:v>0.0013653578854916808</x:v>
      </x:c>
      <x:c r="P152" s="110" t="n">
        <x:v>0.0002301377811331491</x:v>
      </x:c>
      <x:c r="Q152" s="110" t="n">
        <x:v>-0.00008926844035869818</x:v>
      </x:c>
      <x:c r="R152" s="110" t="n">
        <x:v>-0.0015546362593950112</x:v>
      </x:c>
      <x:c r="S152" s="110" t="n">
        <x:v>0.0016368576877382548</x:v>
      </x:c>
      <x:c r="T152" s="110" t="n">
        <x:v>0</x:v>
      </x:c>
      <x:c r="U152" s="110" t="n">
        <x:v>0.00027817786826862746</x:v>
      </x:c>
      <x:c r="V152" s="113" t="n">
        <x:f>C152-U152</x:f>
        <x:v>5.421010862427522e-20</x:v>
      </x:c>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64" t="str">
        <x:v>2017-01</x:v>
      </x:c>
      <x:c r="B153" s="110" t="n">
        <x:v>-0.023009413000080414</x:v>
      </x:c>
      <x:c r="C153" s="110" t="n">
        <x:v>-0.02026667223843177</x:v>
      </x:c>
      <x:c r="D153" s="110" t="n">
        <x:v>-0.002742740761648644</x:v>
      </x:c>
      <x:c r="E153" s="112" t="n">
        <x:v>2941.3993548387107</x:v>
      </x:c>
      <x:c r="F153" s="112" t="n">
        <x:v>2949.4779243921816</x:v>
      </x:c>
      <x:c r="G153" s="110" t="n">
        <x:v>0.004938013250958489</x:v>
      </x:c>
      <x:c r="H153" s="110" t="n">
        <x:v>-0.004491890065778886</x:v>
      </x:c>
      <x:c r="I153" s="110" t="n">
        <x:v>-0.00041672027757444307</x:v>
      </x:c>
      <x:c r="J153" s="110" t="n">
        <x:v>0.0015420971474375245</x:v>
      </x:c>
      <x:c r="K153" s="110" t="n">
        <x:v>0.0003575221515839258</x:v>
      </x:c>
      <x:c r="L153" s="110" t="n">
        <x:v>-0.0002700799204304487</x:v>
      </x:c>
      <x:c r="M153" s="110" t="n">
        <x:v>-0.0010164944533070303</x:v>
      </x:c>
      <x:c r="N153" s="110" t="n">
        <x:v>-0.0024720867121987506</x:v>
      </x:c>
      <x:c r="O153" s="110" t="n">
        <x:v>0.0004134527883258567</x:v>
      </x:c>
      <x:c r="P153" s="110" t="n">
        <x:v>-0.010364497256871413</x:v>
      </x:c>
      <x:c r="Q153" s="110" t="n">
        <x:v>0.0003672963640714725</x:v>
      </x:c>
      <x:c r="R153" s="110" t="n">
        <x:v>-0.0013435774736392124</x:v>
      </x:c>
      <x:c r="S153" s="110" t="n">
        <x:v>-0.007509707781008855</x:v>
      </x:c>
      <x:c r="T153" s="110" t="n">
        <x:v>0</x:v>
      </x:c>
      <x:c r="U153" s="110" t="n">
        <x:v>-0.02026667223843177</x:v>
      </x:c>
      <x:c r="V153" s="113" t="n">
        <x:f>C153-U153</x:f>
        <x:v>0</x:v>
      </x:c>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64" t="str">
        <x:v>2017-02</x:v>
      </x:c>
      <x:c r="B154" s="110" t="n">
        <x:v>-0.021245577939480675</x:v>
      </x:c>
      <x:c r="C154" s="110" t="n">
        <x:v>-0.024093242512094794</x:v>
      </x:c>
      <x:c r="D154" s="110" t="n">
        <x:v>0.002847664572614119</x:v>
      </x:c>
      <x:c r="E154" s="112" t="n">
        <x:v>2879.5667857142857</x:v>
      </x:c>
      <x:c r="F154" s="112" t="n">
        <x:v>2871.378409801555</x:v>
      </x:c>
      <x:c r="G154" s="110" t="n">
        <x:v>0.004938013250958489</x:v>
      </x:c>
      <x:c r="H154" s="110" t="n">
        <x:v>0.0007860333973742484</x:v>
      </x:c>
      <x:c r="I154" s="110" t="n">
        <x:v>0.0003769529891923584</x:v>
      </x:c>
      <x:c r="J154" s="110" t="n">
        <x:v>0.0016755478621196251</x:v>
      </x:c>
      <x:c r="K154" s="110" t="n">
        <x:v>0.000025745720879468168</x:v>
      </x:c>
      <x:c r="L154" s="110" t="n">
        <x:v>-0.0038070447936653104</x:v>
      </x:c>
      <x:c r="M154" s="110" t="n">
        <x:v>-0.0000954424753696649</x:v>
      </x:c>
      <x:c r="N154" s="110" t="n">
        <x:v>-0.0018554460881782268</x:v>
      </x:c>
      <x:c r="O154" s="110" t="n">
        <x:v>-0.0018712433151538614</x:v>
      </x:c>
      <x:c r="P154" s="110" t="n">
        <x:v>0.0005625123383590147</x:v>
      </x:c>
      <x:c r="Q154" s="110" t="n">
        <x:v>0.00028609464515263577</x:v>
      </x:c>
      <x:c r="R154" s="110" t="n">
        <x:v>-0.0013018333765055126</x:v>
      </x:c>
      <x:c r="S154" s="110" t="n">
        <x:v>-0.023813132667258055</x:v>
      </x:c>
      <x:c r="T154" s="110" t="n">
        <x:v>0</x:v>
      </x:c>
      <x:c r="U154" s="110" t="n">
        <x:v>-0.02409324251209479</x:v>
      </x:c>
      <x:c r="V154" s="113" t="n">
        <x:f>C154-U154</x:f>
        <x:v>-3.469446951953614e-18</x:v>
      </x:c>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64" t="str">
        <x:v>2017-03</x:v>
      </x:c>
      <x:c r="B155" s="110" t="n">
        <x:v>0.021547012882831673</x:v>
      </x:c>
      <x:c r="C155" s="110" t="n">
        <x:v>0.008580987068843426</x:v>
      </x:c>
      <x:c r="D155" s="110" t="n">
        <x:v>0.012966025813988247</x:v>
      </x:c>
      <x:c r="E155" s="112" t="n">
        <x:v>2942.286129032259</x:v>
      </x:c>
      <x:c r="F155" s="112" t="n">
        <x:v>2904.382631017588</x:v>
      </x:c>
      <x:c r="G155" s="110" t="n">
        <x:v>0.004938013250958489</x:v>
      </x:c>
      <x:c r="H155" s="110" t="n">
        <x:v>0.0025675519898989414</x:v>
      </x:c>
      <x:c r="I155" s="110" t="n">
        <x:v>-0.0008131585399402762</x:v>
      </x:c>
      <x:c r="J155" s="110" t="n">
        <x:v>0.0001829273401934833</x:v>
      </x:c>
      <x:c r="K155" s="110" t="n">
        <x:v>-0.00004873274986585679</x:v>
      </x:c>
      <x:c r="L155" s="110" t="n">
        <x:v>-0.0010716743516669457</x:v>
      </x:c>
      <x:c r="M155" s="110" t="n">
        <x:v>0.0004440701391445711</x:v>
      </x:c>
      <x:c r="N155" s="110" t="n">
        <x:v>-0.000617241082294076</x:v>
      </x:c>
      <x:c r="O155" s="110" t="n">
        <x:v>-0.00002424266134005746</x:v>
      </x:c>
      <x:c r="P155" s="110" t="n">
        <x:v>0.007491354751244532</x:v>
      </x:c>
      <x:c r="Q155" s="110" t="n">
        <x:v>-0.000320430367744651</x:v>
      </x:c>
      <x:c r="R155" s="110" t="n">
        <x:v>-0.0012596497344539268</x:v>
      </x:c>
      <x:c r="S155" s="110" t="n">
        <x:v>-0.0028878009152908013</x:v>
      </x:c>
      <x:c r="T155" s="110" t="n">
        <x:v>0</x:v>
      </x:c>
      <x:c r="U155" s="110" t="n">
        <x:v>0.008580987068843426</x:v>
      </x:c>
      <x:c r="V155" s="113" t="n">
        <x:f>C155-U155</x:f>
        <x:v>0</x:v>
      </x:c>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64" t="str">
        <x:v>2017-04</x:v>
      </x:c>
      <x:c r="B156" s="110" t="n">
        <x:v>-0.022153231871005374</x:v>
      </x:c>
      <x:c r="C156" s="110" t="n">
        <x:v>-0.003133396604948358</x:v>
      </x:c>
      <x:c r="D156" s="110" t="n">
        <x:v>-0.019019835266057016</x:v>
      </x:c>
      <x:c r="E156" s="112" t="n">
        <x:v>2877.8216666666676</x:v>
      </x:c>
      <x:c r="F156" s="112" t="n">
        <x:v>2933.0812085293815</x:v>
      </x:c>
      <x:c r="G156" s="110" t="n">
        <x:v>0.004938013250958489</x:v>
      </x:c>
      <x:c r="H156" s="110" t="n">
        <x:v>-0.00035779675056103174</x:v>
      </x:c>
      <x:c r="I156" s="110" t="n">
        <x:v>0.0008903255468797849</x:v>
      </x:c>
      <x:c r="J156" s="110" t="n">
        <x:v>0.002642838586567037</x:v>
      </x:c>
      <x:c r="K156" s="110" t="n">
        <x:v>-0.00005437302612466979</x:v>
      </x:c>
      <x:c r="L156" s="110" t="n">
        <x:v>-0.0020560679129180653</x:v>
      </x:c>
      <x:c r="M156" s="110" t="n">
        <x:v>0.0014023339624613714</x:v>
      </x:c>
      <x:c r="N156" s="110" t="n">
        <x:v>0.00024504702143509895</x:v>
      </x:c>
      <x:c r="O156" s="110" t="n">
        <x:v>0.0003276018287385278</x:v>
      </x:c>
      <x:c r="P156" s="110" t="n">
        <x:v>-0.002391927755425162</x:v>
      </x:c>
      <x:c r="Q156" s="110" t="n">
        <x:v>-0.00005489215493982069</x:v>
      </x:c>
      <x:c r="R156" s="110" t="n">
        <x:v>-0.0009783219735630887</x:v>
      </x:c>
      <x:c r="S156" s="110" t="n">
        <x:v>-0.00768617722845683</x:v>
      </x:c>
      <x:c r="T156" s="110" t="n">
        <x:v>0</x:v>
      </x:c>
      <x:c r="U156" s="110" t="n">
        <x:v>-0.003133396604948358</x:v>
      </x:c>
      <x:c r="V156" s="113" t="n">
        <x:f>C156-U156</x:f>
        <x:v>0</x:v>
      </x:c>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64" t="str">
        <x:v>2017-05</x:v>
      </x:c>
      <x:c r="B157" s="110" t="n">
        <x:v>0.015786504867811857</x:v>
      </x:c>
      <x:c r="C157" s="110" t="n">
        <x:v>0.015350323443961526</x:v>
      </x:c>
      <x:c r="D157" s="110" t="n">
        <x:v>0.0004361814238503306</x:v>
      </x:c>
      <x:c r="E157" s="112" t="n">
        <x:v>2923.612903225806</x:v>
      </x:c>
      <x:c r="F157" s="112" t="n">
        <x:v>2922.337955661324</x:v>
      </x:c>
      <x:c r="G157" s="110" t="n">
        <x:v>0.004938013250958489</x:v>
      </x:c>
      <x:c r="H157" s="110" t="n">
        <x:v>0.000883427747526588</x:v>
      </x:c>
      <x:c r="I157" s="110" t="n">
        <x:v>0.000025933699586660724</x:v>
      </x:c>
      <x:c r="J157" s="110" t="n">
        <x:v>0.0020992009246024617</x:v>
      </x:c>
      <x:c r="K157" s="110" t="n">
        <x:v>0.00011242939037589535</x:v>
      </x:c>
      <x:c r="L157" s="110" t="n">
        <x:v>-0.0011922063649527235</x:v>
      </x:c>
      <x:c r="M157" s="110" t="n">
        <x:v>-0.0026918755870061666</x:v>
      </x:c>
      <x:c r="N157" s="110" t="n">
        <x:v>-0.00032430751354348765</x:v>
      </x:c>
      <x:c r="O157" s="110" t="n">
        <x:v>-0.00002481582073465988</x:v>
      </x:c>
      <x:c r="P157" s="110" t="n">
        <x:v>0.004909972725513362</x:v>
      </x:c>
      <x:c r="Q157" s="110" t="n">
        <x:v>-0.0000830538372733211</x:v>
      </x:c>
      <x:c r="R157" s="110" t="n">
        <x:v>-0.0009027303233644738</x:v>
      </x:c>
      <x:c r="S157" s="110" t="n">
        <x:v>0.007600335152272904</x:v>
      </x:c>
      <x:c r="T157" s="110" t="n">
        <x:v>0</x:v>
      </x:c>
      <x:c r="U157" s="110" t="n">
        <x:v>0.015350323443961526</x:v>
      </x:c>
      <x:c r="V157" s="113" t="n">
        <x:f>C157-U157</x:f>
        <x:v>0</x:v>
      </x:c>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64" t="str">
        <x:v>2017-06</x:v>
      </x:c>
      <x:c r="B158" s="110" t="n">
        <x:v>0.011388347655912234</x:v>
      </x:c>
      <x:c r="C158" s="110" t="n">
        <x:v>-0.0037027783174290673</x:v>
      </x:c>
      <x:c r="D158" s="110" t="n">
        <x:v>0.015091125973341302</x:v>
      </x:c>
      <x:c r="E158" s="112" t="n">
        <x:v>2957.098333333333</x:v>
      </x:c>
      <x:c r="F158" s="112" t="n">
        <x:v>2912.8074302404866</x:v>
      </x:c>
      <x:c r="G158" s="110" t="n">
        <x:v>0.004938013250958489</x:v>
      </x:c>
      <x:c r="H158" s="110" t="n">
        <x:v>0.0010048460139537847</x:v>
      </x:c>
      <x:c r="I158" s="110" t="n">
        <x:v>0.0008986691387766646</x:v>
      </x:c>
      <x:c r="J158" s="110" t="n">
        <x:v>0.003348977458926826</x:v>
      </x:c>
      <x:c r="K158" s="110" t="n">
        <x:v>-0.00001892551492164894</x:v>
      </x:c>
      <x:c r="L158" s="110" t="n">
        <x:v>-0.0035302921278828137</x:v>
      </x:c>
      <x:c r="M158" s="110" t="n">
        <x:v>-0.0004619805358986836</x:v>
      </x:c>
      <x:c r="N158" s="110" t="n">
        <x:v>0.00027320851446452436</x:v>
      </x:c>
      <x:c r="O158" s="110" t="n">
        <x:v>-0.0013153696719521498</x:v>
      </x:c>
      <x:c r="P158" s="110" t="n">
        <x:v>-0.002349492094929047</x:v>
      </x:c>
      <x:c r="Q158" s="110" t="n">
        <x:v>0.00011896716677232405</x:v>
      </x:c>
      <x:c r="R158" s="110" t="n">
        <x:v>-0.0010746005305695082</x:v>
      </x:c>
      <x:c r="S158" s="110" t="n">
        <x:v>-0.005534799385127829</x:v>
      </x:c>
      <x:c r="T158" s="110" t="n">
        <x:v>0</x:v>
      </x:c>
      <x:c r="U158" s="110" t="n">
        <x:v>-0.003702778317429067</x:v>
      </x:c>
      <x:c r="V158" s="113" t="n">
        <x:f>C158-U158</x:f>
        <x:v>-4.336808689942018e-19</x:v>
      </x:c>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64" t="str">
        <x:v>2017-07</x:v>
      </x:c>
      <x:c r="B159" s="110" t="n">
        <x:v>0.026524662166631963</x:v>
      </x:c>
      <x:c r="C159" s="110" t="n">
        <x:v>-0.0037473377234272702</x:v>
      </x:c>
      <x:c r="D159" s="110" t="n">
        <x:v>0.030271999890059232</x:v>
      </x:c>
      <x:c r="E159" s="112" t="n">
        <x:v>3036.5838709677405</x:v>
      </x:c>
      <x:c r="F159" s="112" t="n">
        <x:v>2946.037823872254</x:v>
      </x:c>
      <x:c r="G159" s="110" t="n">
        <x:v>0.004938013250958489</x:v>
      </x:c>
      <x:c r="H159" s="110" t="n">
        <x:v>-0.000482956676805419</x:v>
      </x:c>
      <x:c r="I159" s="110" t="n">
        <x:v>0.001283502308567507</x:v>
      </x:c>
      <x:c r="J159" s="110" t="n">
        <x:v>0.00249531653802391</x:v>
      </x:c>
      <x:c r="K159" s="110" t="n">
        <x:v>-0.0001020422733592832</x:v>
      </x:c>
      <x:c r="L159" s="110" t="n">
        <x:v>-0.00406060890656476</x:v>
      </x:c>
      <x:c r="M159" s="110" t="n">
        <x:v>-0.00033961621594485076</x:v>
      </x:c>
      <x:c r="N159" s="110" t="n">
        <x:v>0.000566889796731928</x:v>
      </x:c>
      <x:c r="O159" s="110" t="n">
        <x:v>-0.0004948554651922079</x:v>
      </x:c>
      <x:c r="P159" s="110" t="n">
        <x:v>0.003989529489303715</x:v>
      </x:c>
      <x:c r="Q159" s="110" t="n">
        <x:v>-0.00011230235549383646</x:v>
      </x:c>
      <x:c r="R159" s="110" t="n">
        <x:v>-0.0010938652004526571</x:v>
      </x:c>
      <x:c r="S159" s="110" t="n">
        <x:v>-0.010334342013199804</x:v>
      </x:c>
      <x:c r="T159" s="110" t="n">
        <x:v>0</x:v>
      </x:c>
      <x:c r="U159" s="110" t="n">
        <x:v>-0.0037473377234272685</x:v>
      </x:c>
      <x:c r="V159" s="113" t="n">
        <x:f>C159-U159</x:f>
        <x:v>-1.734723475976807e-18</x:v>
      </x:c>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64" t="str">
        <x:v>2017-08</x:v>
      </x:c>
      <x:c r="B160" s="110" t="n">
        <x:v>-0.021092715599203338</x:v>
      </x:c>
      <x:c r="C160" s="110" t="n">
        <x:v>-0.0076940710561110735</x:v>
      </x:c>
      <x:c r="D160" s="110" t="n">
        <x:v>-0.013398644543092263</x:v>
      </x:c>
      <x:c r="E160" s="112" t="n">
        <x:v>2973.2048387096766</x:v>
      </x:c>
      <x:c r="F160" s="112" t="n">
        <x:v>3013.3098297760453</x:v>
      </x:c>
      <x:c r="G160" s="110" t="n">
        <x:v>0.004938013250958489</x:v>
      </x:c>
      <x:c r="H160" s="110" t="n">
        <x:v>-0.0010682030406428263</x:v>
      </x:c>
      <x:c r="I160" s="110" t="n">
        <x:v>0.0014555100337114999</x:v>
      </x:c>
      <x:c r="J160" s="110" t="n">
        <x:v>0.0038997264401545093</x:v>
      </x:c>
      <x:c r="K160" s="110" t="n">
        <x:v>0.0000044046420325965655</x:v>
      </x:c>
      <x:c r="L160" s="110" t="n">
        <x:v>-0.0027941592051021185</x:v>
      </x:c>
      <x:c r="M160" s="110" t="n">
        <x:v>0.0021834694978998194</x:v>
      </x:c>
      <x:c r="N160" s="110" t="n">
        <x:v>0.00009121247107711046</x:v>
      </x:c>
      <x:c r="O160" s="110" t="n">
        <x:v>-0.0017877676505564657</x:v>
      </x:c>
      <x:c r="P160" s="110" t="n">
        <x:v>-0.006622181732707214</x:v>
      </x:c>
      <x:c r="Q160" s="110" t="n">
        <x:v>0.0002881875768268826</x:v>
      </x:c>
      <x:c r="R160" s="110" t="n">
        <x:v>-0.0011252533774002986</x:v>
      </x:c>
      <x:c r="S160" s="110" t="n">
        <x:v>-0.007157029962363057</x:v>
      </x:c>
      <x:c r="T160" s="110" t="n">
        <x:v>0</x:v>
      </x:c>
      <x:c r="U160" s="110" t="n">
        <x:v>-0.0076940710561110735</x:v>
      </x:c>
      <x:c r="V160" s="113" t="n">
        <x:f>C160-U160</x:f>
        <x:v>0</x:v>
      </x:c>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64" t="str">
        <x:v>2017-09</x:v>
      </x:c>
      <x:c r="B161" s="110" t="n">
        <x:v>-0.019055611321434185</x:v>
      </x:c>
      <x:c r="C161" s="110" t="n">
        <x:v>-0.010196624620399159</x:v>
      </x:c>
      <x:c r="D161" s="110" t="n">
        <x:v>-0.008858986701035026</x:v>
      </x:c>
      <x:c r="E161" s="112" t="n">
        <x:v>2917.0849999999996</x:v>
      </x:c>
      <x:c r="F161" s="112" t="n">
        <x:v>2943.042224811902</x:v>
      </x:c>
      <x:c r="G161" s="110" t="n">
        <x:v>0.004938013250958489</x:v>
      </x:c>
      <x:c r="H161" s="110" t="n">
        <x:v>-0.0034124365712693513</x:v>
      </x:c>
      <x:c r="I161" s="110" t="n">
        <x:v>0.0006590182914862706</x:v>
      </x:c>
      <x:c r="J161" s="110" t="n">
        <x:v>0.0018132351074265504</x:v>
      </x:c>
      <x:c r="K161" s="110" t="n">
        <x:v>0.0002810111577254101</x:v>
      </x:c>
      <x:c r="L161" s="110" t="n">
        <x:v>-0.0025703890318702453</x:v>
      </x:c>
      <x:c r="M161" s="110" t="n">
        <x:v>-0.0019461005365416057</x:v>
      </x:c>
      <x:c r="N161" s="110" t="n">
        <x:v>-0.0017478196612948967</x:v>
      </x:c>
      <x:c r="O161" s="110" t="n">
        <x:v>-0.00022525127163589378</x:v>
      </x:c>
      <x:c r="P161" s="110" t="n">
        <x:v>-0.001158467722905123</x:v>
      </x:c>
      <x:c r="Q161" s="110" t="n">
        <x:v>-0.0001483433664722422</x:v>
      </x:c>
      <x:c r="R161" s="110" t="n">
        <x:v>-0.0012150049200523477</x:v>
      </x:c>
      <x:c r="S161" s="110" t="n">
        <x:v>-0.005464089345954173</x:v>
      </x:c>
      <x:c r="T161" s="110" t="n">
        <x:v>0</x:v>
      </x:c>
      <x:c r="U161" s="110" t="n">
        <x:v>-0.010196624620399159</x:v>
      </x:c>
      <x:c r="V161" s="113" t="n">
        <x:f>C161-U161</x:f>
        <x:v>0</x:v>
      </x:c>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64" t="str">
        <x:v>2017-10</x:v>
      </x:c>
      <x:c r="B162" s="110" t="n">
        <x:v>0.012492685318897578</x:v>
      </x:c>
      <x:c r="C162" s="110" t="n">
        <x:v>0.01822863191564975</x:v>
      </x:c>
      <x:c r="D162" s="110" t="n">
        <x:v>-0.005735946596752171</x:v>
      </x:c>
      <x:c r="E162" s="112" t="n">
        <x:v>2953.7558064516124</x:v>
      </x:c>
      <x:c r="F162" s="112" t="n">
        <x:v>2970.747075938555</x:v>
      </x:c>
      <x:c r="G162" s="110" t="n">
        <x:v>0.004938013250958489</x:v>
      </x:c>
      <x:c r="H162" s="110" t="n">
        <x:v>-0.0025391054509018066</x:v>
      </x:c>
      <x:c r="I162" s="110" t="n">
        <x:v>0.0005859172277298275</x:v>
      </x:c>
      <x:c r="J162" s="110" t="n">
        <x:v>0.0015759893924361557</x:v>
      </x:c>
      <x:c r="K162" s="110" t="n">
        <x:v>0.00011367439796222304</x:v>
      </x:c>
      <x:c r="L162" s="110" t="n">
        <x:v>0.004951682263075191</x:v>
      </x:c>
      <x:c r="M162" s="110" t="n">
        <x:v>-0.00043051435119316977</x:v>
      </x:c>
      <x:c r="N162" s="110" t="n">
        <x:v>-0.0005813579817993336</x:v>
      </x:c>
      <x:c r="O162" s="110" t="n">
        <x:v>0.0003245455351637811</x:v>
      </x:c>
      <x:c r="P162" s="110" t="n">
        <x:v>0.0009492309277525255</x:v>
      </x:c>
      <x:c r="Q162" s="110" t="n">
        <x:v>-0.00007800488876792698</x:v>
      </x:c>
      <x:c r="R162" s="110" t="n">
        <x:v>-0.0012014360871922909</x:v>
      </x:c>
      <x:c r="S162" s="110" t="n">
        <x:v>0.009619997680426083</x:v>
      </x:c>
      <x:c r="T162" s="110" t="n">
        <x:v>0</x:v>
      </x:c>
      <x:c r="U162" s="110" t="n">
        <x:v>0.018228631915649746</x:v>
      </x:c>
      <x:c r="V162" s="113" t="n">
        <x:f>C162-U162</x:f>
        <x:v>3.469446951953614e-18</x:v>
      </x:c>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64" t="str">
        <x:v>2017-11</x:v>
      </x:c>
      <x:c r="B163" s="110" t="n">
        <x:v>0.020013617237836456</x:v>
      </x:c>
      <x:c r="C163" s="110" t="n">
        <x:v>0.01626220539750373</x:v>
      </x:c>
      <x:c r="D163" s="110" t="n">
        <x:v>0.0037514118403327266</x:v>
      </x:c>
      <x:c r="E163" s="112" t="n">
        <x:v>3013.466666666667</x:v>
      </x:c>
      <x:c r="F163" s="112" t="n">
        <x:v>3002.1830900372693</x:v>
      </x:c>
      <x:c r="G163" s="110" t="n">
        <x:v>0.004938013250958489</x:v>
      </x:c>
      <x:c r="H163" s="110" t="n">
        <x:v>0.0008012555767638885</x:v>
      </x:c>
      <x:c r="I163" s="110" t="n">
        <x:v>0.0013422983590226528</x:v>
      </x:c>
      <x:c r="J163" s="110" t="n">
        <x:v>0.00010591326562070627</x:v>
      </x:c>
      <x:c r="K163" s="110" t="n">
        <x:v>0.00010029310520141865</x:v>
      </x:c>
      <x:c r="L163" s="110" t="n">
        <x:v>0.0006606230884751173</x:v>
      </x:c>
      <x:c r="M163" s="110" t="n">
        <x:v>0.0005688676641866225</x:v>
      </x:c>
      <x:c r="N163" s="110" t="n">
        <x:v>0.00011738959247870951</x:v>
      </x:c>
      <x:c r="O163" s="110" t="n">
        <x:v>0.0006418903332872381</x:v>
      </x:c>
      <x:c r="P163" s="110" t="n">
        <x:v>0.005884168881063243</x:v>
      </x:c>
      <x:c r="Q163" s="110" t="n">
        <x:v>-0.00018834062384557795</x:v>
      </x:c>
      <x:c r="R163" s="110" t="n">
        <x:v>-0.0011797346452882508</x:v>
      </x:c>
      <x:c r="S163" s="110" t="n">
        <x:v>0.002469567549579473</x:v>
      </x:c>
      <x:c r="T163" s="110" t="n">
        <x:v>0</x:v>
      </x:c>
      <x:c r="U163" s="110" t="n">
        <x:v>0.016262205397503726</x:v>
      </x:c>
      <x:c r="V163" s="113" t="n">
        <x:f>C163-U163</x:f>
        <x:v>3.469446951953614e-18</x:v>
      </x:c>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64" t="str">
        <x:v>2017-12</x:v>
      </x:c>
      <x:c r="B164" s="110" t="n">
        <x:v>-0.007228642615496383</x:v>
      </x:c>
      <x:c r="C164" s="110" t="n">
        <x:v>-0.0029804471606857522</x:v>
      </x:c>
      <x:c r="D164" s="110" t="n">
        <x:v>-0.004248195454810632</x:v>
      </x:c>
      <x:c r="E164" s="112" t="n">
        <x:v>2991.761935483872</x:v>
      </x:c>
      <x:c r="F164" s="112" t="n">
        <x:v>3004.4985596194597</x:v>
      </x:c>
      <x:c r="G164" s="110" t="n">
        <x:v>0.004938013250958489</x:v>
      </x:c>
      <x:c r="H164" s="110" t="n">
        <x:v>-0.004354171146120087</x:v>
      </x:c>
      <x:c r="I164" s="110" t="n">
        <x:v>0.0006286759902454264</x:v>
      </x:c>
      <x:c r="J164" s="110" t="n">
        <x:v>0.0018202959918012579</x:v>
      </x:c>
      <x:c r="K164" s="110" t="n">
        <x:v>-0.00009119784017275513</x:v>
      </x:c>
      <x:c r="L164" s="110" t="n">
        <x:v>-0.0006928501847244415</x:v>
      </x:c>
      <x:c r="M164" s="110" t="n">
        <x:v>-0.0003757222743516664</x:v>
      </x:c>
      <x:c r="N164" s="110" t="n">
        <x:v>-0.0019522185169358855</x:v>
      </x:c>
      <x:c r="O164" s="110" t="n">
        <x:v>0.00007576029394770219</x:v>
      </x:c>
      <x:c r="P164" s="110" t="n">
        <x:v>-0.004602412865557455</x:v>
      </x:c>
      <x:c r="Q164" s="110" t="n">
        <x:v>0.0000998303979104171</x:v>
      </x:c>
      <x:c r="R164" s="110" t="n">
        <x:v>-0.0011203617072590647</x:v>
      </x:c>
      <x:c r="S164" s="110" t="n">
        <x:v>0.002645911449572311</x:v>
      </x:c>
      <x:c r="T164" s="110" t="n">
        <x:v>0</x:v>
      </x:c>
      <x:c r="U164" s="110" t="n">
        <x:v>-0.0029804471606857514</x:v>
      </x:c>
      <x:c r="V164" s="113" t="n">
        <x:f>C164-U164</x:f>
        <x:v>-8.673617379884035e-19</x:v>
      </x:c>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64" t="str">
        <x:v>2018-01</x:v>
      </x:c>
      <x:c r="B165" s="110" t="n">
        <x:v>-0.04204805499509501</x:v>
      </x:c>
      <x:c r="C165" s="110" t="n">
        <x:v>-0.02169017315393908</x:v>
      </x:c>
      <x:c r="D165" s="110" t="n">
        <x:v>-0.020357881841155927</x:v>
      </x:c>
      <x:c r="E165" s="112" t="n">
        <x:v>2868.572258064516</x:v>
      </x:c>
      <x:c r="F165" s="112" t="n">
        <x:v>2927.568797894216</x:v>
      </x:c>
      <x:c r="G165" s="110" t="n">
        <x:v>0.004938013250958489</x:v>
      </x:c>
      <x:c r="H165" s="110" t="n">
        <x:v>-0.0011401841842530536</x:v>
      </x:c>
      <x:c r="I165" s="110" t="n">
        <x:v>0.0009957549603901794</x:v>
      </x:c>
      <x:c r="J165" s="110" t="n">
        <x:v>0.0023420953470926166</x:v>
      </x:c>
      <x:c r="K165" s="110" t="n">
        <x:v>-0.0001275480554299379</x:v>
      </x:c>
      <x:c r="L165" s="110" t="n">
        <x:v>-0.006144046738159763</x:v>
      </x:c>
      <x:c r="M165" s="110" t="n">
        <x:v>0.0010601091244599804</x:v>
      </x:c>
      <x:c r="N165" s="110" t="n">
        <x:v>-0.0020315218989209564</x:v>
      </x:c>
      <x:c r="O165" s="110" t="n">
        <x:v>-0.0014046143389417065</x:v>
      </x:c>
      <x:c r="P165" s="110" t="n">
        <x:v>-0.003001770728682692</x:v>
      </x:c>
      <x:c r="Q165" s="110" t="n">
        <x:v>0.00023246103041735296</x:v>
      </x:c>
      <x:c r="R165" s="110" t="n">
        <x:v>-0.0011712348683408712</x:v>
      </x:c>
      <x:c r="S165" s="110" t="n">
        <x:v>-0.01623768605452872</x:v>
      </x:c>
      <x:c r="T165" s="110" t="n">
        <x:v>0</x:v>
      </x:c>
      <x:c r="U165" s="110" t="n">
        <x:v>-0.021690173153939084</x:v>
      </x:c>
      <x:c r="V165" s="113" t="n">
        <x:f>C165-U165</x:f>
        <x:v>3.469446951953614e-18</x:v>
      </x:c>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64" t="str">
        <x:v>2018-02</x:v>
      </x:c>
      <x:c r="B166" s="110" t="n">
        <x:v>-0.0029044024219917475</x:v>
      </x:c>
      <x:c r="C166" s="110" t="n">
        <x:v>0.013932155515525171</x:v>
      </x:c>
      <x:c r="D166" s="110" t="n">
        <x:v>-0.01683655793751692</x:v>
      </x:c>
      <x:c r="E166" s="112" t="n">
        <x:v>2860.252857142857</x:v>
      </x:c>
      <x:c r="F166" s="112" t="n">
        <x:v>2908.817352348625</x:v>
      </x:c>
      <x:c r="G166" s="110" t="n">
        <x:v>0.004938013250958489</x:v>
      </x:c>
      <x:c r="H166" s="110" t="n">
        <x:v>0.003733729318781673</x:v>
      </x:c>
      <x:c r="I166" s="110" t="n">
        <x:v>0.0011607820127153025</x:v>
      </x:c>
      <x:c r="J166" s="110" t="n">
        <x:v>0.0008282417371539516</x:v>
      </x:c>
      <x:c r="K166" s="110" t="n">
        <x:v>0.00039990367521161607</x:v>
      </x:c>
      <x:c r="L166" s="110" t="n">
        <x:v>-0.0017492995522532173</x:v>
      </x:c>
      <x:c r="M166" s="110" t="n">
        <x:v>0.01003190788247944</x:v>
      </x:c>
      <x:c r="N166" s="110" t="n">
        <x:v>0.0019729257493979703</x:v>
      </x:c>
      <x:c r="O166" s="110" t="n">
        <x:v>-0.0009268295943187558</x:v>
      </x:c>
      <x:c r="P166" s="110" t="n">
        <x:v>-0.004185822002032779</x:v>
      </x:c>
      <x:c r="Q166" s="110" t="n">
        <x:v>0.00010012757246736606</x:v>
      </x:c>
      <x:c r="R166" s="110" t="n">
        <x:v>-0.0010648440964268586</x:v>
      </x:c>
      <x:c r="S166" s="110" t="n">
        <x:v>-0.0013066804386090306</x:v>
      </x:c>
      <x:c r="T166" s="110" t="n">
        <x:v>0</x:v>
      </x:c>
      <x:c r="U166" s="110" t="n">
        <x:v>0.013932155515525168</x:v>
      </x:c>
      <x:c r="V166" s="113" t="n">
        <x:f>C166-U166</x:f>
        <x:v>3.469446951953614e-18</x:v>
      </x:c>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64" t="str">
        <x:v>2018-03</x:v>
      </x:c>
      <x:c r="B167" s="110" t="n">
        <x:v>-0.004317391379220048</x:v>
      </x:c>
      <x:c r="C167" s="110" t="n">
        <x:v>0.01929226804789531</x:v>
      </x:c>
      <x:c r="D167" s="110" t="n">
        <x:v>-0.02360965942711536</x:v>
      </x:c>
      <x:c r="E167" s="112" t="n">
        <x:v>2847.930645161291</x:v>
      </x:c>
      <x:c r="F167" s="112" t="n">
        <x:v>2915.969342543165</x:v>
      </x:c>
      <x:c r="G167" s="110" t="n">
        <x:v>0.004938013250958489</x:v>
      </x:c>
      <x:c r="H167" s="110" t="n">
        <x:v>-0.0005199582294012007</x:v>
      </x:c>
      <x:c r="I167" s="110" t="n">
        <x:v>0.0009670776853078237</x:v>
      </x:c>
      <x:c r="J167" s="110" t="n">
        <x:v>0.0016014085761851201</x:v>
      </x:c>
      <x:c r="K167" s="110" t="n">
        <x:v>0.000019673534820905993</x:v>
      </x:c>
      <x:c r="L167" s="110" t="n">
        <x:v>0.0007367791471454356</x:v>
      </x:c>
      <x:c r="M167" s="110" t="n">
        <x:v>-0.0023544154755521063</x:v>
      </x:c>
      <x:c r="N167" s="110" t="n">
        <x:v>0.0009128767132756269</x:v>
      </x:c>
      <x:c r="O167" s="110" t="n">
        <x:v>0.0008805633945650663</x:v>
      </x:c>
      <x:c r="P167" s="110" t="n">
        <x:v>0.01133363749362992</x:v>
      </x:c>
      <x:c r="Q167" s="110" t="n">
        <x:v>-0.00038721332226735166</x:v>
      </x:c>
      <x:c r="R167" s="110" t="n">
        <x:v>-0.0010510803888848395</x:v>
      </x:c>
      <x:c r="S167" s="110" t="n">
        <x:v>0.0022149056681124235</x:v>
      </x:c>
      <x:c r="T167" s="110" t="n">
        <x:v>0</x:v>
      </x:c>
      <x:c r="U167" s="110" t="n">
        <x:v>0.01929226804789531</x:v>
      </x:c>
      <x:c r="V167" s="113" t="n">
        <x:f>C167-U167</x:f>
        <x:v>0</x:v>
      </x:c>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64" t="str">
        <x:v>2018-04</x:v>
      </x:c>
      <x:c r="B168" s="110" t="n">
        <x:v>-0.029087376321890623</x:v>
      </x:c>
      <x:c r="C168" s="110" t="n">
        <x:v>-0.005472364430248608</x:v>
      </x:c>
      <x:c r="D168" s="110" t="n">
        <x:v>-0.023615011891642015</x:v>
      </x:c>
      <x:c r="E168" s="112" t="n">
        <x:v>2766.285</x:v>
      </x:c>
      <x:c r="F168" s="112" t="n">
        <x:v>2832.3882962843863</x:v>
      </x:c>
      <x:c r="G168" s="110" t="n">
        <x:v>0.004938013250958489</x:v>
      </x:c>
      <x:c r="H168" s="110" t="n">
        <x:v>-0.0010305625548170099</x:v>
      </x:c>
      <x:c r="I168" s="110" t="n">
        <x:v>0.00024655254889034293</x:v>
      </x:c>
      <x:c r="J168" s="110" t="n">
        <x:v>0.0005909960221635569</x:v>
      </x:c>
      <x:c r="K168" s="110" t="n">
        <x:v>-0.00001412916063982074</x:v>
      </x:c>
      <x:c r="L168" s="110" t="n">
        <x:v>-0.000009455676044954326</x:v>
      </x:c>
      <x:c r="M168" s="110" t="n">
        <x:v>-0.000574405771704387</x:v>
      </x:c>
      <x:c r="N168" s="110" t="n">
        <x:v>-0.0008542805637526408</x:v>
      </x:c>
      <x:c r="O168" s="110" t="n">
        <x:v>0.0001705388477888299</x:v>
      </x:c>
      <x:c r="P168" s="110" t="n">
        <x:v>-0.006156247775772898</x:v>
      </x:c>
      <x:c r="Q168" s="110" t="n">
        <x:v>0.00026745569794040604</x:v>
      </x:c>
      <x:c r="R168" s="110" t="n">
        <x:v>-0.0008791427536907156</x:v>
      </x:c>
      <x:c r="S168" s="110" t="n">
        <x:v>-0.002167696541567806</x:v>
      </x:c>
      <x:c r="T168" s="110" t="n">
        <x:v>0</x:v>
      </x:c>
      <x:c r="U168" s="110" t="n">
        <x:v>-0.005472364430248608</x:v>
      </x:c>
      <x:c r="V168" s="113" t="n">
        <x:f>C168-U168</x:f>
        <x:v>0</x:v>
      </x:c>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64" t="str">
        <x:v>2018-05</x:v>
      </x:c>
      <x:c r="B169" s="110" t="n">
        <x:v>0.03395455019829452</x:v>
      </x:c>
      <x:c r="C169" s="110" t="n">
        <x:v>0.04184346035368386</x:v>
      </x:c>
      <x:c r="D169" s="110" t="n">
        <x:v>-0.00788891015538934</x:v>
      </x:c>
      <x:c r="E169" s="112" t="n">
        <x:v>2861.8258064516135</x:v>
      </x:c>
      <x:c r="F169" s="112" t="n">
        <x:v>2884.4917804843467</x:v>
      </x:c>
      <x:c r="G169" s="110" t="n">
        <x:v>0.004938013250958489</x:v>
      </x:c>
      <x:c r="H169" s="110" t="n">
        <x:v>-0.0022075630486732612</x:v>
      </x:c>
      <x:c r="I169" s="110" t="n">
        <x:v>0.0015838834844896128</x:v>
      </x:c>
      <x:c r="J169" s="110" t="n">
        <x:v>0.0012367138982311526</x:v>
      </x:c>
      <x:c r="K169" s="110" t="n">
        <x:v>-0.0001673239145188165</x:v>
      </x:c>
      <x:c r="L169" s="110" t="n">
        <x:v>0.007578582453502479</x:v>
      </x:c>
      <x:c r="M169" s="110" t="n">
        <x:v>-0.0036425453535188657</x:v>
      </x:c>
      <x:c r="N169" s="110" t="n">
        <x:v>0.0025259563973113815</x:v>
      </x:c>
      <x:c r="O169" s="110" t="n">
        <x:v>0.0006246398248538192</x:v>
      </x:c>
      <x:c r="P169" s="110" t="n">
        <x:v>0.004656572384731905</x:v>
      </x:c>
      <x:c r="Q169" s="110" t="n">
        <x:v>-0.00021529595057894578</x:v>
      </x:c>
      <x:c r="R169" s="110" t="n">
        <x:v>-0.0006939718580965056</x:v>
      </x:c>
      <x:c r="S169" s="110" t="n">
        <x:v>0.02562579878499142</x:v>
      </x:c>
      <x:c r="T169" s="110" t="n">
        <x:v>0</x:v>
      </x:c>
      <x:c r="U169" s="110" t="n">
        <x:v>0.04184346035368386</x:v>
      </x:c>
      <x:c r="V169" s="113" t="n">
        <x:f>C169-U169</x:f>
        <x:v>0</x:v>
      </x:c>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64" t="str">
        <x:v>2018-06</x:v>
      </x:c>
      <x:c r="B170" s="110" t="n">
        <x:v>0.009689068867674955</x:v>
      </x:c>
      <x:c r="C170" s="110" t="n">
        <x:v>0.021673971245768447</x:v>
      </x:c>
      <x:c r="D170" s="110" t="n">
        <x:v>-0.011984902378093493</x:v>
      </x:c>
      <x:c r="E170" s="112" t="n">
        <x:v>2889.6889999999994</x:v>
      </x:c>
      <x:c r="F170" s="112" t="n">
        <x:v>2924.5300065595247</x:v>
      </x:c>
      <x:c r="G170" s="110" t="n">
        <x:v>0.004938013250958489</x:v>
      </x:c>
      <x:c r="H170" s="110" t="n">
        <x:v>-0.00006085607303830326</x:v>
      </x:c>
      <x:c r="I170" s="110" t="n">
        <x:v>0.0006173403632318774</x:v>
      </x:c>
      <x:c r="J170" s="110" t="n">
        <x:v>0.0016525999879017995</x:v>
      </x:c>
      <x:c r="K170" s="110" t="n">
        <x:v>-0.00003822885755805184</x:v>
      </x:c>
      <x:c r="L170" s="110" t="n">
        <x:v>0.004292573738811758</x:v>
      </x:c>
      <x:c r="M170" s="110" t="n">
        <x:v>-0.0004548428780517425</x:v>
      </x:c>
      <x:c r="N170" s="110" t="n">
        <x:v>0.0014889649588932991</x:v>
      </x:c>
      <x:c r="O170" s="110" t="n">
        <x:v>-0.0005928585854396134</x:v>
      </x:c>
      <x:c r="P170" s="110" t="n">
        <x:v>0.00002900201253830793</x:v>
      </x:c>
      <x:c r="Q170" s="110" t="n">
        <x:v>0.0000486502295905708</x:v>
      </x:c>
      <x:c r="R170" s="110" t="n">
        <x:v>-0.0008369395500142135</x:v>
      </x:c>
      <x:c r="S170" s="110" t="n">
        <x:v>0.010590552647944272</x:v>
      </x:c>
      <x:c r="T170" s="110" t="n">
        <x:v>0</x:v>
      </x:c>
      <x:c r="U170" s="110" t="n">
        <x:v>0.02167397124576845</x:v>
      </x:c>
      <x:c r="V170" s="113" t="n">
        <x:f>C170-U170</x:f>
        <x:v>-3.469446951953614e-18</x:v>
      </x:c>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64" t="str">
        <x:v>2018-07</x:v>
      </x:c>
      <x:c r="B171" s="110" t="n">
        <x:v>-0.001512400720045548</x:v>
      </x:c>
      <x:c r="C171" s="110" t="n">
        <x:v>-0.000638475781292958</x:v>
      </x:c>
      <x:c r="D171" s="110" t="n">
        <x:v>-0.0008739249387525901</x:v>
      </x:c>
      <x:c r="E171" s="112" t="n">
        <x:v>2885.32193548387</x:v>
      </x:c>
      <x:c r="F171" s="112" t="n">
        <x:v>2887.8445924254706</x:v>
      </x:c>
      <x:c r="G171" s="110" t="n">
        <x:v>0.004938013250958489</x:v>
      </x:c>
      <x:c r="H171" s="110" t="n">
        <x:v>0.0004697084110813335</x:v>
      </x:c>
      <x:c r="I171" s="110" t="n">
        <x:v>0.00013676126823904916</x:v>
      </x:c>
      <x:c r="J171" s="110" t="n">
        <x:v>0.0007879946962180778</x:v>
      </x:c>
      <x:c r="K171" s="110" t="n">
        <x:v>0.0000016687752989142615</x:v>
      </x:c>
      <x:c r="L171" s="110" t="n">
        <x:v>0.0005091574025936196</x:v>
      </x:c>
      <x:c r="M171" s="110" t="n">
        <x:v>-0.000560155102920061</x:v>
      </x:c>
      <x:c r="N171" s="110" t="n">
        <x:v>-0.002877524716473968</x:v>
      </x:c>
      <x:c r="O171" s="110" t="n">
        <x:v>0.0006720115286241341</x:v>
      </x:c>
      <x:c r="P171" s="110" t="n">
        <x:v>0.001163665189919073</x:v>
      </x:c>
      <x:c r="Q171" s="110" t="n">
        <x:v>0.0000030027666620480465</x:v>
      </x:c>
      <x:c r="R171" s="110" t="n">
        <x:v>-0.0009105349120376399</x:v>
      </x:c>
      <x:c r="S171" s="110" t="n">
        <x:v>-0.004972244339456027</x:v>
      </x:c>
      <x:c r="T171" s="110" t="n">
        <x:v>0</x:v>
      </x:c>
      <x:c r="U171" s="110" t="n">
        <x:v>-0.0006384757812929577</x:v>
      </x:c>
      <x:c r="V171" s="113" t="n">
        <x:f>C171-U171</x:f>
        <x:v>-2.168404344971009e-19</x:v>
      </x:c>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64" t="str">
        <x:v>2018-08</x:v>
      </x:c>
      <x:c r="B172" s="110" t="n">
        <x:v>0.02510226958834494</x:v>
      </x:c>
      <x:c r="C172" s="110" t="n">
        <x:v>0.002852700020606571</x:v>
      </x:c>
      <x:c r="D172" s="110" t="n">
        <x:v>0.022249569567738367</x:v>
      </x:c>
      <x:c r="E172" s="112" t="n">
        <x:v>2958.6667741935476</x:v>
      </x:c>
      <x:c r="F172" s="112" t="n">
        <x:v>2893.5646448273797</x:v>
      </x:c>
      <x:c r="G172" s="110" t="n">
        <x:v>0.004938013250958489</x:v>
      </x:c>
      <x:c r="H172" s="110" t="n">
        <x:v>-0.0001039231561180536</x:v>
      </x:c>
      <x:c r="I172" s="110" t="n">
        <x:v>0.0005073490041122702</x:v>
      </x:c>
      <x:c r="J172" s="110" t="n">
        <x:v>0.0005909960221635569</x:v>
      </x:c>
      <x:c r="K172" s="110" t="n">
        <x:v>-0.00007843692833074186</x:v>
      </x:c>
      <x:c r="L172" s="110" t="n">
        <x:v>0.0018195438375901314</x:v>
      </x:c>
      <x:c r="M172" s="110" t="n">
        <x:v>-0.0006622245793006096</x:v>
      </x:c>
      <x:c r="N172" s="110" t="n">
        <x:v>0.0002458876630180672</x:v>
      </x:c>
      <x:c r="O172" s="110" t="n">
        <x:v>-0.0001627896063999877</x:v>
      </x:c>
      <x:c r="P172" s="110" t="n">
        <x:v>-0.006396172016452145</x:v>
      </x:c>
      <x:c r="Q172" s="110" t="n">
        <x:v>0.00012443466996900514</x:v>
      </x:c>
      <x:c r="R172" s="110" t="n">
        <x:v>-0.0009457098931784281</x:v>
      </x:c>
      <x:c r="S172" s="110" t="n">
        <x:v>0.0029757317525750168</x:v>
      </x:c>
      <x:c r="T172" s="110" t="n">
        <x:v>0</x:v>
      </x:c>
      <x:c r="U172" s="110" t="n">
        <x:v>0.0028527000206065717</x:v>
      </x:c>
      <x:c r="V172" s="113" t="n">
        <x:f>C172-U172</x:f>
        <x:v>-8.673617379884035e-19</x:v>
      </x:c>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64" t="str">
        <x:v>2018-09</x:v>
      </x:c>
      <x:c r="B173" s="110" t="n">
        <x:v>0.025066658546742282</x:v>
      </x:c>
      <x:c r="C173" s="110" t="n">
        <x:v>0.015261443996907159</x:v>
      </x:c>
      <x:c r="D173" s="110" t="n">
        <x:v>0.009805214549835123</x:v>
      </x:c>
      <x:c r="E173" s="112" t="n">
        <x:v>3033.7679999999987</x:v>
      </x:c>
      <x:c r="F173" s="112" t="n">
        <x:v>3004.1666149926136</x:v>
      </x:c>
      <x:c r="G173" s="110" t="n">
        <x:v>0.004938013250958489</x:v>
      </x:c>
      <x:c r="H173" s="110" t="n">
        <x:v>-0.005030478789335768</x:v>
      </x:c>
      <x:c r="I173" s="110" t="n">
        <x:v>0.0011729319370870196</x:v>
      </x:c>
      <x:c r="J173" s="110" t="n">
        <x:v>0</x:v>
      </x:c>
      <x:c r="K173" s="110" t="n">
        <x:v>-0.00024045492324004604</x:v>
      </x:c>
      <x:c r="L173" s="110" t="n">
        <x:v>0.0005795584241017227</x:v>
      </x:c>
      <x:c r="M173" s="110" t="n">
        <x:v>0.00040451901321608756</x:v>
      </x:c>
      <x:c r="N173" s="110" t="n">
        <x:v>-0.0008114292879596244</x:v>
      </x:c>
      <x:c r="O173" s="110" t="n">
        <x:v>-0.00011393955008913183</x:v>
      </x:c>
      <x:c r="P173" s="110" t="n">
        <x:v>0.002980511956387295</x:v>
      </x:c>
      <x:c r="Q173" s="110" t="n">
        <x:v>-0.00021820580490093143</x:v>
      </x:c>
      <x:c r="R173" s="110" t="n">
        <x:v>-0.0009121868354280522</x:v>
      </x:c>
      <x:c r="S173" s="110" t="n">
        <x:v>0.0125126046061101</x:v>
      </x:c>
      <x:c r="T173" s="110" t="n">
        <x:v>0</x:v>
      </x:c>
      <x:c r="U173" s="110" t="n">
        <x:v>0.01526144399690716</x:v>
      </x:c>
      <x:c r="V173" s="113" t="n">
        <x:f>C173-U173</x:f>
        <x:v>-1.734723475976807e-18</x:v>
      </x:c>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64" t="str">
        <x:v>2018-10</x:v>
      </x:c>
      <x:c r="B174" s="110" t="n">
        <x:v>0.01669145290845897</x:v>
      </x:c>
      <x:c r="C174" s="110" t="n">
        <x:v>0.001275599710739415</x:v>
      </x:c>
      <x:c r="D174" s="110" t="n">
        <x:v>0.015415853197719556</x:v>
      </x:c>
      <x:c r="E174" s="112" t="n">
        <x:v>3084.8309677419325</x:v>
      </x:c>
      <x:c r="F174" s="112" t="n">
        <x:v>3037.6403428378762</x:v>
      </x:c>
      <x:c r="G174" s="110" t="n">
        <x:v>0.004938013250958489</x:v>
      </x:c>
      <x:c r="H174" s="110" t="n">
        <x:v>-0.00008062592988085613</x:v>
      </x:c>
      <x:c r="I174" s="110" t="n">
        <x:v>0.0010256732590995835</x:v>
      </x:c>
      <x:c r="J174" s="110" t="n">
        <x:v>0.00026266489873935927</x:v>
      </x:c>
      <x:c r="K174" s="110" t="n">
        <x:v>-0.00004486639665814754</x:v>
      </x:c>
      <x:c r="L174" s="110" t="n">
        <x:v>0.0017579451548163803</x:v>
      </x:c>
      <x:c r="M174" s="110" t="n">
        <x:v>0.005732005333593713</x:v>
      </x:c>
      <x:c r="N174" s="110" t="n">
        <x:v>0.0003094461712731616</x:v>
      </x:c>
      <x:c r="O174" s="110" t="n">
        <x:v>0.00015269056084600126</x:v>
      </x:c>
      <x:c r="P174" s="110" t="n">
        <x:v>-0.0037027595988901145</x:v>
      </x:c>
      <x:c r="Q174" s="110" t="n">
        <x:v>0.0001391862952573906</x:v>
      </x:c>
      <x:c r="R174" s="110" t="n">
        <x:v>-0.0010315291520846185</x:v>
      </x:c>
      <x:c r="S174" s="110" t="n">
        <x:v>-0.008182244136330926</x:v>
      </x:c>
      <x:c r="T174" s="110" t="n">
        <x:v>0</x:v>
      </x:c>
      <x:c r="U174" s="110" t="n">
        <x:v>0.0012755997107394175</x:v>
      </x:c>
      <x:c r="V174" s="113" t="n">
        <x:f>C174-U174</x:f>
        <x:v>-2.6020852139652106e-18</x:v>
      </x:c>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64" t="str">
        <x:v>2018-11</x:v>
      </x:c>
      <x:c r="B175" s="110" t="n">
        <x:v>0.03478793485623477</x:v>
      </x:c>
      <x:c r="C175" s="110" t="n">
        <x:v>0.03891439650338658</x:v>
      </x:c>
      <x:c r="D175" s="110" t="n">
        <x:v>-0.004126461647151809</x:v>
      </x:c>
      <x:c r="E175" s="112" t="n">
        <x:v>3194.0343333333362</x:v>
      </x:c>
      <x:c r="F175" s="112" t="n">
        <x:v>3207.241624458874</x:v>
      </x:c>
      <x:c r="G175" s="110" t="n">
        <x:v>0.004938013250958489</x:v>
      </x:c>
      <x:c r="H175" s="110" t="n">
        <x:v>0.006205529799232855</x:v>
      </x:c>
      <x:c r="I175" s="110" t="n">
        <x:v>0.00098743553877949</x:v>
      </x:c>
      <x:c r="J175" s="110" t="n">
        <x:v>0.0015759893924361527</x:v>
      </x:c>
      <x:c r="K175" s="110" t="n">
        <x:v>-0.000022862350381579015</x:v>
      </x:c>
      <x:c r="L175" s="110" t="n">
        <x:v>0.0030966022750419054</x:v>
      </x:c>
      <x:c r="M175" s="110" t="n">
        <x:v>0.000026957566518565135</x:v>
      </x:c>
      <x:c r="N175" s="110" t="n">
        <x:v>0.0034463302610310276</x:v>
      </x:c>
      <x:c r="O175" s="110" t="n">
        <x:v>0.0000938052303515105</x:v>
      </x:c>
      <x:c r="P175" s="110" t="n">
        <x:v>0.008961903049100294</x:v>
      </x:c>
      <x:c r="Q175" s="110" t="n">
        <x:v>-0.00037230067980426756</x:v>
      </x:c>
      <x:c r="R175" s="110" t="n">
        <x:v>-0.001103649294037269</x:v>
      </x:c>
      <x:c r="S175" s="110" t="n">
        <x:v>0.011080642464159402</x:v>
      </x:c>
      <x:c r="T175" s="110" t="n">
        <x:v>0</x:v>
      </x:c>
      <x:c r="U175" s="110" t="n">
        <x:v>0.03891439650338658</x:v>
      </x:c>
      <x:c r="V175" s="113" t="n">
        <x:f>C175-U175</x:f>
        <x:v>0</x:v>
      </x:c>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64" t="str">
        <x:v>2018-12</x:v>
      </x:c>
      <x:c r="B176" s="110" t="n">
        <x:v>0.007646449196696992</x:v>
      </x:c>
      <x:c r="C176" s="110" t="n">
        <x:v>0.009132887717407853</x:v>
      </x:c>
      <x:c r="D176" s="110" t="n">
        <x:v>-0.0014864385207108612</x:v>
      </x:c>
      <x:c r="E176" s="112" t="n">
        <x:v>3218.5509677419377</x:v>
      </x:c>
      <x:c r="F176" s="112" t="n">
        <x:v>3223.3387033370277</x:v>
      </x:c>
      <x:c r="G176" s="110" t="n">
        <x:v>0.004938013250958489</x:v>
      </x:c>
      <x:c r="H176" s="110" t="n">
        <x:v>0.005447450153470489</x:v>
      </x:c>
      <x:c r="I176" s="110" t="n">
        <x:v>0.0006576866320933925</x:v>
      </x:c>
      <x:c r="J176" s="110" t="n">
        <x:v>0.00006566622468484128</x:v>
      </x:c>
      <x:c r="K176" s="110" t="n">
        <x:v>0.00014233528004789871</x:v>
      </x:c>
      <x:c r="L176" s="110" t="n">
        <x:v>0.00009838899973882622</x:v>
      </x:c>
      <x:c r="M176" s="110" t="n">
        <x:v>0.0035728157079373776</x:v>
      </x:c>
      <x:c r="N176" s="110" t="n">
        <x:v>0.001524749412671671</x:v>
      </x:c>
      <x:c r="O176" s="110" t="n">
        <x:v>-0.001542812208965151</x:v>
      </x:c>
      <x:c r="P176" s="110" t="n">
        <x:v>-0.0057022836678272</x:v>
      </x:c>
      <x:c r="Q176" s="110" t="n">
        <x:v>0.0003137230698444173</x:v>
      </x:c>
      <x:c r="R176" s="110" t="n">
        <x:v>-0.0014097738452818137</x:v>
      </x:c>
      <x:c r="S176" s="110" t="n">
        <x:v>0.0010269287080346178</x:v>
      </x:c>
      <x:c r="T176" s="110" t="n">
        <x:v>0</x:v>
      </x:c>
      <x:c r="U176" s="110" t="n">
        <x:v>0.009132887717407855</x:v>
      </x:c>
      <x:c r="V176" s="113" t="n">
        <x:f>C176-U176</x:f>
        <x:v>-1.734723475976807e-18</x:v>
      </x:c>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64" t="str">
        <x:v>2019-01</x:v>
      </x:c>
      <x:c r="B177" s="110" t="n">
        <x:v>-0.016718774354265165</x:v>
      </x:c>
      <x:c r="C177" s="110" t="n">
        <x:v>-0.02548007175849104</x:v>
      </x:c>
      <x:c r="D177" s="110" t="n">
        <x:v>0.008761297404225876</x:v>
      </x:c>
      <x:c r="E177" s="112" t="n">
        <x:v>3165.1880645161295</x:v>
      </x:c>
      <x:c r="F177" s="112" t="n">
        <x:v>3137.578036986543</x:v>
      </x:c>
      <x:c r="G177" s="110" t="n">
        <x:v>0.004938013250958489</x:v>
      </x:c>
      <x:c r="H177" s="110" t="n">
        <x:v>-0.0010875542793300883</x:v>
      </x:c>
      <x:c r="I177" s="110" t="n">
        <x:v>0.0007634630850724814</x:v>
      </x:c>
      <x:c r="J177" s="110" t="n">
        <x:v>0.00045966357279387724</x:v>
      </x:c>
      <x:c r="K177" s="110" t="n">
        <x:v>0.00033556667261456347</x:v>
      </x:c>
      <x:c r="L177" s="110" t="n">
        <x:v>-0.00410165099144495</x:v>
      </x:c>
      <x:c r="M177" s="110" t="n">
        <x:v>-0.0034395412749535907</x:v>
      </x:c>
      <x:c r="N177" s="110" t="n">
        <x:v>-0.0015760885950600572</x:v>
      </x:c>
      <x:c r="O177" s="110" t="n">
        <x:v>-0.0037970214208031794</x:v>
      </x:c>
      <x:c r="P177" s="110" t="n">
        <x:v>-0.0009825086176303182</x:v>
      </x:c>
      <x:c r="Q177" s="110" t="n">
        <x:v>0.0002341735931915336</x:v>
      </x:c>
      <x:c r="R177" s="110" t="n">
        <x:v>-0.0014748251762253864</x:v>
      </x:c>
      <x:c r="S177" s="110" t="n">
        <x:v>-0.015751761577674418</x:v>
      </x:c>
      <x:c r="T177" s="110" t="n">
        <x:v>0</x:v>
      </x:c>
      <x:c r="U177" s="110" t="n">
        <x:v>-0.02548007175849104</x:v>
      </x:c>
      <x:c r="V177" s="113" t="n">
        <x:f>C177-U177</x:f>
        <x:v>0</x:v>
      </x:c>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64" t="str">
        <x:v>2019-02</x:v>
      </x:c>
      <x:c r="B178" s="110" t="n">
        <x:v>-0.015714153577748746</x:v>
      </x:c>
      <x:c r="C178" s="110" t="n">
        <x:v>-0.02432251472810376</x:v>
      </x:c>
      <x:c r="D178" s="110" t="n">
        <x:v>0.008608361150355015</x:v>
      </x:c>
      <x:c r="E178" s="112" t="n">
        <x:v>3115.838571428572</x:v>
      </x:c>
      <x:c r="F178" s="112" t="n">
        <x:v>3089.1314250253413</x:v>
      </x:c>
      <x:c r="G178" s="110" t="n">
        <x:v>0.004938013250958489</x:v>
      </x:c>
      <x:c r="H178" s="110" t="n">
        <x:v>-0.005923462625271241</x:v>
      </x:c>
      <x:c r="I178" s="110" t="n">
        <x:v>0.00044310573891209325</x:v>
      </x:c>
      <x:c r="J178" s="110" t="n">
        <x:v>0.0008536609209029161</x:v>
      </x:c>
      <x:c r="K178" s="110" t="n">
        <x:v>0.000051172966928025804</x:v>
      </x:c>
      <x:c r="L178" s="110" t="n">
        <x:v>-0.00006888713348631333</x:v>
      </x:c>
      <x:c r="M178" s="110" t="n">
        <x:v>-0.0035480228149047444</x:v>
      </x:c>
      <x:c r="N178" s="110" t="n">
        <x:v>-0.0015852098421677704</x:v>
      </x:c>
      <x:c r="O178" s="110" t="n">
        <x:v>-0.004771695586843781</x:v>
      </x:c>
      <x:c r="P178" s="110" t="n">
        <x:v>-0.005224409529691793</x:v>
      </x:c>
      <x:c r="Q178" s="110" t="n">
        <x:v>0.00031778962882800363</x:v>
      </x:c>
      <x:c r="R178" s="110" t="n">
        <x:v>-0.0013975133709716815</x:v>
      </x:c>
      <x:c r="S178" s="110" t="n">
        <x:v>-0.008407056331295964</x:v>
      </x:c>
      <x:c r="T178" s="110" t="n">
        <x:v>0</x:v>
      </x:c>
      <x:c r="U178" s="110" t="n">
        <x:v>-0.02432251472810376</x:v>
      </x:c>
      <x:c r="V178" s="113" t="n">
        <x:f>C178-U178</x:f>
        <x:v>0</x:v>
      </x:c>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64" t="str">
        <x:v>2019-03</x:v>
      </x:c>
      <x:c r="B179" s="110" t="n">
        <x:v>0.004114210396151563</x:v>
      </x:c>
      <x:c r="C179" s="110" t="n">
        <x:v>0.009632310322307935</x:v>
      </x:c>
      <x:c r="D179" s="110" t="n">
        <x:v>-0.005518099926156372</x:v>
      </x:c>
      <x:c r="E179" s="112" t="n">
        <x:v>3128.6841935483853</x:v>
      </x:c>
      <x:c r="F179" s="112" t="n">
        <x:v>3145.996306622071</x:v>
      </x:c>
      <x:c r="G179" s="110" t="n">
        <x:v>0.004938013250958489</x:v>
      </x:c>
      <x:c r="H179" s="110" t="n">
        <x:v>0.0002799580190992734</x:v>
      </x:c>
      <x:c r="I179" s="110" t="n">
        <x:v>0.00041930961524120936</x:v>
      </x:c>
      <x:c r="J179" s="110" t="n">
        <x:v>0</x:v>
      </x:c>
      <x:c r="K179" s="110" t="n">
        <x:v>-0.00007238267162370203</x:v>
      </x:c>
      <x:c r="L179" s="110" t="n">
        <x:v>0.0008643763687538435</x:v>
      </x:c>
      <x:c r="M179" s="110" t="n">
        <x:v>-0.0007144167712370699</x:v>
      </x:c>
      <x:c r="N179" s="110" t="n">
        <x:v>-0.0004340455520221258</x:v>
      </x:c>
      <x:c r="O179" s="110" t="n">
        <x:v>-0.007385009318757611</x:v>
      </x:c>
      <x:c r="P179" s="110" t="n">
        <x:v>0.00883196570868458</x:v>
      </x:c>
      <x:c r="Q179" s="110" t="n">
        <x:v>0.00014273195933126257</x:v>
      </x:c>
      <x:c r="R179" s="110" t="n">
        <x:v>-0.001165292595087529</x:v>
      </x:c>
      <x:c r="S179" s="110" t="n">
        <x:v>0.003927102308967314</x:v>
      </x:c>
      <x:c r="T179" s="110" t="n">
        <x:v>0</x:v>
      </x:c>
      <x:c r="U179" s="110" t="n">
        <x:v>0.009632310322307935</x:v>
      </x:c>
      <x:c r="V179" s="113" t="n">
        <x:f>C179-U179</x:f>
        <x:v>0</x:v>
      </x:c>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64" t="str">
        <x:v>2019-04</x:v>
      </x:c>
      <x:c r="B180" s="110" t="n">
        <x:v>0.008618408150244505</x:v>
      </x:c>
      <x:c r="C180" s="110" t="n">
        <x:v>-0.004962868679913027</x:v>
      </x:c>
      <x:c r="D180" s="110" t="n">
        <x:v>0.013581276830157533</x:v>
      </x:c>
      <x:c r="E180" s="112" t="n">
        <x:v>3155.7650000000012</x:v>
      </x:c>
      <x:c r="F180" s="112" t="n">
        <x:v>3113.1954109427256</x:v>
      </x:c>
      <x:c r="G180" s="110" t="n">
        <x:v>0.004938013250958489</x:v>
      </x:c>
      <x:c r="H180" s="110" t="n">
        <x:v>-0.001678171248436745</x:v>
      </x:c>
      <x:c r="I180" s="110" t="n">
        <x:v>0.00063952305010144</x:v>
      </x:c>
      <x:c r="J180" s="110" t="n">
        <x:v>0.00006566622468484128</x:v>
      </x:c>
      <x:c r="K180" s="110" t="n">
        <x:v>0.00007363836649818341</x:v>
      </x:c>
      <x:c r="L180" s="110" t="n">
        <x:v>0.0002798996275142771</x:v>
      </x:c>
      <x:c r="M180" s="110" t="n">
        <x:v>-0.0015876070204557018</x:v>
      </x:c>
      <x:c r="N180" s="110" t="n">
        <x:v>-0.0016996829230321003</x:v>
      </x:c>
      <x:c r="O180" s="110" t="n">
        <x:v>-0.004279399914775711</x:v>
      </x:c>
      <x:c r="P180" s="110" t="n">
        <x:v>0.001730759956612947</x:v>
      </x:c>
      <x:c r="Q180" s="110" t="n">
        <x:v>-0.0003385266320861589</x:v>
      </x:c>
      <x:c r="R180" s="110" t="n">
        <x:v>-0.0009724086470410796</x:v>
      </x:c>
      <x:c r="S180" s="110" t="n">
        <x:v>-0.0021345727704557087</x:v>
      </x:c>
      <x:c r="T180" s="110" t="n">
        <x:v>0</x:v>
      </x:c>
      <x:c r="U180" s="110" t="n">
        <x:v>-0.004962868679913028</x:v>
      </x:c>
      <x:c r="V180" s="113" t="n">
        <x:f>C180-U180</x:f>
        <x:v>8.673617379884035e-19</x:v>
      </x:c>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64" t="str">
        <x:v>2019-05</x:v>
      </x:c>
      <x:c r="B181" s="110" t="n">
        <x:v>0.04605257754311687</x:v>
      </x:c>
      <x:c r="C181" s="110" t="n">
        <x:v>0.02491234514020166</x:v>
      </x:c>
      <x:c r="D181" s="110" t="n">
        <x:v>0.021140232402915207</x:v>
      </x:c>
      <x:c r="E181" s="112" t="n">
        <x:v>3304.494516129032</x:v>
      </x:c>
      <x:c r="F181" s="112" t="n">
        <x:v>3235.36996299163</x:v>
      </x:c>
      <x:c r="G181" s="110" t="n">
        <x:v>0.004938013250958489</x:v>
      </x:c>
      <x:c r="H181" s="110" t="n">
        <x:v>0.0016416031656547548</x:v>
      </x:c>
      <x:c r="I181" s="110" t="n">
        <x:v>0.00063949583027375</x:v>
      </x:c>
      <x:c r="J181" s="110" t="n">
        <x:v>0.00006566622468483835</x:v>
      </x:c>
      <x:c r="K181" s="110" t="n">
        <x:v>0.00012989805318425166</x:v>
      </x:c>
      <x:c r="L181" s="110" t="n">
        <x:v>0.002440313921853525</x:v>
      </x:c>
      <x:c r="M181" s="110" t="n">
        <x:v>0.0036209655576260264</x:v>
      </x:c>
      <x:c r="N181" s="110" t="n">
        <x:v>0.0020742831059729354</x:v>
      </x:c>
      <x:c r="O181" s="110" t="n">
        <x:v>-0.0014480125857575278</x:v>
      </x:c>
      <x:c r="P181" s="110" t="n">
        <x:v>0.0007685727514214829</x:v>
      </x:c>
      <x:c r="Q181" s="110" t="n">
        <x:v>-0.00042762582462085494</x:v>
      </x:c>
      <x:c r="R181" s="110" t="n">
        <x:v>-0.0009842667578677862</x:v>
      </x:c>
      <x:c r="S181" s="110" t="n">
        <x:v>0.011453438446817775</x:v>
      </x:c>
      <x:c r="T181" s="110" t="n">
        <x:v>0</x:v>
      </x:c>
      <x:c r="U181" s="110" t="n">
        <x:v>0.024912345140201658</x:v>
      </x:c>
      <x:c r="V181" s="113" t="n">
        <x:f>C181-U181</x:f>
        <x:v>3.469446951953614e-18</x:v>
      </x:c>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64" t="str">
        <x:v>2019-06</x:v>
      </x:c>
      <x:c r="B182" s="110" t="n">
        <x:v>-0.013397744649116916</x:v>
      </x:c>
      <x:c r="C182" s="110" t="n">
        <x:v>-0.0063882799600409055</x:v>
      </x:c>
      <x:c r="D182" s="110" t="n">
        <x:v>-0.007009464689076011</x:v>
      </x:c>
      <x:c r="E182" s="112" t="n">
        <x:v>3260.516999999999</x:v>
      </x:c>
      <x:c r="F182" s="112" t="n">
        <x:v>3283.4517650890207</x:v>
      </x:c>
      <x:c r="G182" s="110" t="n">
        <x:v>0.004938013250958489</x:v>
      </x:c>
      <x:c r="H182" s="110" t="n">
        <x:v>0.002635836772043606</x:v>
      </x:c>
      <x:c r="I182" s="110" t="n">
        <x:v>0.00103888704187047</x:v>
      </x:c>
      <x:c r="J182" s="110" t="n">
        <x:v>-0.000196998674054518</x:v>
      </x:c>
      <x:c r="K182" s="110" t="n">
        <x:v>0.00003399203343349674</x:v>
      </x:c>
      <x:c r="L182" s="110" t="n">
        <x:v>-0.0012254748450423894</x:v>
      </x:c>
      <x:c r="M182" s="110" t="n">
        <x:v>-0.0007707855583482932</x:v>
      </x:c>
      <x:c r="N182" s="110" t="n">
        <x:v>-0.0001532369514095519</x:v>
      </x:c>
      <x:c r="O182" s="110" t="n">
        <x:v>-0.0025020370201197886</x:v>
      </x:c>
      <x:c r="P182" s="110" t="n">
        <x:v>-0.0036246582382766655</x:v>
      </x:c>
      <x:c r="Q182" s="110" t="n">
        <x:v>0.000024236373251003936</x:v>
      </x:c>
      <x:c r="R182" s="110" t="n">
        <x:v>-0.0011699861915898508</x:v>
      </x:c>
      <x:c r="S182" s="110" t="n">
        <x:v>-0.005416067952756915</x:v>
      </x:c>
      <x:c r="T182" s="110" t="n">
        <x:v>0</x:v>
      </x:c>
      <x:c r="U182" s="110" t="n">
        <x:v>-0.006388279960040906</x:v>
      </x:c>
      <x:c r="V182" s="113" t="n">
        <x:f>C182-U182</x:f>
        <x:v>8.673617379884035e-19</x:v>
      </x:c>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64" t="str">
        <x:v>2019-07</x:v>
      </x:c>
      <x:c r="B183" s="110" t="n">
        <x:v>-0.01667448539020988</x:v>
      </x:c>
      <x:c r="C183" s="110" t="n">
        <x:v>-0.018679973158847722</x:v>
      </x:c>
      <x:c r="D183" s="110" t="n">
        <x:v>0.002005487768637841</x:v>
      </x:c>
      <x:c r="E183" s="112" t="n">
        <x:v>3206.600322580648</x:v>
      </x:c>
      <x:c r="F183" s="112" t="n">
        <x:v>3200.175968989294</x:v>
      </x:c>
      <x:c r="G183" s="110" t="n">
        <x:v>0.004938013250958489</x:v>
      </x:c>
      <x:c r="H183" s="110" t="n">
        <x:v>-0.0006509971110860751</x:v>
      </x:c>
      <x:c r="I183" s="110" t="n">
        <x:v>0.00014972798539698826</x:v>
      </x:c>
      <x:c r="J183" s="110" t="n">
        <x:v>-0.00006566622468484128</x:v>
      </x:c>
      <x:c r="K183" s="110" t="n">
        <x:v>0.0001765252069194944</x:v>
      </x:c>
      <x:c r="L183" s="110" t="n">
        <x:v>-0.0008106778858641135</x:v>
      </x:c>
      <x:c r="M183" s="110" t="n">
        <x:v>-0.0024651875795352624</x:v>
      </x:c>
      <x:c r="N183" s="110" t="n">
        <x:v>-0.0026010651493569474</x:v>
      </x:c>
      <x:c r="O183" s="110" t="n">
        <x:v>-0.0025657685752918874</x:v>
      </x:c>
      <x:c r="P183" s="110" t="n">
        <x:v>-0.00448460205320161</x:v>
      </x:c>
      <x:c r="Q183" s="110" t="n">
        <x:v>0.00023343749140077342</x:v>
      </x:c>
      <x:c r="R183" s="110" t="n">
        <x:v>-0.001144866430994074</x:v>
      </x:c>
      <x:c r="S183" s="110" t="n">
        <x:v>-0.009388846083508658</x:v>
      </x:c>
      <x:c r="T183" s="110" t="n">
        <x:v>0</x:v>
      </x:c>
      <x:c r="U183" s="110" t="n">
        <x:v>-0.018679973158847722</x:v>
      </x:c>
      <x:c r="V183" s="113" t="n">
        <x:f>C183-U183</x:f>
        <x:v>0</x:v>
      </x:c>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64" t="str">
        <x:v>2019-08</x:v>
      </x:c>
      <x:c r="B184" s="110" t="n">
        <x:v>0.06171477452456031</x:v>
      </x:c>
      <x:c r="C184" s="110" t="n">
        <x:v>0.04464210470742716</x:v>
      </x:c>
      <x:c r="D184" s="110" t="n">
        <x:v>0.01707266981713315</x:v>
      </x:c>
      <x:c r="E184" s="112" t="n">
        <x:v>3410.7290322580675</x:v>
      </x:c>
      <x:c r="F184" s="112" t="n">
        <x:v>3352.9930378209174</x:v>
      </x:c>
      <x:c r="G184" s="110" t="n">
        <x:v>0.004938013250958489</x:v>
      </x:c>
      <x:c r="H184" s="110" t="n">
        <x:v>0.002255596596451872</x:v>
      </x:c>
      <x:c r="I184" s="110" t="n">
        <x:v>0.0005461305113757107</x:v>
      </x:c>
      <x:c r="J184" s="110" t="n">
        <x:v>0.00013133244936967963</x:v>
      </x:c>
      <x:c r="K184" s="110" t="n">
        <x:v>0.00012425656897044113</x:v>
      </x:c>
      <x:c r="L184" s="110" t="n">
        <x:v>0.004658525122061633</x:v>
      </x:c>
      <x:c r="M184" s="110" t="n">
        <x:v>0.005029143555088477</x:v>
      </x:c>
      <x:c r="N184" s="110" t="n">
        <x:v>0.0022613258581832673</x:v>
      </x:c>
      <x:c r="O184" s="110" t="n">
        <x:v>0.000428919037556921</x:v>
      </x:c>
      <x:c r="P184" s="110" t="n">
        <x:v>0.00086051595000344</x:v>
      </x:c>
      <x:c r="Q184" s="110" t="n">
        <x:v>-0.0004124920813626833</x:v>
      </x:c>
      <x:c r="R184" s="110" t="n">
        <x:v>-0.0011968719071520728</x:v>
      </x:c>
      <x:c r="S184" s="110" t="n">
        <x:v>0.025017709795921984</x:v>
      </x:c>
      <x:c r="T184" s="110" t="n">
        <x:v>0</x:v>
      </x:c>
      <x:c r="U184" s="110" t="n">
        <x:v>0.04464210470742716</x:v>
      </x:c>
      <x:c r="V184" s="113" t="n">
        <x:f>C184-U184</x:f>
        <x:v>0</x:v>
      </x:c>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64" t="str">
        <x:v>2019-09</x:v>
      </x:c>
      <x:c r="B185" s="110" t="n">
        <x:v>-0.0033103479107019496</x:v>
      </x:c>
      <x:c r="C185" s="110" t="n">
        <x:v>-0.0018544017076756215</x:v>
      </x:c>
      <x:c r="D185" s="110" t="n">
        <x:v>-0.001455946203026328</x:v>
      </x:c>
      <x:c r="E185" s="112" t="n">
        <x:v>3399.457</x:v>
      </x:c>
      <x:c r="F185" s="112" t="n">
        <x:v>3404.410031310124</x:v>
      </x:c>
      <x:c r="G185" s="110" t="n">
        <x:v>0.004938013250958489</x:v>
      </x:c>
      <x:c r="H185" s="110" t="n">
        <x:v>-0.001610882638015137</x:v>
      </x:c>
      <x:c r="I185" s="110" t="n">
        <x:v>0.0007472213643721852</x:v>
      </x:c>
      <x:c r="J185" s="110" t="n">
        <x:v>-0.0017729880664906735</x:v>
      </x:c>
      <x:c r="K185" s="110" t="n">
        <x:v>0.000013320975183007467</x:v>
      </x:c>
      <x:c r="L185" s="110" t="n">
        <x:v>0.0005098552348346477</x:v>
      </x:c>
      <x:c r="M185" s="110" t="n">
        <x:v>-0.0028138567645358188</x:v>
      </x:c>
      <x:c r="N185" s="110" t="n">
        <x:v>-0.0017407857215190501</x:v>
      </x:c>
      <x:c r="O185" s="110" t="n">
        <x:v>-0.003402506836443418</x:v>
      </x:c>
      <x:c r="P185" s="110" t="n">
        <x:v>0.005081016535778003</x:v>
      </x:c>
      <x:c r="Q185" s="110" t="n">
        <x:v>0.0000751917052640438</x:v>
      </x:c>
      <x:c r="R185" s="110" t="n">
        <x:v>-0.001428657042738902</x:v>
      </x:c>
      <x:c r="S185" s="110" t="n">
        <x:v>-0.0004493437043229986</x:v>
      </x:c>
      <x:c r="T185" s="110" t="n">
        <x:v>0</x:v>
      </x:c>
      <x:c r="U185" s="110" t="n">
        <x:v>-0.0018544017076756218</x:v>
      </x:c>
      <x:c r="V185" s="113" t="n">
        <x:f>C185-U185</x:f>
        <x:v>2.168404344971009e-19</x:v>
      </x:c>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64" t="str">
        <x:v>2019-10</x:v>
      </x:c>
      <x:c r="B186" s="110" t="n">
        <x:v>0.009909567223182592</x:v>
      </x:c>
      <x:c r="C186" s="110" t="n">
        <x:v>-0.004246662578050089</x:v>
      </x:c>
      <x:c r="D186" s="110" t="n">
        <x:v>0.01415622980123268</x:v>
      </x:c>
      <x:c r="E186" s="112" t="n">
        <x:v>3433.3116129032264</x:v>
      </x:c>
      <x:c r="F186" s="112" t="n">
        <x:v>3385.051262974167</x:v>
      </x:c>
      <x:c r="G186" s="110" t="n">
        <x:v>0.004938013250958489</x:v>
      </x:c>
      <x:c r="H186" s="110" t="n">
        <x:v>0.0004472505941926552</x:v>
      </x:c>
      <x:c r="I186" s="110" t="n">
        <x:v>0.00032393490315094585</x:v>
      </x:c>
      <x:c r="J186" s="110" t="n">
        <x:v>-0.0005909960221635569</x:v>
      </x:c>
      <x:c r="K186" s="110" t="n">
        <x:v>0.00012334532354124582</x:v>
      </x:c>
      <x:c r="L186" s="110" t="n">
        <x:v>-0.0013195756144438512</x:v>
      </x:c>
      <x:c r="M186" s="110" t="n">
        <x:v>-0.0000844226387177061</x:v>
      </x:c>
      <x:c r="N186" s="110" t="n">
        <x:v>0.0004107706456093456</x:v>
      </x:c>
      <x:c r="O186" s="110" t="n">
        <x:v>0.000673549810974016</x:v>
      </x:c>
      <x:c r="P186" s="110" t="n">
        <x:v>-0.004574370957178572</x:v>
      </x:c>
      <x:c r="Q186" s="110" t="n">
        <x:v>-0.0002880052179563685</x:v>
      </x:c>
      <x:c r="R186" s="110" t="n">
        <x:v>-0.0013842545410539678</x:v>
      </x:c>
      <x:c r="S186" s="110" t="n">
        <x:v>-0.0029219021149627642</x:v>
      </x:c>
      <x:c r="T186" s="110" t="n">
        <x:v>0</x:v>
      </x:c>
      <x:c r="U186" s="110" t="n">
        <x:v>-0.004246662578050089</x:v>
      </x:c>
      <x:c r="V186" s="113" t="n">
        <x:f>C186-U186</x:f>
        <x:v>0</x:v>
      </x:c>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64" t="str">
        <x:v>2019-11</x:v>
      </x:c>
      <x:c r="B187" s="110" t="n">
        <x:v>-0.009316707111683087</x:v>
      </x:c>
      <x:c r="C187" s="110" t="n">
        <x:v>0.007483229591902113</x:v>
      </x:c>
      <x:c r="D187" s="110" t="n">
        <x:v>-0.0167999367035852</x:v>
      </x:c>
      <x:c r="E187" s="112" t="n">
        <x:v>3401.473000000001</x:v>
      </x:c>
      <x:c r="F187" s="112" t="n">
        <x:v>3459.100242737993</x:v>
      </x:c>
      <x:c r="G187" s="110" t="n">
        <x:v>0.004938013250958489</x:v>
      </x:c>
      <x:c r="H187" s="110" t="n">
        <x:v>-0.0008046322346344586</x:v>
      </x:c>
      <x:c r="I187" s="110" t="n">
        <x:v>-0.00019664357575397047</x:v>
      </x:c>
      <x:c r="J187" s="110" t="n">
        <x:v>-0.0013789907183816346</x:v>
      </x:c>
      <x:c r="K187" s="110" t="n">
        <x:v>-0.00014099286078480825</x:v>
      </x:c>
      <x:c r="L187" s="110" t="n">
        <x:v>-0.0004280912778123743</x:v>
      </x:c>
      <x:c r="M187" s="110" t="n">
        <x:v>-0.002989065865815404</x:v>
      </x:c>
      <x:c r="N187" s="110" t="n">
        <x:v>0.0004934909211034198</x:v>
      </x:c>
      <x:c r="O187" s="110" t="n">
        <x:v>-0.001158272079789347</x:v>
      </x:c>
      <x:c r="P187" s="110" t="n">
        <x:v>-0.0029301264169168803</x:v>
      </x:c>
      <x:c r="Q187" s="110" t="n">
        <x:v>0.00031819735145650365</x:v>
      </x:c>
      <x:c r="R187" s="110" t="n">
        <x:v>-0.001572247730148391</x:v>
      </x:c>
      <x:c r="S187" s="110" t="n">
        <x:v>0.013332590828420969</x:v>
      </x:c>
      <x:c r="T187" s="110" t="n">
        <x:v>0</x:v>
      </x:c>
      <x:c r="U187" s="110" t="n">
        <x:v>0.007483229591902113</x:v>
      </x:c>
      <x:c r="V187" s="113" t="n">
        <x:f>C187-U187</x:f>
        <x:v>0</x:v>
      </x:c>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64" t="str">
        <x:v>2019-12</x:v>
      </x:c>
      <x:c r="B188" s="110" t="n">
        <x:v>-0.006909762176782408</x:v>
      </x:c>
      <x:c r="C188" s="110" t="n">
        <x:v>-0.004610768242158696</x:v>
      </x:c>
      <x:c r="D188" s="110" t="n">
        <x:v>-0.002298993934623712</x:v>
      </x:c>
      <x:c r="E188" s="112" t="n">
        <x:v>3378.0506451612882</x:v>
      </x:c>
      <x:c r="F188" s="112" t="n">
        <x:v>3385.8256970794605</x:v>
      </x:c>
      <x:c r="G188" s="110" t="n">
        <x:v>0.004938013250958489</x:v>
      </x:c>
      <x:c r="H188" s="110" t="n">
        <x:v>-0.0011991516669324653</x:v>
      </x:c>
      <x:c r="I188" s="110" t="n">
        <x:v>-0.0004595976638097443</x:v>
      </x:c>
      <x:c r="J188" s="110" t="n">
        <x:v>-0.0018386542911755148</x:v>
      </x:c>
      <x:c r="K188" s="110" t="n">
        <x:v>-0.00003727630673311933</x:v>
      </x:c>
      <x:c r="L188" s="110" t="n">
        <x:v>-0.0014947246475601743</x:v>
      </x:c>
      <x:c r="M188" s="110" t="n">
        <x:v>0.0013299943384738524</x:v>
      </x:c>
      <x:c r="N188" s="110" t="n">
        <x:v>-0.0016424678275382798</x:v>
      </x:c>
      <x:c r="O188" s="110" t="n">
        <x:v>0.0007101944548906007</x:v>
      </x:c>
      <x:c r="P188" s="110" t="n">
        <x:v>0.0055343150747500895</x:v>
      </x:c>
      <x:c r="Q188" s="110" t="n">
        <x:v>-0.00025334184526978816</x:v>
      </x:c>
      <x:c r="R188" s="110" t="n">
        <x:v>-0.0015773218365385591</x:v>
      </x:c>
      <x:c r="S188" s="110" t="n">
        <x:v>-0.008620749275674083</x:v>
      </x:c>
      <x:c r="T188" s="110" t="n">
        <x:v>0</x:v>
      </x:c>
      <x:c r="U188" s="110" t="n">
        <x:v>-0.004610768242158697</x:v>
      </x:c>
      <x:c r="V188" s="113" t="n">
        <x:f>C188-U188</x:f>
        <x:v>8.673617379884035e-19</x:v>
      </x:c>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64" t="str">
        <x:v>2020-01</x:v>
      </x:c>
      <x:c r="B189" s="110" t="n">
        <x:v>-0.01999136436821125</x:v>
      </x:c>
      <x:c r="C189" s="110" t="n">
        <x:v>-0.01034017601046464</x:v>
      </x:c>
      <x:c r="D189" s="110" t="n">
        <x:v>-0.00965118835774661</x:v>
      </x:c>
      <x:c r="E189" s="112" t="n">
        <x:v>3311.1893548387106</x:v>
      </x:c>
      <x:c r="F189" s="112" t="n">
        <x:v>3343.3009753857555</x:v>
      </x:c>
      <x:c r="G189" s="110" t="n">
        <x:v>0.004938013250958489</x:v>
      </x:c>
      <x:c r="H189" s="110" t="n">
        <x:v>0.004100752331084471</x:v>
      </x:c>
      <x:c r="I189" s="110" t="n">
        <x:v>0.0004016285399891273</x:v>
      </x:c>
      <x:c r="J189" s="110" t="n">
        <x:v>0</x:v>
      </x:c>
      <x:c r="K189" s="110" t="n">
        <x:v>-0.00016930785320607642</x:v>
      </x:c>
      <x:c r="L189" s="110" t="n">
        <x:v>-0.0014575906026960974</x:v>
      </x:c>
      <x:c r="M189" s="110" t="n">
        <x:v>0.00018844851395563635</x:v>
      </x:c>
      <x:c r="N189" s="110" t="n">
        <x:v>-0.00014561113133548302</x:v>
      </x:c>
      <x:c r="O189" s="110" t="n">
        <x:v>-0.0011588215711399955</x:v>
      </x:c>
      <x:c r="P189" s="110" t="n">
        <x:v>-0.012123474547834913</x:v>
      </x:c>
      <x:c r="Q189" s="110" t="n">
        <x:v>0.00013430914363616976</x:v>
      </x:c>
      <x:c r="R189" s="110" t="n">
        <x:v>-0.0015924933460586574</x:v>
      </x:c>
      <x:c r="S189" s="110" t="n">
        <x:v>-0.00345602873781731</x:v>
      </x:c>
      <x:c r="T189" s="110" t="n">
        <x:v>0</x:v>
      </x:c>
      <x:c r="U189" s="110" t="n">
        <x:v>-0.01034017601046464</x:v>
      </x:c>
      <x:c r="V189" s="113" t="n">
        <x:f>C189-U189</x:f>
        <x:v>0</x:v>
      </x:c>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64" t="str">
        <x:v>2020-02</x:v>
      </x:c>
      <x:c r="B190" s="110" t="n">
        <x:v>0.02971352396540361</x:v>
      </x:c>
      <x:c r="C190" s="110" t="n">
        <x:v>0.041060537445032755</x:v>
      </x:c>
      <x:c r="D190" s="110" t="n">
        <x:v>-0.011347013479629145</x:v>
      </x:c>
      <x:c r="E190" s="112" t="n">
        <x:v>3411.052758620691</x:v>
      </x:c>
      <x:c r="F190" s="112" t="n">
        <x:v>3449.97844775755</x:v>
      </x:c>
      <x:c r="G190" s="110" t="n">
        <x:v>0.004938013250958489</x:v>
      </x:c>
      <x:c r="H190" s="110" t="n">
        <x:v>0.004838944375523465</x:v>
      </x:c>
      <x:c r="I190" s="110" t="n">
        <x:v>-0.0003495150384000231</x:v>
      </x:c>
      <x:c r="J190" s="110" t="n">
        <x:v>0</x:v>
      </x:c>
      <x:c r="K190" s="110" t="n">
        <x:v>-0.00013648367996992733</x:v>
      </x:c>
      <x:c r="L190" s="110" t="n">
        <x:v>0.003298602482933078</x:v>
      </x:c>
      <x:c r="M190" s="110" t="n">
        <x:v>0.004845682165671602</x:v>
      </x:c>
      <x:c r="N190" s="110" t="n">
        <x:v>0.0003969629646428437</x:v>
      </x:c>
      <x:c r="O190" s="110" t="n">
        <x:v>-0.0015759593981121743</x:v>
      </x:c>
      <x:c r="P190" s="110" t="n">
        <x:v>0.011100852888563007</x:v>
      </x:c>
      <x:c r="Q190" s="110" t="n">
        <x:v>0.0002068046753041495</x:v>
      </x:c>
      <x:c r="R190" s="110" t="n">
        <x:v>-0.001468990686234878</x:v>
      </x:c>
      <x:c r="S190" s="110" t="n">
        <x:v>0.014965623444153123</x:v>
      </x:c>
      <x:c r="T190" s="110" t="n">
        <x:v>0</x:v>
      </x:c>
      <x:c r="U190" s="110" t="n">
        <x:v>0.041060537445032755</x:v>
      </x:c>
      <x:c r="V190" s="113" t="n">
        <x:f>C190-U190</x:f>
        <x:v>0</x:v>
      </x:c>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64" t="str">
        <x:v>2020-03</x:v>
      </x:c>
      <x:c r="B191" s="110" t="n">
        <x:v>0.1280531686447226</x:v>
      </x:c>
      <x:c r="C191" s="110" t="n">
        <x:v>0.13048509558365623</x:v>
      </x:c>
      <x:c r="D191" s="110" t="n">
        <x:v>-0.002431926938933626</x:v>
      </x:c>
      <x:c r="E191" s="112" t="n">
        <x:v>3877.048387096777</x:v>
      </x:c>
      <x:c r="F191" s="112" t="n">
        <x:v>3886.488559765376</x:v>
      </x:c>
      <x:c r="G191" s="110" t="n">
        <x:v>0.004938013250958489</x:v>
      </x:c>
      <x:c r="H191" s="110" t="n">
        <x:v>0.019263351226529946</x:v>
      </x:c>
      <x:c r="I191" s="110" t="n">
        <x:v>0.00024414294084271437</x:v>
      </x:c>
      <x:c r="J191" s="110" t="n">
        <x:v>0.0001969986740545209</x:v>
      </x:c>
      <x:c r="K191" s="110" t="n">
        <x:v>0.000176993595587689</x:v>
      </x:c>
      <x:c r="L191" s="110" t="n">
        <x:v>0.00969980338719126</x:v>
      </x:c>
      <x:c r="M191" s="110" t="n">
        <x:v>0.015278619681317314</x:v>
      </x:c>
      <x:c r="N191" s="110" t="n">
        <x:v>0.026202738095277615</x:v>
      </x:c>
      <x:c r="O191" s="110" t="n">
        <x:v>-0.0011431682749192208</x:v>
      </x:c>
      <x:c r="P191" s="110" t="n">
        <x:v>0.007132117983762372</x:v>
      </x:c>
      <x:c r="Q191" s="110" t="n">
        <x:v>-0.00037534040430464846</x:v>
      </x:c>
      <x:c r="R191" s="110" t="n">
        <x:v>-0.0014325346326836805</x:v>
      </x:c>
      <x:c r="S191" s="110" t="n">
        <x:v>0.05295916103343353</x:v>
      </x:c>
      <x:c r="T191" s="110" t="n">
        <x:v>-0.0026558009733916726</x:v>
      </x:c>
      <x:c r="U191" s="110" t="n">
        <x:v>0.13048509558365623</x:v>
      </x:c>
      <x:c r="V191" s="113" t="n">
        <x:f>C191-U191</x:f>
        <x:v>0</x:v>
      </x:c>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64" t="str">
        <x:v>2020-04</x:v>
      </x:c>
      <x:c r="B192" s="110" t="n">
        <x:v>0.025552524192967496</x:v>
      </x:c>
      <x:c r="C192" s="110" t="n">
        <x:v>0.028387357018048422</x:v>
      </x:c>
      <x:c r="D192" s="110" t="n">
        <x:v>-0.002834832825080926</x:v>
      </x:c>
      <x:c r="E192" s="112" t="n">
        <x:v>3977.3933333333357</x:v>
      </x:c>
      <x:c r="F192" s="112" t="n">
        <x:v>3988.6845753430453</x:v>
      </x:c>
      <x:c r="G192" s="110" t="n">
        <x:v>0.004938013250958489</x:v>
      </x:c>
      <x:c r="H192" s="110" t="n">
        <x:v>0.002990942476445819</x:v>
      </x:c>
      <x:c r="I192" s="110" t="n">
        <x:v>0.0015849509978823927</x:v>
      </x:c>
      <x:c r="J192" s="110" t="n">
        <x:v>-0.00589513236444868</x:v>
      </x:c>
      <x:c r="K192" s="110" t="n">
        <x:v>0.00007528566707884193</x:v>
      </x:c>
      <x:c r="L192" s="110" t="n">
        <x:v>0.004941260925636949</x:v>
      </x:c>
      <x:c r="M192" s="110" t="n">
        <x:v>-0.004691897864575331</x:v>
      </x:c>
      <x:c r="N192" s="110" t="n">
        <x:v>0.006635964610120118</x:v>
      </x:c>
      <x:c r="O192" s="110" t="n">
        <x:v>0.0018115657725100572</x:v>
      </x:c>
      <x:c r="P192" s="110" t="n">
        <x:v>0.007886149271148498</x:v>
      </x:c>
      <x:c r="Q192" s="110" t="n">
        <x:v>-0.0004731891789178108</x:v>
      </x:c>
      <x:c r="R192" s="110" t="n">
        <x:v>-0.002384347704974195</x:v>
      </x:c>
      <x:c r="S192" s="110" t="n">
        <x:v>0.01362359213257495</x:v>
      </x:c>
      <x:c r="T192" s="110" t="n">
        <x:v>-0.0026558009733916726</x:v>
      </x:c>
      <x:c r="U192" s="110" t="n">
        <x:v>0.028387357018048426</x:v>
      </x:c>
      <x:c r="V192" s="113" t="n">
        <x:f>C192-U192</x:f>
        <x:v>-3.469446951953614e-18</x:v>
      </x:c>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64" t="str">
        <x:v>2020-05</x:v>
      </x:c>
      <x:c r="B193" s="110" t="n">
        <x:v>-0.030428083722435773</x:v>
      </x:c>
      <x:c r="C193" s="110" t="n">
        <x:v>-0.03569484348645232</x:v>
      </x:c>
      <x:c r="D193" s="110" t="n">
        <x:v>0.005266759764016547</x:v>
      </x:c>
      <x:c r="E193" s="112" t="n">
        <x:v>3858.1916129032247</x:v>
      </x:c>
      <x:c r="F193" s="112" t="n">
        <x:v>3837.9248614579074</x:v>
      </x:c>
      <x:c r="G193" s="110" t="n">
        <x:v>0.004938013250958489</x:v>
      </x:c>
      <x:c r="H193" s="110" t="n">
        <x:v>-0.002990942476445819</x:v>
      </x:c>
      <x:c r="I193" s="110" t="n">
        <x:v>-0.0024828507268819266</x:v>
      </x:c>
      <x:c r="J193" s="110" t="n">
        <x:v>-0.0008684887780898166</x:v>
      </x:c>
      <x:c r="K193" s="110" t="n">
        <x:v>-0.0004770038448369418</x:v>
      </x:c>
      <x:c r="L193" s="110" t="n">
        <x:v>-0.0014467647160281748</x:v>
      </x:c>
      <x:c r="M193" s="110" t="n">
        <x:v>-0.004162337019819125</x:v>
      </x:c>
      <x:c r="N193" s="110" t="n">
        <x:v>-0.008132106475044877</x:v>
      </x:c>
      <x:c r="O193" s="110" t="n">
        <x:v>-0.0028024521207839193</x:v>
      </x:c>
      <x:c r="P193" s="110" t="n">
        <x:v>-0.010691090731658399</x:v>
      </x:c>
      <x:c r="Q193" s="110" t="n">
        <x:v>0.0010898448178714244</x:v>
      </x:c>
      <x:c r="R193" s="110" t="n">
        <x:v>-0.0019937050335459817</x:v>
      </x:c>
      <x:c r="S193" s="110" t="n">
        <x:v>-0.0030191586587555845</x:v>
      </x:c>
      <x:c r="T193" s="110" t="n">
        <x:v>-0.0026558009733916726</x:v>
      </x:c>
      <x:c r="U193" s="110" t="n">
        <x:v>-0.03569484348645232</x:v>
      </x:c>
      <x:c r="V193" s="113" t="n">
        <x:f>C193-U193</x:f>
        <x:v>0</x:v>
      </x:c>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64" t="str">
        <x:v>2020-06</x:v>
      </x:c>
      <x:c r="B194" s="110" t="n">
        <x:v>-0.04143225035767806</x:v>
      </x:c>
      <x:c r="C194" s="110" t="n">
        <x:v>-0.05071630965464428</x:v>
      </x:c>
      <x:c r="D194" s="110" t="n">
        <x:v>0.00928405929696622</x:v>
      </x:c>
      <x:c r="E194" s="112" t="n">
        <x:v>3701.6043333333364</x:v>
      </x:c>
      <x:c r="F194" s="112" t="n">
        <x:v>3667.397454256882</x:v>
      </x:c>
      <x:c r="G194" s="110" t="n">
        <x:v>0.004938013250958489</x:v>
      </x:c>
      <x:c r="H194" s="110" t="n">
        <x:v>-0.006484642710546318</x:v>
      </x:c>
      <x:c r="I194" s="110" t="n">
        <x:v>-0.0021140442968806527</x:v>
      </x:c>
      <x:c r="J194" s="110" t="n">
        <x:v>0.0029655714373798604</x:v>
      </x:c>
      <x:c r="K194" s="110" t="n">
        <x:v>-0.00036575744451999826</x:v>
      </x:c>
      <x:c r="L194" s="110" t="n">
        <x:v>-0.006484867967167784</x:v>
      </x:c>
      <x:c r="M194" s="110" t="n">
        <x:v>0.00010163659277242414</x:v>
      </x:c>
      <x:c r="N194" s="110" t="n">
        <x:v>-0.007294267030687006</x:v>
      </x:c>
      <x:c r="O194" s="110" t="n">
        <x:v>-0.01294632915353028</x:v>
      </x:c>
      <x:c r="P194" s="110" t="n">
        <x:v>-0.005121458488819024</x:v>
      </x:c>
      <x:c r="Q194" s="110" t="n">
        <x:v>0.0009651421472553562</x:v>
      </x:c>
      <x:c r="R194" s="110" t="n">
        <x:v>-0.0011625820723014041</x:v>
      </x:c>
      <x:c r="S194" s="110" t="n">
        <x:v>-0.017712723918557934</x:v>
      </x:c>
      <x:c r="T194" s="110" t="n">
        <x:v>0</x:v>
      </x:c>
      <x:c r="U194" s="110" t="n">
        <x:v>-0.05071630965464427</x:v>
      </x:c>
      <x:c r="V194" s="113" t="n">
        <x:f>C194-U194</x:f>
        <x:v>-6.938893903907228e-18</x:v>
      </x:c>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64" t="str">
        <x:v>2020-07</x:v>
      </x:c>
      <x:c r="B195" s="110" t="n">
        <x:v>-0.011886200364893185</x:v>
      </x:c>
      <x:c r="C195" s="110" t="n">
        <x:v>-0.0044495583873999135</x:v>
      </x:c>
      <x:c r="D195" s="110" t="n">
        <x:v>-0.007436641977493271</x:v>
      </x:c>
      <x:c r="E195" s="112" t="n">
        <x:v>3657.866774193545</x:v>
      </x:c>
      <x:c r="F195" s="112" t="n">
        <x:v>3685.1704176727444</x:v>
      </x:c>
      <x:c r="G195" s="110" t="n">
        <x:v>0.004938013250958489</x:v>
      </x:c>
      <x:c r="H195" s="110" t="n">
        <x:v>-0.007556070494274053</x:v>
      </x:c>
      <x:c r="I195" s="110" t="n">
        <x:v>0.000007058304857686118</x:v>
      </x:c>
      <x:c r="J195" s="110" t="n">
        <x:v>0.0037980497051586363</x:v>
      </x:c>
      <x:c r="K195" s="110" t="n">
        <x:v>-0.0006337397757133668</x:v>
      </x:c>
      <x:c r="L195" s="110" t="n">
        <x:v>-0.0022130161742087875</x:v>
      </x:c>
      <x:c r="M195" s="110" t="n">
        <x:v>-0.0020948413644897978</x:v>
      </x:c>
      <x:c r="N195" s="110" t="n">
        <x:v>-0.002300655875100686</x:v>
      </x:c>
      <x:c r="O195" s="110" t="n">
        <x:v>-0.001322967302790072</x:v>
      </x:c>
      <x:c r="P195" s="110" t="n">
        <x:v>0.0018072497588779055</x:v>
      </x:c>
      <x:c r="Q195" s="110" t="n">
        <x:v>-0.0014163173007784992</x:v>
      </x:c>
      <x:c r="R195" s="110" t="n">
        <x:v>-0.0008102110047810882</x:v>
      </x:c>
      <x:c r="S195" s="110" t="n">
        <x:v>0.0033478898848837185</x:v>
      </x:c>
      <x:c r="T195" s="110" t="n">
        <x:v>0</x:v>
      </x:c>
      <x:c r="U195" s="110" t="n">
        <x:v>-0.004449558387399915</x:v>
      </x:c>
      <x:c r="V195" s="113" t="n">
        <x:f>C195-U195</x:f>
        <x:v>1.734723475976807e-18</x:v>
      </x:c>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64" t="str">
        <x:v>2020-08</x:v>
      </x:c>
      <x:c r="B196" s="110" t="n">
        <x:v>0.03364403840717323</x:v>
      </x:c>
      <x:c r="C196" s="110" t="n">
        <x:v>-0.0027699869195009852</x:v>
      </x:c>
      <x:c r="D196" s="110" t="n">
        <x:v>0.03641402532667421</x:v>
      </x:c>
      <x:c r="E196" s="112" t="n">
        <x:v>3783.0258064516115</x:v>
      </x:c>
      <x:c r="F196" s="112" t="n">
        <x:v>3647.7485512180097</x:v>
      </x:c>
      <x:c r="G196" s="110" t="n">
        <x:v>0.004938013250958489</x:v>
      </x:c>
      <x:c r="H196" s="110" t="n">
        <x:v>-0.003353691058849375</x:v>
      </x:c>
      <x:c r="I196" s="110" t="n">
        <x:v>-0.00023466683536586727</x:v>
      </x:c>
      <x:c r="J196" s="110" t="n">
        <x:v>0.0017073218418058322</x:v>
      </x:c>
      <x:c r="K196" s="110" t="n">
        <x:v>-0.0003077744122386777</x:v>
      </x:c>
      <x:c r="L196" s="110" t="n">
        <x:v>-0.00395908901442098</x:v>
      </x:c>
      <x:c r="M196" s="110" t="n">
        <x:v>-0.0022549373302381197</x:v>
      </x:c>
      <x:c r="N196" s="110" t="n">
        <x:v>-0.004728580310942507</x:v>
      </x:c>
      <x:c r="O196" s="110" t="n">
        <x:v>-0.0017512659011949161</x:v>
      </x:c>
      <x:c r="P196" s="110" t="n">
        <x:v>0.0013355267805140374</x:v>
      </x:c>
      <x:c r="Q196" s="110" t="n">
        <x:v>-0.0000558513738206757</x:v>
      </x:c>
      <x:c r="R196" s="110" t="n">
        <x:v>-0.000545133561136418</x:v>
      </x:c>
      <x:c r="S196" s="110" t="n">
        <x:v>0.006440141005428192</x:v>
      </x:c>
      <x:c r="T196" s="110" t="n">
        <x:v>0</x:v>
      </x:c>
      <x:c r="U196" s="110" t="n">
        <x:v>-0.0027699869195009852</x:v>
      </x:c>
      <x:c r="V196" s="113" t="n">
        <x:f>C196-U196</x:f>
        <x:v>0</x:v>
      </x:c>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64" t="str">
        <x:v>2020-09</x:v>
      </x:c>
      <x:c r="B197" s="110" t="n">
        <x:v>-0.008710906761237425</x:v>
      </x:c>
      <x:c r="C197" s="110" t="n">
        <x:v>0.0027423389694422287</x:v>
      </x:c>
      <x:c r="D197" s="110" t="n">
        <x:v>-0.011453245730679653</x:v>
      </x:c>
      <x:c r="E197" s="112" t="n">
        <x:v>3750.215333333332</x:v>
      </x:c>
      <x:c r="F197" s="112" t="n">
        <x:v>3793.414383532392</x:v>
      </x:c>
      <x:c r="G197" s="110" t="n">
        <x:v>0.004938013250958489</x:v>
      </x:c>
      <x:c r="H197" s="110" t="n">
        <x:v>0.0005687118020388139</x:v>
      </x:c>
      <x:c r="I197" s="110" t="n">
        <x:v>-0.0004710195247775035</x:v>
      </x:c>
      <x:c r="J197" s="110" t="n">
        <x:v>0.001601408576185126</x:v>
      </x:c>
      <x:c r="K197" s="110" t="n">
        <x:v>-0.00026702139939980884</x:v>
      </x:c>
      <x:c r="L197" s="110" t="n">
        <x:v>-0.0013802737563351488</x:v>
      </x:c>
      <x:c r="M197" s="110" t="n">
        <x:v>0.00267453150150673</x:v>
      </x:c>
      <x:c r="N197" s="110" t="n">
        <x:v>0.0019538626288753643</x:v>
      </x:c>
      <x:c r="O197" s="110" t="n">
        <x:v>-0.0010652747642930338</x:v>
      </x:c>
      <x:c r="P197" s="110" t="n">
        <x:v>0.004539522634600591</x:v>
      </x:c>
      <x:c r="Q197" s="110" t="n">
        <x:v>-0.00001353338147354186</x:v>
      </x:c>
      <x:c r="R197" s="110" t="n">
        <x:v>-0.0006531965370598302</x:v>
      </x:c>
      <x:c r="S197" s="110" t="n">
        <x:v>-0.009683392061384022</x:v>
      </x:c>
      <x:c r="T197" s="110" t="n">
        <x:v>0</x:v>
      </x:c>
      <x:c r="U197" s="110" t="n">
        <x:v>0.0027423389694422283</x:v>
      </x:c>
      <x:c r="V197" s="113" t="n">
        <x:f>C197-U197</x:f>
        <x:v>4.336808689942018e-19</x:v>
      </x:c>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64" t="str">
        <x:v>2020-10</x:v>
      </x:c>
      <x:c r="B198" s="110" t="n">
        <x:v>0.022040188777129543</x:v>
      </x:c>
      <x:c r="C198" s="110" t="n">
        <x:v>0.01476454847273021</x:v>
      </x:c>
      <x:c r="D198" s="110" t="n">
        <x:v>0.007275640304399334</x:v>
      </x:c>
      <x:c r="E198" s="112" t="n">
        <x:v>3833.7883870967758</x:v>
      </x:c>
      <x:c r="F198" s="112" t="n">
        <x:v>3805.996346830621</x:v>
      </x:c>
      <x:c r="G198" s="110" t="n">
        <x:v>0.004938013250958489</x:v>
      </x:c>
      <x:c r="H198" s="110" t="n">
        <x:v>0.0004803635778740292</x:v>
      </x:c>
      <x:c r="I198" s="110" t="n">
        <x:v>0.0007479162772298988</x:v>
      </x:c>
      <x:c r="J198" s="110" t="n">
        <x:v>0.0018460682197689621</x:v>
      </x:c>
      <x:c r="K198" s="110" t="n">
        <x:v>-0.0005201424708593984</x:v>
      </x:c>
      <x:c r="L198" s="110" t="n">
        <x:v>-0.0012976086135263174</x:v>
      </x:c>
      <x:c r="M198" s="110" t="n">
        <x:v>0.0008888896717629553</x:v>
      </x:c>
      <x:c r="N198" s="110" t="n">
        <x:v>-0.0020508652333045482</x:v>
      </x:c>
      <x:c r="O198" s="110" t="n">
        <x:v>0.0010324570027966196</x:v>
      </x:c>
      <x:c r="P198" s="110" t="n">
        <x:v>0.0021986187459679387</x:v>
      </x:c>
      <x:c r="Q198" s="110" t="n">
        <x:v>-0.0002424276482903742</x:v>
      </x:c>
      <x:c r="R198" s="110" t="n">
        <x:v>-0.000812745273991048</x:v>
      </x:c>
      <x:c r="S198" s="110" t="n">
        <x:v>0.007556010966343003</x:v>
      </x:c>
      <x:c r="T198" s="110" t="n">
        <x:v>0</x:v>
      </x:c>
      <x:c r="U198" s="110" t="n">
        <x:v>0.01476454847273021</x:v>
      </x:c>
      <x:c r="V198" s="113" t="n">
        <x:f>C198-U198</x:f>
        <x:v>0</x:v>
      </x:c>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64" t="str">
        <x:v>2020-11</x:v>
      </x:c>
      <x:c r="B199" s="110" t="n">
        <x:v>-0.03941287935321114</x:v>
      </x:c>
      <x:c r="C199" s="110" t="n">
        <x:v>-0.020200794851721632</x:v>
      </x:c>
      <x:c r="D199" s="110" t="n">
        <x:v>-0.019212084501489507</x:v>
      </x:c>
      <x:c r="E199" s="112" t="n">
        <x:v>3685.6266666666693</x:v>
      </x:c>
      <x:c r="F199" s="112" t="n">
        <x:v>3757.119804711095</x:v>
      </x:c>
      <x:c r="G199" s="110" t="n">
        <x:v>0.004938013250958489</x:v>
      </x:c>
      <x:c r="H199" s="110" t="n">
        <x:v>-0.0015862316670335692</x:v>
      </x:c>
      <x:c r="I199" s="110" t="n">
        <x:v>0.0005167387949015688</x:v>
      </x:c>
      <x:c r="J199" s="110" t="n">
        <x:v>0.001477490055408895</x:v>
      </x:c>
      <x:c r="K199" s="110" t="n">
        <x:v>0.0004421734914717888</x:v>
      </x:c>
      <x:c r="L199" s="110" t="n">
        <x:v>-0.003911030212170772</x:v>
      </x:c>
      <x:c r="M199" s="110" t="n">
        <x:v>-0.0023169820619437977</x:v>
      </x:c>
      <x:c r="N199" s="110" t="n">
        <x:v>-0.0034477027370848567</x:v>
      </x:c>
      <x:c r="O199" s="110" t="n">
        <x:v>0.0002982040087087473</x:v>
      </x:c>
      <x:c r="P199" s="110" t="n">
        <x:v>-0.0007960649253667305</x:v>
      </x:c>
      <x:c r="Q199" s="110" t="n">
        <x:v>0.00006203278616670586</x:v>
      </x:c>
      <x:c r="R199" s="110" t="n">
        <x:v>-0.0011064728461192789</x:v>
      </x:c>
      <x:c r="S199" s="110" t="n">
        <x:v>-0.014770962789618824</x:v>
      </x:c>
      <x:c r="T199" s="110" t="n">
        <x:v>0</x:v>
      </x:c>
      <x:c r="U199" s="110" t="n">
        <x:v>-0.020200794851721632</x:v>
      </x:c>
      <x:c r="V199" s="113" t="n">
        <x:f>C199-U199</x:f>
        <x:v>0</x:v>
      </x:c>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64" t="str">
        <x:v>2020-12</x:v>
      </x:c>
      <x:c r="B200" s="110" t="n">
        <x:v>-0.061402709775904896</x:v>
      </x:c>
      <x:c r="C200" s="110" t="n">
        <x:v>-0.03396523110815125</x:v>
      </x:c>
      <x:c r="D200" s="110" t="n">
        <x:v>-0.027437478667753645</x:v>
      </x:c>
      <x:c r="E200" s="112" t="n">
        <x:v>3466.127096774195</x:v>
      </x:c>
      <x:c r="F200" s="112" t="n">
        <x:v>3562.545576340657</x:v>
      </x:c>
      <x:c r="G200" s="110" t="n">
        <x:v>0.004938013250958489</x:v>
      </x:c>
      <x:c r="H200" s="110" t="n">
        <x:v>-0.004007983885500813</x:v>
      </x:c>
      <x:c r="I200" s="110" t="n">
        <x:v>0.0006207699930590904</x:v>
      </x:c>
      <x:c r="J200" s="110" t="n">
        <x:v>0</x:v>
      </x:c>
      <x:c r="K200" s="110" t="n">
        <x:v>-0.00020756992302472865</x:v>
      </x:c>
      <x:c r="L200" s="110" t="n">
        <x:v>-0.005203292826347739</x:v>
      </x:c>
      <x:c r="M200" s="110" t="n">
        <x:v>-0.0015689755243310122</x:v>
      </x:c>
      <x:c r="N200" s="110" t="n">
        <x:v>-0.001178528031468777</x:v>
      </x:c>
      <x:c r="O200" s="110" t="n">
        <x:v>-0.0016281272164014387</x:v>
      </x:c>
      <x:c r="P200" s="110" t="n">
        <x:v>-0.007548830292082896</x:v>
      </x:c>
      <x:c r="Q200" s="110" t="n">
        <x:v>0.0004583254337815749</x:v>
      </x:c>
      <x:c r="R200" s="110" t="n">
        <x:v>-0.0010353004042180467</x:v>
      </x:c>
      <x:c r="S200" s="110" t="n">
        <x:v>-0.017603731682574952</x:v>
      </x:c>
      <x:c r="T200" s="110" t="n">
        <x:v>0</x:v>
      </x:c>
      <x:c r="U200" s="110" t="n">
        <x:v>-0.03396523110815125</x:v>
      </x:c>
      <x:c r="V200" s="113" t="n">
        <x:f>C200-U200</x:f>
        <x:v>0</x:v>
      </x:c>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64" t="str">
        <x:v>2021-01</x:v>
      </x:c>
      <x:c r="B201" s="110" t="n">
        <x:v>0.007242489972684396</x:v>
      </x:c>
      <x:c r="C201" s="110" t="n">
        <x:v>-0.002838624193539897</x:v>
      </x:c>
      <x:c r="D201" s="110" t="n">
        <x:v>0.010081114166224293</x:v>
      </x:c>
      <x:c r="E201" s="112" t="n">
        <x:v>3491.321612903226</x:v>
      </x:c>
      <x:c r="F201" s="112" t="n">
        <x:v>3456.3020159927783</x:v>
      </x:c>
      <x:c r="G201" s="110" t="n">
        <x:v>0.004938013250958489</x:v>
      </x:c>
      <x:c r="H201" s="110" t="n">
        <x:v>-0.003032044297940066</x:v>
      </x:c>
      <x:c r="I201" s="110" t="n">
        <x:v>0.00011554434991459543</x:v>
      </x:c>
      <x:c r="J201" s="110" t="n">
        <x:v>0</x:v>
      </x:c>
      <x:c r="K201" s="110" t="n">
        <x:v>-0.0004469742519203139</x:v>
      </x:c>
      <x:c r="L201" s="110" t="n">
        <x:v>-0.000986021177155274</x:v>
      </x:c>
      <x:c r="M201" s="110" t="n">
        <x:v>0.001520451679605798</x:v>
      </x:c>
      <x:c r="N201" s="110" t="n">
        <x:v>0.0009832075330588191</x:v>
      </x:c>
      <x:c r="O201" s="110" t="n">
        <x:v>-0.008771419982587831</x:v>
      </x:c>
      <x:c r="P201" s="110" t="n">
        <x:v>-0.00028656641163110977</x:v>
      </x:c>
      <x:c r="Q201" s="110" t="n">
        <x:v>0.0008079279415693514</x:v>
      </x:c>
      <x:c r="R201" s="110" t="n">
        <x:v>-0.0009379457376657518</x:v>
      </x:c>
      <x:c r="S201" s="110" t="n">
        <x:v>0.0032572029102533964</x:v>
      </x:c>
      <x:c r="T201" s="110" t="n">
        <x:v>0</x:v>
      </x:c>
      <x:c r="U201" s="110" t="n">
        <x:v>-0.002838624193539897</x:v>
      </x:c>
      <x:c r="V201" s="113" t="n">
        <x:f>C201-U201</x:f>
        <x:v>0</x:v>
      </x:c>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64" t="str">
        <x:v>2021-02</x:v>
      </x:c>
      <x:c r="B202" s="110" t="n">
        <x:v>0.01793526192511763</x:v>
      </x:c>
      <x:c r="C202" s="110" t="n">
        <x:v>0.013098041101003334</x:v>
      </x:c>
      <x:c r="D202" s="110" t="n">
        <x:v>0.004837220824114296</x:v>
      </x:c>
      <x:c r="E202" s="112" t="n">
        <x:v>3554.504285714289</x:v>
      </x:c>
      <x:c r="F202" s="112" t="n">
        <x:v>3537.3518819915857</x:v>
      </x:c>
      <x:c r="G202" s="110" t="n">
        <x:v>0.004938013250958489</x:v>
      </x:c>
      <x:c r="H202" s="110" t="n">
        <x:v>0.0004947399737651382</x:v>
      </x:c>
      <x:c r="I202" s="110" t="n">
        <x:v>0.00010038012673738598</x:v>
      </x:c>
      <x:c r="J202" s="110" t="n">
        <x:v>0</x:v>
      </x:c>
      <x:c r="K202" s="110" t="n">
        <x:v>0.00034888889032213405</x:v>
      </x:c>
      <x:c r="L202" s="110" t="n">
        <x:v>0.0012674104519368966</x:v>
      </x:c>
      <x:c r="M202" s="110" t="n">
        <x:v>-0.0010434687951735551</x:v>
      </x:c>
      <x:c r="N202" s="110" t="n">
        <x:v>-0.00039932190786035656</x:v>
      </x:c>
      <x:c r="O202" s="110" t="n">
        <x:v>0.00014472602347876822</x:v>
      </x:c>
      <x:c r="P202" s="110" t="n">
        <x:v>0.0047333880462458455</x:v>
      </x:c>
      <x:c r="Q202" s="110" t="n">
        <x:v>-0.0011108102360027306</x:v>
      </x:c>
      <x:c r="R202" s="110" t="n">
        <x:v>-0.0009131507172804012</x:v>
      </x:c>
      <x:c r="S202" s="110" t="n">
        <x:v>0.004537245993875719</x:v>
      </x:c>
      <x:c r="T202" s="110" t="n">
        <x:v>0</x:v>
      </x:c>
      <x:c r="U202" s="110" t="n">
        <x:v>0.013098041101003332</x:v>
      </x:c>
      <x:c r="V202" s="113" t="n">
        <x:f>C202-U202</x:f>
        <x:v>1.734723475976807e-18</x:v>
      </x:c>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64" t="str">
        <x:v>2021-03</x:v>
      </x:c>
      <x:c r="B203" s="110" t="n">
        <x:v>0.01625873258315025</x:v>
      </x:c>
      <x:c r="C203" s="110" t="n">
        <x:v>0.015699503635836862</x:v>
      </x:c>
      <x:c r="D203" s="110" t="n">
        <x:v>0.0005592289473133859</x:v>
      </x:c>
      <x:c r="E203" s="112" t="n">
        <x:v>3612.768387096772</x:v>
      </x:c>
      <x:c r="F203" s="112" t="n">
        <x:v>3610.7485872526777</x:v>
      </x:c>
      <x:c r="G203" s="110" t="n">
        <x:v>0.004938013250958489</x:v>
      </x:c>
      <x:c r="H203" s="110" t="n">
        <x:v>-0.0027207901356842475</x:v>
      </x:c>
      <x:c r="I203" s="110" t="n">
        <x:v>0.0007158230982409689</x:v>
      </x:c>
      <x:c r="J203" s="110" t="n">
        <x:v>-0.00006566622468483982</x:v>
      </x:c>
      <x:c r="K203" s="110" t="n">
        <x:v>-0.00029873286434926074</x:v>
      </x:c>
      <x:c r="L203" s="110" t="n">
        <x:v>0.0031310217201663496</x:v>
      </x:c>
      <x:c r="M203" s="110" t="n">
        <x:v>-0.0008171565396182146</x:v>
      </x:c>
      <x:c r="N203" s="110" t="n">
        <x:v>0.0014438619645744766</x:v>
      </x:c>
      <x:c r="O203" s="110" t="n">
        <x:v>0.0001243720697727512</x:v>
      </x:c>
      <x:c r="P203" s="110" t="n">
        <x:v>-0.0028313688897063914</x:v>
      </x:c>
      <x:c r="Q203" s="110" t="n">
        <x:v>-0.00013182803270842038</x:v>
      </x:c>
      <x:c r="R203" s="110" t="n">
        <x:v>-0.0008239966126634855</x:v>
      </x:c>
      <x:c r="S203" s="110" t="n">
        <x:v>0.013035950831538686</x:v>
      </x:c>
      <x:c r="T203" s="110" t="n">
        <x:v>0</x:v>
      </x:c>
      <x:c r="U203" s="110" t="n">
        <x:v>0.015699503635836862</x:v>
      </x:c>
      <x:c r="V203" s="113" t="n">
        <x:f>C203-U203</x:f>
        <x:v>0</x:v>
      </x:c>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64" t="str">
        <x:v>2021-04</x:v>
      </x:c>
      <x:c r="B204" s="110" t="n">
        <x:v>0.010465403052451805</x:v>
      </x:c>
      <x:c r="C204" s="110" t="n">
        <x:v>-0.0022381776306886468</x:v>
      </x:c>
      <x:c r="D204" s="110" t="n">
        <x:v>0.012703580683140451</x:v>
      </x:c>
      <x:c r="E204" s="112" t="n">
        <x:v>3650.776</x:v>
      </x:c>
      <x:c r="F204" s="112" t="n">
        <x:v>3604.6914119322396</x:v>
      </x:c>
      <x:c r="G204" s="110" t="n">
        <x:v>0.004938013250958489</x:v>
      </x:c>
      <x:c r="H204" s="110" t="n">
        <x:v>0.004907049692214277</x:v>
      </x:c>
      <x:c r="I204" s="110" t="n">
        <x:v>0.0007804870811035738</x:v>
      </x:c>
      <x:c r="J204" s="110" t="n">
        <x:v>-0.00006566622468483982</x:v>
      </x:c>
      <x:c r="K204" s="110" t="n">
        <x:v>0.00006407634211421267</x:v>
      </x:c>
      <x:c r="L204" s="110" t="n">
        <x:v>-0.001666679489751239</x:v>
      </x:c>
      <x:c r="M204" s="110" t="n">
        <x:v>-0.0032073120805103305</x:v>
      </x:c>
      <x:c r="N204" s="110" t="n">
        <x:v>-0.0004812673062490417</x:v>
      </x:c>
      <x:c r="O204" s="110" t="n">
        <x:v>0.00036161578411026746</x:v>
      </x:c>
      <x:c r="P204" s="110" t="n">
        <x:v>0.005363587995264052</x:v>
      </x:c>
      <x:c r="Q204" s="110" t="n">
        <x:v>-0.00016776444252522582</x:v>
      </x:c>
      <x:c r="R204" s="110" t="n">
        <x:v>-0.0008541435156465001</x:v>
      </x:c>
      <x:c r="S204" s="110" t="n">
        <x:v>-0.012210174717086342</x:v>
      </x:c>
      <x:c r="T204" s="110" t="n">
        <x:v>0</x:v>
      </x:c>
      <x:c r="U204" s="110" t="n">
        <x:v>-0.0022381776306886446</x:v>
      </x:c>
      <x:c r="V204" s="113" t="n">
        <x:f>C204-U204</x:f>
        <x:v>-2.168404344971009e-18</x:v>
      </x:c>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64" t="str">
        <x:v>2021-05</x:v>
      </x:c>
      <x:c r="B205" s="110" t="n">
        <x:v>0.02298640274513808</x:v>
      </x:c>
      <x:c r="C205" s="110" t="n">
        <x:v>0.005360474469004931</x:v>
      </x:c>
      <x:c r="D205" s="110" t="n">
        <x:v>0.01762592827613315</x:v>
      </x:c>
      <x:c r="E205" s="112" t="n">
        <x:v>3735.66612903226</x:v>
      </x:c>
      <x:c r="F205" s="112" t="n">
        <x:v>3670.3984373402172</x:v>
      </x:c>
      <x:c r="G205" s="110" t="n">
        <x:v>0.004938013250958489</x:v>
      </x:c>
      <x:c r="H205" s="110" t="n">
        <x:v>-0.0013574722055894905</x:v>
      </x:c>
      <x:c r="I205" s="110" t="n">
        <x:v>0.0035487307443066583</x:v>
      </x:c>
      <x:c r="J205" s="110" t="n">
        <x:v>0</x:v>
      </x:c>
      <x:c r="K205" s="110" t="n">
        <x:v>0.0001175289685697889</x:v>
      </x:c>
      <x:c r="L205" s="110" t="n">
        <x:v>-0.0033920257871285246</x:v>
      </x:c>
      <x:c r="M205" s="110" t="n">
        <x:v>0.001788372310787165</x:v>
      </x:c>
      <x:c r="N205" s="110" t="n">
        <x:v>0.0025401529464931373</x:v>
      </x:c>
      <x:c r="O205" s="110" t="n">
        <x:v>-0.0008938092097325477</x:v>
      </x:c>
      <x:c r="P205" s="110" t="n">
        <x:v>-0.001655340238658491</x:v>
      </x:c>
      <x:c r="Q205" s="110" t="n">
        <x:v>0.00027951007637494094</x:v>
      </x:c>
      <x:c r="R205" s="110" t="n">
        <x:v>-0.000718429488638467</x:v>
      </x:c>
      <x:c r="S205" s="110" t="n">
        <x:v>0.00016524310126227095</x:v>
      </x:c>
      <x:c r="T205" s="110" t="n">
        <x:v>0</x:v>
      </x:c>
      <x:c r="U205" s="110" t="n">
        <x:v>0.005360474469004931</x:v>
      </x:c>
      <x:c r="V205" s="113" t="n">
        <x:f>C205-U205</x:f>
        <x:v>0</x:v>
      </x:c>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64" t="str">
        <x:v>2021-06</x:v>
      </x:c>
      <x:c r="B206" s="110" t="n">
        <x:v>-0.013644046436954937</x:v>
      </x:c>
      <x:c r="C206" s="110" t="n">
        <x:v>0.0077832567381142664</x:v>
      </x:c>
      <x:c r="D206" s="110" t="n">
        <x:v>-0.021427303175069204</x:v>
      </x:c>
      <x:c r="E206" s="112" t="n">
        <x:v>3685.042666666665</x:v>
      </x:c>
      <x:c r="F206" s="112" t="n">
        <x:v>3764.8552233560317</x:v>
      </x:c>
      <x:c r="G206" s="110" t="n">
        <x:v>0.004938013250958489</x:v>
      </x:c>
      <x:c r="H206" s="110" t="n">
        <x:v>-0.003966823720904224</x:v>
      </x:c>
      <x:c r="I206" s="110" t="n">
        <x:v>0.0029291371186502776</x:v>
      </x:c>
      <x:c r="J206" s="110" t="n">
        <x:v>-0.00006566622468483982</x:v>
      </x:c>
      <x:c r="K206" s="110" t="n">
        <x:v>0.00013595760822593438</x:v>
      </x:c>
      <x:c r="L206" s="110" t="n">
        <x:v>0.0008770211498761483</x:v>
      </x:c>
      <x:c r="M206" s="110" t="n">
        <x:v>-0.0021669109221680617</x:v>
      </x:c>
      <x:c r="N206" s="110" t="n">
        <x:v>0.0010160611785972509</x:v>
      </x:c>
      <x:c r="O206" s="110" t="n">
        <x:v>-0.00028365656967246997</x:v>
      </x:c>
      <x:c r="P206" s="110" t="n">
        <x:v>-0.0030750543793106786</x:v>
      </x:c>
      <x:c r="Q206" s="110" t="n">
        <x:v>-0.00003511206914765167</x:v>
      </x:c>
      <x:c r="R206" s="110" t="n">
        <x:v>-0.0008814270564464168</x:v>
      </x:c>
      <x:c r="S206" s="110" t="n">
        <x:v>0.008361717374140508</x:v>
      </x:c>
      <x:c r="T206" s="110" t="n">
        <x:v>0</x:v>
      </x:c>
      <x:c r="U206" s="110" t="n">
        <x:v>0.007783256738114266</x:v>
      </x:c>
      <x:c r="V206" s="113" t="n">
        <x:f>C206-U206</x:f>
        <x:v>8.673617379884035e-19</x:v>
      </x:c>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64" t="str">
        <x:v>2021-07</x:v>
      </x:c>
      <x:c r="B207" s="110" t="n">
        <x:v>0.038430746223143686</x:v>
      </x:c>
      <x:c r="C207" s="110" t="n">
        <x:v>0.027690592789066337</x:v>
      </x:c>
      <x:c r="D207" s="110" t="n">
        <x:v>0.01074015343407735</x:v>
      </x:c>
      <x:c r="E207" s="112" t="n">
        <x:v>3829.418064516129</x:v>
      </x:c>
      <x:c r="F207" s="112" t="n">
        <x:v>3788.5096017582778</x:v>
      </x:c>
      <x:c r="G207" s="110" t="n">
        <x:v>0.004938013250958489</x:v>
      </x:c>
      <x:c r="H207" s="110" t="n">
        <x:v>0.0009181218323995362</x:v>
      </x:c>
      <x:c r="I207" s="110" t="n">
        <x:v>0.0015771912384197116</x:v>
      </x:c>
      <x:c r="J207" s="110" t="n">
        <x:v>0.00013133244936967963</x:v>
      </x:c>
      <x:c r="K207" s="110" t="n">
        <x:v>0.00007582170986962125</x:v>
      </x:c>
      <x:c r="L207" s="110" t="n">
        <x:v>0.003536165438561863</x:v>
      </x:c>
      <x:c r="M207" s="110" t="n">
        <x:v>0.0005298962102077597</x:v>
      </x:c>
      <x:c r="N207" s="110" t="n">
        <x:v>0.0036114562862568375</x:v>
      </x:c>
      <x:c r="O207" s="110" t="n">
        <x:v>0.001096055012084115</x:v>
      </x:c>
      <x:c r="P207" s="110" t="n">
        <x:v>0.0037572121265346025</x:v>
      </x:c>
      <x:c r="Q207" s="110" t="n">
        <x:v>-0.00005195988645207268</x:v>
      </x:c>
      <x:c r="R207" s="110" t="n">
        <x:v>-0.0010259047201221986</x:v>
      </x:c>
      <x:c r="S207" s="110" t="n">
        <x:v>0.008597191840978392</x:v>
      </x:c>
      <x:c r="T207" s="110" t="n">
        <x:v>0</x:v>
      </x:c>
      <x:c r="U207" s="110" t="n">
        <x:v>0.027690592789066333</x:v>
      </x:c>
      <x:c r="V207" s="113" t="n">
        <x:f>C207-U207</x:f>
        <x:v>3.469446951953614e-18</x:v>
      </x:c>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64" t="str">
        <x:v>2021-08</x:v>
      </x:c>
      <x:c r="B208" s="110" t="n">
        <x:v>0.013427295095880254</x:v>
      </x:c>
      <x:c r="C208" s="110" t="n">
        <x:v>0.031099767462504042</x:v>
      </x:c>
      <x:c r="D208" s="110" t="n">
        <x:v>-0.01767247236662379</x:v>
      </x:c>
      <x:c r="E208" s="112" t="n">
        <x:v>3881.1835483870987</x:v>
      </x:c>
      <x:c r="F208" s="112" t="n">
        <x:v>3950.383321930009</x:v>
      </x:c>
      <x:c r="G208" s="110" t="n">
        <x:v>0.004938013250958489</x:v>
      </x:c>
      <x:c r="H208" s="110" t="n">
        <x:v>-0.000018835671613227934</x:v>
      </x:c>
      <x:c r="I208" s="110" t="n">
        <x:v>0.0014047524937392704</x:v>
      </x:c>
      <x:c r="J208" s="110" t="n">
        <x:v>0.00013133244936967963</x:v>
      </x:c>
      <x:c r="K208" s="110" t="n">
        <x:v>0.0001374801340954455</x:v>
      </x:c>
      <x:c r="L208" s="110" t="n">
        <x:v>0.0008009070450768976</x:v>
      </x:c>
      <x:c r="M208" s="110" t="n">
        <x:v>-0.00010546093111371416</x:v>
      </x:c>
      <x:c r="N208" s="110" t="n">
        <x:v>0.001532969972369061</x:v>
      </x:c>
      <x:c r="O208" s="110" t="n">
        <x:v>0.00018863703267385992</x:v>
      </x:c>
      <x:c r="P208" s="110" t="n">
        <x:v>0.0039362486274742816</x:v>
      </x:c>
      <x:c r="Q208" s="110" t="n">
        <x:v>-0.00007989439242322226</x:v>
      </x:c>
      <x:c r="R208" s="110" t="n">
        <x:v>-0.0007388958733346962</x:v>
      </x:c>
      <x:c r="S208" s="110" t="n">
        <x:v>0.018972513325231918</x:v>
      </x:c>
      <x:c r="T208" s="110" t="n">
        <x:v>0</x:v>
      </x:c>
      <x:c r="U208" s="110" t="n">
        <x:v>0.031099767462504042</x:v>
      </x:c>
      <x:c r="V208" s="113" t="n">
        <x:f>C208-U208</x:f>
        <x:v>0</x:v>
      </x:c>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64" t="str">
        <x:v>2021-09</x:v>
      </x:c>
      <x:c r="B209" s="110" t="n">
        <x:v>-0.015487273198761642</x:v>
      </x:c>
      <x:c r="C209" s="110" t="n">
        <x:v>-0.011800424155651724</x:v>
      </x:c>
      <x:c r="D209" s="110" t="n">
        <x:v>-0.0036868490431099174</x:v>
      </x:c>
      <x:c r="E209" s="112" t="n">
        <x:v>3821.5376666666657</x:v>
      </x:c>
      <x:c r="F209" s="112" t="n">
        <x:v>3835.653103910282</x:v>
      </x:c>
      <x:c r="G209" s="110" t="n">
        <x:v>0.004938013250958489</x:v>
      </x:c>
      <x:c r="H209" s="110" t="n">
        <x:v>-0.006134942225652488</x:v>
      </x:c>
      <x:c r="I209" s="110" t="n">
        <x:v>0.0009555935575935328</x:v>
      </x:c>
      <x:c r="J209" s="110" t="n">
        <x:v>-0.00006566622468483982</x:v>
      </x:c>
      <x:c r="K209" s="110" t="n">
        <x:v>0.0006742047245060029</x:v>
      </x:c>
      <x:c r="L209" s="110" t="n">
        <x:v>0.00009713834224112956</x:v>
      </x:c>
      <x:c r="M209" s="110" t="n">
        <x:v>0.0017884544321018674</x:v>
      </x:c>
      <x:c r="N209" s="110" t="n">
        <x:v>0.0006629059339974216</x:v>
      </x:c>
      <x:c r="O209" s="110" t="n">
        <x:v>0.00015460856142622564</x:v>
      </x:c>
      <x:c r="P209" s="110" t="n">
        <x:v>-0.015849886355691168</x:v>
      </x:c>
      <x:c r="Q209" s="110" t="n">
        <x:v>0.00014375245525072988</x:v>
      </x:c>
      <x:c r="R209" s="110" t="n">
        <x:v>-0.0008324102651869131</x:v>
      </x:c>
      <x:c r="S209" s="110" t="n">
        <x:v>0.0016678096574882836</x:v>
      </x:c>
      <x:c r="T209" s="110" t="n">
        <x:v>0</x:v>
      </x:c>
      <x:c r="U209" s="110" t="n">
        <x:v>-0.011800424155651726</x:v>
      </x:c>
      <x:c r="V209" s="113" t="n">
        <x:f>C209-U209</x:f>
        <x:v>1.734723475976807e-18</x:v>
      </x:c>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64" t="str">
        <x:v>2021-10</x:v>
      </x:c>
      <x:c r="B210" s="110" t="n">
        <x:v>-0.012680609294143608</x:v>
      </x:c>
      <x:c r="C210" s="110" t="n">
        <x:v>0.018055410032446814</x:v>
      </x:c>
      <x:c r="D210" s="110" t="n">
        <x:v>-0.03073601932659042</x:v>
      </x:c>
      <x:c r="E210" s="112" t="n">
        <x:v>3773.3841935483883</x:v>
      </x:c>
      <x:c r="F210" s="112" t="n">
        <x:v>3891.1637686163626</x:v>
      </x:c>
      <x:c r="G210" s="110" t="n">
        <x:v>0.004938013250958489</x:v>
      </x:c>
      <x:c r="H210" s="110" t="n">
        <x:v>-0.001735792233240846</x:v>
      </x:c>
      <x:c r="I210" s="110" t="n">
        <x:v>0.00026046571972164435</x:v>
      </x:c>
      <x:c r="J210" s="110" t="n">
        <x:v>-0.00006566622468483982</x:v>
      </x:c>
      <x:c r="K210" s="110" t="n">
        <x:v>0.00021981778300819623</x:v>
      </x:c>
      <x:c r="L210" s="110" t="n">
        <x:v>0.0014565321207427448</x:v>
      </x:c>
      <x:c r="M210" s="110" t="n">
        <x:v>-0.0014689436376621903</x:v>
      </x:c>
      <x:c r="N210" s="110" t="n">
        <x:v>0.0013438970993291186</x:v>
      </x:c>
      <x:c r="O210" s="110" t="n">
        <x:v>0.0006091611213212487</x:v>
      </x:c>
      <x:c r="P210" s="110" t="n">
        <x:v>0.008335295932888478</x:v>
      </x:c>
      <x:c r="Q210" s="110" t="n">
        <x:v>-0.00008950945347631513</x:v>
      </x:c>
      <x:c r="R210" s="110" t="n">
        <x:v>-0.0010796060296505068</x:v>
      </x:c>
      <x:c r="S210" s="110" t="n">
        <x:v>0.005331744583191592</x:v>
      </x:c>
      <x:c r="T210" s="110" t="n">
        <x:v>0</x:v>
      </x:c>
      <x:c r="U210" s="110" t="n">
        <x:v>0.018055410032446814</x:v>
      </x:c>
      <x:c r="V210" s="113" t="n">
        <x:f>C210-U210</x:f>
        <x:v>0</x:v>
      </x:c>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64" t="str">
        <x:v>2021-11</x:v>
      </x:c>
      <x:c r="B211" s="110" t="n">
        <x:v>0.03374785990134299</x:v>
      </x:c>
      <x:c r="C211" s="110" t="n">
        <x:v>0.007063767599453438</x:v>
      </x:c>
      <x:c r="D211" s="110" t="n">
        <x:v>0.026684092301889555</x:v>
      </x:c>
      <x:c r="E211" s="112" t="n">
        <x:v>3902.900999999997</x:v>
      </x:c>
      <x:c r="F211" s="112" t="n">
        <x:v>3800.1328645300746</x:v>
      </x:c>
      <x:c r="G211" s="110" t="n">
        <x:v>0.004938013250958489</x:v>
      </x:c>
      <x:c r="H211" s="110" t="n">
        <x:v>-0.0007698003932350615</x:v>
      </x:c>
      <x:c r="I211" s="110" t="n">
        <x:v>0.00015170400568752484</x:v>
      </x:c>
      <x:c r="J211" s="110" t="n">
        <x:v>-0.001641655617120994</x:v>
      </x:c>
      <x:c r="K211" s="110" t="n">
        <x:v>-0.0007062844539369433</x:v>
      </x:c>
      <x:c r="L211" s="110" t="n">
        <x:v>0.002162363552391598</x:v>
      </x:c>
      <x:c r="M211" s="110" t="n">
        <x:v>0.000489889194221808</x:v>
      </x:c>
      <x:c r="N211" s="110" t="n">
        <x:v>0.004187224287461947</x:v>
      </x:c>
      <x:c r="O211" s="110" t="n">
        <x:v>-0.0003446096117116171</x:v>
      </x:c>
      <x:c r="P211" s="110" t="n">
        <x:v>-0.002424621281169586</x:v>
      </x:c>
      <x:c r="Q211" s="110" t="n">
        <x:v>0.00023456911415621468</x:v>
      </x:c>
      <x:c r="R211" s="110" t="n">
        <x:v>-0.0011681320420495569</x:v>
      </x:c>
      <x:c r="S211" s="110" t="n">
        <x:v>0.001955107593799614</x:v>
      </x:c>
      <x:c r="T211" s="110" t="n">
        <x:v>0</x:v>
      </x:c>
      <x:c r="U211" s="110" t="n">
        <x:v>0.007063767599453438</x:v>
      </x:c>
      <x:c r="V211" s="113" t="n">
        <x:f>C211-U211</x:f>
        <x:v>0</x:v>
      </x:c>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64" t="str">
        <x:v>2021-12</x:v>
      </x:c>
      <x:c r="B212" s="110" t="n">
        <x:v>0.015314889678268884</x:v>
      </x:c>
      <x:c r="C212" s="110" t="n">
        <x:v>0.030594154636749034</x:v>
      </x:c>
      <x:c r="D212" s="110" t="n">
        <x:v>-0.01527926495848015</x:v>
      </x:c>
      <x:c r="E212" s="112" t="n">
        <x:v>3963.133548387098</x:v>
      </x:c>
      <x:c r="F212" s="112" t="n">
        <x:v>4024.152289601634</x:v>
      </x:c>
      <x:c r="G212" s="110" t="n">
        <x:v>0.004938013250958489</x:v>
      </x:c>
      <x:c r="H212" s="110" t="n">
        <x:v>0.0006782033743061537</x:v>
      </x:c>
      <x:c r="I212" s="110" t="n">
        <x:v>0.0018418767069747417</x:v>
      </x:c>
      <x:c r="J212" s="110" t="n">
        <x:v>-0.003173867526433922</x:v>
      </x:c>
      <x:c r="K212" s="110" t="n">
        <x:v>-0.00019624114764051236</x:v>
      </x:c>
      <x:c r="L212" s="110" t="n">
        <x:v>0.0018875734466739765</x:v>
      </x:c>
      <x:c r="M212" s="110" t="n">
        <x:v>0.002031713982641632</x:v>
      </x:c>
      <x:c r="N212" s="110" t="n">
        <x:v>0.004305285821342016</x:v>
      </x:c>
      <x:c r="O212" s="110" t="n">
        <x:v>0.0012647947418248805</x:v>
      </x:c>
      <x:c r="P212" s="110" t="n">
        <x:v>0.00977644655321054</x:v>
      </x:c>
      <x:c r="Q212" s="110" t="n">
        <x:v>-0.0004734965892926947</x:v>
      </x:c>
      <x:c r="R212" s="110" t="n">
        <x:v>-0.0011714838196891372</x:v>
      </x:c>
      <x:c r="S212" s="110" t="n">
        <x:v>0.008885335841872871</x:v>
      </x:c>
      <x:c r="T212" s="110" t="n">
        <x:v>0</x:v>
      </x:c>
      <x:c r="U212" s="110" t="n">
        <x:v>0.030594154636749034</x:v>
      </x:c>
      <x:c r="V212" s="113" t="n">
        <x:f>C212-U212</x:f>
        <x:v>0</x:v>
      </x:c>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64" t="str">
        <x:v>2022-01</x:v>
      </x:c>
      <x:c r="B213" s="110" t="n">
        <x:v>0.009163376321476235</x:v>
      </x:c>
      <x:c r="C213" s="110" t="n">
        <x:v>-0.03826412377746623</x:v>
      </x:c>
      <x:c r="D213" s="110" t="n">
        <x:v>0.04742750009894246</x:v>
      </x:c>
      <x:c r="E213" s="112" t="n">
        <x:v>3999.616129032256</x:v>
      </x:c>
      <x:c r="F213" s="112" t="n">
        <x:v>3814.3523592996553</x:v>
      </x:c>
      <x:c r="G213" s="110" t="n">
        <x:v>0.004938013250958489</x:v>
      </x:c>
      <x:c r="H213" s="110" t="n">
        <x:v>-0.006191096996120479</x:v>
      </x:c>
      <x:c r="I213" s="110" t="n">
        <x:v>0.001360556207058504</x:v>
      </x:c>
      <x:c r="J213" s="110" t="n">
        <x:v>-0.001380402895256576</x:v>
      </x:c>
      <x:c r="K213" s="110" t="n">
        <x:v>-0.0001639449994349394</x:v>
      </x:c>
      <x:c r="L213" s="110" t="n">
        <x:v>-0.0017771950709041372</x:v>
      </x:c>
      <x:c r="M213" s="110" t="n">
        <x:v>0.0011622052378571666</x:v>
      </x:c>
      <x:c r="N213" s="110" t="n">
        <x:v>0.0013024511818287125</x:v>
      </x:c>
      <x:c r="O213" s="110" t="n">
        <x:v>-0.00022966663586603588</x:v>
      </x:c>
      <x:c r="P213" s="110" t="n">
        <x:v>-0.012182408440632527</x:v>
      </x:c>
      <x:c r="Q213" s="110" t="n">
        <x:v>0.0002610334585300978</x:v>
      </x:c>
      <x:c r="R213" s="110" t="n">
        <x:v>-0.0014787155687400906</x:v>
      </x:c>
      <x:c r="S213" s="110" t="n">
        <x:v>-0.023884952506744415</x:v>
      </x:c>
      <x:c r="T213" s="110" t="n">
        <x:v>0</x:v>
      </x:c>
      <x:c r="U213" s="110" t="n">
        <x:v>-0.03826412377746623</x:v>
      </x:c>
      <x:c r="V213" s="113" t="n">
        <x:f>C213-U213</x:f>
        <x:v>0</x:v>
      </x:c>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64" t="str">
        <x:v>2022-02</x:v>
      </x:c>
      <x:c r="B214" s="110" t="n">
        <x:v>-0.016075149710534475</x:v>
      </x:c>
      <x:c r="C214" s="110" t="n">
        <x:v>-0.006453668630163826</x:v>
      </x:c>
      <x:c r="D214" s="110" t="n">
        <x:v>-0.009621481080370649</x:v>
      </x:c>
      <x:c r="E214" s="112" t="n">
        <x:v>3935.8357142857144</x:v>
      </x:c>
      <x:c r="F214" s="112" t="n">
        <x:v>3973.887044680862</x:v>
      </x:c>
      <x:c r="G214" s="110" t="n">
        <x:v>0.004938013250958489</x:v>
      </x:c>
      <x:c r="H214" s="110" t="n">
        <x:v>0.0008184045957242654</x:v>
      </x:c>
      <x:c r="I214" s="110" t="n">
        <x:v>0.0009647164574380529</x:v>
      </x:c>
      <x:c r="J214" s="110" t="n">
        <x:v>-0.002224178578034896</x:v>
      </x:c>
      <x:c r="K214" s="110" t="n">
        <x:v>0.000879000427887531</x:v>
      </x:c>
      <x:c r="L214" s="110" t="n">
        <x:v>-0.00009190223890120272</x:v>
      </x:c>
      <x:c r="M214" s="110" t="n">
        <x:v>0.001487521167886524</x:v>
      </x:c>
      <x:c r="N214" s="110" t="n">
        <x:v>0.0024845490806999905</x:v>
      </x:c>
      <x:c r="O214" s="110" t="n">
        <x:v>0.0015394794797599929</x:v>
      </x:c>
      <x:c r="P214" s="110" t="n">
        <x:v>0.003886591155712932</x:v>
      </x:c>
      <x:c r="Q214" s="110" t="n">
        <x:v>-0.000022697759603492915</x:v>
      </x:c>
      <x:c r="R214" s="110" t="n">
        <x:v>-0.001914611292190929</x:v>
      </x:c>
      <x:c r="S214" s="110" t="n">
        <x:v>-0.019198554377501082</x:v>
      </x:c>
      <x:c r="T214" s="110" t="n">
        <x:v>0</x:v>
      </x:c>
      <x:c r="U214" s="110" t="n">
        <x:v>-0.006453668630163827</x:v>
      </x:c>
      <x:c r="V214" s="113" t="n">
        <x:f>C214-U214</x:f>
        <x:v>8.673617379884035e-19</x:v>
      </x:c>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64" t="str">
        <x:v>2022-03</x:v>
      </x:c>
      <x:c r="B215" s="110" t="n">
        <x:v>-0.03323685388590292</x:v>
      </x:c>
      <x:c r="C215" s="110" t="n">
        <x:v>-0.015247178838129963</x:v>
      </x:c>
      <x:c r="D215" s="110" t="n">
        <x:v>-0.017989675047772956</x:v>
      </x:c>
      <x:c r="E215" s="112" t="n">
        <x:v>3807.170967741936</x:v>
      </x:c>
      <x:c r="F215" s="112" t="n">
        <x:v>3876.2805015233266</x:v>
      </x:c>
      <x:c r="G215" s="110" t="n">
        <x:v>0.004938013250958489</x:v>
      </x:c>
      <x:c r="H215" s="110" t="n">
        <x:v>-0.00480749314558732</x:v>
      </x:c>
      <x:c r="I215" s="110" t="n">
        <x:v>0.0003374509243821254</x:v>
      </x:c>
      <x:c r="J215" s="110" t="n">
        <x:v>-0.006354795937242558</x:v>
      </x:c>
      <x:c r="K215" s="110" t="n">
        <x:v>0.000047688059320575465</x:v>
      </x:c>
      <x:c r="L215" s="110" t="n">
        <x:v>0.002989427003213765</x:v>
      </x:c>
      <x:c r="M215" s="110" t="n">
        <x:v>0.0006557232500409954</x:v>
      </x:c>
      <x:c r="N215" s="110" t="n">
        <x:v>-0.0010591183257983412</x:v>
      </x:c>
      <x:c r="O215" s="110" t="n">
        <x:v>-0.00009944263002626307</x:v>
      </x:c>
      <x:c r="P215" s="110" t="n">
        <x:v>0.0016561490353085993</x:v>
      </x:c>
      <x:c r="Q215" s="110" t="n">
        <x:v>0.0001577956978166019</x:v>
      </x:c>
      <x:c r="R215" s="110" t="n">
        <x:v>-0.002201675342667912</x:v>
      </x:c>
      <x:c r="S215" s="110" t="n">
        <x:v>-0.011506900677848719</x:v>
      </x:c>
      <x:c r="T215" s="110" t="n">
        <x:v>0</x:v>
      </x:c>
      <x:c r="U215" s="110" t="n">
        <x:v>-0.015247178838129961</x:v>
      </x:c>
      <x:c r="V215" s="113" t="n">
        <x:f>C215-U215</x:f>
        <x:v>-1.734723475976807e-18</x:v>
      </x:c>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64" t="str">
        <x:v>2022-04</x:v>
      </x:c>
      <x:c r="B216" s="110" t="n">
        <x:v>-0.0037338680647884814</x:v>
      </x:c>
      <x:c r="C216" s="110" t="n">
        <x:v>-0.005598750352531518</x:v>
      </x:c>
      <x:c r="D216" s="110" t="n">
        <x:v>0.0018648822877430369</x:v>
      </x:c>
      <x:c r="E216" s="112" t="n">
        <x:v>3792.9819999999972</x:v>
      </x:c>
      <x:c r="F216" s="112" t="n">
        <x:v>3785.91512654213</x:v>
      </x:c>
      <x:c r="G216" s="110" t="n">
        <x:v>0.004938013250958489</x:v>
      </x:c>
      <x:c r="H216" s="110" t="n">
        <x:v>-0.002784954652136671</x:v>
      </x:c>
      <x:c r="I216" s="110" t="n">
        <x:v>-0.0005031584097800024</x:v>
      </x:c>
      <x:c r="J216" s="110" t="n">
        <x:v>0.0007879946962180778</x:v>
      </x:c>
      <x:c r="K216" s="110" t="n">
        <x:v>-0.0003333091503338723</x:v>
      </x:c>
      <x:c r="L216" s="110" t="n">
        <x:v>0.002010803156666419</x:v>
      </x:c>
      <x:c r="M216" s="110" t="n">
        <x:v>-0.0014328575883700713</x:v>
      </x:c>
      <x:c r="N216" s="110" t="n">
        <x:v>-0.0030386333899172224</x:v>
      </x:c>
      <x:c r="O216" s="110" t="n">
        <x:v>0.0013772474374221786</x:v>
      </x:c>
      <x:c r="P216" s="110" t="n">
        <x:v>0.0014086342805896702</x:v>
      </x:c>
      <x:c r="Q216" s="110" t="n">
        <x:v>-0.00019998947140726302</x:v>
      </x:c>
      <x:c r="R216" s="110" t="n">
        <x:v>-0.002096867077568068</x:v>
      </x:c>
      <x:c r="S216" s="110" t="n">
        <x:v>-0.005731673434873182</x:v>
      </x:c>
      <x:c r="T216" s="110" t="n">
        <x:v>0</x:v>
      </x:c>
      <x:c r="U216" s="110" t="n">
        <x:v>-0.005598750352531518</x:v>
      </x:c>
      <x:c r="V216" s="113" t="n">
        <x:f>C216-U216</x:f>
        <x:v>0</x:v>
      </x:c>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64" t="str">
        <x:v>2022-05</x:v>
      </x:c>
      <x:c r="B217" s="110" t="n">
        <x:v>0.05790034308190606</x:v>
      </x:c>
      <x:c r="C217" s="110" t="n">
        <x:v>0.04336801713573314</x:v>
      </x:c>
      <x:c r="D217" s="110" t="n">
        <x:v>0.014532325946172917</x:v>
      </x:c>
      <x:c r="E217" s="112" t="n">
        <x:v>4019.079354838708</x:v>
      </x:c>
      <x:c r="F217" s="112" t="n">
        <x:v>3961.0951269635075</x:v>
      </x:c>
      <x:c r="G217" s="110" t="n">
        <x:v>0.004938013250958489</x:v>
      </x:c>
      <x:c r="H217" s="110" t="n">
        <x:v>0.005186402146762648</x:v>
      </x:c>
      <x:c r="I217" s="110" t="n">
        <x:v>0.0003745520256444765</x:v>
      </x:c>
      <x:c r="J217" s="110" t="n">
        <x:v>-0.005712961547581059</x:v>
      </x:c>
      <x:c r="K217" s="110" t="n">
        <x:v>0.00019945760665124573</x:v>
      </x:c>
      <x:c r="L217" s="110" t="n">
        <x:v>0.005705520719204031</x:v>
      </x:c>
      <x:c r="M217" s="110" t="n">
        <x:v>0.002613581455606987</x:v>
      </x:c>
      <x:c r="N217" s="110" t="n">
        <x:v>0.005859286129910826</x:v>
      </x:c>
      <x:c r="O217" s="110" t="n">
        <x:v>0.002621320914812501</x:v>
      </x:c>
      <x:c r="P217" s="110" t="n">
        <x:v>0.0138904700310046</x:v>
      </x:c>
      <x:c r="Q217" s="110" t="n">
        <x:v>-0.0002471596056984135</x:v>
      </x:c>
      <x:c r="R217" s="110" t="n">
        <x:v>-0.0019954355976047433</x:v>
      </x:c>
      <x:c r="S217" s="110" t="n">
        <x:v>0.009934969606061548</x:v>
      </x:c>
      <x:c r="T217" s="110" t="n">
        <x:v>0</x:v>
      </x:c>
      <x:c r="U217" s="110" t="n">
        <x:v>0.04336801713573314</x:v>
      </x:c>
      <x:c r="V217" s="113" t="n">
        <x:f>C217-U217</x:f>
        <x:v>0</x:v>
      </x:c>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64" t="str">
        <x:v>2022-06</x:v>
      </x:c>
      <x:c r="B218" s="110" t="n">
        <x:v>-0.022218372761248162</x:v>
      </x:c>
      <x:c r="C218" s="110" t="n">
        <x:v>-0.02243224657035912</x:v>
      </x:c>
      <x:c r="D218" s="110" t="n">
        <x:v>0.00021387380911095863</x:v>
      </x:c>
      <x:c r="E218" s="112" t="n">
        <x:v>3930.766666666666</x:v>
      </x:c>
      <x:c r="F218" s="112" t="n">
        <x:v>3929.926068521108</x:v>
      </x:c>
      <x:c r="G218" s="110" t="n">
        <x:v>0.004938013250958489</x:v>
      </x:c>
      <x:c r="H218" s="110" t="n">
        <x:v>-0.014346951373418704</x:v>
      </x:c>
      <x:c r="I218" s="110" t="n">
        <x:v>0.0006668236858960871</x:v>
      </x:c>
      <x:c r="J218" s="110" t="n">
        <x:v>-0.0034654820511096055</x:v>
      </x:c>
      <x:c r="K218" s="110" t="n">
        <x:v>0.0000448821413830469</x:v>
      </x:c>
      <x:c r="L218" s="110" t="n">
        <x:v>0.0007349868918020829</x:v>
      </x:c>
      <x:c r="M218" s="110" t="n">
        <x:v>-0.0005318305725539243</x:v>
      </x:c>
      <x:c r="N218" s="110" t="n">
        <x:v>0.0008631587682258257</x:v>
      </x:c>
      <x:c r="O218" s="110" t="n">
        <x:v>-0.0007681375320375657</x:v>
      </x:c>
      <x:c r="P218" s="110" t="n">
        <x:v>-0.011508891799008698</x:v>
      </x:c>
      <x:c r="Q218" s="110" t="n">
        <x:v>0.00028240207504550563</x:v>
      </x:c>
      <x:c r="R218" s="110" t="n">
        <x:v>-0.0027177515276898697</x:v>
      </x:c>
      <x:c r="S218" s="110" t="n">
        <x:v>0.0033765314721482093</x:v>
      </x:c>
      <x:c r="T218" s="110" t="n">
        <x:v>0</x:v>
      </x:c>
      <x:c r="U218" s="110" t="n">
        <x:v>-0.02243224657035912</x:v>
      </x:c>
      <x:c r="V218" s="113" t="n">
        <x:f>C218-U218</x:f>
        <x:v>0</x:v>
      </x:c>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64" t="str">
        <x:v>2022-07</x:v>
      </x:c>
      <x:c r="B219" s="110" t="n">
        <x:v>0.10542629179217755</x:v>
      </x:c>
      <x:c r="C219" s="110" t="n">
        <x:v>0.06127716910058556</x:v>
      </x:c>
      <x:c r="D219" s="110" t="n">
        <x:v>0.04414912269159199</x:v>
      </x:c>
      <x:c r="E219" s="112" t="n">
        <x:v>4367.805806451614</x:v>
      </x:c>
      <x:c r="F219" s="112" t="n">
        <x:v>4179.165797035787</x:v>
      </x:c>
      <x:c r="G219" s="110" t="n">
        <x:v>0.004938013250958489</x:v>
      </x:c>
      <x:c r="H219" s="110" t="n">
        <x:v>0.002076600993228345</x:v>
      </x:c>
      <x:c r="I219" s="110" t="n">
        <x:v>0.0009863164082193378</x:v>
      </x:c>
      <x:c r="J219" s="110" t="n">
        <x:v>0.0026774873548915277</x:v>
      </x:c>
      <x:c r="K219" s="110" t="n">
        <x:v>-0.0001096271214637186</x:v>
      </x:c>
      <x:c r="L219" s="110" t="n">
        <x:v>0.00600291292055804</x:v>
      </x:c>
      <x:c r="M219" s="110" t="n">
        <x:v>-0.00172504071477115</x:v>
      </x:c>
      <x:c r="N219" s="110" t="n">
        <x:v>0.007463610560453204</x:v>
      </x:c>
      <x:c r="O219" s="110" t="n">
        <x:v>0.0023083941149883796</x:v>
      </x:c>
      <x:c r="P219" s="110" t="n">
        <x:v>0.002862862816152362</x:v>
      </x:c>
      <x:c r="Q219" s="110" t="n">
        <x:v>-0.00013146712054131463</x:v>
      </x:c>
      <x:c r="R219" s="110" t="n">
        <x:v>-0.0025360041163867007</x:v>
      </x:c>
      <x:c r="S219" s="110" t="n">
        <x:v>0.03646310975429876</x:v>
      </x:c>
      <x:c r="T219" s="110" t="n">
        <x:v>0</x:v>
      </x:c>
      <x:c r="U219" s="110" t="n">
        <x:v>0.06127716910058556</x:v>
      </x:c>
      <x:c r="V219" s="113" t="n">
        <x:f>C219-U219</x:f>
        <x:v>0</x:v>
      </x:c>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64" t="str">
        <x:v>2022-08</x:v>
      </x:c>
      <x:c r="B220" s="110" t="n">
        <x:v>-0.010433930358697552</x:v>
      </x:c>
      <x:c r="C220" s="110" t="n">
        <x:v>-0.018427628601836728</x:v>
      </x:c>
      <x:c r="D220" s="110" t="n">
        <x:v>0.007993698243139176</x:v>
      </x:c>
      <x:c r="E220" s="112" t="n">
        <x:v>4322.469354838713</x:v>
      </x:c>
      <x:c r="F220" s="112" t="n">
        <x:v>4288.054573097346</x:v>
      </x:c>
      <x:c r="G220" s="110" t="n">
        <x:v>0.004938013250958489</x:v>
      </x:c>
      <x:c r="H220" s="110" t="n">
        <x:v>0.013650620443675456</x:v>
      </x:c>
      <x:c r="I220" s="110" t="n">
        <x:v>0.0011718168051438342</x:v>
      </x:c>
      <x:c r="J220" s="110" t="n">
        <x:v>-0.006763621142538497</x:v>
      </x:c>
      <x:c r="K220" s="110" t="n">
        <x:v>0.000050370090912532873</x:v>
      </x:c>
      <x:c r="L220" s="110" t="n">
        <x:v>-0.0009457045873655622</x:v>
      </x:c>
      <x:c r="M220" s="110" t="n">
        <x:v>-0.0016988746777115938</x:v>
      </x:c>
      <x:c r="N220" s="110" t="n">
        <x:v>-0.005711473318238991</x:v>
      </x:c>
      <x:c r="O220" s="110" t="n">
        <x:v>-0.0009221045552516374</x:v>
      </x:c>
      <x:c r="P220" s="110" t="n">
        <x:v>0.00005793179540254882</x:v>
      </x:c>
      <x:c r="Q220" s="110" t="n">
        <x:v>0.00006439946171801627</x:v>
      </x:c>
      <x:c r="R220" s="110" t="n">
        <x:v>-0.002990855160441923</x:v>
      </x:c>
      <x:c r="S220" s="110" t="n">
        <x:v>-0.0193281470080994</x:v>
      </x:c>
      <x:c r="T220" s="110" t="n">
        <x:v>0</x:v>
      </x:c>
      <x:c r="U220" s="110" t="n">
        <x:v>-0.018427628601836728</x:v>
      </x:c>
      <x:c r="V220" s="113" t="n">
        <x:f>C220-U220</x:f>
        <x:v>0</x:v>
      </x:c>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64" t="str">
        <x:v>2022-09</x:v>
      </x:c>
      <x:c r="B221" s="110" t="n">
        <x:v>0.02539654926223278</x:v>
      </x:c>
      <x:c r="C221" s="110" t="n">
        <x:v>0.009146105596759007</x:v>
      </x:c>
      <x:c r="D221" s="110" t="n">
        <x:v>0.016250443665473777</x:v>
      </x:c>
      <x:c r="E221" s="112" t="n">
        <x:v>4433.650999999996</x:v>
      </x:c>
      <x:c r="F221" s="112" t="n">
        <x:v>4362.184458411242</x:v>
      </x:c>
      <x:c r="G221" s="110" t="n">
        <x:v>0.004938013250958489</x:v>
      </x:c>
      <x:c r="H221" s="110" t="n">
        <x:v>-0.00526294513322567</x:v>
      </x:c>
      <x:c r="I221" s="110" t="n">
        <x:v>0.00019633607160030785</x:v>
      </x:c>
      <x:c r="J221" s="110" t="n">
        <x:v>-0.005581629098211377</x:v>
      </x:c>
      <x:c r="K221" s="110" t="n">
        <x:v>-0.0004938918740346813</x:v>
      </x:c>
      <x:c r="L221" s="110" t="n">
        <x:v>0.007067892069217393</x:v>
      </x:c>
      <x:c r="M221" s="110" t="n">
        <x:v>0.002969608043839628</x:v>
      </x:c>
      <x:c r="N221" s="110" t="n">
        <x:v>0.003578731310348455</x:v>
      </x:c>
      <x:c r="O221" s="110" t="n">
        <x:v>0.0018316167572726126</x:v>
      </x:c>
      <x:c r="P221" s="110" t="n">
        <x:v>-0.0034627150099653214</x:v>
      </x:c>
      <x:c r="Q221" s="110" t="n">
        <x:v>-0.00015666650373378984</x:v>
      </x:c>
      <x:c r="R221" s="110" t="n">
        <x:v>-0.002667727381509674</x:v>
      </x:c>
      <x:c r="S221" s="110" t="n">
        <x:v>0.006189483094202634</x:v>
      </x:c>
      <x:c r="T221" s="110" t="n">
        <x:v>0</x:v>
      </x:c>
      <x:c r="U221" s="110" t="n">
        <x:v>0.009146105596759007</x:v>
      </x:c>
      <x:c r="V221" s="113" t="n">
        <x:f>C221-U221</x:f>
        <x:v>0</x:v>
      </x:c>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64" t="str">
        <x:v>2022-10</x:v>
      </x:c>
      <x:c r="B222" s="110" t="n">
        <x:v>0.06085303793394026</x:v>
      </x:c>
      <x:c r="C222" s="110" t="n">
        <x:v>0.0284313763812799</x:v>
      </x:c>
      <x:c r="D222" s="110" t="n">
        <x:v>0.03242166155266035</x:v>
      </x:c>
      <x:c r="E222" s="112" t="n">
        <x:v>4711.830322580648</x:v>
      </x:c>
      <x:c r="F222" s="112" t="n">
        <x:v>4561.514860049158</x:v>
      </x:c>
      <x:c r="G222" s="110" t="n">
        <x:v>0.004938013250958489</x:v>
      </x:c>
      <x:c r="H222" s="110" t="n">
        <x:v>0.0013644232159954325</x:v>
      </x:c>
      <x:c r="I222" s="110" t="n">
        <x:v>0.0005319657806493799</x:v>
      </x:c>
      <x:c r="J222" s="110" t="n">
        <x:v>0.0012914357521351856</x:v>
      </x:c>
      <x:c r="K222" s="110" t="n">
        <x:v>0.00006734143747744348</x:v>
      </x:c>
      <x:c r="L222" s="110" t="n">
        <x:v>0.003984811573747219</x:v>
      </x:c>
      <x:c r="M222" s="110" t="n">
        <x:v>0.0013165952507021674</x:v>
      </x:c>
      <x:c r="N222" s="110" t="n">
        <x:v>0.007145968133746107</x:v>
      </x:c>
      <x:c r="O222" s="110" t="n">
        <x:v>0.0033068410377686762</x:v>
      </x:c>
      <x:c r="P222" s="110" t="n">
        <x:v>-0.0017381783310673558</x:v>
      </x:c>
      <x:c r="Q222" s="110" t="n">
        <x:v>-0.00004914325159548636</x:v>
      </x:c>
      <x:c r="R222" s="110" t="n">
        <x:v>-0.0036128977921146823</x:v>
      </x:c>
      <x:c r="S222" s="110" t="n">
        <x:v>0.009884200322877327</x:v>
      </x:c>
      <x:c r="T222" s="110" t="n">
        <x:v>0</x:v>
      </x:c>
      <x:c r="U222" s="110" t="n">
        <x:v>0.028431376381279905</x:v>
      </x:c>
      <x:c r="V222" s="113" t="n">
        <x:f>C222-U222</x:f>
        <x:v>-3.469446951953614e-18</x:v>
      </x:c>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64" t="str">
        <x:v>2022-11</x:v>
      </x:c>
      <x:c r="B223" s="110" t="n">
        <x:v>0.044584972927387057</x:v>
      </x:c>
      <x:c r="C223" s="110" t="n">
        <x:v>-0.029934593865232863</x:v>
      </x:c>
      <x:c r="D223" s="110" t="n">
        <x:v>0.07451956679261992</x:v>
      </x:c>
      <x:c r="E223" s="112" t="n">
        <x:v>4926.660666666665</x:v>
      </x:c>
      <x:c r="F223" s="112" t="n">
        <x:v>4572.8737756041755</x:v>
      </x:c>
      <x:c r="G223" s="110" t="n">
        <x:v>0.004938013250958489</x:v>
      </x:c>
      <x:c r="H223" s="110" t="n">
        <x:v>0.0005294289209296267</x:v>
      </x:c>
      <x:c r="I223" s="110" t="n">
        <x:v>0.0017701098409271465</x:v>
      </x:c>
      <x:c r="J223" s="110" t="n">
        <x:v>-0.0031449179004976037</x:v>
      </x:c>
      <x:c r="K223" s="110" t="n">
        <x:v>0.0002324875751481796</x:v>
      </x:c>
      <x:c r="L223" s="110" t="n">
        <x:v>-0.005568701703491908</x:v>
      </x:c>
      <x:c r="M223" s="110" t="n">
        <x:v>-0.003582466219002229</x:v>
      </x:c>
      <x:c r="N223" s="110" t="n">
        <x:v>-0.008223190276491925</x:v>
      </x:c>
      <x:c r="O223" s="110" t="n">
        <x:v>-0.00027222787056917783</x:v>
      </x:c>
      <x:c r="P223" s="110" t="n">
        <x:v>0.006535256319352306</x:v>
      </x:c>
      <x:c r="Q223" s="110" t="n">
        <x:v>0.0001964142644180433</x:v>
      </x:c>
      <x:c r="R223" s="110" t="n">
        <x:v>-0.0040119467067184856</x:v>
      </x:c>
      <x:c r="S223" s="110" t="n">
        <x:v>-0.019332853360195325</x:v>
      </x:c>
      <x:c r="T223" s="110" t="n">
        <x:v>0</x:v>
      </x:c>
      <x:c r="U223" s="110" t="n">
        <x:v>-0.029934593865232863</x:v>
      </x:c>
      <x:c r="V223" s="113" t="n">
        <x:f>C223-U223</x:f>
        <x:v>0</x:v>
      </x:c>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64" t="str">
        <x:v>2022-12</x:v>
      </x:c>
      <x:c r="B224" s="110" t="n">
        <x:v>-0.028446152616844245</x:v>
      </x:c>
      <x:c r="C224" s="110" t="n">
        <x:v>-0.029061525175687615</x:v>
      </x:c>
      <x:c r="D224" s="110" t="n">
        <x:v>0.0006153725588433703</x:v>
      </x:c>
      <x:c r="E224" s="112" t="n">
        <x:v>4788.490645161287</x:v>
      </x:c>
      <x:c r="F224" s="112" t="n">
        <x:v>4785.5448458949495</x:v>
      </x:c>
      <x:c r="G224" s="110" t="n">
        <x:v>0.004938013250958489</x:v>
      </x:c>
      <x:c r="H224" s="110" t="n">
        <x:v>0.003284162419961222</x:v>
      </x:c>
      <x:c r="I224" s="110" t="n">
        <x:v>-0.00003492735258544284</x:v>
      </x:c>
      <x:c r="J224" s="110" t="n">
        <x:v>-0.0017581602093037732</x:v>
      </x:c>
      <x:c r="K224" s="110" t="n">
        <x:v>0.00026721944607975264</x:v>
      </x:c>
      <x:c r="L224" s="110" t="n">
        <x:v>-0.005666401632122748</x:v>
      </x:c>
      <x:c r="M224" s="110" t="n">
        <x:v>-0.0009520087500025336</x:v>
      </x:c>
      <x:c r="N224" s="110" t="n">
        <x:v>-0.005310152742125268</x:v>
      </x:c>
      <x:c r="O224" s="110" t="n">
        <x:v>-0.003029453136487628</x:v>
      </x:c>
      <x:c r="P224" s="110" t="n">
        <x:v>-0.004980870223304491</x:v>
      </x:c>
      <x:c r="Q224" s="110" t="n">
        <x:v>0.0002524878453193949</x:v>
      </x:c>
      <x:c r="R224" s="110" t="n">
        <x:v>-0.003808736691037313</x:v>
      </x:c>
      <x:c r="S224" s="110" t="n">
        <x:v>-0.012262697401037278</x:v>
      </x:c>
      <x:c r="T224" s="110" t="n">
        <x:v>0</x:v>
      </x:c>
      <x:c r="U224" s="110" t="n">
        <x:v>-0.029061525175687615</x:v>
      </x:c>
      <x:c r="V224" s="113" t="n">
        <x:f>C224-U224</x:f>
        <x:v>0</x:v>
      </x:c>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64" t="str">
        <x:v>2023-01</x:v>
      </x:c>
      <x:c r="B225" s="110" t="n">
        <x:v>-0.015423102416274759</x:v>
      </x:c>
      <x:c r="C225" s="110" t="n">
        <x:v>-0.02899193137040735</x:v>
      </x:c>
      <x:c r="D225" s="110" t="n">
        <x:v>0.01356882895413259</x:v>
      </x:c>
      <x:c r="E225" s="112" t="n">
        <x:v>4715.203870967738</x:v>
      </x:c>
      <x:c r="F225" s="112" t="n">
        <x:v>4651.656184993318</x:v>
      </x:c>
      <x:c r="G225" s="110" t="n">
        <x:v>0.004938013250958489</x:v>
      </x:c>
      <x:c r="H225" s="110" t="n">
        <x:v>0.0008745476296404439</x:v>
      </x:c>
      <x:c r="I225" s="110" t="n">
        <x:v>0.00013710569330608103</x:v>
      </x:c>
      <x:c r="J225" s="110" t="n">
        <x:v>-0.0006524257162235708</x:v>
      </x:c>
      <x:c r="K225" s="110" t="n">
        <x:v>-0.0000017017138967272002</x:v>
      </x:c>
      <x:c r="L225" s="110" t="n">
        <x:v>-0.00535557170466516</x:v>
      </x:c>
      <x:c r="M225" s="110" t="n">
        <x:v>-0.0010909927807894629</x:v>
      </x:c>
      <x:c r="N225" s="110" t="n">
        <x:v>-0.0017608438871806731</x:v>
      </x:c>
      <x:c r="O225" s="110" t="n">
        <x:v>-0.0014370404106230862</x:v>
      </x:c>
      <x:c r="P225" s="110" t="n">
        <x:v>-0.006262556986921295</x:v>
      </x:c>
      <x:c r="Q225" s="110" t="n">
        <x:v>0.000014210412870739875</x:v>
      </x:c>
      <x:c r="R225" s="110" t="n">
        <x:v>-0.003693242405859398</x:v>
      </x:c>
      <x:c r="S225" s="110" t="n">
        <x:v>-0.01470143275102373</x:v>
      </x:c>
      <x:c r="T225" s="110" t="n">
        <x:v>0</x:v>
      </x:c>
      <x:c r="U225" s="110" t="n">
        <x:v>-0.02899193137040735</x:v>
      </x:c>
      <x:c r="V225" s="113" t="n">
        <x:f>C225-U225</x:f>
        <x:v>0</x:v>
      </x:c>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64" t="str">
        <x:v>2023-02</x:v>
      </x:c>
      <x:c r="B226" s="110" t="n">
        <x:v>0.018471991312978275</x:v>
      </x:c>
      <x:c r="C226" s="110" t="n">
        <x:v>-0.005268061741392973</x:v>
      </x:c>
      <x:c r="D226" s="110" t="n">
        <x:v>0.023740053054371248</x:v>
      </x:c>
      <x:c r="E226" s="112" t="n">
        <x:v>4803.112499999996</x:v>
      </x:c>
      <x:c r="F226" s="112" t="n">
        <x:v>4690.429200395829</x:v>
      </x:c>
      <x:c r="G226" s="110" t="n">
        <x:v>0.004938013250958489</x:v>
      </x:c>
      <x:c r="H226" s="110" t="n">
        <x:v>-0.0011605695480858714</x:v>
      </x:c>
      <x:c r="I226" s="110" t="n">
        <x:v>0.0009081509653990132</x:v>
      </x:c>
      <x:c r="J226" s="110" t="n">
        <x:v>-0.0026202941914563443</x:v>
      </x:c>
      <x:c r="K226" s="110" t="n">
        <x:v>0.00021792662330056187</x:v>
      </x:c>
      <x:c r="L226" s="110" t="n">
        <x:v>0.0011096348195129204</x:v>
      </x:c>
      <x:c r="M226" s="110" t="n">
        <x:v>-0.00003412815655422013</x:v>
      </x:c>
      <x:c r="N226" s="110" t="n">
        <x:v>0.0021523727044479124</x:v>
      </x:c>
      <x:c r="O226" s="110" t="n">
        <x:v>-0.0024967657808919914</x:v>
      </x:c>
      <x:c r="P226" s="110" t="n">
        <x:v>0.004266447697992713</x:v>
      </x:c>
      <x:c r="Q226" s="110" t="n">
        <x:v>-0.00006158212532993405</x:v>
      </x:c>
      <x:c r="R226" s="110" t="n">
        <x:v>-0.003932803990911889</x:v>
      </x:c>
      <x:c r="S226" s="110" t="n">
        <x:v>-0.008554464009774332</x:v>
      </x:c>
      <x:c r="T226" s="110" t="n">
        <x:v>0</x:v>
      </x:c>
      <x:c r="U226" s="110" t="n">
        <x:v>-0.005268061741392972</x:v>
      </x:c>
      <x:c r="V226" s="113" t="n">
        <x:f>C226-U226</x:f>
        <x:v>-8.673617379884035e-19</x:v>
      </x:c>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64" t="str">
        <x:v>2023-03</x:v>
      </x:c>
      <x:c r="B227" s="110" t="n">
        <x:v>-0.007692604477320231</x:v>
      </x:c>
      <x:c r="C227" s="110" t="n">
        <x:v>0.015347571553425332</x:v>
      </x:c>
      <x:c r="D227" s="110" t="n">
        <x:v>-0.02304017603074556</x:v>
      </x:c>
      <x:c r="E227" s="112" t="n">
        <x:v>4766.3058064516135</x:v>
      </x:c>
      <x:c r="F227" s="112" t="n">
        <x:v>4877.397199515115</x:v>
      </x:c>
      <x:c r="G227" s="110" t="n">
        <x:v>0.004938013250958489</x:v>
      </x:c>
      <x:c r="H227" s="110" t="n">
        <x:v>0.0045552915175398065</x:v>
      </x:c>
      <x:c r="I227" s="110" t="n">
        <x:v>0.0013746208546787546</x:v>
      </x:c>
      <x:c r="J227" s="110" t="n">
        <x:v>-0.0030312376620646956</x:v>
      </x:c>
      <x:c r="K227" s="110" t="n">
        <x:v>-0.00001439971446972971</x:v>
      </x:c>
      <x:c r="L227" s="110" t="n">
        <x:v>0.0009685379138770786</x:v>
      </x:c>
      <x:c r="M227" s="110" t="n">
        <x:v>0.0010338573092214232</x:v>
      </x:c>
      <x:c r="N227" s="110" t="n">
        <x:v>0.004141030460612846</x:v>
      </x:c>
      <x:c r="O227" s="110" t="n">
        <x:v>0.0019724161811252995</x:v>
      </x:c>
      <x:c r="P227" s="110" t="n">
        <x:v>0.010047278649678398</x:v>
      </x:c>
      <x:c r="Q227" s="110" t="n">
        <x:v>-0.0005365603379316815</x:v>
      </x:c>
      <x:c r="R227" s="110" t="n">
        <x:v>-0.0037179749668953678</x:v>
      </x:c>
      <x:c r="S227" s="110" t="n">
        <x:v>-0.006383301902905288</x:v>
      </x:c>
      <x:c r="T227" s="110" t="n">
        <x:v>0</x:v>
      </x:c>
      <x:c r="U227" s="110" t="n">
        <x:v>0.015347571553425332</x:v>
      </x:c>
      <x:c r="V227" s="113" t="n">
        <x:f>C227-U227</x:f>
        <x:v>0</x:v>
      </x:c>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64" t="str">
        <x:v>2023-04</x:v>
      </x:c>
      <x:c r="B228" s="110" t="n">
        <x:v>-0.04805564196079004</x:v>
      </x:c>
      <x:c r="C228" s="110" t="n">
        <x:v>-0.019390628270012242</x:v>
      </x:c>
      <x:c r="D228" s="110" t="n">
        <x:v>-0.0286650136907778</x:v>
      </x:c>
      <x:c r="E228" s="112" t="n">
        <x:v>4542.674333333336</x:v>
      </x:c>
      <x:c r="F228" s="112" t="n">
        <x:v>4674.774435668476</x:v>
      </x:c>
      <x:c r="G228" s="110" t="n">
        <x:v>0.004938013250958489</x:v>
      </x:c>
      <x:c r="H228" s="110" t="n">
        <x:v>-0.0009923582093407698</x:v>
      </x:c>
      <x:c r="I228" s="110" t="n">
        <x:v>0.0009068963665304169</x:v>
      </x:c>
      <x:c r="J228" s="110" t="n">
        <x:v>0.00047237316466836537</x:v>
      </x:c>
      <x:c r="K228" s="110" t="n">
        <x:v>0.00008528718242245638</x:v>
      </x:c>
      <x:c r="L228" s="110" t="n">
        <x:v>-0.0033417332690035577</x:v>
      </x:c>
      <x:c r="M228" s="110" t="n">
        <x:v>-0.00275497963187007</x:v>
      </x:c>
      <x:c r="N228" s="110" t="n">
        <x:v>-0.0014369266715150006</x:v>
      </x:c>
      <x:c r="O228" s="110" t="n">
        <x:v>-0.002926600053067342</x:v>
      </x:c>
      <x:c r="P228" s="110" t="n">
        <x:v>-0.002051995808673875</x:v>
      </x:c>
      <x:c r="Q228" s="110" t="n">
        <x:v>0.00037708114665143376</x:v>
      </x:c>
      <x:c r="R228" s="110" t="n">
        <x:v>-0.0035809045125432246</x:v>
      </x:c>
      <x:c r="S228" s="110" t="n">
        <x:v>-0.009084781225229563</x:v>
      </x:c>
      <x:c r="T228" s="110" t="n">
        <x:v>0</x:v>
      </x:c>
      <x:c r="U228" s="110" t="n">
        <x:v>-0.019390628270012242</x:v>
      </x:c>
      <x:c r="V228" s="113" t="n">
        <x:f>C228-U228</x:f>
        <x:v>0</x:v>
      </x:c>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64" t="str">
        <x:v>2023-05</x:v>
      </x:c>
      <x:c r="B229" s="110" t="n">
        <x:v>-0.0005692763404763213</x:v>
      </x:c>
      <x:c r="C229" s="110" t="n">
        <x:v>-0.008366611516662792</x:v>
      </x:c>
      <x:c r="D229" s="110" t="n">
        <x:v>0.007797335176186471</x:v>
      </x:c>
      <x:c r="E229" s="112" t="n">
        <x:v>4540.089032258067</x:v>
      </x:c>
      <x:c r="F229" s="112" t="n">
        <x:v>4504.82609348107</x:v>
      </x:c>
      <x:c r="G229" s="110" t="n">
        <x:v>0.004938013250958489</x:v>
      </x:c>
      <x:c r="H229" s="110" t="n">
        <x:v>0.0016641078885152117</x:v>
      </x:c>
      <x:c r="I229" s="110" t="n">
        <x:v>-0.00013133386114493886</x:v>
      </x:c>
      <x:c r="J229" s="110" t="n">
        <x:v>-0.00040670693998352706</x:v>
      </x:c>
      <x:c r="K229" s="110" t="n">
        <x:v>0.00019017332760095146</x:v>
      </x:c>
      <x:c r="L229" s="110" t="n">
        <x:v>0.0008597899678813432</x:v>
      </x:c>
      <x:c r="M229" s="110" t="n">
        <x:v>-0.00014524069923783862</x:v>
      </x:c>
      <x:c r="N229" s="110" t="n">
        <x:v>0.0016086577377498433</x:v>
      </x:c>
      <x:c r="O229" s="110" t="n">
        <x:v>-0.000280325811991403</x:v>
      </x:c>
      <x:c r="P229" s="110" t="n">
        <x:v>-0.0005610257165359173</x:v>
      </x:c>
      <x:c r="Q229" s="110" t="n">
        <x:v>-0.000026159150437824854</x:v>
      </x:c>
      <x:c r="R229" s="110" t="n">
        <x:v>-0.0033079661949516523</x:v>
      </x:c>
      <x:c r="S229" s="110" t="n">
        <x:v>-0.012768595315085528</x:v>
      </x:c>
      <x:c r="T229" s="110" t="n">
        <x:v>0</x:v>
      </x:c>
      <x:c r="U229" s="110" t="n">
        <x:v>-0.008366611516662792</x:v>
      </x:c>
      <x:c r="V229" s="113" t="n">
        <x:f>C229-U229</x:f>
        <x:v>0</x:v>
      </x:c>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64" t="str">
        <x:v>2023-06</x:v>
      </x:c>
      <x:c r="B230" s="110" t="n">
        <x:v>-0.07565786164762045</x:v>
      </x:c>
      <x:c r="C230" s="110" t="n">
        <x:v>-0.0182015870571029</x:v>
      </x:c>
      <x:c r="D230" s="110" t="n">
        <x:v>-0.05745627459051755</x:v>
      </x:c>
      <x:c r="E230" s="112" t="n">
        <x:v>4209.267999999998</x:v>
      </x:c>
      <x:c r="F230" s="112" t="n">
        <x:v>4458.19972496787</x:v>
      </x:c>
      <x:c r="G230" s="110" t="n">
        <x:v>0.004938013250958489</x:v>
      </x:c>
      <x:c r="H230" s="110" t="n">
        <x:v>0.002133752926744853</x:v>
      </x:c>
      <x:c r="I230" s="110" t="n">
        <x:v>0.0002616308610902436</x:v>
      </x:c>
      <x:c r="J230" s="110" t="n">
        <x:v>-0.00007837581655933524</x:v>
      </x:c>
      <x:c r="K230" s="110" t="n">
        <x:v>0.00010039789893735333</x:v>
      </x:c>
      <x:c r="L230" s="110" t="n">
        <x:v>-0.0007436629914241124</x:v>
      </x:c>
      <x:c r="M230" s="110" t="n">
        <x:v>-0.003266512344860778</x:v>
      </x:c>
      <x:c r="N230" s="110" t="n">
        <x:v>-0.007010650572814324</x:v>
      </x:c>
      <x:c r="O230" s="110" t="n">
        <x:v>0.0015632901341508367</x:v>
      </x:c>
      <x:c r="P230" s="110" t="n">
        <x:v>-0.00094535825375433</x:v>
      </x:c>
      <x:c r="Q230" s="110" t="n">
        <x:v>-0.00027372354479286216</x:v>
      </x:c>
      <x:c r="R230" s="110" t="n">
        <x:v>-0.0032133618171716273</x:v>
      </x:c>
      <x:c r="S230" s="110" t="n">
        <x:v>-0.011667026787607306</x:v>
      </x:c>
      <x:c r="T230" s="110" t="n">
        <x:v>0</x:v>
      </x:c>
      <x:c r="U230" s="110" t="n">
        <x:v>-0.018201587057102897</x:v>
      </x:c>
      <x:c r="V230" s="113" t="n">
        <x:f>C230-U230</x:f>
        <x:v>-3.469446951953614e-18</x:v>
      </x:c>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64" t="str">
        <x:v>2023-07</x:v>
      </x:c>
      <x:c r="B231" s="110" t="n">
        <x:v>-0.03383409647192259</x:v>
      </x:c>
      <x:c r="C231" s="110" t="n">
        <x:v>-0.012588829752255164</x:v>
      </x:c>
      <x:c r="D231" s="110" t="n">
        <x:v>-0.02124526671966743</x:v>
      </x:c>
      <x:c r="E231" s="112" t="n">
        <x:v>4069.2335483870993</x:v>
      </x:c>
      <x:c r="F231" s="112" t="n">
        <x:v>4156.610386058642</x:v>
      </x:c>
      <x:c r="G231" s="110" t="n">
        <x:v>0.004938013250958489</x:v>
      </x:c>
      <x:c r="H231" s="110" t="n">
        <x:v>0.00004033867165352207</x:v>
      </x:c>
      <x:c r="I231" s="110" t="n">
        <x:v>-0.0002763029909463727</x:v>
      </x:c>
      <x:c r="J231" s="110" t="n">
        <x:v>0.00007837581655933524</x:v>
      </x:c>
      <x:c r="K231" s="110" t="n">
        <x:v>0.00023577449775910407</x:v>
      </x:c>
      <x:c r="L231" s="110" t="n">
        <x:v>-0.002811052562000885</x:v>
      </x:c>
      <x:c r="M231" s="110" t="n">
        <x:v>-0.00007178259418787751</x:v>
      </x:c>
      <x:c r="N231" s="110" t="n">
        <x:v>-0.00403958303529684</x:v>
      </x:c>
      <x:c r="O231" s="110" t="n">
        <x:v>-0.000657281378954312</x:v>
      </x:c>
      <x:c r="P231" s="110" t="n">
        <x:v>-0.0005041588057843257</x:v>
      </x:c>
      <x:c r="Q231" s="110" t="n">
        <x:v>0.00017392540778720197</x:v>
      </x:c>
      <x:c r="R231" s="110" t="n">
        <x:v>-0.0028510700877599</x:v>
      </x:c>
      <x:c r="S231" s="110" t="n">
        <x:v>-0.006844025942042302</x:v>
      </x:c>
      <x:c r="T231" s="110" t="n">
        <x:v>0</x:v>
      </x:c>
      <x:c r="U231" s="110" t="n">
        <x:v>-0.012588829752255164</x:v>
      </x:c>
      <x:c r="V231" s="113" t="n">
        <x:f>C231-U231</x:f>
        <x:v>0</x:v>
      </x:c>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64" t="str">
        <x:v>2023-08</x:v>
      </x:c>
      <x:c r="B232" s="110" t="n">
        <x:v>0.00036649151994971874</x:v>
      </x:c>
      <x:c r="C232" s="110" t="n">
        <x:v>0.013600632898030667</x:v>
      </x:c>
      <x:c r="D232" s="110" t="n">
        <x:v>-0.013234141378080948</x:v>
      </x:c>
      <x:c r="E232" s="112" t="n">
        <x:v>4070.7251612903224</x:v>
      </x:c>
      <x:c r="F232" s="112" t="n">
        <x:v>4124.955769851802</x:v>
      </x:c>
      <x:c r="G232" s="110" t="n">
        <x:v>0.004938013250958489</x:v>
      </x:c>
      <x:c r="H232" s="110" t="n">
        <x:v>-0.005183548992913863</x:v>
      </x:c>
      <x:c r="I232" s="110" t="n">
        <x:v>-0.0009347381191826038</x:v>
      </x:c>
      <x:c r="J232" s="110" t="n">
        <x:v>0.0002626648987393651</x:v>
      </x:c>
      <x:c r="K232" s="110" t="n">
        <x:v>0.0001827880734583101</x:v>
      </x:c>
      <x:c r="L232" s="110" t="n">
        <x:v>0.004061743050766212</x:v>
      </x:c>
      <x:c r="M232" s="110" t="n">
        <x:v>0.0018296658882261882</x:v>
      </x:c>
      <x:c r="N232" s="110" t="n">
        <x:v>-0.0024636802963690684</x:v>
      </x:c>
      <x:c r="O232" s="110" t="n">
        <x:v>-0.0013450179452884727</x:v>
      </x:c>
      <x:c r="P232" s="110" t="n">
        <x:v>-0.0031053482060156685</x:v>
      </x:c>
      <x:c r="Q232" s="110" t="n">
        <x:v>0.00003257973748019085</x:v>
      </x:c>
      <x:c r="R232" s="110" t="n">
        <x:v>-0.0026219558065588245</x:v>
      </x:c>
      <x:c r="S232" s="110" t="n">
        <x:v>0.017947467364730414</x:v>
      </x:c>
      <x:c r="T232" s="110" t="n">
        <x:v>0</x:v>
      </x:c>
      <x:c r="U232" s="110" t="n">
        <x:v>0.013600632898030669</x:v>
      </x:c>
      <x:c r="V232" s="113" t="n">
        <x:f>C232-U232</x:f>
        <x:v>-1.734723475976807e-18</x:v>
      </x:c>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64" t="str">
        <x:v>2023-09</x:v>
      </x:c>
      <x:c r="B233" s="110" t="n">
        <x:v>-0.016397266261925836</x:v>
      </x:c>
      <x:c r="C233" s="110" t="n">
        <x:v>0.01978658070800573</x:v>
      </x:c>
      <x:c r="D233" s="110" t="n">
        <x:v>-0.036183846969931564</x:v>
      </x:c>
      <x:c r="E233" s="112" t="n">
        <x:v>4004.52066666667</x:v>
      </x:c>
      <x:c r="F233" s="112" t="n">
        <x:v>4152.073037375463</x:v>
      </x:c>
      <x:c r="G233" s="110" t="n">
        <x:v>0.004938013250958489</x:v>
      </x:c>
      <x:c r="H233" s="110" t="n">
        <x:v>-0.00036819552890568496</x:v>
      </x:c>
      <x:c r="I233" s="110" t="n">
        <x:v>0.0008655496838094229</x:v>
      </x:c>
      <x:c r="J233" s="110" t="n">
        <x:v>0.0013789907183816288</x:v>
      </x:c>
      <x:c r="K233" s="110" t="n">
        <x:v>0.00014753563404149234</x:v>
      </x:c>
      <x:c r="L233" s="110" t="n">
        <x:v>0.0039613982372674805</x:v>
      </x:c>
      <x:c r="M233" s="110" t="n">
        <x:v>-0.0006213588748107395</x:v>
      </x:c>
      <x:c r="N233" s="110" t="n">
        <x:v>0.0009228185866905165</x:v>
      </x:c>
      <x:c r="O233" s="110" t="n">
        <x:v>0.0008232657676111531</x:v>
      </x:c>
      <x:c r="P233" s="110" t="n">
        <x:v>0.00011851071654626963</x:v>
      </x:c>
      <x:c r="Q233" s="110" t="n">
        <x:v>-0.00024254285046011452</x:v>
      </x:c>
      <x:c r="R233" s="110" t="n">
        <x:v>-0.0026103124599855263</x:v>
      </x:c>
      <x:c r="S233" s="110" t="n">
        <x:v>0.010472907826861343</x:v>
      </x:c>
      <x:c r="T233" s="110" t="n">
        <x:v>0</x:v>
      </x:c>
      <x:c r="U233" s="110" t="n">
        <x:v>0.019786580708005732</x:v>
      </x:c>
      <x:c r="V233" s="113" t="n">
        <x:f>C233-U233</x:f>
        <x:v>-3.469446951953614e-18</x:v>
      </x:c>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64" t="str">
        <x:v>2023-10</x:v>
      </x:c>
      <x:c r="B234" s="110" t="n">
        <x:v>0.05298766604560612</x:v>
      </x:c>
      <x:c r="C234" s="110" t="n">
        <x:v>0.03746349042785469</x:v>
      </x:c>
      <x:c r="D234" s="110" t="n">
        <x:v>0.015524175617751428</x:v>
      </x:c>
      <x:c r="E234" s="112" t="n">
        <x:v>4222.433225806451</x:v>
      </x:c>
      <x:c r="F234" s="112" t="n">
        <x:v>4157.3896114086665</x:v>
      </x:c>
      <x:c r="G234" s="110" t="n">
        <x:v>0.004938013250958489</x:v>
      </x:c>
      <x:c r="H234" s="110" t="n">
        <x:v>0.0008797862058724002</x:v>
      </x:c>
      <x:c r="I234" s="110" t="n">
        <x:v>0.0009427929226655539</x:v>
      </x:c>
      <x:c r="J234" s="110" t="n">
        <x:v>0</x:v>
      </x:c>
      <x:c r="K234" s="110" t="n">
        <x:v>-0.00016430794601139285</x:v>
      </x:c>
      <x:c r="L234" s="110" t="n">
        <x:v>0.004038751627267742</x:v>
      </x:c>
      <x:c r="M234" s="110" t="n">
        <x:v>0.003100968606515049</x:v>
      </x:c>
      <x:c r="N234" s="110" t="n">
        <x:v>0.0024661679092166273</x:v>
      </x:c>
      <x:c r="O234" s="110" t="n">
        <x:v>0.0018702612299097074</x:v>
      </x:c>
      <x:c r="P234" s="110" t="n">
        <x:v>-0.0017412549046236583</x:v>
      </x:c>
      <x:c r="Q234" s="110" t="n">
        <x:v>0.000027355472570848974</x:v>
      </x:c>
      <x:c r="R234" s="110" t="n">
        <x:v>-0.0028727857716024543</x:v>
      </x:c>
      <x:c r="S234" s="110" t="n">
        <x:v>0.02397774182511578</x:v>
      </x:c>
      <x:c r="T234" s="110" t="n">
        <x:v>0</x:v>
      </x:c>
      <x:c r="U234" s="110" t="n">
        <x:v>0.0374634904278547</x:v>
      </x:c>
      <x:c r="V234" s="113" t="n">
        <x:f>C234-U234</x:f>
        <x:v>-6.938893903907228e-18</x:v>
      </x:c>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64" t="str">
        <x:v>2023-11</x:v>
      </x:c>
      <x:c r="B235" s="110" t="n">
        <x:v>-0.044462782068508844</x:v>
      </x:c>
      <x:c r="C235" s="110" t="n">
        <x:v>-0.019229381912489865</x:v>
      </x:c>
      <x:c r="D235" s="110" t="n">
        <x:v>-0.02523340015601898</x:v>
      </x:c>
      <x:c r="E235" s="112" t="n">
        <x:v>4038.804666666669</x:v>
      </x:c>
      <x:c r="F235" s="112" t="n">
        <x:v>4142.014127510911</x:v>
      </x:c>
      <x:c r="G235" s="110" t="n">
        <x:v>0.004938013250958489</x:v>
      </x:c>
      <x:c r="H235" s="110" t="n">
        <x:v>0.008147929088151314</x:v>
      </x:c>
      <x:c r="I235" s="110" t="n">
        <x:v>-0.00006166780885772442</x:v>
      </x:c>
      <x:c r="J235" s="110" t="n">
        <x:v>0</x:v>
      </x:c>
      <x:c r="K235" s="110" t="n">
        <x:v>-0.0001803953316362842</x:v>
      </x:c>
      <x:c r="L235" s="110" t="n">
        <x:v>-0.004970928637326588</x:v>
      </x:c>
      <x:c r="M235" s="110" t="n">
        <x:v>-0.0042214132817337035</x:v>
      </x:c>
      <x:c r="N235" s="110" t="n">
        <x:v>-0.005109899907896857</x:v>
      </x:c>
      <x:c r="O235" s="110" t="n">
        <x:v>0.0005908699198972212</x:v>
      </x:c>
      <x:c r="P235" s="110" t="n">
        <x:v>0.009154224942493797</x:v>
      </x:c>
      <x:c r="Q235" s="110" t="n">
        <x:v>-0.00010765076321816358</x:v>
      </x:c>
      <x:c r="R235" s="110" t="n">
        <x:v>-0.003225443743502858</x:v>
      </x:c>
      <x:c r="S235" s="110" t="n">
        <x:v>-0.024183019639818507</x:v>
      </x:c>
      <x:c r="T235" s="110" t="n">
        <x:v>0</x:v>
      </x:c>
      <x:c r="U235" s="110" t="n">
        <x:v>-0.019229381912489865</x:v>
      </x:c>
      <x:c r="V235" s="113" t="n">
        <x:f>C235-U235</x:f>
        <x:v>0</x:v>
      </x:c>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64" t="str">
        <x:v>2023-12</x:v>
      </x:c>
      <x:c r="B236" s="110" t="n">
        <x:v>-0.022687278990543902</x:v>
      </x:c>
      <x:c r="C236" s="110" t="n">
        <x:v>-0.024700334059710376</x:v>
      </x:c>
      <x:c r="D236" s="110" t="n">
        <x:v>0.0020130550691664743</x:v>
      </x:c>
      <x:c r="E236" s="112" t="n">
        <x:v>3948.2067741935466</x:v>
      </x:c>
      <x:c r="F236" s="112" t="n">
        <x:v>3940.266811005529</x:v>
      </x:c>
      <x:c r="G236" s="110" t="n">
        <x:v>0.004938013250958489</x:v>
      </x:c>
      <x:c r="H236" s="110" t="n">
        <x:v>-0.0033663844444504092</x:v>
      </x:c>
      <x:c r="I236" s="110" t="n">
        <x:v>0.0005317206351325017</x:v>
      </x:c>
      <x:c r="J236" s="110" t="n">
        <x:v>0</x:v>
      </x:c>
      <x:c r="K236" s="110" t="n">
        <x:v>-0.00023820027150170758</x:v>
      </x:c>
      <x:c r="L236" s="110" t="n">
        <x:v>-0.0030809928743954617</x:v>
      </x:c>
      <x:c r="M236" s="110" t="n">
        <x:v>-0.001378790868208298</x:v>
      </x:c>
      <x:c r="N236" s="110" t="n">
        <x:v>-0.003526948932567678</x:v>
      </x:c>
      <x:c r="O236" s="110" t="n">
        <x:v>-0.005634290884759044</x:v>
      </x:c>
      <x:c r="P236" s="110" t="n">
        <x:v>-0.0039534899072607025</x:v>
      </x:c>
      <x:c r="Q236" s="110" t="n">
        <x:v>0.000845155260712458</x:v>
      </x:c>
      <x:c r="R236" s="110" t="n">
        <x:v>-0.0027713483678456297</x:v>
      </x:c>
      <x:c r="S236" s="110" t="n">
        <x:v>-0.007064776655524897</x:v>
      </x:c>
      <x:c r="T236" s="110" t="n">
        <x:v>0</x:v>
      </x:c>
      <x:c r="U236" s="110" t="n">
        <x:v>-0.024700334059710376</x:v>
      </x:c>
      <x:c r="V236" s="113" t="n">
        <x:f>C236-U236</x:f>
        <x:v>0</x:v>
      </x:c>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64" t="str">
        <x:v>2024-01</x:v>
      </x:c>
      <x:c r="B237" s="110" t="n">
        <x:v>-0.008395410476795817</x:v>
      </x:c>
      <x:c r="C237" s="110" t="n">
        <x:v>0.0011099320230981429</x:v>
      </x:c>
      <x:c r="D237" s="110" t="n">
        <x:v>-0.00950534249989396</x:v>
      </x:c>
      <x:c r="E237" s="112" t="n">
        <x:v>3915.1987096774164</x:v>
      </x:c>
      <x:c r="F237" s="112" t="n">
        <x:v>3952.591448220953</x:v>
      </x:c>
      <x:c r="G237" s="110" t="n">
        <x:v>0.004938013250958489</x:v>
      </x:c>
      <x:c r="H237" s="110" t="n">
        <x:v>-0.0017820463486951882</x:v>
      </x:c>
      <x:c r="I237" s="110" t="n">
        <x:v>0.0004642194040494268</x:v>
      </x:c>
      <x:c r="J237" s="110" t="n">
        <x:v>0.000635479593724261</x:v>
      </x:c>
      <x:c r="K237" s="110" t="n">
        <x:v>-0.000033268494656240096</x:v>
      </x:c>
      <x:c r="L237" s="110" t="n">
        <x:v>0.0008780549647272107</x:v>
      </x:c>
      <x:c r="M237" s="110" t="n">
        <x:v>0.0007271708032897685</x:v>
      </x:c>
      <x:c r="N237" s="110" t="n">
        <x:v>0.00204441745517669</x:v>
      </x:c>
      <x:c r="O237" s="110" t="n">
        <x:v>-0.004907831899673161</x:v>
      </x:c>
      <x:c r="P237" s="110" t="n">
        <x:v>-0.003696043900418159</x:v>
      </x:c>
      <x:c r="Q237" s="110" t="n">
        <x:v>-0.00019713379905749175</x:v>
      </x:c>
      <x:c r="R237" s="110" t="n">
        <x:v>-0.002724893780151676</x:v>
      </x:c>
      <x:c r="S237" s="110" t="n">
        <x:v>0.004763794773824212</x:v>
      </x:c>
      <x:c r="T237" s="110" t="n">
        <x:v>0</x:v>
      </x:c>
      <x:c r="U237" s="110" t="n">
        <x:v>0.0011099320230981433</x:v>
      </x:c>
      <x:c r="V237" s="113" t="n">
        <x:f>C237-U237</x:f>
        <x:v>-4.336808689942018e-19</x:v>
      </x:c>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64" t="str">
        <x:v>2024-02</x:v>
      </x:c>
      <x:c r="B238" s="110" t="n">
        <x:v>0.004139336002547012</x:v>
      </x:c>
      <x:c r="C238" s="110" t="n">
        <x:v>0.030610723987501476</x:v>
      </x:c>
      <x:c r="D238" s="110" t="n">
        <x:v>-0.026471387984954464</x:v>
      </x:c>
      <x:c r="E238" s="112" t="n">
        <x:v>3931.4386206896565</x:v>
      </x:c>
      <x:c r="F238" s="112" t="n">
        <x:v>4036.8989400381624</x:v>
      </x:c>
      <x:c r="G238" s="110" t="n">
        <x:v>0.004938013250958489</x:v>
      </x:c>
      <x:c r="H238" s="110" t="n">
        <x:v>0.000447737605619646</x:v>
      </x:c>
      <x:c r="I238" s="110" t="n">
        <x:v>0.0008992798208259713</x:v>
      </x:c>
      <x:c r="J238" s="110" t="n">
        <x:v>0.001006176023396733</x:v>
      </x:c>
      <x:c r="K238" s="110" t="n">
        <x:v>0.000020281284237622525</x:v>
      </x:c>
      <x:c r="L238" s="110" t="n">
        <x:v>0.0018582706956774932</x:v>
      </x:c>
      <x:c r="M238" s="110" t="n">
        <x:v>0.0006125594650305096</x:v>
      </x:c>
      <x:c r="N238" s="110" t="n">
        <x:v>0.0009721991313770923</x:v>
      </x:c>
      <x:c r="O238" s="110" t="n">
        <x:v>-0.00021738661438334465</x:v>
      </x:c>
      <x:c r="P238" s="110" t="n">
        <x:v>0.006264330002877811</x:v>
      </x:c>
      <x:c r="Q238" s="110" t="n">
        <x:v>-0.0005814100909802192</x:v>
      </x:c>
      <x:c r="R238" s="110" t="n">
        <x:v>-0.0023827972217417177</x:v>
      </x:c>
      <x:c r="S238" s="110" t="n">
        <x:v>0.01677347063460539</x:v>
      </x:c>
      <x:c r="T238" s="110" t="n">
        <x:v>0</x:v>
      </x:c>
      <x:c r="U238" s="110" t="n">
        <x:v>0.030610723987501476</x:v>
      </x:c>
      <x:c r="V238" s="113" t="n">
        <x:f>C238-U238</x:f>
        <x:v>0</x:v>
      </x:c>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64" t="str">
        <x:v>2024-03</x:v>
      </x:c>
      <x:c r="B239" s="110" t="n">
        <x:v>-0.008197781188169273</x:v>
      </x:c>
      <x:c r="C239" s="110" t="n">
        <x:v>-0.010452415904680745</x:v>
      </x:c>
      <x:c r="D239" s="110" t="n">
        <x:v>0.002254634716511472</x:v>
      </x:c>
      <x:c r="E239" s="112" t="n">
        <x:v>3899.3412903225835</x:v>
      </x:c>
      <x:c r="F239" s="112" t="n">
        <x:v>3890.5596035458875</x:v>
      </x:c>
      <x:c r="G239" s="110" t="n">
        <x:v>0.004938013250958489</x:v>
      </x:c>
      <x:c r="H239" s="110" t="n">
        <x:v>-0.0007918683168693883</x:v>
      </x:c>
      <x:c r="I239" s="110" t="n">
        <x:v>0.0005658908381877383</x:v>
      </x:c>
      <x:c r="J239" s="110" t="n">
        <x:v>0.001641655617120994</x:v>
      </x:c>
      <x:c r="K239" s="110" t="n">
        <x:v>-0.00007735700278803006</x:v>
      </x:c>
      <x:c r="L239" s="110" t="n">
        <x:v>-0.0009005212611131622</x:v>
      </x:c>
      <x:c r="M239" s="110" t="n">
        <x:v>-0.00019683556363053625</x:v>
      </x:c>
      <x:c r="N239" s="110" t="n">
        <x:v>-0.002054482279571405</x:v>
      </x:c>
      <x:c r="O239" s="110" t="n">
        <x:v>0.0009114883395819018</x:v>
      </x:c>
      <x:c r="P239" s="110" t="n">
        <x:v>0.0012427579541883825</x:v>
      </x:c>
      <x:c r="Q239" s="110" t="n">
        <x:v>-0.0001387395692945226</x:v>
      </x:c>
      <x:c r="R239" s="110" t="n">
        <x:v>-0.002179688898644867</x:v>
      </x:c>
      <x:c r="S239" s="110" t="n">
        <x:v>-0.01341272901280634</x:v>
      </x:c>
      <x:c r="T239" s="110" t="n">
        <x:v>0</x:v>
      </x:c>
      <x:c r="U239" s="110" t="n">
        <x:v>-0.010452415904680747</x:v>
      </x:c>
      <x:c r="V239" s="113" t="n">
        <x:f>C239-U239</x:f>
        <x:v>1.734723475976807e-18</x:v>
      </x:c>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64" t="str">
        <x:v>2024-04</x:v>
      </x:c>
      <x:c r="B240" s="110" t="n">
        <x:v>-0.00807643849374351</x:v>
      </x:c>
      <x:c r="C240" s="110" t="n">
        <x:v>-0.0005999755451457261</x:v>
      </x:c>
      <x:c r="D240" s="110" t="n">
        <x:v>-0.007476462948597783</x:v>
      </x:c>
      <x:c r="E240" s="112" t="n">
        <x:v>3867.9753333333356</x:v>
      </x:c>
      <x:c r="F240" s="112" t="n">
        <x:v>3897.002482590092</x:v>
      </x:c>
      <x:c r="G240" s="110" t="n">
        <x:v>0.004938013250958489</x:v>
      </x:c>
      <x:c r="H240" s="110" t="n">
        <x:v>-0.002074786110741293</x:v>
      </x:c>
      <x:c r="I240" s="110" t="n">
        <x:v>0.00024791700547813607</x:v>
      </x:c>
      <x:c r="J240" s="110" t="n">
        <x:v>0.000635479593724261</x:v>
      </x:c>
      <x:c r="K240" s="110" t="n">
        <x:v>0.0001381710697937027</x:v>
      </x:c>
      <x:c r="L240" s="110" t="n">
        <x:v>0.0032680479773872593</x:v>
      </x:c>
      <x:c r="M240" s="110" t="n">
        <x:v>0.0022289728881689868</x:v>
      </x:c>
      <x:c r="N240" s="110" t="n">
        <x:v>-0.0006323254519231352</x:v>
      </x:c>
      <x:c r="O240" s="110" t="n">
        <x:v>-0.00253817899677905</x:v>
      </x:c>
      <x:c r="P240" s="110" t="n">
        <x:v>-0.006268105563954359</x:v>
      </x:c>
      <x:c r="Q240" s="110" t="n">
        <x:v>0.0004170104314379867</x:v>
      </x:c>
      <x:c r="R240" s="110" t="n">
        <x:v>-0.0020245187862208977</x:v>
      </x:c>
      <x:c r="S240" s="110" t="n">
        <x:v>0.0010643271475241872</x:v>
      </x:c>
      <x:c r="T240" s="110" t="n">
        <x:v>0</x:v>
      </x:c>
      <x:c r="U240" s="110" t="n">
        <x:v>-0.0005999755451457267</x:v>
      </x:c>
      <x:c r="V240" s="113" t="n">
        <x:f>C240-U240</x:f>
        <x:v>6.505213034913027e-19</x:v>
      </x:c>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64" t="str">
        <x:v>2024-05</x:v>
      </x:c>
      <x:c r="B241" s="110" t="n">
        <x:v>0.00029088814405220376</x:v>
      </x:c>
      <x:c r="C241" s="110" t="n">
        <x:v>0.01133114998784368</x:v>
      </x:c>
      <x:c r="D241" s="110" t="n">
        <x:v>-0.011040261843791477</x:v>
      </x:c>
      <x:c r="E241" s="112" t="n">
        <x:v>3869.100645161288</x:v>
      </x:c>
      <x:c r="F241" s="112" t="n">
        <x:v>3912.053196812105</x:v>
      </x:c>
      <x:c r="G241" s="110" t="n">
        <x:v>0.004938013250958489</x:v>
      </x:c>
      <x:c r="H241" s="110" t="n">
        <x:v>0.0035913659991111857</x:v>
      </x:c>
      <x:c r="I241" s="110" t="n">
        <x:v>0.0013199099857760437</x:v>
      </x:c>
      <x:c r="J241" s="110" t="n">
        <x:v>0.0026478316405177268</x:v>
      </x:c>
      <x:c r="K241" s="110" t="n">
        <x:v>-0.0007266178009321901</x:v>
      </x:c>
      <x:c r="L241" s="110" t="n">
        <x:v>-0.000623383724628255</x:v>
      </x:c>
      <x:c r="M241" s="110" t="n">
        <x:v>-0.0029980537472254817</x:v>
      </x:c>
      <x:c r="N241" s="110" t="n">
        <x:v>0.0009021885560064595</x:v>
      </x:c>
      <x:c r="O241" s="110" t="n">
        <x:v>0.0008987591367987393</x:v>
      </x:c>
      <x:c r="P241" s="110" t="n">
        <x:v>0.010172425063126923</x:v>
      </x:c>
      <x:c r="Q241" s="110" t="n">
        <x:v>-0.00044857360718047925</x:v>
      </x:c>
      <x:c r="R241" s="110" t="n">
        <x:v>-0.0020514420999269683</x:v>
      </x:c>
      <x:c r="S241" s="110" t="n">
        <x:v>-0.0062912726645585094</x:v>
      </x:c>
      <x:c r="T241" s="110" t="n">
        <x:v>0</x:v>
      </x:c>
      <x:c r="U241" s="110" t="n">
        <x:v>0.011331149987843684</x:v>
      </x:c>
      <x:c r="V241" s="113" t="n">
        <x:f>C241-U241</x:f>
        <x:v>-3.469446951953614e-18</x:v>
      </x:c>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64" t="str">
        <x:v>2024-06</x:v>
      </x:c>
      <x:c r="B242" s="110" t="n">
        <x:v>0.0439146905547112</x:v>
      </x:c>
      <x:c r="C242" s="110" t="n">
        <x:v>0.023054651485120953</x:v>
      </x:c>
      <x:c r="D242" s="110" t="n">
        <x:v>0.020860039069590247</x:v>
      </x:c>
      <x:c r="E242" s="112" t="n">
        <x:v>4042.7970000000014</x:v>
      </x:c>
      <x:c r="F242" s="112" t="n">
        <x:v>3959.3376061016265</x:v>
      </x:c>
      <x:c r="G242" s="110" t="n">
        <x:v>0.004938013250958489</x:v>
      </x:c>
      <x:c r="H242" s="110" t="n">
        <x:v>-0.004117343072960952</x:v>
      </x:c>
      <x:c r="I242" s="110" t="n">
        <x:v>0.0005606267767145043</x:v>
      </x:c>
      <x:c r="J242" s="110" t="n">
        <x:v>0.0031773979686212815</x:v>
      </x:c>
      <x:c r="K242" s="110" t="n">
        <x:v>-0.0001411536459217396</x:v>
      </x:c>
      <x:c r="L242" s="110" t="n">
        <x:v>0.004030714933830751</x:v>
      </x:c>
      <x:c r="M242" s="110" t="n">
        <x:v>-0.0004312729932131693</x:v>
      </x:c>
      <x:c r="N242" s="110" t="n">
        <x:v>0.0023854105604120437</x:v>
      </x:c>
      <x:c r="O242" s="110" t="n">
        <x:v>-0.0036821954387782907</x:v>
      </x:c>
      <x:c r="P242" s="110" t="n">
        <x:v>-0.00451090718141353</x:v>
      </x:c>
      <x:c r="Q242" s="110" t="n">
        <x:v>0.0006600205276253284</x:v>
      </x:c>
      <x:c r="R242" s="110" t="n">
        <x:v>-0.001844666507239456</x:v>
      </x:c>
      <x:c r="S242" s="110" t="n">
        <x:v>0.022030006306485692</x:v>
      </x:c>
      <x:c r="T242" s="110" t="n">
        <x:v>0</x:v>
      </x:c>
      <x:c r="U242" s="110" t="n">
        <x:v>0.023054651485120953</x:v>
      </x:c>
      <x:c r="V242" s="113" t="n">
        <x:f>C242-U242</x:f>
        <x:v>0</x:v>
      </x:c>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64" t="str">
        <x:v>2024-07</x:v>
      </x:c>
      <x:c r="B243" s="110" t="n">
        <x:v>-0.001454274733683647</x:v>
      </x:c>
      <x:c r="C243" s="110" t="n">
        <x:v>0.012374364494788292</x:v>
      </x:c>
      <x:c r="D243" s="110" t="n">
        <x:v>-0.01382863922847194</x:v>
      </x:c>
      <x:c r="E243" s="112" t="n">
        <x:v>4036.92193548387</x:v>
      </x:c>
      <x:c r="F243" s="112" t="n">
        <x:v>4093.1348507832963</x:v>
      </x:c>
      <x:c r="G243" s="110" t="n">
        <x:v>0.004938013250958489</x:v>
      </x:c>
      <x:c r="H243" s="110" t="n">
        <x:v>0.0004710371852335466</x:v>
      </x:c>
      <x:c r="I243" s="110" t="n">
        <x:v>0.0015576440732256083</x:v>
      </x:c>
      <x:c r="J243" s="110" t="n">
        <x:v>0.00010591326562070627</x:v>
      </x:c>
      <x:c r="K243" s="110" t="n">
        <x:v>-0.0002724241375022667</x:v>
      </x:c>
      <x:c r="L243" s="110" t="n">
        <x:v>-0.0007077054345081731</x:v>
      </x:c>
      <x:c r="M243" s="110" t="n">
        <x:v>0.0017902139768194974</x:v>
      </x:c>
      <x:c r="N243" s="110" t="n">
        <x:v>-0.0006813099800816885</x:v>
      </x:c>
      <x:c r="O243" s="110" t="n">
        <x:v>-0.0014989545356043745</x:v>
      </x:c>
      <x:c r="P243" s="110" t="n">
        <x:v>0.00836220424119628</x:v>
      </x:c>
      <x:c r="Q243" s="110" t="n">
        <x:v>-0.0004455374605572892</x:v>
      </x:c>
      <x:c r="R243" s="110" t="n">
        <x:v>-0.0019155099983263531</x:v>
      </x:c>
      <x:c r="S243" s="110" t="n">
        <x:v>0.0006707800483143099</x:v>
      </x:c>
      <x:c r="T243" s="110" t="n">
        <x:v>0</x:v>
      </x:c>
      <x:c r="U243" s="110" t="n">
        <x:v>0.012374364494788292</x:v>
      </x:c>
      <x:c r="V243" s="113" t="n">
        <x:f>C243-U243</x:f>
        <x:v>0</x:v>
      </x:c>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64" t="str">
        <x:v>2024-08</x:v>
      </x:c>
      <x:c r="B244" s="110" t="n">
        <x:v>0.007065657981685902</x:v>
      </x:c>
      <x:c r="C244" s="110" t="n">
        <x:v>0.0015903312830081592</x:v>
      </x:c>
      <x:c r="D244" s="110" t="n">
        <x:v>0.005475326698677743</x:v>
      </x:c>
      <x:c r="E244" s="112" t="n">
        <x:v>4065.546451612903</x:v>
      </x:c>
      <x:c r="F244" s="112" t="n">
        <x:v>4043.347086430024</x:v>
      </x:c>
      <x:c r="G244" s="110" t="n">
        <x:v>0.004938013250958489</x:v>
      </x:c>
      <x:c r="H244" s="110" t="n">
        <x:v>-0.0004983437264927669</x:v>
      </x:c>
      <x:c r="I244" s="110" t="n">
        <x:v>0.0015955408887028723</x:v>
      </x:c>
      <x:c r="J244" s="110" t="n">
        <x:v>0.0031773979686212815</x:v>
      </x:c>
      <x:c r="K244" s="110" t="n">
        <x:v>-0.00005579299644519397</x:v>
      </x:c>
      <x:c r="L244" s="110" t="n">
        <x:v>-0.0016708361993252872</x:v>
      </x:c>
      <x:c r="M244" s="110" t="n">
        <x:v>0.004182235596822159</x:v>
      </x:c>
      <x:c r="N244" s="110" t="n">
        <x:v>0.0020616734822284186</x:v>
      </x:c>
      <x:c r="O244" s="110" t="n">
        <x:v>-0.004497230374303838</x:v>
      </x:c>
      <x:c r="P244" s="110" t="n">
        <x:v>-0.009796145596044508</x:v>
      </x:c>
      <x:c r="Q244" s="110" t="n">
        <x:v>0.00031460316263071835</x:v>
      </x:c>
      <x:c r="R244" s="110" t="n">
        <x:v>-0.0018014085565369426</x:v>
      </x:c>
      <x:c r="S244" s="110" t="n">
        <x:v>0.0036406243821927565</x:v>
      </x:c>
      <x:c r="T244" s="110" t="n">
        <x:v>0</x:v>
      </x:c>
      <x:c r="U244" s="110" t="n">
        <x:v>0.0015903312830081568</x:v>
      </x:c>
      <x:c r="V244" s="113" t="n">
        <x:f>C244-U244</x:f>
        <x:v>2.3852447794681098e-18</x:v>
      </x:c>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64" t="str">
        <x:v>2024-09</x:v>
      </x:c>
      <x:c r="B245" s="110" t="n">
        <x:v>0.02836394026293476</x:v>
      </x:c>
      <x:c r="C245" s="110" t="n">
        <x:v>0.005879542069864251</x:v>
      </x:c>
      <x:c r="D245" s="110" t="n">
        <x:v>0.02248439819307051</x:v>
      </x:c>
      <x:c r="E245" s="112" t="n">
        <x:v>4182.5123333333295</x:v>
      </x:c>
      <x:c r="F245" s="112" t="n">
        <x:v>4089.5204119032287</x:v>
      </x:c>
      <x:c r="G245" s="110" t="n">
        <x:v>0.004938013250958489</x:v>
      </x:c>
      <x:c r="H245" s="110" t="n">
        <x:v>0.0020892655371669896</x:v>
      </x:c>
      <x:c r="I245" s="110" t="n">
        <x:v>0.0007767364632178549</x:v>
      </x:c>
      <x:c r="J245" s="110" t="n">
        <x:v>0.0033892244998626943</x:v>
      </x:c>
      <x:c r="K245" s="110" t="n">
        <x:v>-0.00017356190504092762</x:v>
      </x:c>
      <x:c r="L245" s="110" t="n">
        <x:v>-0.0015940097709722144</x:v>
      </x:c>
      <x:c r="M245" s="110" t="n">
        <x:v>-0.0012639055380364744</x:v>
      </x:c>
      <x:c r="N245" s="110" t="n">
        <x:v>0.00022524333570845287</x:v>
      </x:c>
      <x:c r="O245" s="110" t="n">
        <x:v>-0.004168360923597147</x:v>
      </x:c>
      <x:c r="P245" s="110" t="n">
        <x:v>-0.00046448871865352714</x:v>
      </x:c>
      <x:c r="Q245" s="110" t="n">
        <x:v>-0.00012005239985789859</x:v>
      </x:c>
      <x:c r="R245" s="110" t="n">
        <x:v>-0.0018093001128259274</x:v>
      </x:c>
      <x:c r="S245" s="110" t="n">
        <x:v>0.004054738351933886</x:v>
      </x:c>
      <x:c r="T245" s="110" t="n">
        <x:v>0</x:v>
      </x:c>
      <x:c r="U245" s="110" t="n">
        <x:v>0.005879542069864252</x:v>
      </x:c>
      <x:c r="V245" s="113" t="n">
        <x:f>C245-U245</x:f>
        <x:v>-8.673617379884035e-19</x:v>
      </x:c>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64" t="str">
        <x:v>2024-10</x:v>
      </x:c>
      <x:c r="B246" s="110" t="n">
        <x:v>0.01588216660847408</x:v>
      </x:c>
      <x:c r="C246" s="110" t="n">
        <x:v>0.009018998276054114</x:v>
      </x:c>
      <x:c r="D246" s="110" t="n">
        <x:v>0.006863168332419966</x:v>
      </x:c>
      <x:c r="E246" s="112" t="n">
        <x:v>4249.470000000003</x:v>
      </x:c>
      <x:c r="F246" s="112" t="n">
        <x:v>4220.405025061624</x:v>
      </x:c>
      <x:c r="G246" s="110" t="n">
        <x:v>0.004938013250958489</x:v>
      </x:c>
      <x:c r="H246" s="110" t="n">
        <x:v>-0.0022202161602079616</x:v>
      </x:c>
      <x:c r="I246" s="110" t="n">
        <x:v>0.0009867122922797877</x:v>
      </x:c>
      <x:c r="J246" s="110" t="n">
        <x:v>-0.0013133244936967964</x:v>
      </x:c>
      <x:c r="K246" s="110" t="n">
        <x:v>0.00007227011597468923</x:v>
      </x:c>
      <x:c r="L246" s="110" t="n">
        <x:v>0.003725666431363973</x:v>
      </x:c>
      <x:c r="M246" s="110" t="n">
        <x:v>0.0017317007156471458</x:v>
      </x:c>
      <x:c r="N246" s="110" t="n">
        <x:v>-0.001751908496205249</x:v>
      </x:c>
      <x:c r="O246" s="110" t="n">
        <x:v>-0.0036300756337165506</x:v>
      </x:c>
      <x:c r="P246" s="110" t="n">
        <x:v>0.006196607771360269</x:v>
      </x:c>
      <x:c r="Q246" s="110" t="n">
        <x:v>-0.0000829418653516502</x:v>
      </x:c>
      <x:c r="R246" s="110" t="n">
        <x:v>-0.0017105870825091711</x:v>
      </x:c>
      <x:c r="S246" s="110" t="n">
        <x:v>0.0020770814301571384</x:v>
      </x:c>
      <x:c r="T246" s="110" t="n">
        <x:v>0</x:v>
      </x:c>
      <x:c r="U246" s="110" t="n">
        <x:v>0.009018998276054114</x:v>
      </x:c>
      <x:c r="V246" s="113" t="n">
        <x:f>C246-U246</x:f>
        <x:v>0</x:v>
      </x:c>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64" t="str">
        <x:v>2024-11</x:v>
      </x:c>
      <x:c r="B247" s="110" t="n">
        <x:v>0.03677478012959412</x:v>
      </x:c>
      <x:c r="C247" s="110" t="n">
        <x:v>0.030434700675492317</x:v>
      </x:c>
      <x:c r="D247" s="110" t="n">
        <x:v>0.006340079454101803</x:v>
      </x:c>
      <x:c r="E247" s="112" t="n">
        <x:v>4408.652333333335</x:v>
      </x:c>
      <x:c r="F247" s="112" t="n">
        <x:v>4380.789546727334</x:v>
      </x:c>
      <x:c r="G247" s="110" t="n">
        <x:v>0.004938013250958489</x:v>
      </x:c>
      <x:c r="H247" s="110" t="n">
        <x:v>0.00005453848533684643</x:v>
      </x:c>
      <x:c r="I247" s="110" t="n">
        <x:v>0.0009410146172149499</x:v>
      </x:c>
      <x:c r="J247" s="110" t="n">
        <x:v>0.0013133244936967964</x:v>
      </x:c>
      <x:c r="K247" s="110" t="n">
        <x:v>-0.0000030050662560788383</x:v>
      </x:c>
      <x:c r="L247" s="110" t="n">
        <x:v>0.005811429104596358</x:v>
      </x:c>
      <x:c r="M247" s="110" t="n">
        <x:v>-0.0031188166239137873</x:v>
      </x:c>
      <x:c r="N247" s="110" t="n">
        <x:v>0.001802547143941165</x:v>
      </x:c>
      <x:c r="O247" s="110" t="n">
        <x:v>0.0036615438927476277</x:v>
      </x:c>
      <x:c r="P247" s="110" t="n">
        <x:v>0.0029763650541384844</x:v>
      </x:c>
      <x:c r="Q247" s="110" t="n">
        <x:v>-0.0004684917175043069</x:v>
      </x:c>
      <x:c r="R247" s="110" t="n">
        <x:v>-0.001639943379387928</x:v>
      </x:c>
      <x:c r="S247" s="110" t="n">
        <x:v>0.014166181419923702</x:v>
      </x:c>
      <x:c r="T247" s="110" t="n">
        <x:v>0</x:v>
      </x:c>
      <x:c r="U247" s="110" t="n">
        <x:v>0.030434700675492317</x:v>
      </x:c>
      <x:c r="V247" s="113" t="n">
        <x:f>C247-U247</x:f>
        <x:v>0</x:v>
      </x:c>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64" t="str">
        <x:v>2024-12</x:v>
      </x:c>
      <x:c r="B248" s="110" t="n">
        <x:v>-0.005345510890666816</x:v>
      </x:c>
      <x:c r="C248" s="110" t="n">
        <x:v>-0.00010271091374964653</x:v>
      </x:c>
      <x:c r="D248" s="110" t="n">
        <x:v>-0.005242799976917169</x:v>
      </x:c>
      <x:c r="E248" s="112" t="n">
        <x:v>4385.148709677422</x:v>
      </x:c>
      <x:c r="F248" s="112" t="n">
        <x:v>4408.199539877589</x:v>
      </x:c>
      <x:c r="G248" s="110" t="n">
        <x:v>0.004938013250958489</x:v>
      </x:c>
      <x:c r="H248" s="110" t="n">
        <x:v>-0.002181554080768192</x:v>
      </x:c>
      <x:c r="I248" s="110" t="n">
        <x:v>0.0009020746178289879</x:v>
      </x:c>
      <x:c r="J248" s="110" t="n">
        <x:v>0.00203565296523003</x:v>
      </x:c>
      <x:c r="K248" s="110" t="n">
        <x:v>-0.00015086166237450775</x:v>
      </x:c>
      <x:c r="L248" s="110" t="n">
        <x:v>0.00266298715014122</x:v>
      </x:c>
      <x:c r="M248" s="110" t="n">
        <x:v>-0.00013241204996642224</x:v>
      </x:c>
      <x:c r="N248" s="110" t="n">
        <x:v>-0.00014468185067404194</x:v>
      </x:c>
      <x:c r="O248" s="110" t="n">
        <x:v>-0.0008453445092480039</x:v>
      </x:c>
      <x:c r="P248" s="110" t="n">
        <x:v>-0.00800058999242419</x:v>
      </x:c>
      <x:c r="Q248" s="110" t="n">
        <x:v>0.0004140501663552562</x:v>
      </x:c>
      <x:c r="R248" s="110" t="n">
        <x:v>-0.0016999855779860752</x:v>
      </x:c>
      <x:c r="S248" s="110" t="n">
        <x:v>0.002099940659177804</x:v>
      </x:c>
      <x:c r="T248" s="110" t="n">
        <x:v>0</x:v>
      </x:c>
      <x:c r="U248" s="110" t="n">
        <x:v>-0.00010271091374964604</x:v>
      </x:c>
      <x:c r="V248" s="113" t="n">
        <x:f>C248-U248</x:f>
        <x:v>-4.87890977618477e-19</x:v>
      </x:c>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64" t="str">
        <x:v>2025-01</x:v>
      </x:c>
      <x:c r="B249" s="110" t="n">
        <x:v>-0.017850197598621165</x:v>
      </x:c>
      <x:c r="C249" s="110" t="n">
        <x:v>0.0019215319483920966</x:v>
      </x:c>
      <x:c r="D249" s="110" t="n">
        <x:v>-0.019771729547013263</x:v>
      </x:c>
      <x:c r="E249" s="112" t="n">
        <x:v>4307.567419354838</x:v>
      </x:c>
      <x:c r="F249" s="112" t="n">
        <x:v>4393.5830138187985</x:v>
      </x:c>
      <x:c r="G249" s="110" t="n">
        <x:v>0.004938013250958489</x:v>
      </x:c>
      <x:c r="H249" s="110" t="n">
        <x:v>-0.0022519187201337286</x:v>
      </x:c>
      <x:c r="I249" s="110" t="n">
        <x:v>0.0011198230223504935</x:v>
      </x:c>
      <x:c r="J249" s="110" t="n">
        <x:v>-0.0005740498996642413</x:v>
      </x:c>
      <x:c r="K249" s="110" t="n">
        <x:v>0.00013510640290338854</x:v>
      </x:c>
      <x:c r="L249" s="110" t="n">
        <x:v>0.002629932154263959</x:v>
      </x:c>
      <x:c r="M249" s="110" t="n">
        <x:v>0.0007791841747837996</x:v>
      </x:c>
      <x:c r="N249" s="110" t="n">
        <x:v>-0.00016512602522580666</x:v>
      </x:c>
      <x:c r="O249" s="110" t="n">
        <x:v>0.002169011416025058</x:v>
      </x:c>
      <x:c r="P249" s="110" t="n">
        <x:v>-0.00746139024248552</x:v>
      </x:c>
      <x:c r="Q249" s="110" t="n">
        <x:v>-0.00030809561659889687</x:v>
      </x:c>
      <x:c r="R249" s="110" t="n">
        <x:v>-0.0020303323643363997</x:v>
      </x:c>
      <x:c r="S249" s="110" t="n">
        <x:v>0.0029413743955515013</x:v>
      </x:c>
      <x:c r="T249" s="110" t="n">
        <x:v>0</x:v>
      </x:c>
      <x:c r="U249" s="110" t="n">
        <x:v>0.001921531948392096</x:v>
      </x:c>
      <x:c r="V249" s="113" t="n">
        <x:f>C249-U249</x:f>
        <x:v>6.505213034913027e-19</x:v>
      </x:c>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64" t="str">
        <x:v>2025-02</x:v>
      </x:c>
      <x:c r="B250" s="110" t="n">
        <x:v>-0.04259147351515935</x:v>
      </x:c>
      <x:c r="C250" s="110" t="n">
        <x:v>-0.019871698773219287</x:v>
      </x:c>
      <x:c r="D250" s="110" t="n">
        <x:v>-0.022719774741940063</x:v>
      </x:c>
      <x:c r="E250" s="112" t="n">
        <x:v>4127.95392857143</x:v>
      </x:c>
      <x:c r="F250" s="112" t="n">
        <x:v>4222.81362704502</x:v>
      </x:c>
      <x:c r="G250" s="110" t="n">
        <x:v>0.004938013250958489</x:v>
      </x:c>
      <x:c r="H250" s="110" t="n">
        <x:v>0.0005978893986530745</x:v>
      </x:c>
      <x:c r="I250" s="110" t="n">
        <x:v>0.0005819765517105597</x:v>
      </x:c>
      <x:c r="J250" s="110" t="n">
        <x:v>0.00018005255155520533</x:v>
      </x:c>
      <x:c r="K250" s="110" t="n">
        <x:v>-0.00004604104577343552</x:v>
      </x:c>
      <x:c r="L250" s="110" t="n">
        <x:v>-0.0020018845015221665</x:v>
      </x:c>
      <x:c r="M250" s="110" t="n">
        <x:v>0.00017159656954357424</x:v>
      </x:c>
      <x:c r="N250" s="110" t="n">
        <x:v>0.000522128491764011</x:v>
      </x:c>
      <x:c r="O250" s="110" t="n">
        <x:v>-0.0014472462845771246</x:v>
      </x:c>
      <x:c r="P250" s="110" t="n">
        <x:v>-0.0034753933355509705</x:v>
      </x:c>
      <x:c r="Q250" s="110" t="n">
        <x:v>0.0004618233489919394</x:v>
      </x:c>
      <x:c r="R250" s="110" t="n">
        <x:v>-0.0021738528218749283</x:v>
      </x:c>
      <x:c r="S250" s="110" t="n">
        <x:v>-0.018180760947097512</x:v>
      </x:c>
      <x:c r="T250" s="110" t="n">
        <x:v>0</x:v>
      </x:c>
      <x:c r="U250" s="110" t="n">
        <x:v>-0.019871698773219284</x:v>
      </x:c>
      <x:c r="V250" s="113" t="n">
        <x:f>C250-U250</x:f>
        <x:v>-3.469446951953614e-18</x:v>
      </x:c>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64" t="str">
        <x:v>2025-03</x:v>
      </x:c>
      <x:c r="B251" s="110" t="n">
        <x:v>0.002354468349382799</x:v>
      </x:c>
      <x:c r="C251" s="110" t="n">
        <x:v>0.003473789280210793</x:v>
      </x:c>
      <x:c r="D251" s="110" t="n">
        <x:v>-0.0011193209308279941</x:v>
      </x:c>
      <x:c r="E251" s="112" t="n">
        <x:v>4137.684516129031</x:v>
      </x:c>
      <x:c r="F251" s="112" t="n">
        <x:v>4142.3185059902</x:v>
      </x:c>
      <x:c r="G251" s="110" t="n">
        <x:v>0.004938013250958489</x:v>
      </x:c>
      <x:c r="H251" s="110" t="n">
        <x:v>0.00035026505726120586</x:v>
      </x:c>
      <x:c r="I251" s="110" t="n">
        <x:v>0.0007008011103766118</x:v>
      </x:c>
      <x:c r="J251" s="110" t="n">
        <x:v>0</x:v>
      </x:c>
      <x:c r="K251" s="110" t="n">
        <x:v>-0.00012291245071862725</x:v>
      </x:c>
      <x:c r="L251" s="110" t="n">
        <x:v>-0.0034356234081678147</x:v>
      </x:c>
      <x:c r="M251" s="110" t="n">
        <x:v>0.0035754682861664157</x:v>
      </x:c>
      <x:c r="N251" s="110" t="n">
        <x:v>0.0016902457204994944</x:v>
      </x:c>
      <x:c r="O251" s="110" t="n">
        <x:v>-0.0029478986796596953</x:v>
      </x:c>
      <x:c r="P251" s="110" t="n">
        <x:v>0.011528379226296404</x:v>
      </x:c>
      <x:c r="Q251" s="110" t="n">
        <x:v>-0.00012456314953501778</x:v>
      </x:c>
      <x:c r="R251" s="110" t="n">
        <x:v>-0.002054953711380186</x:v>
      </x:c>
      <x:c r="S251" s="110" t="n">
        <x:v>-0.010623431971886487</x:v>
      </x:c>
      <x:c r="T251" s="110" t="n">
        <x:v>0</x:v>
      </x:c>
      <x:c r="U251" s="110" t="n">
        <x:v>0.00347378928021079</x:v>
      </x:c>
      <x:c r="V251" s="113" t="n">
        <x:f>C251-U251</x:f>
        <x:v>3.0357660829594124e-18</x:v>
      </x:c>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64" t="str">
        <x:v>2025-04</x:v>
      </x:c>
      <x:c r="B252" s="110" t="n">
        <x:v>0.03387695239867128</x:v>
      </x:c>
      <x:c r="C252" s="110" t="n">
        <x:v>0.01722938436060572</x:v>
      </x:c>
      <x:c r="D252" s="110" t="n">
        <x:v>0.01664756803806556</x:v>
      </x:c>
      <x:c r="E252" s="112" t="n">
        <x:v>4280.2580000000025</x:v>
      </x:c>
      <x:c r="F252" s="112" t="n">
        <x:v>4209.59195465718</x:v>
      </x:c>
      <x:c r="G252" s="110" t="n">
        <x:v>0.004938013250958489</x:v>
      </x:c>
      <x:c r="H252" s="110" t="n">
        <x:v>0.0007788227766337382</x:v>
      </x:c>
      <x:c r="I252" s="110" t="n">
        <x:v>0.0011477751624649874</x:v>
      </x:c>
      <x:c r="J252" s="110" t="n">
        <x:v>0</x:v>
      </x:c>
      <x:c r="K252" s="110" t="n">
        <x:v>-0.00014814637656782162</x:v>
      </x:c>
      <x:c r="L252" s="110" t="n">
        <x:v>-0.00449074379550816</x:v>
      </x:c>
      <x:c r="M252" s="110" t="n">
        <x:v>0.005393666831584187</x:v>
      </x:c>
      <x:c r="N252" s="110" t="n">
        <x:v>0.007419877182863108</x:v>
      </x:c>
      <x:c r="O252" s="110" t="n">
        <x:v>-0.0018091142595286285</x:v>
      </x:c>
      <x:c r="P252" s="110" t="n">
        <x:v>-0.0007695586070953283</x:v>
      </x:c>
      <x:c r="Q252" s="110" t="n">
        <x:v>-0.0001718212502908681</x:v>
      </x:c>
      <x:c r="R252" s="110" t="n">
        <x:v>-0.0021011270277248367</x:v>
      </x:c>
      <x:c r="S252" s="110" t="n">
        <x:v>0.007041740472816853</x:v>
      </x:c>
      <x:c r="T252" s="110" t="n">
        <x:v>0</x:v>
      </x:c>
      <x:c r="U252" s="110" t="n">
        <x:v>0.01722938436060572</x:v>
      </x:c>
      <x:c r="V252" s="113" t="n">
        <x:f>C252-U252</x:f>
        <x:v>0</x:v>
      </x:c>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64" t="str">
        <x:v>2025-05</x:v>
      </x:c>
      <x:c r="B253" s="110" t="n">
        <x:v>-0.018125015292536517</x:v>
      </x:c>
      <x:c r="C253" s="110" t="n">
        <x:v>-0.029694511500224587</x:v>
      </x:c>
      <x:c r="D253" s="110" t="n">
        <x:v>0.01156949620768807</x:v>
      </x:c>
      <x:c r="E253" s="112" t="n">
        <x:v>4203.377096774196</x:v>
      </x:c>
      <x:c r="F253" s="112" t="n">
        <x:v>4155.026377449361</x:v>
      </x:c>
      <x:c r="G253" s="110" t="n">
        <x:v>0.004938013250958489</x:v>
      </x:c>
      <x:c r="H253" s="110" t="n">
        <x:v>0.0023960893137574637</x:v>
      </x:c>
      <x:c r="I253" s="110" t="n">
        <x:v>0.0009730115278385328</x:v>
      </x:c>
      <x:c r="J253" s="110" t="n">
        <x:v>0</x:v>
      </x:c>
      <x:c r="K253" s="110" t="n">
        <x:v>0.00013570969844201318</x:v>
      </x:c>
      <x:c r="L253" s="110" t="n">
        <x:v>-0.003900562609254707</x:v>
      </x:c>
      <x:c r="M253" s="110" t="n">
        <x:v>-0.006317356288130917</x:v>
      </x:c>
      <x:c r="N253" s="110" t="n">
        <x:v>-0.004357225462003944</x:v>
      </x:c>
      <x:c r="O253" s="110" t="n">
        <x:v>-0.0034508336718587305</x:v>
      </x:c>
      <x:c r="P253" s="110" t="n">
        <x:v>-0.003409278982229458</x:v>
      </x:c>
      <x:c r="Q253" s="110" t="n">
        <x:v>0.00025115798827846027</x:v>
      </x:c>
      <x:c r="R253" s="110" t="n">
        <x:v>-0.0020756023520057715</x:v>
      </x:c>
      <x:c r="S253" s="110" t="n">
        <x:v>-0.014877633914016022</x:v>
      </x:c>
      <x:c r="T253" s="110" t="n">
        <x:v>0</x:v>
      </x:c>
      <x:c r="U253" s="110" t="n">
        <x:v>-0.02969451150022459</x:v>
      </x:c>
      <x:c r="V253" s="113" t="n">
        <x:f>C253-U253</x:f>
        <x:v>3.469446951953614e-18</x:v>
      </x:c>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64" t="str">
        <x:v>2025-06</x:v>
      </x:c>
      <x:c r="B254" s="110" t="n">
        <x:v>-0.021617671767732105</x:v>
      </x:c>
      <x:c r="C254" s="110" t="n">
        <x:v>-0.023011197804132244</x:v>
      </x:c>
      <x:c r="D254" s="110" t="n">
        <x:v>0.001393526036400139</x:v>
      </x:c>
      <x:c r="E254" s="112" t="n">
        <x:v>4113.4850000000015</x:v>
      </x:c>
      <x:c r="F254" s="112" t="n">
        <x:v>4107.756743716278</x:v>
      </x:c>
      <x:c r="G254" s="110" t="n">
        <x:v>0.004938013250958489</x:v>
      </x:c>
      <x:c r="H254" s="110" t="n">
        <x:v>-0.003556474555679453</x:v>
      </x:c>
      <x:c r="I254" s="110" t="n">
        <x:v>0.0007769716209967144</x:v>
      </x:c>
      <x:c r="J254" s="110" t="n">
        <x:v>0.0015886989843106407</x:v>
      </x:c>
      <x:c r="K254" s="110" t="n">
        <x:v>-0.00004056468502718337</x:v>
      </x:c>
      <x:c r="L254" s="110" t="n">
        <x:v>-0.0038480084606187463</x:v>
      </x:c>
      <x:c r="M254" s="110" t="n">
        <x:v>-0.0015018341093374378</x:v>
      </x:c>
      <x:c r="N254" s="110" t="n">
        <x:v>-0.0014566831783772913</x:v>
      </x:c>
      <x:c r="O254" s="110" t="n">
        <x:v>0.000170012118274923</x:v>
      </x:c>
      <x:c r="P254" s="110" t="n">
        <x:v>-0.0054113857874784526</x:v>
      </x:c>
      <x:c r="Q254" s="110" t="n">
        <x:v>-0.00020518566899187452</x:v>
      </x:c>
      <x:c r="R254" s="110" t="n">
        <x:v>-0.0020298135038084838</x:v>
      </x:c>
      <x:c r="S254" s="110" t="n">
        <x:v>-0.012434943829354093</x:v>
      </x:c>
      <x:c r="T254" s="110" t="n">
        <x:v>0</x:v>
      </x:c>
      <x:c r="U254" s="110" t="n">
        <x:v>-0.023011197804132247</x:v>
      </x:c>
      <x:c r="V254" s="113" t="n">
        <x:f>C254-U254</x:f>
        <x:v>3.469446951953614e-18</x:v>
      </x:c>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64" t="str">
        <x:v>2025-07</x:v>
      </x:c>
      <x:c r="B255" s="110" t="n">
        <x:v>-0.01781593435753237</x:v>
      </x:c>
      <x:c r="C255" s="110" t="n">
        <x:v>-0.008896278057741933</x:v>
      </x:c>
      <x:c r="D255" s="110" t="n">
        <x:v>-0.008919656299790437</x:v>
      </x:c>
      <x:c r="E255" s="112" t="n">
        <x:v>4040.8483870967743</x:v>
      </x:c>
      <x:c r="F255" s="112" t="n">
        <x:v>4077.0525903597363</x:v>
      </x:c>
      <x:c r="G255" s="110" t="n">
        <x:v>0.004938013250958489</x:v>
      </x:c>
      <x:c r="H255" s="110" t="n">
        <x:v>-0.00017713676753948959</x:v>
      </x:c>
      <x:c r="I255" s="110" t="n">
        <x:v>0.0003794555685114152</x:v>
      </x:c>
      <x:c r="J255" s="110" t="n">
        <x:v>0.000052956632810353136</x:v>
      </x:c>
      <x:c r="K255" s="110" t="n">
        <x:v>0.00011259528009754221</x:v>
      </x:c>
      <x:c r="L255" s="110" t="n">
        <x:v>-0.0010688725043940556</x:v>
      </x:c>
      <x:c r="M255" s="110" t="n">
        <x:v>-0.001648264328367327</x:v>
      </x:c>
      <x:c r="N255" s="110" t="n">
        <x:v>-0.004293905707395711</x:v>
      </x:c>
      <x:c r="O255" s="110" t="n">
        <x:v>-0.002512801959061171</x:v>
      </x:c>
      <x:c r="P255" s="110" t="n">
        <x:v>0.002906573409018703</x:v>
      </x:c>
      <x:c r="Q255" s="110" t="n">
        <x:v>0.00019090863861335227</x:v>
      </x:c>
      <x:c r="R255" s="110" t="n">
        <x:v>-0.0022425762860459717</x:v>
      </x:c>
      <x:c r="S255" s="110" t="n">
        <x:v>-0.005533223284948063</x:v>
      </x:c>
      <x:c r="T255" s="110" t="n">
        <x:v>0</x:v>
      </x:c>
      <x:c r="U255" s="110" t="n">
        <x:v>-0.008896278057741933</x:v>
      </x:c>
      <x:c r="V255" s="113" t="n">
        <x:f>C255-U255</x:f>
        <x:v>0</x:v>
      </x:c>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64" t="str">
        <x:v>2025-08</x:v>
      </x:c>
      <x:c r="B256" s="110" t="n">
        <x:v>0.0016229021438416424</x:v>
      </x:c>
      <x:c r="C256" s="110" t="n">
        <x:v>-0.0038707243007336974</x:v>
      </x:c>
      <x:c r="D256" s="110" t="n">
        <x:v>0.00549362644457534</x:v>
      </x:c>
      <x:c r="E256" s="112" t="n">
        <x:v>4047.4116129032236</x:v>
      </x:c>
      <x:c r="F256" s="112" t="n">
        <x:v>4025.237609048939</x:v>
      </x:c>
      <x:c r="G256" s="110" t="n">
        <x:v>0.004938013250958489</x:v>
      </x:c>
      <x:c r="H256" s="110" t="n">
        <x:v>-0.0014245652889835374</x:v>
      </x:c>
      <x:c r="I256" s="110" t="n">
        <x:v>0.000854659255051744</x:v>
      </x:c>
      <x:c r="J256" s="110" t="n">
        <x:v>0</x:v>
      </x:c>
      <x:c r="K256" s="110" t="n">
        <x:v>0.000022713100373483983</x:v>
      </x:c>
      <x:c r="L256" s="110" t="n">
        <x:v>0.001028904667677393</x:v>
      </x:c>
      <x:c r="M256" s="110" t="n">
        <x:v>-0.0005565489826965833</x:v>
      </x:c>
      <x:c r="N256" s="110" t="n">
        <x:v>-0.0033091255455252166</x:v>
      </x:c>
      <x:c r="O256" s="110" t="n">
        <x:v>0.0012373563751235542</x:v>
      </x:c>
      <x:c r="P256" s="110" t="n">
        <x:v>-0.0019691199428146463</x:v>
      </x:c>
      <x:c r="Q256" s="110" t="n">
        <x:v>-0.0003385736993069131</x:v>
      </x:c>
      <x:c r="R256" s="110" t="n">
        <x:v>-0.0020227922071321645</x:v>
      </x:c>
      <x:c r="S256" s="110" t="n">
        <x:v>-0.0023316452834593</x:v>
      </x:c>
      <x:c r="T256" s="110" t="n">
        <x:v>0</x:v>
      </x:c>
      <x:c r="U256" s="110" t="n">
        <x:v>-0.003870724300733698</x:v>
      </x:c>
      <x:c r="V256" s="113" t="n">
        <x:f>C256-U256</x:f>
        <x:v>4.336808689942018e-19</x:v>
      </x:c>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64" t="str">
        <x:v>2025-09</x:v>
      </x:c>
      <x:c r="B257" s="110" t="n">
        <x:v>-0.031421788509449655</x:v>
      </x:c>
      <x:c r="C257" s="110" t="n">
        <x:v>-0.02311085852862187</x:v>
      </x:c>
      <x:c r="D257" s="110" t="n">
        <x:v>-0.008310929980827785</x:v>
      </x:c>
      <x:c r="E257" s="112" t="n">
        <x:v>3922.211999999997</x:v>
      </x:c>
      <x:c r="F257" s="112" t="n">
        <x:v>3954.9450619849886</x:v>
      </x:c>
      <x:c r="G257" s="110" t="n">
        <x:v>0.004938013250958489</x:v>
      </x:c>
      <x:c r="H257" s="110" t="n">
        <x:v>-0.0010278352743623756</x:v>
      </x:c>
      <x:c r="I257" s="110" t="n">
        <x:v>0.0004817639039207533</x:v>
      </x:c>
      <x:c r="J257" s="110" t="n">
        <x:v>0</x:v>
      </x:c>
      <x:c r="K257" s="110" t="n">
        <x:v>0.0001377632403547288</x:v>
      </x:c>
      <x:c r="L257" s="110" t="n">
        <x:v>-0.0012151115698710497</x:v>
      </x:c>
      <x:c r="M257" s="110" t="n">
        <x:v>0.00003510458939790557</x:v>
      </x:c>
      <x:c r="N257" s="110" t="n">
        <x:v>-0.006055921917872367</x:v>
      </x:c>
      <x:c r="O257" s="110" t="n">
        <x:v>-0.0025651876753398847</x:v>
      </x:c>
      <x:c r="P257" s="110" t="n">
        <x:v>-0.007182972089273456</x:v>
      </x:c>
      <x:c r="Q257" s="110" t="n">
        <x:v>0.00040192241020769353</x:v>
      </x:c>
      <x:c r="R257" s="110" t="n">
        <x:v>-0.0019245549707951062</x:v>
      </x:c>
      <x:c r="S257" s="110" t="n">
        <x:v>-0.009133842425947203</x:v>
      </x:c>
      <x:c r="T257" s="110" t="n">
        <x:v>0</x:v>
      </x:c>
      <x:c r="U257" s="110" t="n">
        <x:v>-0.023110858528621873</x:v>
      </x:c>
      <x:c r="V257" s="113" t="n">
        <x:f>C257-U257</x:f>
        <x:v>3.469446951953614e-18</x:v>
      </x:c>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64" t="str">
        <x:v>2025-10</x:v>
      </x:c>
      <x:c r="B258" s="110" t="n">
        <x:v>-0.011376234994651568</x:v>
      </x:c>
      <x:c r="C258" s="110" t="n">
        <x:v>-0.0035522212756680226</x:v>
      </x:c>
      <x:c r="D258" s="110" t="n">
        <x:v>-0.007824013718983546</x:v>
      </x:c>
      <x:c r="E258" s="112" t="n">
        <x:v>3877.8448387096764</x:v>
      </x:c>
      <x:c r="F258" s="112" t="n">
        <x:v>3908.3041515878463</x:v>
      </x:c>
      <x:c r="G258" s="110" t="n">
        <x:v>0.004938013250958489</x:v>
      </x:c>
      <x:c r="H258" s="110" t="n">
        <x:v>0.0034680648581053236</x:v>
      </x:c>
      <x:c r="I258" s="110" t="n">
        <x:v>0.00034875732952635753</x:v>
      </x:c>
      <x:c r="J258" s="110" t="n">
        <x:v>-0.0007223284715332395</x:v>
      </x:c>
      <x:c r="K258" s="110" t="n">
        <x:v>0.00009534034499603678</x:v>
      </x:c>
      <x:c r="L258" s="110" t="n">
        <x:v>0.001627108890546678</x:v>
      </x:c>
      <x:c r="M258" s="110" t="n">
        <x:v>0.0019237983099180637</x:v>
      </x:c>
      <x:c r="N258" s="110" t="n">
        <x:v>0.0007718891106464657</x:v>
      </x:c>
      <x:c r="O258" s="110" t="n">
        <x:v>-0.001548764843501493</x:v>
      </x:c>
      <x:c r="P258" s="110" t="n">
        <x:v>-0.0016859317953847697</x:v>
      </x:c>
      <x:c r="Q258" s="110" t="n">
        <x:v>-0.00008479106377849984</x:v>
      </x:c>
      <x:c r="R258" s="110" t="n">
        <x:v>-0.0018774434964024655</x:v>
      </x:c>
      <x:c r="S258" s="110" t="n">
        <x:v>-0.010805933699764968</x:v>
      </x:c>
      <x:c r="T258" s="110" t="n">
        <x:v>0</x:v>
      </x:c>
      <x:c r="U258" s="110" t="n">
        <x:v>-0.0035522212756680226</x:v>
      </x:c>
      <x:c r="V258" s="113" t="n">
        <x:f>C258-U258</x:f>
        <x:v>0</x:v>
      </x:c>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64" t="str">
        <x:v>2025-11</x:v>
      </x:c>
      <x:c r="B259" s="110" t="n">
        <x:v>-0.02392106973964836</x:v>
      </x:c>
      <x:c r="C259" s="110" t="n">
        <x:v>-0.01471573478503485</x:v>
      </x:c>
      <x:c r="D259" s="110" t="n">
        <x:v>-0.009205334954613509</x:v>
      </x:c>
      <x:c r="E259" s="112" t="n">
        <x:v>3786.1833333333366</x:v>
      </x:c>
      <x:c r="F259" s="112" t="n">
        <x:v>3821.197329646781</x:v>
      </x:c>
      <x:c r="G259" s="110" t="n">
        <x:v>0.004938013250958489</x:v>
      </x:c>
      <x:c r="H259" s="110" t="n">
        <x:v>0.0005229709864201437</x:v>
      </x:c>
      <x:c r="I259" s="110" t="n">
        <x:v>0.0003072266528301188</x:v>
      </x:c>
      <x:c r="J259" s="110" t="n">
        <x:v>-0.0008536609209029161</x:v>
      </x:c>
      <x:c r="K259" s="110" t="n">
        <x:v>0.00010496144890801952</x:v>
      </x:c>
      <x:c r="L259" s="110" t="n">
        <x:v>0.0014481676033524303</x:v>
      </x:c>
      <x:c r="M259" s="110" t="n">
        <x:v>0.0012599896458988756</x:v>
      </x:c>
      <x:c r="N259" s="110" t="n">
        <x:v>-0.0011344157933013115</x:v>
      </x:c>
      <x:c r="O259" s="110" t="n">
        <x:v>-0.0004396785875399963</x:v>
      </x:c>
      <x:c r="P259" s="110" t="n">
        <x:v>-0.009663583176784648</x:v>
      </x:c>
      <x:c r="Q259" s="110" t="n">
        <x:v>0.00004991187478886849</x:v>
      </x:c>
      <x:c r="R259" s="110" t="n">
        <x:v>-0.0022734222634687236</x:v>
      </x:c>
      <x:c r="S259" s="110" t="n">
        <x:v>-0.008982215506194201</x:v>
      </x:c>
      <x:c r="T259" s="110" t="n">
        <x:v>0</x:v>
      </x:c>
      <x:c r="U259" s="110" t="n">
        <x:v>-0.01471573478503485</x:v>
      </x:c>
      <x:c r="V259" s="113" t="n">
        <x:f>C259-U259</x:f>
        <x:v>0</x:v>
      </x:c>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64" t="str">
        <x:v>2025-12</x:v>
      </x:c>
      <x:c r="B260" s="110" t="n">
        <x:v>0.0013958415424308868</x:v>
      </x:c>
      <x:c r="C260" s="110" t="n">
        <x:v>0.0023696793415581654</x:v>
      </x:c>
      <x:c r="D260" s="110" t="n">
        <x:v>-0.0009738377991272786</x:v>
      </x:c>
      <x:c r="E260" s="112" t="n">
        <x:v>3791.471935483873</x:v>
      </x:c>
      <x:c r="F260" s="112" t="n">
        <x:v>3795.166012592998</x:v>
      </x:c>
      <x:c r="G260" s="110" t="n">
        <x:v>0.004938013250958489</x:v>
      </x:c>
      <x:c r="H260" s="110" t="n">
        <x:v>-0.0009222930157332059</x:v>
      </x:c>
      <x:c r="I260" s="110" t="n">
        <x:v>0.00020609884727964628</x:v>
      </x:c>
      <x:c r="J260" s="110" t="n">
        <x:v>-0.0013789907183816346</x:v>
      </x:c>
      <x:c r="K260" s="110" t="n">
        <x:v>-0.00020586293627157604</x:v>
      </x:c>
      <x:c r="L260" s="110" t="n">
        <x:v>-0.0027207806962047994</x:v>
      </x:c>
      <x:c r="M260" s="110" t="n">
        <x:v>-0.0034015276572450684</x:v>
      </x:c>
      <x:c r="N260" s="110" t="n">
        <x:v>0.0028781466196858628</x:v>
      </x:c>
      <x:c r="O260" s="110" t="n">
        <x:v>-0.0008606239088573302</x:v>
      </x:c>
      <x:c r="P260" s="110" t="n">
        <x:v>0.01186565270680752</x:v>
      </x:c>
      <x:c r="Q260" s="110" t="n">
        <x:v>0.0001800464635247808</x:v>
      </x:c>
      <x:c r="R260" s="110" t="n">
        <x:v>-0.0026447285398722804</x:v>
      </x:c>
      <x:c r="S260" s="110" t="n">
        <x:v>-0.005563471074132236</x:v>
      </x:c>
      <x:c r="T260" s="110" t="n">
        <x:v>0</x:v>
      </x:c>
      <x:c r="U260" s="110" t="n">
        <x:v>0.002369679341558166</x:v>
      </x:c>
      <x:c r="V260" s="113" t="n">
        <x:f>C260-U260</x:f>
        <x:v>-4.336808689942018e-19</x:v>
      </x:c>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64" t="str">
        <x:v>2026-01</x:v>
      </x:c>
      <x:c r="B261" s="110" t="n">
        <x:v>-0.02361127658400619</x:v>
      </x:c>
      <x:c r="C261" s="110" t="n">
        <x:v>-0.0027463692225187016</x:v>
      </x:c>
      <x:c r="D261" s="110" t="n">
        <x:v>-0.020864907361487488</x:v>
      </x:c>
      <x:c r="E261" s="112" t="n">
        <x:v>3702.999032258066</x:v>
      </x:c>
      <x:c r="F261" s="112" t="n">
        <x:v>3781.0734392431577</x:v>
      </x:c>
      <x:c r="G261" s="110" t="n">
        <x:v>0.004938013250958489</x:v>
      </x:c>
      <x:c r="H261" s="110" t="n">
        <x:v>-0.00017281310762756464</x:v>
      </x:c>
      <x:c r="I261" s="110" t="n">
        <x:v>0.00041036872391719755</x:v>
      </x:c>
      <x:c r="J261" s="110" t="n">
        <x:v>-0.0010506595949574312</x:v>
      </x:c>
      <x:c r="K261" s="110" t="n">
        <x:v>0.0001191894591183134</x:v>
      </x:c>
      <x:c r="L261" s="110" t="n">
        <x:v>-0.0021406697520638027</x:v>
      </x:c>
      <x:c r="M261" s="110" t="n">
        <x:v>0.000563247350961182</x:v>
      </x:c>
      <x:c r="N261" s="110" t="n">
        <x:v>-0.0008514498318916355</x:v>
      </x:c>
      <x:c r="O261" s="110" t="n">
        <x:v>-0.0009854126667444782</x:v>
      </x:c>
      <x:c r="P261" s="110" t="n">
        <x:v>0.012917892572530724</x:v>
      </x:c>
      <x:c r="Q261" s="110" t="n">
        <x:v>-0.00048370640671367406</x:v>
      </x:c>
      <x:c r="R261" s="110" t="n">
        <x:v>-0.0028036563999932675</x:v>
      </x:c>
      <x:c r="S261" s="110" t="n">
        <x:v>-0.013206712820012755</x:v>
      </x:c>
      <x:c r="T261" s="110" t="n">
        <x:v>0</x:v>
      </x:c>
      <x:c r="U261" s="110" t="n">
        <x:v>-0.0027463692225187016</x:v>
      </x:c>
      <x:c r="V261" s="113" t="n">
        <x:f>C261-U261</x:f>
        <x:v>0</x:v>
      </x:c>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64" t="str">
        <x:v>2026-02</x:v>
      </x:c>
      <x:c r="B262" s="110" t="n">
        <x:v>-0.007415384769933198</x:v>
      </x:c>
      <x:c r="C262" s="110" t="n">
        <x:v>-0.018101537466141376</x:v>
      </x:c>
      <x:c r="D262" s="110" t="n">
        <x:v>0.010686152696208179</x:v>
      </x:c>
      <x:c r="E262" s="112" t="n">
        <x:v>3675.64142857143</x:v>
      </x:c>
      <x:c r="F262" s="112" t="n">
        <x:v>3636.5720852824898</x:v>
      </x:c>
      <x:c r="G262" s="110" t="n">
        <x:v>0.004938013250958489</x:v>
      </x:c>
      <x:c r="H262" s="110" t="n">
        <x:v>-0.0005007599428932284</x:v>
      </x:c>
      <x:c r="I262" s="110" t="n">
        <x:v>0.000056999076739429035</x:v>
      </x:c>
      <x:c r="J262" s="110" t="n">
        <x:v>-0.0005253297974787185</x:v>
      </x:c>
      <x:c r="K262" s="110" t="n">
        <x:v>0.00042958527518684896</x:v>
      </x:c>
      <x:c r="L262" s="110" t="n">
        <x:v>-0.002984919266638037</x:v>
      </x:c>
      <x:c r="M262" s="110" t="n">
        <x:v>0.00242950286727961</x:v>
      </x:c>
      <x:c r="N262" s="110" t="n">
        <x:v>-0.0008493482279342049</x:v>
      </x:c>
      <x:c r="O262" s="110" t="n">
        <x:v>-0.002473895786479748</x:v>
      </x:c>
      <x:c r="P262" s="110" t="n">
        <x:v>-0.00442891470362211</x:v>
      </x:c>
      <x:c r="Q262" s="110" t="n">
        <x:v>0.00023461295763008635</x:v>
      </x:c>
      <x:c r="R262" s="110" t="n">
        <x:v>-0.003149252104324134</x:v>
      </x:c>
      <x:c r="S262" s="110" t="n">
        <x:v>-0.011277831064565659</x:v>
      </x:c>
      <x:c r="T262" s="110" t="n">
        <x:v>0</x:v>
      </x:c>
      <x:c r="U262" s="110" t="n">
        <x:v>-0.018101537466141376</x:v>
      </x:c>
      <x:c r="V262" s="113" t="n">
        <x:f>C262-U262</x:f>
        <x:v>0</x:v>
      </x:c>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64" t="str">
        <x:v>2026-03</x:v>
      </x:c>
      <x:c r="B263" s="110" t="n">
        <x:v>0.011339189101967406</x:v>
      </x:c>
      <x:c r="C263" s="110" t="n">
        <x:v>0.03485198837295707</x:v>
      </x:c>
      <x:c r="D263" s="110" t="n">
        <x:v>-0.023512799270989662</x:v>
      </x:c>
      <x:c r="E263" s="112" t="n">
        <x:v>3717.5574193548405</x:v>
      </x:c>
      <x:c r="F263" s="112" t="n">
        <x:v>3806.003331471397</x:v>
      </x:c>
      <x:c r="G263" s="110" t="n">
        <x:v>0.004938013250958489</x:v>
      </x:c>
      <x:c r="H263" s="110" t="n">
        <x:v>-0.007462432462217413</x:v>
      </x:c>
      <x:c r="I263" s="110" t="n">
        <x:v>0.000378095373581055</x:v>
      </x:c>
      <x:c r="J263" s="110" t="n">
        <x:v>-0.006332100237466686</x:v>
      </x:c>
      <x:c r="K263" s="110" t="n">
        <x:v>-0.00026289808871629404</x:v>
      </x:c>
      <x:c r="L263" s="110" t="n">
        <x:v>0.004527738570382991</x:v>
      </x:c>
      <x:c r="M263" s="110" t="n">
        <x:v>0.004067066941173591</x:v>
      </x:c>
      <x:c r="N263" s="110" t="n">
        <x:v>0.0027068658971561763</x:v>
      </x:c>
      <x:c r="O263" s="110" t="n">
        <x:v>-0.0021004722838474108</x:v>
      </x:c>
      <x:c r="P263" s="110" t="n">
        <x:v>0.017079551078193346</x:v>
      </x:c>
      <x:c r="Q263" s="110" t="n">
        <x:v>-0.0002895613759496206</x:v>
      </x:c>
      <x:c r="R263" s="110" t="n">
        <x:v>-0.00334245673801442</x:v>
      </x:c>
      <x:c r="S263" s="110" t="n">
        <x:v>0.020944578447723263</x:v>
      </x:c>
      <x:c r="T263" s="110" t="n">
        <x:v>0</x:v>
      </x:c>
      <x:c r="U263" s="110" t="n">
        <x:v>0.03485198837295707</x:v>
      </x:c>
      <x:c r="V263" s="113" t="n">
        <x:f>C263-U263</x:f>
        <x:v>0</x:v>
      </x:c>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64" t="str">
        <x:v>2026-04</x:v>
      </x:c>
      <x:c r="B264" s="110" t="n">
        <x:v>-0.027278505311951307</x:v>
      </x:c>
      <x:c r="C264" s="110" t="n">
        <x:v>-0.0279082305688339</x:v>
      </x:c>
      <x:c r="D264" s="110" t="n">
        <x:v>0.0006297252568825927</x:v>
      </x:c>
      <x:c r="E264" s="112" t="n">
        <x:v>3617.5186666666664</x:v>
      </x:c>
      <x:c r="F264" s="112" t="n">
        <x:v>3615.241340915053</x:v>
      </x:c>
      <x:c r="G264" s="110" t="n">
        <x:v>0.004938013250958489</x:v>
      </x:c>
      <x:c r="H264" s="110" t="n">
        <x:v>-0.0023515103777231477</x:v>
      </x:c>
      <x:c r="I264" s="110" t="n">
        <x:v>0.0007357506151208405</x:v>
      </x:c>
      <x:c r="J264" s="110" t="n">
        <x:v>-0.00023452223101728985</x:v>
      </x:c>
      <x:c r="K264" s="110" t="n">
        <x:v>0.00012979299545249484</x:v>
      </x:c>
      <x:c r="L264" s="110" t="n">
        <x:v>-0.0019770363822733342</x:v>
      </x:c>
      <x:c r="M264" s="110" t="n">
        <x:v>-0.0036279463519205512</x:v>
      </x:c>
      <x:c r="N264" s="110" t="n">
        <x:v>-0.005399921254020739</x:v>
      </x:c>
      <x:c r="O264" s="110" t="n">
        <x:v>0.0034634065943007918</x:v>
      </x:c>
      <x:c r="P264" s="110" t="n">
        <x:v>-0.009838752282297048</x:v>
      </x:c>
      <x:c r="Q264" s="110" t="n">
        <x:v>-0.00021468828062674262</x:v>
      </x:c>
      <x:c r="R264" s="110" t="n">
        <x:v>-0.0030332376613309135</x:v>
      </x:c>
      <x:c r="S264" s="110" t="n">
        <x:v>-0.01049757920345675</x:v>
      </x:c>
      <x:c r="T264" s="110" t="n">
        <x:v>0</x:v>
      </x:c>
      <x:c r="U264" s="110" t="n">
        <x:v>-0.027908230568833903</x:v>
      </x:c>
      <x:c r="V264" s="113" t="n">
        <x:f>C264-U264</x:f>
        <x:v>3.469446951953614e-18</x:v>
      </x:c>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W1"/>
    <x:mergeCell ref="A2:W3"/>
    <x:mergeCell ref="I12:L12"/>
  </x:mergeCells>
  <x:conditionalFormatting sqref="E6:E19">
    <x:cfRule type="cellIs" dxfId="1" priority="1" operator="lessThan">
      <x:formula>0.05</x:formula>
    </x:cfRule>
  </x:conditionalFormatting>
  <x:pageMargins left="0.7" right="0.7" top="0.75" bottom="0.75" header="0.3" footer="0.3"/>
  <x:drawing xmlns:r="http://schemas.openxmlformats.org/officeDocument/2006/relationships" r:id="R6892e123af4a41d4"/>
  <x:tableParts count="3">
    <x:tablePart xmlns:r="http://schemas.openxmlformats.org/officeDocument/2006/relationships" r:id="Rdf6cc3825e2f41e7"/>
    <x:tablePart xmlns:r="http://schemas.openxmlformats.org/officeDocument/2006/relationships" r:id="R9a2fe586340249cc"/>
    <x:tablePart xmlns:r="http://schemas.openxmlformats.org/officeDocument/2006/relationships" r:id="Rd855b6a79c2b48b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22"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3"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s>
  <x:sheetData>
    <x:row r="1" ht="30" customHeight="1">
      <x:c r="A1" s="4" t="str">
        <x:v>Peso explicativo de cada factor: descomposición Shapley del R²</x:v>
      </x:c>
      <x:c r="B1" s="4" t="str">
        <x:v>Peso explicativo de cada factor: descomposición Shapley del R²</x:v>
      </x:c>
      <x:c r="C1" s="4" t="str">
        <x:v>Peso explicativo de cada factor: descomposición Shapley del R²</x:v>
      </x:c>
      <x:c r="D1" s="4" t="str">
        <x:v>Peso explicativo de cada factor: descomposición Shapley del R²</x:v>
      </x:c>
      <x:c r="E1" s="4" t="str">
        <x:v>Peso explicativo de cada factor: descomposición Shapley del R²</x:v>
      </x:c>
      <x:c r="F1" s="4" t="str">
        <x:v>Peso explicativo de cada factor: descomposición Shapley del R²</x:v>
      </x:c>
      <x:c r="G1" s="4" t="str">
        <x:v>Peso explicativo de cada factor: descomposición Shapley del R²</x:v>
      </x:c>
      <x:c r="H1" s="4" t="str">
        <x:v>Peso explicativo de cada factor: descomposición Shapley del R²</x:v>
      </x:c>
      <x:c r="I1" s="4" t="str">
        <x:v>Peso explicativo de cada factor: descomposición Shapley del R²</x:v>
      </x:c>
      <x:c r="J1" s="4" t="str">
        <x:v>Peso explicativo de cada factor: descomposición Shapley del R²</x:v>
      </x:c>
      <x:c r="K1" s="4" t="str">
        <x:v>Peso explicativo de cada factor: descomposición Shapley del R²</x:v>
      </x:c>
      <x:c r="L1" s="4" t="str">
        <x:v>Peso explicativo de cada factor: descomposición Shapley del R²</x:v>
      </x:c>
      <x:c r="M1" s="4" t="str">
        <x:v>Peso explicativo de cada factor: descomposición Shapley del R²</x:v>
      </x:c>
      <x:c r="N1" s="4" t="str">
        <x:v>Peso explicativo de cada factor: descomposición Shapley del R²</x:v>
      </x:c>
      <x:c r="O1" s="4" t="str">
        <x:v>Peso explicativo de cada factor: descomposición Shapley del R²</x:v>
      </x:c>
      <x:c r="P1" s="4" t="str">
        <x:v>Peso explicativo de cada factor: descomposición Shapley del R²</x:v>
      </x:c>
      <x:c r="Q1" s="4" t="str">
        <x:v>Peso explicativo de cada factor: descomposición Shapley del R²</x:v>
      </x:c>
      <x:c r="R1" s="4" t="str">
        <x:v>Peso explicativo de cada factor: descomposición Shapley del R²</x:v>
      </x:c>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B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C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D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E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F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G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H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I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J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K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L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M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N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O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P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Q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R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B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C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D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E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F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G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H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I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J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K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L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M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N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O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P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Q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R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55" t="str">
        <x:v>Control de suma Shapley</x:v>
      </x:c>
      <x:c r="B5" s="55" t="str">
        <x:v>Control de suma Shapley</x:v>
      </x:c>
      <x:c r="C5" s="1"/>
      <x:c r="D5" s="55" t="str">
        <x:v>Reconciliación del R²</x:v>
      </x:c>
      <x:c r="E5" s="55" t="str">
        <x:v>Reconciliación del R²</x:v>
      </x:c>
      <x:c r="F5" s="1"/>
      <x:c r="G5" s="55" t="str">
        <x:v>Control de participaciones</x:v>
      </x:c>
      <x:c r="H5" s="55" t="str">
        <x:v>Control de participaciones</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7" t="str">
        <x:v>Suma Shapley</x:v>
      </x:c>
      <x:c r="B6" s="116" t="n">
        <x:f>SUM(C11:C22)</x:f>
        <x:v>0.5863246132926501</x:v>
      </x:c>
      <x:c r="C6" s="1"/>
      <x:c r="D6" s="67" t="str">
        <x:v>R² base + incremental</x:v>
      </x:c>
      <x:c r="E6" s="116" t="n">
        <x:f>MAX(F11:F22)+MAX(H11:H22)</x:f>
        <x:v>0.6041652113002105</x:v>
      </x:c>
      <x:c r="F6" s="1"/>
      <x:c r="G6" s="67" t="str">
        <x:v>Suma peso entre factores</x:v>
      </x:c>
      <x:c r="H6" s="116" t="n">
        <x:f>SUM(D11:D22)</x:f>
        <x:v>0.9999999999999996</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67" t="str">
        <x:v>R² incremental</x:v>
      </x:c>
      <x:c r="B7" s="116" t="n">
        <x:f>MAX(H11:H22)</x:f>
        <x:v>0.5863246132926503</x:v>
      </x:c>
      <x:c r="C7" s="1"/>
      <x:c r="D7" s="67" t="str">
        <x:v>R² completo</x:v>
      </x:c>
      <x:c r="E7" s="116" t="n">
        <x:f>MAX(G11:G22)</x:f>
        <x:v>0.6041652113002105</x:v>
      </x:c>
      <x:c r="F7" s="1"/>
      <x:c r="G7" s="67" t="str">
        <x:v>Porción del R² total</x:v>
      </x:c>
      <x:c r="H7" s="116" t="n">
        <x:f>SUM(E11:E22)</x:f>
        <x:v>0.9704706631996137</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67" t="str">
        <x:v>Diferencia</x:v>
      </x:c>
      <x:c r="B8" s="116" t="n">
        <x:f>B6-B7</x:f>
        <x:v>-2.220446049250313e-16</x:v>
      </x:c>
      <x:c r="C8" s="1"/>
      <x:c r="D8" s="67" t="str">
        <x:v>Diferencia</x:v>
      </x:c>
      <x:c r="E8" s="116" t="n">
        <x:f>E6-E7</x:f>
        <x:v>0</x:v>
      </x:c>
      <x:c r="F8" s="1"/>
      <x:c r="G8" s="67" t="str">
        <x:v>Diferencia frente a 100%</x:v>
      </x:c>
      <x:c r="H8" s="116" t="n">
        <x:f>H6-1</x:f>
        <x:v>-4.440892098500626e-16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1"/>
      <x:c r="B9" s="1"/>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62" t="str">
        <x:v>Factor</x:v>
      </x:c>
      <x:c r="B10" s="62" t="str">
        <x:v>Grupo</x:v>
      </x:c>
      <x:c r="C10" s="62" t="str">
        <x:v>Shapley R²</x:v>
      </x:c>
      <x:c r="D10" s="62" t="str">
        <x:v>Peso entre factores</x:v>
      </x:c>
      <x:c r="E10" s="62" t="str">
        <x:v>Peso del R² total</x:v>
      </x:c>
      <x:c r="F10" s="62" t="str">
        <x:v>R² base</x:v>
      </x:c>
      <x:c r="G10" s="62" t="str">
        <x:v>R² completo</x:v>
      </x:c>
      <x:c r="H10" s="62" t="str">
        <x:v>R² incremental</x:v>
      </x:c>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0" customHeight="1">
      <x:c r="A11" s="64" t="str">
        <x:v>Monedas regionales</x:v>
      </x:c>
      <x:c r="B11" s="64" t="str">
        <x:v>Regional</x:v>
      </x:c>
      <x:c r="C11" s="81" t="n">
        <x:v>0.17638902135984608</x:v>
      </x:c>
      <x:c r="D11" s="81" t="n">
        <x:v>0.3008385071356464</x:v>
      </x:c>
      <x:c r="E11" s="81" t="n">
        <x:v>0.2919549455359126</x:v>
      </x:c>
      <x:c r="F11" s="81" t="n">
        <x:v>0.017840598007560216</x:v>
      </x:c>
      <x:c r="G11" s="81" t="n">
        <x:v>0.6041652113002105</x:v>
      </x:c>
      <x:c r="H11" s="81" t="n">
        <x:v>0.5863246132926503</x:v>
      </x:c>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30" customHeight="1">
      <x:c r="A12" s="64" t="str">
        <x:v>Dólar amplio</x:v>
      </x:c>
      <x:c r="B12" s="64" t="str">
        <x:v>Global</x:v>
      </x:c>
      <x:c r="C12" s="81" t="n">
        <x:v>0.11879066732294251</x:v>
      </x:c>
      <x:c r="D12" s="81" t="n">
        <x:v>0.20260221834427902</x:v>
      </x:c>
      <x:c r="E12" s="81" t="n">
        <x:v>0.1966195092022855</x:v>
      </x:c>
      <x:c r="F12" s="81" t="n">
        <x:v>0.017840598007560216</x:v>
      </x:c>
      <x:c r="G12" s="81" t="n">
        <x:v>0.6041652113002105</x:v>
      </x:c>
      <x:c r="H12" s="81" t="n">
        <x:v>0.5863246132926503</x:v>
      </x:c>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30" customHeight="1">
      <x:c r="A13" s="64" t="str">
        <x:v>Riesgo soberano EMBIG Colombia</x:v>
      </x:c>
      <x:c r="B13" s="64" t="str">
        <x:v>Riesgo local</x:v>
      </x:c>
      <x:c r="C13" s="81" t="n">
        <x:v>0.10567905691202005</x:v>
      </x:c>
      <x:c r="D13" s="81" t="n">
        <x:v>0.18023984413438365</x:v>
      </x:c>
      <x:c r="E13" s="81" t="n">
        <x:v>0.17491748107209037</x:v>
      </x:c>
      <x:c r="F13" s="81" t="n">
        <x:v>0.017840598007560216</x:v>
      </x:c>
      <x:c r="G13" s="81" t="n">
        <x:v>0.6041652113002105</x:v>
      </x:c>
      <x:c r="H13" s="81" t="n">
        <x:v>0.5863246132926503</x:v>
      </x:c>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30" customHeight="1">
      <x:c r="A14" s="64" t="str">
        <x:v>VIX</x:v>
      </x:c>
      <x:c r="B14" s="64" t="str">
        <x:v>Global</x:v>
      </x:c>
      <x:c r="C14" s="81" t="n">
        <x:v>0.049368343932821586</x:v>
      </x:c>
      <x:c r="D14" s="81" t="n">
        <x:v>0.0841996784947872</x:v>
      </x:c>
      <x:c r="E14" s="81" t="n">
        <x:v>0.08171331783003043</x:v>
      </x:c>
      <x:c r="F14" s="81" t="n">
        <x:v>0.017840598007560216</x:v>
      </x:c>
      <x:c r="G14" s="81" t="n">
        <x:v>0.6041652113002105</x:v>
      </x:c>
      <x:c r="H14" s="81" t="n">
        <x:v>0.5863246132926503</x:v>
      </x:c>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30" customHeight="1">
      <x:c r="A15" s="64" t="str">
        <x:v>Balanza comercial cambiaria</x:v>
      </x:c>
      <x:c r="B15" s="64" t="str">
        <x:v>Sector externo Colombia</x:v>
      </x:c>
      <x:c r="C15" s="81" t="n">
        <x:v>0.04417243187371627</x:v>
      </x:c>
      <x:c r="D15" s="81" t="n">
        <x:v>0.07533784335891187</x:v>
      </x:c>
      <x:c r="E15" s="81" t="n">
        <x:v>0.07311316680855186</x:v>
      </x:c>
      <x:c r="F15" s="81" t="n">
        <x:v>0.017840598007560216</x:v>
      </x:c>
      <x:c r="G15" s="81" t="n">
        <x:v>0.6041652113002105</x:v>
      </x:c>
      <x:c r="H15" s="81" t="n">
        <x:v>0.5863246132926503</x:v>
      </x:c>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30" customHeight="1">
      <x:c r="A16" s="64" t="str">
        <x:v>Términos de intercambio</x:v>
      </x:c>
      <x:c r="B16" s="64" t="str">
        <x:v>Sector externo Colombia</x:v>
      </x:c>
      <x:c r="C16" s="81" t="n">
        <x:v>0.038942246180579586</x:v>
      </x:c>
      <x:c r="D16" s="81" t="n">
        <x:v>0.06641755317398294</x:v>
      </x:c>
      <x:c r="E16" s="81" t="n">
        <x:v>0.06445628687685086</x:v>
      </x:c>
      <x:c r="F16" s="81" t="n">
        <x:v>0.017840598007560216</x:v>
      </x:c>
      <x:c r="G16" s="81" t="n">
        <x:v>0.6041652113002105</x:v>
      </x:c>
      <x:c r="H16" s="81" t="n">
        <x:v>0.5863246132926503</x:v>
      </x:c>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30" customHeight="1">
      <x:c r="A17" s="64" t="str">
        <x:v>Flujos netos de capital</x:v>
      </x:c>
      <x:c r="B17" s="64" t="str">
        <x:v>Sector externo Colombia</x:v>
      </x:c>
      <x:c r="C17" s="81" t="n">
        <x:v>0.024805224618820933</x:v>
      </x:c>
      <x:c r="D17" s="81" t="n">
        <x:v>0.04230629937147118</x:v>
      </x:c>
      <x:c r="E17" s="81" t="n">
        <x:v>0.04105702240855305</x:v>
      </x:c>
      <x:c r="F17" s="81" t="n">
        <x:v>0.017840598007560216</x:v>
      </x:c>
      <x:c r="G17" s="81" t="n">
        <x:v>0.6041652113002105</x:v>
      </x:c>
      <x:c r="H17" s="81" t="n">
        <x:v>0.5863246132926503</x:v>
      </x:c>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30" customHeight="1">
      <x:c r="A18" s="64" t="str">
        <x:v>Reservas internacionales</x:v>
      </x:c>
      <x:c r="B18" s="64" t="str">
        <x:v>Sector externo Colombia</x:v>
      </x:c>
      <x:c r="C18" s="81" t="n">
        <x:v>0.015123678694806103</x:v>
      </x:c>
      <x:c r="D18" s="81" t="n">
        <x:v>0.02579403687297956</x:v>
      </x:c>
      <x:c r="E18" s="81" t="n">
        <x:v>0.025032356070715776</x:v>
      </x:c>
      <x:c r="F18" s="81" t="n">
        <x:v>0.017840598007560216</x:v>
      </x:c>
      <x:c r="G18" s="81" t="n">
        <x:v>0.6041652113002105</x:v>
      </x:c>
      <x:c r="H18" s="81" t="n">
        <x:v>0.5863246132926503</x:v>
      </x:c>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ht="30" customHeight="1">
      <x:c r="A19" s="64" t="str">
        <x:v>Remesas</x:v>
      </x:c>
      <x:c r="B19" s="64" t="str">
        <x:v>Sector externo Colombia</x:v>
      </x:c>
      <x:c r="C19" s="81" t="n">
        <x:v>0.006331135835927592</x:v>
      </x:c>
      <x:c r="D19" s="81" t="n">
        <x:v>0.010798004539453903</x:v>
      </x:c>
      <x:c r="E19" s="81" t="n">
        <x:v>0.010479146626636272</x:v>
      </x:c>
      <x:c r="F19" s="81" t="n">
        <x:v>0.017840598007560216</x:v>
      </x:c>
      <x:c r="G19" s="81" t="n">
        <x:v>0.6041652113002105</x:v>
      </x:c>
      <x:c r="H19" s="81" t="n">
        <x:v>0.5863246132926503</x:v>
      </x:c>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ht="30" customHeight="1">
      <x:c r="A20" s="64" t="str">
        <x:v>Diferencial de compensación inflacionaria 5 años</x:v>
      </x:c>
      <x:c r="B20" s="64" t="str">
        <x:v>Política doméstica</x:v>
      </x:c>
      <x:c r="C20" s="81" t="n">
        <x:v>0.0030035509815898725</x:v>
      </x:c>
      <x:c r="D20" s="81" t="n">
        <x:v>0.005122675926433809</x:v>
      </x:c>
      <x:c r="E20" s="81" t="n">
        <x:v>0.004971406703682917</x:v>
      </x:c>
      <x:c r="F20" s="81" t="n">
        <x:v>0.017840598007560216</x:v>
      </x:c>
      <x:c r="G20" s="81" t="n">
        <x:v>0.6041652113002105</x:v>
      </x:c>
      <x:c r="H20" s="81" t="n">
        <x:v>0.5863246132926503</x:v>
      </x:c>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ht="30" customHeight="1">
      <x:c r="A21" s="64" t="str">
        <x:v>Diferencial de tasas</x:v>
      </x:c>
      <x:c r="B21" s="64" t="str">
        <x:v>Política doméstica</x:v>
      </x:c>
      <x:c r="C21" s="81" t="n">
        <x:v>0.002993424297271461</x:v>
      </x:c>
      <x:c r="D21" s="81" t="n">
        <x:v>0.0051054044626596</x:v>
      </x:c>
      <x:c r="E21" s="81" t="n">
        <x:v>0.004954645254779531</x:v>
      </x:c>
      <x:c r="F21" s="81" t="n">
        <x:v>0.017840598007560216</x:v>
      </x:c>
      <x:c r="G21" s="81" t="n">
        <x:v>0.6041652113002105</x:v>
      </x:c>
      <x:c r="H21" s="81" t="n">
        <x:v>0.5863246132926503</x:v>
      </x:c>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ht="30" customHeight="1">
      <x:c r="A22" s="64" t="str">
        <x:v>Déficit fiscal</x:v>
      </x:c>
      <x:c r="B22" s="64" t="str">
        <x:v>Política doméstica</x:v>
      </x:c>
      <x:c r="C22" s="81" t="n">
        <x:v>0.0007258312823080201</x:v>
      </x:c>
      <x:c r="D22" s="81" t="n">
        <x:v>0.001237934185010477</x:v>
      </x:c>
      <x:c r="E22" s="81" t="n">
        <x:v>0.0012013788095245914</x:v>
      </x:c>
      <x:c r="F22" s="81" t="n">
        <x:v>0.017840598007560216</x:v>
      </x:c>
      <x:c r="G22" s="81" t="n">
        <x:v>0.6041652113002105</x:v>
      </x:c>
      <x:c r="H22" s="81" t="n">
        <x:v>0.5863246132926503</x:v>
      </x:c>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36" customHeight="1">
      <x:c r="A24" s="58" t="str">
        <x:v>Cómo leer: un peso de 25% indica que ese factor recibe una cuarta parte del R² incremental atribuible al conjunto de factores. Con variables correlacionadas, Shapley divide la explicación compartida al promediar todas las secuencias de inclusión.</x:v>
      </x:c>
      <x:c r="B24" s="58" t="str">
        <x:v>Cómo leer: un peso de 25% indica que ese factor recibe una cuarta parte del R² incremental atribuible al conjunto de factores. Con variables correlacionadas, Shapley divide la explicación compartida al promediar todas las secuencias de inclusión.</x:v>
      </x:c>
      <x:c r="C24" s="58" t="str">
        <x:v>Cómo leer: un peso de 25% indica que ese factor recibe una cuarta parte del R² incremental atribuible al conjunto de factores. Con variables correlacionadas, Shapley divide la explicación compartida al promediar todas las secuencias de inclusión.</x:v>
      </x:c>
      <x:c r="D24" s="58" t="str">
        <x:v>Cómo leer: un peso de 25% indica que ese factor recibe una cuarta parte del R² incremental atribuible al conjunto de factores. Con variables correlacionadas, Shapley divide la explicación compartida al promediar todas las secuencias de inclusión.</x:v>
      </x:c>
      <x:c r="E24" s="58" t="str">
        <x:v>Cómo leer: un peso de 25% indica que ese factor recibe una cuarta parte del R² incremental atribuible al conjunto de factores. Con variables correlacionadas, Shapley divide la explicación compartida al promediar todas las secuencias de inclusión.</x:v>
      </x:c>
      <x:c r="F24" s="58" t="str">
        <x:v>Cómo leer: un peso de 25% indica que ese factor recibe una cuarta parte del R² incremental atribuible al conjunto de factores. Con variables correlacionadas, Shapley divide la explicación compartida al promediar todas las secuencias de inclusión.</x:v>
      </x:c>
      <x:c r="G24" s="58" t="str">
        <x:v>Cómo leer: un peso de 25% indica que ese factor recibe una cuarta parte del R² incremental atribuible al conjunto de factores. Con variables correlacionadas, Shapley divide la explicación compartida al promediar todas las secuencias de inclusión.</x:v>
      </x:c>
      <x:c r="H24" s="58" t="str">
        <x:v>Cómo leer: un peso de 25% indica que ese factor recibe una cuarta parte del R² incremental atribuible al conjunto de factores. Con variables correlacionadas, Shapley divide la explicación compartida al promediar todas las secuencias de inclusión.</x:v>
      </x:c>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36" customHeight="1">
      <x:c r="A25" s="58" t="str">
        <x:v>Cómo leer: un peso de 25% indica que ese factor recibe una cuarta parte del R² incremental atribuible al conjunto de factores. Con variables correlacionadas, Shapley divide la explicación compartida al promediar todas las secuencias de inclusión.</x:v>
      </x:c>
      <x:c r="B25" s="58" t="str">
        <x:v>Cómo leer: un peso de 25% indica que ese factor recibe una cuarta parte del R² incremental atribuible al conjunto de factores. Con variables correlacionadas, Shapley divide la explicación compartida al promediar todas las secuencias de inclusión.</x:v>
      </x:c>
      <x:c r="C25" s="58" t="str">
        <x:v>Cómo leer: un peso de 25% indica que ese factor recibe una cuarta parte del R² incremental atribuible al conjunto de factores. Con variables correlacionadas, Shapley divide la explicación compartida al promediar todas las secuencias de inclusión.</x:v>
      </x:c>
      <x:c r="D25" s="58" t="str">
        <x:v>Cómo leer: un peso de 25% indica que ese factor recibe una cuarta parte del R² incremental atribuible al conjunto de factores. Con variables correlacionadas, Shapley divide la explicación compartida al promediar todas las secuencias de inclusión.</x:v>
      </x:c>
      <x:c r="E25" s="58" t="str">
        <x:v>Cómo leer: un peso de 25% indica que ese factor recibe una cuarta parte del R² incremental atribuible al conjunto de factores. Con variables correlacionadas, Shapley divide la explicación compartida al promediar todas las secuencias de inclusión.</x:v>
      </x:c>
      <x:c r="F25" s="58" t="str">
        <x:v>Cómo leer: un peso de 25% indica que ese factor recibe una cuarta parte del R² incremental atribuible al conjunto de factores. Con variables correlacionadas, Shapley divide la explicación compartida al promediar todas las secuencias de inclusión.</x:v>
      </x:c>
      <x:c r="G25" s="58" t="str">
        <x:v>Cómo leer: un peso de 25% indica que ese factor recibe una cuarta parte del R² incremental atribuible al conjunto de factores. Con variables correlacionadas, Shapley divide la explicación compartida al promediar todas las secuencias de inclusión.</x:v>
      </x:c>
      <x:c r="H25" s="58" t="str">
        <x:v>Cómo leer: un peso de 25% indica que ese factor recibe una cuarta parte del R² incremental atribuible al conjunto de factores. Con variables correlacionadas, Shapley divide la explicación compartida al promediar todas las secuencias de inclusión.</x:v>
      </x:c>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36" customHeight="1">
      <x:c r="A26" s="58" t="str">
        <x:v>Cómo leer: un peso de 25% indica que ese factor recibe una cuarta parte del R² incremental atribuible al conjunto de factores. Con variables correlacionadas, Shapley divide la explicación compartida al promediar todas las secuencias de inclusión.</x:v>
      </x:c>
      <x:c r="B26" s="58" t="str">
        <x:v>Cómo leer: un peso de 25% indica que ese factor recibe una cuarta parte del R² incremental atribuible al conjunto de factores. Con variables correlacionadas, Shapley divide la explicación compartida al promediar todas las secuencias de inclusión.</x:v>
      </x:c>
      <x:c r="C26" s="58" t="str">
        <x:v>Cómo leer: un peso de 25% indica que ese factor recibe una cuarta parte del R² incremental atribuible al conjunto de factores. Con variables correlacionadas, Shapley divide la explicación compartida al promediar todas las secuencias de inclusión.</x:v>
      </x:c>
      <x:c r="D26" s="58" t="str">
        <x:v>Cómo leer: un peso de 25% indica que ese factor recibe una cuarta parte del R² incremental atribuible al conjunto de factores. Con variables correlacionadas, Shapley divide la explicación compartida al promediar todas las secuencias de inclusión.</x:v>
      </x:c>
      <x:c r="E26" s="58" t="str">
        <x:v>Cómo leer: un peso de 25% indica que ese factor recibe una cuarta parte del R² incremental atribuible al conjunto de factores. Con variables correlacionadas, Shapley divide la explicación compartida al promediar todas las secuencias de inclusión.</x:v>
      </x:c>
      <x:c r="F26" s="58" t="str">
        <x:v>Cómo leer: un peso de 25% indica que ese factor recibe una cuarta parte del R² incremental atribuible al conjunto de factores. Con variables correlacionadas, Shapley divide la explicación compartida al promediar todas las secuencias de inclusión.</x:v>
      </x:c>
      <x:c r="G26" s="58" t="str">
        <x:v>Cómo leer: un peso de 25% indica que ese factor recibe una cuarta parte del R² incremental atribuible al conjunto de factores. Con variables correlacionadas, Shapley divide la explicación compartida al promediar todas las secuencias de inclusión.</x:v>
      </x:c>
      <x:c r="H26" s="58" t="str">
        <x:v>Cómo leer: un peso de 25% indica que ese factor recibe una cuarta parte del R² incremental atribuible al conjunto de factores. Con variables correlacionadas, Shapley divide la explicación compartida al promediar todas las secuencias de inclusión.</x:v>
      </x:c>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R1"/>
    <x:mergeCell ref="A2:R3"/>
    <x:mergeCell ref="A5:B5"/>
    <x:mergeCell ref="D5:E5"/>
    <x:mergeCell ref="G5:H5"/>
    <x:mergeCell ref="A24:H26"/>
  </x:mergeCells>
  <x:conditionalFormatting sqref="B8:B8">
    <x:cfRule type="cellIs" dxfId="2" priority="1" operator="between">
      <x:formula>-1e-8</x:formula>
      <x:formula>1e-8</x:formula>
    </x:cfRule>
  </x:conditionalFormatting>
  <x:conditionalFormatting sqref="E8:E8">
    <x:cfRule type="cellIs" dxfId="3" priority="2" operator="between">
      <x:formula>-1e-8</x:formula>
      <x:formula>1e-8</x:formula>
    </x:cfRule>
  </x:conditionalFormatting>
  <x:conditionalFormatting sqref="H8:H8">
    <x:cfRule type="cellIs" dxfId="4" priority="3" operator="between">
      <x:formula>-1e-8</x:formula>
      <x:formula>1e-8</x:formula>
    </x:cfRule>
  </x:conditionalFormatting>
  <x:pageMargins left="0.7" right="0.7" top="0.75" bottom="0.75" header="0.3" footer="0.3"/>
  <x:drawing xmlns:r="http://schemas.openxmlformats.org/officeDocument/2006/relationships" r:id="R99f5c101160f4010"/>
  <x:tableParts count="1">
    <x:tablePart xmlns:r="http://schemas.openxmlformats.org/officeDocument/2006/relationships" r:id="Rda1d46351557417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34" hidden="0" customWidth="1"/>
    <x:col min="10" max="10" width="25" hidden="0" customWidth="1"/>
    <x:col min="11" max="11" width="15" hidden="0" customWidth="1"/>
    <x:col min="12" max="12" width="15" hidden="0" customWidth="1"/>
    <x:col min="13" max="13" width="15" hidden="0" customWidth="1"/>
    <x:col min="14" max="14" width="15" hidden="0" customWidth="1"/>
    <x:col min="15" max="15" width="28" hidden="0" customWidth="1"/>
    <x:col min="16" max="16" width="42" hidden="0" customWidth="1"/>
  </x:cols>
  <x:sheetData>
    <x:row r="1" ht="30" customHeight="1">
      <x:c r="A1" s="4" t="str">
        <x:v>Robustez de los pesos y cobertura de datos en tiempo real</x:v>
      </x:c>
      <x:c r="B1" s="4" t="str">
        <x:v>Robustez de los pesos y cobertura de datos en tiempo real</x:v>
      </x:c>
      <x:c r="C1" s="4" t="str">
        <x:v>Robustez de los pesos y cobertura de datos en tiempo real</x:v>
      </x:c>
      <x:c r="D1" s="4" t="str">
        <x:v>Robustez de los pesos y cobertura de datos en tiempo real</x:v>
      </x:c>
      <x:c r="E1" s="4" t="str">
        <x:v>Robustez de los pesos y cobertura de datos en tiempo real</x:v>
      </x:c>
      <x:c r="F1" s="4" t="str">
        <x:v>Robustez de los pesos y cobertura de datos en tiempo real</x:v>
      </x:c>
      <x:c r="G1" s="4" t="str">
        <x:v>Robustez de los pesos y cobertura de datos en tiempo real</x:v>
      </x:c>
      <x:c r="H1" s="4" t="str">
        <x:v>Robustez de los pesos y cobertura de datos en tiempo real</x:v>
      </x:c>
      <x:c r="I1" s="4" t="str">
        <x:v>Robustez de los pesos y cobertura de datos en tiempo real</x:v>
      </x:c>
      <x:c r="J1" s="4" t="str">
        <x:v>Robustez de los pesos y cobertura de datos en tiempo real</x:v>
      </x:c>
      <x:c r="K1" s="4" t="str">
        <x:v>Robustez de los pesos y cobertura de datos en tiempo real</x:v>
      </x:c>
      <x:c r="L1" s="4" t="str">
        <x:v>Robustez de los pesos y cobertura de datos en tiempo real</x:v>
      </x:c>
      <x:c r="M1" s="4" t="str">
        <x:v>Robustez de los pesos y cobertura de datos en tiempo real</x:v>
      </x:c>
      <x:c r="N1" s="4" t="str">
        <x:v>Robustez de los pesos y cobertura de datos en tiempo real</x:v>
      </x:c>
      <x:c r="O1" s="4" t="str">
        <x:v>Robustez de los pesos y cobertura de datos en tiempo real</x:v>
      </x:c>
      <x:c r="P1" s="4" t="str">
        <x:v>Robustez de los pesos y cobertura de datos en tiempo real</x:v>
      </x:c>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15" t="str">
        <x:v>Los intervalos Shapley usan 200 réplicas de bloques circulares de 12 meses. Las submuestras revelan cuánto cambian pesos, rangos y signos. La cobertura de vintages sigue incompleta: el ejercicio de pronóstico continúa siendo pseudo-tiempo-real.</x:v>
      </x:c>
      <x:c r="B2" s="115" t="str">
        <x:v>Los intervalos Shapley usan 200 réplicas de bloques circulares de 12 meses. Las submuestras revelan cuánto cambian pesos, rangos y signos. La cobertura de vintages sigue incompleta: el ejercicio de pronóstico continúa siendo pseudo-tiempo-real.</x:v>
      </x:c>
      <x:c r="C2" s="115" t="str">
        <x:v>Los intervalos Shapley usan 200 réplicas de bloques circulares de 12 meses. Las submuestras revelan cuánto cambian pesos, rangos y signos. La cobertura de vintages sigue incompleta: el ejercicio de pronóstico continúa siendo pseudo-tiempo-real.</x:v>
      </x:c>
      <x:c r="D2" s="115" t="str">
        <x:v>Los intervalos Shapley usan 200 réplicas de bloques circulares de 12 meses. Las submuestras revelan cuánto cambian pesos, rangos y signos. La cobertura de vintages sigue incompleta: el ejercicio de pronóstico continúa siendo pseudo-tiempo-real.</x:v>
      </x:c>
      <x:c r="E2" s="115" t="str">
        <x:v>Los intervalos Shapley usan 200 réplicas de bloques circulares de 12 meses. Las submuestras revelan cuánto cambian pesos, rangos y signos. La cobertura de vintages sigue incompleta: el ejercicio de pronóstico continúa siendo pseudo-tiempo-real.</x:v>
      </x:c>
      <x:c r="F2" s="115" t="str">
        <x:v>Los intervalos Shapley usan 200 réplicas de bloques circulares de 12 meses. Las submuestras revelan cuánto cambian pesos, rangos y signos. La cobertura de vintages sigue incompleta: el ejercicio de pronóstico continúa siendo pseudo-tiempo-real.</x:v>
      </x:c>
      <x:c r="G2" s="115" t="str">
        <x:v>Los intervalos Shapley usan 200 réplicas de bloques circulares de 12 meses. Las submuestras revelan cuánto cambian pesos, rangos y signos. La cobertura de vintages sigue incompleta: el ejercicio de pronóstico continúa siendo pseudo-tiempo-real.</x:v>
      </x:c>
      <x:c r="H2" s="115" t="str">
        <x:v>Los intervalos Shapley usan 200 réplicas de bloques circulares de 12 meses. Las submuestras revelan cuánto cambian pesos, rangos y signos. La cobertura de vintages sigue incompleta: el ejercicio de pronóstico continúa siendo pseudo-tiempo-real.</x:v>
      </x:c>
      <x:c r="I2" s="115" t="str">
        <x:v>Los intervalos Shapley usan 200 réplicas de bloques circulares de 12 meses. Las submuestras revelan cuánto cambian pesos, rangos y signos. La cobertura de vintages sigue incompleta: el ejercicio de pronóstico continúa siendo pseudo-tiempo-real.</x:v>
      </x:c>
      <x:c r="J2" s="115" t="str">
        <x:v>Los intervalos Shapley usan 200 réplicas de bloques circulares de 12 meses. Las submuestras revelan cuánto cambian pesos, rangos y signos. La cobertura de vintages sigue incompleta: el ejercicio de pronóstico continúa siendo pseudo-tiempo-real.</x:v>
      </x:c>
      <x:c r="K2" s="115" t="str">
        <x:v>Los intervalos Shapley usan 200 réplicas de bloques circulares de 12 meses. Las submuestras revelan cuánto cambian pesos, rangos y signos. La cobertura de vintages sigue incompleta: el ejercicio de pronóstico continúa siendo pseudo-tiempo-real.</x:v>
      </x:c>
      <x:c r="L2" s="115" t="str">
        <x:v>Los intervalos Shapley usan 200 réplicas de bloques circulares de 12 meses. Las submuestras revelan cuánto cambian pesos, rangos y signos. La cobertura de vintages sigue incompleta: el ejercicio de pronóstico continúa siendo pseudo-tiempo-real.</x:v>
      </x:c>
      <x:c r="M2" s="115" t="str">
        <x:v>Los intervalos Shapley usan 200 réplicas de bloques circulares de 12 meses. Las submuestras revelan cuánto cambian pesos, rangos y signos. La cobertura de vintages sigue incompleta: el ejercicio de pronóstico continúa siendo pseudo-tiempo-real.</x:v>
      </x:c>
      <x:c r="N2" s="115" t="str">
        <x:v>Los intervalos Shapley usan 200 réplicas de bloques circulares de 12 meses. Las submuestras revelan cuánto cambian pesos, rangos y signos. La cobertura de vintages sigue incompleta: el ejercicio de pronóstico continúa siendo pseudo-tiempo-real.</x:v>
      </x:c>
      <x:c r="O2" s="115" t="str">
        <x:v>Los intervalos Shapley usan 200 réplicas de bloques circulares de 12 meses. Las submuestras revelan cuánto cambian pesos, rangos y signos. La cobertura de vintages sigue incompleta: el ejercicio de pronóstico continúa siendo pseudo-tiempo-real.</x:v>
      </x:c>
      <x:c r="P2" s="115" t="str">
        <x:v>Los intervalos Shapley usan 200 réplicas de bloques circulares de 12 meses. Las submuestras revelan cuánto cambian pesos, rangos y signos. La cobertura de vintages sigue incompleta: el ejercicio de pronóstico continúa siendo pseudo-tiempo-real.</x:v>
      </x:c>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15" t="str">
        <x:v>Los intervalos Shapley usan 200 réplicas de bloques circulares de 12 meses. Las submuestras revelan cuánto cambian pesos, rangos y signos. La cobertura de vintages sigue incompleta: el ejercicio de pronóstico continúa siendo pseudo-tiempo-real.</x:v>
      </x:c>
      <x:c r="B3" s="115" t="str">
        <x:v>Los intervalos Shapley usan 200 réplicas de bloques circulares de 12 meses. Las submuestras revelan cuánto cambian pesos, rangos y signos. La cobertura de vintages sigue incompleta: el ejercicio de pronóstico continúa siendo pseudo-tiempo-real.</x:v>
      </x:c>
      <x:c r="C3" s="115" t="str">
        <x:v>Los intervalos Shapley usan 200 réplicas de bloques circulares de 12 meses. Las submuestras revelan cuánto cambian pesos, rangos y signos. La cobertura de vintages sigue incompleta: el ejercicio de pronóstico continúa siendo pseudo-tiempo-real.</x:v>
      </x:c>
      <x:c r="D3" s="115" t="str">
        <x:v>Los intervalos Shapley usan 200 réplicas de bloques circulares de 12 meses. Las submuestras revelan cuánto cambian pesos, rangos y signos. La cobertura de vintages sigue incompleta: el ejercicio de pronóstico continúa siendo pseudo-tiempo-real.</x:v>
      </x:c>
      <x:c r="E3" s="115" t="str">
        <x:v>Los intervalos Shapley usan 200 réplicas de bloques circulares de 12 meses. Las submuestras revelan cuánto cambian pesos, rangos y signos. La cobertura de vintages sigue incompleta: el ejercicio de pronóstico continúa siendo pseudo-tiempo-real.</x:v>
      </x:c>
      <x:c r="F3" s="115" t="str">
        <x:v>Los intervalos Shapley usan 200 réplicas de bloques circulares de 12 meses. Las submuestras revelan cuánto cambian pesos, rangos y signos. La cobertura de vintages sigue incompleta: el ejercicio de pronóstico continúa siendo pseudo-tiempo-real.</x:v>
      </x:c>
      <x:c r="G3" s="115" t="str">
        <x:v>Los intervalos Shapley usan 200 réplicas de bloques circulares de 12 meses. Las submuestras revelan cuánto cambian pesos, rangos y signos. La cobertura de vintages sigue incompleta: el ejercicio de pronóstico continúa siendo pseudo-tiempo-real.</x:v>
      </x:c>
      <x:c r="H3" s="115" t="str">
        <x:v>Los intervalos Shapley usan 200 réplicas de bloques circulares de 12 meses. Las submuestras revelan cuánto cambian pesos, rangos y signos. La cobertura de vintages sigue incompleta: el ejercicio de pronóstico continúa siendo pseudo-tiempo-real.</x:v>
      </x:c>
      <x:c r="I3" s="115" t="str">
        <x:v>Los intervalos Shapley usan 200 réplicas de bloques circulares de 12 meses. Las submuestras revelan cuánto cambian pesos, rangos y signos. La cobertura de vintages sigue incompleta: el ejercicio de pronóstico continúa siendo pseudo-tiempo-real.</x:v>
      </x:c>
      <x:c r="J3" s="115" t="str">
        <x:v>Los intervalos Shapley usan 200 réplicas de bloques circulares de 12 meses. Las submuestras revelan cuánto cambian pesos, rangos y signos. La cobertura de vintages sigue incompleta: el ejercicio de pronóstico continúa siendo pseudo-tiempo-real.</x:v>
      </x:c>
      <x:c r="K3" s="115" t="str">
        <x:v>Los intervalos Shapley usan 200 réplicas de bloques circulares de 12 meses. Las submuestras revelan cuánto cambian pesos, rangos y signos. La cobertura de vintages sigue incompleta: el ejercicio de pronóstico continúa siendo pseudo-tiempo-real.</x:v>
      </x:c>
      <x:c r="L3" s="115" t="str">
        <x:v>Los intervalos Shapley usan 200 réplicas de bloques circulares de 12 meses. Las submuestras revelan cuánto cambian pesos, rangos y signos. La cobertura de vintages sigue incompleta: el ejercicio de pronóstico continúa siendo pseudo-tiempo-real.</x:v>
      </x:c>
      <x:c r="M3" s="115" t="str">
        <x:v>Los intervalos Shapley usan 200 réplicas de bloques circulares de 12 meses. Las submuestras revelan cuánto cambian pesos, rangos y signos. La cobertura de vintages sigue incompleta: el ejercicio de pronóstico continúa siendo pseudo-tiempo-real.</x:v>
      </x:c>
      <x:c r="N3" s="115" t="str">
        <x:v>Los intervalos Shapley usan 200 réplicas de bloques circulares de 12 meses. Las submuestras revelan cuánto cambian pesos, rangos y signos. La cobertura de vintages sigue incompleta: el ejercicio de pronóstico continúa siendo pseudo-tiempo-real.</x:v>
      </x:c>
      <x:c r="O3" s="115" t="str">
        <x:v>Los intervalos Shapley usan 200 réplicas de bloques circulares de 12 meses. Las submuestras revelan cuánto cambian pesos, rangos y signos. La cobertura de vintages sigue incompleta: el ejercicio de pronóstico continúa siendo pseudo-tiempo-real.</x:v>
      </x:c>
      <x:c r="P3" s="115" t="str">
        <x:v>Los intervalos Shapley usan 200 réplicas de bloques circulares de 12 meses. Las submuestras revelan cuánto cambian pesos, rangos y signos. La cobertura de vintages sigue incompleta: el ejercicio de pronóstico continúa siendo pseudo-tiempo-real.</x:v>
      </x:c>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55" t="str">
        <x:v>Incertidumbre de los pesos Shapley</x:v>
      </x:c>
      <x:c r="B5" s="55" t="str">
        <x:v>Incertidumbre de los pesos Shapley</x:v>
      </x:c>
      <x:c r="C5" s="55" t="str">
        <x:v>Incertidumbre de los pesos Shapley</x:v>
      </x:c>
      <x:c r="D5" s="55" t="str">
        <x:v>Incertidumbre de los pesos Shapley</x:v>
      </x:c>
      <x:c r="E5" s="55" t="str">
        <x:v>Incertidumbre de los pesos Shapley</x:v>
      </x:c>
      <x:c r="F5" s="55" t="str">
        <x:v>Incertidumbre de los pesos Shapley</x:v>
      </x:c>
      <x:c r="G5" s="55" t="str">
        <x:v>Incertidumbre de los pesos Shapley</x:v>
      </x:c>
      <x:c r="H5" s="55" t="str">
        <x:v>Incertidumbre de los pesos Shapley</x:v>
      </x:c>
      <x:c r="I5" s="1"/>
      <x:c r="J5" s="55" t="str">
        <x:v>Estabilidad por submuestras</x:v>
      </x:c>
      <x:c r="K5" s="55" t="str">
        <x:v>Estabilidad por submuestras</x:v>
      </x:c>
      <x:c r="L5" s="55" t="str">
        <x:v>Estabilidad por submuestras</x:v>
      </x:c>
      <x:c r="M5" s="55" t="str">
        <x:v>Estabilidad por submuestras</x:v>
      </x:c>
      <x:c r="N5" s="55" t="str">
        <x:v>Estabilidad por submuestras</x:v>
      </x:c>
      <x:c r="O5" s="55" t="str">
        <x:v>Estabilidad por submuestras</x:v>
      </x:c>
      <x:c r="P5" s="55" t="str">
        <x:v>Estabilidad por submuestras</x:v>
      </x:c>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2" t="str">
        <x:v>Factor</x:v>
      </x:c>
      <x:c r="B6" s="62" t="str">
        <x:v>Peso puntual</x:v>
      </x:c>
      <x:c r="C6" s="62" t="str">
        <x:v>Mediana bootstrap</x:v>
      </x:c>
      <x:c r="D6" s="62" t="str">
        <x:v>IC 95% inferior</x:v>
      </x:c>
      <x:c r="E6" s="62" t="str">
        <x:v>IC 95% superior</x:v>
      </x:c>
      <x:c r="F6" s="62" t="str">
        <x:v>Ancho IC</x:v>
      </x:c>
      <x:c r="G6" s="62" t="str">
        <x:v>Prob. top 3</x:v>
      </x:c>
      <x:c r="H6" s="62" t="str">
        <x:v>Réplicas</x:v>
      </x:c>
      <x:c r="I6" s="64"/>
      <x:c r="J6" s="62" t="str">
        <x:v>Submuestra</x:v>
      </x:c>
      <x:c r="K6" s="62" t="str">
        <x:v>Obs.</x:v>
      </x:c>
      <x:c r="L6" s="62" t="str">
        <x:v>R² ajustado</x:v>
      </x:c>
      <x:c r="M6" s="62" t="str">
        <x:v>Spearman rangos</x:v>
      </x:c>
      <x:c r="N6" s="62" t="str">
        <x:v>Mediana |Δ peso|</x:v>
      </x:c>
      <x:c r="O6" s="62" t="str">
        <x:v>Máx. |Δ peso|</x:v>
      </x:c>
      <x:c r="P6" s="62" t="str">
        <x:v>Mismo signo / 12</x:v>
      </x:c>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1" customHeight="1">
      <x:c r="A7" s="64" t="str">
        <x:v>Monedas regionales</x:v>
      </x:c>
      <x:c r="B7" s="81" t="n">
        <x:v>0.3008385071356464</x:v>
      </x:c>
      <x:c r="C7" s="81" t="n">
        <x:v>0.29188607670988403</x:v>
      </x:c>
      <x:c r="D7" s="81" t="n">
        <x:v>0.2065784864756713</x:v>
      </x:c>
      <x:c r="E7" s="81" t="n">
        <x:v>0.3455890340789843</x:v>
      </x:c>
      <x:c r="F7" s="81" t="n">
        <x:v>0.13901054760331294</x:v>
      </x:c>
      <x:c r="G7" s="81" t="n">
        <x:v>1</x:v>
      </x:c>
      <x:c r="H7" s="64" t="n">
        <x:v>200</x:v>
      </x:c>
      <x:c r="I7" s="64"/>
      <x:c r="J7" s="64" t="str">
        <x:v>Muestra completa</x:v>
      </x:c>
      <x:c r="K7" s="64" t="n">
        <x:v>240</x:v>
      </x:c>
      <x:c r="L7" s="81" t="n">
        <x:v>0.581395953543143</x:v>
      </x:c>
      <x:c r="M7" s="81" t="n">
        <x:v>1</x:v>
      </x:c>
      <x:c r="N7" s="81" t="n">
        <x:v>0</x:v>
      </x:c>
      <x:c r="O7" s="81" t="n">
        <x:v>0</x:v>
      </x:c>
      <x:c r="P7" s="64" t="n">
        <x:v>12</x:v>
      </x:c>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1" customHeight="1">
      <x:c r="A8" s="64" t="str">
        <x:v>Dólar amplio</x:v>
      </x:c>
      <x:c r="B8" s="81" t="n">
        <x:v>0.20260221834427902</x:v>
      </x:c>
      <x:c r="C8" s="81" t="n">
        <x:v>0.18997144357945708</x:v>
      </x:c>
      <x:c r="D8" s="81" t="n">
        <x:v>0.11869502396500904</x:v>
      </x:c>
      <x:c r="E8" s="81" t="n">
        <x:v>0.2743488305903675</x:v>
      </x:c>
      <x:c r="F8" s="81" t="n">
        <x:v>0.15565380662535847</x:v>
      </x:c>
      <x:c r="G8" s="81" t="n">
        <x:v>0.985</x:v>
      </x:c>
      <x:c r="H8" s="64" t="n">
        <x:v>200</x:v>
      </x:c>
      <x:c r="I8" s="64"/>
      <x:c r="J8" s="64" t="str">
        <x:v>Primera mitad</x:v>
      </x:c>
      <x:c r="K8" s="64" t="n">
        <x:v>120</x:v>
      </x:c>
      <x:c r="L8" s="81" t="n">
        <x:v>0.5558927675050103</x:v>
      </x:c>
      <x:c r="M8" s="81" t="n">
        <x:v>0.9720279720279721</x:v>
      </x:c>
      <x:c r="N8" s="81" t="n">
        <x:v>0.00861891683238333</x:v>
      </x:c>
      <x:c r="O8" s="81" t="n">
        <x:v>0.041020404721183075</x:v>
      </x:c>
      <x:c r="P8" s="64" t="n">
        <x:v>11</x:v>
      </x:c>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1" customHeight="1">
      <x:c r="A9" s="64" t="str">
        <x:v>Riesgo soberano EMBIG Colombia</x:v>
      </x:c>
      <x:c r="B9" s="81" t="n">
        <x:v>0.18023984413438365</x:v>
      </x:c>
      <x:c r="C9" s="81" t="n">
        <x:v>0.18437354736114994</x:v>
      </x:c>
      <x:c r="D9" s="81" t="n">
        <x:v>0.12226222680966141</x:v>
      </x:c>
      <x:c r="E9" s="81" t="n">
        <x:v>0.2621448588278976</x:v>
      </x:c>
      <x:c r="F9" s="81" t="n">
        <x:v>0.13988263201823622</x:v>
      </x:c>
      <x:c r="G9" s="81" t="n">
        <x:v>0.99</x:v>
      </x:c>
      <x:c r="H9" s="64" t="n">
        <x:v>200</x:v>
      </x:c>
      <x:c r="I9" s="64"/>
      <x:c r="J9" s="64" t="str">
        <x:v>Segunda mitad</x:v>
      </x:c>
      <x:c r="K9" s="64" t="n">
        <x:v>120</x:v>
      </x:c>
      <x:c r="L9" s="81" t="n">
        <x:v>0.60592996365657</x:v>
      </x:c>
      <x:c r="M9" s="81" t="n">
        <x:v>0.9580419580419581</x:v>
      </x:c>
      <x:c r="N9" s="81" t="n">
        <x:v>0.012355827981549484</x:v>
      </x:c>
      <x:c r="O9" s="81" t="n">
        <x:v>0.05877421393479732</x:v>
      </x:c>
      <x:c r="P9" s="64" t="n">
        <x:v>11</x:v>
      </x:c>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1" customHeight="1">
      <x:c r="A10" s="64" t="str">
        <x:v>VIX</x:v>
      </x:c>
      <x:c r="B10" s="81" t="n">
        <x:v>0.0841996784947872</x:v>
      </x:c>
      <x:c r="C10" s="81" t="n">
        <x:v>0.0801145124829604</x:v>
      </x:c>
      <x:c r="D10" s="81" t="n">
        <x:v>0.03137696502157132</x:v>
      </x:c>
      <x:c r="E10" s="81" t="n">
        <x:v>0.13609826467378303</x:v>
      </x:c>
      <x:c r="F10" s="81" t="n">
        <x:v>0.10472129965221172</x:v>
      </x:c>
      <x:c r="G10" s="81" t="n">
        <x:v>0.01</x:v>
      </x:c>
      <x:c r="H10" s="64" t="n">
        <x:v>200</x:v>
      </x:c>
      <x:c r="I10" s="64"/>
      <x:c r="J10" s="64" t="str">
        <x:v>Prepandemia</x:v>
      </x:c>
      <x:c r="K10" s="64" t="n">
        <x:v>164</x:v>
      </x:c>
      <x:c r="L10" s="81" t="n">
        <x:v>0.5739527051817459</x:v>
      </x:c>
      <x:c r="M10" s="81" t="n">
        <x:v>0.9580419580419581</x:v>
      </x:c>
      <x:c r="N10" s="81" t="n">
        <x:v>0.004631845076086183</x:v>
      </x:c>
      <x:c r="O10" s="81" t="n">
        <x:v>0.038235050261320784</x:v>
      </x:c>
      <x:c r="P10" s="64" t="n">
        <x:v>11</x:v>
      </x:c>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1" customHeight="1">
      <x:c r="A11" s="64" t="str">
        <x:v>Balanza comercial cambiaria</x:v>
      </x:c>
      <x:c r="B11" s="81" t="n">
        <x:v>0.07533784335891187</x:v>
      </x:c>
      <x:c r="C11" s="81" t="n">
        <x:v>0.07502724545549781</x:v>
      </x:c>
      <x:c r="D11" s="81" t="n">
        <x:v>0.0371855934321719</x:v>
      </x:c>
      <x:c r="E11" s="81" t="n">
        <x:v>0.12292417470241455</x:v>
      </x:c>
      <x:c r="F11" s="81" t="n">
        <x:v>0.08573858127024266</x:v>
      </x:c>
      <x:c r="G11" s="81" t="n">
        <x:v>0.015</x:v>
      </x:c>
      <x:c r="H11" s="64" t="n">
        <x:v>200</x:v>
      </x:c>
      <x:c r="I11" s="64"/>
      <x:c r="J11" s="64" t="str">
        <x:v>2020 en adelante</x:v>
      </x:c>
      <x:c r="K11" s="64" t="n">
        <x:v>76</x:v>
      </x:c>
      <x:c r="L11" s="81" t="n">
        <x:v>0.6026253436347906</x:v>
      </x:c>
      <x:c r="M11" s="81" t="n">
        <x:v>0.9440559440559443</x:v>
      </x:c>
      <x:c r="N11" s="81" t="n">
        <x:v>0.018977190663550615</x:v>
      </x:c>
      <x:c r="O11" s="81" t="n">
        <x:v>0.06705343496934582</x:v>
      </x:c>
      <x:c r="P11" s="64" t="n">
        <x:v>7</x:v>
      </x:c>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28" customHeight="1">
      <x:c r="A12" s="64" t="str">
        <x:v>Términos de intercambio</x:v>
      </x:c>
      <x:c r="B12" s="81" t="n">
        <x:v>0.06641755317398294</x:v>
      </x:c>
      <x:c r="C12" s="81" t="n">
        <x:v>0.06117197609653387</x:v>
      </x:c>
      <x:c r="D12" s="81" t="n">
        <x:v>0.02523276809455967</x:v>
      </x:c>
      <x:c r="E12" s="81" t="n">
        <x:v>0.10350862846897967</x:v>
      </x:c>
      <x:c r="F12" s="81" t="n">
        <x:v>0.07827586037442</x:v>
      </x:c>
      <x:c r="G12" s="81" t="n">
        <x:v>0</x:v>
      </x:c>
      <x:c r="H12" s="64" t="n">
        <x:v>200</x:v>
      </x:c>
      <x:c r="I12" s="64"/>
      <x:c r="J12" s="64"/>
      <x:c r="K12" s="64"/>
      <x:c r="L12" s="64"/>
      <x:c r="M12" s="64"/>
      <x:c r="N12" s="64"/>
      <x:c r="O12" s="64"/>
      <x:c r="P12" s="64"/>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28" customHeight="1">
      <x:c r="A13" s="64" t="str">
        <x:v>Flujos netos de capital</x:v>
      </x:c>
      <x:c r="B13" s="81" t="n">
        <x:v>0.04230629937147118</x:v>
      </x:c>
      <x:c r="C13" s="81" t="n">
        <x:v>0.03987039697221039</x:v>
      </x:c>
      <x:c r="D13" s="81" t="n">
        <x:v>0.019038963105708948</x:v>
      </x:c>
      <x:c r="E13" s="81" t="n">
        <x:v>0.07903373457024546</x:v>
      </x:c>
      <x:c r="F13" s="81" t="n">
        <x:v>0.05999477146453651</x:v>
      </x:c>
      <x:c r="G13" s="81" t="n">
        <x:v>0</x:v>
      </x:c>
      <x:c r="H13" s="64" t="n">
        <x:v>200</x:v>
      </x:c>
      <x:c r="I13" s="64"/>
      <x:c r="J13" s="64"/>
      <x:c r="K13" s="64"/>
      <x:c r="L13" s="64"/>
      <x:c r="M13" s="64"/>
      <x:c r="N13" s="64"/>
      <x:c r="O13" s="64"/>
      <x:c r="P13" s="64"/>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28" customHeight="1">
      <x:c r="A14" s="64" t="str">
        <x:v>Reservas internacionales</x:v>
      </x:c>
      <x:c r="B14" s="81" t="n">
        <x:v>0.02579403687297956</x:v>
      </x:c>
      <x:c r="C14" s="81" t="n">
        <x:v>0.027982046797111013</x:v>
      </x:c>
      <x:c r="D14" s="81" t="n">
        <x:v>0.0037123752022830496</x:v>
      </x:c>
      <x:c r="E14" s="81" t="n">
        <x:v>0.07605174645721355</x:v>
      </x:c>
      <x:c r="F14" s="81" t="n">
        <x:v>0.07233937125493049</x:v>
      </x:c>
      <x:c r="G14" s="81" t="n">
        <x:v>0</x:v>
      </x:c>
      <x:c r="H14" s="64" t="n">
        <x:v>200</x:v>
      </x:c>
      <x:c r="I14" s="64"/>
      <x:c r="J14" s="64"/>
      <x:c r="K14" s="64"/>
      <x:c r="L14" s="64"/>
      <x:c r="M14" s="64"/>
      <x:c r="N14" s="64"/>
      <x:c r="O14" s="64"/>
      <x:c r="P14" s="64"/>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28" customHeight="1">
      <x:c r="A15" s="64" t="str">
        <x:v>Remesas</x:v>
      </x:c>
      <x:c r="B15" s="81" t="n">
        <x:v>0.010798004539453903</x:v>
      </x:c>
      <x:c r="C15" s="81" t="n">
        <x:v>0.01098377154374676</x:v>
      </x:c>
      <x:c r="D15" s="81" t="n">
        <x:v>0.0021839674306586647</x:v>
      </x:c>
      <x:c r="E15" s="81" t="n">
        <x:v>0.035807698994754375</x:v>
      </x:c>
      <x:c r="F15" s="81" t="n">
        <x:v>0.03362373156409571</x:v>
      </x:c>
      <x:c r="G15" s="81" t="n">
        <x:v>0</x:v>
      </x:c>
      <x:c r="H15" s="64" t="n">
        <x:v>200</x:v>
      </x:c>
      <x:c r="I15" s="64"/>
      <x:c r="J15" s="64"/>
      <x:c r="K15" s="64"/>
      <x:c r="L15" s="64"/>
      <x:c r="M15" s="64"/>
      <x:c r="N15" s="64"/>
      <x:c r="O15" s="64"/>
      <x:c r="P15" s="64"/>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28" customHeight="1">
      <x:c r="A16" s="64" t="str">
        <x:v>Diferencial de compensación inflacionaria 5 años</x:v>
      </x:c>
      <x:c r="B16" s="81" t="n">
        <x:v>0.005122675926433809</x:v>
      </x:c>
      <x:c r="C16" s="81" t="n">
        <x:v>0.008325728403049409</x:v>
      </x:c>
      <x:c r="D16" s="81" t="n">
        <x:v>0.0009219351953736437</x:v>
      </x:c>
      <x:c r="E16" s="81" t="n">
        <x:v>0.061855922284287566</x:v>
      </x:c>
      <x:c r="F16" s="81" t="n">
        <x:v>0.06093398708891393</x:v>
      </x:c>
      <x:c r="G16" s="81" t="n">
        <x:v>0</x:v>
      </x:c>
      <x:c r="H16" s="64" t="n">
        <x:v>200</x:v>
      </x:c>
      <x:c r="I16" s="64"/>
      <x:c r="J16" s="64"/>
      <x:c r="K16" s="64"/>
      <x:c r="L16" s="64"/>
      <x:c r="M16" s="64"/>
      <x:c r="N16" s="64"/>
      <x:c r="O16" s="64"/>
      <x:c r="P16" s="64"/>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28" customHeight="1">
      <x:c r="A17" s="64" t="str">
        <x:v>Diferencial de tasas</x:v>
      </x:c>
      <x:c r="B17" s="81" t="n">
        <x:v>0.0051054044626596</x:v>
      </x:c>
      <x:c r="C17" s="81" t="n">
        <x:v>0.007980185019150017</x:v>
      </x:c>
      <x:c r="D17" s="81" t="n">
        <x:v>0.002170248210982635</x:v>
      </x:c>
      <x:c r="E17" s="81" t="n">
        <x:v>0.02735556467118776</x:v>
      </x:c>
      <x:c r="F17" s="81" t="n">
        <x:v>0.025185316460205123</x:v>
      </x:c>
      <x:c r="G17" s="81" t="n">
        <x:v>0</x:v>
      </x:c>
      <x:c r="H17" s="64" t="n">
        <x:v>200</x:v>
      </x:c>
      <x:c r="I17" s="64"/>
      <x:c r="J17" s="64"/>
      <x:c r="K17" s="64"/>
      <x:c r="L17" s="64"/>
      <x:c r="M17" s="64"/>
      <x:c r="N17" s="64"/>
      <x:c r="O17" s="64"/>
      <x:c r="P17" s="64"/>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28" customHeight="1">
      <x:c r="A18" s="64" t="str">
        <x:v>Déficit fiscal</x:v>
      </x:c>
      <x:c r="B18" s="81" t="n">
        <x:v>0.001237934185010477</x:v>
      </x:c>
      <x:c r="C18" s="81" t="n">
        <x:v>0.0034742086283000373</x:v>
      </x:c>
      <x:c r="D18" s="81" t="n">
        <x:v>0.0010002483039308434</x:v>
      </x:c>
      <x:c r="E18" s="81" t="n">
        <x:v>0.018741976660537323</x:v>
      </x:c>
      <x:c r="F18" s="81" t="n">
        <x:v>0.01774172835660648</x:v>
      </x:c>
      <x:c r="G18" s="81" t="n">
        <x:v>0</x:v>
      </x:c>
      <x:c r="H18" s="64" t="n">
        <x:v>200</x:v>
      </x:c>
      <x:c r="I18" s="64"/>
      <x:c r="J18" s="64"/>
      <x:c r="K18" s="64"/>
      <x:c r="L18" s="64"/>
      <x:c r="M18" s="64"/>
      <x:c r="N18" s="64"/>
      <x:c r="O18" s="64"/>
      <x:c r="P18" s="64"/>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64"/>
      <x:c r="B19" s="64"/>
      <x:c r="C19" s="64"/>
      <x:c r="D19" s="64"/>
      <x:c r="E19" s="64"/>
      <x:c r="F19" s="64"/>
      <x:c r="G19" s="64"/>
      <x:c r="H19" s="64"/>
      <x:c r="I19" s="64"/>
      <x:c r="J19" s="64"/>
      <x:c r="K19" s="64"/>
      <x:c r="L19" s="64"/>
      <x:c r="M19" s="64"/>
      <x:c r="N19" s="64"/>
      <x:c r="O19" s="64"/>
      <x:c r="P19" s="64"/>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64"/>
      <x:c r="B20" s="64"/>
      <x:c r="C20" s="64"/>
      <x:c r="D20" s="64"/>
      <x:c r="E20" s="64"/>
      <x:c r="F20" s="64"/>
      <x:c r="G20" s="64"/>
      <x:c r="H20" s="64"/>
      <x:c r="I20" s="64"/>
      <x:c r="J20" s="64"/>
      <x:c r="K20" s="64"/>
      <x:c r="L20" s="64"/>
      <x:c r="M20" s="64"/>
      <x:c r="N20" s="64"/>
      <x:c r="O20" s="64"/>
      <x:c r="P20" s="64"/>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ht="22" customHeight="1">
      <x:c r="A21" s="111" t="str">
        <x:v>Peso de cada factor por submuestra</x:v>
      </x:c>
      <x:c r="B21" s="111" t="str">
        <x:v>Peso de cada factor por submuestra</x:v>
      </x:c>
      <x:c r="C21" s="111" t="str">
        <x:v>Peso de cada factor por submuestra</x:v>
      </x:c>
      <x:c r="D21" s="111" t="str">
        <x:v>Peso de cada factor por submuestra</x:v>
      </x:c>
      <x:c r="E21" s="111" t="str">
        <x:v>Peso de cada factor por submuestra</x:v>
      </x:c>
      <x:c r="F21" s="111" t="str">
        <x:v>Peso de cada factor por submuestra</x:v>
      </x:c>
      <x:c r="G21" s="111" t="str">
        <x:v>Peso de cada factor por submuestra</x:v>
      </x:c>
      <x:c r="H21" s="64"/>
      <x:c r="I21" s="111" t="str">
        <x:v>Cobertura de vintages en los 48 orígenes</x:v>
      </x:c>
      <x:c r="J21" s="111" t="str">
        <x:v>Cobertura de vintages en los 48 orígenes</x:v>
      </x:c>
      <x:c r="K21" s="111" t="str">
        <x:v>Cobertura de vintages en los 48 orígenes</x:v>
      </x:c>
      <x:c r="L21" s="111" t="str">
        <x:v>Cobertura de vintages en los 48 orígenes</x:v>
      </x:c>
      <x:c r="M21" s="111" t="str">
        <x:v>Cobertura de vintages en los 48 orígenes</x:v>
      </x:c>
      <x:c r="N21" s="111" t="str">
        <x:v>Cobertura de vintages en los 48 orígenes</x:v>
      </x:c>
      <x:c r="O21" s="111" t="str">
        <x:v>Cobertura de vintages en los 48 orígenes</x:v>
      </x:c>
      <x:c r="P21" s="111" t="str">
        <x:v>Cobertura de vintages en los 48 orígenes</x:v>
      </x:c>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62" t="str">
        <x:v>Factor</x:v>
      </x:c>
      <x:c r="B22" s="62" t="str">
        <x:v>Grupo</x:v>
      </x:c>
      <x:c r="C22" s="62" t="str">
        <x:v>Muestra completa</x:v>
      </x:c>
      <x:c r="D22" s="62" t="str">
        <x:v>Primera mitad</x:v>
      </x:c>
      <x:c r="E22" s="62" t="str">
        <x:v>Segunda mitad</x:v>
      </x:c>
      <x:c r="F22" s="62" t="str">
        <x:v>Prepandemia</x:v>
      </x:c>
      <x:c r="G22" s="62" t="str">
        <x:v>2020 en adelante</x:v>
      </x:c>
      <x:c r="H22" s="64"/>
      <x:c r="I22" s="62" t="str">
        <x:v>Factor</x:v>
      </x:c>
      <x:c r="J22" s="62" t="str">
        <x:v>Estado</x:v>
      </x:c>
      <x:c r="K22" s="62" t="str">
        <x:v>Orígenes</x:v>
      </x:c>
      <x:c r="L22" s="62" t="str">
        <x:v>Cobertura</x:v>
      </x:c>
      <x:c r="M22" s="62" t="str">
        <x:v>Apto</x:v>
      </x:c>
      <x:c r="N22" s="62" t="str">
        <x:v>Archivo desde</x:v>
      </x:c>
      <x:c r="O22" s="62" t="str">
        <x:v>Fuentes</x:v>
      </x:c>
      <x:c r="P22" s="62" t="str">
        <x:v>Detalle</x:v>
      </x:c>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ht="42" customHeight="1">
      <x:c r="A23" s="64" t="str">
        <x:v>Monedas regionales</x:v>
      </x:c>
      <x:c r="B23" s="64" t="str">
        <x:v>Regional</x:v>
      </x:c>
      <x:c r="C23" s="81" t="n">
        <x:v>0.3008385071356464</x:v>
      </x:c>
      <x:c r="D23" s="81" t="n">
        <x:v>0.25981810241446335</x:v>
      </x:c>
      <x:c r="E23" s="81" t="n">
        <x:v>0.3262257201949442</x:v>
      </x:c>
      <x:c r="F23" s="81" t="n">
        <x:v>0.2626034568743256</x:v>
      </x:c>
      <x:c r="G23" s="81" t="n">
        <x:v>0.33357364331068967</x:v>
      </x:c>
      <x:c r="H23" s="64"/>
      <x:c r="I23" s="64" t="str">
        <x:v>Términos de intercambio</x:v>
      </x:c>
      <x:c r="J23" s="114" t="str">
        <x:v>No disponible</x:v>
      </x:c>
      <x:c r="K23" s="114" t="n">
        <x:v>0</x:v>
      </x:c>
      <x:c r="L23" s="118" t="n">
        <x:v>0</x:v>
      </x:c>
      <x:c r="M23" s="114" t="str">
        <x:v>No</x:v>
      </x:c>
      <x:c r="N23" s="64" t="str">
        <x:v>2026-08-23</x:v>
      </x:c>
      <x:c r="O23" s="64" t="str">
        <x:v>BanRep 15360</x:v>
      </x:c>
      <x:c r="P23" s="64" t="str">
        <x:v>Archivo hacia adelante</x:v>
      </x:c>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42" customHeight="1">
      <x:c r="A24" s="64" t="str">
        <x:v>Dólar amplio</x:v>
      </x:c>
      <x:c r="B24" s="64" t="str">
        <x:v>Global</x:v>
      </x:c>
      <x:c r="C24" s="81" t="n">
        <x:v>0.20260221834427902</x:v>
      </x:c>
      <x:c r="D24" s="81" t="n">
        <x:v>0.23313580265564687</x:v>
      </x:c>
      <x:c r="E24" s="81" t="n">
        <x:v>0.14497119268309583</x:v>
      </x:c>
      <x:c r="F24" s="81" t="n">
        <x:v>0.2193326830066808</x:v>
      </x:c>
      <x:c r="G24" s="81" t="n">
        <x:v>0.1355487833749332</x:v>
      </x:c>
      <x:c r="H24" s="64"/>
      <x:c r="I24" s="64" t="str">
        <x:v>Remesas</x:v>
      </x:c>
      <x:c r="J24" s="114" t="str">
        <x:v>No disponible</x:v>
      </x:c>
      <x:c r="K24" s="114" t="n">
        <x:v>0</x:v>
      </x:c>
      <x:c r="L24" s="118" t="n">
        <x:v>0</x:v>
      </x:c>
      <x:c r="M24" s="114" t="str">
        <x:v>No</x:v>
      </x:c>
      <x:c r="N24" s="64" t="str">
        <x:v>2026-08-23</x:v>
      </x:c>
      <x:c r="O24" s="64" t="str">
        <x:v>BanRep 15363</x:v>
      </x:c>
      <x:c r="P24" s="64" t="str">
        <x:v>Archivo hacia adelante</x:v>
      </x:c>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42" customHeight="1">
      <x:c r="A25" s="64" t="str">
        <x:v>Riesgo soberano EMBIG Colombia</x:v>
      </x:c>
      <x:c r="B25" s="64" t="str">
        <x:v>Riesgo local</x:v>
      </x:c>
      <x:c r="C25" s="81" t="n">
        <x:v>0.18023984413438365</x:v>
      </x:c>
      <x:c r="D25" s="81" t="n">
        <x:v>0.1466392203817915</x:v>
      </x:c>
      <x:c r="E25" s="81" t="n">
        <x:v>0.239014058069181</x:v>
      </x:c>
      <x:c r="F25" s="81" t="n">
        <x:v>0.154643685024729</x:v>
      </x:c>
      <x:c r="G25" s="81" t="n">
        <x:v>0.23776153370634362</x:v>
      </x:c>
      <x:c r="H25" s="64"/>
      <x:c r="I25" s="64" t="str">
        <x:v>Diferencial de tasas</x:v>
      </x:c>
      <x:c r="J25" s="114" t="str">
        <x:v>Pendiente del proveedor</x:v>
      </x:c>
      <x:c r="K25" s="114" t="n">
        <x:v>0</x:v>
      </x:c>
      <x:c r="L25" s="118" t="n">
        <x:v>0</x:v>
      </x:c>
      <x:c r="M25" s="114" t="str">
        <x:v>No</x:v>
      </x:c>
      <x:c r="N25" s="64" t="str">
        <x:v>2026-08-23</x:v>
      </x:c>
      <x:c r="O25" s="64" t="str">
        <x:v>BanRep 59 + ALFRED FEDFUNDS</x:v>
      </x:c>
      <x:c r="P25" s="64" t="str">
        <x:v>La ruta ALFRED está implementada, pero el servidor cortó la descarga histórica</x:v>
      </x:c>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42" customHeight="1">
      <x:c r="A26" s="64" t="str">
        <x:v>VIX</x:v>
      </x:c>
      <x:c r="B26" s="64" t="str">
        <x:v>Global</x:v>
      </x:c>
      <x:c r="C26" s="81" t="n">
        <x:v>0.0841996784947872</x:v>
      </x:c>
      <x:c r="D26" s="81" t="n">
        <x:v>0.09866716731495698</x:v>
      </x:c>
      <x:c r="E26" s="81" t="n">
        <x:v>0.06630089165963698</x:v>
      </x:c>
      <x:c r="F26" s="81" t="n">
        <x:v>0.08028305601612594</x:v>
      </x:c>
      <x:c r="G26" s="81" t="n">
        <x:v>0.08078148398055653</x:v>
      </x:c>
      <x:c r="H26" s="64"/>
      <x:c r="I26" s="64" t="str">
        <x:v>Déficit fiscal</x:v>
      </x:c>
      <x:c r="J26" s="114" t="str">
        <x:v>Catalogado, archivo pendiente</x:v>
      </x:c>
      <x:c r="K26" s="114" t="n">
        <x:v>0</x:v>
      </x:c>
      <x:c r="L26" s="118" t="n">
        <x:v>0</x:v>
      </x:c>
      <x:c r="M26" s="114" t="str">
        <x:v>No</x:v>
      </x:c>
      <x:c r="N26" s="64" t="str">
        <x:v>2026-08-23</x:v>
      </x:c>
      <x:c r="O26" s="64" t="str">
        <x:v>MinHacienda</x:v>
      </x:c>
      <x:c r="P26" s="64" t="str">
        <x:v>Historial oficial identificado desde 2025-10-17; el portal bloqueó la descarga automatizada</x:v>
      </x:c>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ht="42" customHeight="1">
      <x:c r="A27" s="64" t="str">
        <x:v>Balanza comercial cambiaria</x:v>
      </x:c>
      <x:c r="B27" s="64" t="str">
        <x:v>Sector externo Colombia</x:v>
      </x:c>
      <x:c r="C27" s="81" t="n">
        <x:v>0.07533784335891187</x:v>
      </x:c>
      <x:c r="D27" s="81" t="n">
        <x:v>0.07278278897308257</x:v>
      </x:c>
      <x:c r="E27" s="81" t="n">
        <x:v>0.06156621990899886</x:v>
      </x:c>
      <x:c r="F27" s="81" t="n">
        <x:v>0.07879638058108647</x:v>
      </x:c>
      <x:c r="G27" s="81" t="n">
        <x:v>0.0503675973076444</x:v>
      </x:c>
      <x:c r="H27" s="64"/>
      <x:c r="I27" s="64" t="str">
        <x:v>Dólar amplio</x:v>
      </x:c>
      <x:c r="J27" s="114" t="str">
        <x:v>Pendiente del proveedor</x:v>
      </x:c>
      <x:c r="K27" s="114" t="n">
        <x:v>0</x:v>
      </x:c>
      <x:c r="L27" s="118" t="n">
        <x:v>0</x:v>
      </x:c>
      <x:c r="M27" s="114" t="str">
        <x:v>No</x:v>
      </x:c>
      <x:c r="N27" s="64" t="str">
        <x:v>2026-08-23</x:v>
      </x:c>
      <x:c r="O27" s="64" t="str">
        <x:v>ALFRED DTWEXBGS</x:v>
      </x:c>
      <x:c r="P27" s="64" t="str">
        <x:v>La ruta ALFRED está implementada, pero el servidor cortó la descarga histórica</x:v>
      </x:c>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ht="42" customHeight="1">
      <x:c r="A28" s="64" t="str">
        <x:v>Términos de intercambio</x:v>
      </x:c>
      <x:c r="B28" s="64" t="str">
        <x:v>Sector externo Colombia</x:v>
      </x:c>
      <x:c r="C28" s="81" t="n">
        <x:v>0.06641755317398294</x:v>
      </x:c>
      <x:c r="D28" s="81" t="n">
        <x:v>0.07355076878402338</x:v>
      </x:c>
      <x:c r="E28" s="81" t="n">
        <x:v>0.062423291386367236</x:v>
      </x:c>
      <x:c r="F28" s="81" t="n">
        <x:v>0.07838683142920747</x:v>
      </x:c>
      <x:c r="G28" s="81" t="n">
        <x:v>0.04996975048971675</x:v>
      </x:c>
      <x:c r="H28" s="64"/>
      <x:c r="I28" s="64" t="str">
        <x:v>VIX</x:v>
      </x:c>
      <x:c r="J28" s="114" t="str">
        <x:v>Pendiente del proveedor</x:v>
      </x:c>
      <x:c r="K28" s="114" t="n">
        <x:v>0</x:v>
      </x:c>
      <x:c r="L28" s="118" t="n">
        <x:v>0</x:v>
      </x:c>
      <x:c r="M28" s="114" t="str">
        <x:v>No</x:v>
      </x:c>
      <x:c r="N28" s="64" t="str">
        <x:v>2026-08-23</x:v>
      </x:c>
      <x:c r="O28" s="64" t="str">
        <x:v>ALFRED VIXCLS</x:v>
      </x:c>
      <x:c r="P28" s="64" t="str">
        <x:v>La ruta ALFRED está implementada, pero el servidor cortó la descarga histórica</x:v>
      </x:c>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ht="42" customHeight="1">
      <x:c r="A29" s="64" t="str">
        <x:v>Flujos netos de capital</x:v>
      </x:c>
      <x:c r="B29" s="64" t="str">
        <x:v>Sector externo Colombia</x:v>
      </x:c>
      <x:c r="C29" s="81" t="n">
        <x:v>0.04230629937147118</x:v>
      </x:c>
      <x:c r="D29" s="81" t="n">
        <x:v>0.06121391728632353</x:v>
      </x:c>
      <x:c r="E29" s="81" t="n">
        <x:v>0.031366266858285224</x:v>
      </x:c>
      <x:c r="F29" s="81" t="n">
        <x:v>0.07853756527893657</x:v>
      </x:c>
      <x:c r="G29" s="81" t="n">
        <x:v>0.020799720728636145</x:v>
      </x:c>
      <x:c r="H29" s="64"/>
      <x:c r="I29" s="64" t="str">
        <x:v>Riesgo soberano EMBIG Colombia</x:v>
      </x:c>
      <x:c r="J29" s="114" t="str">
        <x:v>No disponible</x:v>
      </x:c>
      <x:c r="K29" s="114" t="n">
        <x:v>0</x:v>
      </x:c>
      <x:c r="L29" s="118" t="n">
        <x:v>0</x:v>
      </x:c>
      <x:c r="M29" s="114" t="str">
        <x:v>No</x:v>
      </x:c>
      <x:c r="N29" s="64" t="str">
        <x:v>2026-08-23</x:v>
      </x:c>
      <x:c r="O29" s="64" t="str">
        <x:v>BCRPData PD04715XD</x:v>
      </x:c>
      <x:c r="P29" s="64" t="str">
        <x:v>Archivo hacia adelante</x:v>
      </x:c>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ht="42" customHeight="1">
      <x:c r="A30" s="64" t="str">
        <x:v>Reservas internacionales</x:v>
      </x:c>
      <x:c r="B30" s="64" t="str">
        <x:v>Sector externo Colombia</x:v>
      </x:c>
      <x:c r="C30" s="81" t="n">
        <x:v>0.02579403687297956</x:v>
      </x:c>
      <x:c r="D30" s="81" t="n">
        <x:v>0.03589865492770578</x:v>
      </x:c>
      <x:c r="E30" s="81" t="n">
        <x:v>0.015506369526312397</x:v>
      </x:c>
      <x:c r="F30" s="81" t="n">
        <x:v>0.029665117983090586</x:v>
      </x:c>
      <x:c r="G30" s="81" t="n">
        <x:v>0.020033423505816116</x:v>
      </x:c>
      <x:c r="H30" s="64"/>
      <x:c r="I30" s="64" t="str">
        <x:v>Reservas internacionales</x:v>
      </x:c>
      <x:c r="J30" s="114" t="str">
        <x:v>No disponible</x:v>
      </x:c>
      <x:c r="K30" s="114" t="n">
        <x:v>0</x:v>
      </x:c>
      <x:c r="L30" s="118" t="n">
        <x:v>0</x:v>
      </x:c>
      <x:c r="M30" s="114" t="str">
        <x:v>No</x:v>
      </x:c>
      <x:c r="N30" s="64" t="str">
        <x:v>2026-08-23</x:v>
      </x:c>
      <x:c r="O30" s="64" t="str">
        <x:v>BanRep 15053</x:v>
      </x:c>
      <x:c r="P30" s="64" t="str">
        <x:v>Archivo hacia adelante</x:v>
      </x:c>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ht="42" customHeight="1">
      <x:c r="A31" s="64" t="str">
        <x:v>Remesas</x:v>
      </x:c>
      <x:c r="B31" s="64" t="str">
        <x:v>Sector externo Colombia</x:v>
      </x:c>
      <x:c r="C31" s="81" t="n">
        <x:v>0.010798004539453903</x:v>
      </x:c>
      <x:c r="D31" s="81" t="n">
        <x:v>0.0059600648281510175</x:v>
      </x:c>
      <x:c r="E31" s="81" t="n">
        <x:v>0.025234562577020878</x:v>
      </x:c>
      <x:c r="F31" s="81" t="n">
        <x:v>0.005450936865942796</x:v>
      </x:c>
      <x:c r="G31" s="81" t="n">
        <x:v>0.038019573802759804</x:v>
      </x:c>
      <x:c r="H31" s="64"/>
      <x:c r="I31" s="64" t="str">
        <x:v>Balanza comercial cambiaria</x:v>
      </x:c>
      <x:c r="J31" s="114" t="str">
        <x:v>No disponible</x:v>
      </x:c>
      <x:c r="K31" s="114" t="n">
        <x:v>0</x:v>
      </x:c>
      <x:c r="L31" s="118" t="n">
        <x:v>0</x:v>
      </x:c>
      <x:c r="M31" s="114" t="str">
        <x:v>No</x:v>
      </x:c>
      <x:c r="N31" s="64" t="str">
        <x:v>2026-08-23</x:v>
      </x:c>
      <x:c r="O31" s="64" t="str">
        <x:v>BanRep 16702</x:v>
      </x:c>
      <x:c r="P31" s="64" t="str">
        <x:v>Archivo hacia adelante</x:v>
      </x:c>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ht="42" customHeight="1">
      <x:c r="A32" s="64" t="str">
        <x:v>Diferencial de compensación inflacionaria 5 años</x:v>
      </x:c>
      <x:c r="B32" s="64" t="str">
        <x:v>Política doméstica</x:v>
      </x:c>
      <x:c r="C32" s="81" t="n">
        <x:v>0.005122675926433809</x:v>
      </x:c>
      <x:c r="D32" s="81" t="n">
        <x:v>0.002202422996676342</x:v>
      </x:c>
      <x:c r="E32" s="81" t="n">
        <x:v>0.009688160794646287</x:v>
      </x:c>
      <x:c r="F32" s="81" t="n">
        <x:v>0.0029363661863988266</x:v>
      </x:c>
      <x:c r="G32" s="81" t="n">
        <x:v>0.006101686033747424</x:v>
      </x:c>
      <x:c r="H32" s="64"/>
      <x:c r="I32" s="64" t="str">
        <x:v>Flujos netos de capital</x:v>
      </x:c>
      <x:c r="J32" s="114" t="str">
        <x:v>No disponible</x:v>
      </x:c>
      <x:c r="K32" s="114" t="n">
        <x:v>0</x:v>
      </x:c>
      <x:c r="L32" s="118" t="n">
        <x:v>0</x:v>
      </x:c>
      <x:c r="M32" s="114" t="str">
        <x:v>No</x:v>
      </x:c>
      <x:c r="N32" s="64" t="str">
        <x:v>2026-08-23</x:v>
      </x:c>
      <x:c r="O32" s="64" t="str">
        <x:v>BanRep 16706</x:v>
      </x:c>
      <x:c r="P32" s="64" t="str">
        <x:v>Archivo hacia adelante</x:v>
      </x:c>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ht="42" customHeight="1">
      <x:c r="A33" s="64" t="str">
        <x:v>Diferencial de tasas</x:v>
      </x:c>
      <x:c r="B33" s="64" t="str">
        <x:v>Política doméstica</x:v>
      </x:c>
      <x:c r="C33" s="81" t="n">
        <x:v>0.0051054044626596</x:v>
      </x:c>
      <x:c r="D33" s="81" t="n">
        <x:v>0.005953758833412859</x:v>
      </x:c>
      <x:c r="E33" s="81" t="n">
        <x:v>0.005714388623712173</x:v>
      </x:c>
      <x:c r="F33" s="81" t="n">
        <x:v>0.005641302408036039</x:v>
      </x:c>
      <x:c r="G33" s="81" t="n">
        <x:v>0.009369834817831615</x:v>
      </x:c>
      <x:c r="H33" s="64"/>
      <x:c r="I33" s="64" t="str">
        <x:v>Diferencial de compensación inflacionaria 5 años</x:v>
      </x:c>
      <x:c r="J33" s="114" t="str">
        <x:v>No disponible</x:v>
      </x:c>
      <x:c r="K33" s="114" t="n">
        <x:v>0</x:v>
      </x:c>
      <x:c r="L33" s="118" t="n">
        <x:v>0</x:v>
      </x:c>
      <x:c r="M33" s="114" t="str">
        <x:v>No</x:v>
      </x:c>
      <x:c r="N33" s="64" t="str">
        <x:v>2026-08-23</x:v>
      </x:c>
      <x:c r="O33" s="64" t="str">
        <x:v>BanRep 15273/15276 + Fed GSW BKEVEN05</x:v>
      </x:c>
      <x:c r="P33" s="64" t="str">
        <x:v>Sin vintage completo de ambos componentes</x:v>
      </x:c>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ht="42" customHeight="1">
      <x:c r="A34" s="64" t="str">
        <x:v>Déficit fiscal</x:v>
      </x:c>
      <x:c r="B34" s="64" t="str">
        <x:v>Política doméstica</x:v>
      </x:c>
      <x:c r="C34" s="81" t="n">
        <x:v>0.001237934185010477</x:v>
      </x:c>
      <x:c r="D34" s="81" t="n">
        <x:v>0.004177330603764079</x:v>
      </x:c>
      <x:c r="E34" s="81" t="n">
        <x:v>0.011988877717799225</x:v>
      </x:c>
      <x:c r="F34" s="81" t="n">
        <x:v>0.003722618345441429</x:v>
      </x:c>
      <x:c r="G34" s="81" t="n">
        <x:v>0.01767296894132448</x:v>
      </x:c>
      <x:c r="H34" s="64"/>
      <x:c r="I34" s="64" t="str">
        <x:v>Monedas regionales</x:v>
      </x:c>
      <x:c r="J34" s="114" t="str">
        <x:v>Pendiente del proveedor</x:v>
      </x:c>
      <x:c r="K34" s="114" t="n">
        <x:v>0</x:v>
      </x:c>
      <x:c r="L34" s="118" t="n">
        <x:v>0</x:v>
      </x:c>
      <x:c r="M34" s="114" t="str">
        <x:v>No</x:v>
      </x:c>
      <x:c r="N34" s="64" t="str">
        <x:v>2026-08-23</x:v>
      </x:c>
      <x:c r="O34" s="64" t="str">
        <x:v>ALFRED BRL/CLP/MXN</x:v>
      </x:c>
      <x:c r="P34" s="64" t="str">
        <x:v>Factor de tres monedas; ruta histórica implementada y aún no completada</x:v>
      </x:c>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64"/>
      <x:c r="B35" s="64"/>
      <x:c r="C35" s="64"/>
      <x:c r="D35" s="64"/>
      <x:c r="E35" s="64"/>
      <x:c r="F35" s="64"/>
      <x:c r="G35" s="64"/>
      <x:c r="H35" s="64"/>
      <x:c r="I35" s="64"/>
      <x:c r="J35" s="64"/>
      <x:c r="K35" s="64"/>
      <x:c r="L35" s="64"/>
      <x:c r="M35" s="64"/>
      <x:c r="N35" s="64"/>
      <x:c r="O35" s="64"/>
      <x:c r="P35" s="64"/>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64"/>
      <x:c r="B36" s="64"/>
      <x:c r="C36" s="64"/>
      <x:c r="D36" s="64"/>
      <x:c r="E36" s="64"/>
      <x:c r="F36" s="64"/>
      <x:c r="G36" s="64"/>
      <x:c r="H36" s="64"/>
      <x:c r="I36" s="64"/>
      <x:c r="J36" s="64"/>
      <x:c r="K36" s="64"/>
      <x:c r="L36" s="64"/>
      <x:c r="M36" s="64"/>
      <x:c r="N36" s="64"/>
      <x:c r="O36" s="64"/>
      <x:c r="P36" s="64"/>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ht="36" customHeight="1">
      <x:c r="A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B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C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D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E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F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G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H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I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J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K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L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M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N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O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P37"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ht="36" customHeight="1">
      <x:c r="A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B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C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D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E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F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G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H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I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J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K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L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M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N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O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P38"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ht="36" customHeight="1">
      <x:c r="A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B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C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D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E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F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G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H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I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J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K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L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M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N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O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P39" s="58" t="str">
        <x:v>Lectura: intervalos amplios o cambios de signo entre cortes indican incertidumbre de asignación, aunque el peso puntual sea alto. Tener 48 vintages en un factor no basta para un backtest genuino: todos los factores utilizados en cada origen deben estar completos.</x:v>
      </x:c>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P1"/>
    <x:mergeCell ref="A2:P3"/>
    <x:mergeCell ref="A5:H5"/>
    <x:mergeCell ref="J5:P5"/>
    <x:mergeCell ref="A21:G21"/>
    <x:mergeCell ref="I21:P21"/>
    <x:mergeCell ref="A37:P39"/>
  </x:mergeCells>
  <x:pageMargins left="0.7" right="0.7" top="0.75" bottom="0.75" header="0.3" footer="0.3"/>
  <x:tableParts count="4">
    <x:tablePart xmlns:r="http://schemas.openxmlformats.org/officeDocument/2006/relationships" r:id="R965760f5391f47a5"/>
    <x:tablePart xmlns:r="http://schemas.openxmlformats.org/officeDocument/2006/relationships" r:id="R76d4a523046e4aa2"/>
    <x:tablePart xmlns:r="http://schemas.openxmlformats.org/officeDocument/2006/relationships" r:id="R58ee0209087942f7"/>
    <x:tablePart xmlns:r="http://schemas.openxmlformats.org/officeDocument/2006/relationships" r:id="Ra64572e517104d2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8" hidden="0" customWidth="1"/>
    <x:col min="2" max="2" width="15"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30" hidden="0" customWidth="1"/>
    <x:col min="11" max="11" width="12" hidden="0" customWidth="1"/>
    <x:col min="12" max="12" width="17" hidden="0" customWidth="1"/>
    <x:col min="13" max="13" width="17" hidden="0" customWidth="1"/>
    <x:col min="14" max="14" width="17" hidden="0" customWidth="1"/>
    <x:col min="15" max="15" width="11" hidden="0" customWidth="1"/>
    <x:col min="16" max="16" width="11" hidden="0" customWidth="1"/>
    <x:col min="17" max="17" width="11" hidden="0" customWidth="1"/>
    <x:col min="18" max="18" width="11" hidden="0" customWidth="1"/>
  </x:cols>
  <x:sheetData>
    <x:row r="1" ht="30" customHeight="1">
      <x:c r="A1" s="4" t="str">
        <x:v>Validación condicional pseudo-fuera de muestra</x:v>
      </x:c>
      <x:c r="B1" s="4" t="str">
        <x:v>Validación condicional pseudo-fuera de muestra</x:v>
      </x:c>
      <x:c r="C1" s="4" t="str">
        <x:v>Validación condicional pseudo-fuera de muestra</x:v>
      </x:c>
      <x:c r="D1" s="4" t="str">
        <x:v>Validación condicional pseudo-fuera de muestra</x:v>
      </x:c>
      <x:c r="E1" s="4" t="str">
        <x:v>Validación condicional pseudo-fuera de muestra</x:v>
      </x:c>
      <x:c r="F1" s="4" t="str">
        <x:v>Validación condicional pseudo-fuera de muestra</x:v>
      </x:c>
      <x:c r="G1" s="4" t="str">
        <x:v>Validación condicional pseudo-fuera de muestra</x:v>
      </x:c>
      <x:c r="H1" s="4" t="str">
        <x:v>Validación condicional pseudo-fuera de muestra</x:v>
      </x:c>
      <x:c r="I1" s="4" t="str">
        <x:v>Validación condicional pseudo-fuera de muestra</x:v>
      </x:c>
      <x:c r="J1" s="4" t="str">
        <x:v>Validación condicional pseudo-fuera de muestra</x:v>
      </x:c>
      <x:c r="K1" s="4" t="str">
        <x:v>Validación condicional pseudo-fuera de muestra</x:v>
      </x:c>
      <x:c r="L1" s="4" t="str">
        <x:v>Validación condicional pseudo-fuera de muestra</x:v>
      </x:c>
      <x:c r="M1" s="4" t="str">
        <x:v>Validación condicional pseudo-fuera de muestra</x:v>
      </x:c>
      <x:c r="N1" s="4" t="str">
        <x:v>Validación condicional pseudo-fuera de muestra</x:v>
      </x:c>
      <x:c r="O1" s="4" t="str">
        <x:v>Validación condicional pseudo-fuera de muestra</x:v>
      </x:c>
      <x:c r="P1" s="4" t="str">
        <x:v>Validación condicional pseudo-fuera de muestra</x:v>
      </x:c>
      <x:c r="Q1" s="4" t="str">
        <x:v>Validación condicional pseudo-fuera de muestra</x:v>
      </x:c>
      <x:c r="R1" s="4" t="str">
        <x:v>Validación condicional pseudo-fuera de muestra</x:v>
      </x:c>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B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C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D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E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F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G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H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I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J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K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L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M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N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O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P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Q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R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B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C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D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E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F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G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H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I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J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K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L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M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N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O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P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Q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R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62" t="str">
        <x:v>Modelo</x:v>
      </x:c>
      <x:c r="B5" s="62" t="str">
        <x:v>Observaciones</x:v>
      </x:c>
      <x:c r="C5" s="62" t="str">
        <x:v>MAE (log)</x:v>
      </x:c>
      <x:c r="D5" s="62" t="str">
        <x:v>RMSE (log)</x:v>
      </x:c>
      <x:c r="E5" s="62" t="str">
        <x:v>MAPE</x:v>
      </x:c>
      <x:c r="F5" s="62" t="str">
        <x:v>Acierto dirección</x:v>
      </x:c>
      <x:c r="G5" s="1"/>
      <x:c r="H5" s="66" t="str">
        <x:v>Comparación</x:v>
      </x:c>
      <x:c r="I5" s="66" t="str">
        <x:v>Resultado</x:v>
      </x:c>
      <x:c r="J5" s="66" t="str">
        <x:v>Lectura</x:v>
      </x:c>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38" customHeight="1">
      <x:c r="A6" s="5" t="str">
        <x:v>Modelo principal</x:v>
      </x:c>
      <x:c r="B6" s="5" t="n">
        <x:v>48</x:v>
      </x:c>
      <x:c r="C6" s="119" t="n">
        <x:v>0.02008326628513109</x:v>
      </x:c>
      <x:c r="D6" s="119" t="n">
        <x:v>0.026580593819841052</x:v>
      </x:c>
      <x:c r="E6" s="120" t="n">
        <x:v>0.020066091264301547</x:v>
      </x:c>
      <x:c r="F6" s="120" t="n">
        <x:v>0.6875</x:v>
      </x:c>
      <x:c r="G6" s="1"/>
      <x:c r="H6" s="67" t="str">
        <x:v>Reducción de MAE ampliado</x:v>
      </x:c>
      <x:c r="I6" s="107" t="n">
        <x:v>0.296915531642566</x:v>
      </x:c>
      <x:c r="J6" s="67" t="str">
        <x:v>Mejora frente a la caminata aleatoria</x:v>
      </x:c>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8" customHeight="1">
      <x:c r="A7" s="29" t="str">
        <x:v>Modelo ampliado</x:v>
      </x:c>
      <x:c r="B7" s="29" t="n">
        <x:v>48</x:v>
      </x:c>
      <x:c r="C7" s="121" t="n">
        <x:v>0.01689424812116158</x:v>
      </x:c>
      <x:c r="D7" s="121" t="n">
        <x:v>0.023008835701191065</x:v>
      </x:c>
      <x:c r="E7" s="122" t="n">
        <x:v>0.01691434493778879</x:v>
      </x:c>
      <x:c r="F7" s="122" t="n">
        <x:v>0.8125</x:v>
      </x:c>
      <x:c r="G7" s="1"/>
      <x:c r="H7" s="67" t="str">
        <x:v>Reducción de RMSE ampliado</x:v>
      </x:c>
      <x:c r="I7" s="107" t="n">
        <x:v>0.28578268934193707</x:v>
      </x:c>
      <x:c r="J7" s="67" t="str">
        <x:v>Mejora frente a la caminata aleatoria</x:v>
      </x:c>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8" customHeight="1">
      <x:c r="A8" s="1" t="str">
        <x:v>Caminata aleatoria</x:v>
      </x:c>
      <x:c r="B8" s="1" t="n">
        <x:v>48</x:v>
      </x:c>
      <x:c r="C8" s="63" t="n">
        <x:v>0.024028760243602603</x:v>
      </x:c>
      <x:c r="D8" s="63" t="n">
        <x:v>0.03221545509726062</x:v>
      </x:c>
      <x:c r="E8" s="79" t="n">
        <x:v>0.02394031003568149</x:v>
      </x:c>
      <x:c r="F8" s="79"/>
      <x:c r="G8" s="1"/>
      <x:c r="H8" s="67" t="str">
        <x:v>Dirección correcta ampliado</x:v>
      </x:c>
      <x:c r="I8" s="107" t="n">
        <x:v>0.8125</x:v>
      </x:c>
      <x:c r="J8" s="67" t="str">
        <x:v>Signo mensual acertado</x:v>
      </x:c>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8" customHeight="1">
      <x:c r="A9" s="1"/>
      <x:c r="B9" s="1"/>
      <x:c r="C9" s="1"/>
      <x:c r="D9" s="1"/>
      <x:c r="E9" s="1"/>
      <x:c r="F9" s="1"/>
      <x:c r="G9" s="1"/>
      <x:c r="H9" s="67" t="str">
        <x:v>Mejora de MAPE vs. principal (p.p.)</x:v>
      </x:c>
      <x:c r="I9" s="124" t="n">
        <x:v>0.3151746326512761</x:v>
      </x:c>
      <x:c r="J9" s="67" t="str">
        <x:v>Diferencia en puntos porcentuales; positivo indica mejora</x:v>
      </x:c>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1"/>
      <x:c r="B10" s="1"/>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6" customHeight="1">
      <x:c r="A11" s="62" t="str">
        <x:v>Mes</x:v>
      </x:c>
      <x:c r="B11" s="62" t="str">
        <x:v>ln TRM observada</x:v>
      </x:c>
      <x:c r="C11" s="62" t="str">
        <x:v>ln TRM modelo principal</x:v>
      </x:c>
      <x:c r="D11" s="62" t="str">
        <x:v>ln TRM caminata</x:v>
      </x:c>
      <x:c r="E11" s="62" t="str">
        <x:v>Δln observado</x:v>
      </x:c>
      <x:c r="F11" s="62" t="str">
        <x:v>Δln modelo principal</x:v>
      </x:c>
      <x:c r="G11" s="62" t="str">
        <x:v>TRM observada</x:v>
      </x:c>
      <x:c r="H11" s="62" t="str">
        <x:v>TRM modelo principal</x:v>
      </x:c>
      <x:c r="I11" s="62" t="str">
        <x:v>TRM caminata</x:v>
      </x:c>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1" t="str">
        <x:v>2022-05</x:v>
      </x:c>
      <x:c r="B12" s="98" t="n">
        <x:v>8.298808139175573</x:v>
      </x:c>
      <x:c r="C12" s="98" t="n">
        <x:v>8.272751079490853</x:v>
      </x:c>
      <x:c r="D12" s="98" t="n">
        <x:v>8.240907796093667</x:v>
      </x:c>
      <x:c r="E12" s="98" t="n">
        <x:v>0.05790034308190606</x:v>
      </x:c>
      <x:c r="F12" s="98" t="n">
        <x:v>0.03184328339718555</x:v>
      </x:c>
      <x:c r="G12" s="94" t="n">
        <x:v>4019.079354838708</x:v>
      </x:c>
      <x:c r="H12" s="94" t="n">
        <x:v>3915.706607982421</x:v>
      </x:c>
      <x:c r="I12" s="94" t="n">
        <x:v>3792.9819999999972</x:v>
      </x:c>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1" t="str">
        <x:v>2022-06</x:v>
      </x:c>
      <x:c r="B13" s="98" t="n">
        <x:v>8.276589766414325</x:v>
      </x:c>
      <x:c r="C13" s="98" t="n">
        <x:v>8.28329698451912</x:v>
      </x:c>
      <x:c r="D13" s="98" t="n">
        <x:v>8.298808139175573</x:v>
      </x:c>
      <x:c r="E13" s="98" t="n">
        <x:v>-0.022218372761248162</x:v>
      </x:c>
      <x:c r="F13" s="98" t="n">
        <x:v>-0.015511154656453793</x:v>
      </x:c>
      <x:c r="G13" s="94" t="n">
        <x:v>3930.766666666666</x:v>
      </x:c>
      <x:c r="H13" s="94" t="n">
        <x:v>3957.2197902839</x:v>
      </x:c>
      <x:c r="I13" s="94" t="n">
        <x:v>4019.079354838708</x:v>
      </x:c>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1" t="str">
        <x:v>2022-07</x:v>
      </x:c>
      <x:c r="B14" s="98" t="n">
        <x:v>8.382016058206503</x:v>
      </x:c>
      <x:c r="C14" s="98" t="n">
        <x:v>8.31067945351437</x:v>
      </x:c>
      <x:c r="D14" s="98" t="n">
        <x:v>8.276589766414325</x:v>
      </x:c>
      <x:c r="E14" s="98" t="n">
        <x:v>0.10542629179217755</x:v>
      </x:c>
      <x:c r="F14" s="98" t="n">
        <x:v>0.03408968710004485</x:v>
      </x:c>
      <x:c r="G14" s="94" t="n">
        <x:v>4367.805806451614</x:v>
      </x:c>
      <x:c r="H14" s="94" t="n">
        <x:v>4067.075433817815</x:v>
      </x:c>
      <x:c r="I14" s="94" t="n">
        <x:v>3930.766666666666</x:v>
      </x:c>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1" t="str">
        <x:v>2022-08</x:v>
      </x:c>
      <x:c r="B15" s="98" t="n">
        <x:v>8.371582127847805</x:v>
      </x:c>
      <x:c r="C15" s="98" t="n">
        <x:v>8.380565763346263</x:v>
      </x:c>
      <x:c r="D15" s="98" t="n">
        <x:v>8.382016058206503</x:v>
      </x:c>
      <x:c r="E15" s="98" t="n">
        <x:v>-0.010433930358697552</x:v>
      </x:c>
      <x:c r="F15" s="98" t="n">
        <x:v>-0.0014502948602391832</x:v>
      </x:c>
      <x:c r="G15" s="94" t="n">
        <x:v>4322.469354838713</x:v>
      </x:c>
      <x:c r="H15" s="94" t="n">
        <x:v>4361.475791443631</x:v>
      </x:c>
      <x:c r="I15" s="94" t="n">
        <x:v>4367.805806451614</x:v>
      </x:c>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t="str">
        <x:v>2022-09</x:v>
      </x:c>
      <x:c r="B16" s="98" t="n">
        <x:v>8.396978677110038</x:v>
      </x:c>
      <x:c r="C16" s="98" t="n">
        <x:v>8.405774525364944</x:v>
      </x:c>
      <x:c r="D16" s="98" t="n">
        <x:v>8.371582127847805</x:v>
      </x:c>
      <x:c r="E16" s="98" t="n">
        <x:v>0.02539654926223278</x:v>
      </x:c>
      <x:c r="F16" s="98" t="n">
        <x:v>0.03419239751713843</x:v>
      </x:c>
      <x:c r="G16" s="94" t="n">
        <x:v>4433.650999999996</x:v>
      </x:c>
      <x:c r="H16" s="94" t="n">
        <x:v>4472.820734394597</x:v>
      </x:c>
      <x:c r="I16" s="94" t="n">
        <x:v>4322.469354838713</x:v>
      </x:c>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1" t="str">
        <x:v>2022-10</x:v>
      </x:c>
      <x:c r="B17" s="98" t="n">
        <x:v>8.457831715043978</x:v>
      </x:c>
      <x:c r="C17" s="98" t="n">
        <x:v>8.426391756436736</x:v>
      </x:c>
      <x:c r="D17" s="98" t="n">
        <x:v>8.396978677110038</x:v>
      </x:c>
      <x:c r="E17" s="98" t="n">
        <x:v>0.06085303793394026</x:v>
      </x:c>
      <x:c r="F17" s="98" t="n">
        <x:v>0.02941307932669759</x:v>
      </x:c>
      <x:c r="G17" s="94" t="n">
        <x:v>4711.830322580648</x:v>
      </x:c>
      <x:c r="H17" s="94" t="n">
        <x:v>4565.995111400997</x:v>
      </x:c>
      <x:c r="I17" s="94" t="n">
        <x:v>4433.650999999996</x:v>
      </x:c>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1" t="str">
        <x:v>2022-11</x:v>
      </x:c>
      <x:c r="B18" s="98" t="n">
        <x:v>8.502416687971365</x:v>
      </x:c>
      <x:c r="C18" s="98" t="n">
        <x:v>8.418911192395665</x:v>
      </x:c>
      <x:c r="D18" s="98" t="n">
        <x:v>8.457831715043978</x:v>
      </x:c>
      <x:c r="E18" s="98" t="n">
        <x:v>0.044584972927387057</x:v>
      </x:c>
      <x:c r="F18" s="98" t="n">
        <x:v>-0.03892052264831317</x:v>
      </x:c>
      <x:c r="G18" s="94" t="n">
        <x:v>4926.660666666665</x:v>
      </x:c>
      <x:c r="H18" s="94" t="n">
        <x:v>4531.966328487972</x:v>
      </x:c>
      <x:c r="I18" s="94" t="n">
        <x:v>4711.830322580648</x:v>
      </x:c>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v>2022-12</x:v>
      </x:c>
      <x:c r="B19" s="98" t="n">
        <x:v>8.473970535354521</x:v>
      </x:c>
      <x:c r="C19" s="98" t="n">
        <x:v>8.472660839275024</x:v>
      </x:c>
      <x:c r="D19" s="98" t="n">
        <x:v>8.502416687971365</x:v>
      </x:c>
      <x:c r="E19" s="98" t="n">
        <x:v>-0.028446152616844245</x:v>
      </x:c>
      <x:c r="F19" s="98" t="n">
        <x:v>-0.029755848696341985</x:v>
      </x:c>
      <x:c r="G19" s="94" t="n">
        <x:v>4788.490645161287</x:v>
      </x:c>
      <x:c r="H19" s="94" t="n">
        <x:v>4782.223282802434</x:v>
      </x:c>
      <x:c r="I19" s="94" t="n">
        <x:v>4926.660666666665</x:v>
      </x:c>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v>2023-01</x:v>
      </x:c>
      <x:c r="B20" s="98" t="n">
        <x:v>8.458547432938246</x:v>
      </x:c>
      <x:c r="C20" s="98" t="n">
        <x:v>8.446567815161053</x:v>
      </x:c>
      <x:c r="D20" s="98" t="n">
        <x:v>8.473970535354521</x:v>
      </x:c>
      <x:c r="E20" s="98" t="n">
        <x:v>-0.015423102416274759</x:v>
      </x:c>
      <x:c r="F20" s="98" t="n">
        <x:v>-0.027402720193468042</x:v>
      </x:c>
      <x:c r="G20" s="94" t="n">
        <x:v>4715.203870967738</x:v>
      </x:c>
      <x:c r="H20" s="94" t="n">
        <x:v>4659.05452619996</x:v>
      </x:c>
      <x:c r="I20" s="94" t="n">
        <x:v>4788.490645161287</x:v>
      </x:c>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v>2023-02</x:v>
      </x:c>
      <x:c r="B21" s="98" t="n">
        <x:v>8.477019424251225</x:v>
      </x:c>
      <x:c r="C21" s="98" t="n">
        <x:v>8.461603068830314</x:v>
      </x:c>
      <x:c r="D21" s="98" t="n">
        <x:v>8.458547432938246</x:v>
      </x:c>
      <x:c r="E21" s="98" t="n">
        <x:v>0.018471991312978275</x:v>
      </x:c>
      <x:c r="F21" s="98" t="n">
        <x:v>0.003055635892068085</x:v>
      </x:c>
      <x:c r="G21" s="94" t="n">
        <x:v>4803.112499999996</x:v>
      </x:c>
      <x:c r="H21" s="94" t="n">
        <x:v>4729.633852311122</x:v>
      </x:c>
      <x:c r="I21" s="94" t="n">
        <x:v>4715.203870967738</x:v>
      </x:c>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v>2023-03</x:v>
      </x:c>
      <x:c r="B22" s="98" t="n">
        <x:v>8.469326819773904</x:v>
      </x:c>
      <x:c r="C22" s="98" t="n">
        <x:v>8.49174326604766</x:v>
      </x:c>
      <x:c r="D22" s="98" t="n">
        <x:v>8.477019424251225</x:v>
      </x:c>
      <x:c r="E22" s="98" t="n">
        <x:v>-0.007692604477320231</x:v>
      </x:c>
      <x:c r="F22" s="98" t="n">
        <x:v>0.014723841796435145</x:v>
      </x:c>
      <x:c r="G22" s="94" t="n">
        <x:v>4766.3058064516135</x:v>
      </x:c>
      <x:c r="H22" s="94" t="n">
        <x:v>4874.355970296295</x:v>
      </x:c>
      <x:c r="I22" s="94" t="n">
        <x:v>4803.112499999996</x:v>
      </x:c>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v>2023-04</x:v>
      </x:c>
      <x:c r="B23" s="98" t="n">
        <x:v>8.421271177813114</x:v>
      </x:c>
      <x:c r="C23" s="98" t="n">
        <x:v>8.44967194854569</x:v>
      </x:c>
      <x:c r="D23" s="98" t="n">
        <x:v>8.469326819773904</x:v>
      </x:c>
      <x:c r="E23" s="98" t="n">
        <x:v>-0.04805564196079004</x:v>
      </x:c>
      <x:c r="F23" s="98" t="n">
        <x:v>-0.019654871228214653</x:v>
      </x:c>
      <x:c r="G23" s="94" t="n">
        <x:v>4542.674333333336</x:v>
      </x:c>
      <x:c r="H23" s="94" t="n">
        <x:v>4673.539322634813</x:v>
      </x:c>
      <x:c r="I23" s="94" t="n">
        <x:v>4766.3058064516135</x:v>
      </x:c>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v>2023-05</x:v>
      </x:c>
      <x:c r="B24" s="98" t="n">
        <x:v>8.420701901472638</x:v>
      </x:c>
      <x:c r="C24" s="98" t="n">
        <x:v>8.425814010691314</x:v>
      </x:c>
      <x:c r="D24" s="98" t="n">
        <x:v>8.421271177813114</x:v>
      </x:c>
      <x:c r="E24" s="98" t="n">
        <x:v>-0.0005692763404763213</x:v>
      </x:c>
      <x:c r="F24" s="98" t="n">
        <x:v>0.0045428328781990995</x:v>
      </x:c>
      <x:c r="G24" s="94" t="n">
        <x:v>4540.089032258067</x:v>
      </x:c>
      <x:c r="H24" s="94" t="n">
        <x:v>4563.357889047119</x:v>
      </x:c>
      <x:c r="I24" s="94" t="n">
        <x:v>4542.674333333336</x:v>
      </x:c>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v>2023-06</x:v>
      </x:c>
      <x:c r="B25" s="98" t="n">
        <x:v>8.345044039825018</x:v>
      </x:c>
      <x:c r="C25" s="98" t="n">
        <x:v>8.412354062206363</x:v>
      </x:c>
      <x:c r="D25" s="98" t="n">
        <x:v>8.420701901472638</x:v>
      </x:c>
      <x:c r="E25" s="98" t="n">
        <x:v>-0.07565786164762045</x:v>
      </x:c>
      <x:c r="F25" s="98" t="n">
        <x:v>-0.008347839266274484</x:v>
      </x:c>
      <x:c r="G25" s="94" t="n">
        <x:v>4209.267999999998</x:v>
      </x:c>
      <x:c r="H25" s="94" t="n">
        <x:v>4502.346850770714</x:v>
      </x:c>
      <x:c r="I25" s="94" t="n">
        <x:v>4540.089032258067</x:v>
      </x:c>
      <x:c r="J25" s="1"/>
      <x:c r="K25" s="62" t="str">
        <x:v>Mes</x:v>
      </x:c>
      <x:c r="L25" s="62" t="str">
        <x:v>TRM observada</x:v>
      </x:c>
      <x:c r="M25" s="62" t="str">
        <x:v>Modelo principal condicional</x:v>
      </x:c>
      <x:c r="N25" s="62" t="str">
        <x:v>Modelo ampliado condicional</x:v>
      </x:c>
      <x:c r="O25" s="62" t="str">
        <x:v>Caminata aleatoria</x:v>
      </x:c>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v>2023-07</x:v>
      </x:c>
      <x:c r="B26" s="98" t="n">
        <x:v>8.311209943353095</x:v>
      </x:c>
      <x:c r="C26" s="98" t="n">
        <x:v>8.329131295447224</x:v>
      </x:c>
      <x:c r="D26" s="98" t="n">
        <x:v>8.345044039825018</x:v>
      </x:c>
      <x:c r="E26" s="98" t="n">
        <x:v>-0.03383409647192259</x:v>
      </x:c>
      <x:c r="F26" s="98" t="n">
        <x:v>-0.015912744377792516</x:v>
      </x:c>
      <x:c r="G26" s="94" t="n">
        <x:v>4069.2335483870993</x:v>
      </x:c>
      <x:c r="H26" s="94" t="n">
        <x:v>4142.817104548313</x:v>
      </x:c>
      <x:c r="I26" s="94" t="n">
        <x:v>4209.267999999998</x:v>
      </x:c>
      <x:c r="J26" s="1"/>
      <x:c r="K26" s="1" t="str">
        <x:f>A12</x:f>
        <x:v>2022-05</x:v>
      </x:c>
      <x:c r="L26" s="82" t="n">
        <x:f>G12</x:f>
        <x:v>4019.079354838708</x:v>
      </x:c>
      <x:c r="M26" s="82" t="n">
        <x:f>H12</x:f>
        <x:v>3915.706607982421</x:v>
      </x:c>
      <x:c r="N26" s="82" t="n">
        <x:f>H63</x:f>
        <x:v>3959.8845501515525</x:v>
      </x:c>
      <x:c r="O26" s="82" t="n">
        <x:f>I12</x:f>
        <x:v>3792.9819999999972</x:v>
      </x:c>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t="str">
        <x:v>2023-08</x:v>
      </x:c>
      <x:c r="B27" s="98" t="n">
        <x:v>8.311576434873045</x:v>
      </x:c>
      <x:c r="C27" s="98" t="n">
        <x:v>8.32684643797366</x:v>
      </x:c>
      <x:c r="D27" s="98" t="n">
        <x:v>8.311209943353095</x:v>
      </x:c>
      <x:c r="E27" s="98" t="n">
        <x:v>0.00036649151994971874</x:v>
      </x:c>
      <x:c r="F27" s="98" t="n">
        <x:v>0.01563649462056546</x:v>
      </x:c>
      <x:c r="G27" s="94" t="n">
        <x:v>4070.7251612903224</x:v>
      </x:c>
      <x:c r="H27" s="94" t="n">
        <x:v>4133.3621636349335</x:v>
      </x:c>
      <x:c r="I27" s="94" t="n">
        <x:v>4069.2335483870993</x:v>
      </x:c>
      <x:c r="J27" s="1"/>
      <x:c r="K27" s="1" t="str">
        <x:f>A13</x:f>
        <x:v>2022-06</x:v>
      </x:c>
      <x:c r="L27" s="82" t="n">
        <x:f>G13</x:f>
        <x:v>3930.766666666666</x:v>
      </x:c>
      <x:c r="M27" s="82" t="n">
        <x:f>H13</x:f>
        <x:v>3957.2197902839</x:v>
      </x:c>
      <x:c r="N27" s="82" t="n">
        <x:f>H64</x:f>
        <x:v>3920.8887387679024</x:v>
      </x:c>
      <x:c r="O27" s="82" t="n">
        <x:f>I13</x:f>
        <x:v>4019.079354838708</x:v>
      </x:c>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v>2023-09</x:v>
      </x:c>
      <x:c r="B28" s="98" t="n">
        <x:v>8.295179168611119</x:v>
      </x:c>
      <x:c r="C28" s="98" t="n">
        <x:v>8.333688880674108</x:v>
      </x:c>
      <x:c r="D28" s="98" t="n">
        <x:v>8.311576434873045</x:v>
      </x:c>
      <x:c r="E28" s="98" t="n">
        <x:v>-0.016397266261925836</x:v>
      </x:c>
      <x:c r="F28" s="98" t="n">
        <x:v>0.022112445801063915</x:v>
      </x:c>
      <x:c r="G28" s="94" t="n">
        <x:v>4004.52066666667</x:v>
      </x:c>
      <x:c r="H28" s="94" t="n">
        <x:v>4161.741438456656</x:v>
      </x:c>
      <x:c r="I28" s="94" t="n">
        <x:v>4070.7251612903224</x:v>
      </x:c>
      <x:c r="J28" s="1"/>
      <x:c r="K28" s="1" t="str">
        <x:f>A14</x:f>
        <x:v>2022-07</x:v>
      </x:c>
      <x:c r="L28" s="82" t="n">
        <x:f>G14</x:f>
        <x:v>4367.805806451614</x:v>
      </x:c>
      <x:c r="M28" s="82" t="n">
        <x:f>H14</x:f>
        <x:v>4067.075433817815</x:v>
      </x:c>
      <x:c r="N28" s="82" t="n">
        <x:f>H65</x:f>
        <x:v>4152.7908923604045</x:v>
      </x:c>
      <x:c r="O28" s="82" t="n">
        <x:f>I14</x:f>
        <x:v>3930.766666666666</x:v>
      </x:c>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v>2023-10</x:v>
      </x:c>
      <x:c r="B29" s="98" t="n">
        <x:v>8.348166834656725</x:v>
      </x:c>
      <x:c r="C29" s="98" t="n">
        <x:v>8.32935750001953</x:v>
      </x:c>
      <x:c r="D29" s="98" t="n">
        <x:v>8.295179168611119</x:v>
      </x:c>
      <x:c r="E29" s="98" t="n">
        <x:v>0.05298766604560612</x:v>
      </x:c>
      <x:c r="F29" s="98" t="n">
        <x:v>0.034178331408411367</x:v>
      </x:c>
      <x:c r="G29" s="94" t="n">
        <x:v>4222.433225806451</x:v>
      </x:c>
      <x:c r="H29" s="94" t="n">
        <x:v>4143.7543347184655</x:v>
      </x:c>
      <x:c r="I29" s="94" t="n">
        <x:v>4004.52066666667</x:v>
      </x:c>
      <x:c r="J29" s="1"/>
      <x:c r="K29" s="1" t="str">
        <x:f>A15</x:f>
        <x:v>2022-08</x:v>
      </x:c>
      <x:c r="L29" s="82" t="n">
        <x:f>G15</x:f>
        <x:v>4322.469354838713</x:v>
      </x:c>
      <x:c r="M29" s="82" t="n">
        <x:f>H15</x:f>
        <x:v>4361.475791443631</x:v>
      </x:c>
      <x:c r="N29" s="82" t="n">
        <x:f>H66</x:f>
        <x:v>4289.306576416355</x:v>
      </x:c>
      <x:c r="O29" s="82" t="n">
        <x:f>I15</x:f>
        <x:v>4367.805806451614</x:v>
      </x:c>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v>2023-11</x:v>
      </x:c>
      <x:c r="B30" s="98" t="n">
        <x:v>8.303704052588216</x:v>
      </x:c>
      <x:c r="C30" s="98" t="n">
        <x:v>8.322828558887894</x:v>
      </x:c>
      <x:c r="D30" s="98" t="n">
        <x:v>8.348166834656725</x:v>
      </x:c>
      <x:c r="E30" s="98" t="n">
        <x:v>-0.044462782068508844</x:v>
      </x:c>
      <x:c r="F30" s="98" t="n">
        <x:v>-0.025338275768831527</x:v>
      </x:c>
      <x:c r="G30" s="94" t="n">
        <x:v>4038.804666666669</x:v>
      </x:c>
      <x:c r="H30" s="94" t="n">
        <x:v>4116.788132766456</x:v>
      </x:c>
      <x:c r="I30" s="94" t="n">
        <x:v>4222.433225806451</x:v>
      </x:c>
      <x:c r="J30" s="1"/>
      <x:c r="K30" s="1" t="str">
        <x:f>A16</x:f>
        <x:v>2022-09</x:v>
      </x:c>
      <x:c r="L30" s="82" t="n">
        <x:f>G16</x:f>
        <x:v>4433.650999999996</x:v>
      </x:c>
      <x:c r="M30" s="82" t="n">
        <x:f>H16</x:f>
        <x:v>4472.820734394597</x:v>
      </x:c>
      <x:c r="N30" s="82" t="n">
        <x:f>H67</x:f>
        <x:v>4374.66199842206</x:v>
      </x:c>
      <x:c r="O30" s="82" t="n">
        <x:f>I16</x:f>
        <x:v>4322.469354838713</x:v>
      </x:c>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v>2023-12</x:v>
      </x:c>
      <x:c r="B31" s="98" t="n">
        <x:v>8.281016773597672</x:v>
      </x:c>
      <x:c r="C31" s="98" t="n">
        <x:v>8.28530036800517</x:v>
      </x:c>
      <x:c r="D31" s="98" t="n">
        <x:v>8.303704052588216</x:v>
      </x:c>
      <x:c r="E31" s="98" t="n">
        <x:v>-0.022687278990543902</x:v>
      </x:c>
      <x:c r="F31" s="98" t="n">
        <x:v>-0.018403684583044658</x:v>
      </x:c>
      <x:c r="G31" s="94" t="n">
        <x:v>3948.2067741935466</x:v>
      </x:c>
      <x:c r="H31" s="94" t="n">
        <x:v>3965.155565608827</x:v>
      </x:c>
      <x:c r="I31" s="94" t="n">
        <x:v>4038.804666666669</x:v>
      </x:c>
      <x:c r="J31" s="1"/>
      <x:c r="K31" s="1" t="str">
        <x:f>A17</x:f>
        <x:v>2022-10</x:v>
      </x:c>
      <x:c r="L31" s="82" t="n">
        <x:f>G17</x:f>
        <x:v>4711.830322580648</x:v>
      </x:c>
      <x:c r="M31" s="82" t="n">
        <x:f>H17</x:f>
        <x:v>4565.995111400997</x:v>
      </x:c>
      <x:c r="N31" s="82" t="n">
        <x:f>H68</x:f>
        <x:v>4567.7219643524795</x:v>
      </x:c>
      <x:c r="O31" s="82" t="n">
        <x:f>I17</x:f>
        <x:v>4433.650999999996</x:v>
      </x:c>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v>2024-01</x:v>
      </x:c>
      <x:c r="B32" s="98" t="n">
        <x:v>8.272621363120876</x:v>
      </x:c>
      <x:c r="C32" s="98" t="n">
        <x:v>8.288664382430355</x:v>
      </x:c>
      <x:c r="D32" s="98" t="n">
        <x:v>8.281016773597672</x:v>
      </x:c>
      <x:c r="E32" s="98" t="n">
        <x:v>-0.008395410476795817</x:v>
      </x:c>
      <x:c r="F32" s="98" t="n">
        <x:v>0.00764760883268332</x:v>
      </x:c>
      <x:c r="G32" s="94" t="n">
        <x:v>3915.1987096774164</x:v>
      </x:c>
      <x:c r="H32" s="94" t="n">
        <x:v>3978.516867335142</x:v>
      </x:c>
      <x:c r="I32" s="94" t="n">
        <x:v>3948.2067741935466</x:v>
      </x:c>
      <x:c r="J32" s="1"/>
      <x:c r="K32" s="1" t="str">
        <x:f>A18</x:f>
        <x:v>2022-11</x:v>
      </x:c>
      <x:c r="L32" s="82" t="n">
        <x:f>G18</x:f>
        <x:v>4926.660666666665</x:v>
      </x:c>
      <x:c r="M32" s="82" t="n">
        <x:f>H18</x:f>
        <x:v>4531.966328487972</x:v>
      </x:c>
      <x:c r="N32" s="82" t="n">
        <x:f>H69</x:f>
        <x:v>4574.5017116339795</x:v>
      </x:c>
      <x:c r="O32" s="82" t="n">
        <x:f>I18</x:f>
        <x:v>4711.830322580648</x:v>
      </x:c>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v>2024-02</x:v>
      </x:c>
      <x:c r="B33" s="98" t="n">
        <x:v>8.276760699123423</x:v>
      </x:c>
      <x:c r="C33" s="98" t="n">
        <x:v>8.288761459091475</x:v>
      </x:c>
      <x:c r="D33" s="98" t="n">
        <x:v>8.272621363120876</x:v>
      </x:c>
      <x:c r="E33" s="98" t="n">
        <x:v>0.004139336002547012</x:v>
      </x:c>
      <x:c r="F33" s="98" t="n">
        <x:v>0.01614009597059915</x:v>
      </x:c>
      <x:c r="G33" s="94" t="n">
        <x:v>3931.4386206896565</x:v>
      </x:c>
      <x:c r="H33" s="94" t="n">
        <x:v>3978.9031072159696</x:v>
      </x:c>
      <x:c r="I33" s="94" t="n">
        <x:v>3915.1987096774164</x:v>
      </x:c>
      <x:c r="J33" s="1"/>
      <x:c r="K33" s="1" t="str">
        <x:f>A19</x:f>
        <x:v>2022-12</x:v>
      </x:c>
      <x:c r="L33" s="82" t="n">
        <x:f>G19</x:f>
        <x:v>4788.490645161287</x:v>
      </x:c>
      <x:c r="M33" s="82" t="n">
        <x:f>H19</x:f>
        <x:v>4782.223282802434</x:v>
      </x:c>
      <x:c r="N33" s="82" t="n">
        <x:f>H70</x:f>
        <x:v>4816.080320829689</x:v>
      </x:c>
      <x:c r="O33" s="82" t="n">
        <x:f>I19</x:f>
        <x:v>4926.660666666665</x:v>
      </x:c>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v>2024-03</x:v>
      </x:c>
      <x:c r="B34" s="98" t="n">
        <x:v>8.268562917935254</x:v>
      </x:c>
      <x:c r="C34" s="98" t="n">
        <x:v>8.27607327571361</x:v>
      </x:c>
      <x:c r="D34" s="98" t="n">
        <x:v>8.276760699123423</x:v>
      </x:c>
      <x:c r="E34" s="98" t="n">
        <x:v>-0.008197781188169273</x:v>
      </x:c>
      <x:c r="F34" s="98" t="n">
        <x:v>-0.0006874234098126347</x:v>
      </x:c>
      <x:c r="G34" s="94" t="n">
        <x:v>3899.3412903225835</x:v>
      </x:c>
      <x:c r="H34" s="94" t="n">
        <x:v>3928.7369864372545</x:v>
      </x:c>
      <x:c r="I34" s="94" t="n">
        <x:v>3931.4386206896565</x:v>
      </x:c>
      <x:c r="J34" s="1"/>
      <x:c r="K34" s="1" t="str">
        <x:f>A20</x:f>
        <x:v>2023-01</x:v>
      </x:c>
      <x:c r="L34" s="82" t="n">
        <x:f>G20</x:f>
        <x:v>4715.203870967738</x:v>
      </x:c>
      <x:c r="M34" s="82" t="n">
        <x:f>H20</x:f>
        <x:v>4659.05452619996</x:v>
      </x:c>
      <x:c r="N34" s="82" t="n">
        <x:f>H71</x:f>
        <x:v>4679.683119611189</x:v>
      </x:c>
      <x:c r="O34" s="82" t="n">
        <x:f>I20</x:f>
        <x:v>4788.490645161287</x:v>
      </x:c>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v>2024-04</x:v>
      </x:c>
      <x:c r="B35" s="98" t="n">
        <x:v>8.26048647944151</x:v>
      </x:c>
      <x:c r="C35" s="98" t="n">
        <x:v>8.289426608025536</x:v>
      </x:c>
      <x:c r="D35" s="98" t="n">
        <x:v>8.268562917935254</x:v>
      </x:c>
      <x:c r="E35" s="98" t="n">
        <x:v>-0.00807643849374351</x:v>
      </x:c>
      <x:c r="F35" s="98" t="n">
        <x:v>0.02086369009028234</x:v>
      </x:c>
      <x:c r="G35" s="94" t="n">
        <x:v>3867.9753333333356</x:v>
      </x:c>
      <x:c r="H35" s="94" t="n">
        <x:v>3981.5505507509824</x:v>
      </x:c>
      <x:c r="I35" s="94" t="n">
        <x:v>3899.3412903225835</x:v>
      </x:c>
      <x:c r="J35" s="1"/>
      <x:c r="K35" s="1" t="str">
        <x:f>A21</x:f>
        <x:v>2023-02</x:v>
      </x:c>
      <x:c r="L35" s="82" t="n">
        <x:f>G21</x:f>
        <x:v>4803.112499999996</x:v>
      </x:c>
      <x:c r="M35" s="82" t="n">
        <x:f>H21</x:f>
        <x:v>4729.633852311122</x:v>
      </x:c>
      <x:c r="N35" s="82" t="n">
        <x:f>H72</x:f>
        <x:v>4727.784207028654</x:v>
      </x:c>
      <x:c r="O35" s="82" t="n">
        <x:f>I21</x:f>
        <x:v>4715.203870967738</x:v>
      </x:c>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v>2024-05</x:v>
      </x:c>
      <x:c r="B36" s="98" t="n">
        <x:v>8.260777367585563</x:v>
      </x:c>
      <x:c r="C36" s="98" t="n">
        <x:v>8.267608564819547</x:v>
      </x:c>
      <x:c r="D36" s="98" t="n">
        <x:v>8.26048647944151</x:v>
      </x:c>
      <x:c r="E36" s="98" t="n">
        <x:v>0.00029088814405220376</x:v>
      </x:c>
      <x:c r="F36" s="98" t="n">
        <x:v>0.007122085378035476</x:v>
      </x:c>
      <x:c r="G36" s="94" t="n">
        <x:v>3869.100645161288</x:v>
      </x:c>
      <x:c r="H36" s="94" t="n">
        <x:v>3895.6217169884703</x:v>
      </x:c>
      <x:c r="I36" s="94" t="n">
        <x:v>3867.9753333333356</x:v>
      </x:c>
      <x:c r="J36" s="1"/>
      <x:c r="K36" s="1" t="str">
        <x:f>A22</x:f>
        <x:v>2023-03</x:v>
      </x:c>
      <x:c r="L36" s="82" t="n">
        <x:f>G22</x:f>
        <x:v>4766.3058064516135</x:v>
      </x:c>
      <x:c r="M36" s="82" t="n">
        <x:f>H22</x:f>
        <x:v>4874.355970296295</x:v>
      </x:c>
      <x:c r="N36" s="82" t="n">
        <x:f>H73</x:f>
        <x:v>4932.352385102729</x:v>
      </x:c>
      <x:c r="O36" s="82" t="n">
        <x:f>I22</x:f>
        <x:v>4803.112499999996</x:v>
      </x:c>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v>2024-06</x:v>
      </x:c>
      <x:c r="B37" s="98" t="n">
        <x:v>8.304692058140274</x:v>
      </x:c>
      <x:c r="C37" s="98" t="n">
        <x:v>8.282053780063976</x:v>
      </x:c>
      <x:c r="D37" s="98" t="n">
        <x:v>8.260777367585563</x:v>
      </x:c>
      <x:c r="E37" s="98" t="n">
        <x:v>0.0439146905547112</x:v>
      </x:c>
      <x:c r="F37" s="98" t="n">
        <x:v>0.021276412478412828</x:v>
      </x:c>
      <x:c r="G37" s="94" t="n">
        <x:v>4042.7970000000014</x:v>
      </x:c>
      <x:c r="H37" s="94" t="n">
        <x:v>3952.303213798764</x:v>
      </x:c>
      <x:c r="I37" s="94" t="n">
        <x:v>3869.100645161288</x:v>
      </x:c>
      <x:c r="J37" s="1"/>
      <x:c r="K37" s="1" t="str">
        <x:f>A23</x:f>
        <x:v>2023-04</x:v>
      </x:c>
      <x:c r="L37" s="82" t="n">
        <x:f>G23</x:f>
        <x:v>4542.674333333336</x:v>
      </x:c>
      <x:c r="M37" s="82" t="n">
        <x:f>H23</x:f>
        <x:v>4673.539322634813</x:v>
      </x:c>
      <x:c r="N37" s="82" t="n">
        <x:f>H74</x:f>
        <x:v>4697.574849692112</x:v>
      </x:c>
      <x:c r="O37" s="82" t="n">
        <x:f>I23</x:f>
        <x:v>4766.3058064516135</x:v>
      </x:c>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v>2024-07</x:v>
      </x:c>
      <x:c r="B38" s="98" t="n">
        <x:v>8.30323778340659</x:v>
      </x:c>
      <x:c r="C38" s="98" t="n">
        <x:v>8.314992262940725</x:v>
      </x:c>
      <x:c r="D38" s="98" t="n">
        <x:v>8.304692058140274</x:v>
      </x:c>
      <x:c r="E38" s="98" t="n">
        <x:v>-0.001454274733683647</x:v>
      </x:c>
      <x:c r="F38" s="98" t="n">
        <x:v>0.010300204800450598</x:v>
      </x:c>
      <x:c r="G38" s="94" t="n">
        <x:v>4036.92193548387</x:v>
      </x:c>
      <x:c r="H38" s="94" t="n">
        <x:v>4084.653833984466</x:v>
      </x:c>
      <x:c r="I38" s="94" t="n">
        <x:v>4042.7970000000014</x:v>
      </x:c>
      <x:c r="J38" s="1"/>
      <x:c r="K38" s="1" t="str">
        <x:f>A24</x:f>
        <x:v>2023-05</x:v>
      </x:c>
      <x:c r="L38" s="82" t="n">
        <x:f>G24</x:f>
        <x:v>4540.089032258067</x:v>
      </x:c>
      <x:c r="M38" s="82" t="n">
        <x:f>H24</x:f>
        <x:v>4563.357889047119</x:v>
      </x:c>
      <x:c r="N38" s="82" t="n">
        <x:f>H75</x:f>
        <x:v>4526.944879901185</x:v>
      </x:c>
      <x:c r="O38" s="82" t="n">
        <x:f>I24</x:f>
        <x:v>4542.674333333336</x:v>
      </x:c>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v>2024-08</x:v>
      </x:c>
      <x:c r="B39" s="98" t="n">
        <x:v>8.310303441388276</x:v>
      </x:c>
      <x:c r="C39" s="98" t="n">
        <x:v>8.317046051843066</x:v>
      </x:c>
      <x:c r="D39" s="98" t="n">
        <x:v>8.30323778340659</x:v>
      </x:c>
      <x:c r="E39" s="98" t="n">
        <x:v>0.007065657981685902</x:v>
      </x:c>
      <x:c r="F39" s="98" t="n">
        <x:v>0.013808268436476262</x:v>
      </x:c>
      <x:c r="G39" s="94" t="n">
        <x:v>4065.546451612903</x:v>
      </x:c>
      <x:c r="H39" s="94" t="n">
        <x:v>4093.051471233898</x:v>
      </x:c>
      <x:c r="I39" s="94" t="n">
        <x:v>4036.92193548387</x:v>
      </x:c>
      <x:c r="J39" s="1"/>
      <x:c r="K39" s="1" t="str">
        <x:f>A25</x:f>
        <x:v>2023-06</x:v>
      </x:c>
      <x:c r="L39" s="82" t="n">
        <x:f>G25</x:f>
        <x:v>4209.267999999998</x:v>
      </x:c>
      <x:c r="M39" s="82" t="n">
        <x:f>H25</x:f>
        <x:v>4502.346850770714</x:v>
      </x:c>
      <x:c r="N39" s="82" t="n">
        <x:f>H76</x:f>
        <x:v>4490.990182880055</x:v>
      </x:c>
      <x:c r="O39" s="82" t="n">
        <x:f>I25</x:f>
        <x:v>4540.089032258067</x:v>
      </x:c>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v>2024-09</x:v>
      </x:c>
      <x:c r="B40" s="98" t="n">
        <x:v>8.338667381651211</x:v>
      </x:c>
      <x:c r="C40" s="98" t="n">
        <x:v>8.309955809483355</x:v>
      </x:c>
      <x:c r="D40" s="98" t="n">
        <x:v>8.310303441388276</x:v>
      </x:c>
      <x:c r="E40" s="98" t="n">
        <x:v>0.02836394026293476</x:v>
      </x:c>
      <x:c r="F40" s="98" t="n">
        <x:v>-0.0003476319049209387</x:v>
      </x:c>
      <x:c r="G40" s="94" t="n">
        <x:v>4182.5123333333295</x:v>
      </x:c>
      <x:c r="H40" s="94" t="n">
        <x:v>4064.1333835833807</x:v>
      </x:c>
      <x:c r="I40" s="94" t="n">
        <x:v>4065.546451612903</x:v>
      </x:c>
      <x:c r="J40" s="1"/>
      <x:c r="K40" s="1" t="str">
        <x:f>A26</x:f>
        <x:v>2023-07</x:v>
      </x:c>
      <x:c r="L40" s="82" t="n">
        <x:f>G26</x:f>
        <x:v>4069.2335483870993</x:v>
      </x:c>
      <x:c r="M40" s="82" t="n">
        <x:f>H26</x:f>
        <x:v>4142.817104548313</x:v>
      </x:c>
      <x:c r="N40" s="82" t="n">
        <x:f>H77</x:f>
        <x:v>4165.690024831417</x:v>
      </x:c>
      <x:c r="O40" s="82" t="n">
        <x:f>I26</x:f>
        <x:v>4209.267999999998</x:v>
      </x:c>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v>2024-10</x:v>
      </x:c>
      <x:c r="B41" s="98" t="n">
        <x:v>8.354549548259685</x:v>
      </x:c>
      <x:c r="C41" s="98" t="n">
        <x:v>8.360503885989838</x:v>
      </x:c>
      <x:c r="D41" s="98" t="n">
        <x:v>8.338667381651211</x:v>
      </x:c>
      <x:c r="E41" s="98" t="n">
        <x:v>0.01588216660847408</x:v>
      </x:c>
      <x:c r="F41" s="98" t="n">
        <x:v>0.021836504338626894</x:v>
      </x:c>
      <x:c r="G41" s="94" t="n">
        <x:v>4249.470000000003</x:v>
      </x:c>
      <x:c r="H41" s="94" t="n">
        <x:v>4274.848259939178</x:v>
      </x:c>
      <x:c r="I41" s="94" t="n">
        <x:v>4182.5123333333295</x:v>
      </x:c>
      <x:c r="J41" s="1"/>
      <x:c r="K41" s="1" t="str">
        <x:f>A27</x:f>
        <x:v>2023-08</x:v>
      </x:c>
      <x:c r="L41" s="82" t="n">
        <x:f>G27</x:f>
        <x:v>4070.7251612903224</x:v>
      </x:c>
      <x:c r="M41" s="82" t="n">
        <x:f>H27</x:f>
        <x:v>4133.3621636349335</x:v>
      </x:c>
      <x:c r="N41" s="82" t="n">
        <x:f>H78</x:f>
        <x:v>4131.631054334199</x:v>
      </x:c>
      <x:c r="O41" s="82" t="n">
        <x:f>I27</x:f>
        <x:v>4069.2335483870993</x:v>
      </x:c>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v>2024-11</x:v>
      </x:c>
      <x:c r="B42" s="98" t="n">
        <x:v>8.39132432838928</x:v>
      </x:c>
      <x:c r="C42" s="98" t="n">
        <x:v>8.380150156673094</x:v>
      </x:c>
      <x:c r="D42" s="98" t="n">
        <x:v>8.354549548259685</x:v>
      </x:c>
      <x:c r="E42" s="98" t="n">
        <x:v>0.03677478012959412</x:v>
      </x:c>
      <x:c r="F42" s="98" t="n">
        <x:v>0.02560060841340867</x:v>
      </x:c>
      <x:c r="G42" s="94" t="n">
        <x:v>4408.652333333335</x:v>
      </x:c>
      <x:c r="H42" s="94" t="n">
        <x:v>4359.663509624138</x:v>
      </x:c>
      <x:c r="I42" s="94" t="n">
        <x:v>4249.470000000003</x:v>
      </x:c>
      <x:c r="J42" s="1"/>
      <x:c r="K42" s="1" t="str">
        <x:f>A28</x:f>
        <x:v>2023-09</x:v>
      </x:c>
      <x:c r="L42" s="82" t="n">
        <x:f>G28</x:f>
        <x:v>4004.52066666667</x:v>
      </x:c>
      <x:c r="M42" s="82" t="n">
        <x:f>H28</x:f>
        <x:v>4161.741438456656</x:v>
      </x:c>
      <x:c r="N42" s="82" t="n">
        <x:f>H79</x:f>
        <x:v>4159.437750587656</x:v>
      </x:c>
      <x:c r="O42" s="82" t="n">
        <x:f>I28</x:f>
        <x:v>4070.7251612903224</x:v>
      </x:c>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v>2024-12</x:v>
      </x:c>
      <x:c r="B43" s="98" t="n">
        <x:v>8.385978817498613</x:v>
      </x:c>
      <x:c r="C43" s="98" t="n">
        <x:v>8.40957150919964</x:v>
      </x:c>
      <x:c r="D43" s="98" t="n">
        <x:v>8.39132432838928</x:v>
      </x:c>
      <x:c r="E43" s="98" t="n">
        <x:v>-0.005345510890666816</x:v>
      </x:c>
      <x:c r="F43" s="98" t="n">
        <x:v>0.018247180810360482</x:v>
      </x:c>
      <x:c r="G43" s="94" t="n">
        <x:v>4385.148709677422</x:v>
      </x:c>
      <x:c r="H43" s="94" t="n">
        <x:v>4489.836245786601</x:v>
      </x:c>
      <x:c r="I43" s="94" t="n">
        <x:v>4408.652333333335</x:v>
      </x:c>
      <x:c r="J43" s="1"/>
      <x:c r="K43" s="1" t="str">
        <x:f>A29</x:f>
        <x:v>2023-10</x:v>
      </x:c>
      <x:c r="L43" s="82" t="n">
        <x:f>G29</x:f>
        <x:v>4222.433225806451</x:v>
      </x:c>
      <x:c r="M43" s="82" t="n">
        <x:f>H29</x:f>
        <x:v>4143.7543347184655</x:v>
      </x:c>
      <x:c r="N43" s="82" t="n">
        <x:f>H80</x:f>
        <x:v>4157.328921264823</x:v>
      </x:c>
      <x:c r="O43" s="82" t="n">
        <x:f>I29</x:f>
        <x:v>4004.52066666667</x:v>
      </x:c>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v>2025-01</x:v>
      </x:c>
      <x:c r="B44" s="98" t="n">
        <x:v>8.368128619899991</x:v>
      </x:c>
      <x:c r="C44" s="98" t="n">
        <x:v>8.40072861760144</x:v>
      </x:c>
      <x:c r="D44" s="98" t="n">
        <x:v>8.385978817498613</x:v>
      </x:c>
      <x:c r="E44" s="98" t="n">
        <x:v>-0.017850197598621165</x:v>
      </x:c>
      <x:c r="F44" s="98" t="n">
        <x:v>0.014749800102825943</x:v>
      </x:c>
      <x:c r="G44" s="94" t="n">
        <x:v>4307.567419354838</x:v>
      </x:c>
      <x:c r="H44" s="94" t="n">
        <x:v>4450.3081395311765</x:v>
      </x:c>
      <x:c r="I44" s="94" t="n">
        <x:v>4385.148709677422</x:v>
      </x:c>
      <x:c r="J44" s="1"/>
      <x:c r="K44" s="1" t="str">
        <x:f>A30</x:f>
        <x:v>2023-11</x:v>
      </x:c>
      <x:c r="L44" s="82" t="n">
        <x:f>G30</x:f>
        <x:v>4038.804666666669</x:v>
      </x:c>
      <x:c r="M44" s="82" t="n">
        <x:f>H30</x:f>
        <x:v>4116.788132766456</x:v>
      </x:c>
      <x:c r="N44" s="82" t="n">
        <x:f>H81</x:f>
        <x:v>4158.177341706212</x:v>
      </x:c>
      <x:c r="O44" s="82" t="n">
        <x:f>I30</x:f>
        <x:v>4222.433225806451</x:v>
      </x:c>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t="str">
        <x:v>2025-02</x:v>
      </x:c>
      <x:c r="B45" s="98" t="n">
        <x:v>8.325537146384832</x:v>
      </x:c>
      <x:c r="C45" s="98" t="n">
        <x:v>8.362075685296945</x:v>
      </x:c>
      <x:c r="D45" s="98" t="n">
        <x:v>8.368128619899991</x:v>
      </x:c>
      <x:c r="E45" s="98" t="n">
        <x:v>-0.04259147351515935</x:v>
      </x:c>
      <x:c r="F45" s="98" t="n">
        <x:v>-0.0060529346030457915</x:v>
      </x:c>
      <x:c r="G45" s="94" t="n">
        <x:v>4127.95392857143</x:v>
      </x:c>
      <x:c r="H45" s="94" t="n">
        <x:v>4281.572746859649</x:v>
      </x:c>
      <x:c r="I45" s="94" t="n">
        <x:v>4307.567419354838</x:v>
      </x:c>
      <x:c r="J45" s="1"/>
      <x:c r="K45" s="1" t="str">
        <x:f>A31</x:f>
        <x:v>2023-12</x:v>
      </x:c>
      <x:c r="L45" s="82" t="n">
        <x:f>G31</x:f>
        <x:v>3948.2067741935466</x:v>
      </x:c>
      <x:c r="M45" s="82" t="n">
        <x:f>H31</x:f>
        <x:v>3965.155565608827</x:v>
      </x:c>
      <x:c r="N45" s="82" t="n">
        <x:f>H82</x:f>
        <x:v>3939.1152405560806</x:v>
      </x:c>
      <x:c r="O45" s="82" t="n">
        <x:f>I31</x:f>
        <x:v>4038.804666666669</x:v>
      </x:c>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t="str">
        <x:v>2025-03</x:v>
      </x:c>
      <x:c r="B46" s="98" t="n">
        <x:v>8.327891614734215</x:v>
      </x:c>
      <x:c r="C46" s="98" t="n">
        <x:v>8.321748390029096</x:v>
      </x:c>
      <x:c r="D46" s="98" t="n">
        <x:v>8.325537146384832</x:v>
      </x:c>
      <x:c r="E46" s="98" t="n">
        <x:v>0.002354468349382799</x:v>
      </x:c>
      <x:c r="F46" s="98" t="n">
        <x:v>-0.003788756355735008</x:v>
      </x:c>
      <x:c r="G46" s="94" t="n">
        <x:v>4137.684516129031</x:v>
      </x:c>
      <x:c r="H46" s="94" t="n">
        <x:v>4112.343707224342</x:v>
      </x:c>
      <x:c r="I46" s="94" t="n">
        <x:v>4127.95392857143</x:v>
      </x:c>
      <x:c r="J46" s="1"/>
      <x:c r="K46" s="1" t="str">
        <x:f>A32</x:f>
        <x:v>2024-01</x:v>
      </x:c>
      <x:c r="L46" s="82" t="n">
        <x:f>G32</x:f>
        <x:v>3915.1987096774164</x:v>
      </x:c>
      <x:c r="M46" s="82" t="n">
        <x:f>H32</x:f>
        <x:v>3978.516867335142</x:v>
      </x:c>
      <x:c r="N46" s="82" t="n">
        <x:f>H83</x:f>
        <x:v>3956.081046579114</x:v>
      </x:c>
      <x:c r="O46" s="82" t="n">
        <x:f>I32</x:f>
        <x:v>3948.2067741935466</x:v>
      </x:c>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t="str">
        <x:v>2025-04</x:v>
      </x:c>
      <x:c r="B47" s="98" t="n">
        <x:v>8.361768567132886</x:v>
      </x:c>
      <x:c r="C47" s="98" t="n">
        <x:v>8.326289168306781</x:v>
      </x:c>
      <x:c r="D47" s="98" t="n">
        <x:v>8.327891614734215</x:v>
      </x:c>
      <x:c r="E47" s="98" t="n">
        <x:v>0.03387695239867128</x:v>
      </x:c>
      <x:c r="F47" s="98" t="n">
        <x:v>-0.0016024464274337555</x:v>
      </x:c>
      <x:c r="G47" s="94" t="n">
        <x:v>4280.2580000000025</x:v>
      </x:c>
      <x:c r="H47" s="94" t="n">
        <x:v>4131.059407966447</x:v>
      </x:c>
      <x:c r="I47" s="94" t="n">
        <x:v>4137.684516129031</x:v>
      </x:c>
      <x:c r="J47" s="1"/>
      <x:c r="K47" s="1" t="str">
        <x:f>A33</x:f>
        <x:v>2024-02</x:v>
      </x:c>
      <x:c r="L47" s="82" t="n">
        <x:f>G33</x:f>
        <x:v>3931.4386206896565</x:v>
      </x:c>
      <x:c r="M47" s="82" t="n">
        <x:f>H33</x:f>
        <x:v>3978.9031072159696</x:v>
      </x:c>
      <x:c r="N47" s="82" t="n">
        <x:f>H84</x:f>
        <x:v>4040.7129206313703</x:v>
      </x:c>
      <x:c r="O47" s="82" t="n">
        <x:f>I33</x:f>
        <x:v>3915.1987096774164</x:v>
      </x:c>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t="str">
        <x:v>2025-05</x:v>
      </x:c>
      <x:c r="B48" s="98" t="n">
        <x:v>8.34364355184035</x:v>
      </x:c>
      <x:c r="C48" s="98" t="n">
        <x:v>8.329967479439325</x:v>
      </x:c>
      <x:c r="D48" s="98" t="n">
        <x:v>8.361768567132886</x:v>
      </x:c>
      <x:c r="E48" s="98" t="n">
        <x:v>-0.018125015292536517</x:v>
      </x:c>
      <x:c r="F48" s="98" t="n">
        <x:v>-0.03180108769356009</x:v>
      </x:c>
      <x:c r="G48" s="94" t="n">
        <x:v>4203.377096774196</x:v>
      </x:c>
      <x:c r="H48" s="94" t="n">
        <x:v>4146.282710633574</x:v>
      </x:c>
      <x:c r="I48" s="94" t="n">
        <x:v>4280.2580000000025</x:v>
      </x:c>
      <x:c r="J48" s="1"/>
      <x:c r="K48" s="1" t="str">
        <x:f>A34</x:f>
        <x:v>2024-03</x:v>
      </x:c>
      <x:c r="L48" s="82" t="n">
        <x:f>G34</x:f>
        <x:v>3899.3412903225835</x:v>
      </x:c>
      <x:c r="M48" s="82" t="n">
        <x:f>H34</x:f>
        <x:v>3928.7369864372545</x:v>
      </x:c>
      <x:c r="N48" s="82" t="n">
        <x:f>H85</x:f>
        <x:v>3896.715894789189</x:v>
      </x:c>
      <x:c r="O48" s="82" t="n">
        <x:f>I34</x:f>
        <x:v>3931.4386206896565</x:v>
      </x:c>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t="str">
        <x:v>2025-06</x:v>
      </x:c>
      <x:c r="B49" s="98" t="n">
        <x:v>8.322025880072617</x:v>
      </x:c>
      <x:c r="C49" s="98" t="n">
        <x:v>8.322422609530612</x:v>
      </x:c>
      <x:c r="D49" s="98" t="n">
        <x:v>8.34364355184035</x:v>
      </x:c>
      <x:c r="E49" s="98" t="n">
        <x:v>-0.021617671767732105</x:v>
      </x:c>
      <x:c r="F49" s="98" t="n">
        <x:v>-0.021220942309737142</x:v>
      </x:c>
      <x:c r="G49" s="94" t="n">
        <x:v>4113.4850000000015</x:v>
      </x:c>
      <x:c r="H49" s="94" t="n">
        <x:v>4115.117264436804</x:v>
      </x:c>
      <x:c r="I49" s="94" t="n">
        <x:v>4203.377096774196</x:v>
      </x:c>
      <x:c r="J49" s="1"/>
      <x:c r="K49" s="1" t="str">
        <x:f>A35</x:f>
        <x:v>2024-04</x:v>
      </x:c>
      <x:c r="L49" s="82" t="n">
        <x:f>G35</x:f>
        <x:v>3867.9753333333356</x:v>
      </x:c>
      <x:c r="M49" s="82" t="n">
        <x:f>H35</x:f>
        <x:v>3981.5505507509824</x:v>
      </x:c>
      <x:c r="N49" s="82" t="n">
        <x:f>H86</x:f>
        <x:v>3900.971489606492</x:v>
      </x:c>
      <x:c r="O49" s="82" t="n">
        <x:f>I35</x:f>
        <x:v>3899.3412903225835</x:v>
      </x:c>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t="str">
        <x:v>2025-07</x:v>
      </x:c>
      <x:c r="B50" s="98" t="n">
        <x:v>8.304209945715085</x:v>
      </x:c>
      <x:c r="C50" s="98" t="n">
        <x:v>8.312485846718188</x:v>
      </x:c>
      <x:c r="D50" s="98" t="n">
        <x:v>8.322025880072617</x:v>
      </x:c>
      <x:c r="E50" s="98" t="n">
        <x:v>-0.01781593435753237</x:v>
      </x:c>
      <x:c r="F50" s="98" t="n">
        <x:v>-0.009540033354430415</x:v>
      </x:c>
      <x:c r="G50" s="94" t="n">
        <x:v>4040.8483870967743</x:v>
      </x:c>
      <x:c r="H50" s="94" t="n">
        <x:v>4074.4288107864295</x:v>
      </x:c>
      <x:c r="I50" s="94" t="n">
        <x:v>4113.4850000000015</x:v>
      </x:c>
      <x:c r="J50" s="1"/>
      <x:c r="K50" s="1" t="str">
        <x:f>A36</x:f>
        <x:v>2024-05</x:v>
      </x:c>
      <x:c r="L50" s="82" t="n">
        <x:f>G36</x:f>
        <x:v>3869.100645161288</x:v>
      </x:c>
      <x:c r="M50" s="82" t="n">
        <x:f>H36</x:f>
        <x:v>3895.6217169884703</x:v>
      </x:c>
      <x:c r="N50" s="82" t="n">
        <x:f>H87</x:f>
        <x:v>3917.164110087866</x:v>
      </x:c>
      <x:c r="O50" s="82" t="n">
        <x:f>I36</x:f>
        <x:v>3867.9753333333356</x:v>
      </x:c>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t="str">
        <x:v>2025-08</x:v>
      </x:c>
      <x:c r="B51" s="98" t="n">
        <x:v>8.305832847858927</x:v>
      </x:c>
      <x:c r="C51" s="98" t="n">
        <x:v>8.308795371292433</x:v>
      </x:c>
      <x:c r="D51" s="98" t="n">
        <x:v>8.304209945715085</x:v>
      </x:c>
      <x:c r="E51" s="98" t="n">
        <x:v>0.0016229021438416424</x:v>
      </x:c>
      <x:c r="F51" s="98" t="n">
        <x:v>0.004585425577347443</x:v>
      </x:c>
      <x:c r="G51" s="94" t="n">
        <x:v>4047.4116129032236</x:v>
      </x:c>
      <x:c r="H51" s="94" t="n">
        <x:v>4059.4199433490307</x:v>
      </x:c>
      <x:c r="I51" s="94" t="n">
        <x:v>4040.8483870967743</x:v>
      </x:c>
      <x:c r="J51" s="1"/>
      <x:c r="K51" s="1" t="str">
        <x:f>A37</x:f>
        <x:v>2024-06</x:v>
      </x:c>
      <x:c r="L51" s="82" t="n">
        <x:f>G37</x:f>
        <x:v>4042.7970000000014</x:v>
      </x:c>
      <x:c r="M51" s="82" t="n">
        <x:f>H37</x:f>
        <x:v>3952.303213798764</x:v>
      </x:c>
      <x:c r="N51" s="82" t="n">
        <x:f>H88</x:f>
        <x:v>3950.164528547797</x:v>
      </x:c>
      <x:c r="O51" s="82" t="n">
        <x:f>I37</x:f>
        <x:v>3869.100645161288</x:v>
      </x:c>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t="str">
        <x:v>2025-09</x:v>
      </x:c>
      <x:c r="B52" s="98" t="n">
        <x:v>8.274411059349477</x:v>
      </x:c>
      <x:c r="C52" s="98" t="n">
        <x:v>8.299355006342036</x:v>
      </x:c>
      <x:c r="D52" s="98" t="n">
        <x:v>8.305832847858927</x:v>
      </x:c>
      <x:c r="E52" s="98" t="n">
        <x:v>-0.031421788509449655</x:v>
      </x:c>
      <x:c r="F52" s="98" t="n">
        <x:v>-0.006477841516889451</x:v>
      </x:c>
      <x:c r="G52" s="94" t="n">
        <x:v>3922.211999999997</x:v>
      </x:c>
      <x:c r="H52" s="94" t="n">
        <x:v>4021.2778584672124</x:v>
      </x:c>
      <x:c r="I52" s="94" t="n">
        <x:v>4047.4116129032236</x:v>
      </x:c>
      <x:c r="J52" s="1"/>
      <x:c r="K52" s="1" t="str">
        <x:f>A38</x:f>
        <x:v>2024-07</x:v>
      </x:c>
      <x:c r="L52" s="82" t="n">
        <x:f>G38</x:f>
        <x:v>4036.92193548387</x:v>
      </x:c>
      <x:c r="M52" s="82" t="n">
        <x:f>H38</x:f>
        <x:v>4084.653833984466</x:v>
      </x:c>
      <x:c r="N52" s="82" t="n">
        <x:f>H89</x:f>
        <x:v>4098.277905713928</x:v>
      </x:c>
      <x:c r="O52" s="82" t="n">
        <x:f>I38</x:f>
        <x:v>4042.7970000000014</x:v>
      </x:c>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t="str">
        <x:v>2025-10</x:v>
      </x:c>
      <x:c r="B53" s="98" t="n">
        <x:v>8.263034824354826</x:v>
      </x:c>
      <x:c r="C53" s="98" t="n">
        <x:v>8.29069048448477</x:v>
      </x:c>
      <x:c r="D53" s="98" t="n">
        <x:v>8.274411059349477</x:v>
      </x:c>
      <x:c r="E53" s="98" t="n">
        <x:v>-0.011376234994651568</x:v>
      </x:c>
      <x:c r="F53" s="98" t="n">
        <x:v>0.016279425135292284</x:v>
      </x:c>
      <x:c r="G53" s="94" t="n">
        <x:v>3877.8448387096764</x:v>
      </x:c>
      <x:c r="H53" s="94" t="n">
        <x:v>3986.5859201354556</x:v>
      </x:c>
      <x:c r="I53" s="94" t="n">
        <x:v>3922.211999999997</x:v>
      </x:c>
      <x:c r="J53" s="1"/>
      <x:c r="K53" s="1" t="str">
        <x:f>A39</x:f>
        <x:v>2024-08</x:v>
      </x:c>
      <x:c r="L53" s="82" t="n">
        <x:f>G39</x:f>
        <x:v>4065.546451612903</x:v>
      </x:c>
      <x:c r="M53" s="82" t="n">
        <x:f>H39</x:f>
        <x:v>4093.051471233898</x:v>
      </x:c>
      <x:c r="N53" s="82" t="n">
        <x:f>H90</x:f>
        <x:v>4038.4045577316547</x:v>
      </x:c>
      <x:c r="O53" s="82" t="n">
        <x:f>I39</x:f>
        <x:v>4036.92193548387</x:v>
      </x:c>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t="str">
        <x:v>2025-11</x:v>
      </x:c>
      <x:c r="B54" s="98" t="n">
        <x:v>8.239113754615177</x:v>
      </x:c>
      <x:c r="C54" s="98" t="n">
        <x:v>8.272560845133215</x:v>
      </x:c>
      <x:c r="D54" s="98" t="n">
        <x:v>8.263034824354826</x:v>
      </x:c>
      <x:c r="E54" s="98" t="n">
        <x:v>-0.02392106973964836</x:v>
      </x:c>
      <x:c r="F54" s="98" t="n">
        <x:v>0.00952602077838922</x:v>
      </x:c>
      <x:c r="G54" s="94" t="n">
        <x:v>3786.1833333333366</x:v>
      </x:c>
      <x:c r="H54" s="94" t="n">
        <x:v>3914.9617768996327</x:v>
      </x:c>
      <x:c r="I54" s="94" t="n">
        <x:v>3877.8448387096764</x:v>
      </x:c>
      <x:c r="J54" s="1"/>
      <x:c r="K54" s="1" t="str">
        <x:f>A40</x:f>
        <x:v>2024-09</x:v>
      </x:c>
      <x:c r="L54" s="82" t="n">
        <x:f>G40</x:f>
        <x:v>4182.5123333333295</x:v>
      </x:c>
      <x:c r="M54" s="82" t="n">
        <x:f>H40</x:f>
        <x:v>4064.1333835833807</x:v>
      </x:c>
      <x:c r="N54" s="82" t="n">
        <x:f>H91</x:f>
        <x:v>4080.1943712201983</x:v>
      </x:c>
      <x:c r="O54" s="82" t="n">
        <x:f>I40</x:f>
        <x:v>4065.546451612903</x:v>
      </x:c>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t="str">
        <x:v>2025-12</x:v>
      </x:c>
      <x:c r="B55" s="98" t="n">
        <x:v>8.240509596157608</x:v>
      </x:c>
      <x:c r="C55" s="98" t="n">
        <x:v>8.215700766513118</x:v>
      </x:c>
      <x:c r="D55" s="98" t="n">
        <x:v>8.239113754615177</x:v>
      </x:c>
      <x:c r="E55" s="98" t="n">
        <x:v>0.0013958415424308868</x:v>
      </x:c>
      <x:c r="F55" s="98" t="n">
        <x:v>-0.02341298810205856</x:v>
      </x:c>
      <x:c r="G55" s="94" t="n">
        <x:v>3791.471935483873</x:v>
      </x:c>
      <x:c r="H55" s="94" t="n">
        <x:v>3698.5671486715523</x:v>
      </x:c>
      <x:c r="I55" s="94" t="n">
        <x:v>3786.1833333333366</x:v>
      </x:c>
      <x:c r="J55" s="1"/>
      <x:c r="K55" s="1" t="str">
        <x:f>A41</x:f>
        <x:v>2024-10</x:v>
      </x:c>
      <x:c r="L55" s="82" t="n">
        <x:f>G41</x:f>
        <x:v>4249.470000000003</x:v>
      </x:c>
      <x:c r="M55" s="82" t="n">
        <x:f>H41</x:f>
        <x:v>4274.848259939178</x:v>
      </x:c>
      <x:c r="N55" s="82" t="n">
        <x:f>H92</x:f>
        <x:v>4230.232549571089</x:v>
      </x:c>
      <x:c r="O55" s="82" t="n">
        <x:f>I41</x:f>
        <x:v>4182.5123333333295</x:v>
      </x:c>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t="str">
        <x:v>2026-01</x:v>
      </x:c>
      <x:c r="B56" s="98" t="n">
        <x:v>8.216898319573602</x:v>
      </x:c>
      <x:c r="C56" s="98" t="n">
        <x:v>8.229989323260465</x:v>
      </x:c>
      <x:c r="D56" s="98" t="n">
        <x:v>8.240509596157608</x:v>
      </x:c>
      <x:c r="E56" s="98" t="n">
        <x:v>-0.02361127658400619</x:v>
      </x:c>
      <x:c r="F56" s="98" t="n">
        <x:v>-0.010520272897143084</x:v>
      </x:c>
      <x:c r="G56" s="94" t="n">
        <x:v>3702.999032258066</x:v>
      </x:c>
      <x:c r="H56" s="94" t="n">
        <x:v>3751.7936949521672</x:v>
      </x:c>
      <x:c r="I56" s="94" t="n">
        <x:v>3791.471935483873</x:v>
      </x:c>
      <x:c r="J56" s="1"/>
      <x:c r="K56" s="1" t="str">
        <x:f>A42</x:f>
        <x:v>2024-11</x:v>
      </x:c>
      <x:c r="L56" s="82" t="n">
        <x:f>G42</x:f>
        <x:v>4408.652333333335</x:v>
      </x:c>
      <x:c r="M56" s="82" t="n">
        <x:f>H42</x:f>
        <x:v>4359.663509624138</x:v>
      </x:c>
      <x:c r="N56" s="82" t="n">
        <x:f>H93</x:f>
        <x:v>4380.751343917042</x:v>
      </x:c>
      <x:c r="O56" s="82" t="n">
        <x:f>I42</x:f>
        <x:v>4249.470000000003</x:v>
      </x:c>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t="str">
        <x:v>2026-02</x:v>
      </x:c>
      <x:c r="B57" s="98" t="n">
        <x:v>8.209482934803669</x:v>
      </x:c>
      <x:c r="C57" s="98" t="n">
        <x:v>8.203156119630828</x:v>
      </x:c>
      <x:c r="D57" s="98" t="n">
        <x:v>8.216898319573602</x:v>
      </x:c>
      <x:c r="E57" s="98" t="n">
        <x:v>-0.007415384769933198</x:v>
      </x:c>
      <x:c r="F57" s="98" t="n">
        <x:v>-0.013742199942773752</x:v>
      </x:c>
      <x:c r="G57" s="94" t="n">
        <x:v>3675.64142857143</x:v>
      </x:c>
      <x:c r="H57" s="94" t="n">
        <x:v>3652.459735083758</x:v>
      </x:c>
      <x:c r="I57" s="94" t="n">
        <x:v>3702.999032258066</x:v>
      </x:c>
      <x:c r="J57" s="1"/>
      <x:c r="K57" s="1" t="str">
        <x:f>A43</x:f>
        <x:v>2024-12</x:v>
      </x:c>
      <x:c r="L57" s="82" t="n">
        <x:f>G43</x:f>
        <x:v>4385.148709677422</x:v>
      </x:c>
      <x:c r="M57" s="82" t="n">
        <x:f>H43</x:f>
        <x:v>4489.836245786601</x:v>
      </x:c>
      <x:c r="N57" s="82" t="n">
        <x:f>H94</x:f>
        <x:v>4412.419725420918</x:v>
      </x:c>
      <x:c r="O57" s="82" t="n">
        <x:f>I43</x:f>
        <x:v>4408.652333333335</x:v>
      </x:c>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t="str">
        <x:v>2026-03</x:v>
      </x:c>
      <x:c r="B58" s="98" t="n">
        <x:v>8.220822123905636</x:v>
      </x:c>
      <x:c r="C58" s="98" t="n">
        <x:v>8.227873725733454</x:v>
      </x:c>
      <x:c r="D58" s="98" t="n">
        <x:v>8.209482934803669</x:v>
      </x:c>
      <x:c r="E58" s="98" t="n">
        <x:v>0.011339189101967406</x:v>
      </x:c>
      <x:c r="F58" s="98" t="n">
        <x:v>0.018390790929785038</x:v>
      </x:c>
      <x:c r="G58" s="94" t="n">
        <x:v>3717.5574193548405</x:v>
      </x:c>
      <x:c r="H58" s="94" t="n">
        <x:v>3743.8647996222617</x:v>
      </x:c>
      <x:c r="I58" s="94" t="n">
        <x:v>3675.64142857143</x:v>
      </x:c>
      <x:c r="J58" s="1"/>
      <x:c r="K58" s="1" t="str">
        <x:f>A44</x:f>
        <x:v>2025-01</x:v>
      </x:c>
      <x:c r="L58" s="82" t="n">
        <x:f>G44</x:f>
        <x:v>4307.567419354838</x:v>
      </x:c>
      <x:c r="M58" s="82" t="n">
        <x:f>H44</x:f>
        <x:v>4450.3081395311765</x:v>
      </x:c>
      <x:c r="N58" s="82" t="n">
        <x:f>H95</x:f>
        <x:v>4397.595350398937</x:v>
      </x:c>
      <x:c r="O58" s="82" t="n">
        <x:f>I44</x:f>
        <x:v>4385.148709677422</x:v>
      </x:c>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t="str">
        <x:v>2026-04</x:v>
      </x:c>
      <x:c r="B59" s="98" t="n">
        <x:v>8.193543618593685</x:v>
      </x:c>
      <x:c r="C59" s="98" t="n">
        <x:v>8.199560120708655</x:v>
      </x:c>
      <x:c r="D59" s="98" t="n">
        <x:v>8.220822123905636</x:v>
      </x:c>
      <x:c r="E59" s="98" t="n">
        <x:v>-0.027278505311951307</x:v>
      </x:c>
      <x:c r="F59" s="98" t="n">
        <x:v>-0.021262003196981304</x:v>
      </x:c>
      <x:c r="G59" s="94" t="n">
        <x:v>3617.5186666666664</x:v>
      </x:c>
      <x:c r="H59" s="94" t="n">
        <x:v>3639.34908089034</x:v>
      </x:c>
      <x:c r="I59" s="94" t="n">
        <x:v>3717.5574193548405</x:v>
      </x:c>
      <x:c r="J59" s="1"/>
      <x:c r="K59" s="1" t="str">
        <x:f>A45</x:f>
        <x:v>2025-02</x:v>
      </x:c>
      <x:c r="L59" s="82" t="n">
        <x:f>G45</x:f>
        <x:v>4127.95392857143</x:v>
      </x:c>
      <x:c r="M59" s="82" t="n">
        <x:f>H45</x:f>
        <x:v>4281.572746859649</x:v>
      </x:c>
      <x:c r="N59" s="82" t="n">
        <x:f>H96</x:f>
        <x:v>4226.419597998156</x:v>
      </x:c>
      <x:c r="O59" s="82" t="n">
        <x:f>I45</x:f>
        <x:v>4307.567419354838</x:v>
      </x:c>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t="str">
        <x:f>A46</x:f>
        <x:v>2025-03</x:v>
      </x:c>
      <x:c r="L60" s="82" t="n">
        <x:f>G46</x:f>
        <x:v>4137.684516129031</x:v>
      </x:c>
      <x:c r="M60" s="82" t="n">
        <x:f>H46</x:f>
        <x:v>4112.343707224342</x:v>
      </x:c>
      <x:c r="N60" s="82" t="n">
        <x:f>H97</x:f>
        <x:v>4147.466874011838</x:v>
      </x:c>
      <x:c r="O60" s="82" t="n">
        <x:f>I46</x:f>
        <x:v>4127.95392857143</x:v>
      </x:c>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ht="22" customHeight="1">
      <x:c r="A61" s="55" t="str">
        <x:v>Predicciones condicionales del modelo ampliado</x:v>
      </x:c>
      <x:c r="B61" s="55" t="str">
        <x:v>Predicciones condicionales del modelo ampliado</x:v>
      </x:c>
      <x:c r="C61" s="55" t="str">
        <x:v>Predicciones condicionales del modelo ampliado</x:v>
      </x:c>
      <x:c r="D61" s="55" t="str">
        <x:v>Predicciones condicionales del modelo ampliado</x:v>
      </x:c>
      <x:c r="E61" s="55" t="str">
        <x:v>Predicciones condicionales del modelo ampliado</x:v>
      </x:c>
      <x:c r="F61" s="55" t="str">
        <x:v>Predicciones condicionales del modelo ampliado</x:v>
      </x:c>
      <x:c r="G61" s="55" t="str">
        <x:v>Predicciones condicionales del modelo ampliado</x:v>
      </x:c>
      <x:c r="H61" s="55" t="str">
        <x:v>Predicciones condicionales del modelo ampliado</x:v>
      </x:c>
      <x:c r="I61" s="55" t="str">
        <x:v>Predicciones condicionales del modelo ampliado</x:v>
      </x:c>
      <x:c r="J61" s="1"/>
      <x:c r="K61" s="1" t="str">
        <x:f>A47</x:f>
        <x:v>2025-04</x:v>
      </x:c>
      <x:c r="L61" s="82" t="n">
        <x:f>G47</x:f>
        <x:v>4280.2580000000025</x:v>
      </x:c>
      <x:c r="M61" s="82" t="n">
        <x:f>H47</x:f>
        <x:v>4131.059407966447</x:v>
      </x:c>
      <x:c r="N61" s="82" t="n">
        <x:f>H98</x:f>
        <x:v>4205.609284175562</x:v>
      </x:c>
      <x:c r="O61" s="82" t="n">
        <x:f>I47</x:f>
        <x:v>4137.684516129031</x:v>
      </x:c>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62" t="str">
        <x:v>Mes</x:v>
      </x:c>
      <x:c r="B62" s="62" t="str">
        <x:v>ln TRM observada</x:v>
      </x:c>
      <x:c r="C62" s="62" t="str">
        <x:v>ln TRM modelo ampliado</x:v>
      </x:c>
      <x:c r="D62" s="62" t="str">
        <x:v>ln TRM caminata</x:v>
      </x:c>
      <x:c r="E62" s="62" t="str">
        <x:v>Δln observado</x:v>
      </x:c>
      <x:c r="F62" s="62" t="str">
        <x:v>Δln modelo ampliado</x:v>
      </x:c>
      <x:c r="G62" s="62" t="str">
        <x:v>TRM observada</x:v>
      </x:c>
      <x:c r="H62" s="62" t="str">
        <x:v>TRM modelo ampliado</x:v>
      </x:c>
      <x:c r="I62" s="62" t="str">
        <x:v>TRM caminata</x:v>
      </x:c>
      <x:c r="J62" s="1"/>
      <x:c r="K62" s="1" t="str">
        <x:f>A48</x:f>
        <x:v>2025-05</x:v>
      </x:c>
      <x:c r="L62" s="82" t="n">
        <x:f>G48</x:f>
        <x:v>4203.377096774196</x:v>
      </x:c>
      <x:c r="M62" s="82" t="n">
        <x:f>H48</x:f>
        <x:v>4146.282710633574</x:v>
      </x:c>
      <x:c r="N62" s="82" t="n">
        <x:f>H99</x:f>
        <x:v>4148.482017829142</x:v>
      </x:c>
      <x:c r="O62" s="82" t="n">
        <x:f>I48</x:f>
        <x:v>4280.2580000000025</x:v>
      </x:c>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t="str">
        <x:v>2022-05</x:v>
      </x:c>
      <x:c r="B63" s="98" t="n">
        <x:v>8.298808139175573</x:v>
      </x:c>
      <x:c r="C63" s="98" t="n">
        <x:v>8.283970149821407</x:v>
      </x:c>
      <x:c r="D63" s="98" t="n">
        <x:v>8.240907796093667</x:v>
      </x:c>
      <x:c r="E63" s="98" t="n">
        <x:v>0.05790034308190606</x:v>
      </x:c>
      <x:c r="F63" s="98" t="n">
        <x:v>0.04306235372773935</x:v>
      </x:c>
      <x:c r="G63" s="94" t="n">
        <x:v>4019.079354838708</x:v>
      </x:c>
      <x:c r="H63" s="94" t="n">
        <x:v>3959.8845501515525</x:v>
      </x:c>
      <x:c r="I63" s="94" t="n">
        <x:v>3792.9819999999972</x:v>
      </x:c>
      <x:c r="J63" s="1"/>
      <x:c r="K63" s="1" t="str">
        <x:f>A49</x:f>
        <x:v>2025-06</x:v>
      </x:c>
      <x:c r="L63" s="82" t="n">
        <x:f>G49</x:f>
        <x:v>4113.4850000000015</x:v>
      </x:c>
      <x:c r="M63" s="82" t="n">
        <x:f>H49</x:f>
        <x:v>4115.117264436804</x:v>
      </x:c>
      <x:c r="N63" s="82" t="n">
        <x:f>H100</x:f>
        <x:v>4106.540798790526</x:v>
      </x:c>
      <x:c r="O63" s="82" t="n">
        <x:f>I49</x:f>
        <x:v>4203.377096774196</x:v>
      </x:c>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t="str">
        <x:v>2022-06</x:v>
      </x:c>
      <x:c r="B64" s="98" t="n">
        <x:v>8.276589766414325</x:v>
      </x:c>
      <x:c r="C64" s="98" t="n">
        <x:v>8.274073626161067</x:v>
      </x:c>
      <x:c r="D64" s="98" t="n">
        <x:v>8.298808139175573</x:v>
      </x:c>
      <x:c r="E64" s="98" t="n">
        <x:v>-0.022218372761248162</x:v>
      </x:c>
      <x:c r="F64" s="98" t="n">
        <x:v>-0.024734513014505813</x:v>
      </x:c>
      <x:c r="G64" s="94" t="n">
        <x:v>3930.766666666666</x:v>
      </x:c>
      <x:c r="H64" s="94" t="n">
        <x:v>3920.8887387679024</x:v>
      </x:c>
      <x:c r="I64" s="94" t="n">
        <x:v>4019.079354838708</x:v>
      </x:c>
      <x:c r="J64" s="1"/>
      <x:c r="K64" s="1" t="str">
        <x:f>A50</x:f>
        <x:v>2025-07</x:v>
      </x:c>
      <x:c r="L64" s="82" t="n">
        <x:f>G50</x:f>
        <x:v>4040.8483870967743</x:v>
      </x:c>
      <x:c r="M64" s="82" t="n">
        <x:f>H50</x:f>
        <x:v>4074.4288107864295</x:v>
      </x:c>
      <x:c r="N64" s="82" t="n">
        <x:f>H101</x:f>
        <x:v>4079.4197852269403</x:v>
      </x:c>
      <x:c r="O64" s="82" t="n">
        <x:f>I50</x:f>
        <x:v>4113.4850000000015</x:v>
      </x:c>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t="str">
        <x:v>2022-07</x:v>
      </x:c>
      <x:c r="B65" s="98" t="n">
        <x:v>8.382016058206503</x:v>
      </x:c>
      <x:c r="C65" s="98" t="n">
        <x:v>8.331535891378367</x:v>
      </x:c>
      <x:c r="D65" s="98" t="n">
        <x:v>8.276589766414325</x:v>
      </x:c>
      <x:c r="E65" s="98" t="n">
        <x:v>0.10542629179217755</x:v>
      </x:c>
      <x:c r="F65" s="98" t="n">
        <x:v>0.05494612496404202</x:v>
      </x:c>
      <x:c r="G65" s="94" t="n">
        <x:v>4367.805806451614</x:v>
      </x:c>
      <x:c r="H65" s="94" t="n">
        <x:v>4152.7908923604045</x:v>
      </x:c>
      <x:c r="I65" s="94" t="n">
        <x:v>3930.766666666666</x:v>
      </x:c>
      <x:c r="J65" s="1"/>
      <x:c r="K65" s="1" t="str">
        <x:f>A51</x:f>
        <x:v>2025-08</x:v>
      </x:c>
      <x:c r="L65" s="82" t="n">
        <x:f>G51</x:f>
        <x:v>4047.4116129032236</x:v>
      </x:c>
      <x:c r="M65" s="82" t="n">
        <x:f>H51</x:f>
        <x:v>4059.4199433490307</x:v>
      </x:c>
      <x:c r="N65" s="82" t="n">
        <x:f>H102</x:f>
        <x:v>4027.0352736785967</x:v>
      </x:c>
      <x:c r="O65" s="82" t="n">
        <x:f>I51</x:f>
        <x:v>4040.8483870967743</x:v>
      </x:c>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t="str">
        <x:v>2022-08</x:v>
      </x:c>
      <x:c r="B66" s="98" t="n">
        <x:v>8.371582127847805</x:v>
      </x:c>
      <x:c r="C66" s="98" t="n">
        <x:v>8.363880361658378</x:v>
      </x:c>
      <x:c r="D66" s="98" t="n">
        <x:v>8.382016058206503</x:v>
      </x:c>
      <x:c r="E66" s="98" t="n">
        <x:v>-0.010433930358697552</x:v>
      </x:c>
      <x:c r="F66" s="98" t="n">
        <x:v>-0.018135696548125614</x:v>
      </x:c>
      <x:c r="G66" s="94" t="n">
        <x:v>4322.469354838713</x:v>
      </x:c>
      <x:c r="H66" s="94" t="n">
        <x:v>4289.306576416355</x:v>
      </x:c>
      <x:c r="I66" s="94" t="n">
        <x:v>4367.805806451614</x:v>
      </x:c>
      <x:c r="J66" s="1"/>
      <x:c r="K66" s="1" t="str">
        <x:f>A52</x:f>
        <x:v>2025-09</x:v>
      </x:c>
      <x:c r="L66" s="82" t="n">
        <x:f>G52</x:f>
        <x:v>3922.211999999997</x:v>
      </x:c>
      <x:c r="M66" s="82" t="n">
        <x:f>H52</x:f>
        <x:v>4021.2778584672124</x:v>
      </x:c>
      <x:c r="N66" s="82" t="n">
        <x:f>H103</x:f>
        <x:v>3955.3387989431803</x:v>
      </x:c>
      <x:c r="O66" s="82" t="n">
        <x:f>I52</x:f>
        <x:v>4047.4116129032236</x:v>
      </x:c>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t="str">
        <x:v>2022-09</x:v>
      </x:c>
      <x:c r="B67" s="98" t="n">
        <x:v>8.396978677110038</x:v>
      </x:c>
      <x:c r="C67" s="98" t="n">
        <x:v>8.383584538303671</x:v>
      </x:c>
      <x:c r="D67" s="98" t="n">
        <x:v>8.371582127847805</x:v>
      </x:c>
      <x:c r="E67" s="98" t="n">
        <x:v>0.02539654926223278</x:v>
      </x:c>
      <x:c r="F67" s="98" t="n">
        <x:v>0.012002410455865059</x:v>
      </x:c>
      <x:c r="G67" s="94" t="n">
        <x:v>4433.650999999996</x:v>
      </x:c>
      <x:c r="H67" s="94" t="n">
        <x:v>4374.66199842206</x:v>
      </x:c>
      <x:c r="I67" s="94" t="n">
        <x:v>4322.469354838713</x:v>
      </x:c>
      <x:c r="J67" s="1"/>
      <x:c r="K67" s="1" t="str">
        <x:f>A53</x:f>
        <x:v>2025-10</x:v>
      </x:c>
      <x:c r="L67" s="82" t="n">
        <x:f>G53</x:f>
        <x:v>3877.8448387096764</x:v>
      </x:c>
      <x:c r="M67" s="82" t="n">
        <x:f>H53</x:f>
        <x:v>3986.5859201354556</x:v>
      </x:c>
      <x:c r="N67" s="82" t="n">
        <x:f>H104</x:f>
        <x:v>3909.3879045476524</x:v>
      </x:c>
      <x:c r="O67" s="82" t="n">
        <x:f>I53</x:f>
        <x:v>3922.211999999997</x:v>
      </x:c>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t="str">
        <x:v>2022-10</x:v>
      </x:c>
      <x:c r="B68" s="98" t="n">
        <x:v>8.457831715043978</x:v>
      </x:c>
      <x:c r="C68" s="98" t="n">
        <x:v>8.426769883536084</x:v>
      </x:c>
      <x:c r="D68" s="98" t="n">
        <x:v>8.396978677110038</x:v>
      </x:c>
      <x:c r="E68" s="98" t="n">
        <x:v>0.06085303793394026</x:v>
      </x:c>
      <x:c r="F68" s="98" t="n">
        <x:v>0.02979120642604589</x:v>
      </x:c>
      <x:c r="G68" s="94" t="n">
        <x:v>4711.830322580648</x:v>
      </x:c>
      <x:c r="H68" s="94" t="n">
        <x:v>4567.7219643524795</x:v>
      </x:c>
      <x:c r="I68" s="94" t="n">
        <x:v>4433.650999999996</x:v>
      </x:c>
      <x:c r="J68" s="1"/>
      <x:c r="K68" s="1" t="str">
        <x:f>A54</x:f>
        <x:v>2025-11</x:v>
      </x:c>
      <x:c r="L68" s="82" t="n">
        <x:f>G54</x:f>
        <x:v>3786.1833333333366</x:v>
      </x:c>
      <x:c r="M68" s="82" t="n">
        <x:f>H54</x:f>
        <x:v>3914.9617768996327</x:v>
      </x:c>
      <x:c r="N68" s="82" t="n">
        <x:f>H105</x:f>
        <x:v>3820.462117817789</x:v>
      </x:c>
      <x:c r="O68" s="82" t="n">
        <x:f>I54</x:f>
        <x:v>3877.8448387096764</x:v>
      </x:c>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t="str">
        <x:v>2022-11</x:v>
      </x:c>
      <x:c r="B69" s="98" t="n">
        <x:v>8.502416687971365</x:v>
      </x:c>
      <x:c r="C69" s="98" t="n">
        <x:v>8.428253056288058</x:v>
      </x:c>
      <x:c r="D69" s="98" t="n">
        <x:v>8.457831715043978</x:v>
      </x:c>
      <x:c r="E69" s="98" t="n">
        <x:v>0.044584972927387057</x:v>
      </x:c>
      <x:c r="F69" s="98" t="n">
        <x:v>-0.029578658755920195</x:v>
      </x:c>
      <x:c r="G69" s="94" t="n">
        <x:v>4926.660666666665</x:v>
      </x:c>
      <x:c r="H69" s="94" t="n">
        <x:v>4574.5017116339795</x:v>
      </x:c>
      <x:c r="I69" s="94" t="n">
        <x:v>4711.830322580648</x:v>
      </x:c>
      <x:c r="J69" s="1"/>
      <x:c r="K69" s="1" t="str">
        <x:f>A55</x:f>
        <x:v>2025-12</x:v>
      </x:c>
      <x:c r="L69" s="82" t="n">
        <x:f>G55</x:f>
        <x:v>3791.471935483873</x:v>
      </x:c>
      <x:c r="M69" s="82" t="n">
        <x:f>H55</x:f>
        <x:v>3698.5671486715523</x:v>
      </x:c>
      <x:c r="N69" s="82" t="n">
        <x:f>H106</x:f>
        <x:v>3800.508460537214</x:v>
      </x:c>
      <x:c r="O69" s="82" t="n">
        <x:f>I55</x:f>
        <x:v>3786.1833333333366</x:v>
      </x:c>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t="str">
        <x:v>2022-12</x:v>
      </x:c>
      <x:c r="B70" s="98" t="n">
        <x:v>8.473970535354521</x:v>
      </x:c>
      <x:c r="C70" s="98" t="n">
        <x:v>8.479715664762724</x:v>
      </x:c>
      <x:c r="D70" s="98" t="n">
        <x:v>8.502416687971365</x:v>
      </x:c>
      <x:c r="E70" s="98" t="n">
        <x:v>-0.028446152616844245</x:v>
      </x:c>
      <x:c r="F70" s="98" t="n">
        <x:v>-0.02270102320864239</x:v>
      </x:c>
      <x:c r="G70" s="94" t="n">
        <x:v>4788.490645161287</x:v>
      </x:c>
      <x:c r="H70" s="94" t="n">
        <x:v>4816.080320829689</x:v>
      </x:c>
      <x:c r="I70" s="94" t="n">
        <x:v>4926.660666666665</x:v>
      </x:c>
      <x:c r="J70" s="1"/>
      <x:c r="K70" s="1" t="str">
        <x:f>A56</x:f>
        <x:v>2026-01</x:v>
      </x:c>
      <x:c r="L70" s="82" t="n">
        <x:f>G56</x:f>
        <x:v>3702.999032258066</x:v>
      </x:c>
      <x:c r="M70" s="82" t="n">
        <x:f>H56</x:f>
        <x:v>3751.7936949521672</x:v>
      </x:c>
      <x:c r="N70" s="82" t="n">
        <x:f>H107</x:f>
        <x:v>3786.982250917446</x:v>
      </x:c>
      <x:c r="O70" s="82" t="n">
        <x:f>I56</x:f>
        <x:v>3791.471935483873</x:v>
      </x:c>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t="str">
        <x:v>2023-01</x:v>
      </x:c>
      <x:c r="B71" s="98" t="n">
        <x:v>8.458547432938246</x:v>
      </x:c>
      <x:c r="C71" s="98" t="n">
        <x:v>8.450985677134513</x:v>
      </x:c>
      <x:c r="D71" s="98" t="n">
        <x:v>8.473970535354521</x:v>
      </x:c>
      <x:c r="E71" s="98" t="n">
        <x:v>-0.015423102416274759</x:v>
      </x:c>
      <x:c r="F71" s="98" t="n">
        <x:v>-0.022984858220007762</x:v>
      </x:c>
      <x:c r="G71" s="94" t="n">
        <x:v>4715.203870967738</x:v>
      </x:c>
      <x:c r="H71" s="94" t="n">
        <x:v>4679.683119611189</x:v>
      </x:c>
      <x:c r="I71" s="94" t="n">
        <x:v>4788.490645161287</x:v>
      </x:c>
      <x:c r="J71" s="1"/>
      <x:c r="K71" s="1" t="str">
        <x:f>A57</x:f>
        <x:v>2026-02</x:v>
      </x:c>
      <x:c r="L71" s="82" t="n">
        <x:f>G57</x:f>
        <x:v>3675.64142857143</x:v>
      </x:c>
      <x:c r="M71" s="82" t="n">
        <x:f>H57</x:f>
        <x:v>3652.459735083758</x:v>
      </x:c>
      <x:c r="N71" s="82" t="n">
        <x:f>H108</x:f>
        <x:v>3635.09582367286</x:v>
      </x:c>
      <x:c r="O71" s="82" t="n">
        <x:f>I57</x:f>
        <x:v>3702.999032258066</x:v>
      </x:c>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t="str">
        <x:v>2023-02</x:v>
      </x:c>
      <x:c r="B72" s="98" t="n">
        <x:v>8.477019424251225</x:v>
      </x:c>
      <x:c r="C72" s="98" t="n">
        <x:v>8.461211916552928</x:v>
      </x:c>
      <x:c r="D72" s="98" t="n">
        <x:v>8.458547432938246</x:v>
      </x:c>
      <x:c r="E72" s="98" t="n">
        <x:v>0.018471991312978275</x:v>
      </x:c>
      <x:c r="F72" s="98" t="n">
        <x:v>0.002664483614681694</x:v>
      </x:c>
      <x:c r="G72" s="94" t="n">
        <x:v>4803.112499999996</x:v>
      </x:c>
      <x:c r="H72" s="94" t="n">
        <x:v>4727.784207028654</x:v>
      </x:c>
      <x:c r="I72" s="94" t="n">
        <x:v>4715.203870967738</x:v>
      </x:c>
      <x:c r="J72" s="1"/>
      <x:c r="K72" s="1" t="str">
        <x:f>A58</x:f>
        <x:v>2026-03</x:v>
      </x:c>
      <x:c r="L72" s="82" t="n">
        <x:f>G58</x:f>
        <x:v>3717.5574193548405</x:v>
      </x:c>
      <x:c r="M72" s="82" t="n">
        <x:f>H58</x:f>
        <x:v>3743.8647996222617</x:v>
      </x:c>
      <x:c r="N72" s="82" t="n">
        <x:f>H109</x:f>
        <x:v>3819.9656019333293</x:v>
      </x:c>
      <x:c r="O72" s="82" t="n">
        <x:f>I58</x:f>
        <x:v>3675.64142857143</x:v>
      </x:c>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t="str">
        <x:v>2023-03</x:v>
      </x:c>
      <x:c r="B73" s="98" t="n">
        <x:v>8.469326819773904</x:v>
      </x:c>
      <x:c r="C73" s="98" t="n">
        <x:v>8.503571310455078</x:v>
      </x:c>
      <x:c r="D73" s="98" t="n">
        <x:v>8.477019424251225</x:v>
      </x:c>
      <x:c r="E73" s="98" t="n">
        <x:v>-0.007692604477320231</x:v>
      </x:c>
      <x:c r="F73" s="98" t="n">
        <x:v>0.026551886203852106</x:v>
      </x:c>
      <x:c r="G73" s="94" t="n">
        <x:v>4766.3058064516135</x:v>
      </x:c>
      <x:c r="H73" s="94" t="n">
        <x:v>4932.352385102729</x:v>
      </x:c>
      <x:c r="I73" s="94" t="n">
        <x:v>4803.112499999996</x:v>
      </x:c>
      <x:c r="J73" s="1"/>
      <x:c r="K73" s="1" t="str">
        <x:f>A59</x:f>
        <x:v>2026-04</x:v>
      </x:c>
      <x:c r="L73" s="82" t="n">
        <x:f>G59</x:f>
        <x:v>3617.5186666666664</x:v>
      </x:c>
      <x:c r="M73" s="82" t="n">
        <x:f>H59</x:f>
        <x:v>3639.34908089034</x:v>
      </x:c>
      <x:c r="N73" s="82" t="n">
        <x:f>H110</x:f>
        <x:v>3615.1277449897325</x:v>
      </x:c>
      <x:c r="O73" s="82" t="n">
        <x:f>I59</x:f>
        <x:v>3717.5574193548405</x:v>
      </x:c>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t="str">
        <x:v>2023-04</x:v>
      </x:c>
      <x:c r="B74" s="98" t="n">
        <x:v>8.421271177813114</x:v>
      </x:c>
      <x:c r="C74" s="98" t="n">
        <x:v>8.454801665102584</x:v>
      </x:c>
      <x:c r="D74" s="98" t="n">
        <x:v>8.469326819773904</x:v>
      </x:c>
      <x:c r="E74" s="98" t="n">
        <x:v>-0.04805564196079004</x:v>
      </x:c>
      <x:c r="F74" s="98" t="n">
        <x:v>-0.014525154671320453</x:v>
      </x:c>
      <x:c r="G74" s="94" t="n">
        <x:v>4542.674333333336</x:v>
      </x:c>
      <x:c r="H74" s="94" t="n">
        <x:v>4697.574849692112</x:v>
      </x:c>
      <x:c r="I74" s="94" t="n">
        <x:v>4766.3058064516135</x:v>
      </x:c>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t="str">
        <x:v>2023-05</x:v>
      </x:c>
      <x:c r="B75" s="98" t="n">
        <x:v>8.420701901472638</x:v>
      </x:c>
      <x:c r="C75" s="98" t="n">
        <x:v>8.417802571506119</x:v>
      </x:c>
      <x:c r="D75" s="98" t="n">
        <x:v>8.421271177813114</x:v>
      </x:c>
      <x:c r="E75" s="98" t="n">
        <x:v>-0.0005692763404763213</x:v>
      </x:c>
      <x:c r="F75" s="98" t="n">
        <x:v>-0.0034686063069957855</x:v>
      </x:c>
      <x:c r="G75" s="94" t="n">
        <x:v>4540.089032258067</x:v>
      </x:c>
      <x:c r="H75" s="94" t="n">
        <x:v>4526.944879901185</x:v>
      </x:c>
      <x:c r="I75" s="94" t="n">
        <x:v>4542.674333333336</x:v>
      </x:c>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t="str">
        <x:v>2023-06</x:v>
      </x:c>
      <x:c r="B76" s="98" t="n">
        <x:v>8.345044039825018</x:v>
      </x:c>
      <x:c r="C76" s="98" t="n">
        <x:v>8.40982848713123</x:v>
      </x:c>
      <x:c r="D76" s="98" t="n">
        <x:v>8.420701901472638</x:v>
      </x:c>
      <x:c r="E76" s="98" t="n">
        <x:v>-0.07565786164762045</x:v>
      </x:c>
      <x:c r="F76" s="98" t="n">
        <x:v>-0.01087341434140772</x:v>
      </x:c>
      <x:c r="G76" s="94" t="n">
        <x:v>4209.267999999998</x:v>
      </x:c>
      <x:c r="H76" s="94" t="n">
        <x:v>4490.990182880055</x:v>
      </x:c>
      <x:c r="I76" s="94" t="n">
        <x:v>4540.089032258067</x:v>
      </x:c>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t="str">
        <x:v>2023-07</x:v>
      </x:c>
      <x:c r="B77" s="98" t="n">
        <x:v>8.311209943353095</x:v>
      </x:c>
      <x:c r="C77" s="98" t="n">
        <x:v>8.334637213107246</x:v>
      </x:c>
      <x:c r="D77" s="98" t="n">
        <x:v>8.345044039825018</x:v>
      </x:c>
      <x:c r="E77" s="98" t="n">
        <x:v>-0.03383409647192259</x:v>
      </x:c>
      <x:c r="F77" s="98" t="n">
        <x:v>-0.010406826717770813</x:v>
      </x:c>
      <x:c r="G77" s="94" t="n">
        <x:v>4069.2335483870993</x:v>
      </x:c>
      <x:c r="H77" s="94" t="n">
        <x:v>4165.690024831417</x:v>
      </x:c>
      <x:c r="I77" s="94" t="n">
        <x:v>4209.267999999998</x:v>
      </x:c>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t="str">
        <x:v>2023-08</x:v>
      </x:c>
      <x:c r="B78" s="98" t="n">
        <x:v>8.311576434873045</x:v>
      </x:c>
      <x:c r="C78" s="98" t="n">
        <x:v>8.326427536401598</x:v>
      </x:c>
      <x:c r="D78" s="98" t="n">
        <x:v>8.311209943353095</x:v>
      </x:c>
      <x:c r="E78" s="98" t="n">
        <x:v>0.00036649151994971874</x:v>
      </x:c>
      <x:c r="F78" s="98" t="n">
        <x:v>0.015217593048502747</x:v>
      </x:c>
      <x:c r="G78" s="94" t="n">
        <x:v>4070.7251612903224</x:v>
      </x:c>
      <x:c r="H78" s="94" t="n">
        <x:v>4131.631054334199</x:v>
      </x:c>
      <x:c r="I78" s="94" t="n">
        <x:v>4069.2335483870993</x:v>
      </x:c>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t="str">
        <x:v>2023-09</x:v>
      </x:c>
      <x:c r="B79" s="98" t="n">
        <x:v>8.295179168611119</x:v>
      </x:c>
      <x:c r="C79" s="98" t="n">
        <x:v>8.333135188012163</x:v>
      </x:c>
      <x:c r="D79" s="98" t="n">
        <x:v>8.311576434873045</x:v>
      </x:c>
      <x:c r="E79" s="98" t="n">
        <x:v>-0.016397266261925836</x:v>
      </x:c>
      <x:c r="F79" s="98" t="n">
        <x:v>0.0215587531391179</x:v>
      </x:c>
      <x:c r="G79" s="94" t="n">
        <x:v>4004.52066666667</x:v>
      </x:c>
      <x:c r="H79" s="94" t="n">
        <x:v>4159.437750587656</x:v>
      </x:c>
      <x:c r="I79" s="94" t="n">
        <x:v>4070.7251612903224</x:v>
      </x:c>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t="str">
        <x:v>2023-10</x:v>
      </x:c>
      <x:c r="B80" s="98" t="n">
        <x:v>8.348166834656725</x:v>
      </x:c>
      <x:c r="C80" s="98" t="n">
        <x:v>8.332628060795244</x:v>
      </x:c>
      <x:c r="D80" s="98" t="n">
        <x:v>8.295179168611119</x:v>
      </x:c>
      <x:c r="E80" s="98" t="n">
        <x:v>0.05298766604560612</x:v>
      </x:c>
      <x:c r="F80" s="98" t="n">
        <x:v>0.037448892184124984</x:v>
      </x:c>
      <x:c r="G80" s="94" t="n">
        <x:v>4222.433225806451</x:v>
      </x:c>
      <x:c r="H80" s="94" t="n">
        <x:v>4157.328921264823</x:v>
      </x:c>
      <x:c r="I80" s="94" t="n">
        <x:v>4004.52066666667</x:v>
      </x:c>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t="str">
        <x:v>2023-11</x:v>
      </x:c>
      <x:c r="B81" s="98" t="n">
        <x:v>8.303704052588216</x:v>
      </x:c>
      <x:c r="C81" s="98" t="n">
        <x:v>8.332832118231437</x:v>
      </x:c>
      <x:c r="D81" s="98" t="n">
        <x:v>8.348166834656725</x:v>
      </x:c>
      <x:c r="E81" s="98" t="n">
        <x:v>-0.044462782068508844</x:v>
      </x:c>
      <x:c r="F81" s="98" t="n">
        <x:v>-0.01533471642528797</x:v>
      </x:c>
      <x:c r="G81" s="94" t="n">
        <x:v>4038.804666666669</x:v>
      </x:c>
      <x:c r="H81" s="94" t="n">
        <x:v>4158.177341706212</x:v>
      </x:c>
      <x:c r="I81" s="94" t="n">
        <x:v>4222.433225806451</x:v>
      </x:c>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t="str">
        <x:v>2023-12</x:v>
      </x:c>
      <x:c r="B82" s="98" t="n">
        <x:v>8.281016773597672</x:v>
      </x:c>
      <x:c r="C82" s="98" t="n">
        <x:v>8.278711418840507</x:v>
      </x:c>
      <x:c r="D82" s="98" t="n">
        <x:v>8.303704052588216</x:v>
      </x:c>
      <x:c r="E82" s="98" t="n">
        <x:v>-0.022687278990543902</x:v>
      </x:c>
      <x:c r="F82" s="98" t="n">
        <x:v>-0.024992633747710123</x:v>
      </x:c>
      <x:c r="G82" s="94" t="n">
        <x:v>3948.2067741935466</x:v>
      </x:c>
      <x:c r="H82" s="94" t="n">
        <x:v>3939.1152405560806</x:v>
      </x:c>
      <x:c r="I82" s="94" t="n">
        <x:v>4038.804666666669</x:v>
      </x:c>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t="str">
        <x:v>2024-01</x:v>
      </x:c>
      <x:c r="B83" s="98" t="n">
        <x:v>8.272621363120876</x:v>
      </x:c>
      <x:c r="C83" s="98" t="n">
        <x:v>8.283009179534545</x:v>
      </x:c>
      <x:c r="D83" s="98" t="n">
        <x:v>8.281016773597672</x:v>
      </x:c>
      <x:c r="E83" s="98" t="n">
        <x:v>-0.008395410476795817</x:v>
      </x:c>
      <x:c r="F83" s="98" t="n">
        <x:v>0.0019924059368735345</x:v>
      </x:c>
      <x:c r="G83" s="94" t="n">
        <x:v>3915.1987096774164</x:v>
      </x:c>
      <x:c r="H83" s="94" t="n">
        <x:v>3956.081046579114</x:v>
      </x:c>
      <x:c r="I83" s="94" t="n">
        <x:v>3948.2067741935466</x:v>
      </x:c>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t="str">
        <x:v>2024-02</x:v>
      </x:c>
      <x:c r="B84" s="98" t="n">
        <x:v>8.276760699123423</x:v>
      </x:c>
      <x:c r="C84" s="98" t="n">
        <x:v>8.304176420889805</x:v>
      </x:c>
      <x:c r="D84" s="98" t="n">
        <x:v>8.272621363120876</x:v>
      </x:c>
      <x:c r="E84" s="98" t="n">
        <x:v>0.004139336002547012</x:v>
      </x:c>
      <x:c r="F84" s="98" t="n">
        <x:v>0.03155505776892915</x:v>
      </x:c>
      <x:c r="G84" s="94" t="n">
        <x:v>3931.4386206896565</x:v>
      </x:c>
      <x:c r="H84" s="94" t="n">
        <x:v>4040.7129206313703</x:v>
      </x:c>
      <x:c r="I84" s="94" t="n">
        <x:v>3915.1987096774164</x:v>
      </x:c>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t="str">
        <x:v>2024-03</x:v>
      </x:c>
      <x:c r="B85" s="98" t="n">
        <x:v>8.268562917935254</x:v>
      </x:c>
      <x:c r="C85" s="98" t="n">
        <x:v>8.267889399111494</x:v>
      </x:c>
      <x:c r="D85" s="98" t="n">
        <x:v>8.276760699123423</x:v>
      </x:c>
      <x:c r="E85" s="98" t="n">
        <x:v>-0.008197781188169273</x:v>
      </x:c>
      <x:c r="F85" s="98" t="n">
        <x:v>-0.008871300011929584</x:v>
      </x:c>
      <x:c r="G85" s="94" t="n">
        <x:v>3899.3412903225835</x:v>
      </x:c>
      <x:c r="H85" s="94" t="n">
        <x:v>3896.715894789189</x:v>
      </x:c>
      <x:c r="I85" s="94" t="n">
        <x:v>3931.4386206896565</x:v>
      </x:c>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t="str">
        <x:v>2024-04</x:v>
      </x:c>
      <x:c r="B86" s="98" t="n">
        <x:v>8.26048647944151</x:v>
      </x:c>
      <x:c r="C86" s="98" t="n">
        <x:v>8.26898090099661</x:v>
      </x:c>
      <x:c r="D86" s="98" t="n">
        <x:v>8.268562917935254</x:v>
      </x:c>
      <x:c r="E86" s="98" t="n">
        <x:v>-0.00807643849374351</x:v>
      </x:c>
      <x:c r="F86" s="98" t="n">
        <x:v>0.00041798306135482966</x:v>
      </x:c>
      <x:c r="G86" s="94" t="n">
        <x:v>3867.9753333333356</x:v>
      </x:c>
      <x:c r="H86" s="94" t="n">
        <x:v>3900.971489606492</x:v>
      </x:c>
      <x:c r="I86" s="94" t="n">
        <x:v>3899.3412903225835</x:v>
      </x:c>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t="str">
        <x:v>2024-05</x:v>
      </x:c>
      <x:c r="B87" s="98" t="n">
        <x:v>8.260777367585563</x:v>
      </x:c>
      <x:c r="C87" s="98" t="n">
        <x:v>8.273123229670455</x:v>
      </x:c>
      <x:c r="D87" s="98" t="n">
        <x:v>8.26048647944151</x:v>
      </x:c>
      <x:c r="E87" s="98" t="n">
        <x:v>0.00029088814405220376</x:v>
      </x:c>
      <x:c r="F87" s="98" t="n">
        <x:v>0.012636750228944785</x:v>
      </x:c>
      <x:c r="G87" s="94" t="n">
        <x:v>3869.100645161288</x:v>
      </x:c>
      <x:c r="H87" s="94" t="n">
        <x:v>3917.164110087866</x:v>
      </x:c>
      <x:c r="I87" s="94" t="n">
        <x:v>3867.9753333333356</x:v>
      </x:c>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t="str">
        <x:v>2024-06</x:v>
      </x:c>
      <x:c r="B88" s="98" t="n">
        <x:v>8.304692058140274</x:v>
      </x:c>
      <x:c r="C88" s="98" t="n">
        <x:v>8.281512509824625</x:v>
      </x:c>
      <x:c r="D88" s="98" t="n">
        <x:v>8.260777367585563</x:v>
      </x:c>
      <x:c r="E88" s="98" t="n">
        <x:v>0.0439146905547112</x:v>
      </x:c>
      <x:c r="F88" s="98" t="n">
        <x:v>0.02073514223906209</x:v>
      </x:c>
      <x:c r="G88" s="94" t="n">
        <x:v>4042.7970000000014</x:v>
      </x:c>
      <x:c r="H88" s="94" t="n">
        <x:v>3950.164528547797</x:v>
      </x:c>
      <x:c r="I88" s="94" t="n">
        <x:v>3869.100645161288</x:v>
      </x:c>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t="str">
        <x:v>2024-07</x:v>
      </x:c>
      <x:c r="B89" s="98" t="n">
        <x:v>8.30323778340659</x:v>
      </x:c>
      <x:c r="C89" s="98" t="n">
        <x:v>8.31832214146143</x:v>
      </x:c>
      <x:c r="D89" s="98" t="n">
        <x:v>8.304692058140274</x:v>
      </x:c>
      <x:c r="E89" s="98" t="n">
        <x:v>-0.001454274733683647</x:v>
      </x:c>
      <x:c r="F89" s="98" t="n">
        <x:v>0.013630083321155808</x:v>
      </x:c>
      <x:c r="G89" s="94" t="n">
        <x:v>4036.92193548387</x:v>
      </x:c>
      <x:c r="H89" s="94" t="n">
        <x:v>4098.277905713928</x:v>
      </x:c>
      <x:c r="I89" s="94" t="n">
        <x:v>4042.7970000000014</x:v>
      </x:c>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t="str">
        <x:v>2024-08</x:v>
      </x:c>
      <x:c r="B90" s="98" t="n">
        <x:v>8.310303441388276</x:v>
      </x:c>
      <x:c r="C90" s="98" t="n">
        <x:v>8.303604981504572</x:v>
      </x:c>
      <x:c r="D90" s="98" t="n">
        <x:v>8.30323778340659</x:v>
      </x:c>
      <x:c r="E90" s="98" t="n">
        <x:v>0.007065657981685902</x:v>
      </x:c>
      <x:c r="F90" s="98" t="n">
        <x:v>0.00036719809798159593</x:v>
      </x:c>
      <x:c r="G90" s="94" t="n">
        <x:v>4065.546451612903</x:v>
      </x:c>
      <x:c r="H90" s="94" t="n">
        <x:v>4038.4045577316547</x:v>
      </x:c>
      <x:c r="I90" s="94" t="n">
        <x:v>4036.92193548387</x:v>
      </x:c>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t="str">
        <x:v>2024-09</x:v>
      </x:c>
      <x:c r="B91" s="98" t="n">
        <x:v>8.338667381651211</x:v>
      </x:c>
      <x:c r="C91" s="98" t="n">
        <x:v>8.313899906268409</x:v>
      </x:c>
      <x:c r="D91" s="98" t="n">
        <x:v>8.310303441388276</x:v>
      </x:c>
      <x:c r="E91" s="98" t="n">
        <x:v>0.02836394026293476</x:v>
      </x:c>
      <x:c r="F91" s="98" t="n">
        <x:v>0.003596464880132435</x:v>
      </x:c>
      <x:c r="G91" s="94" t="n">
        <x:v>4182.5123333333295</x:v>
      </x:c>
      <x:c r="H91" s="94" t="n">
        <x:v>4080.1943712201983</x:v>
      </x:c>
      <x:c r="I91" s="94" t="n">
        <x:v>4065.546451612903</x:v>
      </x:c>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t="str">
        <x:v>2024-10</x:v>
      </x:c>
      <x:c r="B92" s="98" t="n">
        <x:v>8.354549548259685</x:v>
      </x:c>
      <x:c r="C92" s="98" t="n">
        <x:v>8.350012246787125</x:v>
      </x:c>
      <x:c r="D92" s="98" t="n">
        <x:v>8.338667381651211</x:v>
      </x:c>
      <x:c r="E92" s="98" t="n">
        <x:v>0.01588216660847408</x:v>
      </x:c>
      <x:c r="F92" s="98" t="n">
        <x:v>0.011344865135913873</x:v>
      </x:c>
      <x:c r="G92" s="94" t="n">
        <x:v>4249.470000000003</x:v>
      </x:c>
      <x:c r="H92" s="94" t="n">
        <x:v>4230.232549571089</x:v>
      </x:c>
      <x:c r="I92" s="94" t="n">
        <x:v>4182.5123333333295</x:v>
      </x:c>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t="str">
        <x:v>2024-11</x:v>
      </x:c>
      <x:c r="B93" s="98" t="n">
        <x:v>8.39132432838928</x:v>
      </x:c>
      <x:c r="C93" s="98" t="n">
        <x:v>8.384975528366326</x:v>
      </x:c>
      <x:c r="D93" s="98" t="n">
        <x:v>8.354549548259685</x:v>
      </x:c>
      <x:c r="E93" s="98" t="n">
        <x:v>0.03677478012959412</x:v>
      </x:c>
      <x:c r="F93" s="98" t="n">
        <x:v>0.030425980106640643</x:v>
      </x:c>
      <x:c r="G93" s="94" t="n">
        <x:v>4408.652333333335</x:v>
      </x:c>
      <x:c r="H93" s="94" t="n">
        <x:v>4380.751343917042</x:v>
      </x:c>
      <x:c r="I93" s="94" t="n">
        <x:v>4249.470000000003</x:v>
      </x:c>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t="str">
        <x:v>2024-12</x:v>
      </x:c>
      <x:c r="B94" s="98" t="n">
        <x:v>8.385978817498613</x:v>
      </x:c>
      <x:c r="C94" s="98" t="n">
        <x:v>8.392178508536897</x:v>
      </x:c>
      <x:c r="D94" s="98" t="n">
        <x:v>8.39132432838928</x:v>
      </x:c>
      <x:c r="E94" s="98" t="n">
        <x:v>-0.005345510890666816</x:v>
      </x:c>
      <x:c r="F94" s="98" t="n">
        <x:v>0.0008541801476177444</x:v>
      </x:c>
      <x:c r="G94" s="94" t="n">
        <x:v>4385.148709677422</x:v>
      </x:c>
      <x:c r="H94" s="94" t="n">
        <x:v>4412.419725420918</x:v>
      </x:c>
      <x:c r="I94" s="94" t="n">
        <x:v>4408.652333333335</x:v>
      </x:c>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t="str">
        <x:v>2025-01</x:v>
      </x:c>
      <x:c r="B95" s="98" t="n">
        <x:v>8.368128619899991</x:v>
      </x:c>
      <x:c r="C95" s="98" t="n">
        <x:v>8.388813159241666</x:v>
      </x:c>
      <x:c r="D95" s="98" t="n">
        <x:v>8.385978817498613</x:v>
      </x:c>
      <x:c r="E95" s="98" t="n">
        <x:v>-0.017850197598621165</x:v>
      </x:c>
      <x:c r="F95" s="98" t="n">
        <x:v>0.002834341743053406</x:v>
      </x:c>
      <x:c r="G95" s="94" t="n">
        <x:v>4307.567419354838</x:v>
      </x:c>
      <x:c r="H95" s="94" t="n">
        <x:v>4397.595350398937</x:v>
      </x:c>
      <x:c r="I95" s="94" t="n">
        <x:v>4385.148709677422</x:v>
      </x:c>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t="str">
        <x:v>2025-02</x:v>
      </x:c>
      <x:c r="B96" s="98" t="n">
        <x:v>8.325537146384832</x:v>
      </x:c>
      <x:c r="C96" s="98" t="n">
        <x:v>8.349110482882265</x:v>
      </x:c>
      <x:c r="D96" s="98" t="n">
        <x:v>8.368128619899991</x:v>
      </x:c>
      <x:c r="E96" s="98" t="n">
        <x:v>-0.04259147351515935</x:v>
      </x:c>
      <x:c r="F96" s="98" t="n">
        <x:v>-0.019018137017725766</x:v>
      </x:c>
      <x:c r="G96" s="94" t="n">
        <x:v>4127.95392857143</x:v>
      </x:c>
      <x:c r="H96" s="94" t="n">
        <x:v>4226.419597998156</x:v>
      </x:c>
      <x:c r="I96" s="94" t="n">
        <x:v>4307.567419354838</x:v>
      </x:c>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t="str">
        <x:v>2025-03</x:v>
      </x:c>
      <x:c r="B97" s="98" t="n">
        <x:v>8.327891614734215</x:v>
      </x:c>
      <x:c r="C97" s="98" t="n">
        <x:v>8.33025303505545</x:v>
      </x:c>
      <x:c r="D97" s="98" t="n">
        <x:v>8.325537146384832</x:v>
      </x:c>
      <x:c r="E97" s="98" t="n">
        <x:v>0.002354468349382799</x:v>
      </x:c>
      <x:c r="F97" s="98" t="n">
        <x:v>0.00471588867061683</x:v>
      </x:c>
      <x:c r="G97" s="94" t="n">
        <x:v>4137.684516129031</x:v>
      </x:c>
      <x:c r="H97" s="94" t="n">
        <x:v>4147.466874011838</x:v>
      </x:c>
      <x:c r="I97" s="94" t="n">
        <x:v>4127.95392857143</x:v>
      </x:c>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t="str">
        <x:v>2025-04</x:v>
      </x:c>
      <x:c r="B98" s="98" t="n">
        <x:v>8.361768567132886</x:v>
      </x:c>
      <x:c r="C98" s="98" t="n">
        <x:v>8.34417445707736</x:v>
      </x:c>
      <x:c r="D98" s="98" t="n">
        <x:v>8.327891614734215</x:v>
      </x:c>
      <x:c r="E98" s="98" t="n">
        <x:v>0.03387695239867128</x:v>
      </x:c>
      <x:c r="F98" s="98" t="n">
        <x:v>0.016282842343144074</x:v>
      </x:c>
      <x:c r="G98" s="94" t="n">
        <x:v>4280.2580000000025</x:v>
      </x:c>
      <x:c r="H98" s="94" t="n">
        <x:v>4205.609284175562</x:v>
      </x:c>
      <x:c r="I98" s="94" t="n">
        <x:v>4137.684516129031</x:v>
      </x:c>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t="str">
        <x:v>2025-05</x:v>
      </x:c>
      <x:c r="B99" s="98" t="n">
        <x:v>8.34364355184035</x:v>
      </x:c>
      <x:c r="C99" s="98" t="n">
        <x:v>8.330497767474997</x:v>
      </x:c>
      <x:c r="D99" s="98" t="n">
        <x:v>8.361768567132886</x:v>
      </x:c>
      <x:c r="E99" s="98" t="n">
        <x:v>-0.018125015292536517</x:v>
      </x:c>
      <x:c r="F99" s="98" t="n">
        <x:v>-0.03127079965788985</x:v>
      </x:c>
      <x:c r="G99" s="94" t="n">
        <x:v>4203.377096774196</x:v>
      </x:c>
      <x:c r="H99" s="94" t="n">
        <x:v>4148.482017829142</x:v>
      </x:c>
      <x:c r="I99" s="94" t="n">
        <x:v>4280.2580000000025</x:v>
      </x:c>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t="str">
        <x:v>2025-06</x:v>
      </x:c>
      <x:c r="B100" s="98" t="n">
        <x:v>8.322025880072617</x:v>
      </x:c>
      <x:c r="C100" s="98" t="n">
        <x:v>8.320336298304527</x:v>
      </x:c>
      <x:c r="D100" s="98" t="n">
        <x:v>8.34364355184035</x:v>
      </x:c>
      <x:c r="E100" s="98" t="n">
        <x:v>-0.021617671767732105</x:v>
      </x:c>
      <x:c r="F100" s="98" t="n">
        <x:v>-0.023307253535822636</x:v>
      </x:c>
      <x:c r="G100" s="94" t="n">
        <x:v>4113.4850000000015</x:v>
      </x:c>
      <x:c r="H100" s="94" t="n">
        <x:v>4106.540798790526</x:v>
      </x:c>
      <x:c r="I100" s="94" t="n">
        <x:v>4203.377096774196</x:v>
      </x:c>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t="str">
        <x:v>2025-07</x:v>
      </x:c>
      <x:c r="B101" s="98" t="n">
        <x:v>8.304209945715085</x:v>
      </x:c>
      <x:c r="C101" s="98" t="n">
        <x:v>8.313710047782276</x:v>
      </x:c>
      <x:c r="D101" s="98" t="n">
        <x:v>8.322025880072617</x:v>
      </x:c>
      <x:c r="E101" s="98" t="n">
        <x:v>-0.01781593435753237</x:v>
      </x:c>
      <x:c r="F101" s="98" t="n">
        <x:v>-0.008315832290340762</x:v>
      </x:c>
      <x:c r="G101" s="94" t="n">
        <x:v>4040.8483870967743</x:v>
      </x:c>
      <x:c r="H101" s="94" t="n">
        <x:v>4079.4197852269403</x:v>
      </x:c>
      <x:c r="I101" s="94" t="n">
        <x:v>4113.4850000000015</x:v>
      </x:c>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t="str">
        <x:v>2025-08</x:v>
      </x:c>
      <x:c r="B102" s="98" t="n">
        <x:v>8.305832847858927</x:v>
      </x:c>
      <x:c r="C102" s="98" t="n">
        <x:v>8.300785720107504</x:v>
      </x:c>
      <x:c r="D102" s="98" t="n">
        <x:v>8.304209945715085</x:v>
      </x:c>
      <x:c r="E102" s="98" t="n">
        <x:v>0.0016229021438416424</x:v>
      </x:c>
      <x:c r="F102" s="98" t="n">
        <x:v>-0.0034242256075811914</x:v>
      </x:c>
      <x:c r="G102" s="94" t="n">
        <x:v>4047.4116129032236</x:v>
      </x:c>
      <x:c r="H102" s="94" t="n">
        <x:v>4027.0352736785967</x:v>
      </x:c>
      <x:c r="I102" s="94" t="n">
        <x:v>4040.8483870967743</x:v>
      </x:c>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t="str">
        <x:v>2025-09</x:v>
      </x:c>
      <x:c r="B103" s="98" t="n">
        <x:v>8.274411059349477</x:v>
      </x:c>
      <x:c r="C103" s="98" t="n">
        <x:v>8.282821539982454</x:v>
      </x:c>
      <x:c r="D103" s="98" t="n">
        <x:v>8.305832847858927</x:v>
      </x:c>
      <x:c r="E103" s="98" t="n">
        <x:v>-0.031421788509449655</x:v>
      </x:c>
      <x:c r="F103" s="98" t="n">
        <x:v>-0.023011307876472594</x:v>
      </x:c>
      <x:c r="G103" s="94" t="n">
        <x:v>3922.211999999997</x:v>
      </x:c>
      <x:c r="H103" s="94" t="n">
        <x:v>3955.3387989431803</x:v>
      </x:c>
      <x:c r="I103" s="94" t="n">
        <x:v>4047.4116129032236</x:v>
      </x:c>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t="str">
        <x:v>2025-10</x:v>
      </x:c>
      <x:c r="B104" s="98" t="n">
        <x:v>8.263034824354826</x:v>
      </x:c>
      <x:c r="C104" s="98" t="n">
        <x:v>8.271136094573288</x:v>
      </x:c>
      <x:c r="D104" s="98" t="n">
        <x:v>8.274411059349477</x:v>
      </x:c>
      <x:c r="E104" s="98" t="n">
        <x:v>-0.011376234994651568</x:v>
      </x:c>
      <x:c r="F104" s="98" t="n">
        <x:v>-0.0032749647761890657</x:v>
      </x:c>
      <x:c r="G104" s="94" t="n">
        <x:v>3877.8448387096764</x:v>
      </x:c>
      <x:c r="H104" s="94" t="n">
        <x:v>3909.3879045476524</x:v>
      </x:c>
      <x:c r="I104" s="94" t="n">
        <x:v>3922.211999999997</x:v>
      </x:c>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t="str">
        <x:v>2025-11</x:v>
      </x:c>
      <x:c r="B105" s="98" t="n">
        <x:v>8.239113754615177</x:v>
      </x:c>
      <x:c r="C105" s="98" t="n">
        <x:v>8.248126667534677</x:v>
      </x:c>
      <x:c r="D105" s="98" t="n">
        <x:v>8.263034824354826</x:v>
      </x:c>
      <x:c r="E105" s="98" t="n">
        <x:v>-0.02392106973964836</x:v>
      </x:c>
      <x:c r="F105" s="98" t="n">
        <x:v>-0.014908156820148125</x:v>
      </x:c>
      <x:c r="G105" s="94" t="n">
        <x:v>3786.1833333333366</x:v>
      </x:c>
      <x:c r="H105" s="94" t="n">
        <x:v>3820.462117817789</x:v>
      </x:c>
      <x:c r="I105" s="94" t="n">
        <x:v>3877.8448387096764</x:v>
      </x:c>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t="str">
        <x:v>2025-12</x:v>
      </x:c>
      <x:c r="B106" s="98" t="n">
        <x:v>8.240509596157608</x:v>
      </x:c>
      <x:c r="C106" s="98" t="n">
        <x:v>8.242890142167862</x:v>
      </x:c>
      <x:c r="D106" s="98" t="n">
        <x:v>8.239113754615177</x:v>
      </x:c>
      <x:c r="E106" s="98" t="n">
        <x:v>0.0013958415424308868</x:v>
      </x:c>
      <x:c r="F106" s="98" t="n">
        <x:v>0.0037763875526844026</x:v>
      </x:c>
      <x:c r="G106" s="94" t="n">
        <x:v>3791.471935483873</x:v>
      </x:c>
      <x:c r="H106" s="94" t="n">
        <x:v>3800.508460537214</x:v>
      </x:c>
      <x:c r="I106" s="94" t="n">
        <x:v>3786.1833333333366</x:v>
      </x:c>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t="str">
        <x:v>2026-01</x:v>
      </x:c>
      <x:c r="B107" s="98" t="n">
        <x:v>8.216898319573602</x:v>
      </x:c>
      <x:c r="C107" s="98" t="n">
        <x:v>8.23932474104567</x:v>
      </x:c>
      <x:c r="D107" s="98" t="n">
        <x:v>8.240509596157608</x:v>
      </x:c>
      <x:c r="E107" s="98" t="n">
        <x:v>-0.02361127658400619</x:v>
      </x:c>
      <x:c r="F107" s="98" t="n">
        <x:v>-0.0011848551119384913</x:v>
      </x:c>
      <x:c r="G107" s="94" t="n">
        <x:v>3702.999032258066</x:v>
      </x:c>
      <x:c r="H107" s="94" t="n">
        <x:v>3786.982250917446</x:v>
      </x:c>
      <x:c r="I107" s="94" t="n">
        <x:v>3791.471935483873</x:v>
      </x:c>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t="str">
        <x:v>2026-02</x:v>
      </x:c>
      <x:c r="B108" s="98" t="n">
        <x:v>8.209482934803669</x:v>
      </x:c>
      <x:c r="C108" s="98" t="n">
        <x:v>8.198390751015724</x:v>
      </x:c>
      <x:c r="D108" s="98" t="n">
        <x:v>8.216898319573602</x:v>
      </x:c>
      <x:c r="E108" s="98" t="n">
        <x:v>-0.007415384769933198</x:v>
      </x:c>
      <x:c r="F108" s="98" t="n">
        <x:v>-0.018507568557877763</x:v>
      </x:c>
      <x:c r="G108" s="94" t="n">
        <x:v>3675.64142857143</x:v>
      </x:c>
      <x:c r="H108" s="94" t="n">
        <x:v>3635.09582367286</x:v>
      </x:c>
      <x:c r="I108" s="94" t="n">
        <x:v>3702.999032258066</x:v>
      </x:c>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t="str">
        <x:v>2026-03</x:v>
      </x:c>
      <x:c r="B109" s="98" t="n">
        <x:v>8.220822123905636</x:v>
      </x:c>
      <x:c r="C109" s="98" t="n">
        <x:v>8.247996696830583</x:v>
      </x:c>
      <x:c r="D109" s="98" t="n">
        <x:v>8.209482934803669</x:v>
      </x:c>
      <x:c r="E109" s="98" t="n">
        <x:v>0.011339189101967406</x:v>
      </x:c>
      <x:c r="F109" s="98" t="n">
        <x:v>0.0385137620269136</x:v>
      </x:c>
      <x:c r="G109" s="94" t="n">
        <x:v>3717.5574193548405</x:v>
      </x:c>
      <x:c r="H109" s="94" t="n">
        <x:v>3819.9656019333293</x:v>
      </x:c>
      <x:c r="I109" s="94" t="n">
        <x:v>3675.64142857143</x:v>
      </x:c>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t="str">
        <x:v>2026-04</x:v>
      </x:c>
      <x:c r="B110" s="98" t="n">
        <x:v>8.193543618593685</x:v>
      </x:c>
      <x:c r="C110" s="98" t="n">
        <x:v>8.192882471448382</x:v>
      </x:c>
      <x:c r="D110" s="98" t="n">
        <x:v>8.220822123905636</x:v>
      </x:c>
      <x:c r="E110" s="98" t="n">
        <x:v>-0.027278505311951307</x:v>
      </x:c>
      <x:c r="F110" s="98" t="n">
        <x:v>-0.027939652457253536</x:v>
      </x:c>
      <x:c r="G110" s="94" t="n">
        <x:v>3617.5186666666664</x:v>
      </x:c>
      <x:c r="H110" s="94" t="n">
        <x:v>3615.1277449897325</x:v>
      </x:c>
      <x:c r="I110" s="94" t="n">
        <x:v>3717.5574193548405</x:v>
      </x:c>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R1"/>
    <x:mergeCell ref="A2:R3"/>
    <x:mergeCell ref="A61:I61"/>
  </x:mergeCells>
  <x:pageMargins left="0.7" right="0.7" top="0.75" bottom="0.75" header="0.3" footer="0.3"/>
  <x:drawing xmlns:r="http://schemas.openxmlformats.org/officeDocument/2006/relationships" r:id="Ra93958c4ab7f4615"/>
  <x:tableParts count="3">
    <x:tablePart xmlns:r="http://schemas.openxmlformats.org/officeDocument/2006/relationships" r:id="R60e9489de3b14986"/>
    <x:tablePart xmlns:r="http://schemas.openxmlformats.org/officeDocument/2006/relationships" r:id="R2c574f3379664b3c"/>
    <x:tablePart xmlns:r="http://schemas.openxmlformats.org/officeDocument/2006/relationships" r:id="Rdb75572b3dbd4f96"/>
  </x:tableParts>
</x:worksheet>
</file>

<file path=xl/worksheets/sheet9.xml><?xml version="1.0" encoding="utf-8"?>
<x:worksheet xmlns:x="http://schemas.openxmlformats.org/spreadsheetml/2006/main">
  <x:sheetViews>
    <x:sheetView showGridLines="0" workbookViewId="0"/>
  </x:sheetViews>
  <x:sheetFormatPr defaultRowHeight="15"/>
  <x:cols>
    <x:col min="1" max="1" width="38" hidden="0" customWidth="1"/>
    <x:col min="2" max="2" width="22" hidden="0" customWidth="1"/>
    <x:col min="3" max="3" width="25" hidden="0" customWidth="1"/>
    <x:col min="4" max="4" width="25" hidden="0" customWidth="1"/>
    <x:col min="5" max="5" width="16" hidden="0" customWidth="1"/>
    <x:col min="6" max="6" width="30"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3" hidden="0" customWidth="1"/>
    <x:col min="14" max="14" width="25" hidden="0" customWidth="1"/>
    <x:col min="15" max="15" width="16" hidden="0" customWidth="1"/>
    <x:col min="16" max="16" width="16" hidden="0" customWidth="1"/>
  </x:cols>
  <x:sheetData>
    <x:row r="1" ht="30" customHeight="1">
      <x:c r="A1" s="4" t="str">
        <x:v>Pronóstico mensual con rezagos de publicación</x:v>
      </x:c>
      <x:c r="B1" s="4" t="str">
        <x:v>Pronóstico mensual con rezagos de publicación</x:v>
      </x:c>
      <x:c r="C1" s="4" t="str">
        <x:v>Pronóstico mensual con rezagos de publicación</x:v>
      </x:c>
      <x:c r="D1" s="4" t="str">
        <x:v>Pronóstico mensual con rezagos de publicación</x:v>
      </x:c>
      <x:c r="E1" s="4" t="str">
        <x:v>Pronóstico mensual con rezagos de publicación</x:v>
      </x:c>
      <x:c r="F1" s="4" t="str">
        <x:v>Pronóstico mensual con rezagos de publicación</x:v>
      </x:c>
      <x:c r="G1" s="4" t="str">
        <x:v>Pronóstico mensual con rezagos de publicación</x:v>
      </x:c>
      <x:c r="H1" s="4" t="str">
        <x:v>Pronóstico mensual con rezagos de publicación</x:v>
      </x:c>
      <x:c r="I1" s="4" t="str">
        <x:v>Pronóstico mensual con rezagos de publicación</x:v>
      </x:c>
      <x:c r="J1" s="4" t="str">
        <x:v>Pronóstico mensual con rezagos de publicación</x:v>
      </x:c>
      <x:c r="K1" s="4" t="str">
        <x:v>Pronóstico mensual con rezagos de publicación</x:v>
      </x:c>
      <x:c r="L1" s="4" t="str">
        <x:v>Pronóstico mensual con rezagos de publicación</x:v>
      </x:c>
      <x:c r="M1" s="4" t="str">
        <x:v>Pronóstico mensual con rezagos de publicación</x:v>
      </x:c>
      <x:c r="N1" s="4" t="str">
        <x:v>Pronóstico mensual con rezagos de publicación</x:v>
      </x:c>
      <x:c r="O1" s="4" t="str">
        <x:v>Pronóstico mensual con rezagos de publicación</x:v>
      </x:c>
      <x:c r="P1" s="4" t="str">
        <x:v>Pronóstico mensual con rezagos de publicación</x:v>
      </x:c>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B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C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D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E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F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G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H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I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J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K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L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M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N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O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P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B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C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D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E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F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G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H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I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J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K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L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M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N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O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P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55" t="str">
        <x:v>Desempeño en la ventana expansiva de 48 meses</x:v>
      </x:c>
      <x:c r="B5" s="55" t="str">
        <x:v>Desempeño en la ventana expansiva de 48 meses</x:v>
      </x:c>
      <x:c r="C5" s="55" t="str">
        <x:v>Desempeño en la ventana expansiva de 48 meses</x:v>
      </x:c>
      <x:c r="D5" s="55" t="str">
        <x:v>Desempeño en la ventana expansiva de 48 meses</x:v>
      </x:c>
      <x:c r="E5" s="55" t="str">
        <x:v>Desempeño en la ventana expansiva de 48 meses</x:v>
      </x:c>
      <x:c r="F5" s="55" t="str">
        <x:v>Desempeño en la ventana expansiva de 48 meses</x:v>
      </x:c>
      <x:c r="G5" s="1"/>
      <x:c r="H5" s="55" t="str">
        <x:v>Lectura de desempeño</x:v>
      </x:c>
      <x:c r="I5" s="55" t="str">
        <x:v>Lectura de desempeño</x:v>
      </x:c>
      <x:c r="J5" s="55" t="str">
        <x:v>Lectura de desempeño</x:v>
      </x:c>
      <x:c r="K5" s="55" t="str">
        <x:v>Lectura de desempeño</x:v>
      </x:c>
      <x:c r="L5" s="55" t="str">
        <x:v>Lectura de desempeño</x:v>
      </x:c>
      <x:c r="M5" s="55" t="str">
        <x:v>Lectura de desempeño</x:v>
      </x:c>
      <x:c r="N5" s="55" t="str">
        <x:v>Lectura de desempeño</x:v>
      </x:c>
      <x:c r="O5" s="55" t="str">
        <x:v>Lectura de desempeño</x:v>
      </x:c>
      <x:c r="P5" s="55" t="str">
        <x:v>Lectura de desempeño</x:v>
      </x:c>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2" t="str">
        <x:v>Modelo</x:v>
      </x:c>
      <x:c r="B6" s="62" t="str">
        <x:v>Observaciones</x:v>
      </x:c>
      <x:c r="C6" s="62" t="str">
        <x:v>MAE (log)</x:v>
      </x:c>
      <x:c r="D6" s="62" t="str">
        <x:v>RMSE (log)</x:v>
      </x:c>
      <x:c r="E6" s="62" t="str">
        <x:v>MAPE</x:v>
      </x:c>
      <x:c r="F6" s="62" t="str">
        <x:v>Acierto dirección</x:v>
      </x:c>
      <x:c r="G6" s="1"/>
      <x:c r="H6" s="62" t="str">
        <x:v>Indicador</x:v>
      </x:c>
      <x:c r="I6" s="62"/>
      <x:c r="J6" s="62" t="str">
        <x:v>Valor</x:v>
      </x:c>
      <x:c r="K6" s="62"/>
      <x:c r="L6" s="62" t="str">
        <x:v>Lectura</x:v>
      </x:c>
      <x:c r="M6" s="62"/>
      <x:c r="N6" s="62"/>
      <x:c r="O6" s="62"/>
      <x:c r="P6" s="62"/>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4" customHeight="1">
      <x:c r="A7" s="37" t="str">
        <x:v>Pronóstico con rezagos de publicación</x:v>
      </x:c>
      <x:c r="B7" s="37" t="n">
        <x:v>48</x:v>
      </x:c>
      <x:c r="C7" s="125" t="n">
        <x:v>0.026373574127845023</x:v>
      </x:c>
      <x:c r="D7" s="125" t="n">
        <x:v>0.034020636052328586</x:v>
      </x:c>
      <x:c r="E7" s="117" t="n">
        <x:v>0.026260286905604783</x:v>
      </x:c>
      <x:c r="F7" s="117" t="n">
        <x:v>0.47916666666666674</x:v>
      </x:c>
      <x:c r="G7" s="1"/>
      <x:c r="H7" s="67" t="str">
        <x:v>Composición regional</x:v>
      </x:c>
      <x:c r="I7" s="67"/>
      <x:c r="J7" s="67" t="str">
        <x:v>BRL, CLP y MXN</x:v>
      </x:c>
      <x:c r="K7" s="67"/>
      <x:c r="L7" s="67" t="str">
        <x:v>Seleccionada por menor BIC; PEN no mejora BIC ni MAPE del pronóstico.</x:v>
      </x:c>
      <x:c r="M7" s="67"/>
      <x:c r="N7" s="67"/>
      <x:c r="O7" s="67"/>
      <x:c r="P7" s="67"/>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4" customHeight="1">
      <x:c r="A8" s="1" t="str">
        <x:v>Caminata aleatoria</x:v>
      </x:c>
      <x:c r="B8" s="1" t="n">
        <x:v>48</x:v>
      </x:c>
      <x:c r="C8" s="63" t="n">
        <x:v>0.024028760243602603</x:v>
      </x:c>
      <x:c r="D8" s="63" t="n">
        <x:v>0.03221545509726062</x:v>
      </x:c>
      <x:c r="E8" s="79" t="n">
        <x:v>0.02394031003568149</x:v>
      </x:c>
      <x:c r="F8" s="79"/>
      <x:c r="G8" s="1"/>
      <x:c r="H8" s="67" t="str">
        <x:v>MAPE</x:v>
      </x:c>
      <x:c r="I8" s="67"/>
      <x:c r="J8" s="107" t="n">
        <x:v>0.026260286905604783</x:v>
      </x:c>
      <x:c r="K8" s="107"/>
      <x:c r="L8" s="67" t="str">
        <x:v>La caminata obtiene 2.39%; el pronóstico no la mejora.</x:v>
      </x:c>
      <x:c r="M8" s="67"/>
      <x:c r="N8" s="67"/>
      <x:c r="O8" s="67"/>
      <x:c r="P8" s="67"/>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4" customHeight="1">
      <x:c r="A9" s="1"/>
      <x:c r="B9" s="1"/>
      <x:c r="C9" s="1"/>
      <x:c r="D9" s="1"/>
      <x:c r="E9" s="1"/>
      <x:c r="F9" s="1"/>
      <x:c r="G9" s="1"/>
      <x:c r="H9" s="67" t="str">
        <x:v>R² frente a caminata</x:v>
      </x:c>
      <x:c r="I9" s="67"/>
      <x:c r="J9" s="107" t="n">
        <x:v>-0.11520912982097209</x:v>
      </x:c>
      <x:c r="K9" s="107"/>
      <x:c r="L9" s="67" t="str">
        <x:v>Un valor negativo indica mayor error cuadrático que la caminata aleatoria.</x:v>
      </x:c>
      <x:c r="M9" s="67"/>
      <x:c r="N9" s="67"/>
      <x:c r="O9" s="67"/>
      <x:c r="P9" s="67"/>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4" customHeight="1">
      <x:c r="A10" s="1"/>
      <x:c r="B10" s="1"/>
      <x:c r="C10" s="1"/>
      <x:c r="D10" s="1"/>
      <x:c r="E10" s="1"/>
      <x:c r="F10" s="1"/>
      <x:c r="G10" s="1"/>
      <x:c r="H10" s="67" t="str">
        <x:v>Estado del backtest</x:v>
      </x:c>
      <x:c r="I10" s="67"/>
      <x:c r="J10" s="67" t="str">
        <x:v>Pseudo-tiempo-real</x:v>
      </x:c>
      <x:c r="K10" s="67"/>
      <x:c r="L10" s="67" t="str">
        <x:v>Respeta rezagos de publicación, pero usa el último vintage disponible.</x:v>
      </x:c>
      <x:c r="M10" s="67"/>
      <x:c r="N10" s="67"/>
      <x:c r="O10" s="67"/>
      <x:c r="P10" s="67"/>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4" customHeight="1">
      <x:c r="A11" s="1"/>
      <x:c r="B11" s="1"/>
      <x:c r="C11" s="1"/>
      <x:c r="D11" s="1"/>
      <x:c r="E11" s="1"/>
      <x:c r="F11" s="1"/>
      <x:c r="G11" s="1"/>
      <x:c r="H11" s="67" t="str">
        <x:v>Conclusión</x:v>
      </x:c>
      <x:c r="I11" s="67"/>
      <x:c r="J11" s="67" t="str">
        <x:v>Benchmark honesto</x:v>
      </x:c>
      <x:c r="K11" s="67"/>
      <x:c r="L11" s="67" t="str">
        <x:v>La explicación histórica mejora con PEN; la precisión ex ante sigue siendo limitada.</x:v>
      </x:c>
      <x:c r="M11" s="67"/>
      <x:c r="N11" s="67"/>
      <x:c r="O11" s="67"/>
      <x:c r="P11" s="67"/>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22" customHeight="1">
      <x:c r="A12" s="55" t="str">
        <x:v>Comparación del factor regional: tres frente a cuatro monedas</x:v>
      </x:c>
      <x:c r="B12" s="55" t="str">
        <x:v>Comparación del factor regional: tres frente a cuatro monedas</x:v>
      </x:c>
      <x:c r="C12" s="55" t="str">
        <x:v>Comparación del factor regional: tres frente a cuatro monedas</x:v>
      </x:c>
      <x:c r="D12" s="55" t="str">
        <x:v>Comparación del factor regional: tres frente a cuatro monedas</x:v>
      </x:c>
      <x:c r="E12" s="55" t="str">
        <x:v>Comparación del factor regional: tres frente a cuatro monedas</x:v>
      </x:c>
      <x:c r="F12" s="55" t="str">
        <x:v>Comparación del factor regional: tres frente a cuatro monedas</x:v>
      </x:c>
      <x:c r="G12" s="55" t="str">
        <x:v>Comparación del factor regional: tres frente a cuatro monedas</x:v>
      </x:c>
      <x:c r="H12" s="55" t="str">
        <x:v>Comparación del factor regional: tres frente a cuatro monedas</x:v>
      </x:c>
      <x:c r="I12" s="55" t="str">
        <x:v>Comparación del factor regional: tres frente a cuatro monedas</x:v>
      </x:c>
      <x:c r="J12" s="55" t="str">
        <x:v>Comparación del factor regional: tres frente a cuatro monedas</x:v>
      </x:c>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62" t="str">
        <x:v>Uso</x:v>
      </x:c>
      <x:c r="B13" s="62" t="str">
        <x:v>Monedas</x:v>
      </x:c>
      <x:c r="C13" s="62" t="str">
        <x:v>R² ajustado</x:v>
      </x:c>
      <x:c r="D13" s="62" t="str">
        <x:v>BIC</x:v>
      </x:c>
      <x:c r="E13" s="62" t="str">
        <x:v>MAPE</x:v>
      </x:c>
      <x:c r="F13" s="62" t="str">
        <x:v>Dirección</x:v>
      </x:c>
      <x:c r="G13" s="62" t="str">
        <x:v>R² vs. caminata</x:v>
      </x:c>
      <x:c r="H13" s="62" t="str">
        <x:v>Coef. regional</x:v>
      </x:c>
      <x:c r="I13" s="62" t="str">
        <x:v>p-valor HAC</x:v>
      </x:c>
      <x:c r="J13" s="62" t="str">
        <x:v>Correlación 3–4</x:v>
      </x:c>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34" customHeight="1">
      <x:c r="A14" s="1" t="str">
        <x:v>Explicación histórica</x:v>
      </x:c>
      <x:c r="B14" s="1" t="str">
        <x:v>BRL, CLP y MXN</x:v>
      </x:c>
      <x:c r="C14" s="79" t="n">
        <x:v>0.5592417217836794</x:v>
      </x:c>
      <x:c r="D14" s="80" t="n">
        <x:v>-1088.910771385643</x:v>
      </x:c>
      <x:c r="E14" s="79" t="n">
        <x:v>0.018015099399658622</x:v>
      </x:c>
      <x:c r="F14" s="79" t="n">
        <x:v>0.75</x:v>
      </x:c>
      <x:c r="G14" s="79" t="n">
        <x:v>0.4399113647389574</x:v>
      </x:c>
      <x:c r="H14" s="63" t="n">
        <x:v>0.0113382690728682</x:v>
      </x:c>
      <x:c r="I14" s="63" t="n">
        <x:v>0.005536043985398605</x:v>
      </x:c>
      <x:c r="J14" s="63" t="n">
        <x:v>0.9581117028398654</x:v>
      </x:c>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34" customHeight="1">
      <x:c r="A15" s="1" t="str">
        <x:v>Explicación histórica</x:v>
      </x:c>
      <x:c r="B15" s="1" t="str">
        <x:v>BRL, CLP, MXN y PEN</x:v>
      </x:c>
      <x:c r="C15" s="79" t="n">
        <x:v>0.581395953543143</x:v>
      </x:c>
      <x:c r="D15" s="80" t="n">
        <x:v>-1101.2878417711365</x:v>
      </x:c>
      <x:c r="E15" s="79" t="n">
        <x:v>0.01691434493778879</x:v>
      </x:c>
      <x:c r="F15" s="79" t="n">
        <x:v>0.8125</x:v>
      </x:c>
      <x:c r="G15" s="79" t="n">
        <x:v>0.48989363315636414</x:v>
      </x:c>
      <x:c r="H15" s="63" t="n">
        <x:v>0.016209169118454582</x:v>
      </x:c>
      <x:c r="I15" s="63" t="n">
        <x:v>0.000009233517626858688</x:v>
      </x:c>
      <x:c r="J15" s="63" t="n">
        <x:v>0.9581117028398654</x:v>
      </x:c>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34" customHeight="1">
      <x:c r="A16" s="1" t="str">
        <x:v>Pronóstico con rezagos de publicación</x:v>
      </x:c>
      <x:c r="B16" s="1" t="str">
        <x:v>BRL, CLP y MXN</x:v>
      </x:c>
      <x:c r="C16" s="79" t="n">
        <x:v>0.10421666090633763</x:v>
      </x:c>
      <x:c r="D16" s="80" t="n">
        <x:v>-914.285962605183</x:v>
      </x:c>
      <x:c r="E16" s="79" t="n">
        <x:v>0.026260286905604783</x:v>
      </x:c>
      <x:c r="F16" s="79" t="n">
        <x:v>0.47916666666666674</x:v>
      </x:c>
      <x:c r="G16" s="79" t="n">
        <x:v>-0.11520912982097209</x:v>
      </x:c>
      <x:c r="H16" s="63" t="n">
        <x:v>-0.00653890109712853</x:v>
      </x:c>
      <x:c r="I16" s="63" t="n">
        <x:v>0.1639675551068194</x:v>
      </x:c>
      <x:c r="J16" s="63" t="n">
        <x:v>0.9581117028398654</x:v>
      </x:c>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34" customHeight="1">
      <x:c r="A17" s="1" t="str">
        <x:v>Pronóstico con rezagos de publicación</x:v>
      </x:c>
      <x:c r="B17" s="1" t="str">
        <x:v>BRL, CLP, MXN y PEN</x:v>
      </x:c>
      <x:c r="C17" s="79" t="n">
        <x:v>0.09680329467744309</x:v>
      </x:c>
      <x:c r="D17" s="80" t="n">
        <x:v>-912.3079329190658</x:v>
      </x:c>
      <x:c r="E17" s="79" t="n">
        <x:v>0.02674058577627205</x:v>
      </x:c>
      <x:c r="F17" s="79" t="n">
        <x:v>0.5416666666666666</x:v>
      </x:c>
      <x:c r="G17" s="79" t="n">
        <x:v>-0.15612101458884897</x:v>
      </x:c>
      <x:c r="H17" s="63" t="n">
        <x:v>0.00009621732142083494</x:v>
      </x:c>
      <x:c r="I17" s="63" t="n">
        <x:v>0.9832176089410133</x:v>
      </x:c>
      <x:c r="J17" s="63" t="n">
        <x:v>0.9581117028398654</x:v>
      </x:c>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ht="22" customHeight="1">
      <x:c r="A19" s="55" t="str">
        <x:v>Calendario conservador de disponibilidad al inicio del mes t</x:v>
      </x:c>
      <x:c r="B19" s="55" t="str">
        <x:v>Calendario conservador de disponibilidad al inicio del mes t</x:v>
      </x:c>
      <x:c r="C19" s="55" t="str">
        <x:v>Calendario conservador de disponibilidad al inicio del mes t</x:v>
      </x:c>
      <x:c r="D19" s="55" t="str">
        <x:v>Calendario conservador de disponibilidad al inicio del mes t</x:v>
      </x:c>
      <x:c r="E19" s="1"/>
      <x:c r="F19" s="55" t="str">
        <x:v>Coeficientes del modelo de pronóstico seleccionado</x:v>
      </x:c>
      <x:c r="G19" s="55" t="str">
        <x:v>Coeficientes del modelo de pronóstico seleccionado</x:v>
      </x:c>
      <x:c r="H19" s="55" t="str">
        <x:v>Coeficientes del modelo de pronóstico seleccionado</x:v>
      </x:c>
      <x:c r="I19" s="55" t="str">
        <x:v>Coeficientes del modelo de pronóstico seleccionado</x:v>
      </x:c>
      <x:c r="J19" s="55" t="str">
        <x:v>Coeficientes del modelo de pronóstico seleccionado</x:v>
      </x:c>
      <x:c r="K19" s="55" t="str">
        <x:v>Coeficientes del modelo de pronóstico seleccionado</x:v>
      </x:c>
      <x:c r="L19" s="55" t="str">
        <x:v>Coeficientes del modelo de pronóstico seleccionado</x:v>
      </x:c>
      <x:c r="M19" s="1"/>
      <x:c r="N19" s="55" t="str">
        <x:v>Diagnósticos</x:v>
      </x:c>
      <x:c r="O19" s="55" t="str">
        <x:v>Diagnósticos</x:v>
      </x:c>
      <x:c r="P19" s="55" t="str">
        <x:v>Diagnósticos</x:v>
      </x:c>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62" t="str">
        <x:v>Factor</x:v>
      </x:c>
      <x:c r="B20" s="62" t="str">
        <x:v>Rezago (meses)</x:v>
      </x:c>
      <x:c r="C20" s="62" t="str">
        <x:v>Frecuencia/publicación</x:v>
      </x:c>
      <x:c r="D20" s="62" t="str">
        <x:v>Regla utilizada</x:v>
      </x:c>
      <x:c r="E20" s="1"/>
      <x:c r="F20" s="62" t="str">
        <x:v>Variable</x:v>
      </x:c>
      <x:c r="G20" s="62" t="str">
        <x:v>Coeficiente</x:v>
      </x:c>
      <x:c r="H20" s="62" t="str">
        <x:v>EE HAC</x:v>
      </x:c>
      <x:c r="I20" s="62" t="str">
        <x:v>t</x:v>
      </x:c>
      <x:c r="J20" s="62" t="str">
        <x:v>p-valor</x:v>
      </x:c>
      <x:c r="K20" s="62" t="str">
        <x:v>IC 95% inferior</x:v>
      </x:c>
      <x:c r="L20" s="62" t="str">
        <x:v>IC 95% superior</x:v>
      </x:c>
      <x:c r="M20" s="1"/>
      <x:c r="N20" s="62" t="str">
        <x:v>Prueba</x:v>
      </x:c>
      <x:c r="O20" s="62" t="str">
        <x:v>Estadístico</x:v>
      </x:c>
      <x:c r="P20" s="62" t="str">
        <x:v>p-valor</x:v>
      </x:c>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ht="34" customHeight="1">
      <x:c r="A21" s="64" t="str">
        <x:v>Términos de intercambio</x:v>
      </x:c>
      <x:c r="B21" s="64" t="n">
        <x:v>3</x:v>
      </x:c>
      <x:c r="C21" s="64" t="str">
        <x:v>Mensual; publicación aproximada t+2</x:v>
      </x:c>
      <x:c r="D21" s="64" t="str">
        <x:v>Último cambio utilizable al inicio de t: t-3</x:v>
      </x:c>
      <x:c r="E21" s="1"/>
      <x:c r="F21" s="1" t="str">
        <x:v>Intercepto</x:v>
      </x:c>
      <x:c r="G21" s="98" t="n">
        <x:v>0.006761675935872796</x:v>
      </x:c>
      <x:c r="H21" s="98" t="n">
        <x:v>0.007115529567411614</x:v>
      </x:c>
      <x:c r="I21" s="98" t="n">
        <x:v>0.9502702324280359</x:v>
      </x:c>
      <x:c r="J21" s="98" t="n">
        <x:v>0.3429945688725185</x:v>
      </x:c>
      <x:c r="K21" s="98" t="n">
        <x:v>-0.007259926132213769</x:v>
      </x:c>
      <x:c r="L21" s="98" t="n">
        <x:v>0.020783278003959363</x:v>
      </x:c>
      <x:c r="M21" s="1"/>
      <x:c r="N21" s="1" t="str">
        <x:v>Ljung-Box (6)</x:v>
      </x:c>
      <x:c r="O21" s="63" t="n">
        <x:v>6.605361099352953</x:v>
      </x:c>
      <x:c r="P21" s="63" t="n">
        <x:v>0.3588884188759784</x:v>
      </x:c>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ht="34" customHeight="1">
      <x:c r="A22" s="64" t="str">
        <x:v>Remesas</x:v>
      </x:c>
      <x:c r="B22" s="64" t="n">
        <x:v>2</x:v>
      </x:c>
      <x:c r="C22" s="64" t="str">
        <x:v>Mensual; publicación posterior al mes de referencia</x:v>
      </x:c>
      <x:c r="D22" s="64" t="str">
        <x:v>Supuesto conservador: t-2</x:v>
      </x:c>
      <x:c r="E22" s="1"/>
      <x:c r="F22" s="1" t="str">
        <x:v>Δ ln trm (t−1)</x:v>
      </x:c>
      <x:c r="G22" s="98" t="n">
        <x:v>0.31876269595262524</x:v>
      </x:c>
      <x:c r="H22" s="98" t="n">
        <x:v>0.10067758895239352</x:v>
      </x:c>
      <x:c r="I22" s="98" t="n">
        <x:v>3.1661733189037293</x:v>
      </x:c>
      <x:c r="J22" s="98" t="n">
        <x:v>0.0017583966265155117</x:v>
      </x:c>
      <x:c r="K22" s="98" t="n">
        <x:v>0.12037112494010199</x:v>
      </x:c>
      <x:c r="L22" s="98" t="n">
        <x:v>0.5171542669651485</x:v>
      </x:c>
      <x:c r="M22" s="1"/>
      <x:c r="N22" s="1" t="str">
        <x:v>Ljung-Box (12)</x:v>
      </x:c>
      <x:c r="O22" s="63" t="n">
        <x:v>15.23131229838401</x:v>
      </x:c>
      <x:c r="P22" s="63" t="n">
        <x:v>0.22902975814463616</x:v>
      </x:c>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ht="34" customHeight="1">
      <x:c r="A23" s="64" t="str">
        <x:v>Diferencial de tasas</x:v>
      </x:c>
      <x:c r="B23" s="64" t="n">
        <x:v>1</x:v>
      </x:c>
      <x:c r="C23" s="64" t="str">
        <x:v>Tasas observables durante el mes</x:v>
      </x:c>
      <x:c r="D23" s="64" t="str">
        <x:v>Promedios completos conocidos para t-1</x:v>
      </x:c>
      <x:c r="E23" s="1"/>
      <x:c r="F23" s="1" t="str">
        <x:v>Δ ln terminos intercambio (t−3)</x:v>
      </x:c>
      <x:c r="G23" s="98" t="n">
        <x:v>0.027421833775299984</x:v>
      </x:c>
      <x:c r="H23" s="98" t="n">
        <x:v>0.05626483636013095</x:v>
      </x:c>
      <x:c r="I23" s="98" t="n">
        <x:v>0.48737071942736493</x:v>
      </x:c>
      <x:c r="J23" s="98" t="n">
        <x:v>0.6264701409574532</x:v>
      </x:c>
      <x:c r="K23" s="98" t="n">
        <x:v>-0.08345159291678353</x:v>
      </x:c>
      <x:c r="L23" s="98" t="n">
        <x:v>0.1382952604673835</x:v>
      </x:c>
      <x:c r="M23" s="1"/>
      <x:c r="N23" s="1" t="str">
        <x:v>Breusch-Godfrey (12)</x:v>
      </x:c>
      <x:c r="O23" s="63" t="n">
        <x:v>13.525938946996643</x:v>
      </x:c>
      <x:c r="P23" s="63" t="n">
        <x:v>0.3319987079013825</x:v>
      </x:c>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34" customHeight="1">
      <x:c r="A24" s="64" t="str">
        <x:v>Déficit fiscal</x:v>
      </x:c>
      <x:c r="B24" s="64" t="n">
        <x:v>3</x:v>
      </x:c>
      <x:c r="C24" s="64" t="str">
        <x:v>Mensual con rezago y posibles revisiones</x:v>
      </x:c>
      <x:c r="D24" s="64" t="str">
        <x:v>Supuesto conservador: t-3</x:v>
      </x:c>
      <x:c r="E24" s="1"/>
      <x:c r="F24" s="1" t="str">
        <x:v>Δ ln remesas 12m (t−2)</x:v>
      </x:c>
      <x:c r="G24" s="98" t="n">
        <x:v>-0.19248785106569324</x:v>
      </x:c>
      <x:c r="H24" s="98" t="n">
        <x:v>0.1462344021444682</x:v>
      </x:c>
      <x:c r="I24" s="98" t="n">
        <x:v>-1.3162966322762426</x:v>
      </x:c>
      <x:c r="J24" s="98" t="n">
        <x:v>0.18941384662316477</x:v>
      </x:c>
      <x:c r="K24" s="98" t="n">
        <x:v>-0.48065201033292226</x:v>
      </x:c>
      <x:c r="L24" s="98" t="n">
        <x:v>0.0956763082015358</x:v>
      </x:c>
      <x:c r="M24" s="1"/>
      <x:c r="N24" s="1" t="str">
        <x:v>ARCH-LM (12)</x:v>
      </x:c>
      <x:c r="O24" s="63" t="n">
        <x:v>16.92511211113086</x:v>
      </x:c>
      <x:c r="P24" s="63" t="n">
        <x:v>0.15243612515694088</x:v>
      </x:c>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34" customHeight="1">
      <x:c r="A25" s="64" t="str">
        <x:v>Dólar amplio</x:v>
      </x:c>
      <x:c r="B25" s="64" t="n">
        <x:v>1</x:v>
      </x:c>
      <x:c r="C25" s="64" t="str">
        <x:v>Diaria</x:v>
      </x:c>
      <x:c r="D25" s="64" t="str">
        <x:v>Promedio completo conocido para t-1</x:v>
      </x:c>
      <x:c r="E25" s="1"/>
      <x:c r="F25" s="1" t="str">
        <x:v>Δ diferencial tasas (t−1)</x:v>
      </x:c>
      <x:c r="G25" s="98" t="n">
        <x:v>0.0003949963836968936</x:v>
      </x:c>
      <x:c r="H25" s="98" t="n">
        <x:v>0.008010442959769028</x:v>
      </x:c>
      <x:c r="I25" s="98" t="n">
        <x:v>0.04931017993395497</x:v>
      </x:c>
      <x:c r="J25" s="98" t="n">
        <x:v>0.9607158509019794</x:v>
      </x:c>
      <x:c r="K25" s="98" t="n">
        <x:v>-0.015390089252851838</x:v>
      </x:c>
      <x:c r="L25" s="98" t="n">
        <x:v>0.016180082020245623</x:v>
      </x:c>
      <x:c r="M25" s="1"/>
      <x:c r="N25" s="1" t="str">
        <x:v>Jarque-Bera</x:v>
      </x:c>
      <x:c r="O25" s="63" t="n">
        <x:v>17.87964676279362</x:v>
      </x:c>
      <x:c r="P25" s="63" t="n">
        <x:v>0.0001310641865106926</x:v>
      </x:c>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34" customHeight="1">
      <x:c r="A26" s="64" t="str">
        <x:v>VIX</x:v>
      </x:c>
      <x:c r="B26" s="64" t="n">
        <x:v>1</x:v>
      </x:c>
      <x:c r="C26" s="64" t="str">
        <x:v>Diaria</x:v>
      </x:c>
      <x:c r="D26" s="64" t="str">
        <x:v>Promedio completo conocido para t-1</x:v>
      </x:c>
      <x:c r="E26" s="1"/>
      <x:c r="F26" s="1" t="str">
        <x:v>Δ deficit fiscal 12m pct pib (t−3)</x:v>
      </x:c>
      <x:c r="G26" s="98" t="n">
        <x:v>-0.006092939707287629</x:v>
      </x:c>
      <x:c r="H26" s="98" t="n">
        <x:v>0.004531381366931035</x:v>
      </x:c>
      <x:c r="I26" s="98" t="n">
        <x:v>-1.3446097809715338</x:v>
      </x:c>
      <x:c r="J26" s="98" t="n">
        <x:v>0.18010521568062732</x:v>
      </x:c>
      <x:c r="K26" s="98" t="n">
        <x:v>-0.015022313936416409</x:v>
      </x:c>
      <x:c r="L26" s="98" t="n">
        <x:v>0.0028364345218411515</x:v>
      </x:c>
      <x:c r="M26" s="1"/>
      <x:c r="N26" s="1" t="str">
        <x:v>Ramsey RESET</x:v>
      </x:c>
      <x:c r="O26" s="63" t="n">
        <x:v>1.7973712854174904</x:v>
      </x:c>
      <x:c r="P26" s="63" t="n">
        <x:v>0.18138865045516034</x:v>
      </x:c>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ht="34" customHeight="1">
      <x:c r="A27" s="64" t="str">
        <x:v>Riesgo soberano EMBIG Colombia</x:v>
      </x:c>
      <x:c r="B27" s="64" t="n">
        <x:v>1</x:v>
      </x:c>
      <x:c r="C27" s="64" t="str">
        <x:v>Diaria</x:v>
      </x:c>
      <x:c r="D27" s="64" t="str">
        <x:v>Promedio completo conocido para t-1</x:v>
      </x:c>
      <x:c r="E27" s="1"/>
      <x:c r="F27" s="1" t="str">
        <x:v>Δ ln dolar amplio (t−1)</x:v>
      </x:c>
      <x:c r="G27" s="98" t="n">
        <x:v>0.6630642190843439</x:v>
      </x:c>
      <x:c r="H27" s="98" t="n">
        <x:v>0.32057246882304136</x:v>
      </x:c>
      <x:c r="I27" s="98" t="n">
        <x:v>2.0683754332327298</x:v>
      </x:c>
      <x:c r="J27" s="98" t="n">
        <x:v>0.03974774938482587</x:v>
      </x:c>
      <x:c r="K27" s="98" t="n">
        <x:v>0.0313558480859113</x:v>
      </x:c>
      <x:c r="L27" s="98" t="n">
        <x:v>1.2947725900827765</x:v>
      </x:c>
      <x:c r="M27" s="1"/>
      <x:c r="N27" s="1" t="str">
        <x:v>CUSUM estabilidad</x:v>
      </x:c>
      <x:c r="O27" s="63" t="n">
        <x:v>0.8283479068853007</x:v>
      </x:c>
      <x:c r="P27" s="63" t="n">
        <x:v>0.4987830045602749</x:v>
      </x:c>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ht="34" customHeight="1">
      <x:c r="A28" s="64" t="str">
        <x:v>Reservas internacionales</x:v>
      </x:c>
      <x:c r="B28" s="64" t="n">
        <x:v>2</x:v>
      </x:c>
      <x:c r="C28" s="64" t="str">
        <x:v>Mensual; publicación posterior al cierre</x:v>
      </x:c>
      <x:c r="D28" s="64" t="str">
        <x:v>Supuesto conservador: t-2</x:v>
      </x:c>
      <x:c r="E28" s="1"/>
      <x:c r="F28" s="1" t="str">
        <x:v>Δ ln vix (t−1)</x:v>
      </x:c>
      <x:c r="G28" s="98" t="n">
        <x:v>-0.0006398835185828016</x:v>
      </x:c>
      <x:c r="H28" s="98" t="n">
        <x:v>0.014535949847803754</x:v>
      </x:c>
      <x:c r="I28" s="98" t="n">
        <x:v>-0.044020757176696096</x:v>
      </x:c>
      <x:c r="J28" s="98" t="n">
        <x:v>0.9649269000688485</x:v>
      </x:c>
      <x:c r="K28" s="98" t="n">
        <x:v>-0.029283894131795597</x:v>
      </x:c>
      <x:c r="L28" s="98" t="n">
        <x:v>0.02800412709462999</x:v>
      </x:c>
      <x:c r="M28" s="1"/>
      <x:c r="N28" s="1" t="str">
        <x:v>Durbin-Watson</x:v>
      </x:c>
      <x:c r="O28" s="63" t="n">
        <x:v>1.9093578613325366</x:v>
      </x:c>
      <x:c r="P28" s="63"/>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ht="34" customHeight="1">
      <x:c r="A29" s="64" t="str">
        <x:v>Balanza comercial cambiaria</x:v>
      </x:c>
      <x:c r="B29" s="64" t="n">
        <x:v>2</x:v>
      </x:c>
      <x:c r="C29" s="64" t="str">
        <x:v>Mensual; publicación posterior al cierre</x:v>
      </x:c>
      <x:c r="D29" s="64" t="str">
        <x:v>Supuesto conservador: t-2</x:v>
      </x:c>
      <x:c r="E29" s="1"/>
      <x:c r="F29" s="1" t="str">
        <x:v>Δ embig colombia pp (t−1)</x:v>
      </x:c>
      <x:c r="G29" s="98" t="n">
        <x:v>-0.0032888544460610504</x:v>
      </x:c>
      <x:c r="H29" s="98" t="n">
        <x:v>0.010700266593144084</x:v>
      </x:c>
      <x:c r="I29" s="98" t="n">
        <x:v>-0.3073619164001295</x:v>
      </x:c>
      <x:c r="J29" s="98" t="n">
        <x:v>0.7588522124333975</x:v>
      </x:c>
      <x:c r="K29" s="98" t="n">
        <x:v>-0.024374408060882754</x:v>
      </x:c>
      <x:c r="L29" s="98" t="n">
        <x:v>0.017796699168760654</x:v>
      </x:c>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ht="34" customHeight="1">
      <x:c r="A30" s="64" t="str">
        <x:v>Flujos netos de capital</x:v>
      </x:c>
      <x:c r="B30" s="64" t="n">
        <x:v>2</x:v>
      </x:c>
      <x:c r="C30" s="64" t="str">
        <x:v>Mensual; publicación posterior al cierre</x:v>
      </x:c>
      <x:c r="D30" s="64" t="str">
        <x:v>Supuesto conservador: t-2</x:v>
      </x:c>
      <x:c r="E30" s="1"/>
      <x:c r="F30" s="1" t="str">
        <x:v>Δ ln reservas netas sin flar (t−2)</x:v>
      </x:c>
      <x:c r="G30" s="98" t="n">
        <x:v>0.22348983284808327</x:v>
      </x:c>
      <x:c r="H30" s="98" t="n">
        <x:v>0.38961670909374235</x:v>
      </x:c>
      <x:c r="I30" s="98" t="n">
        <x:v>0.5736146002770925</x:v>
      </x:c>
      <x:c r="J30" s="98" t="n">
        <x:v>0.5668015355556572</x:v>
      </x:c>
      <x:c r="K30" s="98" t="n">
        <x:v>-0.5442745903383654</x:v>
      </x:c>
      <x:c r="L30" s="98" t="n">
        <x:v>0.9912542560345321</x:v>
      </x:c>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ht="34" customHeight="1">
      <x:c r="A31" s="64" t="str">
        <x:v>Diferencial de compensación inflacionaria 5 años</x:v>
      </x:c>
      <x:c r="B31" s="64" t="n">
        <x:v>1</x:v>
      </x:c>
      <x:c r="C31" s="64" t="str">
        <x:v>Curvas diarias</x:v>
      </x:c>
      <x:c r="D31" s="64" t="str">
        <x:v>Promedios completos conocidos para t-1</x:v>
      </x:c>
      <x:c r="E31" s="1"/>
      <x:c r="F31" s="1" t="str">
        <x:v>Δ asinh balanza comercial (t−2)</x:v>
      </x:c>
      <x:c r="G31" s="98" t="n">
        <x:v>-0.04592367915773944</x:v>
      </x:c>
      <x:c r="H31" s="98" t="n">
        <x:v>0.022383639394570696</x:v>
      </x:c>
      <x:c r="I31" s="98" t="n">
        <x:v>-2.0516627501101783</x:v>
      </x:c>
      <x:c r="J31" s="98" t="n">
        <x:v>0.041360404865804216</x:v>
      </x:c>
      <x:c r="K31" s="98" t="n">
        <x:v>-0.09003205949019387</x:v>
      </x:c>
      <x:c r="L31" s="98" t="n">
        <x:v>-0.0018152988252850139</x:v>
      </x:c>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ht="34" customHeight="1">
      <x:c r="A32" s="64" t="str">
        <x:v>Monedas regionales</x:v>
      </x:c>
      <x:c r="B32" s="64" t="n">
        <x:v>1</x:v>
      </x:c>
      <x:c r="C32" s="64" t="str">
        <x:v>Tipos de cambio mensuales</x:v>
      </x:c>
      <x:c r="D32" s="64" t="str">
        <x:v>Promedios completos conocidos para t-1</x:v>
      </x:c>
      <x:c r="E32" s="1"/>
      <x:c r="F32" s="1" t="str">
        <x:v>Δ asinh flujos capital (t−2)</x:v>
      </x:c>
      <x:c r="G32" s="98" t="n">
        <x:v>0.0016626104345962378</x:v>
      </x:c>
      <x:c r="H32" s="98" t="n">
        <x:v>0.00693579074346796</x:v>
      </x:c>
      <x:c r="I32" s="98" t="n">
        <x:v>0.23971461886477233</x:v>
      </x:c>
      <x:c r="J32" s="98" t="n">
        <x:v>0.8107697370492254</x:v>
      </x:c>
      <x:c r="K32" s="98" t="n">
        <x:v>-0.012004804887212698</x:v>
      </x:c>
      <x:c r="L32" s="98" t="n">
        <x:v>0.015330025756405173</x:v>
      </x:c>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t="str">
        <x:v>Diferencial BEI 5 años (t−1)</x:v>
      </x:c>
      <x:c r="G33" s="98" t="n">
        <x:v>-0.002820070870154382</x:v>
      </x:c>
      <x:c r="H33" s="98" t="n">
        <x:v>0.0023716659805111087</x:v>
      </x:c>
      <x:c r="I33" s="98" t="n">
        <x:v>-1.1890674712746183</x:v>
      </x:c>
      <x:c r="J33" s="98" t="n">
        <x:v>0.23566648889095906</x:v>
      </x:c>
      <x:c r="K33" s="98" t="n">
        <x:v>-0.007493589025352208</x:v>
      </x:c>
      <x:c r="L33" s="98" t="n">
        <x:v>0.0018534472850434444</x:v>
      </x:c>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t="str">
        <x:v>Factor regional BRL, CLP y MXN (t−1)</x:v>
      </x:c>
      <x:c r="G34" s="98" t="n">
        <x:v>-0.00653890109712853</x:v>
      </x:c>
      <x:c r="H34" s="98" t="n">
        <x:v>0.004682656339419668</x:v>
      </x:c>
      <x:c r="I34" s="98" t="n">
        <x:v>-1.3964084961953263</x:v>
      </x:c>
      <x:c r="J34" s="98" t="n">
        <x:v>0.1639675551068194</x:v>
      </x:c>
      <x:c r="K34" s="98" t="n">
        <x:v>-0.015766372248910945</x:v>
      </x:c>
      <x:c r="L34" s="98" t="n">
        <x:v>0.002688570054653886</x:v>
      </x:c>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t="str">
        <x:v>Dummy pandemia 2020</x:v>
      </x:c>
      <x:c r="G35" s="98" t="n">
        <x:v>0.034643934348589686</x:v>
      </x:c>
      <x:c r="H35" s="98" t="n">
        <x:v>0.021565450677857236</x:v>
      </x:c>
      <x:c r="I35" s="98" t="n">
        <x:v>1.6064553839424764</x:v>
      </x:c>
      <x:c r="J35" s="98" t="n">
        <x:v>0.10957635931444137</x:v>
      </x:c>
      <x:c r="K35" s="98" t="n">
        <x:v>-0.007852153252358628</x:v>
      </x:c>
      <x:c r="L35" s="98" t="n">
        <x:v>0.077140021949538</x:v>
      </x:c>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ht="22" customHeight="1">
      <x:c r="A37" s="55" t="str">
        <x:v>Predicciones de un mes con información disponible al origen</x:v>
      </x:c>
      <x:c r="B37" s="55" t="str">
        <x:v>Predicciones de un mes con información disponible al origen</x:v>
      </x:c>
      <x:c r="C37" s="55" t="str">
        <x:v>Predicciones de un mes con información disponible al origen</x:v>
      </x:c>
      <x:c r="D37" s="55" t="str">
        <x:v>Predicciones de un mes con información disponible al origen</x:v>
      </x:c>
      <x:c r="E37" s="55" t="str">
        <x:v>Predicciones de un mes con información disponible al origen</x:v>
      </x:c>
      <x:c r="F37" s="55" t="str">
        <x:v>Predicciones de un mes con información disponible al origen</x:v>
      </x:c>
      <x:c r="G37" s="55" t="str">
        <x:v>Predicciones de un mes con información disponible al origen</x:v>
      </x:c>
      <x:c r="H37" s="55" t="str">
        <x:v>Predicciones de un mes con información disponible al origen</x:v>
      </x:c>
      <x:c r="I37" s="55" t="str">
        <x:v>Predicciones de un mes con información disponible al origen</x:v>
      </x:c>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62" t="str">
        <x:v>Mes</x:v>
      </x:c>
      <x:c r="B38" s="62" t="str">
        <x:v>ln TRM observada</x:v>
      </x:c>
      <x:c r="C38" s="62" t="str">
        <x:v>ln TRM pronóstico</x:v>
      </x:c>
      <x:c r="D38" s="62" t="str">
        <x:v>ln TRM caminata</x:v>
      </x:c>
      <x:c r="E38" s="62" t="str">
        <x:v>Δln observado</x:v>
      </x:c>
      <x:c r="F38" s="62" t="str">
        <x:v>Δln pronóstico</x:v>
      </x:c>
      <x:c r="G38" s="62" t="str">
        <x:v>TRM observada</x:v>
      </x:c>
      <x:c r="H38" s="62" t="str">
        <x:v>TRM pronóstico</x:v>
      </x:c>
      <x:c r="I38" s="62" t="str">
        <x:v>TRM caminata</x:v>
      </x:c>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v>2022-05</x:v>
      </x:c>
      <x:c r="B39" s="98" t="n">
        <x:v>8.298808139175573</x:v>
      </x:c>
      <x:c r="C39" s="98" t="n">
        <x:v>8.24954827329265</x:v>
      </x:c>
      <x:c r="D39" s="98" t="n">
        <x:v>8.240907796093667</x:v>
      </x:c>
      <x:c r="E39" s="98" t="n">
        <x:v>0.05790034308190606</x:v>
      </x:c>
      <x:c r="F39" s="98" t="n">
        <x:v>0.008640477198982996</x:v>
      </x:c>
      <x:c r="G39" s="94" t="n">
        <x:v>4019.079354838708</x:v>
      </x:c>
      <x:c r="H39" s="94" t="n">
        <x:v>3825.897171098777</x:v>
      </x:c>
      <x:c r="I39" s="94" t="n">
        <x:v>3792.9819999999972</x:v>
      </x:c>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v>2022-06</x:v>
      </x:c>
      <x:c r="B40" s="98" t="n">
        <x:v>8.276589766414325</x:v>
      </x:c>
      <x:c r="C40" s="98" t="n">
        <x:v>8.305670855236114</x:v>
      </x:c>
      <x:c r="D40" s="98" t="n">
        <x:v>8.298808139175573</x:v>
      </x:c>
      <x:c r="E40" s="98" t="n">
        <x:v>-0.022218372761248162</x:v>
      </x:c>
      <x:c r="F40" s="98" t="n">
        <x:v>0.006862716060541278</x:v>
      </x:c>
      <x:c r="G40" s="94" t="n">
        <x:v>3930.766666666666</x:v>
      </x:c>
      <x:c r="H40" s="94" t="n">
        <x:v>4046.756015182878</x:v>
      </x:c>
      <x:c r="I40" s="94" t="n">
        <x:v>4019.079354838708</x:v>
      </x:c>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v>2022-07</x:v>
      </x:c>
      <x:c r="B41" s="98" t="n">
        <x:v>8.382016058206503</x:v>
      </x:c>
      <x:c r="C41" s="98" t="n">
        <x:v>8.275113648349906</x:v>
      </x:c>
      <x:c r="D41" s="98" t="n">
        <x:v>8.276589766414325</x:v>
      </x:c>
      <x:c r="E41" s="98" t="n">
        <x:v>0.10542629179217755</x:v>
      </x:c>
      <x:c r="F41" s="98" t="n">
        <x:v>-0.0014761180644197545</x:v>
      </x:c>
      <x:c r="G41" s="94" t="n">
        <x:v>4367.805806451614</x:v>
      </x:c>
      <x:c r="H41" s="94" t="n">
        <x:v>3924.9686712986163</x:v>
      </x:c>
      <x:c r="I41" s="94" t="n">
        <x:v>3930.766666666666</x:v>
      </x:c>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v>2022-08</x:v>
      </x:c>
      <x:c r="B42" s="98" t="n">
        <x:v>8.371582127847805</x:v>
      </x:c>
      <x:c r="C42" s="98" t="n">
        <x:v>8.412548327293337</x:v>
      </x:c>
      <x:c r="D42" s="98" t="n">
        <x:v>8.382016058206503</x:v>
      </x:c>
      <x:c r="E42" s="98" t="n">
        <x:v>-0.010433930358697552</x:v>
      </x:c>
      <x:c r="F42" s="98" t="n">
        <x:v>0.030532269086833343</x:v>
      </x:c>
      <x:c r="G42" s="94" t="n">
        <x:v>4322.469354838713</x:v>
      </x:c>
      <x:c r="H42" s="94" t="n">
        <x:v>4503.221584535627</x:v>
      </x:c>
      <x:c r="I42" s="94" t="n">
        <x:v>4367.805806451614</x:v>
      </x:c>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v>2022-09</x:v>
      </x:c>
      <x:c r="B43" s="98" t="n">
        <x:v>8.396978677110038</x:v>
      </x:c>
      <x:c r="C43" s="98" t="n">
        <x:v>8.375759918776776</x:v>
      </x:c>
      <x:c r="D43" s="98" t="n">
        <x:v>8.371582127847805</x:v>
      </x:c>
      <x:c r="E43" s="98" t="n">
        <x:v>0.02539654926223278</x:v>
      </x:c>
      <x:c r="F43" s="98" t="n">
        <x:v>0.004177790928971489</x:v>
      </x:c>
      <x:c r="G43" s="94" t="n">
        <x:v>4433.650999999996</x:v>
      </x:c>
      <x:c r="H43" s="94" t="n">
        <x:v>4340.565502740644</x:v>
      </x:c>
      <x:c r="I43" s="94" t="n">
        <x:v>4322.469354838713</x:v>
      </x:c>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v>2022-10</x:v>
      </x:c>
      <x:c r="B44" s="98" t="n">
        <x:v>8.457831715043978</x:v>
      </x:c>
      <x:c r="C44" s="98" t="n">
        <x:v>8.412728432876055</x:v>
      </x:c>
      <x:c r="D44" s="98" t="n">
        <x:v>8.396978677110038</x:v>
      </x:c>
      <x:c r="E44" s="98" t="n">
        <x:v>0.06085303793394026</x:v>
      </x:c>
      <x:c r="F44" s="98" t="n">
        <x:v>0.015749755766016428</x:v>
      </x:c>
      <x:c r="G44" s="94" t="n">
        <x:v>4711.830322580648</x:v>
      </x:c>
      <x:c r="H44" s="94" t="n">
        <x:v>4504.032712925401</x:v>
      </x:c>
      <x:c r="I44" s="94" t="n">
        <x:v>4433.650999999996</x:v>
      </x:c>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t="str">
        <x:v>2022-11</x:v>
      </x:c>
      <x:c r="B45" s="98" t="n">
        <x:v>8.502416687971365</x:v>
      </x:c>
      <x:c r="C45" s="98" t="n">
        <x:v>8.457604552261918</x:v>
      </x:c>
      <x:c r="D45" s="98" t="n">
        <x:v>8.457831715043978</x:v>
      </x:c>
      <x:c r="E45" s="98" t="n">
        <x:v>0.044584972927387057</x:v>
      </x:c>
      <x:c r="F45" s="98" t="n">
        <x:v>-0.00022716278205995016</x:v>
      </x:c>
      <x:c r="G45" s="94" t="n">
        <x:v>4926.660666666665</x:v>
      </x:c>
      <x:c r="H45" s="94" t="n">
        <x:v>4710.760091658892</x:v>
      </x:c>
      <x:c r="I45" s="94" t="n">
        <x:v>4711.830322580648</x:v>
      </x:c>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t="str">
        <x:v>2022-12</x:v>
      </x:c>
      <x:c r="B46" s="98" t="n">
        <x:v>8.473970535354521</x:v>
      </x:c>
      <x:c r="C46" s="98" t="n">
        <x:v>8.499331045990534</x:v>
      </x:c>
      <x:c r="D46" s="98" t="n">
        <x:v>8.502416687971365</x:v>
      </x:c>
      <x:c r="E46" s="98" t="n">
        <x:v>-0.028446152616844245</x:v>
      </x:c>
      <x:c r="F46" s="98" t="n">
        <x:v>-0.0030856419808308264</x:v>
      </x:c>
      <x:c r="G46" s="94" t="n">
        <x:v>4788.490645161287</x:v>
      </x:c>
      <x:c r="H46" s="94" t="n">
        <x:v>4911.482185410864</x:v>
      </x:c>
      <x:c r="I46" s="94" t="n">
        <x:v>4926.660666666665</x:v>
      </x:c>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t="str">
        <x:v>2023-01</x:v>
      </x:c>
      <x:c r="B47" s="98" t="n">
        <x:v>8.458547432938246</x:v>
      </x:c>
      <x:c r="C47" s="98" t="n">
        <x:v>8.460837745626321</x:v>
      </x:c>
      <x:c r="D47" s="98" t="n">
        <x:v>8.473970535354521</x:v>
      </x:c>
      <x:c r="E47" s="98" t="n">
        <x:v>-0.015423102416274759</x:v>
      </x:c>
      <x:c r="F47" s="98" t="n">
        <x:v>-0.013132789728199076</x:v>
      </x:c>
      <x:c r="G47" s="94" t="n">
        <x:v>4715.203870967738</x:v>
      </x:c>
      <x:c r="H47" s="94" t="n">
        <x:v>4726.015538543911</x:v>
      </x:c>
      <x:c r="I47" s="94" t="n">
        <x:v>4788.490645161287</x:v>
      </x:c>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t="str">
        <x:v>2023-02</x:v>
      </x:c>
      <x:c r="B48" s="98" t="n">
        <x:v>8.477019424251225</x:v>
      </x:c>
      <x:c r="C48" s="98" t="n">
        <x:v>8.451852360411664</x:v>
      </x:c>
      <x:c r="D48" s="98" t="n">
        <x:v>8.458547432938246</x:v>
      </x:c>
      <x:c r="E48" s="98" t="n">
        <x:v>0.018471991312978275</x:v>
      </x:c>
      <x:c r="F48" s="98" t="n">
        <x:v>-0.006695072526583014</x:v>
      </x:c>
      <x:c r="G48" s="94" t="n">
        <x:v>4803.112499999996</x:v>
      </x:c>
      <x:c r="H48" s="94" t="n">
        <x:v>4683.740680769538</x:v>
      </x:c>
      <x:c r="I48" s="94" t="n">
        <x:v>4715.203870967738</x:v>
      </x:c>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t="str">
        <x:v>2023-03</x:v>
      </x:c>
      <x:c r="B49" s="98" t="n">
        <x:v>8.469326819773904</x:v>
      </x:c>
      <x:c r="C49" s="98" t="n">
        <x:v>8.47750608252351</x:v>
      </x:c>
      <x:c r="D49" s="98" t="n">
        <x:v>8.477019424251225</x:v>
      </x:c>
      <x:c r="E49" s="98" t="n">
        <x:v>-0.007692604477320231</x:v>
      </x:c>
      <x:c r="F49" s="98" t="n">
        <x:v>0.0004866582722850808</x:v>
      </x:c>
      <x:c r="G49" s="94" t="n">
        <x:v>4766.3058064516135</x:v>
      </x:c>
      <x:c r="H49" s="94" t="n">
        <x:v>4805.450543298749</x:v>
      </x:c>
      <x:c r="I49" s="94" t="n">
        <x:v>4803.112499999996</x:v>
      </x:c>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t="str">
        <x:v>2023-04</x:v>
      </x:c>
      <x:c r="B50" s="98" t="n">
        <x:v>8.421271177813114</x:v>
      </x:c>
      <x:c r="C50" s="98" t="n">
        <x:v>8.4450823790288</x:v>
      </x:c>
      <x:c r="D50" s="98" t="n">
        <x:v>8.469326819773904</x:v>
      </x:c>
      <x:c r="E50" s="98" t="n">
        <x:v>-0.04805564196079004</x:v>
      </x:c>
      <x:c r="F50" s="98" t="n">
        <x:v>-0.024244440745104685</x:v>
      </x:c>
      <x:c r="G50" s="94" t="n">
        <x:v>4542.674333333336</x:v>
      </x:c>
      <x:c r="H50" s="94" t="n">
        <x:v>4652.138935870099</x:v>
      </x:c>
      <x:c r="I50" s="94" t="n">
        <x:v>4766.3058064516135</x:v>
      </x:c>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t="str">
        <x:v>2023-05</x:v>
      </x:c>
      <x:c r="B51" s="98" t="n">
        <x:v>8.420701901472638</x:v>
      </x:c>
      <x:c r="C51" s="98" t="n">
        <x:v>8.397111764511463</x:v>
      </x:c>
      <x:c r="D51" s="98" t="n">
        <x:v>8.421271177813114</x:v>
      </x:c>
      <x:c r="E51" s="98" t="n">
        <x:v>-0.0005692763404763213</x:v>
      </x:c>
      <x:c r="F51" s="98" t="n">
        <x:v>-0.024159413301651677</x:v>
      </x:c>
      <x:c r="G51" s="94" t="n">
        <x:v>4540.089032258067</x:v>
      </x:c>
      <x:c r="H51" s="94" t="n">
        <x:v>4434.241102357134</x:v>
      </x:c>
      <x:c r="I51" s="94" t="n">
        <x:v>4542.674333333336</x:v>
      </x:c>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t="str">
        <x:v>2023-06</x:v>
      </x:c>
      <x:c r="B52" s="98" t="n">
        <x:v>8.345044039825018</x:v>
      </x:c>
      <x:c r="C52" s="98" t="n">
        <x:v>8.421628158596915</x:v>
      </x:c>
      <x:c r="D52" s="98" t="n">
        <x:v>8.420701901472638</x:v>
      </x:c>
      <x:c r="E52" s="98" t="n">
        <x:v>-0.07565786164762045</x:v>
      </x:c>
      <x:c r="F52" s="98" t="n">
        <x:v>0.000926257124277452</x:v>
      </x:c>
      <x:c r="G52" s="94" t="n">
        <x:v>4209.267999999998</x:v>
      </x:c>
      <x:c r="H52" s="94" t="n">
        <x:v>4544.296270260335</x:v>
      </x:c>
      <x:c r="I52" s="94" t="n">
        <x:v>4540.089032258067</x:v>
      </x:c>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t="str">
        <x:v>2023-07</x:v>
      </x:c>
      <x:c r="B53" s="98" t="n">
        <x:v>8.311209943353095</x:v>
      </x:c>
      <x:c r="C53" s="98" t="n">
        <x:v>8.321863914859835</x:v>
      </x:c>
      <x:c r="D53" s="98" t="n">
        <x:v>8.345044039825018</x:v>
      </x:c>
      <x:c r="E53" s="98" t="n">
        <x:v>-0.03383409647192259</x:v>
      </x:c>
      <x:c r="F53" s="98" t="n">
        <x:v>-0.02318012496518267</x:v>
      </x:c>
      <x:c r="G53" s="94" t="n">
        <x:v>4069.2335483870993</x:v>
      </x:c>
      <x:c r="H53" s="94" t="n">
        <x:v>4112.818812477755</x:v>
      </x:c>
      <x:c r="I53" s="94" t="n">
        <x:v>4209.267999999998</x:v>
      </x:c>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t="str">
        <x:v>2023-08</x:v>
      </x:c>
      <x:c r="B54" s="98" t="n">
        <x:v>8.311576434873045</x:v>
      </x:c>
      <x:c r="C54" s="98" t="n">
        <x:v>8.29529017622742</x:v>
      </x:c>
      <x:c r="D54" s="98" t="n">
        <x:v>8.311209943353095</x:v>
      </x:c>
      <x:c r="E54" s="98" t="n">
        <x:v>0.00036649151994971874</x:v>
      </x:c>
      <x:c r="F54" s="98" t="n">
        <x:v>-0.015919767125675832</x:v>
      </x:c>
      <x:c r="G54" s="94" t="n">
        <x:v>4070.7251612903224</x:v>
      </x:c>
      <x:c r="H54" s="94" t="n">
        <x:v>4004.9652236344523</x:v>
      </x:c>
      <x:c r="I54" s="94" t="n">
        <x:v>4069.2335483870993</x:v>
      </x:c>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t="str">
        <x:v>2023-09</x:v>
      </x:c>
      <x:c r="B55" s="98" t="n">
        <x:v>8.295179168611119</x:v>
      </x:c>
      <x:c r="C55" s="98" t="n">
        <x:v>8.328383148646795</x:v>
      </x:c>
      <x:c r="D55" s="98" t="n">
        <x:v>8.311576434873045</x:v>
      </x:c>
      <x:c r="E55" s="98" t="n">
        <x:v>-0.016397266261925836</x:v>
      </x:c>
      <x:c r="F55" s="98" t="n">
        <x:v>0.01680671377375091</x:v>
      </x:c>
      <x:c r="G55" s="94" t="n">
        <x:v>4004.52066666667</x:v>
      </x:c>
      <x:c r="H55" s="94" t="n">
        <x:v>4139.718828314022</x:v>
      </x:c>
      <x:c r="I55" s="94" t="n">
        <x:v>4070.7251612903224</x:v>
      </x:c>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t="str">
        <x:v>2023-10</x:v>
      </x:c>
      <x:c r="B56" s="98" t="n">
        <x:v>8.348166834656725</x:v>
      </x:c>
      <x:c r="C56" s="98" t="n">
        <x:v>8.289632577154247</x:v>
      </x:c>
      <x:c r="D56" s="98" t="n">
        <x:v>8.295179168611119</x:v>
      </x:c>
      <x:c r="E56" s="98" t="n">
        <x:v>0.05298766604560612</x:v>
      </x:c>
      <x:c r="F56" s="98" t="n">
        <x:v>-0.005546591456872555</x:v>
      </x:c>
      <x:c r="G56" s="94" t="n">
        <x:v>4222.433225806451</x:v>
      </x:c>
      <x:c r="H56" s="94" t="n">
        <x:v>3982.3707117098584</x:v>
      </x:c>
      <x:c r="I56" s="94" t="n">
        <x:v>4004.52066666667</x:v>
      </x:c>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t="str">
        <x:v>2023-11</x:v>
      </x:c>
      <x:c r="B57" s="98" t="n">
        <x:v>8.303704052588216</x:v>
      </x:c>
      <x:c r="C57" s="98" t="n">
        <x:v>8.369310677338746</x:v>
      </x:c>
      <x:c r="D57" s="98" t="n">
        <x:v>8.348166834656725</x:v>
      </x:c>
      <x:c r="E57" s="98" t="n">
        <x:v>-0.044462782068508844</x:v>
      </x:c>
      <x:c r="F57" s="98" t="n">
        <x:v>0.021143842682021397</x:v>
      </x:c>
      <x:c r="G57" s="94" t="n">
        <x:v>4038.804666666669</x:v>
      </x:c>
      <x:c r="H57" s="94" t="n">
        <x:v>4312.662222047303</x:v>
      </x:c>
      <x:c r="I57" s="94" t="n">
        <x:v>4222.433225806451</x:v>
      </x:c>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t="str">
        <x:v>2023-12</x:v>
      </x:c>
      <x:c r="B58" s="98" t="n">
        <x:v>8.281016773597672</x:v>
      </x:c>
      <x:c r="C58" s="98" t="n">
        <x:v>8.267012105404516</x:v>
      </x:c>
      <x:c r="D58" s="98" t="n">
        <x:v>8.303704052588216</x:v>
      </x:c>
      <x:c r="E58" s="98" t="n">
        <x:v>-0.022687278990543902</x:v>
      </x:c>
      <x:c r="F58" s="98" t="n">
        <x:v>-0.03669194718369924</x:v>
      </x:c>
      <x:c r="G58" s="94" t="n">
        <x:v>3948.2067741935466</x:v>
      </x:c>
      <x:c r="H58" s="94" t="n">
        <x:v>3893.2988295608807</x:v>
      </x:c>
      <x:c r="I58" s="94" t="n">
        <x:v>4038.804666666669</x:v>
      </x:c>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t="str">
        <x:v>2024-01</x:v>
      </x:c>
      <x:c r="B59" s="98" t="n">
        <x:v>8.272621363120876</x:v>
      </x:c>
      <x:c r="C59" s="98" t="n">
        <x:v>8.271693966115311</x:v>
      </x:c>
      <x:c r="D59" s="98" t="n">
        <x:v>8.281016773597672</x:v>
      </x:c>
      <x:c r="E59" s="98" t="n">
        <x:v>-0.008395410476795817</x:v>
      </x:c>
      <x:c r="F59" s="98" t="n">
        <x:v>-0.009322807482360258</x:v>
      </x:c>
      <x:c r="G59" s="94" t="n">
        <x:v>3915.1987096774164</x:v>
      </x:c>
      <x:c r="H59" s="94" t="n">
        <x:v>3911.5694492606067</x:v>
      </x:c>
      <x:c r="I59" s="94" t="n">
        <x:v>3948.2067741935466</x:v>
      </x:c>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t="str">
        <x:v>2024-02</x:v>
      </x:c>
      <x:c r="B60" s="98" t="n">
        <x:v>8.276760699123423</x:v>
      </x:c>
      <x:c r="C60" s="98" t="n">
        <x:v>8.265095775039356</x:v>
      </x:c>
      <x:c r="D60" s="98" t="n">
        <x:v>8.272621363120876</x:v>
      </x:c>
      <x:c r="E60" s="98" t="n">
        <x:v>0.004139336002547012</x:v>
      </x:c>
      <x:c r="F60" s="98" t="n">
        <x:v>-0.007525588081521449</x:v>
      </x:c>
      <x:c r="G60" s="94" t="n">
        <x:v>3931.4386206896565</x:v>
      </x:c>
      <x:c r="H60" s="94" t="n">
        <x:v>3885.8451269525026</x:v>
      </x:c>
      <x:c r="I60" s="94" t="n">
        <x:v>3915.1987096774164</x:v>
      </x:c>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t="str">
        <x:v>2024-03</x:v>
      </x:c>
      <x:c r="B61" s="98" t="n">
        <x:v>8.268562917935254</x:v>
      </x:c>
      <x:c r="C61" s="98" t="n">
        <x:v>8.264616334912636</x:v>
      </x:c>
      <x:c r="D61" s="98" t="n">
        <x:v>8.276760699123423</x:v>
      </x:c>
      <x:c r="E61" s="98" t="n">
        <x:v>-0.008197781188169273</x:v>
      </x:c>
      <x:c r="F61" s="98" t="n">
        <x:v>-0.012144364210787233</x:v>
      </x:c>
      <x:c r="G61" s="94" t="n">
        <x:v>3899.3412903225835</x:v>
      </x:c>
      <x:c r="H61" s="94" t="n">
        <x:v>3883.9825434067484</x:v>
      </x:c>
      <x:c r="I61" s="94" t="n">
        <x:v>3931.4386206896565</x:v>
      </x:c>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t="str">
        <x:v>2024-04</x:v>
      </x:c>
      <x:c r="B62" s="98" t="n">
        <x:v>8.26048647944151</x:v>
      </x:c>
      <x:c r="C62" s="98" t="n">
        <x:v>8.261149955759423</x:v>
      </x:c>
      <x:c r="D62" s="98" t="n">
        <x:v>8.268562917935254</x:v>
      </x:c>
      <x:c r="E62" s="98" t="n">
        <x:v>-0.00807643849374351</x:v>
      </x:c>
      <x:c r="F62" s="98" t="n">
        <x:v>-0.0074129621758309274</x:v>
      </x:c>
      <x:c r="G62" s="94" t="n">
        <x:v>3867.9753333333356</x:v>
      </x:c>
      <x:c r="H62" s="94" t="n">
        <x:v>3870.5424948965506</x:v>
      </x:c>
      <x:c r="I62" s="94" t="n">
        <x:v>3899.3412903225835</x:v>
      </x:c>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t="str">
        <x:v>2024-05</x:v>
      </x:c>
      <x:c r="B63" s="98" t="n">
        <x:v>8.260777367585563</x:v>
      </x:c>
      <x:c r="C63" s="98" t="n">
        <x:v>8.273227087034691</x:v>
      </x:c>
      <x:c r="D63" s="98" t="n">
        <x:v>8.26048647944151</x:v>
      </x:c>
      <x:c r="E63" s="98" t="n">
        <x:v>0.00029088814405220376</x:v>
      </x:c>
      <x:c r="F63" s="98" t="n">
        <x:v>0.012740607593180176</x:v>
      </x:c>
      <x:c r="G63" s="94" t="n">
        <x:v>3869.100645161288</x:v>
      </x:c>
      <x:c r="H63" s="94" t="n">
        <x:v>3917.5709575543056</x:v>
      </x:c>
      <x:c r="I63" s="94" t="n">
        <x:v>3867.9753333333356</x:v>
      </x:c>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t="str">
        <x:v>2024-06</x:v>
      </x:c>
      <x:c r="B64" s="98" t="n">
        <x:v>8.304692058140274</x:v>
      </x:c>
      <x:c r="C64" s="98" t="n">
        <x:v>8.243835041756503</x:v>
      </x:c>
      <x:c r="D64" s="98" t="n">
        <x:v>8.260777367585563</x:v>
      </x:c>
      <x:c r="E64" s="98" t="n">
        <x:v>0.0439146905547112</x:v>
      </x:c>
      <x:c r="F64" s="98" t="n">
        <x:v>-0.016942325829059388</x:v>
      </x:c>
      <x:c r="G64" s="94" t="n">
        <x:v>4042.7970000000014</x:v>
      </x:c>
      <x:c r="H64" s="94" t="n">
        <x:v>3804.101256566631</x:v>
      </x:c>
      <x:c r="I64" s="94" t="n">
        <x:v>3869.100645161288</x:v>
      </x:c>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t="str">
        <x:v>2024-07</x:v>
      </x:c>
      <x:c r="B65" s="98" t="n">
        <x:v>8.30323778340659</x:v>
      </x:c>
      <x:c r="C65" s="98" t="n">
        <x:v>8.318345009652754</x:v>
      </x:c>
      <x:c r="D65" s="98" t="n">
        <x:v>8.304692058140274</x:v>
      </x:c>
      <x:c r="E65" s="98" t="n">
        <x:v>-0.001454274733683647</x:v>
      </x:c>
      <x:c r="F65" s="98" t="n">
        <x:v>0.01365295151248054</x:v>
      </x:c>
      <x:c r="G65" s="94" t="n">
        <x:v>4036.92193548387</x:v>
      </x:c>
      <x:c r="H65" s="94" t="n">
        <x:v>4098.371626988791</x:v>
      </x:c>
      <x:c r="I65" s="94" t="n">
        <x:v>4042.7970000000014</x:v>
      </x:c>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t="str">
        <x:v>2024-08</x:v>
      </x:c>
      <x:c r="B66" s="98" t="n">
        <x:v>8.310303441388276</x:v>
      </x:c>
      <x:c r="C66" s="98" t="n">
        <x:v>8.28075248730797</x:v>
      </x:c>
      <x:c r="D66" s="98" t="n">
        <x:v>8.30323778340659</x:v>
      </x:c>
      <x:c r="E66" s="98" t="n">
        <x:v>0.007065657981685902</x:v>
      </x:c>
      <x:c r="F66" s="98" t="n">
        <x:v>-0.022485296098620402</x:v>
      </x:c>
      <x:c r="G66" s="94" t="n">
        <x:v>4065.546451612903</x:v>
      </x:c>
      <x:c r="H66" s="94" t="n">
        <x:v>3947.1634551477487</x:v>
      </x:c>
      <x:c r="I66" s="94" t="n">
        <x:v>4036.92193548387</x:v>
      </x:c>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t="str">
        <x:v>2024-09</x:v>
      </x:c>
      <x:c r="B67" s="98" t="n">
        <x:v>8.338667381651211</x:v>
      </x:c>
      <x:c r="C67" s="98" t="n">
        <x:v>8.310830923769844</x:v>
      </x:c>
      <x:c r="D67" s="98" t="n">
        <x:v>8.310303441388276</x:v>
      </x:c>
      <x:c r="E67" s="98" t="n">
        <x:v>0.02836394026293476</x:v>
      </x:c>
      <x:c r="F67" s="98" t="n">
        <x:v>0.0005274823815682762</x:v>
      </x:c>
      <x:c r="G67" s="94" t="n">
        <x:v>4182.5123333333295</x:v>
      </x:c>
      <x:c r="H67" s="94" t="n">
        <x:v>4067.691521431105</x:v>
      </x:c>
      <x:c r="I67" s="94" t="n">
        <x:v>4065.546451612903</x:v>
      </x:c>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t="str">
        <x:v>2024-10</x:v>
      </x:c>
      <x:c r="B68" s="98" t="n">
        <x:v>8.354549548259685</x:v>
      </x:c>
      <x:c r="C68" s="98" t="n">
        <x:v>8.343674011002069</x:v>
      </x:c>
      <x:c r="D68" s="98" t="n">
        <x:v>8.338667381651211</x:v>
      </x:c>
      <x:c r="E68" s="98" t="n">
        <x:v>0.01588216660847408</x:v>
      </x:c>
      <x:c r="F68" s="98" t="n">
        <x:v>0.005006629350857151</x:v>
      </x:c>
      <x:c r="G68" s="94" t="n">
        <x:v>4249.470000000003</x:v>
      </x:c>
      <x:c r="H68" s="94" t="n">
        <x:v>4203.505130066836</x:v>
      </x:c>
      <x:c r="I68" s="94" t="n">
        <x:v>4182.5123333333295</x:v>
      </x:c>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t="str">
        <x:v>2024-11</x:v>
      </x:c>
      <x:c r="B69" s="98" t="n">
        <x:v>8.39132432838928</x:v>
      </x:c>
      <x:c r="C69" s="98" t="n">
        <x:v>8.359382161730634</x:v>
      </x:c>
      <x:c r="D69" s="98" t="n">
        <x:v>8.354549548259685</x:v>
      </x:c>
      <x:c r="E69" s="98" t="n">
        <x:v>0.03677478012959412</x:v>
      </x:c>
      <x:c r="F69" s="98" t="n">
        <x:v>0.004832613470949524</x:v>
      </x:c>
      <x:c r="G69" s="94" t="n">
        <x:v>4408.652333333335</x:v>
      </x:c>
      <x:c r="H69" s="94" t="n">
        <x:v>4270.055747382911</x:v>
      </x:c>
      <x:c r="I69" s="94" t="n">
        <x:v>4249.470000000003</x:v>
      </x:c>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t="str">
        <x:v>2024-12</x:v>
      </x:c>
      <x:c r="B70" s="98" t="n">
        <x:v>8.385978817498613</x:v>
      </x:c>
      <x:c r="C70" s="98" t="n">
        <x:v>8.405117738144211</x:v>
      </x:c>
      <x:c r="D70" s="98" t="n">
        <x:v>8.39132432838928</x:v>
      </x:c>
      <x:c r="E70" s="98" t="n">
        <x:v>-0.005345510890666816</x:v>
      </x:c>
      <x:c r="F70" s="98" t="n">
        <x:v>0.013793409754932335</x:v>
      </x:c>
      <x:c r="G70" s="94" t="n">
        <x:v>4385.148709677422</x:v>
      </x:c>
      <x:c r="H70" s="94" t="n">
        <x:v>4469.884007403567</x:v>
      </x:c>
      <x:c r="I70" s="94" t="n">
        <x:v>4408.652333333335</x:v>
      </x:c>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t="str">
        <x:v>2025-01</x:v>
      </x:c>
      <x:c r="B71" s="98" t="n">
        <x:v>8.368128619899991</x:v>
      </x:c>
      <x:c r="C71" s="98" t="n">
        <x:v>8.397147699366455</x:v>
      </x:c>
      <x:c r="D71" s="98" t="n">
        <x:v>8.385978817498613</x:v>
      </x:c>
      <x:c r="E71" s="98" t="n">
        <x:v>-0.017850197598621165</x:v>
      </x:c>
      <x:c r="F71" s="98" t="n">
        <x:v>0.01116888186784304</x:v>
      </x:c>
      <x:c r="G71" s="94" t="n">
        <x:v>4307.567419354838</x:v>
      </x:c>
      <x:c r="H71" s="94" t="n">
        <x:v>4434.40044903118</x:v>
      </x:c>
      <x:c r="I71" s="94" t="n">
        <x:v>4385.148709677422</x:v>
      </x:c>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t="str">
        <x:v>2025-02</x:v>
      </x:c>
      <x:c r="B72" s="98" t="n">
        <x:v>8.325537146384832</x:v>
      </x:c>
      <x:c r="C72" s="98" t="n">
        <x:v>8.36943349087608</x:v>
      </x:c>
      <x:c r="D72" s="98" t="n">
        <x:v>8.368128619899991</x:v>
      </x:c>
      <x:c r="E72" s="98" t="n">
        <x:v>-0.04259147351515935</x:v>
      </x:c>
      <x:c r="F72" s="98" t="n">
        <x:v>0.0013048709760887234</x:v>
      </x:c>
      <x:c r="G72" s="94" t="n">
        <x:v>4127.95392857143</x:v>
      </x:c>
      <x:c r="H72" s="94" t="n">
        <x:v>4313.191907875751</x:v>
      </x:c>
      <x:c r="I72" s="94" t="n">
        <x:v>4307.567419354838</x:v>
      </x:c>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t="str">
        <x:v>2025-03</x:v>
      </x:c>
      <x:c r="B73" s="98" t="n">
        <x:v>8.327891614734215</x:v>
      </x:c>
      <x:c r="C73" s="98" t="n">
        <x:v>8.318610885670841</x:v>
      </x:c>
      <x:c r="D73" s="98" t="n">
        <x:v>8.325537146384832</x:v>
      </x:c>
      <x:c r="E73" s="98" t="n">
        <x:v>0.002354468349382799</x:v>
      </x:c>
      <x:c r="F73" s="98" t="n">
        <x:v>-0.006926260713991373</x:v>
      </x:c>
      <x:c r="G73" s="94" t="n">
        <x:v>4137.684516129031</x:v>
      </x:c>
      <x:c r="H73" s="94" t="n">
        <x:v>4099.461430587517</x:v>
      </x:c>
      <x:c r="I73" s="94" t="n">
        <x:v>4127.95392857143</x:v>
      </x:c>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t="str">
        <x:v>2025-04</x:v>
      </x:c>
      <x:c r="B74" s="98" t="n">
        <x:v>8.361768567132886</x:v>
      </x:c>
      <x:c r="C74" s="98" t="n">
        <x:v>8.308604625753183</x:v>
      </x:c>
      <x:c r="D74" s="98" t="n">
        <x:v>8.327891614734215</x:v>
      </x:c>
      <x:c r="E74" s="98" t="n">
        <x:v>0.03387695239867128</x:v>
      </x:c>
      <x:c r="F74" s="98" t="n">
        <x:v>-0.019286988981031854</x:v>
      </x:c>
      <x:c r="G74" s="94" t="n">
        <x:v>4280.2580000000025</x:v>
      </x:c>
      <x:c r="H74" s="94" t="n">
        <x:v>4058.645700946885</x:v>
      </x:c>
      <x:c r="I74" s="94" t="n">
        <x:v>4137.684516129031</x:v>
      </x:c>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t="str">
        <x:v>2025-05</x:v>
      </x:c>
      <x:c r="B75" s="98" t="n">
        <x:v>8.34364355184035</x:v>
      </x:c>
      <x:c r="C75" s="98" t="n">
        <x:v>8.35413955593057</x:v>
      </x:c>
      <x:c r="D75" s="98" t="n">
        <x:v>8.361768567132886</x:v>
      </x:c>
      <x:c r="E75" s="98" t="n">
        <x:v>-0.018125015292536517</x:v>
      </x:c>
      <x:c r="F75" s="98" t="n">
        <x:v>-0.0076290112023167655</x:v>
      </x:c>
      <x:c r="G75" s="94" t="n">
        <x:v>4203.377096774196</x:v>
      </x:c>
      <x:c r="H75" s="94" t="n">
        <x:v>4247.728107002978</x:v>
      </x:c>
      <x:c r="I75" s="94" t="n">
        <x:v>4280.2580000000025</x:v>
      </x:c>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t="str">
        <x:v>2025-06</x:v>
      </x:c>
      <x:c r="B76" s="98" t="n">
        <x:v>8.322025880072617</x:v>
      </x:c>
      <x:c r="C76" s="98" t="n">
        <x:v>8.33648952128789</x:v>
      </x:c>
      <x:c r="D76" s="98" t="n">
        <x:v>8.34364355184035</x:v>
      </x:c>
      <x:c r="E76" s="98" t="n">
        <x:v>-0.021617671767732105</x:v>
      </x:c>
      <x:c r="F76" s="98" t="n">
        <x:v>-0.007154030552459759</x:v>
      </x:c>
      <x:c r="G76" s="94" t="n">
        <x:v>4113.4850000000015</x:v>
      </x:c>
      <x:c r="H76" s="94" t="n">
        <x:v>4173.413317293092</x:v>
      </x:c>
      <x:c r="I76" s="94" t="n">
        <x:v>4203.377096774196</x:v>
      </x:c>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t="str">
        <x:v>2025-07</x:v>
      </x:c>
      <x:c r="B77" s="98" t="n">
        <x:v>8.304209945715085</x:v>
      </x:c>
      <x:c r="C77" s="98" t="n">
        <x:v>8.31229280087693</x:v>
      </x:c>
      <x:c r="D77" s="98" t="n">
        <x:v>8.322025880072617</x:v>
      </x:c>
      <x:c r="E77" s="98" t="n">
        <x:v>-0.01781593435753237</x:v>
      </x:c>
      <x:c r="F77" s="98" t="n">
        <x:v>-0.00973307919568691</x:v>
      </x:c>
      <x:c r="G77" s="94" t="n">
        <x:v>4040.8483870967743</x:v>
      </x:c>
      <x:c r="H77" s="94" t="n">
        <x:v>4073.642335164375</x:v>
      </x:c>
      <x:c r="I77" s="94" t="n">
        <x:v>4113.4850000000015</x:v>
      </x:c>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t="str">
        <x:v>2025-08</x:v>
      </x:c>
      <x:c r="B78" s="98" t="n">
        <x:v>8.305832847858927</x:v>
      </x:c>
      <x:c r="C78" s="98" t="n">
        <x:v>8.293954782578254</x:v>
      </x:c>
      <x:c r="D78" s="98" t="n">
        <x:v>8.304209945715085</x:v>
      </x:c>
      <x:c r="E78" s="98" t="n">
        <x:v>0.0016229021438416424</x:v>
      </x:c>
      <x:c r="F78" s="98" t="n">
        <x:v>-0.01025516313683133</x:v>
      </x:c>
      <x:c r="G78" s="94" t="n">
        <x:v>4047.4116129032236</x:v>
      </x:c>
      <x:c r="H78" s="94" t="n">
        <x:v>3999.620587900236</x:v>
      </x:c>
      <x:c r="I78" s="94" t="n">
        <x:v>4040.8483870967743</x:v>
      </x:c>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t="str">
        <x:v>2025-09</x:v>
      </x:c>
      <x:c r="B79" s="98" t="n">
        <x:v>8.274411059349477</x:v>
      </x:c>
      <x:c r="C79" s="98" t="n">
        <x:v>8.311063209566932</x:v>
      </x:c>
      <x:c r="D79" s="98" t="n">
        <x:v>8.305832847858927</x:v>
      </x:c>
      <x:c r="E79" s="98" t="n">
        <x:v>-0.031421788509449655</x:v>
      </x:c>
      <x:c r="F79" s="98" t="n">
        <x:v>0.005230361708004958</x:v>
      </x:c>
      <x:c r="G79" s="94" t="n">
        <x:v>3922.211999999997</x:v>
      </x:c>
      <x:c r="H79" s="94" t="n">
        <x:v>4068.6364981465535</x:v>
      </x:c>
      <x:c r="I79" s="94" t="n">
        <x:v>4047.4116129032236</x:v>
      </x:c>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t="str">
        <x:v>2025-10</x:v>
      </x:c>
      <x:c r="B80" s="98" t="n">
        <x:v>8.263034824354826</x:v>
      </x:c>
      <x:c r="C80" s="98" t="n">
        <x:v>8.274483041833037</x:v>
      </x:c>
      <x:c r="D80" s="98" t="n">
        <x:v>8.274411059349477</x:v>
      </x:c>
      <x:c r="E80" s="98" t="n">
        <x:v>-0.011376234994651568</x:v>
      </x:c>
      <x:c r="F80" s="98" t="n">
        <x:v>0.00007198248355927807</x:v>
      </x:c>
      <x:c r="G80" s="94" t="n">
        <x:v>3877.8448387096764</x:v>
      </x:c>
      <x:c r="H80" s="94" t="n">
        <x:v>3922.494340722475</x:v>
      </x:c>
      <x:c r="I80" s="94" t="n">
        <x:v>3922.211999999997</x:v>
      </x:c>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t="str">
        <x:v>2025-11</x:v>
      </x:c>
      <x:c r="B81" s="98" t="n">
        <x:v>8.239113754615177</x:v>
      </x:c>
      <x:c r="C81" s="98" t="n">
        <x:v>8.266688804111523</x:v>
      </x:c>
      <x:c r="D81" s="98" t="n">
        <x:v>8.263034824354826</x:v>
      </x:c>
      <x:c r="E81" s="98" t="n">
        <x:v>-0.02392106973964836</x:v>
      </x:c>
      <x:c r="F81" s="98" t="n">
        <x:v>0.0036539797566968093</x:v>
      </x:c>
      <x:c r="G81" s="94" t="n">
        <x:v>3786.1833333333366</x:v>
      </x:c>
      <x:c r="H81" s="94" t="n">
        <x:v>3892.0403244643962</x:v>
      </x:c>
      <x:c r="I81" s="94" t="n">
        <x:v>3877.8448387096764</x:v>
      </x:c>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t="str">
        <x:v>2025-12</x:v>
      </x:c>
      <x:c r="B82" s="98" t="n">
        <x:v>8.240509596157608</x:v>
      </x:c>
      <x:c r="C82" s="98" t="n">
        <x:v>8.244441555022663</x:v>
      </x:c>
      <x:c r="D82" s="98" t="n">
        <x:v>8.239113754615177</x:v>
      </x:c>
      <x:c r="E82" s="98" t="n">
        <x:v>0.0013958415424308868</x:v>
      </x:c>
      <x:c r="F82" s="98" t="n">
        <x:v>0.005327800407484896</x:v>
      </x:c>
      <x:c r="G82" s="94" t="n">
        <x:v>3791.471935483873</x:v>
      </x:c>
      <x:c r="H82" s="94" t="n">
        <x:v>3806.409194271221</x:v>
      </x:c>
      <x:c r="I82" s="94" t="n">
        <x:v>3786.1833333333366</x:v>
      </x:c>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t="str">
        <x:v>2026-01</x:v>
      </x:c>
      <x:c r="B83" s="98" t="n">
        <x:v>8.216898319573602</x:v>
      </x:c>
      <x:c r="C83" s="98" t="n">
        <x:v>8.221928569234402</x:v>
      </x:c>
      <x:c r="D83" s="98" t="n">
        <x:v>8.240509596157608</x:v>
      </x:c>
      <x:c r="E83" s="98" t="n">
        <x:v>-0.02361127658400619</x:v>
      </x:c>
      <x:c r="F83" s="98" t="n">
        <x:v>-0.018581026923206657</x:v>
      </x:c>
      <x:c r="G83" s="94" t="n">
        <x:v>3702.999032258066</x:v>
      </x:c>
      <x:c r="H83" s="94" t="n">
        <x:v>3721.672969791821</x:v>
      </x:c>
      <x:c r="I83" s="94" t="n">
        <x:v>3791.471935483873</x:v>
      </x:c>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t="str">
        <x:v>2026-02</x:v>
      </x:c>
      <x:c r="B84" s="98" t="n">
        <x:v>8.209482934803669</x:v>
      </x:c>
      <x:c r="C84" s="98" t="n">
        <x:v>8.187891892647439</x:v>
      </x:c>
      <x:c r="D84" s="98" t="n">
        <x:v>8.216898319573602</x:v>
      </x:c>
      <x:c r="E84" s="98" t="n">
        <x:v>-0.007415384769933198</x:v>
      </x:c>
      <x:c r="F84" s="98" t="n">
        <x:v>-0.029006426926161885</x:v>
      </x:c>
      <x:c r="G84" s="94" t="n">
        <x:v>3675.64142857143</x:v>
      </x:c>
      <x:c r="H84" s="94" t="n">
        <x:v>3597.1311092690626</x:v>
      </x:c>
      <x:c r="I84" s="94" t="n">
        <x:v>3702.999032258066</x:v>
      </x:c>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t="str">
        <x:v>2026-03</x:v>
      </x:c>
      <x:c r="B85" s="98" t="n">
        <x:v>8.220822123905636</x:v>
      </x:c>
      <x:c r="C85" s="98" t="n">
        <x:v>8.20738929657943</x:v>
      </x:c>
      <x:c r="D85" s="98" t="n">
        <x:v>8.209482934803669</x:v>
      </x:c>
      <x:c r="E85" s="98" t="n">
        <x:v>0.011339189101967406</x:v>
      </x:c>
      <x:c r="F85" s="98" t="n">
        <x:v>-0.0020936382242387895</x:v>
      </x:c>
      <x:c r="G85" s="94" t="n">
        <x:v>3717.5574193548405</x:v>
      </x:c>
      <x:c r="H85" s="94" t="n">
        <x:v>3667.9540153171297</x:v>
      </x:c>
      <x:c r="I85" s="94" t="n">
        <x:v>3675.64142857143</x:v>
      </x:c>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t="str">
        <x:v>2026-04</x:v>
      </x:c>
      <x:c r="B86" s="98" t="n">
        <x:v>8.193543618593685</x:v>
      </x:c>
      <x:c r="C86" s="98" t="n">
        <x:v>8.213956534634697</x:v>
      </x:c>
      <x:c r="D86" s="98" t="n">
        <x:v>8.220822123905636</x:v>
      </x:c>
      <x:c r="E86" s="98" t="n">
        <x:v>-0.027278505311951307</x:v>
      </x:c>
      <x:c r="F86" s="98" t="n">
        <x:v>-0.006865589270939658</x:v>
      </x:c>
      <x:c r="G86" s="94" t="n">
        <x:v>3617.5186666666664</x:v>
      </x:c>
      <x:c r="H86" s="94" t="n">
        <x:v>3692.1216128350275</x:v>
      </x:c>
      <x:c r="I86" s="94" t="n">
        <x:v>3717.5574193548405</x:v>
      </x:c>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P1"/>
    <x:mergeCell ref="A2:P3"/>
    <x:mergeCell ref="A5:F5"/>
    <x:mergeCell ref="H5:P5"/>
    <x:mergeCell ref="H6:I6"/>
    <x:mergeCell ref="J6:K6"/>
    <x:mergeCell ref="L6:P6"/>
    <x:mergeCell ref="H7:I7"/>
    <x:mergeCell ref="J7:K7"/>
    <x:mergeCell ref="L7:P7"/>
    <x:mergeCell ref="H8:I8"/>
    <x:mergeCell ref="J8:K8"/>
    <x:mergeCell ref="L8:P8"/>
    <x:mergeCell ref="H9:I9"/>
    <x:mergeCell ref="J9:K9"/>
    <x:mergeCell ref="L9:P9"/>
    <x:mergeCell ref="H10:I10"/>
    <x:mergeCell ref="J10:K10"/>
    <x:mergeCell ref="L10:P10"/>
    <x:mergeCell ref="H11:I11"/>
    <x:mergeCell ref="J11:K11"/>
    <x:mergeCell ref="L11:P11"/>
    <x:mergeCell ref="A12:J12"/>
    <x:mergeCell ref="A19:D19"/>
    <x:mergeCell ref="F19:L19"/>
    <x:mergeCell ref="N19:P19"/>
    <x:mergeCell ref="A37:I37"/>
  </x:mergeCells>
  <x:conditionalFormatting sqref="J21:J35">
    <x:cfRule type="cellIs" dxfId="5" priority="1" operator="lessThan">
      <x:formula>0.05</x:formula>
    </x:cfRule>
  </x:conditionalFormatting>
  <x:pageMargins left="0.7" right="0.7" top="0.75" bottom="0.75" header="0.3" footer="0.3"/>
  <x:tableParts count="6">
    <x:tablePart xmlns:r="http://schemas.openxmlformats.org/officeDocument/2006/relationships" r:id="R01029b4631c54f89"/>
    <x:tablePart xmlns:r="http://schemas.openxmlformats.org/officeDocument/2006/relationships" r:id="R5fa59349a624439b"/>
    <x:tablePart xmlns:r="http://schemas.openxmlformats.org/officeDocument/2006/relationships" r:id="Re5c5d03bf5f345c5"/>
    <x:tablePart xmlns:r="http://schemas.openxmlformats.org/officeDocument/2006/relationships" r:id="Rb207a6a956514521"/>
    <x:tablePart xmlns:r="http://schemas.openxmlformats.org/officeDocument/2006/relationships" r:id="Re030ecebf02c4a00"/>
    <x:tablePart xmlns:r="http://schemas.openxmlformats.org/officeDocument/2006/relationships" r:id="R054aeaa00e694fe2"/>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34" hidden="0" customWidth="1"/>
  </x:cols>
  <x:sheetData>
    <x:row r="1" ht="30" customHeight="1">
      <x:c r="A1" s="4" t="str">
        <x:v>ARDL–ECM exploratorio</x:v>
      </x:c>
      <x:c r="B1" s="4" t="str">
        <x:v>ARDL–ECM exploratorio</x:v>
      </x:c>
      <x:c r="C1" s="4" t="str">
        <x:v>ARDL–ECM exploratorio</x:v>
      </x:c>
      <x:c r="D1" s="4" t="str">
        <x:v>ARDL–ECM exploratorio</x:v>
      </x:c>
      <x:c r="E1" s="4" t="str">
        <x:v>ARDL–ECM exploratorio</x:v>
      </x:c>
      <x:c r="F1" s="4" t="str">
        <x:v>ARDL–ECM exploratorio</x:v>
      </x:c>
      <x:c r="G1" s="4" t="str">
        <x:v>ARDL–ECM exploratorio</x:v>
      </x:c>
      <x:c r="H1" s="4" t="str">
        <x:v>ARDL–ECM exploratorio</x:v>
      </x:c>
      <x:c r="I1" s="1"/>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15" t="str">
        <x:v>La prueba bounds no confirma cointegración al 5%: F = 3.402, límite superior = 3.627 y p-valor I(1) = 7,46%. Los coeficientes de largo plazo son exploratorios.</x:v>
      </x:c>
      <x:c r="B2" s="115" t="str">
        <x:v>La prueba bounds no confirma cointegración al 5%: F = 3.402, límite superior = 3.627 y p-valor I(1) = 7,46%. Los coeficientes de largo plazo son exploratorios.</x:v>
      </x:c>
      <x:c r="C2" s="115" t="str">
        <x:v>La prueba bounds no confirma cointegración al 5%: F = 3.402, límite superior = 3.627 y p-valor I(1) = 7,46%. Los coeficientes de largo plazo son exploratorios.</x:v>
      </x:c>
      <x:c r="D2" s="115" t="str">
        <x:v>La prueba bounds no confirma cointegración al 5%: F = 3.402, límite superior = 3.627 y p-valor I(1) = 7,46%. Los coeficientes de largo plazo son exploratorios.</x:v>
      </x:c>
      <x:c r="E2" s="115" t="str">
        <x:v>La prueba bounds no confirma cointegración al 5%: F = 3.402, límite superior = 3.627 y p-valor I(1) = 7,46%. Los coeficientes de largo plazo son exploratorios.</x:v>
      </x:c>
      <x:c r="F2" s="115" t="str">
        <x:v>La prueba bounds no confirma cointegración al 5%: F = 3.402, límite superior = 3.627 y p-valor I(1) = 7,46%. Los coeficientes de largo plazo son exploratorios.</x:v>
      </x:c>
      <x:c r="G2" s="115" t="str">
        <x:v>La prueba bounds no confirma cointegración al 5%: F = 3.402, límite superior = 3.627 y p-valor I(1) = 7,46%. Los coeficientes de largo plazo son exploratorios.</x:v>
      </x:c>
      <x:c r="H2" s="115" t="str">
        <x:v>La prueba bounds no confirma cointegración al 5%: F = 3.402, límite superior = 3.627 y p-valor I(1) = 7,46%. Los coeficientes de largo plazo son exploratorios.</x:v>
      </x:c>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15" t="str">
        <x:v>La prueba bounds no confirma cointegración al 5%: F = 3.402, límite superior = 3.627 y p-valor I(1) = 7,46%. Los coeficientes de largo plazo son exploratorios.</x:v>
      </x:c>
      <x:c r="B3" s="115" t="str">
        <x:v>La prueba bounds no confirma cointegración al 5%: F = 3.402, límite superior = 3.627 y p-valor I(1) = 7,46%. Los coeficientes de largo plazo son exploratorios.</x:v>
      </x:c>
      <x:c r="C3" s="115" t="str">
        <x:v>La prueba bounds no confirma cointegración al 5%: F = 3.402, límite superior = 3.627 y p-valor I(1) = 7,46%. Los coeficientes de largo plazo son exploratorios.</x:v>
      </x:c>
      <x:c r="D3" s="115" t="str">
        <x:v>La prueba bounds no confirma cointegración al 5%: F = 3.402, límite superior = 3.627 y p-valor I(1) = 7,46%. Los coeficientes de largo plazo son exploratorios.</x:v>
      </x:c>
      <x:c r="E3" s="115" t="str">
        <x:v>La prueba bounds no confirma cointegración al 5%: F = 3.402, límite superior = 3.627 y p-valor I(1) = 7,46%. Los coeficientes de largo plazo son exploratorios.</x:v>
      </x:c>
      <x:c r="F3" s="115" t="str">
        <x:v>La prueba bounds no confirma cointegración al 5%: F = 3.402, límite superior = 3.627 y p-valor I(1) = 7,46%. Los coeficientes de largo plazo son exploratorios.</x:v>
      </x:c>
      <x:c r="G3" s="115" t="str">
        <x:v>La prueba bounds no confirma cointegración al 5%: F = 3.402, límite superior = 3.627 y p-valor I(1) = 7,46%. Los coeficientes de largo plazo son exploratorios.</x:v>
      </x:c>
      <x:c r="H3" s="115" t="str">
        <x:v>La prueba bounds no confirma cointegración al 5%: F = 3.402, límite superior = 3.627 y p-valor I(1) = 7,46%. Los coeficientes de largo plazo son exploratorios.</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55" t="str">
        <x:v>Prueba bounds</x:v>
      </x:c>
      <x:c r="B5" s="55" t="str">
        <x:v>Prueba bounds</x:v>
      </x:c>
      <x:c r="C5" s="55" t="str">
        <x:v>Prueba bounds</x:v>
      </x:c>
      <x:c r="D5" s="55" t="str">
        <x:v>Prueba bounds</x:v>
      </x:c>
      <x:c r="E5" s="1"/>
      <x:c r="F5" s="55" t="str">
        <x:v>Dinámica de ajuste</x:v>
      </x:c>
      <x:c r="G5" s="55" t="str">
        <x:v>Dinámica de ajuste</x:v>
      </x:c>
      <x:c r="H5" s="55" t="str">
        <x:v>Dinámica de ajuste</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6" t="str">
        <x:v>F</x:v>
      </x:c>
      <x:c r="B6" s="66" t="str">
        <x:v>p-valor I(0)</x:v>
      </x:c>
      <x:c r="C6" s="66" t="str">
        <x:v>p-valor I(1)</x:v>
      </x:c>
      <x:c r="D6" s="66" t="str">
        <x:v>Decisión al 5%</x:v>
      </x:c>
      <x:c r="E6" s="1"/>
      <x:c r="F6" s="66" t="str">
        <x:v>Parámetro</x:v>
      </x:c>
      <x:c r="G6" s="66" t="str">
        <x:v>Valor</x:v>
      </x:c>
      <x:c r="H6" s="66" t="str">
        <x:v>Lectura</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126" t="n">
        <x:v>3.4023370185209365</x:v>
      </x:c>
      <x:c r="B7" s="126" t="n">
        <x:v>0.005477863835970709</x:v>
      </x:c>
      <x:c r="C7" s="126" t="n">
        <x:v>0.07457585870273797</x:v>
      </x:c>
      <x:c r="D7" s="127" t="str">
        <x:v>No concluyente</x:v>
      </x:c>
      <x:c r="E7" s="1"/>
      <x:c r="F7" s="67" t="str">
        <x:v>Velocidad de ajuste</x:v>
      </x:c>
      <x:c r="G7" s="68" t="n">
        <x:v>-0.09008642519372144</x:v>
      </x:c>
      <x:c r="H7" s="67" t="str">
        <x:v>Negativa y significativa en la ecuación auxiliar</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1"/>
      <x:c r="B8" s="1"/>
      <x:c r="C8" s="1"/>
      <x:c r="D8" s="1"/>
      <x:c r="E8" s="1"/>
      <x:c r="F8" s="67" t="str">
        <x:v>ARDL seleccionado</x:v>
      </x:c>
      <x:c r="G8" s="67" t="str">
        <x:v>(1,1)</x:v>
      </x:c>
      <x:c r="H8" s="67" t="str">
        <x:v>Un rezago común</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1"/>
      <x:c r="B9" s="1"/>
      <x:c r="C9" s="1"/>
      <x:c r="D9" s="1"/>
      <x:c r="E9" s="1"/>
      <x:c r="F9" s="67" t="str">
        <x:v>Uso recomendado</x:v>
      </x:c>
      <x:c r="G9" s="67" t="str">
        <x:v>Robustez</x:v>
      </x:c>
      <x:c r="H9" s="67" t="str">
        <x:v>No usar sus coeficientes como elasticidades firmes</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22" customHeight="1">
      <x:c r="A10" s="55" t="str">
        <x:v>Valores críticos bounds</x:v>
      </x:c>
      <x:c r="B10" s="55" t="str">
        <x:v>Valores críticos bounds</x:v>
      </x:c>
      <x:c r="C10" s="55" t="str">
        <x:v>Valores críticos bounds</x:v>
      </x:c>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62" t="str">
        <x:v>Percentil</x:v>
      </x:c>
      <x:c r="B11" s="62" t="str">
        <x:v>Límite inferior I(0)</x:v>
      </x:c>
      <x:c r="C11" s="62" t="str">
        <x:v>Límite superior I(1)</x:v>
      </x:c>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79" t="n">
        <x:v>0.9</x:v>
      </x:c>
      <x:c r="B12" s="128" t="n">
        <x:v>2.1343676</x:v>
      </x:c>
      <x:c r="C12" s="128" t="n">
        <x:v>3.2311014</x:v>
      </x:c>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79" t="n">
        <x:v>0.95</x:v>
      </x:c>
      <x:c r="B13" s="128" t="n">
        <x:v>2.4620175</x:v>
      </x:c>
      <x:c r="C13" s="128" t="n">
        <x:v>3.6271964</x:v>
      </x:c>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79" t="n">
        <x:v>0.99</x:v>
      </x:c>
      <x:c r="B14" s="128" t="n">
        <x:v>3.1585901</x:v>
      </x:c>
      <x:c r="C14" s="128" t="n">
        <x:v>4.4502999</x:v>
      </x:c>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79" t="n">
        <x:v>0.9990000000000001</x:v>
      </x:c>
      <x:c r="B15" s="128" t="n">
        <x:v>4.0720179</x:v>
      </x:c>
      <x:c r="C15" s="128" t="n">
        <x:v>5.5018575</x:v>
      </x:c>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22" customHeight="1">
      <x:c r="A18" s="55" t="str">
        <x:v>Vector cointegrante normalizado (largo plazo exploratorio; invertir signo para efecto sobre ln TRM)</x:v>
      </x:c>
      <x:c r="B18" s="55" t="str">
        <x:v>Vector cointegrante normalizado (largo plazo exploratorio; invertir signo para efecto sobre ln TRM)</x:v>
      </x:c>
      <x:c r="C18" s="55" t="str">
        <x:v>Vector cointegrante normalizado (largo plazo exploratorio; invertir signo para efecto sobre ln TRM)</x:v>
      </x:c>
      <x:c r="D18" s="55" t="str">
        <x:v>Vector cointegrante normalizado (largo plazo exploratorio; invertir signo para efecto sobre ln TRM)</x:v>
      </x:c>
      <x:c r="E18" s="55" t="str">
        <x:v>Vector cointegrante normalizado (largo plazo exploratorio; invertir signo para efecto sobre ln TRM)</x:v>
      </x:c>
      <x:c r="F18" s="55" t="str">
        <x:v>Vector cointegrante normalizado (largo plazo exploratorio; invertir signo para efecto sobre ln TRM)</x:v>
      </x:c>
      <x:c r="G18" s="55" t="str">
        <x:v>Vector cointegrante normalizado (largo plazo exploratorio; invertir signo para efecto sobre ln TRM)</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62" t="str">
        <x:v>Variable</x:v>
      </x:c>
      <x:c r="B19" s="62" t="str">
        <x:v>Coeficiente</x:v>
      </x:c>
      <x:c r="C19" s="62" t="str">
        <x:v>EE</x:v>
      </x:c>
      <x:c r="D19" s="62" t="str">
        <x:v>t</x:v>
      </x:c>
      <x:c r="E19" s="62" t="str">
        <x:v>p-valor</x:v>
      </x:c>
      <x:c r="F19" s="62" t="str">
        <x:v>IC 95% inferior</x:v>
      </x:c>
      <x:c r="G19" s="62" t="str">
        <x:v>IC 95% superior</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v>Intercepto</x:v>
      </x:c>
      <x:c r="B20" s="98" t="n">
        <x:v>3.279529126045124</x:v>
      </x:c>
      <x:c r="C20" s="98" t="n">
        <x:v>3.127234173056725</x:v>
      </x:c>
      <x:c r="D20" s="98" t="n">
        <x:v>1.0486995679122864</x:v>
      </x:c>
      <x:c r="E20" s="98" t="n">
        <x:v>0.29431641319030444</x:v>
      </x:c>
      <x:c r="F20" s="98" t="n">
        <x:v>-2.882302048187098</x:v>
      </x:c>
      <x:c r="G20" s="98" t="n">
        <x:v>9.441360300277346</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v>ln TRM (normalizado = 1)</x:v>
      </x:c>
      <x:c r="B21" s="98" t="n">
        <x:v>1</x:v>
      </x:c>
      <x:c r="C21" s="98" t="n">
        <x:v>0</x:v>
      </x:c>
      <x:c r="D21" s="98"/>
      <x:c r="E21" s="98"/>
      <x:c r="F21" s="98" t="n">
        <x:v>1</x:v>
      </x:c>
      <x:c r="G21" s="98" t="n">
        <x:v>1</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v>ln términos de intercambio</x:v>
      </x:c>
      <x:c r="B22" s="98" t="n">
        <x:v>-0.053752505285618285</x:v>
      </x:c>
      <x:c r="C22" s="98" t="n">
        <x:v>0.2921220022812623</x:v>
      </x:c>
      <x:c r="D22" s="98" t="n">
        <x:v>-0.1840070411192925</x:v>
      </x:c>
      <x:c r="E22" s="98" t="n">
        <x:v>0.8540079312263997</x:v>
      </x:c>
      <x:c r="F22" s="98" t="n">
        <x:v>-0.6293430625403684</x:v>
      </x:c>
      <x:c r="G22" s="98" t="n">
        <x:v>0.5218380519691319</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v>ln remesas 12m</x:v>
      </x:c>
      <x:c r="B23" s="98" t="n">
        <x:v>0.05684520855940408</x:v>
      </x:c>
      <x:c r="C23" s="98" t="n">
        <x:v>0.24505681834066714</x:v>
      </x:c>
      <x:c r="D23" s="98" t="n">
        <x:v>0.23196746348179706</x:v>
      </x:c>
      <x:c r="E23" s="98" t="n">
        <x:v>0.8165632849541655</x:v>
      </x:c>
      <x:c r="F23" s="98" t="n">
        <x:v>-0.4260091794232305</x:v>
      </x:c>
      <x:c r="G23" s="98" t="n">
        <x:v>0.5396995965420387</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v>Diferencial de tasas (pp)</x:v>
      </x:c>
      <x:c r="B24" s="98" t="n">
        <x:v>-0.0036154775856195452</x:v>
      </x:c>
      <x:c r="C24" s="98" t="n">
        <x:v>0.012260007023166278</x:v>
      </x:c>
      <x:c r="D24" s="98" t="n">
        <x:v>-0.2949001235307457</x:v>
      </x:c>
      <x:c r="E24" s="98" t="n">
        <x:v>0.7680701775748289</x:v>
      </x:c>
      <x:c r="F24" s="98" t="n">
        <x:v>-0.027772316917485485</x:v>
      </x:c>
      <x:c r="G24" s="98" t="n">
        <x:v>0.020541361746246396</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v>Déficit fiscal 12m/PIB (pp)</x:v>
      </x:c>
      <x:c r="B25" s="98" t="n">
        <x:v>-0.02442787920017356</x:v>
      </x:c>
      <x:c r="C25" s="98" t="n">
        <x:v>0.015169104611083136</x:v>
      </x:c>
      <x:c r="D25" s="98" t="n">
        <x:v>-1.610370541075022</x:v>
      </x:c>
      <x:c r="E25" s="98" t="n">
        <x:v>0.10731698777380339</x:v>
      </x:c>
      <x:c r="F25" s="98" t="n">
        <x:v>-0.05431673833424979</x:v>
      </x:c>
      <x:c r="G25" s="98" t="n">
        <x:v>0.005460979933902668</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v>ln índice dólar amplio</x:v>
      </x:c>
      <x:c r="B26" s="98" t="n">
        <x:v>-2.417382311501565</x:v>
      </x:c>
      <x:c r="C26" s="98" t="n">
        <x:v>0.7910248097559311</x:v>
      </x:c>
      <x:c r="D26" s="98" t="n">
        <x:v>-3.0560132649283687</x:v>
      </x:c>
      <x:c r="E26" s="98" t="n">
        <x:v>0.0022430133233974914</x:v>
      </x:c>
      <x:c r="F26" s="98" t="n">
        <x:v>-3.9759996271920444</x:v>
      </x:c>
      <x:c r="G26" s="98" t="n">
        <x:v>-0.8587649958110855</x:v>
      </x:c>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H1"/>
    <x:mergeCell ref="A2:H3"/>
    <x:mergeCell ref="A5:D5"/>
    <x:mergeCell ref="A10:C10"/>
    <x:mergeCell ref="A18:G18"/>
    <x:mergeCell ref="F5:H5"/>
  </x:mergeCells>
  <x:pageMargins left="0.7" right="0.7" top="0.75" bottom="0.75" header="0.3" footer="0.3"/>
  <x:tableParts count="2">
    <x:tablePart xmlns:r="http://schemas.openxmlformats.org/officeDocument/2006/relationships" r:id="Rb3d0388ff4954097"/>
    <x:tablePart xmlns:r="http://schemas.openxmlformats.org/officeDocument/2006/relationships" r:id="R77a39332e9a34d55"/>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8" hidden="0" customWidth="1"/>
    <x:col min="11" max="11" width="18" hidden="0" customWidth="1"/>
    <x:col min="12" max="12" width="18" hidden="0" customWidth="1"/>
    <x:col min="13" max="13" width="18" hidden="0" customWidth="1"/>
    <x:col min="14" max="14" width="18" hidden="0" customWidth="1"/>
  </x:cols>
  <x:sheetData>
    <x:row r="1" ht="30" customHeight="1">
      <x:c r="A1" s="4" t="str">
        <x:v>Diagnósticos y selección del modelo</x:v>
      </x:c>
      <x:c r="B1" s="4" t="str">
        <x:v>Diagnósticos y selección del modelo</x:v>
      </x:c>
      <x:c r="C1" s="4" t="str">
        <x:v>Diagnósticos y selección del modelo</x:v>
      </x:c>
      <x:c r="D1" s="4" t="str">
        <x:v>Diagnósticos y selección del modelo</x:v>
      </x:c>
      <x:c r="E1" s="4" t="str">
        <x:v>Diagnósticos y selección del modelo</x:v>
      </x:c>
      <x:c r="F1" s="4" t="str">
        <x:v>Diagnósticos y selección del modelo</x:v>
      </x:c>
      <x:c r="G1" s="4" t="str">
        <x:v>Diagnósticos y selección del modelo</x:v>
      </x:c>
      <x:c r="H1" s="4" t="str">
        <x:v>Diagnósticos y selección del modelo</x:v>
      </x:c>
      <x:c r="I1" s="4" t="str">
        <x:v>Diagnósticos y selección del modelo</x:v>
      </x:c>
      <x:c r="J1" s="4" t="str">
        <x:v>Diagnósticos y selección del modelo</x:v>
      </x:c>
      <x:c r="K1" s="4" t="str">
        <x:v>Diagnósticos y selección del modelo</x:v>
      </x:c>
      <x:c r="L1" s="4" t="str">
        <x:v>Diagnósticos y selección del modelo</x:v>
      </x:c>
      <x:c r="M1" s="4" t="str">
        <x:v>Diagnósticos y selección del modelo</x:v>
      </x:c>
      <x:c r="N1" s="4" t="str">
        <x:v>Diagnósticos y selección del modelo</x:v>
      </x:c>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Las pruebas se interpretan al 5%. No se detecta autocorrelación residual. El ampliado presenta ARCH y residuos no normales, mientras RESET no rechaza la forma funcional. HAC fortalece la inferencia de la media, pero no modela la volatilidad condicional.</x:v>
      </x:c>
      <x:c r="B2" s="7" t="str">
        <x:v>Las pruebas se interpretan al 5%. No se detecta autocorrelación residual. El ampliado presenta ARCH y residuos no normales, mientras RESET no rechaza la forma funcional. HAC fortalece la inferencia de la media, pero no modela la volatilidad condicional.</x:v>
      </x:c>
      <x:c r="C2" s="7" t="str">
        <x:v>Las pruebas se interpretan al 5%. No se detecta autocorrelación residual. El ampliado presenta ARCH y residuos no normales, mientras RESET no rechaza la forma funcional. HAC fortalece la inferencia de la media, pero no modela la volatilidad condicional.</x:v>
      </x:c>
      <x:c r="D2" s="7" t="str">
        <x:v>Las pruebas se interpretan al 5%. No se detecta autocorrelación residual. El ampliado presenta ARCH y residuos no normales, mientras RESET no rechaza la forma funcional. HAC fortalece la inferencia de la media, pero no modela la volatilidad condicional.</x:v>
      </x:c>
      <x:c r="E2" s="7" t="str">
        <x:v>Las pruebas se interpretan al 5%. No se detecta autocorrelación residual. El ampliado presenta ARCH y residuos no normales, mientras RESET no rechaza la forma funcional. HAC fortalece la inferencia de la media, pero no modela la volatilidad condicional.</x:v>
      </x:c>
      <x:c r="F2" s="7" t="str">
        <x:v>Las pruebas se interpretan al 5%. No se detecta autocorrelación residual. El ampliado presenta ARCH y residuos no normales, mientras RESET no rechaza la forma funcional. HAC fortalece la inferencia de la media, pero no modela la volatilidad condicional.</x:v>
      </x:c>
      <x:c r="G2" s="7" t="str">
        <x:v>Las pruebas se interpretan al 5%. No se detecta autocorrelación residual. El ampliado presenta ARCH y residuos no normales, mientras RESET no rechaza la forma funcional. HAC fortalece la inferencia de la media, pero no modela la volatilidad condicional.</x:v>
      </x:c>
      <x:c r="H2" s="7" t="str">
        <x:v>Las pruebas se interpretan al 5%. No se detecta autocorrelación residual. El ampliado presenta ARCH y residuos no normales, mientras RESET no rechaza la forma funcional. HAC fortalece la inferencia de la media, pero no modela la volatilidad condicional.</x:v>
      </x:c>
      <x:c r="I2" s="7" t="str">
        <x:v>Las pruebas se interpretan al 5%. No se detecta autocorrelación residual. El ampliado presenta ARCH y residuos no normales, mientras RESET no rechaza la forma funcional. HAC fortalece la inferencia de la media, pero no modela la volatilidad condicional.</x:v>
      </x:c>
      <x:c r="J2" s="7" t="str">
        <x:v>Las pruebas se interpretan al 5%. No se detecta autocorrelación residual. El ampliado presenta ARCH y residuos no normales, mientras RESET no rechaza la forma funcional. HAC fortalece la inferencia de la media, pero no modela la volatilidad condicional.</x:v>
      </x:c>
      <x:c r="K2" s="7" t="str">
        <x:v>Las pruebas se interpretan al 5%. No se detecta autocorrelación residual. El ampliado presenta ARCH y residuos no normales, mientras RESET no rechaza la forma funcional. HAC fortalece la inferencia de la media, pero no modela la volatilidad condicional.</x:v>
      </x:c>
      <x:c r="L2" s="7" t="str">
        <x:v>Las pruebas se interpretan al 5%. No se detecta autocorrelación residual. El ampliado presenta ARCH y residuos no normales, mientras RESET no rechaza la forma funcional. HAC fortalece la inferencia de la media, pero no modela la volatilidad condicional.</x:v>
      </x:c>
      <x:c r="M2" s="7" t="str">
        <x:v>Las pruebas se interpretan al 5%. No se detecta autocorrelación residual. El ampliado presenta ARCH y residuos no normales, mientras RESET no rechaza la forma funcional. HAC fortalece la inferencia de la media, pero no modela la volatilidad condicional.</x:v>
      </x:c>
      <x:c r="N2" s="7" t="str">
        <x:v>Las pruebas se interpretan al 5%. No se detecta autocorrelación residual. El ampliado presenta ARCH y residuos no normales, mientras RESET no rechaza la forma funcional. HAC fortalece la inferencia de la media, pero no modela la volatilidad condicional.</x:v>
      </x:c>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Las pruebas se interpretan al 5%. No se detecta autocorrelación residual. El ampliado presenta ARCH y residuos no normales, mientras RESET no rechaza la forma funcional. HAC fortalece la inferencia de la media, pero no modela la volatilidad condicional.</x:v>
      </x:c>
      <x:c r="B3" s="7" t="str">
        <x:v>Las pruebas se interpretan al 5%. No se detecta autocorrelación residual. El ampliado presenta ARCH y residuos no normales, mientras RESET no rechaza la forma funcional. HAC fortalece la inferencia de la media, pero no modela la volatilidad condicional.</x:v>
      </x:c>
      <x:c r="C3" s="7" t="str">
        <x:v>Las pruebas se interpretan al 5%. No se detecta autocorrelación residual. El ampliado presenta ARCH y residuos no normales, mientras RESET no rechaza la forma funcional. HAC fortalece la inferencia de la media, pero no modela la volatilidad condicional.</x:v>
      </x:c>
      <x:c r="D3" s="7" t="str">
        <x:v>Las pruebas se interpretan al 5%. No se detecta autocorrelación residual. El ampliado presenta ARCH y residuos no normales, mientras RESET no rechaza la forma funcional. HAC fortalece la inferencia de la media, pero no modela la volatilidad condicional.</x:v>
      </x:c>
      <x:c r="E3" s="7" t="str">
        <x:v>Las pruebas se interpretan al 5%. No se detecta autocorrelación residual. El ampliado presenta ARCH y residuos no normales, mientras RESET no rechaza la forma funcional. HAC fortalece la inferencia de la media, pero no modela la volatilidad condicional.</x:v>
      </x:c>
      <x:c r="F3" s="7" t="str">
        <x:v>Las pruebas se interpretan al 5%. No se detecta autocorrelación residual. El ampliado presenta ARCH y residuos no normales, mientras RESET no rechaza la forma funcional. HAC fortalece la inferencia de la media, pero no modela la volatilidad condicional.</x:v>
      </x:c>
      <x:c r="G3" s="7" t="str">
        <x:v>Las pruebas se interpretan al 5%. No se detecta autocorrelación residual. El ampliado presenta ARCH y residuos no normales, mientras RESET no rechaza la forma funcional. HAC fortalece la inferencia de la media, pero no modela la volatilidad condicional.</x:v>
      </x:c>
      <x:c r="H3" s="7" t="str">
        <x:v>Las pruebas se interpretan al 5%. No se detecta autocorrelación residual. El ampliado presenta ARCH y residuos no normales, mientras RESET no rechaza la forma funcional. HAC fortalece la inferencia de la media, pero no modela la volatilidad condicional.</x:v>
      </x:c>
      <x:c r="I3" s="7" t="str">
        <x:v>Las pruebas se interpretan al 5%. No se detecta autocorrelación residual. El ampliado presenta ARCH y residuos no normales, mientras RESET no rechaza la forma funcional. HAC fortalece la inferencia de la media, pero no modela la volatilidad condicional.</x:v>
      </x:c>
      <x:c r="J3" s="7" t="str">
        <x:v>Las pruebas se interpretan al 5%. No se detecta autocorrelación residual. El ampliado presenta ARCH y residuos no normales, mientras RESET no rechaza la forma funcional. HAC fortalece la inferencia de la media, pero no modela la volatilidad condicional.</x:v>
      </x:c>
      <x:c r="K3" s="7" t="str">
        <x:v>Las pruebas se interpretan al 5%. No se detecta autocorrelación residual. El ampliado presenta ARCH y residuos no normales, mientras RESET no rechaza la forma funcional. HAC fortalece la inferencia de la media, pero no modela la volatilidad condicional.</x:v>
      </x:c>
      <x:c r="L3" s="7" t="str">
        <x:v>Las pruebas se interpretan al 5%. No se detecta autocorrelación residual. El ampliado presenta ARCH y residuos no normales, mientras RESET no rechaza la forma funcional. HAC fortalece la inferencia de la media, pero no modela la volatilidad condicional.</x:v>
      </x:c>
      <x:c r="M3" s="7" t="str">
        <x:v>Las pruebas se interpretan al 5%. No se detecta autocorrelación residual. El ampliado presenta ARCH y residuos no normales, mientras RESET no rechaza la forma funcional. HAC fortalece la inferencia de la media, pero no modela la volatilidad condicional.</x:v>
      </x:c>
      <x:c r="N3" s="7" t="str">
        <x:v>Las pruebas se interpretan al 5%. No se detecta autocorrelación residual. El ampliado presenta ARCH y residuos no normales, mientras RESET no rechaza la forma funcional. HAC fortalece la inferencia de la media, pero no modela la volatilidad condicional.</x:v>
      </x:c>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55" t="str">
        <x:v>Diagnósticos del modelo principal</x:v>
      </x:c>
      <x:c r="B5" s="55" t="str">
        <x:v>Diagnósticos del modelo principal</x:v>
      </x:c>
      <x:c r="C5" s="55" t="str">
        <x:v>Diagnósticos del modelo principal</x:v>
      </x:c>
      <x:c r="D5" s="55" t="str">
        <x:v>Diagnósticos del modelo principal</x:v>
      </x:c>
      <x:c r="E5" s="1"/>
      <x:c r="F5" s="55" t="str">
        <x:v>Selección de rezagos de Δln(TRM)</x:v>
      </x:c>
      <x:c r="G5" s="55" t="str">
        <x:v>Selección de rezagos de Δln(TRM)</x:v>
      </x:c>
      <x:c r="H5" s="55" t="str">
        <x:v>Selección de rezagos de Δln(TRM)</x:v>
      </x:c>
      <x:c r="I5" s="55" t="str">
        <x:v>Selección de rezagos de Δln(TRM)</x:v>
      </x:c>
      <x:c r="J5" s="55" t="str">
        <x:v>Criterios de decisión</x:v>
      </x:c>
      <x:c r="K5" s="55" t="str">
        <x:v>Criterios de decisión</x:v>
      </x:c>
      <x:c r="L5" s="55" t="str">
        <x:v>Criterios de decisión</x:v>
      </x:c>
      <x:c r="M5" s="55" t="str">
        <x:v>Criterios de decisión</x:v>
      </x:c>
      <x:c r="N5" s="55" t="str">
        <x:v>Criterios de decisión</x:v>
      </x:c>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2" t="str">
        <x:v>Prueba</x:v>
      </x:c>
      <x:c r="B6" s="62" t="str">
        <x:v>Estadístico</x:v>
      </x:c>
      <x:c r="C6" s="62" t="str">
        <x:v>p-valor</x:v>
      </x:c>
      <x:c r="D6" s="62" t="str">
        <x:v>Lectura</x:v>
      </x:c>
      <x:c r="E6" s="1"/>
      <x:c r="F6" s="62" t="str">
        <x:v>p</x:v>
      </x:c>
      <x:c r="G6" s="62" t="str">
        <x:v>AIC</x:v>
      </x:c>
      <x:c r="H6" s="62" t="str">
        <x:v>BIC</x:v>
      </x:c>
      <x:c r="I6" s="62" t="str">
        <x:v>R² ajustado</x:v>
      </x:c>
      <x:c r="J6" s="66" t="str">
        <x:v>Elemento</x:v>
      </x:c>
      <x:c r="K6" s="66" t="str">
        <x:v>Criterio</x:v>
      </x:c>
      <x:c r="L6" s="66" t="str">
        <x:v>Resultado</x:v>
      </x:c>
      <x:c r="M6" s="66" t="str">
        <x:v>Implicación</x:v>
      </x:c>
      <x:c r="N6" s="66" t="str">
        <x:v>Acción</x:v>
      </x:c>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8" customHeight="1">
      <x:c r="A7" s="1" t="str">
        <x:v>Ljung-Box (6)</x:v>
      </x:c>
      <x:c r="B7" s="63" t="n">
        <x:v>2.5774455596367614</x:v>
      </x:c>
      <x:c r="C7" s="63" t="n">
        <x:v>0.8597015787568743</x:v>
      </x:c>
      <x:c r="D7" s="1" t="str">
        <x:v>Sin autocorrelación detectada</x:v>
      </x:c>
      <x:c r="E7" s="1"/>
      <x:c r="F7" s="29" t="n">
        <x:v>0</x:v>
      </x:c>
      <x:c r="G7" s="130" t="n">
        <x:v>-1103.3074291126252</x:v>
      </x:c>
      <x:c r="H7" s="130" t="n">
        <x:v>-1075.4623177258893</x:v>
      </x:c>
      <x:c r="I7" s="122" t="n">
        <x:v>0.4792107613916473</x:v>
      </x:c>
      <x:c r="J7" s="67" t="str">
        <x:v>BIC</x:v>
      </x:c>
      <x:c r="K7" s="67" t="str">
        <x:v>Mínimo</x:v>
      </x:c>
      <x:c r="L7" s="67" t="str">
        <x:v>p=0</x:v>
      </x:c>
      <x:c r="M7" s="67" t="str">
        <x:v>Modelo parsimonioso</x:v>
      </x:c>
      <x:c r="N7" s="67" t="str">
        <x:v>No agregar rezagos de TRM</x:v>
      </x:c>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8" customHeight="1">
      <x:c r="A8" s="1" t="str">
        <x:v>Ljung-Box (12)</x:v>
      </x:c>
      <x:c r="B8" s="63" t="n">
        <x:v>5.001117093519676</x:v>
      </x:c>
      <x:c r="C8" s="63" t="n">
        <x:v>0.9579416399340056</x:v>
      </x:c>
      <x:c r="D8" s="1" t="str">
        <x:v>Sin autocorrelación detectada</x:v>
      </x:c>
      <x:c r="E8" s="1"/>
      <x:c r="F8" s="1" t="n">
        <x:v>1</x:v>
      </x:c>
      <x:c r="G8" s="80" t="n">
        <x:v>-1102.4285921885037</x:v>
      </x:c>
      <x:c r="H8" s="80" t="n">
        <x:v>-1071.1028418784258</x:v>
      </x:c>
      <x:c r="I8" s="79" t="n">
        <x:v>0.47939396972285675</x:v>
      </x:c>
      <x:c r="J8" s="67" t="str">
        <x:v>Autocorrelación</x:v>
      </x:c>
      <x:c r="K8" s="67" t="str">
        <x:v>p&gt;0,05</x:v>
      </x:c>
      <x:c r="L8" s="67" t="str">
        <x:v>Cumple</x:v>
      </x:c>
      <x:c r="M8" s="67" t="str">
        <x:v>Dinámica adecuada</x:v>
      </x:c>
      <x:c r="N8" s="67" t="str">
        <x:v>Mantener especificación</x:v>
      </x:c>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8" customHeight="1">
      <x:c r="A9" s="1" t="str">
        <x:v>Breusch-Godfrey (12)</x:v>
      </x:c>
      <x:c r="B9" s="63" t="n">
        <x:v>5.17056771108324</x:v>
      </x:c>
      <x:c r="C9" s="63" t="n">
        <x:v>0.9520377178544845</x:v>
      </x:c>
      <x:c r="D9" s="1" t="str">
        <x:v>Sin autocorrelación detectada</x:v>
      </x:c>
      <x:c r="E9" s="1"/>
      <x:c r="F9" s="1" t="n">
        <x:v>2</x:v>
      </x:c>
      <x:c r="G9" s="80" t="n">
        <x:v>-1100.4629485722746</x:v>
      </x:c>
      <x:c r="H9" s="80" t="n">
        <x:v>-1065.6565593388548</x:v>
      </x:c>
      <x:c r="I9" s="79" t="n">
        <x:v>0.4772053094962182</x:v>
      </x:c>
      <x:c r="J9" s="67" t="str">
        <x:v>ARCH</x:v>
      </x:c>
      <x:c r="K9" s="67" t="str">
        <x:v>p&gt;0,05</x:v>
      </x:c>
      <x:c r="L9" s="67" t="str">
        <x:v>Cumple</x:v>
      </x:c>
      <x:c r="M9" s="67" t="str">
        <x:v>Sin ARCH detectado</x:v>
      </x:c>
      <x:c r="N9" s="67" t="str">
        <x:v>Mantener HAC</x:v>
      </x:c>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8" customHeight="1">
      <x:c r="A10" s="1" t="str">
        <x:v>ARCH-LM (12)</x:v>
      </x:c>
      <x:c r="B10" s="63" t="n">
        <x:v>19.355560848287272</x:v>
      </x:c>
      <x:c r="C10" s="63" t="n">
        <x:v>0.08030143533798173</x:v>
      </x:c>
      <x:c r="D10" s="1" t="str">
        <x:v>Sin ARCH detectado</x:v>
      </x:c>
      <x:c r="E10" s="1"/>
      <x:c r="F10" s="1" t="n">
        <x:v>3</x:v>
      </x:c>
      <x:c r="G10" s="80" t="n">
        <x:v>-1098.505926205641</x:v>
      </x:c>
      <x:c r="H10" s="80" t="n">
        <x:v>-1060.218898048879</x:v>
      </x:c>
      <x:c r="I10" s="79" t="n">
        <x:v>0.47501638230673726</x:v>
      </x:c>
      <x:c r="J10" s="131" t="str">
        <x:v>Normalidad</x:v>
      </x:c>
      <x:c r="K10" s="131" t="str">
        <x:v>p&gt;0,05</x:v>
      </x:c>
      <x:c r="L10" s="131" t="str">
        <x:v>No cumple</x:v>
      </x:c>
      <x:c r="M10" s="131" t="str">
        <x:v>Colas extremas</x:v>
      </x:c>
      <x:c r="N10" s="131" t="str">
        <x:v>No basar conclusiones en normalidad</x:v>
      </x:c>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8" customHeight="1">
      <x:c r="A11" s="45" t="str">
        <x:v>Jarque-Bera</x:v>
      </x:c>
      <x:c r="B11" s="129" t="n">
        <x:v>23.61452710218837</x:v>
      </x:c>
      <x:c r="C11" s="129" t="n">
        <x:v>0.000007450245663916035</x:v>
      </x:c>
      <x:c r="D11" s="45" t="str">
        <x:v>Residuos no normales</x:v>
      </x:c>
      <x:c r="E11" s="1"/>
      <x:c r="F11" s="1"/>
      <x:c r="G11" s="1"/>
      <x:c r="H11" s="1"/>
      <x:c r="I11" s="1"/>
      <x:c r="J11" s="131" t="str">
        <x:v>Bounds</x:v>
      </x:c>
      <x:c r="K11" s="131" t="str">
        <x:v>p I(1)&lt;0,05</x:v>
      </x:c>
      <x:c r="L11" s="131" t="str">
        <x:v>No cumple</x:v>
      </x:c>
      <x:c r="M11" s="131" t="str">
        <x:v>Sin cointegración firme</x:v>
      </x:c>
      <x:c r="N11" s="131" t="str">
        <x:v>Usar diferencias como modelo principal</x:v>
      </x:c>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1" t="str">
        <x:v>Ramsey RESET</x:v>
      </x:c>
      <x:c r="B12" s="63" t="n">
        <x:v>0.0016899055930778108</x:v>
      </x:c>
      <x:c r="C12" s="63" t="n">
        <x:v>0.9672449373713803</x:v>
      </x:c>
      <x:c r="D12" s="1" t="str">
        <x:v>Sin evidencia de mala forma funcional</x:v>
      </x:c>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1" t="str">
        <x:v>CUSUM estabilidad</x:v>
      </x:c>
      <x:c r="B13" s="63" t="n">
        <x:v>0.9210252664013541</x:v>
      </x:c>
      <x:c r="C13" s="63" t="n">
        <x:v>0.36436273579743833</x:v>
      </x:c>
      <x:c r="D13" s="1" t="str">
        <x:v>Sin inestabilidad detectada</x:v>
      </x:c>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22" customHeight="1">
      <x:c r="A14" s="1" t="str">
        <x:v>Durbin-Watson</x:v>
      </x:c>
      <x:c r="B14" s="63" t="n">
        <x:v>1.9264707982530567</x:v>
      </x:c>
      <x:c r="C14" s="63"/>
      <x:c r="D14" s="1" t="str">
        <x:v>Cercano a 2</x:v>
      </x:c>
      <x:c r="E14" s="1"/>
      <x:c r="F14" s="1"/>
      <x:c r="G14" s="1"/>
      <x:c r="H14" s="1"/>
      <x:c r="I14" s="1"/>
      <x:c r="J14" s="55" t="str">
        <x:v>Diagnósticos del modelo ampliado</x:v>
      </x:c>
      <x:c r="K14" s="55" t="str">
        <x:v>Diagnósticos del modelo ampliado</x:v>
      </x:c>
      <x:c r="L14" s="55" t="str">
        <x:v>Diagnósticos del modelo ampliado</x:v>
      </x:c>
      <x:c r="M14" s="55" t="str">
        <x:v>Diagnósticos del modelo ampliado</x:v>
      </x:c>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1"/>
      <x:c r="B15" s="1"/>
      <x:c r="C15" s="1"/>
      <x:c r="D15" s="1"/>
      <x:c r="E15" s="1"/>
      <x:c r="F15" s="1"/>
      <x:c r="G15" s="1"/>
      <x:c r="H15" s="1"/>
      <x:c r="I15" s="1"/>
      <x:c r="J15" s="62" t="str">
        <x:v>Prueba</x:v>
      </x:c>
      <x:c r="K15" s="62" t="str">
        <x:v>Estadístico</x:v>
      </x:c>
      <x:c r="L15" s="62" t="str">
        <x:v>p-valor</x:v>
      </x:c>
      <x:c r="M15" s="62" t="str">
        <x:v>Lectura</x:v>
      </x:c>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x:c r="B16" s="1"/>
      <x:c r="C16" s="1"/>
      <x:c r="D16" s="1"/>
      <x:c r="E16" s="1"/>
      <x:c r="F16" s="1"/>
      <x:c r="G16" s="1"/>
      <x:c r="H16" s="1"/>
      <x:c r="I16" s="1"/>
      <x:c r="J16" s="1" t="str">
        <x:v>Ljung-Box (6)</x:v>
      </x:c>
      <x:c r="K16" s="63" t="n">
        <x:v>4.671304823014807</x:v>
      </x:c>
      <x:c r="L16" s="63" t="n">
        <x:v>0.5866070518252882</x:v>
      </x:c>
      <x:c r="M16" s="1" t="str">
        <x:v>Sin autocorrelación detectada</x:v>
      </x:c>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22" customHeight="1">
      <x:c r="A17" s="55" t="str">
        <x:v>Pruebas de integración</x:v>
      </x:c>
      <x:c r="B17" s="55" t="str">
        <x:v>Pruebas de integración</x:v>
      </x:c>
      <x:c r="C17" s="55" t="str">
        <x:v>Pruebas de integración</x:v>
      </x:c>
      <x:c r="D17" s="55" t="str">
        <x:v>Pruebas de integración</x:v>
      </x:c>
      <x:c r="E17" s="55" t="str">
        <x:v>Pruebas de integración</x:v>
      </x:c>
      <x:c r="F17" s="55" t="str">
        <x:v>Pruebas de integración</x:v>
      </x:c>
      <x:c r="G17" s="55" t="str">
        <x:v>Pruebas de integración</x:v>
      </x:c>
      <x:c r="H17" s="55" t="str">
        <x:v>Pruebas de integración</x:v>
      </x:c>
      <x:c r="I17" s="1"/>
      <x:c r="J17" s="1" t="str">
        <x:v>Ljung-Box (12)</x:v>
      </x:c>
      <x:c r="K17" s="63" t="n">
        <x:v>7.542956352305785</x:v>
      </x:c>
      <x:c r="L17" s="63" t="n">
        <x:v>0.8197501768716258</x:v>
      </x:c>
      <x:c r="M17" s="1" t="str">
        <x:v>Sin autocorrelación detectada</x:v>
      </x:c>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62" t="str">
        <x:v>Variable</x:v>
      </x:c>
      <x:c r="B18" s="62" t="str">
        <x:v>Transformación</x:v>
      </x:c>
      <x:c r="C18" s="62" t="str">
        <x:v>n</x:v>
      </x:c>
      <x:c r="D18" s="62" t="str">
        <x:v>ADF</x:v>
      </x:c>
      <x:c r="E18" s="62" t="str">
        <x:v>p ADF</x:v>
      </x:c>
      <x:c r="F18" s="62" t="str">
        <x:v>Rezagos ADF</x:v>
      </x:c>
      <x:c r="G18" s="62" t="str">
        <x:v>KPSS</x:v>
      </x:c>
      <x:c r="H18" s="62" t="str">
        <x:v>p KPSS</x:v>
      </x:c>
      <x:c r="I18" s="1"/>
      <x:c r="J18" s="1" t="str">
        <x:v>Breusch-Godfrey (12)</x:v>
      </x:c>
      <x:c r="K18" s="63" t="n">
        <x:v>8.911433870798033</x:v>
      </x:c>
      <x:c r="L18" s="63" t="n">
        <x:v>0.7104759804314794</x:v>
      </x:c>
      <x:c r="M18" s="1" t="str">
        <x:v>Sin autocorrelación detectada</x:v>
      </x:c>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v>ln_trm</x:v>
      </x:c>
      <x:c r="B19" s="1" t="str">
        <x:v>nivel</x:v>
      </x:c>
      <x:c r="C19" s="1" t="n">
        <x:v>244</x:v>
      </x:c>
      <x:c r="D19" s="63" t="n">
        <x:v>-0.9830678205378037</x:v>
      </x:c>
      <x:c r="E19" s="63" t="n">
        <x:v>0.7593897217357208</x:v>
      </x:c>
      <x:c r="F19" s="63" t="n">
        <x:v>1</x:v>
      </x:c>
      <x:c r="G19" s="63" t="n">
        <x:v>1.9742293566265932</x:v>
      </x:c>
      <x:c r="H19" s="63" t="n">
        <x:v>0.01</x:v>
      </x:c>
      <x:c r="I19" s="1"/>
      <x:c r="J19" s="45" t="str">
        <x:v>ARCH-LM (12)</x:v>
      </x:c>
      <x:c r="K19" s="129" t="n">
        <x:v>33.86409201070287</x:v>
      </x:c>
      <x:c r="L19" s="129" t="n">
        <x:v>0.000708639052829489</x:v>
      </x:c>
      <x:c r="M19" s="45" t="str">
        <x:v>Volatilidad condicional pendiente</x:v>
      </x:c>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v>ln_trm</x:v>
      </x:c>
      <x:c r="B20" s="1" t="str">
        <x:v>primera_diferencia</x:v>
      </x:c>
      <x:c r="C20" s="1" t="n">
        <x:v>243</x:v>
      </x:c>
      <x:c r="D20" s="63" t="n">
        <x:v>-11.745300998776155</x:v>
      </x:c>
      <x:c r="E20" s="63" t="n">
        <x:v>1.2456149710377765e-21</x:v>
      </x:c>
      <x:c r="F20" s="63" t="n">
        <x:v>0</x:v>
      </x:c>
      <x:c r="G20" s="63" t="n">
        <x:v>0.129921498750035</x:v>
      </x:c>
      <x:c r="H20" s="63" t="n">
        <x:v>0.1</x:v>
      </x:c>
      <x:c r="I20" s="1"/>
      <x:c r="J20" s="45" t="str">
        <x:v>Jarque-Bera</x:v>
      </x:c>
      <x:c r="K20" s="129" t="n">
        <x:v>16.695733746902793</x:v>
      </x:c>
      <x:c r="L20" s="129" t="n">
        <x:v>0.00023690132032985336</x:v>
      </x:c>
      <x:c r="M20" s="45" t="str">
        <x:v>Residuos no normales</x:v>
      </x:c>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v>ln_terminos_intercambio</x:v>
      </x:c>
      <x:c r="B21" s="1" t="str">
        <x:v>nivel</x:v>
      </x:c>
      <x:c r="C21" s="1" t="n">
        <x:v>244</x:v>
      </x:c>
      <x:c r="D21" s="63" t="n">
        <x:v>-2.0764914454208285</x:v>
      </x:c>
      <x:c r="E21" s="63" t="n">
        <x:v>0.25407195884247474</x:v>
      </x:c>
      <x:c r="F21" s="63" t="n">
        <x:v>0</x:v>
      </x:c>
      <x:c r="G21" s="63" t="n">
        <x:v>0.21075989062524578</x:v>
      </x:c>
      <x:c r="H21" s="63" t="n">
        <x:v>0.1</x:v>
      </x:c>
      <x:c r="I21" s="1"/>
      <x:c r="J21" s="1" t="str">
        <x:v>Ramsey RESET</x:v>
      </x:c>
      <x:c r="K21" s="63" t="n">
        <x:v>2.7136343758224055</x:v>
      </x:c>
      <x:c r="L21" s="63" t="n">
        <x:v>0.10088991911393737</x:v>
      </x:c>
      <x:c r="M21" s="1" t="str">
        <x:v>Forma funcional aceptable</x:v>
      </x:c>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v>ln_terminos_intercambio</x:v>
      </x:c>
      <x:c r="B22" s="1" t="str">
        <x:v>primera_diferencia</x:v>
      </x:c>
      <x:c r="C22" s="1" t="n">
        <x:v>243</x:v>
      </x:c>
      <x:c r="D22" s="63" t="n">
        <x:v>-14.479183159902403</x:v>
      </x:c>
      <x:c r="E22" s="63" t="n">
        <x:v>6.414520627780299e-27</x:v>
      </x:c>
      <x:c r="F22" s="63" t="n">
        <x:v>0</x:v>
      </x:c>
      <x:c r="G22" s="63" t="n">
        <x:v>0.06679702113236356</x:v>
      </x:c>
      <x:c r="H22" s="63" t="n">
        <x:v>0.1</x:v>
      </x:c>
      <x:c r="I22" s="1"/>
      <x:c r="J22" s="1" t="str">
        <x:v>CUSUM estabilidad</x:v>
      </x:c>
      <x:c r="K22" s="63" t="n">
        <x:v>0.8007604560245631</x:v>
      </x:c>
      <x:c r="L22" s="63" t="n">
        <x:v>0.5429056295505539</x:v>
      </x:c>
      <x:c r="M22" s="1" t="str">
        <x:v>Sin inestabilidad detectada</x:v>
      </x:c>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v>ln_remesas_12m</x:v>
      </x:c>
      <x:c r="B23" s="1" t="str">
        <x:v>nivel</x:v>
      </x:c>
      <x:c r="C23" s="1" t="n">
        <x:v>244</x:v>
      </x:c>
      <x:c r="D23" s="63" t="n">
        <x:v>1.6448989717869995</x:v>
      </x:c>
      <x:c r="E23" s="63" t="n">
        <x:v>0.99798621626656</x:v>
      </x:c>
      <x:c r="F23" s="63" t="n">
        <x:v>13</x:v>
      </x:c>
      <x:c r="G23" s="63" t="n">
        <x:v>2.078890294373042</x:v>
      </x:c>
      <x:c r="H23" s="63" t="n">
        <x:v>0.01</x:v>
      </x:c>
      <x:c r="I23" s="1"/>
      <x:c r="J23" s="1" t="str">
        <x:v>Durbin-Watson</x:v>
      </x:c>
      <x:c r="K23" s="63" t="n">
        <x:v>1.8144539211725461</x:v>
      </x:c>
      <x:c r="L23" s="63"/>
      <x:c r="M23" s="1" t="str">
        <x:v>Cercano a 2</x:v>
      </x:c>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v>ln_remesas_12m</x:v>
      </x:c>
      <x:c r="B24" s="1" t="str">
        <x:v>primera_diferencia</x:v>
      </x:c>
      <x:c r="C24" s="1" t="n">
        <x:v>243</x:v>
      </x:c>
      <x:c r="D24" s="63" t="n">
        <x:v>-4.631700848954859</x:v>
      </x:c>
      <x:c r="E24" s="63" t="n">
        <x:v>0.00011286285754458126</x:v>
      </x:c>
      <x:c r="F24" s="63" t="n">
        <x:v>2</x:v>
      </x:c>
      <x:c r="G24" s="63" t="n">
        <x:v>0.3213722223498939</x:v>
      </x:c>
      <x:c r="H24" s="63" t="n">
        <x:v>0.1</x:v>
      </x:c>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36" customHeight="1">
      <x:c r="A25" s="1" t="str">
        <x:v>diferencial_tasas_pp</x:v>
      </x:c>
      <x:c r="B25" s="1" t="str">
        <x:v>nivel</x:v>
      </x:c>
      <x:c r="C25" s="1" t="n">
        <x:v>244</x:v>
      </x:c>
      <x:c r="D25" s="63" t="n">
        <x:v>-2.932782232352109</x:v>
      </x:c>
      <x:c r="E25" s="63" t="n">
        <x:v>0.041666525075246125</x:v>
      </x:c>
      <x:c r="F25" s="63" t="n">
        <x:v>4</x:v>
      </x:c>
      <x:c r="G25" s="63" t="n">
        <x:v>0.1499946175857981</x:v>
      </x:c>
      <x:c r="H25" s="63" t="n">
        <x:v>0.1</x:v>
      </x:c>
      <x:c r="I25" s="1"/>
      <x:c r="J25" s="115" t="str">
        <x:v>HAC protege la inferencia sobre la ecuación de media frente a heterocedasticidad y autocorrelación moderadas; no modela la dinámica de volatilidad detectada por ARCH-LM.</x:v>
      </x:c>
      <x:c r="K25" s="115" t="str">
        <x:v>HAC protege la inferencia sobre la ecuación de media frente a heterocedasticidad y autocorrelación moderadas; no modela la dinámica de volatilidad detectada por ARCH-LM.</x:v>
      </x:c>
      <x:c r="L25" s="115" t="str">
        <x:v>HAC protege la inferencia sobre la ecuación de media frente a heterocedasticidad y autocorrelación moderadas; no modela la dinámica de volatilidad detectada por ARCH-LM.</x:v>
      </x:c>
      <x:c r="M25" s="115" t="str">
        <x:v>HAC protege la inferencia sobre la ecuación de media frente a heterocedasticidad y autocorrelación moderadas; no modela la dinámica de volatilidad detectada por ARCH-LM.</x:v>
      </x:c>
      <x:c r="N25" s="115" t="str">
        <x:v>HAC protege la inferencia sobre la ecuación de media frente a heterocedasticidad y autocorrelación moderadas; no modela la dinámica de volatilidad detectada por ARCH-LM.</x:v>
      </x:c>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36" customHeight="1">
      <x:c r="A26" s="1" t="str">
        <x:v>diferencial_tasas_pp</x:v>
      </x:c>
      <x:c r="B26" s="1" t="str">
        <x:v>primera_diferencia</x:v>
      </x:c>
      <x:c r="C26" s="1" t="n">
        <x:v>243</x:v>
      </x:c>
      <x:c r="D26" s="63" t="n">
        <x:v>-4.394716711033061</x:v>
      </x:c>
      <x:c r="E26" s="63" t="n">
        <x:v>0.00030328885120092374</x:v>
      </x:c>
      <x:c r="F26" s="63" t="n">
        <x:v>3</x:v>
      </x:c>
      <x:c r="G26" s="63" t="n">
        <x:v>0.058388526146108066</x:v>
      </x:c>
      <x:c r="H26" s="63" t="n">
        <x:v>0.1</x:v>
      </x:c>
      <x:c r="I26" s="1"/>
      <x:c r="J26" s="115" t="str">
        <x:v>HAC protege la inferencia sobre la ecuación de media frente a heterocedasticidad y autocorrelación moderadas; no modela la dinámica de volatilidad detectada por ARCH-LM.</x:v>
      </x:c>
      <x:c r="K26" s="115" t="str">
        <x:v>HAC protege la inferencia sobre la ecuación de media frente a heterocedasticidad y autocorrelación moderadas; no modela la dinámica de volatilidad detectada por ARCH-LM.</x:v>
      </x:c>
      <x:c r="L26" s="115" t="str">
        <x:v>HAC protege la inferencia sobre la ecuación de media frente a heterocedasticidad y autocorrelación moderadas; no modela la dinámica de volatilidad detectada por ARCH-LM.</x:v>
      </x:c>
      <x:c r="M26" s="115" t="str">
        <x:v>HAC protege la inferencia sobre la ecuación de media frente a heterocedasticidad y autocorrelación moderadas; no modela la dinámica de volatilidad detectada por ARCH-LM.</x:v>
      </x:c>
      <x:c r="N26" s="115" t="str">
        <x:v>HAC protege la inferencia sobre la ecuación de media frente a heterocedasticidad y autocorrelación moderadas; no modela la dinámica de volatilidad detectada por ARCH-LM.</x:v>
      </x:c>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ht="36" customHeight="1">
      <x:c r="A27" s="1" t="str">
        <x:v>deficit_fiscal_12m_pct_pib</x:v>
      </x:c>
      <x:c r="B27" s="1" t="str">
        <x:v>nivel</x:v>
      </x:c>
      <x:c r="C27" s="1" t="n">
        <x:v>244</x:v>
      </x:c>
      <x:c r="D27" s="63" t="n">
        <x:v>-1.955309330310248</x:v>
      </x:c>
      <x:c r="E27" s="63" t="n">
        <x:v>0.3065053946526129</x:v>
      </x:c>
      <x:c r="F27" s="63" t="n">
        <x:v>0</x:v>
      </x:c>
      <x:c r="G27" s="63" t="n">
        <x:v>1.3418922501227946</x:v>
      </x:c>
      <x:c r="H27" s="63" t="n">
        <x:v>0.01</x:v>
      </x:c>
      <x:c r="I27" s="1"/>
      <x:c r="J27" s="115" t="str">
        <x:v>HAC protege la inferencia sobre la ecuación de media frente a heterocedasticidad y autocorrelación moderadas; no modela la dinámica de volatilidad detectada por ARCH-LM.</x:v>
      </x:c>
      <x:c r="K27" s="115" t="str">
        <x:v>HAC protege la inferencia sobre la ecuación de media frente a heterocedasticidad y autocorrelación moderadas; no modela la dinámica de volatilidad detectada por ARCH-LM.</x:v>
      </x:c>
      <x:c r="L27" s="115" t="str">
        <x:v>HAC protege la inferencia sobre la ecuación de media frente a heterocedasticidad y autocorrelación moderadas; no modela la dinámica de volatilidad detectada por ARCH-LM.</x:v>
      </x:c>
      <x:c r="M27" s="115" t="str">
        <x:v>HAC protege la inferencia sobre la ecuación de media frente a heterocedasticidad y autocorrelación moderadas; no modela la dinámica de volatilidad detectada por ARCH-LM.</x:v>
      </x:c>
      <x:c r="N27" s="115" t="str">
        <x:v>HAC protege la inferencia sobre la ecuación de media frente a heterocedasticidad y autocorrelación moderadas; no modela la dinámica de volatilidad detectada por ARCH-LM.</x:v>
      </x:c>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v>deficit_fiscal_12m_pct_pib</x:v>
      </x:c>
      <x:c r="B28" s="1" t="str">
        <x:v>primera_diferencia</x:v>
      </x:c>
      <x:c r="C28" s="1" t="n">
        <x:v>243</x:v>
      </x:c>
      <x:c r="D28" s="63" t="n">
        <x:v>-15.880955457887152</x:v>
      </x:c>
      <x:c r="E28" s="63" t="n">
        <x:v>8.759313860264154e-29</x:v>
      </x:c>
      <x:c r="F28" s="63" t="n">
        <x:v>0</x:v>
      </x:c>
      <x:c r="G28" s="63" t="n">
        <x:v>0.0525732780697349</x:v>
      </x:c>
      <x:c r="H28" s="63" t="n">
        <x:v>0.1</x:v>
      </x:c>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v>ln_dolar_amplio</x:v>
      </x:c>
      <x:c r="B29" s="1" t="str">
        <x:v>nivel</x:v>
      </x:c>
      <x:c r="C29" s="1" t="n">
        <x:v>244</x:v>
      </x:c>
      <x:c r="D29" s="63" t="n">
        <x:v>-1.2000631753146107</x:v>
      </x:c>
      <x:c r="E29" s="63" t="n">
        <x:v>0.6735685349165561</x:v>
      </x:c>
      <x:c r="F29" s="63" t="n">
        <x:v>1</x:v>
      </x:c>
      <x:c r="G29" s="63" t="n">
        <x:v>1.9690196439627836</x:v>
      </x:c>
      <x:c r="H29" s="63" t="n">
        <x:v>0.01</x:v>
      </x:c>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v>ln_dolar_amplio</x:v>
      </x:c>
      <x:c r="B30" s="1" t="str">
        <x:v>primera_diferencia</x:v>
      </x:c>
      <x:c r="C30" s="1" t="n">
        <x:v>243</x:v>
      </x:c>
      <x:c r="D30" s="63" t="n">
        <x:v>-10.166322841647677</x:v>
      </x:c>
      <x:c r="E30" s="63" t="n">
        <x:v>7.282951599038886e-18</x:v>
      </x:c>
      <x:c r="F30" s="63" t="n">
        <x:v>0</x:v>
      </x:c>
      <x:c r="G30" s="63" t="n">
        <x:v>0.09611315770471171</x:v>
      </x:c>
      <x:c r="H30" s="63" t="n">
        <x:v>0.1</x:v>
      </x:c>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v>ln_vix</x:v>
      </x:c>
      <x:c r="B31" s="1" t="str">
        <x:v>nivel</x:v>
      </x:c>
      <x:c r="C31" s="1" t="n">
        <x:v>244</x:v>
      </x:c>
      <x:c r="D31" s="63" t="n">
        <x:v>-4.478194746429898</x:v>
      </x:c>
      <x:c r="E31" s="63" t="n">
        <x:v>0.00021527036972252152</x:v>
      </x:c>
      <x:c r="F31" s="63" t="n">
        <x:v>0</x:v>
      </x:c>
      <x:c r="G31" s="63" t="n">
        <x:v>0.17200899474705167</x:v>
      </x:c>
      <x:c r="H31" s="63" t="n">
        <x:v>0.1</x:v>
      </x:c>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v>ln_vix</x:v>
      </x:c>
      <x:c r="B32" s="1" t="str">
        <x:v>primera_diferencia</x:v>
      </x:c>
      <x:c r="C32" s="1" t="n">
        <x:v>243</x:v>
      </x:c>
      <x:c r="D32" s="63" t="n">
        <x:v>-12.989838432765252</x:v>
      </x:c>
      <x:c r="E32" s="63" t="n">
        <x:v>2.8276229018666793e-24</x:v>
      </x:c>
      <x:c r="F32" s="63" t="n">
        <x:v>1</x:v>
      </x:c>
      <x:c r="G32" s="63" t="n">
        <x:v>0.05050536286365415</x:v>
      </x:c>
      <x:c r="H32" s="63" t="n">
        <x:v>0.1</x:v>
      </x:c>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v>embig_colombia_pp</x:v>
      </x:c>
      <x:c r="B33" s="1" t="str">
        <x:v>nivel</x:v>
      </x:c>
      <x:c r="C33" s="1" t="n">
        <x:v>244</x:v>
      </x:c>
      <x:c r="D33" s="63" t="n">
        <x:v>-3.4070236914026677</x:v>
      </x:c>
      <x:c r="E33" s="63" t="n">
        <x:v>0.010721752118990832</x:v>
      </x:c>
      <x:c r="F33" s="63" t="n">
        <x:v>1</x:v>
      </x:c>
      <x:c r="G33" s="63" t="n">
        <x:v>0.6910865472533331</x:v>
      </x:c>
      <x:c r="H33" s="63" t="n">
        <x:v>0.014355768431515174</x:v>
      </x:c>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v>embig_colombia_pp</x:v>
      </x:c>
      <x:c r="B34" s="1" t="str">
        <x:v>primera_diferencia</x:v>
      </x:c>
      <x:c r="C34" s="1" t="n">
        <x:v>243</x:v>
      </x:c>
      <x:c r="D34" s="63" t="n">
        <x:v>-12.792670993796778</x:v>
      </x:c>
      <x:c r="E34" s="63" t="n">
        <x:v>7.022409543207317e-24</x:v>
      </x:c>
      <x:c r="F34" s="63" t="n">
        <x:v>0</x:v>
      </x:c>
      <x:c r="G34" s="63" t="n">
        <x:v>0.027443014077240292</x:v>
      </x:c>
      <x:c r="H34" s="63" t="n">
        <x:v>0.1</x:v>
      </x:c>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v>ln_reservas_netas_sin_flar</x:v>
      </x:c>
      <x:c r="B35" s="1" t="str">
        <x:v>nivel</x:v>
      </x:c>
      <x:c r="C35" s="1" t="n">
        <x:v>244</x:v>
      </x:c>
      <x:c r="D35" s="63" t="n">
        <x:v>-3.2754732455295215</x:v>
      </x:c>
      <x:c r="E35" s="63" t="n">
        <x:v>0.016011057117075313</x:v>
      </x:c>
      <x:c r="F35" s="63" t="n">
        <x:v>1</x:v>
      </x:c>
      <x:c r="G35" s="63" t="n">
        <x:v>2.103662394457461</x:v>
      </x:c>
      <x:c r="H35" s="63" t="n">
        <x:v>0.01</x:v>
      </x:c>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v>ln_reservas_netas_sin_flar</x:v>
      </x:c>
      <x:c r="B36" s="1" t="str">
        <x:v>primera_diferencia</x:v>
      </x:c>
      <x:c r="C36" s="1" t="n">
        <x:v>243</x:v>
      </x:c>
      <x:c r="D36" s="63" t="n">
        <x:v>-10.038389577273737</x:v>
      </x:c>
      <x:c r="E36" s="63" t="n">
        <x:v>1.5190819173480342e-17</x:v>
      </x:c>
      <x:c r="F36" s="63" t="n">
        <x:v>0</x:v>
      </x:c>
      <x:c r="G36" s="63" t="n">
        <x:v>0.8278384681596641</x:v>
      </x:c>
      <x:c r="H36" s="63" t="n">
        <x:v>0.01</x:v>
      </x:c>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v>asinh_balanza_comercial</x:v>
      </x:c>
      <x:c r="B37" s="1" t="str">
        <x:v>nivel</x:v>
      </x:c>
      <x:c r="C37" s="1" t="n">
        <x:v>244</x:v>
      </x:c>
      <x:c r="D37" s="63" t="n">
        <x:v>-0.826333786735681</x:v>
      </x:c>
      <x:c r="E37" s="63" t="n">
        <x:v>0.811264081613728</x:v>
      </x:c>
      <x:c r="F37" s="63" t="n">
        <x:v>4</x:v>
      </x:c>
      <x:c r="G37" s="63" t="n">
        <x:v>2.029481510290614</x:v>
      </x:c>
      <x:c r="H37" s="63" t="n">
        <x:v>0.01</x:v>
      </x:c>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v>asinh_balanza_comercial</x:v>
      </x:c>
      <x:c r="B38" s="1" t="str">
        <x:v>primera_diferencia</x:v>
      </x:c>
      <x:c r="C38" s="1" t="n">
        <x:v>243</x:v>
      </x:c>
      <x:c r="D38" s="63" t="n">
        <x:v>-12.236672338157181</x:v>
      </x:c>
      <x:c r="E38" s="63" t="n">
        <x:v>1.0244088265453673e-22</x:v>
      </x:c>
      <x:c r="F38" s="63" t="n">
        <x:v>3</x:v>
      </x:c>
      <x:c r="G38" s="63" t="n">
        <x:v>0.13831430190768174</x:v>
      </x:c>
      <x:c r="H38" s="63" t="n">
        <x:v>0.1</x:v>
      </x:c>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v>asinh_flujos_capital</x:v>
      </x:c>
      <x:c r="B39" s="1" t="str">
        <x:v>nivel</x:v>
      </x:c>
      <x:c r="C39" s="1" t="n">
        <x:v>244</x:v>
      </x:c>
      <x:c r="D39" s="63" t="n">
        <x:v>-0.5111787624352627</x:v>
      </x:c>
      <x:c r="E39" s="63" t="n">
        <x:v>0.8898165130942963</x:v>
      </x:c>
      <x:c r="F39" s="63" t="n">
        <x:v>5</x:v>
      </x:c>
      <x:c r="G39" s="63" t="n">
        <x:v>2.180823721122012</x:v>
      </x:c>
      <x:c r="H39" s="63" t="n">
        <x:v>0.01</x:v>
      </x:c>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v>asinh_flujos_capital</x:v>
      </x:c>
      <x:c r="B40" s="1" t="str">
        <x:v>primera_diferencia</x:v>
      </x:c>
      <x:c r="C40" s="1" t="n">
        <x:v>243</x:v>
      </x:c>
      <x:c r="D40" s="63" t="n">
        <x:v>-11.989406812348331</x:v>
      </x:c>
      <x:c r="E40" s="63" t="n">
        <x:v>3.5499930862600525e-22</x:v>
      </x:c>
      <x:c r="F40" s="63" t="n">
        <x:v>4</x:v>
      </x:c>
      <x:c r="G40" s="63" t="n">
        <x:v>0.5000000000000011</x:v>
      </x:c>
      <x:c r="H40" s="63" t="n">
        <x:v>0.04166666666666642</x:v>
      </x:c>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v>diferencial_bei_5y_pp</x:v>
      </x:c>
      <x:c r="B41" s="1" t="str">
        <x:v>nivel</x:v>
      </x:c>
      <x:c r="C41" s="1" t="n">
        <x:v>244</x:v>
      </x:c>
      <x:c r="D41" s="63" t="n">
        <x:v>-3.3411502152767967</x:v>
      </x:c>
      <x:c r="E41" s="63" t="n">
        <x:v>0.013136316697663495</x:v>
      </x:c>
      <x:c r="F41" s="63" t="n">
        <x:v>1</x:v>
      </x:c>
      <x:c r="G41" s="63" t="n">
        <x:v>0.30403351764484754</x:v>
      </x:c>
      <x:c r="H41" s="63" t="n">
        <x:v>0.1</x:v>
      </x:c>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v>diferencial_bei_5y_pp</x:v>
      </x:c>
      <x:c r="B42" s="1" t="str">
        <x:v>primera_diferencia</x:v>
      </x:c>
      <x:c r="C42" s="1" t="n">
        <x:v>243</x:v>
      </x:c>
      <x:c r="D42" s="63" t="n">
        <x:v>-11.270204552691887</x:v>
      </x:c>
      <x:c r="E42" s="63" t="n">
        <x:v>1.5435949238674774e-20</x:v>
      </x:c>
      <x:c r="F42" s="63" t="n">
        <x:v>1</x:v>
      </x:c>
      <x:c r="G42" s="63" t="n">
        <x:v>0.05972588778441204</x:v>
      </x:c>
      <x:c r="H42" s="63" t="n">
        <x:v>0.1</x:v>
      </x:c>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N1"/>
    <x:mergeCell ref="A2:N3"/>
    <x:mergeCell ref="A5:D5"/>
    <x:mergeCell ref="F5:I5"/>
    <x:mergeCell ref="A17:H17"/>
    <x:mergeCell ref="J5:N5"/>
    <x:mergeCell ref="J14:M14"/>
    <x:mergeCell ref="J25:N27"/>
  </x:mergeCells>
  <x:pageMargins left="0.7" right="0.7" top="0.75" bottom="0.75" header="0.3" footer="0.3"/>
  <x:tableParts count="4">
    <x:tablePart xmlns:r="http://schemas.openxmlformats.org/officeDocument/2006/relationships" r:id="Rf1f282c90d724e0e"/>
    <x:tablePart xmlns:r="http://schemas.openxmlformats.org/officeDocument/2006/relationships" r:id="R51014b92049a4ae9"/>
    <x:tablePart xmlns:r="http://schemas.openxmlformats.org/officeDocument/2006/relationships" r:id="R47f3b4946e4f4248"/>
    <x:tablePart xmlns:r="http://schemas.openxmlformats.org/officeDocument/2006/relationships" r:id="Rf424c9b814ee4f36"/>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4" hidden="0" customWidth="1"/>
    <x:col min="2" max="2" width="25" hidden="0" customWidth="1"/>
    <x:col min="3" max="3" width="16" hidden="0" customWidth="1"/>
    <x:col min="4" max="4" width="21" hidden="0" customWidth="1"/>
    <x:col min="5" max="5" width="21" hidden="0" customWidth="1"/>
    <x:col min="6" max="6" width="21" hidden="0" customWidth="1"/>
    <x:col min="7" max="7" width="21" hidden="0" customWidth="1"/>
    <x:col min="8" max="8" width="31" hidden="0" customWidth="1"/>
    <x:col min="9" max="9" width="31" hidden="0" customWidth="1"/>
  </x:cols>
  <x:sheetData>
    <x:row r="1" ht="30" customHeight="1">
      <x:c r="A1" s="4" t="str">
        <x:v>Mapa de variables: núcleo y extensiones</x:v>
      </x:c>
      <x:c r="B1" s="4" t="str">
        <x:v>Mapa de variables: núcleo y extensiones</x:v>
      </x:c>
      <x:c r="C1" s="4" t="str">
        <x:v>Mapa de variables: núcleo y extensiones</x:v>
      </x:c>
      <x:c r="D1" s="4" t="str">
        <x:v>Mapa de variables: núcleo y extensiones</x:v>
      </x:c>
      <x:c r="E1" s="4" t="str">
        <x:v>Mapa de variables: núcleo y extensiones</x:v>
      </x:c>
      <x:c r="F1" s="4" t="str">
        <x:v>Mapa de variables: núcleo y extensiones</x:v>
      </x:c>
      <x:c r="G1" s="4" t="str">
        <x:v>Mapa de variables: núcleo y extensiones</x:v>
      </x:c>
      <x:c r="H1" s="4" t="str">
        <x:v>Mapa de variables: núcleo y extensiones</x:v>
      </x:c>
      <x:c r="I1" s="4" t="str">
        <x:v>Mapa de variables: núcleo y extensiones</x:v>
      </x:c>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El modelo principal conserva el núcleo parsimonioso; el ampliado integra seis canales adicionales. La comparación y los pesos Shapley permiten evaluar cuánto añaden sin confundir asociación con causalidad.</x:v>
      </x:c>
      <x:c r="B2" s="7" t="str">
        <x:v>El modelo principal conserva el núcleo parsimonioso; el ampliado integra seis canales adicionales. La comparación y los pesos Shapley permiten evaluar cuánto añaden sin confundir asociación con causalidad.</x:v>
      </x:c>
      <x:c r="C2" s="7" t="str">
        <x:v>El modelo principal conserva el núcleo parsimonioso; el ampliado integra seis canales adicionales. La comparación y los pesos Shapley permiten evaluar cuánto añaden sin confundir asociación con causalidad.</x:v>
      </x:c>
      <x:c r="D2" s="7" t="str">
        <x:v>El modelo principal conserva el núcleo parsimonioso; el ampliado integra seis canales adicionales. La comparación y los pesos Shapley permiten evaluar cuánto añaden sin confundir asociación con causalidad.</x:v>
      </x:c>
      <x:c r="E2" s="7" t="str">
        <x:v>El modelo principal conserva el núcleo parsimonioso; el ampliado integra seis canales adicionales. La comparación y los pesos Shapley permiten evaluar cuánto añaden sin confundir asociación con causalidad.</x:v>
      </x:c>
      <x:c r="F2" s="7" t="str">
        <x:v>El modelo principal conserva el núcleo parsimonioso; el ampliado integra seis canales adicionales. La comparación y los pesos Shapley permiten evaluar cuánto añaden sin confundir asociación con causalidad.</x:v>
      </x:c>
      <x:c r="G2" s="7" t="str">
        <x:v>El modelo principal conserva el núcleo parsimonioso; el ampliado integra seis canales adicionales. La comparación y los pesos Shapley permiten evaluar cuánto añaden sin confundir asociación con causalidad.</x:v>
      </x:c>
      <x:c r="H2" s="7" t="str">
        <x:v>El modelo principal conserva el núcleo parsimonioso; el ampliado integra seis canales adicionales. La comparación y los pesos Shapley permiten evaluar cuánto añaden sin confundir asociación con causalidad.</x:v>
      </x:c>
      <x:c r="I2" s="7" t="str">
        <x:v>El modelo principal conserva el núcleo parsimonioso; el ampliado integra seis canales adicionales. La comparación y los pesos Shapley permiten evaluar cuánto añaden sin confundir asociación con causalidad.</x:v>
      </x:c>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El modelo principal conserva el núcleo parsimonioso; el ampliado integra seis canales adicionales. La comparación y los pesos Shapley permiten evaluar cuánto añaden sin confundir asociación con causalidad.</x:v>
      </x:c>
      <x:c r="B3" s="7" t="str">
        <x:v>El modelo principal conserva el núcleo parsimonioso; el ampliado integra seis canales adicionales. La comparación y los pesos Shapley permiten evaluar cuánto añaden sin confundir asociación con causalidad.</x:v>
      </x:c>
      <x:c r="C3" s="7" t="str">
        <x:v>El modelo principal conserva el núcleo parsimonioso; el ampliado integra seis canales adicionales. La comparación y los pesos Shapley permiten evaluar cuánto añaden sin confundir asociación con causalidad.</x:v>
      </x:c>
      <x:c r="D3" s="7" t="str">
        <x:v>El modelo principal conserva el núcleo parsimonioso; el ampliado integra seis canales adicionales. La comparación y los pesos Shapley permiten evaluar cuánto añaden sin confundir asociación con causalidad.</x:v>
      </x:c>
      <x:c r="E3" s="7" t="str">
        <x:v>El modelo principal conserva el núcleo parsimonioso; el ampliado integra seis canales adicionales. La comparación y los pesos Shapley permiten evaluar cuánto añaden sin confundir asociación con causalidad.</x:v>
      </x:c>
      <x:c r="F3" s="7" t="str">
        <x:v>El modelo principal conserva el núcleo parsimonioso; el ampliado integra seis canales adicionales. La comparación y los pesos Shapley permiten evaluar cuánto añaden sin confundir asociación con causalidad.</x:v>
      </x:c>
      <x:c r="G3" s="7" t="str">
        <x:v>El modelo principal conserva el núcleo parsimonioso; el ampliado integra seis canales adicionales. La comparación y los pesos Shapley permiten evaluar cuánto añaden sin confundir asociación con causalidad.</x:v>
      </x:c>
      <x:c r="H3" s="7" t="str">
        <x:v>El modelo principal conserva el núcleo parsimonioso; el ampliado integra seis canales adicionales. La comparación y los pesos Shapley permiten evaluar cuánto añaden sin confundir asociación con causalidad.</x:v>
      </x:c>
      <x:c r="I3" s="7" t="str">
        <x:v>El modelo principal conserva el núcleo parsimonioso; el ampliado integra seis canales adicionales. La comparación y los pesos Shapley permiten evaluar cuánto añaden sin confundir asociación con causalidad.</x:v>
      </x:c>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40" customHeight="1">
      <x:c r="A5" s="62" t="str">
        <x:v>Bloque</x:v>
      </x:c>
      <x:c r="B5" s="62" t="str">
        <x:v>Variable</x:v>
      </x:c>
      <x:c r="C5" s="62" t="str">
        <x:v>Estatus</x:v>
      </x:c>
      <x:c r="D5" s="62" t="str">
        <x:v>Proxy/medición</x:v>
      </x:c>
      <x:c r="E5" s="62" t="str">
        <x:v>Transformación</x:v>
      </x:c>
      <x:c r="F5" s="62" t="str">
        <x:v>Signo sobre COP/USD</x:v>
      </x:c>
      <x:c r="G5" s="62" t="str">
        <x:v>Canal</x:v>
      </x:c>
      <x:c r="H5" s="62" t="str">
        <x:v>Justificación</x:v>
      </x:c>
      <x:c r="I5" s="62" t="str">
        <x:v>Cautela</x:v>
      </x:c>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38" customHeight="1">
      <x:c r="A6" s="64" t="str">
        <x:v>Objetivo</x:v>
      </x:c>
      <x:c r="B6" s="64" t="str">
        <x:v>TRM promedio mensual</x:v>
      </x:c>
      <x:c r="C6" s="132" t="str">
        <x:v>Modelo principal</x:v>
      </x:c>
      <x:c r="D6" s="64" t="str">
        <x:v>COP por USD</x:v>
      </x:c>
      <x:c r="E6" s="64" t="str">
        <x:v>Δln</x:v>
      </x:c>
      <x:c r="F6" s="64" t="str">
        <x:v>+ = depreciación</x:v>
      </x:c>
      <x:c r="G6" s="64" t="str">
        <x:v>Variable dependiente</x:v>
      </x:c>
      <x:c r="H6" s="64" t="str">
        <x:v>Precio del dólar en Colombia</x:v>
      </x:c>
      <x:c r="I6" s="64" t="str">
        <x:v>Promedios mensuales ocultan movimientos diarios</x:v>
      </x:c>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8" customHeight="1">
      <x:c r="A7" s="64" t="str">
        <x:v>Externo</x:v>
      </x:c>
      <x:c r="B7" s="64" t="str">
        <x:v>Términos de intercambio</x:v>
      </x:c>
      <x:c r="C7" s="132" t="str">
        <x:v>Modelo principal</x:v>
      </x:c>
      <x:c r="D7" s="64" t="str">
        <x:v>BanRep 15360</x:v>
      </x:c>
      <x:c r="E7" s="64" t="str">
        <x:v>Δln contemporáneo</x:v>
      </x:c>
      <x:c r="F7" s="64" t="str">
        <x:v>−</x:v>
      </x:c>
      <x:c r="G7" s="64" t="str">
        <x:v>Poder de compra externo</x:v>
      </x:c>
      <x:c r="H7" s="64" t="str">
        <x:v>Precios relativos de exportaciones e importaciones</x:v>
      </x:c>
      <x:c r="I7" s="64" t="str">
        <x:v>Su publicación tiene rezago; el uso contemporáneo es explicativo ex post</x:v>
      </x:c>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8" customHeight="1">
      <x:c r="A8" s="64" t="str">
        <x:v>Divisas</x:v>
      </x:c>
      <x:c r="B8" s="64" t="str">
        <x:v>Remesas recibidas</x:v>
      </x:c>
      <x:c r="C8" s="132" t="str">
        <x:v>Modelo principal</x:v>
      </x:c>
      <x:c r="D8" s="64" t="str">
        <x:v>Acumulado 12m en USD</x:v>
      </x:c>
      <x:c r="E8" s="64" t="str">
        <x:v>Δln, rezago 1</x:v>
      </x:c>
      <x:c r="F8" s="64" t="str">
        <x:v>− esperado</x:v>
      </x:c>
      <x:c r="G8" s="64" t="str">
        <x:v>Oferta de divisas</x:v>
      </x:c>
      <x:c r="H8" s="64" t="str">
        <x:v>Flujo estable de dólares</x:v>
      </x:c>
      <x:c r="I8" s="64" t="str">
        <x:v>Puede responder a la propia depreciación</x:v>
      </x:c>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8" customHeight="1">
      <x:c r="A9" s="64" t="str">
        <x:v>Monetario</x:v>
      </x:c>
      <x:c r="B9" s="64" t="str">
        <x:v>Diferencial tasas CO−EE. UU.</x:v>
      </x:c>
      <x:c r="C9" s="132" t="str">
        <x:v>Modelo principal</x:v>
      </x:c>
      <x:c r="D9" s="64" t="str">
        <x:v>Tasa política − Fed funds</x:v>
      </x:c>
      <x:c r="E9" s="64" t="str">
        <x:v>Δ pp, rezago 1</x:v>
      </x:c>
      <x:c r="F9" s="64" t="str">
        <x:v>−</x:v>
      </x:c>
      <x:c r="G9" s="64" t="str">
        <x:v>Retorno relativo</x:v>
      </x:c>
      <x:c r="H9" s="64" t="str">
        <x:v>Carry e ingreso de capital</x:v>
      </x:c>
      <x:c r="I9" s="64" t="str">
        <x:v>Tasas nominales; endógenas a inflación y TRM</x:v>
      </x:c>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8" customHeight="1">
      <x:c r="A10" s="64" t="str">
        <x:v>Fiscal</x:v>
      </x:c>
      <x:c r="B10" s="64" t="str">
        <x:v>Déficit GNC</x:v>
      </x:c>
      <x:c r="C10" s="132" t="str">
        <x:v>Modelo principal</x:v>
      </x:c>
      <x:c r="D10" s="64" t="str">
        <x:v>Acumulado 12m / PIB</x:v>
      </x:c>
      <x:c r="E10" s="64" t="str">
        <x:v>Δ pp, rezago 1</x:v>
      </x:c>
      <x:c r="F10" s="64" t="str">
        <x:v>+</x:v>
      </x:c>
      <x:c r="G10" s="64" t="str">
        <x:v>Riesgo fiscal</x:v>
      </x:c>
      <x:c r="H10" s="64" t="str">
        <x:v>Financiación y prima de riesgo</x:v>
      </x:c>
      <x:c r="I10" s="64" t="str">
        <x:v>Dato observado no es un shock fiscal exógeno</x:v>
      </x:c>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8" customHeight="1">
      <x:c r="A11" s="64" t="str">
        <x:v>Global</x:v>
      </x:c>
      <x:c r="B11" s="64" t="str">
        <x:v>Índice amplio del dólar</x:v>
      </x:c>
      <x:c r="C11" s="132" t="str">
        <x:v>Modelo principal</x:v>
      </x:c>
      <x:c r="D11" s="64" t="str">
        <x:v>Fed DTWEXBGS</x:v>
      </x:c>
      <x:c r="E11" s="64" t="str">
        <x:v>Δln contemporáneo</x:v>
      </x:c>
      <x:c r="F11" s="64" t="str">
        <x:v>+</x:v>
      </x:c>
      <x:c r="G11" s="64" t="str">
        <x:v>Fortaleza global USD</x:v>
      </x:c>
      <x:c r="H11" s="64" t="str">
        <x:v>Factor global común</x:v>
      </x:c>
      <x:c r="I11" s="64" t="str">
        <x:v>No es el DXY comercial de ICE</x:v>
      </x:c>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38" customHeight="1">
      <x:c r="A12" s="64" t="str">
        <x:v>Global</x:v>
      </x:c>
      <x:c r="B12" s="64" t="str">
        <x:v>VIX</x:v>
      </x:c>
      <x:c r="C12" s="132" t="str">
        <x:v>Modelo principal</x:v>
      </x:c>
      <x:c r="D12" s="64" t="str">
        <x:v>Promedio mensual</x:v>
      </x:c>
      <x:c r="E12" s="64" t="str">
        <x:v>Δln contemporáneo</x:v>
      </x:c>
      <x:c r="F12" s="64" t="str">
        <x:v>+</x:v>
      </x:c>
      <x:c r="G12" s="64" t="str">
        <x:v>Aversión al riesgo</x:v>
      </x:c>
      <x:c r="H12" s="64" t="str">
        <x:v>Risk-off y salida de emergentes</x:v>
      </x:c>
      <x:c r="I12" s="64" t="str">
        <x:v>Correlacionado con dólar global</x:v>
      </x:c>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38" customHeight="1">
      <x:c r="A13" s="64" t="str">
        <x:v>Riesgo</x:v>
      </x:c>
      <x:c r="B13" s="64" t="str">
        <x:v>EMBIG Colombia</x:v>
      </x:c>
      <x:c r="C13" s="6" t="str">
        <x:v>Modelo ampliado</x:v>
      </x:c>
      <x:c r="D13" s="64" t="str">
        <x:v>BCRPData PD04715XD</x:v>
      </x:c>
      <x:c r="E13" s="64" t="str">
        <x:v>Δ pp, contemporáneo</x:v>
      </x:c>
      <x:c r="F13" s="64" t="str">
        <x:v>+</x:v>
      </x:c>
      <x:c r="G13" s="64" t="str">
        <x:v>Riesgo soberano externo</x:v>
      </x:c>
      <x:c r="H13" s="64" t="str">
        <x:v>Prima de bonos soberanos frente a Treasuries</x:v>
      </x:c>
      <x:c r="I13" s="64" t="str">
        <x:v>Canasta con duración y composición variables; no es CDS a 5 años</x:v>
      </x:c>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38" customHeight="1">
      <x:c r="A14" s="64" t="str">
        <x:v>Reservas</x:v>
      </x:c>
      <x:c r="B14" s="64" t="str">
        <x:v>Reservas internacionales netas sin FLAR</x:v>
      </x:c>
      <x:c r="C14" s="6" t="str">
        <x:v>Modelo ampliado</x:v>
      </x:c>
      <x:c r="D14" s="64" t="str">
        <x:v>BanRep 15053</x:v>
      </x:c>
      <x:c r="E14" s="64" t="str">
        <x:v>Δln, rezago 1</x:v>
      </x:c>
      <x:c r="F14" s="64" t="str">
        <x:v>−</x:v>
      </x:c>
      <x:c r="G14" s="64" t="str">
        <x:v>Colchón externo</x:v>
      </x:c>
      <x:c r="H14" s="64" t="str">
        <x:v>Capacidad de intervención y liquidez</x:v>
      </x:c>
      <x:c r="I14" s="64" t="str">
        <x:v>La acumulación de reservas puede responder a la TRM</x:v>
      </x:c>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38" customHeight="1">
      <x:c r="A15" s="64" t="str">
        <x:v>Comercio</x:v>
      </x:c>
      <x:c r="B15" s="64" t="str">
        <x:v>Balanza comercial cambiaria</x:v>
      </x:c>
      <x:c r="C15" s="6" t="str">
        <x:v>Modelo ampliado</x:v>
      </x:c>
      <x:c r="D15" s="64" t="str">
        <x:v>BanRep 16702</x:v>
      </x:c>
      <x:c r="E15" s="64" t="str">
        <x:v>Δ asinh, rezago 1</x:v>
      </x:c>
      <x:c r="F15" s="64" t="str">
        <x:v>−</x:v>
      </x:c>
      <x:c r="G15" s="64" t="str">
        <x:v>Oferta neta de divisas</x:v>
      </x:c>
      <x:c r="H15" s="64" t="str">
        <x:v>Exportaciones menos importaciones canalizadas</x:v>
      </x:c>
      <x:c r="I15" s="64" t="str">
        <x:v>Es simultánea con la depreciación</x:v>
      </x:c>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38" customHeight="1">
      <x:c r="A16" s="64" t="str">
        <x:v>Precios</x:v>
      </x:c>
      <x:c r="B16" s="64" t="str">
        <x:v>Diferencial BEI 5 años CO−EE. UU.</x:v>
      </x:c>
      <x:c r="C16" s="6" t="str">
        <x:v>Modelo ampliado</x:v>
      </x:c>
      <x:c r="D16" s="64" t="str">
        <x:v>BanRep 15273−15276 menos Fed BKEVEN05</x:v>
      </x:c>
      <x:c r="E16" s="64" t="str">
        <x:v>Nivel en pp, rezago 1</x:v>
      </x:c>
      <x:c r="F16" s="64" t="str">
        <x:v>+</x:v>
      </x:c>
      <x:c r="G16" s="64" t="str">
        <x:v>Compensación inflacionaria relativa</x:v>
      </x:c>
      <x:c r="H16" s="64" t="str">
        <x:v>Horizonte común de cinco años</x:v>
      </x:c>
      <x:c r="I16" s="64" t="str">
        <x:v>Incluye primas de riesgo de inflación y liquidez; no es expectativa pura</x:v>
      </x:c>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38" customHeight="1">
      <x:c r="A17" s="64" t="str">
        <x:v>Mercado</x:v>
      </x:c>
      <x:c r="B17" s="64" t="str">
        <x:v>Monedas regionales</x:v>
      </x:c>
      <x:c r="C17" s="6" t="str">
        <x:v>Modelo ampliado</x:v>
      </x:c>
      <x:c r="D17" s="64" t="str">
        <x:v>BRL, CLP, MXN y PEN por USD</x:v>
      </x:c>
      <x:c r="E17" s="64" t="str">
        <x:v>Promedio igual de z(Δln), base 2006–2019</x:v>
      </x:c>
      <x:c r="F17" s="64" t="str">
        <x:v>+</x:v>
      </x:c>
      <x:c r="G17" s="64" t="str">
        <x:v>Contagio regional</x:v>
      </x:c>
      <x:c r="H17" s="64" t="str">
        <x:v>PEN mejora la explicación histórica frente a tres monedas</x:v>
      </x:c>
      <x:c r="I17" s="64" t="str">
        <x:v>Comparte información con VIX y dólar global</x:v>
      </x:c>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38" customHeight="1">
      <x:c r="A18" s="64" t="str">
        <x:v>Pronóstico</x:v>
      </x:c>
      <x:c r="B18" s="64" t="str">
        <x:v>Modelo de un mes</x:v>
      </x:c>
      <x:c r="C18" s="114" t="str">
        <x:v>Pronóstico publicado</x:v>
      </x:c>
      <x:c r="D18" s="64" t="str">
        <x:v>Variables disponibles al inicio de t</x:v>
      </x:c>
      <x:c r="E18" s="64" t="str">
        <x:v>Rezagos de 1 a 3 meses</x:v>
      </x:c>
      <x:c r="F18" s="64" t="str">
        <x:v>—</x:v>
      </x:c>
      <x:c r="G18" s="64" t="str">
        <x:v>Predicción ex ante</x:v>
      </x:c>
      <x:c r="H18" s="64" t="str">
        <x:v>Composición regional de tres monedas seleccionada por BIC</x:v>
      </x:c>
      <x:c r="I18" s="64" t="str">
        <x:v>Backtest pseudo-tiempo-real: faltan vintages históricos</x:v>
      </x:c>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ht="38" customHeight="1">
      <x:c r="A19" s="64" t="str">
        <x:v>Flujos</x:v>
      </x:c>
      <x:c r="B19" s="64" t="str">
        <x:v>Flujo neto total de capital</x:v>
      </x:c>
      <x:c r="C19" s="6" t="str">
        <x:v>Modelo ampliado</x:v>
      </x:c>
      <x:c r="D19" s="64" t="str">
        <x:v>BanRep 16706</x:v>
      </x:c>
      <x:c r="E19" s="64" t="str">
        <x:v>Δ asinh, rezago 1</x:v>
      </x:c>
      <x:c r="F19" s="64" t="str">
        <x:v>−</x:v>
      </x:c>
      <x:c r="G19" s="64" t="str">
        <x:v>Demanda de activos COP</x:v>
      </x:c>
      <x:c r="H19" s="64" t="str">
        <x:v>Resume entradas y salidas de capital</x:v>
      </x:c>
      <x:c r="I19" s="64" t="str">
        <x:v>Altamente endógeno y volátil</x:v>
      </x:c>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ht="38" customHeight="1">
      <x:c r="A20" s="64" t="str">
        <x:v>Política</x:v>
      </x:c>
      <x:c r="B20" s="64" t="str">
        <x:v>Intervención cambiaria</x:v>
      </x:c>
      <x:c r="C20" s="114" t="str">
        <x:v>Extensión futura</x:v>
      </x:c>
      <x:c r="D20" s="64" t="str">
        <x:v>Compras/ventas BanRep</x:v>
      </x:c>
      <x:c r="E20" s="64" t="str">
        <x:v>USD, rezago</x:v>
      </x:c>
      <x:c r="F20" s="64" t="str">
        <x:v>+ compras</x:v>
      </x:c>
      <x:c r="G20" s="64" t="str">
        <x:v>Demanda oficial de USD</x:v>
      </x:c>
      <x:c r="H20" s="64" t="str">
        <x:v>Importante en episodios puntuales</x:v>
      </x:c>
      <x:c r="I20" s="64" t="str">
        <x:v>Respuesta de política, no shock puro</x:v>
      </x:c>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I1"/>
    <x:mergeCell ref="A2:I3"/>
  </x:mergeCells>
  <x:pageMargins left="0.7" right="0.7" top="0.75" bottom="0.75" header="0.3" footer="0.3"/>
  <x:tableParts count="1">
    <x:tablePart xmlns:r="http://schemas.openxmlformats.org/officeDocument/2006/relationships" r:id="R6f204385ed5b4a07"/>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5" hidden="0" customWidth="1"/>
    <x:col min="2" max="2" width="30" hidden="0" customWidth="1"/>
    <x:col min="3" max="3" width="20" hidden="0" customWidth="1"/>
    <x:col min="4" max="4" width="20" hidden="0" customWidth="1"/>
    <x:col min="5" max="5" width="20" hidden="0" customWidth="1"/>
    <x:col min="6" max="6" width="20" hidden="0" customWidth="1"/>
    <x:col min="7" max="7" width="72" hidden="0" customWidth="1"/>
  </x:cols>
  <x:sheetData>
    <x:row r="1" ht="30" customHeight="1">
      <x:c r="A1" s="4" t="str">
        <x:v>Fuentes y trazabilidad</x:v>
      </x:c>
      <x:c r="B1" s="4" t="str">
        <x:v>Fuentes y trazabilidad</x:v>
      </x:c>
      <x:c r="C1" s="4" t="str">
        <x:v>Fuentes y trazabilidad</x:v>
      </x:c>
      <x:c r="D1" s="4" t="str">
        <x:v>Fuentes y trazabilidad</x:v>
      </x:c>
      <x:c r="E1" s="4" t="str">
        <x:v>Fuentes y trazabilidad</x:v>
      </x:c>
      <x:c r="F1" s="4" t="str">
        <x:v>Fuentes y trazabilidad</x:v>
      </x:c>
      <x:c r="G1" s="4" t="str">
        <x:v>Fuentes y trazabilidad</x:v>
      </x:c>
      <x:c r="H1" s="1"/>
      <x:c r="I1" s="1"/>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Enlaces oficiales o distribuidores públicos de las series activas. EMBIG se redistribuye conforme a las condiciones de BCRPData, con atribución a BCRPData y a sus fuentes originales Reuters/J.P. Morgan; no se afirma una licencia abierta del índice subyacente.</x:v>
      </x:c>
      <x:c r="B2" s="7" t="str">
        <x:v>Enlaces oficiales o distribuidores públicos de las series activas. EMBIG se redistribuye conforme a las condiciones de BCRPData, con atribución a BCRPData y a sus fuentes originales Reuters/J.P. Morgan; no se afirma una licencia abierta del índice subyacente.</x:v>
      </x:c>
      <x:c r="C2" s="7" t="str">
        <x:v>Enlaces oficiales o distribuidores públicos de las series activas. EMBIG se redistribuye conforme a las condiciones de BCRPData, con atribución a BCRPData y a sus fuentes originales Reuters/J.P. Morgan; no se afirma una licencia abierta del índice subyacente.</x:v>
      </x:c>
      <x:c r="D2" s="7" t="str">
        <x:v>Enlaces oficiales o distribuidores públicos de las series activas. EMBIG se redistribuye conforme a las condiciones de BCRPData, con atribución a BCRPData y a sus fuentes originales Reuters/J.P. Morgan; no se afirma una licencia abierta del índice subyacente.</x:v>
      </x:c>
      <x:c r="E2" s="7" t="str">
        <x:v>Enlaces oficiales o distribuidores públicos de las series activas. EMBIG se redistribuye conforme a las condiciones de BCRPData, con atribución a BCRPData y a sus fuentes originales Reuters/J.P. Morgan; no se afirma una licencia abierta del índice subyacente.</x:v>
      </x:c>
      <x:c r="F2" s="7" t="str">
        <x:v>Enlaces oficiales o distribuidores públicos de las series activas. EMBIG se redistribuye conforme a las condiciones de BCRPData, con atribución a BCRPData y a sus fuentes originales Reuters/J.P. Morgan; no se afirma una licencia abierta del índice subyacente.</x:v>
      </x:c>
      <x:c r="G2" s="7" t="str">
        <x:v>Enlaces oficiales o distribuidores públicos de las series activas. EMBIG se redistribuye conforme a las condiciones de BCRPData, con atribución a BCRPData y a sus fuentes originales Reuters/J.P. Morgan; no se afirma una licencia abierta del índice subyacente.</x:v>
      </x:c>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Enlaces oficiales o distribuidores públicos de las series activas. EMBIG se redistribuye conforme a las condiciones de BCRPData, con atribución a BCRPData y a sus fuentes originales Reuters/J.P. Morgan; no se afirma una licencia abierta del índice subyacente.</x:v>
      </x:c>
      <x:c r="B3" s="7" t="str">
        <x:v>Enlaces oficiales o distribuidores públicos de las series activas. EMBIG se redistribuye conforme a las condiciones de BCRPData, con atribución a BCRPData y a sus fuentes originales Reuters/J.P. Morgan; no se afirma una licencia abierta del índice subyacente.</x:v>
      </x:c>
      <x:c r="C3" s="7" t="str">
        <x:v>Enlaces oficiales o distribuidores públicos de las series activas. EMBIG se redistribuye conforme a las condiciones de BCRPData, con atribución a BCRPData y a sus fuentes originales Reuters/J.P. Morgan; no se afirma una licencia abierta del índice subyacente.</x:v>
      </x:c>
      <x:c r="D3" s="7" t="str">
        <x:v>Enlaces oficiales o distribuidores públicos de las series activas. EMBIG se redistribuye conforme a las condiciones de BCRPData, con atribución a BCRPData y a sus fuentes originales Reuters/J.P. Morgan; no se afirma una licencia abierta del índice subyacente.</x:v>
      </x:c>
      <x:c r="E3" s="7" t="str">
        <x:v>Enlaces oficiales o distribuidores públicos de las series activas. EMBIG se redistribuye conforme a las condiciones de BCRPData, con atribución a BCRPData y a sus fuentes originales Reuters/J.P. Morgan; no se afirma una licencia abierta del índice subyacente.</x:v>
      </x:c>
      <x:c r="F3" s="7" t="str">
        <x:v>Enlaces oficiales o distribuidores públicos de las series activas. EMBIG se redistribuye conforme a las condiciones de BCRPData, con atribución a BCRPData y a sus fuentes originales Reuters/J.P. Morgan; no se afirma una licencia abierta del índice subyacente.</x:v>
      </x:c>
      <x:c r="G3" s="7" t="str">
        <x:v>Enlaces oficiales o distribuidores públicos de las series activas. EMBIG se redistribuye conforme a las condiciones de BCRPData, con atribución a BCRPData y a sus fuentes originales Reuters/J.P. Morgan; no se afirma una licencia abierta del índice subyacente.</x:v>
      </x:c>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62" t="str">
        <x:v>Organismo</x:v>
      </x:c>
      <x:c r="B5" s="62" t="str">
        <x:v>Serie/código</x:v>
      </x:c>
      <x:c r="C5" s="62" t="str">
        <x:v>Frecuencia</x:v>
      </x:c>
      <x:c r="D5" s="62" t="str">
        <x:v>Cobertura</x:v>
      </x:c>
      <x:c r="E5" s="62" t="str">
        <x:v>Uso</x:v>
      </x:c>
      <x:c r="F5" s="62" t="str">
        <x:v>Tratamiento</x:v>
      </x:c>
      <x:c r="G5" s="62" t="str">
        <x:v>URL</x:v>
      </x:c>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42" customHeight="1">
      <x:c r="A6" s="64" t="str">
        <x:v>Banco de la República</x:v>
      </x:c>
      <x:c r="B6" s="64" t="str">
        <x:v>TRM diaria, serie 1</x:v>
      </x:c>
      <x:c r="C6" s="64" t="str">
        <x:v>Diaria → mensual</x:v>
      </x:c>
      <x:c r="D6" s="64" t="str">
        <x:v>1991–2026</x:v>
      </x:c>
      <x:c r="E6" s="64" t="str">
        <x:v>Modelo principal</x:v>
      </x:c>
      <x:c r="F6" s="64" t="str">
        <x:v>Promedio mensual</x:v>
      </x:c>
      <x:c r="G6" s="64" t="str">
        <x:v>https://suameca.banrep.gov.co/graficador-series/rest/graficadorService/consultaSerieParaGraficar?idSerie=1</x:v>
      </x:c>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42" customHeight="1">
      <x:c r="A7" s="64" t="str">
        <x:v>Banco de la República</x:v>
      </x:c>
      <x:c r="B7" s="64" t="str">
        <x:v>Tasa de política, serie 59</x:v>
      </x:c>
      <x:c r="C7" s="64" t="str">
        <x:v>Diaria → mensual</x:v>
      </x:c>
      <x:c r="D7" s="64" t="str">
        <x:v>1998–2026</x:v>
      </x:c>
      <x:c r="E7" s="64" t="str">
        <x:v>Modelo principal</x:v>
      </x:c>
      <x:c r="F7" s="64" t="str">
        <x:v>Promedio mensual</x:v>
      </x:c>
      <x:c r="G7" s="64" t="str">
        <x:v>https://suameca.banrep.gov.co/graficador-series/rest/graficadorService/consultaSerieParaGraficar?idSerie=59</x:v>
      </x:c>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42" customHeight="1">
      <x:c r="A8" s="64" t="str">
        <x:v>Banco de la República</x:v>
      </x:c>
      <x:c r="B8" s="64" t="str">
        <x:v>Remesas, serie 15363</x:v>
      </x:c>
      <x:c r="C8" s="64" t="str">
        <x:v>Mensual</x:v>
      </x:c>
      <x:c r="D8" s="64" t="str">
        <x:v>2000–2026</x:v>
      </x:c>
      <x:c r="E8" s="64" t="str">
        <x:v>Modelo principal</x:v>
      </x:c>
      <x:c r="F8" s="64" t="str">
        <x:v>Acumulado móvil 12 meses</x:v>
      </x:c>
      <x:c r="G8" s="64" t="str">
        <x:v>https://suameca.banrep.gov.co/graficador-series/rest/graficadorService/consultaSerieParaGraficar?idSerie=15363</x:v>
      </x:c>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42" customHeight="1">
      <x:c r="A9" s="64" t="str">
        <x:v>Ministerio de Hacienda</x:v>
      </x:c>
      <x:c r="B9" s="64" t="str">
        <x:v>Balance fiscal GNC</x:v>
      </x:c>
      <x:c r="C9" s="64" t="str">
        <x:v>Mensual</x:v>
      </x:c>
      <x:c r="D9" s="64" t="str">
        <x:v>2004–2026</x:v>
      </x:c>
      <x:c r="E9" s="64" t="str">
        <x:v>Modelo principal</x:v>
      </x:c>
      <x:c r="F9" s="64" t="str">
        <x:v>Balance de caja; déficit positivo tras cambiar signo</x:v>
      </x:c>
      <x:c r="G9" s="64" t="str">
        <x:v>https://www.minhacienda.gov.co/documents/d/portal/balance-fiscal-gnc-mensual-y-trimestral?download=true</x:v>
      </x:c>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42" customHeight="1">
      <x:c r="A10" s="64" t="str">
        <x:v>Federal Reserve / FRED</x:v>
      </x:c>
      <x:c r="B10" s="64" t="str">
        <x:v>Federal funds FEDFUNDS</x:v>
      </x:c>
      <x:c r="C10" s="64" t="str">
        <x:v>Mensual</x:v>
      </x:c>
      <x:c r="D10" s="64" t="str">
        <x:v>1954–2026</x:v>
      </x:c>
      <x:c r="E10" s="64" t="str">
        <x:v>Modelo principal</x:v>
      </x:c>
      <x:c r="F10" s="64" t="str">
        <x:v>Promedio mensual</x:v>
      </x:c>
      <x:c r="G10" s="64" t="str">
        <x:v>https://fred.stlouisfed.org/series/FEDFUNDS</x:v>
      </x:c>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42" customHeight="1">
      <x:c r="A11" s="64" t="str">
        <x:v>Federal Reserve / FRED</x:v>
      </x:c>
      <x:c r="B11" s="64" t="str">
        <x:v>Índice amplio USD DTWEXBGS</x:v>
      </x:c>
      <x:c r="C11" s="64" t="str">
        <x:v>Diaria → mensual</x:v>
      </x:c>
      <x:c r="D11" s="64" t="str">
        <x:v>2006–2026</x:v>
      </x:c>
      <x:c r="E11" s="64" t="str">
        <x:v>Modelo principal</x:v>
      </x:c>
      <x:c r="F11" s="64" t="str">
        <x:v>Índice nominal amplio</x:v>
      </x:c>
      <x:c r="G11" s="64" t="str">
        <x:v>https://fred.stlouisfed.org/series/DTWEXBGS</x:v>
      </x:c>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42" customHeight="1">
      <x:c r="A12" s="64" t="str">
        <x:v>Cboe / FRED</x:v>
      </x:c>
      <x:c r="B12" s="64" t="str">
        <x:v>VIXCLS</x:v>
      </x:c>
      <x:c r="C12" s="64" t="str">
        <x:v>Diaria → mensual</x:v>
      </x:c>
      <x:c r="D12" s="64" t="str">
        <x:v>1990–2026</x:v>
      </x:c>
      <x:c r="E12" s="64" t="str">
        <x:v>Modelo principal</x:v>
      </x:c>
      <x:c r="F12" s="64" t="str">
        <x:v>Promedio mensual</x:v>
      </x:c>
      <x:c r="G12" s="64" t="str">
        <x:v>https://fred.stlouisfed.org/series/VIXCLS</x:v>
      </x:c>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42" customHeight="1">
      <x:c r="A13" s="64" t="str">
        <x:v>Banco de la República</x:v>
      </x:c>
      <x:c r="B13" s="64" t="str">
        <x:v>Términos de intercambio 15360</x:v>
      </x:c>
      <x:c r="C13" s="64" t="str">
        <x:v>Mensual</x:v>
      </x:c>
      <x:c r="D13" s="64" t="str">
        <x:v>1995–2026</x:v>
      </x:c>
      <x:c r="E13" s="64" t="str">
        <x:v>Modelo principal</x:v>
      </x:c>
      <x:c r="F13" s="64" t="str">
        <x:v>Índice encadenado; Δln contemporáneo en explicación ex post</x:v>
      </x:c>
      <x:c r="G13" s="64" t="str">
        <x:v>https://suameca.banrep.gov.co/graficador-series/rest/graficadorService/consultaSerieParaGraficar?idSerie=15360</x:v>
      </x:c>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42" customHeight="1">
      <x:c r="A14" s="64" t="str">
        <x:v>Banco de la República</x:v>
      </x:c>
      <x:c r="B14" s="64" t="str">
        <x:v>Reservas netas sin FLAR 15053</x:v>
      </x:c>
      <x:c r="C14" s="64" t="str">
        <x:v>Mensual</x:v>
      </x:c>
      <x:c r="D14" s="64" t="str">
        <x:v>1960–2026</x:v>
      </x:c>
      <x:c r="E14" s="64" t="str">
        <x:v>Modelo ampliado</x:v>
      </x:c>
      <x:c r="F14" s="64" t="str">
        <x:v>Log y rezago</x:v>
      </x:c>
      <x:c r="G14" s="64" t="str">
        <x:v>https://suameca.banrep.gov.co/graficador-series/rest/graficadorService/consultaSerieParaGraficar?idSerie=15053</x:v>
      </x:c>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42" customHeight="1">
      <x:c r="A15" s="64" t="str">
        <x:v>BCRPData</x:v>
      </x:c>
      <x:c r="B15" s="64" t="str">
        <x:v>EMBIG Colombia PD04715XD</x:v>
      </x:c>
      <x:c r="C15" s="64" t="str">
        <x:v>Diaria → mensual</x:v>
      </x:c>
      <x:c r="D15" s="64" t="str">
        <x:v>2006–2026</x:v>
      </x:c>
      <x:c r="E15" s="64" t="str">
        <x:v>Modelo ampliado</x:v>
      </x:c>
      <x:c r="F15" s="64" t="str">
        <x:v>Promedio mensual; pb/100; fuentes originales Reuters/J.P. Morgan</x:v>
      </x:c>
      <x:c r="G15" s="64" t="str">
        <x:v>https://estadisticas.bcrp.gob.pe/estadisticas/series/diarias/tasas-de-interes-embig-variacion-en-pbs</x:v>
      </x:c>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42" customHeight="1">
      <x:c r="A16" s="64" t="str">
        <x:v>Banco de la República</x:v>
      </x:c>
      <x:c r="B16" s="64" t="str">
        <x:v>TES pesos cero cupón 5 años 15273</x:v>
      </x:c>
      <x:c r="C16" s="64" t="str">
        <x:v>Diaria → mensual</x:v>
      </x:c>
      <x:c r="D16" s="64" t="str">
        <x:v>2003–2026</x:v>
      </x:c>
      <x:c r="E16" s="64" t="str">
        <x:v>Modelo ampliado</x:v>
      </x:c>
      <x:c r="F16" s="64" t="str">
        <x:v>Promedio mensual; componente nominal del BEI</x:v>
      </x:c>
      <x:c r="G16" s="64" t="str">
        <x:v>https://suameca.banrep.gov.co/graficador-series/rest/graficadorService/consultaSerieParaGraficar?idSerie=15273</x:v>
      </x:c>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42" customHeight="1">
      <x:c r="A17" s="64" t="str">
        <x:v>Banco de la República</x:v>
      </x:c>
      <x:c r="B17" s="64" t="str">
        <x:v>TES UVR cero cupón 5 años 15276</x:v>
      </x:c>
      <x:c r="C17" s="64" t="str">
        <x:v>Diaria → mensual</x:v>
      </x:c>
      <x:c r="D17" s="64" t="str">
        <x:v>2003–2026</x:v>
      </x:c>
      <x:c r="E17" s="64" t="str">
        <x:v>Modelo ampliado</x:v>
      </x:c>
      <x:c r="F17" s="64" t="str">
        <x:v>Promedio mensual; componente real del BEI</x:v>
      </x:c>
      <x:c r="G17" s="64" t="str">
        <x:v>https://suameca.banrep.gov.co/graficador-series/rest/graficadorService/consultaSerieParaGraficar?idSerie=15276</x:v>
      </x:c>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42" customHeight="1">
      <x:c r="A18" s="64" t="str">
        <x:v>Federal Reserve Board</x:v>
      </x:c>
      <x:c r="B18" s="64" t="str">
        <x:v>GSW BKEVEN05</x:v>
      </x:c>
      <x:c r="C18" s="64" t="str">
        <x:v>Diaria → mensual</x:v>
      </x:c>
      <x:c r="D18" s="64" t="str">
        <x:v>2003–2026</x:v>
      </x:c>
      <x:c r="E18" s="64" t="str">
        <x:v>Modelo ampliado</x:v>
      </x:c>
      <x:c r="F18" s="64" t="str">
        <x:v>Compensación inflacionaria cero cupón 5 años; producto de investigación revisable</x:v>
      </x:c>
      <x:c r="G18" s="64" t="str">
        <x:v>https://www.federalreserve.gov/data/yield-curve-tables/feds200805_1.html</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ht="42" customHeight="1">
      <x:c r="A19" s="64" t="str">
        <x:v>Banco de la República</x:v>
      </x:c>
      <x:c r="B19" s="64" t="str">
        <x:v>Balanza comercial cambiaria 16702</x:v>
      </x:c>
      <x:c r="C19" s="64" t="str">
        <x:v>Mensual</x:v>
      </x:c>
      <x:c r="D19" s="64" t="str">
        <x:v>2001–2026</x:v>
      </x:c>
      <x:c r="E19" s="64" t="str">
        <x:v>Modelo ampliado</x:v>
      </x:c>
      <x:c r="F19" s="64" t="str">
        <x:v>Δ asinh y rezago</x:v>
      </x:c>
      <x:c r="G19" s="64" t="str">
        <x:v>https://suameca.banrep.gov.co/graficador-series/rest/graficadorService/consultaSerieParaGraficar?idSerie=16702</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ht="42" customHeight="1">
      <x:c r="A20" s="64" t="str">
        <x:v>Banco de la República</x:v>
      </x:c>
      <x:c r="B20" s="64" t="str">
        <x:v>Flujo neto total de capital 16706</x:v>
      </x:c>
      <x:c r="C20" s="64" t="str">
        <x:v>Mensual</x:v>
      </x:c>
      <x:c r="D20" s="64" t="str">
        <x:v>2001–2026</x:v>
      </x:c>
      <x:c r="E20" s="64" t="str">
        <x:v>Modelo ampliado</x:v>
      </x:c>
      <x:c r="F20" s="64" t="str">
        <x:v>Δ asinh y rezago</x:v>
      </x:c>
      <x:c r="G20" s="64" t="str">
        <x:v>https://suameca.banrep.gov.co/graficador-series/rest/graficadorService/consultaSerieParaGraficar?idSerie=16706</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ht="42" customHeight="1">
      <x:c r="A21" s="64" t="str">
        <x:v>OECD / FRED</x:v>
      </x:c>
      <x:c r="B21" s="64" t="str">
        <x:v>BRL por USD CCUSMA02BRM618N</x:v>
      </x:c>
      <x:c r="C21" s="64" t="str">
        <x:v>Mensual</x:v>
      </x:c>
      <x:c r="D21" s="64" t="str">
        <x:v>1994–2026</x:v>
      </x:c>
      <x:c r="E21" s="64" t="str">
        <x:v>Modelo ampliado</x:v>
      </x:c>
      <x:c r="F21" s="64" t="str">
        <x:v>Factor regional a partir de Δln</x:v>
      </x:c>
      <x:c r="G21" s="64" t="str">
        <x:v>https://fred.stlouisfed.org/series/CCUSMA02BRM618N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ht="42" customHeight="1">
      <x:c r="A22" s="64" t="str">
        <x:v>OECD / FRED</x:v>
      </x:c>
      <x:c r="B22" s="64" t="str">
        <x:v>CLP por USD CCUSMA02CLM618N</x:v>
      </x:c>
      <x:c r="C22" s="64" t="str">
        <x:v>Mensual</x:v>
      </x:c>
      <x:c r="D22" s="64" t="str">
        <x:v>1960–2026</x:v>
      </x:c>
      <x:c r="E22" s="64" t="str">
        <x:v>Modelo ampliado</x:v>
      </x:c>
      <x:c r="F22" s="64" t="str">
        <x:v>Factor regional a partir de Δln</x:v>
      </x:c>
      <x:c r="G22" s="64" t="str">
        <x:v>https://fred.stlouisfed.org/series/CCUSMA02CLM618N</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ht="42" customHeight="1">
      <x:c r="A23" s="64" t="str">
        <x:v>OECD / FRED</x:v>
      </x:c>
      <x:c r="B23" s="64" t="str">
        <x:v>MXN por USD CCUSMA02MXM618N</x:v>
      </x:c>
      <x:c r="C23" s="64" t="str">
        <x:v>Mensual</x:v>
      </x:c>
      <x:c r="D23" s="64" t="str">
        <x:v>1957–2026</x:v>
      </x:c>
      <x:c r="E23" s="64" t="str">
        <x:v>Modelo ampliado</x:v>
      </x:c>
      <x:c r="F23" s="64" t="str">
        <x:v>Factor regional a partir de Δln</x:v>
      </x:c>
      <x:c r="G23" s="64" t="str">
        <x:v>https://fred.stlouisfed.org/series/CCUSMA02MXM618N</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42" customHeight="1">
      <x:c r="A24" s="64" t="str">
        <x:v>BCRPData</x:v>
      </x:c>
      <x:c r="B24" s="64" t="str">
        <x:v>PEN por USD PN01207PM</x:v>
      </x:c>
      <x:c r="C24" s="64" t="str">
        <x:v>Mensual</x:v>
      </x:c>
      <x:c r="D24" s="64" t="str">
        <x:v>1995–2026</x:v>
      </x:c>
      <x:c r="E24" s="64" t="str">
        <x:v>Modelo ampliado y comparación regional</x:v>
      </x:c>
      <x:c r="F24" s="64" t="str">
        <x:v>Interbancario promedio; factor regional a partir de Δln</x:v>
      </x:c>
      <x:c r="G24" s="64" t="str">
        <x:v>https://estadisticas.bcrp.gob.pe/estadisticas/series/mensuales/resultados/PN01207PM/html</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42" customHeight="1">
      <x:c r="A25" s="64" t="str">
        <x:v>Cboe</x:v>
      </x:c>
      <x:c r="B25" s="64" t="str">
        <x:v>VIX histórico</x:v>
      </x:c>
      <x:c r="C25" s="64" t="str">
        <x:v>Diaria</x:v>
      </x:c>
      <x:c r="D25" s="64" t="str">
        <x:v>1990–2026</x:v>
      </x:c>
      <x:c r="E25" s="64" t="str">
        <x:v>Verificación</x:v>
      </x:c>
      <x:c r="F25" s="64" t="str">
        <x:v>Fuente primaria del VIX</x:v>
      </x:c>
      <x:c r="G25" s="64" t="str">
        <x:v>https://www.cboe.com/tradable_products/vix/vix_historical_data</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42" customHeight="1">
      <x:c r="A26" s="64" t="str">
        <x:v>Banco de la República</x:v>
      </x:c>
      <x:c r="B26" s="64" t="str">
        <x:v>Portal de sector externo</x:v>
      </x:c>
      <x:c r="C26" s="64" t="str">
        <x:v>Varias</x:v>
      </x:c>
      <x:c r="D26" s="64" t="str">
        <x:v>Histórico</x:v>
      </x:c>
      <x:c r="E26" s="64" t="str">
        <x:v>Documentación</x:v>
      </x:c>
      <x:c r="F26" s="64" t="str">
        <x:v>Metodologías de TRM, remesas y sector externo</x:v>
      </x:c>
      <x:c r="G26" s="64" t="str">
        <x:v>https://www.banrep.gov.co/es/estadisticas-economicas/series-historicas/tasas-cambio-sector-externo</x:v>
      </x:c>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ht="42" customHeight="1">
      <x:c r="A27" s="64" t="str">
        <x:v>BCRPData</x:v>
      </x:c>
      <x:c r="B27" s="64" t="str">
        <x:v>Condiciones de uso</x:v>
      </x:c>
      <x:c r="C27" s="64" t="str">
        <x:v>Documentación</x:v>
      </x:c>
      <x:c r="D27" s="64" t="str">
        <x:v>Vigente</x:v>
      </x:c>
      <x:c r="E27" s="64" t="str">
        <x:v>Licencia/atribución</x:v>
      </x:c>
      <x:c r="F27" s="64" t="str">
        <x:v>Permite reproducción con cita de la fuente; revisar derechos del índice subyacente</x:v>
      </x:c>
      <x:c r="G27" s="64" t="str">
        <x:v>https://estadisticas.bcrp.gob.pe/estadisticas/series/ayuda/condiciones-de-uso</x:v>
      </x:c>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G1"/>
    <x:mergeCell ref="A2:G3"/>
  </x:mergeCells>
  <x:pageMargins left="0.7" right="0.7" top="0.75" bottom="0.75" header="0.3" footer="0.3"/>
  <x:tableParts count="1">
    <x:tablePart xmlns:r="http://schemas.openxmlformats.org/officeDocument/2006/relationships" r:id="R89d34c6501754f70"/>
  </x:tableParts>
</x:worksheet>
</file>