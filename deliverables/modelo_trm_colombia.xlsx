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8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10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sheets/sheet11.xml" ContentType="application/vnd.openxmlformats-officedocument.spreadsheetml.worksheet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worksheets/sheet12.xml" ContentType="application/vnd.openxmlformats-officedocument.spreadsheetml.worksheet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worksheets/sheet13.xml" ContentType="application/vnd.openxmlformats-officedocument.spreadsheetml.worksheet+xml"/>
  <Override PartName="/xl/tables/table38.xml" ContentType="application/vnd.openxmlformats-officedocument.spreadsheetml.table+xml"/>
  <Override PartName="/xl/worksheets/sheet14.xml" ContentType="application/vnd.openxmlformats-officedocument.spreadsheetml.worksheet+xml"/>
  <Override PartName="/xl/tables/table3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Datos_fuente" sheetId="2" state="visible" r:id="rId2"/>
    <sheet name="Transformaciones" sheetId="3" state="visible" r:id="rId3"/>
    <sheet name="Controles_externos" sheetId="4" state="visible" r:id="rId4"/>
    <sheet name="Marco_macro_integral" sheetId="5" state="visible" r:id="rId5"/>
    <sheet name="Pesos_explicativos" sheetId="6" state="visible" r:id="rId6"/>
    <sheet name="Robustez" sheetId="7" state="visible" r:id="rId7"/>
    <sheet name="BEI_robustez" sheetId="8" state="visible" r:id="rId8"/>
    <sheet name="Validacion" sheetId="9" state="visible" r:id="rId9"/>
    <sheet name="Pronostico" sheetId="10" state="visible" r:id="rId10"/>
    <sheet name="ECM_exploratorio" sheetId="11" state="visible" r:id="rId11"/>
    <sheet name="Diagnosticos" sheetId="12" state="visible" r:id="rId12"/>
    <sheet name="Variables" sheetId="13" state="visible" r:id="rId13"/>
    <sheet name="Fuentes" sheetId="14" state="visible" r:id="rId14"/>
  </sheets>
  <definedNames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;[Red]-#,##0.00"/>
    <numFmt numFmtId="167" formatCode="#,##0.0000"/>
    <numFmt numFmtId="168" formatCode="0.000000"/>
    <numFmt numFmtId="169" formatCode="0.0000%"/>
    <numFmt numFmtId="170" formatCode="0.000"/>
    <numFmt numFmtId="171" formatCode="0.00 &quot;p.p.&quot;"/>
  </numFmts>
  <fonts count="5">
    <font>
      <name val="Carlito"/>
      <sz val="11"/>
    </font>
    <font>
      <name val="Aptos"/>
      <color rgb="FF1F2937"/>
      <sz val="11"/>
    </font>
    <font>
      <name val="Aptos"/>
      <b val="1"/>
      <color rgb="FFFFFFFF"/>
      <sz val="11"/>
    </font>
    <font>
      <name val="Aptos"/>
      <b val="1"/>
      <color rgb="FF17365D"/>
      <sz val="11"/>
    </font>
    <font>
      <name val="Aptos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F75B5"/>
      </patternFill>
    </fill>
    <fill>
      <patternFill patternType="solid">
        <fgColor rgb="FFF2F2F2"/>
      </patternFill>
    </fill>
  </fills>
  <borders count="26">
    <border/>
    <border>
      <left style="thin">
        <color rgb="FF2F75B5"/>
      </left>
      <top style="thin">
        <color rgb="FF2F75B5"/>
      </top>
      <bottom style="thin">
        <color rgb="FF2F75B5"/>
      </bottom>
    </border>
    <border>
      <right style="thin">
        <color rgb="FF2F75B5"/>
      </right>
      <top style="thin">
        <color rgb="FF2F75B5"/>
      </top>
      <bottom style="thin">
        <color rgb="FF2F75B5"/>
      </bottom>
    </border>
    <border>
      <left style="thin">
        <color rgb="FF2F75B5"/>
      </left>
      <top style="thin">
        <color rgb="FF2F75B5"/>
      </top>
    </border>
    <border>
      <right style="thin">
        <color rgb="FF2F75B5"/>
      </right>
      <top style="thin">
        <color rgb="FF2F75B5"/>
      </top>
    </border>
    <border>
      <left style="thin">
        <color rgb="FF2F75B5"/>
      </left>
      <bottom style="thin">
        <color rgb="FF2F75B5"/>
      </bottom>
    </border>
    <border>
      <right style="thin">
        <color rgb="FF2F75B5"/>
      </right>
      <bottom style="thin">
        <color rgb="FF2F75B5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E6B800"/>
      </left>
      <right style="thin">
        <color rgb="FFE6B800"/>
      </right>
      <top style="thin">
        <color rgb="FFE6B800"/>
      </top>
      <bottom style="thin">
        <color rgb="FFE6B800"/>
      </bottom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</border>
    <border>
      <top style="thin">
        <color rgb="FF2F75B5"/>
      </top>
    </border>
    <border>
      <left style="thin">
        <color rgb="FF2F75B5"/>
      </left>
    </border>
    <border>
      <right style="thin">
        <color rgb="FF2F75B5"/>
      </right>
    </border>
    <border>
      <top style="thin">
        <color rgb="FFE6B800"/>
      </top>
    </border>
    <border>
      <right style="thin">
        <color rgb="FFE6B800"/>
      </right>
      <top style="thin">
        <color rgb="FFE6B800"/>
      </top>
    </border>
    <border>
      <top style="thin">
        <color rgb="FFE6B800"/>
      </top>
      <bottom style="thin">
        <color rgb="FFE6B800"/>
      </bottom>
    </border>
    <border>
      <right style="thin">
        <color rgb="FFE6B800"/>
      </right>
      <top style="thin">
        <color rgb="FFE6B800"/>
      </top>
      <bottom style="thin">
        <color rgb="FFE6B800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D9E1F2"/>
      </top>
    </border>
    <border>
      <right style="thin">
        <color rgb="FFD9E1F2"/>
      </right>
      <top style="thin">
        <color rgb="FFD9E1F2"/>
      </top>
    </border>
    <border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" fillId="4" borderId="0" pivotButton="0" quotePrefix="0" xfId="0"/>
    <xf numFmtId="0" fontId="3" fillId="4" borderId="0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1" fillId="5" borderId="0" pivotButton="0" quotePrefix="0" xfId="0"/>
    <xf numFmtId="0" fontId="3" fillId="5" borderId="0" pivotButton="0" quotePrefix="0" xfId="0"/>
    <xf numFmtId="0" fontId="3" fillId="5" borderId="1" pivotButton="0" quotePrefix="0" xfId="0"/>
    <xf numFmtId="0" fontId="3" fillId="5" borderId="2" pivotButton="0" quotePrefix="0" xfId="0"/>
    <xf numFmtId="0" fontId="3" fillId="5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1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2" pivotButton="0" quotePrefix="0" xfId="0"/>
    <xf numFmtId="0" fontId="3" fillId="6" borderId="1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1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2" pivotButton="0" quotePrefix="0" xfId="0"/>
    <xf numFmtId="0" fontId="3" fillId="7" borderId="1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1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vertical="center"/>
    </xf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0" fontId="2" fillId="2" borderId="7" pivotButton="0" quotePrefix="0" xfId="0"/>
    <xf numFmtId="0" fontId="2" fillId="2" borderId="7" applyAlignment="1" pivotButton="0" quotePrefix="0" xfId="0">
      <alignment wrapText="1"/>
    </xf>
    <xf numFmtId="0" fontId="2" fillId="2" borderId="7" applyAlignment="1" pivotButton="0" quotePrefix="0" xfId="0">
      <alignment horizontal="center" wrapText="1"/>
    </xf>
    <xf numFmtId="0" fontId="2" fillId="2" borderId="7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wrapText="1"/>
    </xf>
    <xf numFmtId="164" fontId="1" fillId="0" borderId="8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164" fontId="1" fillId="5" borderId="8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164" fontId="4" fillId="5" borderId="8" applyAlignment="1" pivotButton="0" quotePrefix="0" xfId="0">
      <alignment wrapText="1"/>
    </xf>
    <xf numFmtId="0" fontId="1" fillId="6" borderId="9" pivotButton="0" quotePrefix="0" xfId="0"/>
    <xf numFmtId="0" fontId="1" fillId="6" borderId="9" applyAlignment="1" pivotButton="0" quotePrefix="0" xfId="0">
      <alignment wrapText="1"/>
    </xf>
    <xf numFmtId="0" fontId="1" fillId="2" borderId="9" applyAlignment="1" pivotButton="0" quotePrefix="0" xfId="0">
      <alignment wrapText="1"/>
    </xf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horizontal="center" wrapText="1"/>
    </xf>
    <xf numFmtId="0" fontId="2" fillId="2" borderId="9" applyAlignment="1" pivotButton="0" quotePrefix="0" xfId="0">
      <alignment horizontal="center" vertical="center" wrapText="1"/>
    </xf>
    <xf numFmtId="165" fontId="1" fillId="0" borderId="0" pivotButton="0" quotePrefix="0" xfId="0"/>
    <xf numFmtId="2" fontId="1" fillId="0" borderId="0" pivotButton="0" quotePrefix="0" xfId="0"/>
    <xf numFmtId="165" fontId="1" fillId="0" borderId="0" applyAlignment="1" pivotButton="0" quotePrefix="0" xfId="0">
      <alignment wrapText="1"/>
    </xf>
    <xf numFmtId="3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164" fontId="1" fillId="0" borderId="8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1" fillId="6" borderId="9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4" fontId="1" fillId="0" borderId="0" pivotButton="0" quotePrefix="0" xfId="0"/>
    <xf numFmtId="166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0" fontId="1" fillId="0" borderId="8" pivotButton="0" quotePrefix="0" xfId="0"/>
    <xf numFmtId="165" fontId="1" fillId="0" borderId="8" pivotButton="0" quotePrefix="0" xfId="0"/>
    <xf numFmtId="2" fontId="1" fillId="0" borderId="8" pivotButton="0" quotePrefix="0" xfId="0"/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168" fontId="1" fillId="0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169" fontId="1" fillId="0" borderId="8" applyAlignment="1" pivotButton="0" quotePrefix="0" xfId="0">
      <alignment wrapText="1"/>
    </xf>
    <xf numFmtId="165" fontId="1" fillId="6" borderId="0" pivotButton="0" quotePrefix="0" xfId="0"/>
    <xf numFmtId="165" fontId="1" fillId="6" borderId="0" applyAlignment="1" pivotButton="0" quotePrefix="0" xfId="0">
      <alignment wrapText="1"/>
    </xf>
    <xf numFmtId="170" fontId="1" fillId="0" borderId="0" pivotButton="0" quotePrefix="0" xfId="0"/>
    <xf numFmtId="10" fontId="1" fillId="0" borderId="0" pivotButton="0" quotePrefix="0" xfId="0"/>
    <xf numFmtId="0" fontId="2" fillId="2" borderId="0" applyAlignment="1" pivotButton="0" quotePrefix="0" xfId="0">
      <alignment vertical="center"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71" fontId="1" fillId="0" borderId="8" pivotButton="0" quotePrefix="0" xfId="0"/>
    <xf numFmtId="171" fontId="1" fillId="0" borderId="8" applyAlignment="1" pivotButton="0" quotePrefix="0" xfId="0">
      <alignment wrapText="1"/>
    </xf>
    <xf numFmtId="164" fontId="1" fillId="6" borderId="0" pivotButton="0" quotePrefix="0" xfId="0"/>
    <xf numFmtId="164" fontId="1" fillId="0" borderId="8" pivotButton="0" quotePrefix="0" xfId="0"/>
    <xf numFmtId="0" fontId="1" fillId="6" borderId="8" pivotButton="0" quotePrefix="0" xfId="0"/>
    <xf numFmtId="164" fontId="1" fillId="7" borderId="0" pivotButton="0" quotePrefix="0" xfId="0"/>
    <xf numFmtId="2" fontId="1" fillId="5" borderId="0" pivotButton="0" quotePrefix="0" xfId="0"/>
    <xf numFmtId="0" fontId="1" fillId="6" borderId="8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3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3" fillId="5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6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/>
    </xf>
    <xf numFmtId="164" fontId="1" fillId="0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168" fontId="1" fillId="0" borderId="0" applyAlignment="1" pivotButton="0" quotePrefix="0" xfId="0">
      <alignment wrapText="1"/>
    </xf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4" fontId="1" fillId="0" borderId="0" pivotButton="0" quotePrefix="0" xfId="0"/>
    <xf numFmtId="3" fontId="1" fillId="0" borderId="0" pivotButton="0" quotePrefix="0" xfId="0"/>
    <xf numFmtId="164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169" fontId="1" fillId="0" borderId="8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65" fontId="1" fillId="6" borderId="0" applyAlignment="1" pivotButton="0" quotePrefix="0" xfId="0">
      <alignment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1" fillId="0" borderId="0" pivotButton="0" quotePrefix="0" xfId="0"/>
    <xf numFmtId="171" fontId="1" fillId="0" borderId="8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164" fontId="1" fillId="6" borderId="0" pivotButton="0" quotePrefix="0" xfId="0"/>
    <xf numFmtId="165" fontId="1" fillId="6" borderId="0" pivotButton="0" quotePrefix="0" xfId="0"/>
    <xf numFmtId="0" fontId="0" fillId="0" borderId="24" pivotButton="0" quotePrefix="0" xfId="0"/>
    <xf numFmtId="0" fontId="0" fillId="0" borderId="25" pivotButton="0" quotePrefix="0" xfId="0"/>
    <xf numFmtId="2" fontId="1" fillId="0" borderId="0" pivotButton="0" quotePrefix="0" xfId="0"/>
    <xf numFmtId="164" fontId="1" fillId="0" borderId="8" pivotButton="0" quotePrefix="0" xfId="0"/>
    <xf numFmtId="164" fontId="1" fillId="0" borderId="8" applyAlignment="1" pivotButton="0" quotePrefix="0" xfId="0">
      <alignment wrapText="1"/>
    </xf>
    <xf numFmtId="170" fontId="1" fillId="0" borderId="0" pivotButton="0" quotePrefix="0" xfId="0"/>
    <xf numFmtId="2" fontId="1" fillId="5" borderId="0" pivotButton="0" quotePrefix="0" xfId="0"/>
    <xf numFmtId="164" fontId="1" fillId="7" borderId="0" pivotButton="0" quotePrefix="0" xfId="0"/>
  </cellXfs>
  <cellStyles count="1">
    <cellStyle name="Normal" xfId="0"/>
  </cellStyles>
  <dxfs count="6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El modelo reproduce parte importante de los giros de la TRM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'Resumen'!$I$38:$I$58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'Resumen'!$J$38:$J$58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Ajuste de un paso, muestra anual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'Modelo_principal'!$Q$18:$Q$38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'Modelo_principal'!$R$18:$R$38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TRM observada y ajuste del marco macroeconómico integral</a:t>
            </a:r>
          </a:p>
        </rich>
      </tx>
    </title>
    <plotArea>
      <lineChart>
        <grouping val="standard"/>
        <ser>
          <idx val="0"/>
          <order val="0"/>
          <tx>
            <strRef>
              <f>'Marco_macro_integral'!E41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'Marco_macro_integral'!$E$42:$E$281</f>
            </numRef>
          </val>
        </ser>
        <ser>
          <idx val="1"/>
          <order val="1"/>
          <tx>
            <strRef>
              <f>'Marco_macro_integral'!F41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'Marco_macro_integral'!$F$42:$F$281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COP por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Participación de cada factor en la explicación incremental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Peso entre factores</v>
          </tx>
          <spPr>
            <a:solidFill>
              <a:srgbClr val="2F75B5"/>
            </a:solidFill>
            <a:ln>
              <a:prstDash val="solid"/>
            </a:ln>
          </spPr>
          <cat>
            <strRef>
              <f>'Pesos_explicativos'!$A$11:$A$22</f>
              <strCache>
                <ptCount val="0"/>
              </strCache>
            </strRef>
          </cat>
          <val>
            <numRef>
              <f>'Pesos_explicativos'!$D$11:$D$22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Validación condicional: observada, modelos y caminata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'Validacion'!$L$26:$L$73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Modelo principal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'Validacion'!$M$26:$M$73</f>
              <numCache>
                <formatCode>#,##0</formatCode>
                <ptCount val="0"/>
              </numCache>
            </numRef>
          </val>
          <smooth val="0"/>
        </ser>
        <ser>
          <idx val="2"/>
          <order val="2"/>
          <tx>
            <v>Modelo ampliado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'Validacion'!$N$26:$N$73</f>
              <numCache>
                <formatCode>#,##0</formatCode>
                <ptCount val="0"/>
              </numCache>
            </numRef>
          </val>
          <smooth val="0"/>
        </ser>
        <ser>
          <idx val="3"/>
          <order val="3"/>
          <tx>
            <v>Caminata aleatoria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'Validacion'!$O$26:$O$73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00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tc={3B7C53AA-E218-E06E-AABD-44405A566100}</author>
    <author>tc={FA93FAF3-CBE9-6467-3733-7383B0842B42}</author>
    <author>tc={C01696CE-7339-19E9-9BBA-28C08201EBD0}</author>
    <author>tc={5FF3BE5E-03E5-F448-82DC-C592AA5EF4CD}</author>
    <author>tc={DF8CCDC3-A988-7C8D-4BF3-5D9599C9D7C1}</author>
    <author>tc={09E76447-A036-4C02-9FBE-280DC493EBD4}</author>
    <author>tc={E6395F83-42F5-A57E-EEC7-F95E1BFF7B19}</author>
    <author>tc={B7985C46-F176-FC4C-5FCF-1ED2E0D5E565}</author>
    <author>tc={97D0B97A-4C17-B3E9-4994-F34D0CD5CA1B}</author>
    <author>tc={A0E3EED0-125F-5ABE-1247-629164D9E887}</author>
    <author>tc={C6411923-6F63-74A5-8CDA-702A1CA21229}</author>
    <author>tc={DA1D69DC-0403-0C0D-31E6-AE51D99CA1D4}</author>
    <author>tc={33377822-EAF7-C1BC-8779-821754D11E7C}</author>
    <author>tc={D608C588-B481-3842-5651-7B5B201799F7}</author>
    <author>tc={3C156560-00B9-C409-958B-4AB5121038D3}</author>
    <author>tc={D88B76EF-3FC5-6FEE-33DF-ADFF50812984}</author>
    <author>tc={99D961DB-072D-1F8D-5E38-3D76C580350D}</author>
    <author>tc={0D151944-1648-B18C-16E7-2B4DF7A4DA32}</author>
    <author>tc={5DE9C3A4-2C31-DF7C-C8FF-C387F7D1697F}</author>
    <author>tc={E5D5B348-436B-0819-C472-EBFAD648B574}</author>
    <author>tc={3A3D7885-1C9E-DFCB-B9D1-07DEC6E27A5D}</author>
    <author>tc={03791C7F-07AA-00CC-2C4C-C4125ABD5D97}</author>
    <author>tc={F94214EF-D0D7-13BB-8512-3BCD9840D104}</author>
    <author>tc={1904465E-FB26-2543-E6ED-BB7D65EBC41B}</author>
  </authors>
  <commentList>
    <comment ref="B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t>
      </text>
    </comment>
    <comment ref="C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 según índices encadenados, serie mensual 15360.</t>
      </text>
    </comment>
    <comment ref="D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t>
      </text>
    </comment>
    <comment ref="F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t>
      </text>
    </comment>
    <comment ref="G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t>
      </text>
    </comment>
    <comment ref="I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t>
      </text>
    </comment>
    <comment ref="K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t>
      </text>
    </comment>
    <comment ref="L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t>
      </text>
    </comment>
    <comment ref="N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reservas internacionales netas sin FLAR, serie 15053.</t>
      </text>
    </comment>
    <comment ref="O5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BCRPData, serie diaria PD04715XD; fuentes originales Reuters/J.P. Morgan. Promedio mensual de observaciones publicadas.</t>
      </text>
    </comment>
    <comment ref="P5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EMBIG Colombia en puntos básicos dividido por 100; 100 pb = 1 pp.</t>
      </text>
    </comment>
    <comment ref="Q5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balanza comercial cambiaria, serie 16702.</t>
      </text>
    </comment>
    <comment ref="R5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flujo neto total de capital, serie 16706.</t>
      </text>
    </comment>
    <comment ref="S5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en pesos a 5 años, serie 15273; promedio mensual.</t>
      </text>
    </comment>
    <comment ref="T5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UVR a 5 años, serie 15276; promedio mensual.</t>
      </text>
    </comment>
    <comment ref="U5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TES pesos 5 años menos TES UVR 5 años. Es compensación inflacionaria implícita, no una expectativa pura.</t>
      </text>
    </comment>
    <comment ref="V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 Board, curva Gürkaynak–Sack–Wright BKEVEN05, cero cupón a 5 años y capitalización continua; promedio mensual.</t>
      </text>
    </comment>
    <comment ref="W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BEI Colombia 5 años menos BEI EE. UU. 5 años. Las curvas se promedian por separado; incluye primas de riesgo inflacionario y liquidez.</t>
      </text>
    </comment>
    <comment ref="X5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CCUSMA02BRM618N; reales brasileños por dólar.</t>
      </text>
    </comment>
    <comment ref="Y5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CCUSMA02CLM618N; pesos chilenos por dólar.</t>
      </text>
    </comment>
    <comment ref="Z5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CCUSMA02MXM618N; pesos mexicanos por dólar.</t>
      </text>
    </comment>
    <comment ref="AA5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 PN01207PM, tipo de cambio interbancario promedio; soles peruanos por dólar. https://estadisticas.bcrp.gob.pe/estadisticas/series/mensuales/resultados/PN01207PM/html</t>
      </text>
    </comment>
    <comment ref="AB5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promedio igual ponderado de retornos mensuales estandarizados de BRL, CLP y MXN por USD. Medias y desviaciones calibradas con 2006–2019.</t>
      </text>
    </comment>
    <comment ref="AC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 activa de la explicación histórica: promedio igual ponderado de retornos mensuales estandarizados de BRL, CLP, MXN y PEN por USD. Medias y desviaciones calibradas con 2006–2019.</t>
      </text>
    </comment>
  </commentList>
</comments>
</file>

<file path=xl/comments/comment2.xml><?xml version="1.0" encoding="utf-8"?>
<comments xmlns="http://schemas.openxmlformats.org/spreadsheetml/2006/main">
  <authors>
    <author>tc={644C8728-896C-4C83-6CEC-5E73DB1DD6D8}</author>
    <author>tc={7F2690A5-D61C-58B1-2B09-5112D42A0868}</author>
    <author>tc={89A512FF-46D1-8D4E-2527-86907CECF5D9}</author>
    <author>tc={E9E74384-F26C-8750-9193-5082A785B209}</author>
  </authors>
  <commentList>
    <comment ref="U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W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AA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 y MXN por USD. Medias y desviaciones calibradas entre enero de 2006 y diciembre de 2019.</t>
      </text>
    </comment>
    <comment ref="AB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CLP, MXN y PEN por USD. Es la composición activa de la explicación histórica.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5</row>
      <rowOff>0</rowOff>
    </from>
    <to>
      <col>14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0</colOff>
      <row>1</row>
      <rowOff>0</rowOff>
    </from>
    <to>
      <col>23</col>
      <colOff>0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18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4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racionModelosResumenTable" displayName="ComparacionModelosResumenTable" ref="H30:N33" headerRowCount="1" totalsRowCount="0" totalsRowShown="0">
  <autoFilter ref="H30:N33"/>
  <tableColumns count="7">
    <tableColumn id="1" name="Modelo"/>
    <tableColumn id="2" name="Obs."/>
    <tableColumn id="3" name="R² ajustado"/>
    <tableColumn id="4" name="AIC"/>
    <tableColumn id="5" name="BIC"/>
    <tableColumn id="6" name="MAPE"/>
    <tableColumn id="7" name="Direc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sosResumenTable" displayName="PesosResumenTable" ref="A39:F47" headerRowCount="1" totalsRowCount="0" totalsRowShown="0">
  <autoFilter ref="A39:F47"/>
  <tableColumns count="6">
    <tableColumn id="1" name="Factor"/>
    <tableColumn id="2" name="Grupo"/>
    <tableColumn id="3" name="Contribución al R²"/>
    <tableColumn id="4" name="Peso entre factores"/>
    <tableColumn id="5" name="Peso del R² total"/>
    <tableColumn id="6" name="Lec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osFuenteTable" displayName="DatosFuenteTable" ref="A5:BC250" headerRowCount="1">
  <autoFilter ref="A5:BC250"/>
  <tableColumns count="55">
    <tableColumn id="1" name="Mes"/>
    <tableColumn id="2" name="TRM (COP/USD)"/>
    <tableColumn id="3" name="Términos de intercambio"/>
    <tableColumn id="4" name="Remesas (USD mill.)"/>
    <tableColumn id="5" name="Remesas 12m (USD mill.)"/>
    <tableColumn id="6" name="Tasa política Colombia (%)"/>
    <tableColumn id="7" name="Fed funds (%)"/>
    <tableColumn id="8" name="Diferencial tasas (pp)"/>
    <tableColumn id="9" name="Balance fiscal mensual (miles mill. COP)"/>
    <tableColumn id="10" name="Déficit fiscal 12m (% PIB)"/>
    <tableColumn id="11" name="Índice dólar amplio"/>
    <tableColumn id="12" name="VIX"/>
    <tableColumn id="13" name="Dummy pandemia"/>
    <tableColumn id="14" name="Reservas netas sin FLAR (USD mill.)"/>
    <tableColumn id="15" name="EMBIG Colombia (pb)"/>
    <tableColumn id="16" name="EMBIG Colombia (pp)"/>
    <tableColumn id="17" name="Balanza comercial cambiaria (USD mill.)"/>
    <tableColumn id="18" name="Flujo neto total de capital (USD mill.)"/>
    <tableColumn id="19" name="TES pesos cero cupón 5 años (%)"/>
    <tableColumn id="20" name="TES UVR cero cupón 5 años (%)"/>
    <tableColumn id="21" name="BEI Colombia 5 años (%)"/>
    <tableColumn id="22" name="BEI EE. UU. 5 años (%)"/>
    <tableColumn id="23" name="Diferencial BEI 5 años (pp)"/>
    <tableColumn id="24" name="BRL por USD"/>
    <tableColumn id="25" name="CLP por USD"/>
    <tableColumn id="26" name="MXN por USD"/>
    <tableColumn id="27" name="PEN por USD"/>
    <tableColumn id="28" name="Factor regional 3 monedas"/>
    <tableColumn id="29" name="Factor regional 4 monedas"/>
    <tableColumn id="30" name="ISE total DANE (índice)"/>
    <tableColumn id="31" name="IPC Colombia (índice)"/>
    <tableColumn id="32" name="TIPS real EE. UU. 10 años (%)"/>
    <tableColumn id="33" name="Rendimiento real EE. UU. 5 años (%)"/>
    <tableColumn id="34" name="Treasury EE. UU. 2 años (%)"/>
    <tableColumn id="35" name="Treasury EE. UU. 10 años (%)"/>
    <tableColumn id="36" name="Pendiente Treasury 10Y−2Y (pp)"/>
    <tableColumn id="37" name="BEI EE. UU. 5 años (%)"/>
    <tableColumn id="38" name="BEI EE. UU. 10 años (%)"/>
    <tableColumn id="39" name="Incertidumbre de política económica global"/>
    <tableColumn id="40" name="Estrés financiero STLFSI"/>
    <tableColumn id="41" name="NFCI Chicago"/>
    <tableColumn id="42" name="ANFCI Chicago"/>
    <tableColumn id="43" name="Desempleo EE. UU. activo (%)"/>
    <tableColumn id="44" name="High-yield OAS (candidato)"/>
    <tableColumn id="45" name="TED spread (candidato)"/>
    <tableColumn id="46" name="Desempleo BLS UNRATE (candidato)"/>
    <tableColumn id="47" name="Precios de importación China (candidato)"/>
    <tableColumn id="48" name="Producción industrial China (candidato)"/>
    <tableColumn id="49" name="Indicador líder China (candidato)"/>
    <tableColumn id="50" name="IPC China (candidato)"/>
    <tableColumn id="51" name="ln Brent global"/>
    <tableColumn id="52" name="ln commodities globales"/>
    <tableColumn id="53" name="ln empleo manufacturero EE. UU."/>
    <tableColumn id="54" name="ln producción industrial EE. UU."/>
    <tableColumn id="55" name="ln fletes/logística EE. UU.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ansformacionesTable" displayName="TransformacionesTable" ref="A5:AF250" headerRowCount="1">
  <autoFilter ref="A5:AF250"/>
  <tableColumns count="32">
    <tableColumn id="1" name="Mes"/>
    <tableColumn id="2" name="ln TRM"/>
    <tableColumn id="3" name="Δln TRM"/>
    <tableColumn id="4" name="ln términos de intercambio"/>
    <tableColumn id="5" name="Δln términos de intercambio"/>
    <tableColumn id="6" name="ln remesas 12m"/>
    <tableColumn id="7" name="Δln remesas 12m"/>
    <tableColumn id="8" name="Diferencial tasas"/>
    <tableColumn id="9" name="Δ diferencial"/>
    <tableColumn id="10" name="Déficit 12m/PIB"/>
    <tableColumn id="11" name="Δ déficit"/>
    <tableColumn id="12" name="ln dólar amplio"/>
    <tableColumn id="13" name="Δln dólar amplio"/>
    <tableColumn id="14" name="ln VIX"/>
    <tableColumn id="15" name="Δln VIX"/>
    <tableColumn id="16" name="Pandemia"/>
    <tableColumn id="17" name="ln reservas netas sin FLAR"/>
    <tableColumn id="18" name="Δln reservas"/>
    <tableColumn id="19" name="EMBIG Colombia (pp)"/>
    <tableColumn id="20" name="Δ EMBIG Colombia"/>
    <tableColumn id="21" name="asinh balanza (USD miles de millones)"/>
    <tableColumn id="22" name="Δ asinh balanza"/>
    <tableColumn id="23" name="asinh flujos (USD miles de millones)"/>
    <tableColumn id="24" name="Δ asinh flujos"/>
    <tableColumn id="25" name="Diferencial BEI 5 años"/>
    <tableColumn id="26" name="Δ diferencial BEI"/>
    <tableColumn id="27" name="Factor regional 3 monedas"/>
    <tableColumn id="28" name="Factor regional 4 monedas"/>
    <tableColumn id="29" name="ln ISE total DANE"/>
    <tableColumn id="30" name="Δln ISE total DANE"/>
    <tableColumn id="31" name="ln IPC Colombia"/>
    <tableColumn id="32" name="Δln IPC Colombi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eficientesModeloTable" displayName="CoeficientesModeloTable" ref="A5:G13" headerRowCount="1" totalsRowCount="0" totalsRowShown="0">
  <autoFilter ref="A5:G13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justeModeloTable" displayName="AjusteModeloTable" ref="A17:N257" headerRowCount="1" totalsRowCount="0" totalsRowShown="0">
  <autoFilter ref="A17:N257"/>
  <tableColumns count="14">
    <tableColumn id="1" name="Mes"/>
    <tableColumn id="2" name="Δln TRM observado"/>
    <tableColumn id="3" name="Constante"/>
    <tableColumn id="4" name="Términos de intercambio"/>
    <tableColumn id="5" name="Dólar amplio"/>
    <tableColumn id="6" name="VIX"/>
    <tableColumn id="7" name="Remesas t−1"/>
    <tableColumn id="8" name="Tasas t−1"/>
    <tableColumn id="9" name="Fiscal t−1"/>
    <tableColumn id="10" name="Pandemia"/>
    <tableColumn id="11" name="Δln TRM ajustado"/>
    <tableColumn id="12" name="Residuo"/>
    <tableColumn id="13" name="TRM observada"/>
    <tableColumn id="14" name="TRM ajustada 1 pas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eficientesModeloAmpliadoTable" displayName="CoeficientesModeloAmpliadoTable" ref="A5:G36" headerRowCount="1" totalsRowCount="0" totalsRowShown="0">
  <autoFilter ref="A5:G36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agnosticosModeloAmpliadoTable" displayName="DiagnosticosModeloAmpliadoTable" ref="I13:L21" headerRowCount="1" totalsRowCount="0" totalsRowShown="0">
  <autoFilter ref="I13:L21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justeModeloAmpliadoTable" displayName="AjusteModeloAmpliadoTable" ref="A39:AM279" headerRowCount="1">
  <autoFilter ref="A39:AM279"/>
  <tableColumns count="39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Factor regional BRL, CLP, MXN y PEN (t)"/>
    <tableColumn id="20" name="Δ rendimiento real TIPS 10 años (t)"/>
    <tableColumn id="21" name="Δ rendimiento real EE. UU. 5 años (t)"/>
    <tableColumn id="22" name="Δ Treasury EE. UU. 2 años (t)"/>
    <tableColumn id="23" name="Δ Treasury EE. UU. 10 años (t)"/>
    <tableColumn id="24" name="Δ pendiente Treasury 10Y−2Y (t)"/>
    <tableColumn id="25" name="Δ BEI EE. UU. 5 años (t)"/>
    <tableColumn id="26" name="Δ BEI EE. UU. 10 años (t)"/>
    <tableColumn id="27" name="Δ incertidumbre de política económica global (t)"/>
    <tableColumn id="28" name="Δ estrés financiero STLFSI (t)"/>
    <tableColumn id="29" name="Δ NFCI Chicago (t)"/>
    <tableColumn id="30" name="Δ ANFCI Chicago (t)"/>
    <tableColumn id="31" name="Δ ln Brent global (t)"/>
    <tableColumn id="32" name="Δ ln commodities globales (t)"/>
    <tableColumn id="33" name="Δ desempleo EE. UU. (t)"/>
    <tableColumn id="34" name="Δ ln empleo manufacturero EE. UU. (t)"/>
    <tableColumn id="35" name="Δ ln producción industrial EE. UU. (t)"/>
    <tableColumn id="36" name="Δ ln fletes/logística EE. UU. (t)"/>
    <tableColumn id="37" name="Dummy pandemia 2020"/>
    <tableColumn id="38" name="Ajuste total de contribuciones"/>
    <tableColumn id="39" name="Diferencia de contro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oeficientesMarcoMacroIntegralTable" displayName="CoeficientesMarcoMacroIntegralTable" ref="A5:G38" headerRowCount="1">
  <autoFilter ref="A5:G38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agnosticosMarcoMacroIntegralTable" displayName="DiagnosticosMarcoMacroIntegralTable" ref="I13:L21" headerRowCount="1">
  <autoFilter ref="I13:L21"/>
  <tableColumns count="4">
    <tableColumn id="9" name="Prueba"/>
    <tableColumn id="10" name="Estadístico"/>
    <tableColumn id="11" name="p-valor"/>
    <tableColumn id="12" name="Lectur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justeMarcoMacroIntegralTable" displayName="AjusteMarcoMacroIntegralTable" ref="A41:AO281" headerRowCount="1">
  <autoFilter ref="A41:AO281"/>
  <tableColumns count="41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Δ ln ISE total DANE (t)"/>
    <tableColumn id="20" name="Δ ln IPC Colombia (t)"/>
    <tableColumn id="21" name="Factor regional BRL, CLP, MXN y PEN (t)"/>
    <tableColumn id="22" name="Δ rendimiento real TIPS 10 años (t)"/>
    <tableColumn id="23" name="Δ rendimiento real EE. UU. 5 años (t)"/>
    <tableColumn id="24" name="Δ Treasury EE. UU. 2 años (t)"/>
    <tableColumn id="25" name="Δ Treasury EE. UU. 10 años (t)"/>
    <tableColumn id="26" name="Δ pendiente Treasury 10Y−2Y (t)"/>
    <tableColumn id="27" name="Δ BEI EE. UU. 5 años (t)"/>
    <tableColumn id="28" name="Δ BEI EE. UU. 10 años (t)"/>
    <tableColumn id="29" name="Δ incertidumbre de política económica global (t)"/>
    <tableColumn id="30" name="Δ estrés financiero STLFSI (t)"/>
    <tableColumn id="31" name="Δ NFCI Chicago (t)"/>
    <tableColumn id="32" name="Δ ANFCI Chicago (t)"/>
    <tableColumn id="33" name="Δ ln Brent global (t)"/>
    <tableColumn id="34" name="Δ ln commodities globales (t)"/>
    <tableColumn id="35" name="Δ desempleo EE. UU. (t)"/>
    <tableColumn id="36" name="Δ ln empleo manufacturero EE. UU. (t)"/>
    <tableColumn id="37" name="Δ ln producción industrial EE. UU. (t)"/>
    <tableColumn id="38" name="Δ ln fletes/logística EE. UU. (t)"/>
    <tableColumn id="39" name="Dummy pandemia 2020"/>
    <tableColumn id="40" name="Ajuste total de contribuciones"/>
    <tableColumn id="41" name="Diferencia de control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PesosExplicativosTable" displayName="PesosExplicativosTable" ref="A10:H24" headerRowCount="1" totalsRowCount="0" totalsRowShown="0">
  <autoFilter ref="A10:H24"/>
  <tableColumns count="8">
    <tableColumn id="1" name="Factor"/>
    <tableColumn id="2" name="Grupo"/>
    <tableColumn id="3" name="Shapley R²"/>
    <tableColumn id="4" name="Peso entre factores"/>
    <tableColumn id="5" name="Peso del R² total"/>
    <tableColumn id="6" name="R² base"/>
    <tableColumn id="7" name="R² completo"/>
    <tableColumn id="8" name="R² incrementa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IntervalosShapleyTable" displayName="IntervalosShapleyTable" ref="A6:H20" headerRowCount="1" totalsRowCount="0" totalsRowShown="0">
  <autoFilter ref="A6:H20"/>
  <tableColumns count="8">
    <tableColumn id="1" name="Factor"/>
    <tableColumn id="2" name="Peso puntual"/>
    <tableColumn id="3" name="Mediana bootstrap"/>
    <tableColumn id="4" name="IC 95% inferior"/>
    <tableColumn id="5" name="IC 95% superior"/>
    <tableColumn id="6" name="Ancho IC"/>
    <tableColumn id="7" name="Prob. top 3"/>
    <tableColumn id="8" name="Réplica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EstabilidadResumenTable" displayName="EstabilidadResumenTable" ref="J6:P11" headerRowCount="1" totalsRowCount="0" totalsRowShown="0">
  <autoFilter ref="J6:P11"/>
  <tableColumns count="7">
    <tableColumn id="1" name="Submuestra"/>
    <tableColumn id="2" name="Obs."/>
    <tableColumn id="3" name="R² ajustado"/>
    <tableColumn id="4" name="Spearman rangos"/>
    <tableColumn id="5" name="Mediana |Δ peso|"/>
    <tableColumn id="6" name="Máx. |Δ peso|"/>
    <tableColumn id="7" name="Mismo signo / 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PesosSubmuestrasTable" displayName="PesosSubmuestrasTable" ref="A22:G36" headerRowCount="1" totalsRowCount="0" totalsRowShown="0">
  <autoFilter ref="A22:G36"/>
  <tableColumns count="7">
    <tableColumn id="1" name="Factor"/>
    <tableColumn id="2" name="Grupo"/>
    <tableColumn id="3" name="Muestra completa"/>
    <tableColumn id="4" name="Primera mitad"/>
    <tableColumn id="5" name="Segunda mitad"/>
    <tableColumn id="6" name="Prepandemia"/>
    <tableColumn id="7" name="2020 en adelan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CoberturaVintagesTable" displayName="CoberturaVintagesTable" ref="I22:P35" headerRowCount="1" totalsRowCount="0" totalsRowShown="0">
  <autoFilter ref="I22:P35"/>
  <tableColumns count="8">
    <tableColumn id="1" name="Factor"/>
    <tableColumn id="2" name="Estado"/>
    <tableColumn id="3" name="Orígenes"/>
    <tableColumn id="4" name="Cobertura"/>
    <tableColumn id="5" name="Apto"/>
    <tableColumn id="6" name="Archivo desde"/>
    <tableColumn id="7" name="Fuentes"/>
    <tableColumn id="8" name="Detall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EspecificacionesBeiTable" displayName="EspecificacionesBeiTable" ref="A6:L12" headerRowCount="1" totalsRowCount="0" totalsRowShown="0">
  <autoFilter ref="A6:L12"/>
  <tableColumns count="12">
    <tableColumn id="1" name="Especificación"/>
    <tableColumn id="2" name="Agregación"/>
    <tableColumn id="3" name="Transformación"/>
    <tableColumn id="4" name="Extensión"/>
    <tableColumn id="5" name="R² ajustado"/>
    <tableColumn id="6" name="BIC"/>
    <tableColumn id="7" name="Coef. BEI"/>
    <tableColumn id="8" name="p HAC"/>
    <tableColumn id="9" name="MAPE cond."/>
    <tableColumn id="10" name="R² validación"/>
    <tableColumn id="11" name="Quiebre"/>
    <tableColumn id="12" name="Cautel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AgregacionBeiResumenTable" displayName="AgregacionBeiResumenTable" ref="A16:C21" headerRowCount="1" totalsRowCount="0" totalsRowShown="0">
  <autoFilter ref="A16:C21"/>
  <tableColumns count="3">
    <tableColumn id="1" name="Métrica"/>
    <tableColumn id="2" name="Valor"/>
    <tableColumn id="3" name="Lectur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EstacionariedadBeiTable" displayName="EstacionariedadBeiTable" ref="A25:K41" headerRowCount="1" totalsRowCount="0" totalsRowShown="0">
  <autoFilter ref="A25:K41"/>
  <tableColumns count="11">
    <tableColumn id="1" name="Agregación"/>
    <tableColumn id="2" name="Transformación"/>
    <tableColumn id="3" name="Prueba"/>
    <tableColumn id="4" name="Determinístico"/>
    <tableColumn id="5" name="H₀"/>
    <tableColumn id="6" name="N"/>
    <tableColumn id="7" name="Estadístico"/>
    <tableColumn id="8" name="p-valor"/>
    <tableColumn id="9" name="Rezagos"/>
    <tableColumn id="10" name="Fecha quiebre"/>
    <tableColumn id="11" name="Crítico 5%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endenciasBeiTable" displayName="TendenciasBeiTable" ref="A44:L50" headerRowCount="1" totalsRowCount="0" totalsRowShown="0">
  <autoFilter ref="A44:L50"/>
  <tableColumns count="12">
    <tableColumn id="1" name="Agregación"/>
    <tableColumn id="2" name="Modelo"/>
    <tableColumn id="3" name="Quiebre ZA"/>
    <tableColumn id="4" name="N"/>
    <tableColumn id="5" name="R² ajustado"/>
    <tableColumn id="6" name="BIC"/>
    <tableColumn id="7" name="Tendencia pp/año"/>
    <tableColumn id="8" name="p tendencia"/>
    <tableColumn id="9" name="Cambio nivel"/>
    <tableColumn id="10" name="p nivel"/>
    <tableColumn id="11" name="Cambio pendiente"/>
    <tableColumn id="12" name="p pendient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MetricasValidacionTable" displayName="MetricasValidacionTable" ref="A5:F8" headerRowCount="1" totalsRowCount="0" totalsRowShown="0">
  <autoFilter ref="A5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PrediccionesValidacionTable" displayName="PrediccionesValidacionTable" ref="A11:I59" headerRowCount="1" totalsRowCount="0" totalsRowShown="0">
  <autoFilter ref="A11:I59"/>
  <tableColumns count="9">
    <tableColumn id="1" name="Mes"/>
    <tableColumn id="2" name="ln TRM observada"/>
    <tableColumn id="3" name="ln TRM modelo principal"/>
    <tableColumn id="4" name="ln TRM caminata"/>
    <tableColumn id="5" name="Δln observado"/>
    <tableColumn id="6" name="Δln modelo principal"/>
    <tableColumn id="7" name="TRM observada"/>
    <tableColumn id="8" name="TRM modelo principal"/>
    <tableColumn id="9" name="TRM caminata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PrediccionesValidacionAmpliadaTable" displayName="PrediccionesValidacionAmpliadaTable" ref="A62:I110" headerRowCount="1" totalsRowCount="0" totalsRowShown="0">
  <autoFilter ref="A62:I110"/>
  <tableColumns count="9">
    <tableColumn id="1" name="Mes"/>
    <tableColumn id="2" name="ln TRM observada"/>
    <tableColumn id="3" name="ln TRM modelo ampliado"/>
    <tableColumn id="4" name="ln TRM caminata"/>
    <tableColumn id="5" name="Δln observado"/>
    <tableColumn id="6" name="Δln modelo ampliado"/>
    <tableColumn id="7" name="TRM observada"/>
    <tableColumn id="8" name="TRM modelo ampliado"/>
    <tableColumn id="9" name="TRM caminata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MetricasPronosticoTable" displayName="MetricasPronosticoTable" ref="A6:F8" headerRowCount="1" totalsRowCount="0" totalsRowShown="0">
  <autoFilter ref="A6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ComparacionFactorRegionalTable" displayName="ComparacionFactorRegionalTable" ref="A13:J17" headerRowCount="1" totalsRowCount="0" totalsRowShown="0">
  <autoFilter ref="A13:J17"/>
  <tableColumns count="10">
    <tableColumn id="1" name="Uso"/>
    <tableColumn id="2" name="Monedas"/>
    <tableColumn id="3" name="R² ajustado"/>
    <tableColumn id="4" name="BIC"/>
    <tableColumn id="5" name="MAPE"/>
    <tableColumn id="6" name="Dirección"/>
    <tableColumn id="7" name="R² vs. caminata"/>
    <tableColumn id="8" name="Coef. regional"/>
    <tableColumn id="9" name="p-valor HAC"/>
    <tableColumn id="10" name="Correlación 3–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CalendarioDisponibilidadTable" displayName="CalendarioDisponibilidadTable" ref="A20:D34" headerRowCount="1" totalsRowCount="0" totalsRowShown="0">
  <autoFilter ref="A20:D34"/>
  <tableColumns count="4">
    <tableColumn id="1" name="Factor"/>
    <tableColumn id="2" name="Rezago (meses)"/>
    <tableColumn id="3" name="Frecuencia/publicación"/>
    <tableColumn id="4" name="Regla utilizada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CoeficientesPronosticoTable" displayName="CoeficientesPronosticoTable" ref="F20:L54" headerRowCount="1" totalsRowCount="0" totalsRowShown="0">
  <autoFilter ref="F20:L54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DiagnosticosPronosticoTable" displayName="DiagnosticosPronosticoTable" ref="N20:P28" headerRowCount="1" totalsRowCount="0" totalsRowShown="0">
  <autoFilter ref="N20:P28"/>
  <tableColumns count="3">
    <tableColumn id="1" name="Prueba"/>
    <tableColumn id="2" name="Estadístico"/>
    <tableColumn id="3" name="p-valor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PrediccionesPronosticoTable" displayName="PrediccionesPronosticoTable" ref="A56:I104" headerRowCount="1" totalsRowCount="0" totalsRowShown="0">
  <autoFilter ref="A56:I104"/>
  <tableColumns count="9">
    <tableColumn id="1" name="Mes"/>
    <tableColumn id="2" name="ln TRM observada"/>
    <tableColumn id="3" name="ln TRM pronóstico"/>
    <tableColumn id="4" name="ln TRM caminata"/>
    <tableColumn id="5" name="Δln observado"/>
    <tableColumn id="6" name="Δln pronóstico"/>
    <tableColumn id="7" name="TRM observada"/>
    <tableColumn id="8" name="TRM pronóstico"/>
    <tableColumn id="9" name="TRM caminata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BoundsCriticosTable" displayName="BoundsCriticosTable" ref="A11:C15" headerRowCount="1" totalsRowCount="0" totalsRowShown="0">
  <autoFilter ref="A11:C15"/>
  <tableColumns count="3">
    <tableColumn id="1" name="Percentil"/>
    <tableColumn id="2" name="Límite inferior I(0)"/>
    <tableColumn id="3" name="Límite superior I(1)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ECMLargoPlazoTable" displayName="ECMLargoPlazoTable" ref="A19:G26" headerRowCount="1" totalsRowCount="0" totalsRowShown="0">
  <autoFilter ref="A19:G26"/>
  <tableColumns count="7">
    <tableColumn id="1" name="Variable"/>
    <tableColumn id="2" name="Coeficiente"/>
    <tableColumn id="3" name="EE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DiagnosticosModeloTable" displayName="DiagnosticosModeloTable" ref="A6:D14" headerRowCount="1" totalsRowCount="0" totalsRowShown="0">
  <autoFilter ref="A6:D14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SeleccionRezagosTable" displayName="SeleccionRezagosTable" ref="F6:I10" headerRowCount="1" totalsRowCount="0" totalsRowShown="0">
  <autoFilter ref="F6:I10"/>
  <tableColumns count="4">
    <tableColumn id="1" name="p"/>
    <tableColumn id="2" name="AIC"/>
    <tableColumn id="3" name="BIC"/>
    <tableColumn id="4" name="R² aju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IntegracionTable" displayName="IntegracionTable" ref="A18:H44" headerRowCount="1" totalsRowCount="0" totalsRowShown="0">
  <autoFilter ref="A18:H44"/>
  <tableColumns count="8">
    <tableColumn id="1" name="Variable"/>
    <tableColumn id="2" name="Transformación"/>
    <tableColumn id="3" name="n"/>
    <tableColumn id="4" name="ADF"/>
    <tableColumn id="5" name="p ADF"/>
    <tableColumn id="6" name="Rezagos ADF"/>
    <tableColumn id="7" name="KPSS"/>
    <tableColumn id="8" name="p KP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DiagnosticosAmpliadosTable" displayName="DiagnosticosAmpliadosTable" ref="J15:M23" headerRowCount="1" totalsRowCount="0" totalsRowShown="0">
  <autoFilter ref="J15:M23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DiagnosticosMarcoMacroIntegralResumenTable" displayName="DiagnosticosMarcoMacroIntegralResumenTable" ref="J15:M23" headerRowCount="1">
  <autoFilter ref="J15:M23"/>
  <tableColumns count="4">
    <tableColumn id="10" name="Prueba"/>
    <tableColumn id="11" name="Estadístico"/>
    <tableColumn id="12" name="p-valor"/>
    <tableColumn id="13" name="Lectura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MapaVariablesTable" displayName="MapaVariablesTable" ref="A5:I20" headerRowCount="1" totalsRowCount="0" totalsRowShown="0">
  <autoFilter ref="A5:I20"/>
  <tableColumns count="9">
    <tableColumn id="1" name="Bloque"/>
    <tableColumn id="2" name="Variable"/>
    <tableColumn id="3" name="Estatus"/>
    <tableColumn id="4" name="Proxy/medición"/>
    <tableColumn id="5" name="Transformación"/>
    <tableColumn id="6" name="Signo sobre COP/USD"/>
    <tableColumn id="7" name="Canal"/>
    <tableColumn id="8" name="Justificación"/>
    <tableColumn id="9" name="Cautela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FuentesTable" displayName="FuentesTable" ref="A5:G42" headerRowCount="1" totalsRowCount="0" totalsRowShown="0">
  <autoFilter ref="A5:G42"/>
  <tableColumns count="7">
    <tableColumn id="1" name="Organismo"/>
    <tableColumn id="2" name="Serie/código"/>
    <tableColumn id="3" name="Frecuencia"/>
    <tableColumn id="4" name="Cobertura"/>
    <tableColumn id="5" name="Uso"/>
    <tableColumn id="6" name="Tratamiento"/>
    <tableColumn id="7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Relationship Type="http://schemas.openxmlformats.org/officeDocument/2006/relationships/table" Target="/xl/tables/table11.xml" Id="rId6" /><Relationship Type="http://schemas.openxmlformats.org/officeDocument/2006/relationships/table" Target="/xl/tables/table12.xml" Id="rId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3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Relationship Type="http://schemas.openxmlformats.org/officeDocument/2006/relationships/table" Target="/xl/tables/table17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Relationship Type="http://schemas.openxmlformats.org/officeDocument/2006/relationships/table" Target="/xl/tables/table21.xml" Id="rId4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5.xml" Id="rId1" /><Relationship Type="http://schemas.openxmlformats.org/officeDocument/2006/relationships/table" Target="/xl/tables/table26.xml" Id="rId2" /><Relationship Type="http://schemas.openxmlformats.org/officeDocument/2006/relationships/table" Target="/xl/tables/table27.xml" Id="rId3" /><Relationship Type="http://schemas.openxmlformats.org/officeDocument/2006/relationships/table" Target="/xl/tables/table28.xml" Id="rId4" /><Relationship Type="http://schemas.openxmlformats.org/officeDocument/2006/relationships/table" Target="/xl/tables/table29.xml" Id="rId5" /><Relationship Type="http://schemas.openxmlformats.org/officeDocument/2006/relationships/table" Target="/xl/tables/table30.xml" Id="rId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1.xml" Id="rId1" /><Relationship Type="http://schemas.openxmlformats.org/officeDocument/2006/relationships/table" Target="/xl/tables/table32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3.xml" Id="rId1" /><Relationship Type="http://schemas.openxmlformats.org/officeDocument/2006/relationships/table" Target="/xl/tables/table34.xml" Id="rId2" /><Relationship Type="http://schemas.openxmlformats.org/officeDocument/2006/relationships/table" Target="/xl/tables/table35.xml" Id="rId3" /><Relationship Type="http://schemas.openxmlformats.org/officeDocument/2006/relationships/table" Target="/xl/tables/table36.xml" Id="rId4" /><Relationship Type="http://schemas.openxmlformats.org/officeDocument/2006/relationships/table" Target="/xl/tables/table37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8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17" customWidth="1" min="4" max="4"/>
    <col width="14" customWidth="1" min="5" max="5"/>
    <col width="34" customWidth="1" min="6" max="6"/>
    <col width="3" customWidth="1" min="7" max="7"/>
    <col width="20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4" t="inlineStr">
        <is>
          <t>Modelo econométrico de la TRM en Colombia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0" customHeight="1"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3" s="7" t="inlineStr">
        <is>
          <t>Se separan dos usos: explicación histórica con información contemporánea y pronóstico de un mes con rezagos de publicación. Muestra común: enero de 2006 a abril de 2026.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83" t="n"/>
      <c r="B4" s="83" t="n"/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3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38" t="inlineStr">
        <is>
          <t>Observaciones modelo ampliado</t>
        </is>
      </c>
      <c r="B5" s="139" t="n"/>
      <c r="C5" s="138" t="inlineStr">
        <is>
          <t>R² ajustado principal</t>
        </is>
      </c>
      <c r="D5" s="139" t="n"/>
      <c r="E5" s="140" t="inlineStr">
        <is>
          <t>R² ajustado ampliado</t>
        </is>
      </c>
      <c r="F5" s="139" t="n"/>
      <c r="G5" s="83" t="n"/>
      <c r="H5" s="55" t="inlineStr">
        <is>
          <t>TRM observada y ajuste de un paso (muestra anual)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0" customHeight="1">
      <c r="A6" s="141" t="n">
        <v>240</v>
      </c>
      <c r="B6" s="142" t="n"/>
      <c r="C6" s="141" t="inlineStr">
        <is>
          <t>47.9%</t>
        </is>
      </c>
      <c r="D6" s="142" t="n"/>
      <c r="E6" s="141" t="inlineStr">
        <is>
          <t>63.7%</t>
        </is>
      </c>
      <c r="F6" s="142" t="n"/>
      <c r="G6" s="83" t="n"/>
      <c r="H6" s="83" t="n"/>
      <c r="I6" s="83" t="n"/>
      <c r="J6" s="83" t="n"/>
      <c r="K6" s="83" t="n"/>
      <c r="L6" s="83" t="n"/>
      <c r="M6" s="83" t="n"/>
      <c r="N6" s="83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0" customHeight="1">
      <c r="A7" s="143" t="n"/>
      <c r="B7" s="144" t="n"/>
      <c r="C7" s="143" t="n"/>
      <c r="D7" s="144" t="n"/>
      <c r="E7" s="143" t="n"/>
      <c r="F7" s="144" t="n"/>
      <c r="G7" s="83" t="n"/>
      <c r="H7" s="83" t="n"/>
      <c r="I7" s="83" t="n"/>
      <c r="J7" s="83" t="n"/>
      <c r="K7" s="83" t="n"/>
      <c r="L7" s="83" t="n"/>
      <c r="M7" s="83" t="n"/>
      <c r="N7" s="83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22" customHeight="1">
      <c r="A9" s="140" t="inlineStr">
        <is>
          <t>MAPE explicación histórica</t>
        </is>
      </c>
      <c r="B9" s="139" t="n"/>
      <c r="C9" s="145" t="inlineStr">
        <is>
          <t>MAPE pronóstico publicado</t>
        </is>
      </c>
      <c r="D9" s="139" t="n"/>
      <c r="E9" s="146" t="inlineStr">
        <is>
          <t>R² pronóstico vs. caminata</t>
        </is>
      </c>
      <c r="F9" s="139" t="n"/>
      <c r="G9" s="83" t="n"/>
      <c r="H9" s="83" t="n"/>
      <c r="I9" s="83" t="n"/>
      <c r="J9" s="83" t="n"/>
      <c r="K9" s="83" t="n"/>
      <c r="L9" s="83" t="n"/>
      <c r="M9" s="83" t="n"/>
      <c r="N9" s="83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0" customHeight="1">
      <c r="A10" s="141" t="inlineStr">
        <is>
          <t>1.49%</t>
        </is>
      </c>
      <c r="B10" s="142" t="n"/>
      <c r="C10" s="141" t="inlineStr">
        <is>
          <t>2.49%</t>
        </is>
      </c>
      <c r="D10" s="142" t="n"/>
      <c r="E10" s="141" t="inlineStr">
        <is>
          <t>-1.5%</t>
        </is>
      </c>
      <c r="F10" s="142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143" t="n"/>
      <c r="B11" s="144" t="n"/>
      <c r="C11" s="143" t="n"/>
      <c r="D11" s="144" t="n"/>
      <c r="E11" s="143" t="n"/>
      <c r="F11" s="144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2" customHeight="1">
      <c r="A13" s="55" t="inlineStr">
        <is>
          <t>Especificación principal</t>
        </is>
      </c>
      <c r="G13" s="83" t="n"/>
      <c r="H13" s="83" t="n"/>
      <c r="I13" s="83" t="n"/>
      <c r="J13" s="83" t="n"/>
      <c r="K13" s="83" t="n"/>
      <c r="L13" s="83" t="n"/>
      <c r="M13" s="83" t="n"/>
      <c r="N13" s="83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6" customHeight="1">
      <c r="A14" s="58" t="inlineStr">
        <is>
          <t>Δln(TRM)t = c + β1Δln(términos de intercambio)t + β2Δln(dólar amplio)t + β3Δln(VIX)t + β4Δln(remesas 12m)t−1 + β5Δ(diferencial de tasas)t−1 + β6Δ(déficit 12m/PIB)t−1 + β7 pandemia + ut</t>
        </is>
      </c>
      <c r="G14" s="83" t="n"/>
      <c r="H14" s="83" t="n"/>
      <c r="I14" s="83" t="n"/>
      <c r="J14" s="83" t="n"/>
      <c r="K14" s="83" t="n"/>
      <c r="L14" s="83" t="n"/>
      <c r="M14" s="83" t="n"/>
      <c r="N14" s="8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6" customHeight="1">
      <c r="G15" s="83" t="n"/>
      <c r="H15" s="83" t="n"/>
      <c r="I15" s="83" t="n"/>
      <c r="J15" s="83" t="n"/>
      <c r="K15" s="83" t="n"/>
      <c r="L15" s="83" t="n"/>
      <c r="M15" s="83" t="n"/>
      <c r="N15" s="83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6" customHeight="1">
      <c r="G16" s="83" t="n"/>
      <c r="H16" s="83" t="n"/>
      <c r="I16" s="83" t="n"/>
      <c r="J16" s="83" t="n"/>
      <c r="K16" s="83" t="n"/>
      <c r="L16" s="83" t="n"/>
      <c r="M16" s="83" t="n"/>
      <c r="N16" s="83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Lectura de los resultados (asociaciones, no efectos causales)</t>
        </is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6" t="inlineStr">
        <is>
          <t>Variable</t>
        </is>
      </c>
      <c r="B19" s="66" t="inlineStr">
        <is>
          <t>Movimiento ilustrativo</t>
        </is>
      </c>
      <c r="C19" s="66" t="inlineStr">
        <is>
          <t>Efecto aproximado en TRM</t>
        </is>
      </c>
      <c r="D19" s="66" t="inlineStr">
        <is>
          <t>Signo</t>
        </is>
      </c>
      <c r="E19" s="66" t="inlineStr">
        <is>
          <t>p-valor</t>
        </is>
      </c>
      <c r="F19" s="66" t="inlineStr">
        <is>
          <t>Lectura</t>
        </is>
      </c>
      <c r="G19" s="83" t="n"/>
      <c r="H19" s="83" t="n"/>
      <c r="I19" s="83" t="n"/>
      <c r="J19" s="83" t="n"/>
      <c r="K19" s="83" t="n"/>
      <c r="L19" s="83" t="n"/>
      <c r="M19" s="83" t="n"/>
      <c r="N19" s="83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84" t="inlineStr">
        <is>
          <t>Términos de intercambio</t>
        </is>
      </c>
      <c r="B20" s="84" t="inlineStr">
        <is>
          <t>+10%</t>
        </is>
      </c>
      <c r="C20" s="84" t="inlineStr">
        <is>
          <t>−0,95%</t>
        </is>
      </c>
      <c r="D20" s="84" t="inlineStr">
        <is>
          <t>Aprecia el COP</t>
        </is>
      </c>
      <c r="E20" s="147" t="n">
        <v>0.0007166782361943</v>
      </c>
      <c r="F20" s="84" t="inlineStr">
        <is>
          <t>Poder de compra externo; el dato se publica con rezago</t>
        </is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84" t="inlineStr">
        <is>
          <t>Índice amplio del dólar</t>
        </is>
      </c>
      <c r="B21" s="84" t="inlineStr">
        <is>
          <t>+1%</t>
        </is>
      </c>
      <c r="C21" s="84" t="inlineStr">
        <is>
          <t>+1,28%</t>
        </is>
      </c>
      <c r="D21" s="84" t="inlineStr">
        <is>
          <t>Deprecia el COP</t>
        </is>
      </c>
      <c r="E21" s="147" t="n">
        <v>3.353308358316788e-15</v>
      </c>
      <c r="F21" s="84" t="inlineStr">
        <is>
          <t>Fortaleza global del dólar</t>
        </is>
      </c>
      <c r="G21" s="83" t="n"/>
      <c r="H21" s="83" t="n"/>
      <c r="I21" s="83" t="n"/>
      <c r="J21" s="83" t="n"/>
      <c r="K21" s="83" t="n"/>
      <c r="L21" s="83" t="n"/>
      <c r="M21" s="83" t="n"/>
      <c r="N21" s="83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84" t="inlineStr">
        <is>
          <t>VIX</t>
        </is>
      </c>
      <c r="B22" s="84" t="inlineStr">
        <is>
          <t>+10%</t>
        </is>
      </c>
      <c r="C22" s="84" t="inlineStr">
        <is>
          <t>+0,37%</t>
        </is>
      </c>
      <c r="D22" s="84" t="inlineStr">
        <is>
          <t>Deprecia el COP</t>
        </is>
      </c>
      <c r="E22" s="147" t="n">
        <v>3.530123227255144e-05</v>
      </c>
      <c r="F22" s="84" t="inlineStr">
        <is>
          <t>Captura episodios globales de aversión al riesgo</t>
        </is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84" t="inlineStr">
        <is>
          <t>Remesas, acumulado 12m (t−1)</t>
        </is>
      </c>
      <c r="B23" s="84" t="inlineStr">
        <is>
          <t>+10%</t>
        </is>
      </c>
      <c r="C23" s="84" t="inlineStr">
        <is>
          <t>+2,67%</t>
        </is>
      </c>
      <c r="D23" s="84" t="inlineStr">
        <is>
          <t>Deprecia el COP</t>
        </is>
      </c>
      <c r="E23" s="147" t="n">
        <v>0.0242701287993908</v>
      </c>
      <c r="F23" s="84" t="inlineStr">
        <is>
          <t>Puede reflejar endogeneidad y shocks simultáneos</t>
        </is>
      </c>
      <c r="G23" s="83" t="n"/>
      <c r="H23" s="83" t="n"/>
      <c r="I23" s="83" t="n"/>
      <c r="J23" s="83" t="n"/>
      <c r="K23" s="83" t="n"/>
      <c r="L23" s="83" t="n"/>
      <c r="M23" s="83" t="n"/>
      <c r="N23" s="83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84" t="inlineStr">
        <is>
          <t>Diferencial tasas CO−EE. UU. (t−1)</t>
        </is>
      </c>
      <c r="B24" s="84" t="inlineStr">
        <is>
          <t>+1 pp</t>
        </is>
      </c>
      <c r="C24" s="84" t="inlineStr">
        <is>
          <t>−0,98%</t>
        </is>
      </c>
      <c r="D24" s="84" t="inlineStr">
        <is>
          <t>Aprecia el COP</t>
        </is>
      </c>
      <c r="E24" s="147" t="n">
        <v>0.0436086380369615</v>
      </c>
      <c r="F24" s="84" t="inlineStr">
        <is>
          <t>Retorno nominal relativo; no es un shock exógeno</t>
        </is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84" t="inlineStr">
        <is>
          <t>Déficit fiscal 12m/PIB (t−1)</t>
        </is>
      </c>
      <c r="B25" s="84" t="inlineStr">
        <is>
          <t>+1 pp</t>
        </is>
      </c>
      <c r="C25" s="84" t="inlineStr">
        <is>
          <t>+0,49%</t>
        </is>
      </c>
      <c r="D25" s="84" t="inlineStr">
        <is>
          <t>Deprecia el COP</t>
        </is>
      </c>
      <c r="E25" s="147" t="n">
        <v>0.1446777718295574</v>
      </c>
      <c r="F25" s="84" t="inlineStr">
        <is>
          <t>Prima fiscal; revise el intervalo antes de concluir</t>
        </is>
      </c>
      <c r="G25" s="83" t="n"/>
      <c r="H25" s="83" t="n"/>
      <c r="I25" s="83" t="n"/>
      <c r="J25" s="83" t="n"/>
      <c r="K25" s="83" t="n"/>
      <c r="L25" s="83" t="n"/>
      <c r="M25" s="83" t="n"/>
      <c r="N25" s="83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84" t="inlineStr">
        <is>
          <t>Pandemia, mar–may 2020</t>
        </is>
      </c>
      <c r="B26" s="84" t="inlineStr">
        <is>
          <t>Dummy = 1</t>
        </is>
      </c>
      <c r="C26" s="84" t="inlineStr">
        <is>
          <t>+1,09%</t>
        </is>
      </c>
      <c r="D26" s="84" t="inlineStr">
        <is>
          <t>Deprecia el COP</t>
        </is>
      </c>
      <c r="E26" s="147" t="n">
        <v>0.019969238756193</v>
      </c>
      <c r="F26" s="84" t="inlineStr">
        <is>
          <t>Control de episodio extraordinario</t>
        </is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86" t="inlineStr">
        <is>
          <t>Conclusión</t>
        </is>
      </c>
      <c r="B27" s="86" t="inlineStr">
        <is>
          <t>—</t>
        </is>
      </c>
      <c r="C27" s="86" t="inlineStr">
        <is>
          <t>—</t>
        </is>
      </c>
      <c r="D27" s="86" t="inlineStr">
        <is>
          <t>—</t>
        </is>
      </c>
      <c r="E27" s="148" t="n"/>
      <c r="F27" s="86" t="inlineStr">
        <is>
          <t>La magnitud, la precisión y el peso Shapley responden preguntas distintas</t>
        </is>
      </c>
      <c r="G27" s="83" t="n"/>
      <c r="H27" s="83" t="n"/>
      <c r="I27" s="83" t="n"/>
      <c r="J27" s="83" t="n"/>
      <c r="K27" s="83" t="n"/>
      <c r="L27" s="83" t="n"/>
      <c r="M27" s="83" t="n"/>
      <c r="N27" s="83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22" customHeight="1">
      <c r="A29" s="55" t="inlineStr">
        <is>
          <t>Alcance y cautelas</t>
        </is>
      </c>
      <c r="G29" s="83" t="n"/>
      <c r="H29" s="55" t="inlineStr">
        <is>
          <t>Explicación histórica frente a pronóstico publicado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78" t="inlineStr">
        <is>
          <t>1</t>
        </is>
      </c>
      <c r="B30" s="88" t="inlineStr">
        <is>
          <t>La regresión identifica asociaciones dinámicas; no demuestra causalidad.</t>
        </is>
      </c>
      <c r="C30" s="149" t="n"/>
      <c r="D30" s="149" t="n"/>
      <c r="E30" s="149" t="n"/>
      <c r="F30" s="150" t="n"/>
      <c r="G30" s="83" t="n"/>
      <c r="H30" s="62" t="inlineStr">
        <is>
          <t>Modelo</t>
        </is>
      </c>
      <c r="I30" s="62" t="inlineStr">
        <is>
          <t>Obs.</t>
        </is>
      </c>
      <c r="J30" s="62" t="inlineStr">
        <is>
          <t>R² ajustado</t>
        </is>
      </c>
      <c r="K30" s="62" t="inlineStr">
        <is>
          <t>AIC</t>
        </is>
      </c>
      <c r="L30" s="62" t="inlineStr">
        <is>
          <t>BIC</t>
        </is>
      </c>
      <c r="M30" s="62" t="inlineStr">
        <is>
          <t>MAPE</t>
        </is>
      </c>
      <c r="N30" s="62" t="inlineStr">
        <is>
          <t>Dirección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78" t="inlineStr">
        <is>
          <t>2</t>
        </is>
      </c>
      <c r="B31" s="88" t="inlineStr">
        <is>
          <t>La hoja Validacion mide explicación condicional con realizaciones contemporáneas; la hoja Pronostico usa únicamente datos rezagados según su calendario de publicación.</t>
        </is>
      </c>
      <c r="C31" s="149" t="n"/>
      <c r="D31" s="149" t="n"/>
      <c r="E31" s="149" t="n"/>
      <c r="F31" s="150" t="n"/>
      <c r="G31" s="83" t="n"/>
      <c r="H31" s="83" t="inlineStr">
        <is>
          <t>Controles externos y financieros</t>
        </is>
      </c>
      <c r="I31" s="83" t="n">
        <v>240</v>
      </c>
      <c r="J31" s="151" t="n">
        <v>0.4792107613916473</v>
      </c>
      <c r="K31" s="152" t="n">
        <v>-1103.307429112625</v>
      </c>
      <c r="L31" s="152" t="n">
        <v>-1075.462317725889</v>
      </c>
      <c r="M31" s="151" t="n">
        <v>0.02006609126430155</v>
      </c>
      <c r="N31" s="151" t="n">
        <v>0.6875</v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78" t="inlineStr">
        <is>
          <t>3</t>
        </is>
      </c>
      <c r="B32" s="88" t="inlineStr">
        <is>
          <t>Los residuos presentan colas no normales; para inferencia se reportan errores HAC.</t>
        </is>
      </c>
      <c r="C32" s="149" t="n"/>
      <c r="D32" s="149" t="n"/>
      <c r="E32" s="149" t="n"/>
      <c r="F32" s="150" t="n"/>
      <c r="G32" s="83" t="n"/>
      <c r="H32" s="83" t="inlineStr">
        <is>
          <t>Marco macroeconómico integral</t>
        </is>
      </c>
      <c r="I32" s="83" t="n">
        <v>240</v>
      </c>
      <c r="J32" s="151" t="n">
        <v>0.6367240559162006</v>
      </c>
      <c r="K32" s="152" t="n">
        <v>-1167.115737241667</v>
      </c>
      <c r="L32" s="152" t="n">
        <v>-1052.254652771381</v>
      </c>
      <c r="M32" s="151" t="n">
        <v>0.01488057561067444</v>
      </c>
      <c r="N32" s="151" t="n">
        <v>0.8333333333333335</v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78" t="inlineStr">
        <is>
          <t>4</t>
        </is>
      </c>
      <c r="B33" s="88" t="inlineStr">
        <is>
          <t>El resultado positivo de remesas puede reflejar respuesta de los hogares a depreciaciones u otros shocks simultáneos.</t>
        </is>
      </c>
      <c r="C33" s="149" t="n"/>
      <c r="D33" s="149" t="n"/>
      <c r="E33" s="149" t="n"/>
      <c r="F33" s="150" t="n"/>
      <c r="G33" s="83" t="n"/>
      <c r="H33" s="83" t="inlineStr">
        <is>
          <t>Pronóstico publicación</t>
        </is>
      </c>
      <c r="I33" s="83" t="n">
        <v>240</v>
      </c>
      <c r="J33" s="151" t="n">
        <v>0.173411996792791</v>
      </c>
      <c r="K33" s="152" t="n">
        <v>-968.9634871471849</v>
      </c>
      <c r="L33" s="152" t="n">
        <v>-850.6217637535572</v>
      </c>
      <c r="M33" s="151" t="n">
        <v>0.02486180196049922</v>
      </c>
      <c r="N33" s="151" t="n">
        <v>0.5208333333333334</v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78" t="inlineStr">
        <is>
          <t>5</t>
        </is>
      </c>
      <c r="B34" s="88" t="inlineStr">
        <is>
          <t>La prueba bounds no confirma cointegración al 5%; el ECM se muestra solo como contraste exploratorio.</t>
        </is>
      </c>
      <c r="C34" s="149" t="n"/>
      <c r="D34" s="149" t="n"/>
      <c r="E34" s="149" t="n"/>
      <c r="F34" s="150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78" t="inlineStr">
        <is>
          <t>6</t>
        </is>
      </c>
      <c r="B35" s="88" t="inlineStr">
        <is>
          <t>El déficit fiscal y los demás factores deben interpretarse con sus intervalos de confianza; el signo aislado no basta.</t>
        </is>
      </c>
      <c r="C35" s="149" t="n"/>
      <c r="D35" s="149" t="n"/>
      <c r="E35" s="149" t="n"/>
      <c r="F35" s="150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78" t="inlineStr">
        <is>
          <t>7</t>
        </is>
      </c>
      <c r="B36" s="88" t="inlineStr">
        <is>
          <t>En el ampliado, ARCH-LM y Jarque–Bera rechazan al 5%; RESET no rechaza la forma funcional.</t>
        </is>
      </c>
      <c r="C36" s="149" t="n"/>
      <c r="D36" s="149" t="n"/>
      <c r="E36" s="149" t="n"/>
      <c r="F36" s="150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78" t="inlineStr">
        <is>
          <t>8</t>
        </is>
      </c>
      <c r="B37" s="88" t="inlineStr">
        <is>
          <t>El backtest del pronóstico usa el último vintage disponible: respeta rezagos, pero sigue siendo pseudo-tiempo-real hasta archivar versiones históricas de cada publicación.</t>
        </is>
      </c>
      <c r="C37" s="149" t="n"/>
      <c r="D37" s="149" t="n"/>
      <c r="E37" s="149" t="n"/>
      <c r="F37" s="150" t="n"/>
      <c r="G37" s="83" t="n"/>
      <c r="H37" s="62" t="inlineStr">
        <is>
          <t>Mes</t>
        </is>
      </c>
      <c r="I37" s="62" t="inlineStr">
        <is>
          <t>TRM observada</t>
        </is>
      </c>
      <c r="J37" s="62" t="inlineStr">
        <is>
          <t>TRM ajustada</t>
        </is>
      </c>
      <c r="K37" s="83" t="n"/>
      <c r="L37" s="83" t="n"/>
      <c r="M37" s="83" t="n"/>
      <c r="N37" s="83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22" customHeight="1">
      <c r="A38" s="55" t="inlineStr">
        <is>
          <t>Peso explicativo Shapley del modelo ampliado</t>
        </is>
      </c>
      <c r="G38" s="83" t="n"/>
      <c r="H38" s="83">
        <f>'Modelo_principal'!A18</f>
        <v/>
      </c>
      <c r="I38" s="153">
        <f>'Modelo_principal'!M18</f>
        <v/>
      </c>
      <c r="J38" s="153">
        <f>'Modelo_principal'!N18</f>
        <v/>
      </c>
      <c r="K38" s="83" t="n"/>
      <c r="L38" s="83" t="n"/>
      <c r="M38" s="83" t="n"/>
      <c r="N38" s="83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2" t="inlineStr">
        <is>
          <t>Factor</t>
        </is>
      </c>
      <c r="B39" s="62" t="inlineStr">
        <is>
          <t>Grupo</t>
        </is>
      </c>
      <c r="C39" s="62" t="inlineStr">
        <is>
          <t>Contribución al R²</t>
        </is>
      </c>
      <c r="D39" s="62" t="inlineStr">
        <is>
          <t>Peso entre factores</t>
        </is>
      </c>
      <c r="E39" s="62" t="inlineStr">
        <is>
          <t>Peso del R² total</t>
        </is>
      </c>
      <c r="F39" s="62" t="inlineStr">
        <is>
          <t>Lectura</t>
        </is>
      </c>
      <c r="G39" s="83" t="n"/>
      <c r="H39" s="83">
        <f>'Modelo_principal'!A30</f>
        <v/>
      </c>
      <c r="I39" s="153">
        <f>'Modelo_principal'!M30</f>
        <v/>
      </c>
      <c r="J39" s="153">
        <f>'Modelo_principal'!N30</f>
        <v/>
      </c>
      <c r="K39" s="83" t="n"/>
      <c r="L39" s="83" t="n"/>
      <c r="M39" s="83" t="n"/>
      <c r="N39" s="83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0" customHeight="1">
      <c r="A40" s="92" t="inlineStr">
        <is>
          <t>Monedas regionales</t>
        </is>
      </c>
      <c r="B40" s="92" t="inlineStr">
        <is>
          <t>Regional</t>
        </is>
      </c>
      <c r="C40" s="154" t="n">
        <v>0.1572057248111356</v>
      </c>
      <c r="D40" s="154" t="n">
        <v>0.2355061096962877</v>
      </c>
      <c r="E40" s="154" t="n">
        <v>0.2293756843781176</v>
      </c>
      <c r="F40" s="92" t="inlineStr">
        <is>
          <t>Participación explicativa, no efecto causal</t>
        </is>
      </c>
      <c r="G40" s="83" t="n"/>
      <c r="H40" s="83">
        <f>'Modelo_principal'!A42</f>
        <v/>
      </c>
      <c r="I40" s="153">
        <f>'Modelo_principal'!M42</f>
        <v/>
      </c>
      <c r="J40" s="153">
        <f>'Modelo_principal'!N42</f>
        <v/>
      </c>
      <c r="K40" s="83" t="n"/>
      <c r="L40" s="83" t="n"/>
      <c r="M40" s="83" t="n"/>
      <c r="N40" s="83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0" customHeight="1">
      <c r="A41" s="92" t="inlineStr">
        <is>
          <t>Condiciones financieras, commodities y actividad internacional</t>
        </is>
      </c>
      <c r="B41" s="92" t="inlineStr">
        <is>
          <t>Condiciones financieras y actividad internacional</t>
        </is>
      </c>
      <c r="C41" s="154" t="n">
        <v>0.1443526925996188</v>
      </c>
      <c r="D41" s="154" t="n">
        <v>0.2162512917335707</v>
      </c>
      <c r="E41" s="154" t="n">
        <v>0.2106220857837118</v>
      </c>
      <c r="F41" s="92" t="inlineStr">
        <is>
          <t>Participación explicativa, no efecto causal</t>
        </is>
      </c>
      <c r="G41" s="83" t="n"/>
      <c r="H41" s="83">
        <f>'Modelo_principal'!A54</f>
        <v/>
      </c>
      <c r="I41" s="153">
        <f>'Modelo_principal'!M54</f>
        <v/>
      </c>
      <c r="J41" s="153">
        <f>'Modelo_principal'!N54</f>
        <v/>
      </c>
      <c r="K41" s="83" t="n"/>
      <c r="L41" s="83" t="n"/>
      <c r="M41" s="83" t="n"/>
      <c r="N41" s="83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 ht="30" customHeight="1">
      <c r="A42" s="92" t="inlineStr">
        <is>
          <t>Dólar amplio</t>
        </is>
      </c>
      <c r="B42" s="92" t="inlineStr">
        <is>
          <t>Mercados financieros globales</t>
        </is>
      </c>
      <c r="C42" s="154" t="n">
        <v>0.1008634901475787</v>
      </c>
      <c r="D42" s="154" t="n">
        <v>0.1511011650726062</v>
      </c>
      <c r="E42" s="154" t="n">
        <v>0.147167872602357</v>
      </c>
      <c r="F42" s="92" t="inlineStr">
        <is>
          <t>Participación explicativa, no efecto causal</t>
        </is>
      </c>
      <c r="G42" s="83" t="n"/>
      <c r="H42" s="83">
        <f>'Modelo_principal'!A66</f>
        <v/>
      </c>
      <c r="I42" s="153">
        <f>'Modelo_principal'!M66</f>
        <v/>
      </c>
      <c r="J42" s="153">
        <f>'Modelo_principal'!N66</f>
        <v/>
      </c>
      <c r="K42" s="83" t="n"/>
      <c r="L42" s="83" t="n"/>
      <c r="M42" s="83" t="n"/>
      <c r="N42" s="83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30" customHeight="1">
      <c r="A43" s="92" t="inlineStr">
        <is>
          <t>Riesgo soberano EMBIG Colombia</t>
        </is>
      </c>
      <c r="B43" s="92" t="inlineStr">
        <is>
          <t>Riesgo local</t>
        </is>
      </c>
      <c r="C43" s="154" t="n">
        <v>0.0942538634265839</v>
      </c>
      <c r="D43" s="154" t="n">
        <v>0.1411994424891813</v>
      </c>
      <c r="E43" s="154" t="n">
        <v>0.1375239003206003</v>
      </c>
      <c r="F43" s="92" t="inlineStr">
        <is>
          <t>Participación explicativa, no efecto causal</t>
        </is>
      </c>
      <c r="G43" s="83" t="n"/>
      <c r="H43" s="83">
        <f>'Modelo_principal'!A78</f>
        <v/>
      </c>
      <c r="I43" s="153">
        <f>'Modelo_principal'!M78</f>
        <v/>
      </c>
      <c r="J43" s="153">
        <f>'Modelo_principal'!N78</f>
        <v/>
      </c>
      <c r="K43" s="83" t="n"/>
      <c r="L43" s="83" t="n"/>
      <c r="M43" s="83" t="n"/>
      <c r="N43" s="83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 ht="30" customHeight="1">
      <c r="A44" s="92" t="inlineStr">
        <is>
          <t>Balanza comercial cambiaria</t>
        </is>
      </c>
      <c r="B44" s="92" t="inlineStr">
        <is>
          <t>Sector externo Colombia</t>
        </is>
      </c>
      <c r="C44" s="154" t="n">
        <v>0.0424558091269483</v>
      </c>
      <c r="D44" s="154" t="n">
        <v>0.06360202501218004</v>
      </c>
      <c r="E44" s="154" t="n">
        <v>0.06194640994162249</v>
      </c>
      <c r="F44" s="92" t="inlineStr">
        <is>
          <t>Participación explicativa, no efecto causal</t>
        </is>
      </c>
      <c r="G44" s="83" t="n"/>
      <c r="H44" s="83">
        <f>'Modelo_principal'!A90</f>
        <v/>
      </c>
      <c r="I44" s="153">
        <f>'Modelo_principal'!M90</f>
        <v/>
      </c>
      <c r="J44" s="153">
        <f>'Modelo_principal'!N90</f>
        <v/>
      </c>
      <c r="K44" s="83" t="n"/>
      <c r="L44" s="83" t="n"/>
      <c r="M44" s="83" t="n"/>
      <c r="N44" s="83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0" customHeight="1">
      <c r="A45" s="92" t="inlineStr">
        <is>
          <t>VIX</t>
        </is>
      </c>
      <c r="B45" s="92" t="inlineStr">
        <is>
          <t>Mercados financieros globales</t>
        </is>
      </c>
      <c r="C45" s="154" t="n">
        <v>0.04071978979721</v>
      </c>
      <c r="D45" s="154" t="n">
        <v>0.06100133627011673</v>
      </c>
      <c r="E45" s="154" t="n">
        <v>0.05941341935027632</v>
      </c>
      <c r="F45" s="92" t="inlineStr">
        <is>
          <t>Participación explicativa, no efecto causal</t>
        </is>
      </c>
      <c r="G45" s="83" t="n"/>
      <c r="H45" s="83">
        <f>'Modelo_principal'!A102</f>
        <v/>
      </c>
      <c r="I45" s="153">
        <f>'Modelo_principal'!M102</f>
        <v/>
      </c>
      <c r="J45" s="153">
        <f>'Modelo_principal'!N102</f>
        <v/>
      </c>
      <c r="K45" s="83" t="n"/>
      <c r="L45" s="83" t="n"/>
      <c r="M45" s="83" t="n"/>
      <c r="N45" s="83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0" customHeight="1">
      <c r="A46" s="92" t="inlineStr">
        <is>
          <t>Términos de intercambio</t>
        </is>
      </c>
      <c r="B46" s="92" t="inlineStr">
        <is>
          <t>Sector externo Colombia</t>
        </is>
      </c>
      <c r="C46" s="154" t="n">
        <v>0.0276751447974696</v>
      </c>
      <c r="D46" s="154" t="n">
        <v>0.04145946780477457</v>
      </c>
      <c r="E46" s="154" t="n">
        <v>0.04038024242316546</v>
      </c>
      <c r="F46" s="92" t="inlineStr">
        <is>
          <t>Participación explicativa, no efecto causal</t>
        </is>
      </c>
      <c r="G46" s="83" t="n"/>
      <c r="H46" s="83">
        <f>'Modelo_principal'!A114</f>
        <v/>
      </c>
      <c r="I46" s="153">
        <f>'Modelo_principal'!M114</f>
        <v/>
      </c>
      <c r="J46" s="153">
        <f>'Modelo_principal'!N114</f>
        <v/>
      </c>
      <c r="K46" s="83" t="n"/>
      <c r="L46" s="83" t="n"/>
      <c r="M46" s="83" t="n"/>
      <c r="N46" s="83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0" customHeight="1">
      <c r="A47" s="92" t="inlineStr">
        <is>
          <t>Flujos netos de capital</t>
        </is>
      </c>
      <c r="B47" s="92" t="inlineStr">
        <is>
          <t>Sector externo Colombia</t>
        </is>
      </c>
      <c r="C47" s="154" t="n">
        <v>0.021951830118811</v>
      </c>
      <c r="D47" s="154" t="n">
        <v>0.03288550794321194</v>
      </c>
      <c r="E47" s="154" t="n">
        <v>0.03202947006480641</v>
      </c>
      <c r="F47" s="92" t="inlineStr">
        <is>
          <t>Participación explicativa, no efecto causal</t>
        </is>
      </c>
      <c r="G47" s="83" t="n"/>
      <c r="H47" s="83">
        <f>'Modelo_principal'!A126</f>
        <v/>
      </c>
      <c r="I47" s="153">
        <f>'Modelo_principal'!M126</f>
        <v/>
      </c>
      <c r="J47" s="153">
        <f>'Modelo_principal'!N126</f>
        <v/>
      </c>
      <c r="K47" s="83" t="n"/>
      <c r="L47" s="83" t="n"/>
      <c r="M47" s="83" t="n"/>
      <c r="N47" s="83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>
        <f>'Modelo_principal'!A138</f>
        <v/>
      </c>
      <c r="I48" s="153">
        <f>'Modelo_principal'!M138</f>
        <v/>
      </c>
      <c r="J48" s="153">
        <f>'Modelo_principal'!N138</f>
        <v/>
      </c>
      <c r="K48" s="83" t="n"/>
      <c r="L48" s="83" t="n"/>
      <c r="M48" s="83" t="n"/>
      <c r="N48" s="83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>
        <f>'Modelo_principal'!A150</f>
        <v/>
      </c>
      <c r="I49" s="153">
        <f>'Modelo_principal'!M150</f>
        <v/>
      </c>
      <c r="J49" s="153">
        <f>'Modelo_principal'!N150</f>
        <v/>
      </c>
      <c r="K49" s="83" t="n"/>
      <c r="L49" s="83" t="n"/>
      <c r="M49" s="83" t="n"/>
      <c r="N49" s="83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83">
        <f>'Modelo_principal'!A162</f>
        <v/>
      </c>
      <c r="I50" s="153">
        <f>'Modelo_principal'!M162</f>
        <v/>
      </c>
      <c r="J50" s="153">
        <f>'Modelo_principal'!N162</f>
        <v/>
      </c>
      <c r="K50" s="83" t="n"/>
      <c r="L50" s="83" t="n"/>
      <c r="M50" s="83" t="n"/>
      <c r="N50" s="83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83">
        <f>'Modelo_principal'!A174</f>
        <v/>
      </c>
      <c r="I51" s="153">
        <f>'Modelo_principal'!M174</f>
        <v/>
      </c>
      <c r="J51" s="153">
        <f>'Modelo_principal'!N174</f>
        <v/>
      </c>
      <c r="K51" s="83" t="n"/>
      <c r="L51" s="83" t="n"/>
      <c r="M51" s="83" t="n"/>
      <c r="N51" s="83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>
        <f>'Modelo_principal'!A186</f>
        <v/>
      </c>
      <c r="I52" s="153">
        <f>'Modelo_principal'!M186</f>
        <v/>
      </c>
      <c r="J52" s="153">
        <f>'Modelo_principal'!N186</f>
        <v/>
      </c>
      <c r="K52" s="83" t="n"/>
      <c r="L52" s="83" t="n"/>
      <c r="M52" s="83" t="n"/>
      <c r="N52" s="83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83" t="n"/>
      <c r="B53" s="83" t="n"/>
      <c r="C53" s="83" t="n"/>
      <c r="D53" s="83" t="n"/>
      <c r="E53" s="83" t="n"/>
      <c r="F53" s="83" t="n"/>
      <c r="G53" s="83" t="n"/>
      <c r="H53" s="83">
        <f>'Modelo_principal'!A198</f>
        <v/>
      </c>
      <c r="I53" s="153">
        <f>'Modelo_principal'!M198</f>
        <v/>
      </c>
      <c r="J53" s="153">
        <f>'Modelo_principal'!N198</f>
        <v/>
      </c>
      <c r="K53" s="83" t="n"/>
      <c r="L53" s="83" t="n"/>
      <c r="M53" s="83" t="n"/>
      <c r="N53" s="83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83" t="n"/>
      <c r="B54" s="83" t="n"/>
      <c r="C54" s="83" t="n"/>
      <c r="D54" s="83" t="n"/>
      <c r="E54" s="83" t="n"/>
      <c r="F54" s="83" t="n"/>
      <c r="G54" s="83" t="n"/>
      <c r="H54" s="83">
        <f>'Modelo_principal'!A210</f>
        <v/>
      </c>
      <c r="I54" s="153">
        <f>'Modelo_principal'!M210</f>
        <v/>
      </c>
      <c r="J54" s="153">
        <f>'Modelo_principal'!N210</f>
        <v/>
      </c>
      <c r="K54" s="83" t="n"/>
      <c r="L54" s="83" t="n"/>
      <c r="M54" s="83" t="n"/>
      <c r="N54" s="83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83" t="n"/>
      <c r="B55" s="83" t="n"/>
      <c r="C55" s="83" t="n"/>
      <c r="D55" s="83" t="n"/>
      <c r="E55" s="83" t="n"/>
      <c r="F55" s="83" t="n"/>
      <c r="G55" s="83" t="n"/>
      <c r="H55" s="83">
        <f>'Modelo_principal'!A222</f>
        <v/>
      </c>
      <c r="I55" s="153">
        <f>'Modelo_principal'!M222</f>
        <v/>
      </c>
      <c r="J55" s="153">
        <f>'Modelo_principal'!N222</f>
        <v/>
      </c>
      <c r="K55" s="83" t="n"/>
      <c r="L55" s="83" t="n"/>
      <c r="M55" s="83" t="n"/>
      <c r="N55" s="83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>
        <f>'Modelo_principal'!A234</f>
        <v/>
      </c>
      <c r="I56" s="153">
        <f>'Modelo_principal'!M234</f>
        <v/>
      </c>
      <c r="J56" s="153">
        <f>'Modelo_principal'!N234</f>
        <v/>
      </c>
      <c r="K56" s="83" t="n"/>
      <c r="L56" s="83" t="n"/>
      <c r="M56" s="83" t="n"/>
      <c r="N56" s="83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>
        <f>'Modelo_principal'!A246</f>
        <v/>
      </c>
      <c r="I57" s="153">
        <f>'Modelo_principal'!M246</f>
        <v/>
      </c>
      <c r="J57" s="153">
        <f>'Modelo_principal'!N246</f>
        <v/>
      </c>
      <c r="K57" s="83" t="n"/>
      <c r="L57" s="83" t="n"/>
      <c r="M57" s="83" t="n"/>
      <c r="N57" s="83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>
        <f>'Modelo_principal'!A257</f>
        <v/>
      </c>
      <c r="I58" s="153">
        <f>'Modelo_principal'!M257</f>
        <v/>
      </c>
      <c r="J58" s="153">
        <f>'Modelo_principal'!N257</f>
        <v/>
      </c>
      <c r="K58" s="83" t="n"/>
      <c r="L58" s="83" t="n"/>
      <c r="M58" s="83" t="n"/>
      <c r="N58" s="83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9">
    <mergeCell ref="E6:F7"/>
    <mergeCell ref="A9:B9"/>
    <mergeCell ref="C5:D5"/>
    <mergeCell ref="E5:F5"/>
    <mergeCell ref="B31:F31"/>
    <mergeCell ref="A18:F18"/>
    <mergeCell ref="H5:N5"/>
    <mergeCell ref="A10:B11"/>
    <mergeCell ref="H29:N29"/>
    <mergeCell ref="C9:D9"/>
    <mergeCell ref="E9:F9"/>
    <mergeCell ref="A29:F29"/>
    <mergeCell ref="A14:F16"/>
    <mergeCell ref="A38:F38"/>
    <mergeCell ref="A3:N3"/>
    <mergeCell ref="C6:D7"/>
    <mergeCell ref="A13:F13"/>
    <mergeCell ref="B34:F34"/>
    <mergeCell ref="A5:B5"/>
    <mergeCell ref="B37:F37"/>
    <mergeCell ref="B30:F30"/>
    <mergeCell ref="A1:N2"/>
    <mergeCell ref="C10:D11"/>
    <mergeCell ref="B33:F33"/>
    <mergeCell ref="E10:F11"/>
    <mergeCell ref="A6:B7"/>
    <mergeCell ref="B36:F36"/>
    <mergeCell ref="B32:F32"/>
    <mergeCell ref="B35:F35"/>
  </mergeCell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2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</cols>
  <sheetData>
    <row r="1" ht="30" customHeight="1">
      <c r="A1" s="4" t="inlineStr">
        <is>
          <t>Datos fuente mensuales y cobertura global</t>
        </is>
      </c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Niveles y transformaciones previas de las series utilizadas. Las columnas globales activas y candidatas se muestran para auditoría; ISE total DANE e IPC Colombia conservan niveles oficiales sin imputación; high-yield, TED, UNRATE y China conservan sus faltantes y no se imputan.</t>
        </is>
      </c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54" customHeight="1">
      <c r="A5" s="62" t="inlineStr">
        <is>
          <t>Mes</t>
        </is>
      </c>
      <c r="B5" s="62" t="inlineStr">
        <is>
          <t>TRM (COP/USD)</t>
        </is>
      </c>
      <c r="C5" s="62" t="inlineStr">
        <is>
          <t>Términos de intercambio</t>
        </is>
      </c>
      <c r="D5" s="62" t="inlineStr">
        <is>
          <t>Remesas (USD mill.)</t>
        </is>
      </c>
      <c r="E5" s="62" t="inlineStr">
        <is>
          <t>Remesas 12m (USD mill.)</t>
        </is>
      </c>
      <c r="F5" s="62" t="inlineStr">
        <is>
          <t>Tasa política Colombia (%)</t>
        </is>
      </c>
      <c r="G5" s="62" t="inlineStr">
        <is>
          <t>Fed funds (%)</t>
        </is>
      </c>
      <c r="H5" s="62" t="inlineStr">
        <is>
          <t>Diferencial tasas (pp)</t>
        </is>
      </c>
      <c r="I5" s="62" t="inlineStr">
        <is>
          <t>Balance fiscal mensual (miles mill. COP)</t>
        </is>
      </c>
      <c r="J5" s="62" t="inlineStr">
        <is>
          <t>Déficit fiscal 12m (% PIB)</t>
        </is>
      </c>
      <c r="K5" s="62" t="inlineStr">
        <is>
          <t>Índice dólar amplio</t>
        </is>
      </c>
      <c r="L5" s="62" t="inlineStr">
        <is>
          <t>VIX</t>
        </is>
      </c>
      <c r="M5" s="62" t="inlineStr">
        <is>
          <t>Dummy pandemia</t>
        </is>
      </c>
      <c r="N5" s="62" t="inlineStr">
        <is>
          <t>Reservas netas sin FLAR (USD mill.)</t>
        </is>
      </c>
      <c r="O5" s="62" t="inlineStr">
        <is>
          <t>EMBIG Colombia (pb)</t>
        </is>
      </c>
      <c r="P5" s="62" t="inlineStr">
        <is>
          <t>EMBIG Colombia (pp)</t>
        </is>
      </c>
      <c r="Q5" s="62" t="inlineStr">
        <is>
          <t>Balanza comercial cambiaria (USD mill.)</t>
        </is>
      </c>
      <c r="R5" s="62" t="inlineStr">
        <is>
          <t>Flujo neto total de capital (USD mill.)</t>
        </is>
      </c>
      <c r="S5" s="62" t="inlineStr">
        <is>
          <t>TES pesos cero cupón 5 años (%)</t>
        </is>
      </c>
      <c r="T5" s="62" t="inlineStr">
        <is>
          <t>TES UVR cero cupón 5 años (%)</t>
        </is>
      </c>
      <c r="U5" s="62" t="inlineStr">
        <is>
          <t>BEI Colombia 5 años (%)</t>
        </is>
      </c>
      <c r="V5" s="62" t="inlineStr">
        <is>
          <t>BEI EE. UU. 5 años (%)</t>
        </is>
      </c>
      <c r="W5" s="62" t="inlineStr">
        <is>
          <t>Diferencial BEI 5 años (pp)</t>
        </is>
      </c>
      <c r="X5" s="62" t="inlineStr">
        <is>
          <t>BRL por USD</t>
        </is>
      </c>
      <c r="Y5" s="62" t="inlineStr">
        <is>
          <t>CLP por USD</t>
        </is>
      </c>
      <c r="Z5" s="62" t="inlineStr">
        <is>
          <t>MXN por USD</t>
        </is>
      </c>
      <c r="AA5" s="62" t="inlineStr">
        <is>
          <t>PEN por USD</t>
        </is>
      </c>
      <c r="AB5" s="62" t="inlineStr">
        <is>
          <t>Factor regional 3 monedas</t>
        </is>
      </c>
      <c r="AC5" s="62" t="inlineStr">
        <is>
          <t>Factor regional 4 monedas</t>
        </is>
      </c>
      <c r="AD5" s="62" t="inlineStr">
        <is>
          <t>ISE total DANE (índice)</t>
        </is>
      </c>
      <c r="AE5" s="62" t="inlineStr">
        <is>
          <t>IPC Colombia (índice)</t>
        </is>
      </c>
      <c r="AF5" s="62" t="inlineStr">
        <is>
          <t>TIPS real EE. UU. 10 años (%)</t>
        </is>
      </c>
      <c r="AG5" s="62" t="inlineStr">
        <is>
          <t>Rendimiento real EE. UU. 5 años (%)</t>
        </is>
      </c>
      <c r="AH5" s="62" t="inlineStr">
        <is>
          <t>Treasury EE. UU. 2 años (%)</t>
        </is>
      </c>
      <c r="AI5" s="62" t="inlineStr">
        <is>
          <t>Treasury EE. UU. 10 años (%)</t>
        </is>
      </c>
      <c r="AJ5" s="62" t="inlineStr">
        <is>
          <t>Pendiente Treasury 10Y−2Y (pp)</t>
        </is>
      </c>
      <c r="AK5" s="62" t="inlineStr">
        <is>
          <t>BEI EE. UU. 5 años (%)</t>
        </is>
      </c>
      <c r="AL5" s="62" t="inlineStr">
        <is>
          <t>BEI EE. UU. 10 años (%)</t>
        </is>
      </c>
      <c r="AM5" s="62" t="inlineStr">
        <is>
          <t>Incertidumbre de política económica global</t>
        </is>
      </c>
      <c r="AN5" s="62" t="inlineStr">
        <is>
          <t>Estrés financiero STLFSI</t>
        </is>
      </c>
      <c r="AO5" s="62" t="inlineStr">
        <is>
          <t>NFCI Chicago</t>
        </is>
      </c>
      <c r="AP5" s="62" t="inlineStr">
        <is>
          <t>ANFCI Chicago</t>
        </is>
      </c>
      <c r="AQ5" s="62" t="inlineStr">
        <is>
          <t>Desempleo EE. UU. activo (%)</t>
        </is>
      </c>
      <c r="AR5" s="62" t="inlineStr">
        <is>
          <t>High-yield OAS (candidato)</t>
        </is>
      </c>
      <c r="AS5" s="62" t="inlineStr">
        <is>
          <t>TED spread (candidato)</t>
        </is>
      </c>
      <c r="AT5" s="62" t="inlineStr">
        <is>
          <t>Desempleo BLS UNRATE (candidato)</t>
        </is>
      </c>
      <c r="AU5" s="62" t="inlineStr">
        <is>
          <t>Precios de importación China (candidato)</t>
        </is>
      </c>
      <c r="AV5" s="62" t="inlineStr">
        <is>
          <t>Producción industrial China (candidato)</t>
        </is>
      </c>
      <c r="AW5" s="62" t="inlineStr">
        <is>
          <t>Indicador líder China (candidato)</t>
        </is>
      </c>
      <c r="AX5" s="62" t="inlineStr">
        <is>
          <t>IPC China (candidato)</t>
        </is>
      </c>
      <c r="AY5" s="62" t="inlineStr">
        <is>
          <t>ln Brent global</t>
        </is>
      </c>
      <c r="AZ5" s="62" t="inlineStr">
        <is>
          <t>ln commodities globales</t>
        </is>
      </c>
      <c r="BA5" s="62" t="inlineStr">
        <is>
          <t>ln empleo manufacturero EE. UU.</t>
        </is>
      </c>
      <c r="BB5" s="62" t="inlineStr">
        <is>
          <t>ln producción industrial EE. UU.</t>
        </is>
      </c>
      <c r="BC5" s="62" t="inlineStr">
        <is>
          <t>ln fletes/logística EE. UU.</t>
        </is>
      </c>
    </row>
    <row r="6">
      <c r="A6" s="83" t="inlineStr">
        <is>
          <t>2005-12</t>
        </is>
      </c>
      <c r="B6" s="155" t="n">
        <v>2278.539355</v>
      </c>
      <c r="C6" s="155" t="n">
        <v>122.69</v>
      </c>
      <c r="D6" s="155" t="n">
        <v>348.03</v>
      </c>
      <c r="E6" s="155" t="n">
        <v>3313.73</v>
      </c>
      <c r="F6" s="152" t="n">
        <v>6</v>
      </c>
      <c r="G6" s="152" t="n">
        <v>4.16</v>
      </c>
      <c r="H6" s="152" t="n">
        <v>1.84</v>
      </c>
      <c r="I6" s="156" t="n">
        <v>-2824.564673</v>
      </c>
      <c r="J6" s="152" t="n">
        <v>3.997397732</v>
      </c>
      <c r="K6" s="152" t="n"/>
      <c r="L6" s="152" t="n">
        <v>11.26</v>
      </c>
      <c r="M6" s="157" t="n">
        <v>0</v>
      </c>
      <c r="N6" s="155" t="n">
        <v>14947.31</v>
      </c>
      <c r="O6" s="152" t="n"/>
      <c r="P6" s="152" t="n"/>
      <c r="Q6" s="156" t="n">
        <v>-449.16</v>
      </c>
      <c r="R6" s="156" t="n">
        <v>275.02</v>
      </c>
      <c r="S6" s="152" t="n">
        <v>8.228</v>
      </c>
      <c r="T6" s="152" t="n">
        <v>2.719230769</v>
      </c>
      <c r="U6" s="152" t="n">
        <v>5.508769231</v>
      </c>
      <c r="V6" s="152" t="n">
        <v>2.286352385</v>
      </c>
      <c r="W6" s="152" t="n">
        <v>3.222416846</v>
      </c>
      <c r="X6" s="158" t="n">
        <v>2.284454541</v>
      </c>
      <c r="Y6" s="158" t="n">
        <v>514.285</v>
      </c>
      <c r="Z6" s="158" t="n">
        <v>10.6285</v>
      </c>
      <c r="AA6" s="158" t="n">
        <v>3.424490476</v>
      </c>
      <c r="AB6" s="159" t="n">
        <v>-0.2144618765</v>
      </c>
      <c r="AC6" s="159" t="n"/>
      <c r="AD6" s="159" t="n">
        <v>66.97242936000001</v>
      </c>
      <c r="AE6" s="159" t="n">
        <v>58.7</v>
      </c>
      <c r="AF6" s="159" t="n">
        <v>2.12333</v>
      </c>
      <c r="AG6" s="159" t="n">
        <v>2.08524</v>
      </c>
      <c r="AH6" s="159" t="n">
        <v>4.40429</v>
      </c>
      <c r="AI6" s="159" t="n">
        <v>4.46714</v>
      </c>
      <c r="AJ6" s="159" t="n">
        <v>0.0628571</v>
      </c>
      <c r="AK6" s="159" t="n">
        <v>2.30714</v>
      </c>
      <c r="AL6" s="159" t="n">
        <v>2.34381</v>
      </c>
      <c r="AM6" s="159" t="n">
        <v>61.4858</v>
      </c>
      <c r="AN6" s="159" t="n">
        <v>-0.69398</v>
      </c>
      <c r="AO6" s="159" t="n">
        <v>-0.53</v>
      </c>
      <c r="AP6" s="159" t="n">
        <v>-0.4052</v>
      </c>
      <c r="AQ6" s="159" t="n">
        <v>4.94044</v>
      </c>
      <c r="AR6" s="159" t="n"/>
      <c r="AS6" s="159" t="n">
        <v>0.606</v>
      </c>
      <c r="AT6" s="159" t="n">
        <v>4.9</v>
      </c>
      <c r="AU6" s="159" t="n">
        <v>98.5</v>
      </c>
      <c r="AV6" s="159" t="n">
        <v>116.5</v>
      </c>
      <c r="AW6" s="159" t="n">
        <v>100.228</v>
      </c>
      <c r="AX6" s="159" t="n">
        <v>75.666</v>
      </c>
      <c r="AY6" s="159" t="n">
        <v>4.040516479</v>
      </c>
      <c r="AZ6" s="159" t="n">
        <v>4.664438594</v>
      </c>
      <c r="BA6" s="159" t="n">
        <v>9.560222295999999</v>
      </c>
      <c r="BB6" s="159" t="n">
        <v>4.585428597</v>
      </c>
      <c r="BC6" s="159" t="n">
        <v>4.721173862</v>
      </c>
    </row>
    <row r="7">
      <c r="A7" s="83" t="inlineStr">
        <is>
          <t>2006-01</t>
        </is>
      </c>
      <c r="B7" s="155" t="n">
        <v>2273.710968</v>
      </c>
      <c r="C7" s="155" t="n">
        <v>128.63</v>
      </c>
      <c r="D7" s="155" t="n">
        <v>266.88</v>
      </c>
      <c r="E7" s="155" t="n">
        <v>3356.38</v>
      </c>
      <c r="F7" s="152" t="n">
        <v>6</v>
      </c>
      <c r="G7" s="152" t="n">
        <v>4.29</v>
      </c>
      <c r="H7" s="152" t="n">
        <v>1.71</v>
      </c>
      <c r="I7" s="156" t="n">
        <v>-2383.791927</v>
      </c>
      <c r="J7" s="152" t="n">
        <v>3.697683412</v>
      </c>
      <c r="K7" s="152" t="n">
        <v>100.0000045</v>
      </c>
      <c r="L7" s="152" t="n">
        <v>12.036</v>
      </c>
      <c r="M7" s="157" t="n">
        <v>0</v>
      </c>
      <c r="N7" s="155" t="n">
        <v>14741.24</v>
      </c>
      <c r="O7" s="152" t="n">
        <v>214.2727273</v>
      </c>
      <c r="P7" s="152" t="n">
        <v>2.142727273</v>
      </c>
      <c r="Q7" s="156" t="n">
        <v>-442.48</v>
      </c>
      <c r="R7" s="156" t="n">
        <v>-7.88</v>
      </c>
      <c r="S7" s="152" t="n">
        <v>7.71047619</v>
      </c>
      <c r="T7" s="152" t="n">
        <v>2.603333333</v>
      </c>
      <c r="U7" s="152" t="n">
        <v>5.107142857</v>
      </c>
      <c r="V7" s="152" t="n">
        <v>2.380690026</v>
      </c>
      <c r="W7" s="152" t="n">
        <v>2.726452831</v>
      </c>
      <c r="X7" s="158" t="n">
        <v>2.272227266</v>
      </c>
      <c r="Y7" s="158" t="n">
        <v>524.4768182</v>
      </c>
      <c r="Z7" s="158" t="n">
        <v>10.55181818</v>
      </c>
      <c r="AA7" s="158" t="n">
        <v>3.393195455</v>
      </c>
      <c r="AB7" s="159" t="n">
        <v>0.006506135375</v>
      </c>
      <c r="AC7" s="159" t="n">
        <v>-0.1773078362</v>
      </c>
      <c r="AD7" s="159" t="n">
        <v>66.67424927</v>
      </c>
      <c r="AE7" s="159" t="n">
        <v>59.02</v>
      </c>
      <c r="AF7" s="159" t="n">
        <v>2.006</v>
      </c>
      <c r="AG7" s="159" t="n">
        <v>1.9325</v>
      </c>
      <c r="AH7" s="159" t="n">
        <v>4.3955</v>
      </c>
      <c r="AI7" s="159" t="n">
        <v>4.416</v>
      </c>
      <c r="AJ7" s="159" t="n">
        <v>0.0205</v>
      </c>
      <c r="AK7" s="159" t="n">
        <v>2.413</v>
      </c>
      <c r="AL7" s="159" t="n">
        <v>2.41</v>
      </c>
      <c r="AM7" s="159" t="n">
        <v>70.5239</v>
      </c>
      <c r="AN7" s="159" t="n">
        <v>-0.91245</v>
      </c>
      <c r="AO7" s="159" t="n">
        <v>-0.551</v>
      </c>
      <c r="AP7" s="159" t="n">
        <v>-0.4165</v>
      </c>
      <c r="AQ7" s="159" t="n">
        <v>4.75386</v>
      </c>
      <c r="AR7" s="159" t="n"/>
      <c r="AS7" s="159" t="n">
        <v>0.369</v>
      </c>
      <c r="AT7" s="159" t="n">
        <v>4.7</v>
      </c>
      <c r="AU7" s="159" t="n">
        <v>98.09999999999999</v>
      </c>
      <c r="AV7" s="159" t="n"/>
      <c r="AW7" s="159" t="n">
        <v>100.264</v>
      </c>
      <c r="AX7" s="159" t="n">
        <v>76.64960000000001</v>
      </c>
      <c r="AY7" s="159" t="n">
        <v>4.142899778</v>
      </c>
      <c r="AZ7" s="159" t="n">
        <v>4.680073556</v>
      </c>
      <c r="BA7" s="159" t="n">
        <v>9.561560464999999</v>
      </c>
      <c r="BB7" s="159" t="n">
        <v>4.587005197</v>
      </c>
      <c r="BC7" s="159" t="n">
        <v>4.722063937</v>
      </c>
    </row>
    <row r="8">
      <c r="A8" s="83" t="inlineStr">
        <is>
          <t>2006-02</t>
        </is>
      </c>
      <c r="B8" s="155" t="n">
        <v>2255.771429</v>
      </c>
      <c r="C8" s="155" t="n">
        <v>128.04</v>
      </c>
      <c r="D8" s="155" t="n">
        <v>264.75</v>
      </c>
      <c r="E8" s="155" t="n">
        <v>3385.22</v>
      </c>
      <c r="F8" s="152" t="n">
        <v>6</v>
      </c>
      <c r="G8" s="152" t="n">
        <v>4.49</v>
      </c>
      <c r="H8" s="152" t="n">
        <v>1.51</v>
      </c>
      <c r="I8" s="156" t="n">
        <v>-3256.28879</v>
      </c>
      <c r="J8" s="152" t="n">
        <v>3.95151495</v>
      </c>
      <c r="K8" s="152" t="n">
        <v>100.21117</v>
      </c>
      <c r="L8" s="152" t="n">
        <v>12.47105263</v>
      </c>
      <c r="M8" s="157" t="n">
        <v>0</v>
      </c>
      <c r="N8" s="155" t="n">
        <v>15103.27</v>
      </c>
      <c r="O8" s="152" t="n">
        <v>174</v>
      </c>
      <c r="P8" s="152" t="n">
        <v>1.74</v>
      </c>
      <c r="Q8" s="156" t="n">
        <v>-504.99</v>
      </c>
      <c r="R8" s="156" t="n">
        <v>646.8099999999999</v>
      </c>
      <c r="S8" s="152" t="n">
        <v>7.097894737</v>
      </c>
      <c r="T8" s="152" t="n">
        <v>2.285</v>
      </c>
      <c r="U8" s="152" t="n">
        <v>4.812894737</v>
      </c>
      <c r="V8" s="152" t="n">
        <v>2.562715794</v>
      </c>
      <c r="W8" s="152" t="n">
        <v>2.250178943</v>
      </c>
      <c r="X8" s="158" t="n">
        <v>2.15720005</v>
      </c>
      <c r="Y8" s="158" t="n">
        <v>525.8985</v>
      </c>
      <c r="Z8" s="158" t="n">
        <v>10.4855</v>
      </c>
      <c r="AA8" s="158" t="n">
        <v>3.288465</v>
      </c>
      <c r="AB8" s="159" t="n">
        <v>-0.616990728</v>
      </c>
      <c r="AC8" s="159" t="n">
        <v>-1.090851665</v>
      </c>
      <c r="AD8" s="159" t="n">
        <v>67.31567979</v>
      </c>
      <c r="AE8" s="159" t="n">
        <v>59.41</v>
      </c>
      <c r="AF8" s="159" t="n">
        <v>2.04895</v>
      </c>
      <c r="AG8" s="159" t="n">
        <v>1.98</v>
      </c>
      <c r="AH8" s="159" t="n">
        <v>4.66842</v>
      </c>
      <c r="AI8" s="159" t="n">
        <v>4.56895</v>
      </c>
      <c r="AJ8" s="159" t="n">
        <v>-0.0994737</v>
      </c>
      <c r="AK8" s="159" t="n">
        <v>2.59211</v>
      </c>
      <c r="AL8" s="159" t="n">
        <v>2.52</v>
      </c>
      <c r="AM8" s="159" t="n">
        <v>58.7692</v>
      </c>
      <c r="AN8" s="159" t="n">
        <v>-1.02893</v>
      </c>
      <c r="AO8" s="159" t="n">
        <v>-0.58975</v>
      </c>
      <c r="AP8" s="159" t="n">
        <v>-0.47925</v>
      </c>
      <c r="AQ8" s="159" t="n">
        <v>4.87134</v>
      </c>
      <c r="AR8" s="159" t="n"/>
      <c r="AS8" s="159" t="n">
        <v>0.321579</v>
      </c>
      <c r="AT8" s="159" t="n">
        <v>4.8</v>
      </c>
      <c r="AU8" s="159" t="n">
        <v>98.09999999999999</v>
      </c>
      <c r="AV8" s="159" t="n">
        <v>120.1</v>
      </c>
      <c r="AW8" s="159" t="n">
        <v>100.312</v>
      </c>
      <c r="AX8" s="159" t="n">
        <v>77.0329</v>
      </c>
      <c r="AY8" s="159" t="n">
        <v>4.097838451</v>
      </c>
      <c r="AZ8" s="159" t="n">
        <v>4.664485716</v>
      </c>
      <c r="BA8" s="159" t="n">
        <v>9.561560464999999</v>
      </c>
      <c r="BB8" s="159" t="n">
        <v>4.587426697</v>
      </c>
      <c r="BC8" s="159" t="n">
        <v>4.714024591</v>
      </c>
    </row>
    <row r="9">
      <c r="A9" s="83" t="inlineStr">
        <is>
          <t>2006-03</t>
        </is>
      </c>
      <c r="B9" s="155" t="n">
        <v>2261.91871</v>
      </c>
      <c r="C9" s="155" t="n">
        <v>130.99</v>
      </c>
      <c r="D9" s="155" t="n">
        <v>324.26</v>
      </c>
      <c r="E9" s="155" t="n">
        <v>3438.49</v>
      </c>
      <c r="F9" s="152" t="n">
        <v>6</v>
      </c>
      <c r="G9" s="152" t="n">
        <v>4.59</v>
      </c>
      <c r="H9" s="152" t="n">
        <v>1.41</v>
      </c>
      <c r="I9" s="156" t="n">
        <v>-855.8288329</v>
      </c>
      <c r="J9" s="152" t="n">
        <v>3.6276424</v>
      </c>
      <c r="K9" s="152" t="n">
        <v>100.428087</v>
      </c>
      <c r="L9" s="152" t="n">
        <v>11.69391304</v>
      </c>
      <c r="M9" s="157" t="n">
        <v>0</v>
      </c>
      <c r="N9" s="155" t="n">
        <v>15153.2</v>
      </c>
      <c r="O9" s="152" t="n">
        <v>167.5652174</v>
      </c>
      <c r="P9" s="152" t="n">
        <v>1.675652174</v>
      </c>
      <c r="Q9" s="156" t="n">
        <v>-418.94</v>
      </c>
      <c r="R9" s="156" t="n">
        <v>31.86</v>
      </c>
      <c r="S9" s="152" t="n">
        <v>7.187727273</v>
      </c>
      <c r="T9" s="152" t="n">
        <v>3.196923077</v>
      </c>
      <c r="U9" s="152" t="n">
        <v>3.990804196</v>
      </c>
      <c r="V9" s="152" t="n">
        <v>2.568847822</v>
      </c>
      <c r="W9" s="152" t="n">
        <v>1.421956374</v>
      </c>
      <c r="X9" s="158" t="n">
        <v>2.153695646</v>
      </c>
      <c r="Y9" s="158" t="n">
        <v>528.6352174</v>
      </c>
      <c r="Z9" s="158" t="n">
        <v>10.75530435</v>
      </c>
      <c r="AA9" s="158" t="n">
        <v>3.340017391</v>
      </c>
      <c r="AB9" s="159" t="n">
        <v>0.2511489501</v>
      </c>
      <c r="AC9" s="159" t="n">
        <v>0.503688482</v>
      </c>
      <c r="AD9" s="159" t="n">
        <v>67.78482114000001</v>
      </c>
      <c r="AE9" s="159" t="n">
        <v>59.83</v>
      </c>
      <c r="AF9" s="159" t="n">
        <v>2.19739</v>
      </c>
      <c r="AG9" s="159" t="n">
        <v>2.09174</v>
      </c>
      <c r="AH9" s="159" t="n">
        <v>4.73391</v>
      </c>
      <c r="AI9" s="159" t="n">
        <v>4.72391</v>
      </c>
      <c r="AJ9" s="159" t="n">
        <v>-0.01</v>
      </c>
      <c r="AK9" s="159" t="n">
        <v>2.62435</v>
      </c>
      <c r="AL9" s="159" t="n">
        <v>2.52652</v>
      </c>
      <c r="AM9" s="159" t="n">
        <v>58.7584</v>
      </c>
      <c r="AN9" s="159" t="n">
        <v>-1.0283</v>
      </c>
      <c r="AO9" s="159" t="n">
        <v>-0.5938</v>
      </c>
      <c r="AP9" s="159" t="n">
        <v>-0.4872</v>
      </c>
      <c r="AQ9" s="159" t="n">
        <v>4.75492</v>
      </c>
      <c r="AR9" s="159" t="n"/>
      <c r="AS9" s="159" t="n">
        <v>0.408261</v>
      </c>
      <c r="AT9" s="159" t="n">
        <v>4.7</v>
      </c>
      <c r="AU9" s="159" t="n">
        <v>97.90000000000001</v>
      </c>
      <c r="AV9" s="159" t="n">
        <v>117.8</v>
      </c>
      <c r="AW9" s="159" t="n">
        <v>100.347</v>
      </c>
      <c r="AX9" s="159" t="n">
        <v>76.3396</v>
      </c>
      <c r="AY9" s="159" t="n">
        <v>4.128179001</v>
      </c>
      <c r="AZ9" s="159" t="n">
        <v>4.672324034</v>
      </c>
      <c r="BA9" s="159" t="n">
        <v>9.561701221</v>
      </c>
      <c r="BB9" s="159" t="n">
        <v>4.589678812</v>
      </c>
      <c r="BC9" s="159" t="n">
        <v>4.718498871</v>
      </c>
    </row>
    <row r="10">
      <c r="A10" s="83" t="inlineStr">
        <is>
          <t>2006-04</t>
        </is>
      </c>
      <c r="B10" s="155" t="n">
        <v>2335.137667</v>
      </c>
      <c r="C10" s="155" t="n">
        <v>136.46</v>
      </c>
      <c r="D10" s="155" t="n">
        <v>283.26</v>
      </c>
      <c r="E10" s="155" t="n">
        <v>3460.06</v>
      </c>
      <c r="F10" s="152" t="n">
        <v>6</v>
      </c>
      <c r="G10" s="152" t="n">
        <v>4.79</v>
      </c>
      <c r="H10" s="152" t="n">
        <v>1.21</v>
      </c>
      <c r="I10" s="156" t="n">
        <v>-3018.330331</v>
      </c>
      <c r="J10" s="152" t="n">
        <v>4.354903969</v>
      </c>
      <c r="K10" s="152" t="n">
        <v>99.74348000000001</v>
      </c>
      <c r="L10" s="152" t="n">
        <v>11.84736842</v>
      </c>
      <c r="M10" s="157" t="n">
        <v>0</v>
      </c>
      <c r="N10" s="155" t="n">
        <v>15106.38</v>
      </c>
      <c r="O10" s="152" t="n">
        <v>173.75</v>
      </c>
      <c r="P10" s="152" t="n">
        <v>1.7375</v>
      </c>
      <c r="Q10" s="156" t="n">
        <v>-374.76</v>
      </c>
      <c r="R10" s="156" t="n">
        <v>-77.23</v>
      </c>
      <c r="S10" s="152" t="n">
        <v>8.017058823999999</v>
      </c>
      <c r="T10" s="152" t="n">
        <v>3.891111111</v>
      </c>
      <c r="U10" s="152" t="n">
        <v>4.125947712</v>
      </c>
      <c r="V10" s="152" t="n">
        <v>2.576700035</v>
      </c>
      <c r="W10" s="152" t="n">
        <v>1.549247678</v>
      </c>
      <c r="X10" s="158" t="n">
        <v>2.129249978</v>
      </c>
      <c r="Y10" s="158" t="n">
        <v>516.9625</v>
      </c>
      <c r="Z10" s="158" t="n">
        <v>11.0514</v>
      </c>
      <c r="AA10" s="158" t="n">
        <v>3.3313</v>
      </c>
      <c r="AB10" s="159" t="n">
        <v>-0.1603891615</v>
      </c>
      <c r="AC10" s="159" t="n">
        <v>-0.1703918311</v>
      </c>
      <c r="AD10" s="159" t="n">
        <v>67.29244086</v>
      </c>
      <c r="AE10" s="159" t="n">
        <v>60.09</v>
      </c>
      <c r="AF10" s="159" t="n">
        <v>2.40895</v>
      </c>
      <c r="AG10" s="159" t="n">
        <v>2.26</v>
      </c>
      <c r="AH10" s="159" t="n">
        <v>4.88895</v>
      </c>
      <c r="AI10" s="159" t="n">
        <v>4.99053</v>
      </c>
      <c r="AJ10" s="159" t="n">
        <v>0.101579</v>
      </c>
      <c r="AK10" s="159" t="n">
        <v>2.64211</v>
      </c>
      <c r="AL10" s="159" t="n">
        <v>2.58158</v>
      </c>
      <c r="AM10" s="159" t="n">
        <v>71.1619</v>
      </c>
      <c r="AN10" s="159" t="n">
        <v>-1.02388</v>
      </c>
      <c r="AO10" s="159" t="n">
        <v>-0.58275</v>
      </c>
      <c r="AP10" s="159" t="n">
        <v>-0.452</v>
      </c>
      <c r="AQ10" s="159" t="n">
        <v>4.8201</v>
      </c>
      <c r="AR10" s="159" t="n"/>
      <c r="AS10" s="159" t="n">
        <v>0.467778</v>
      </c>
      <c r="AT10" s="159" t="n">
        <v>4.7</v>
      </c>
      <c r="AU10" s="159" t="n">
        <v>97.7</v>
      </c>
      <c r="AV10" s="159" t="n">
        <v>116.6</v>
      </c>
      <c r="AW10" s="159" t="n">
        <v>100.371</v>
      </c>
      <c r="AX10" s="159" t="n">
        <v>76.4923</v>
      </c>
      <c r="AY10" s="159" t="n">
        <v>4.252202647</v>
      </c>
      <c r="AZ10" s="159" t="n">
        <v>4.750040796</v>
      </c>
      <c r="BA10" s="159" t="n">
        <v>9.562615652</v>
      </c>
      <c r="BB10" s="159" t="n">
        <v>4.59271089</v>
      </c>
      <c r="BC10" s="159" t="n">
        <v>4.711330382</v>
      </c>
    </row>
    <row r="11">
      <c r="A11" s="83" t="inlineStr">
        <is>
          <t>2006-05</t>
        </is>
      </c>
      <c r="B11" s="155" t="n">
        <v>2418.649355</v>
      </c>
      <c r="C11" s="155" t="n">
        <v>135.55</v>
      </c>
      <c r="D11" s="155" t="n">
        <v>366.98</v>
      </c>
      <c r="E11" s="155" t="n">
        <v>3556.98</v>
      </c>
      <c r="F11" s="152" t="n">
        <v>6.241935484</v>
      </c>
      <c r="G11" s="152" t="n">
        <v>4.94</v>
      </c>
      <c r="H11" s="152" t="n">
        <v>1.301935484</v>
      </c>
      <c r="I11" s="156" t="n">
        <v>2052.972861</v>
      </c>
      <c r="J11" s="152" t="n">
        <v>3.865752534</v>
      </c>
      <c r="K11" s="152" t="n">
        <v>97.51177391</v>
      </c>
      <c r="L11" s="152" t="n">
        <v>14.45454545</v>
      </c>
      <c r="M11" s="157" t="n">
        <v>0</v>
      </c>
      <c r="N11" s="155" t="n">
        <v>14595.41</v>
      </c>
      <c r="O11" s="152" t="n">
        <v>188.6086957</v>
      </c>
      <c r="P11" s="152" t="n">
        <v>1.886086957</v>
      </c>
      <c r="Q11" s="156" t="n">
        <v>-439.47</v>
      </c>
      <c r="R11" s="156" t="n">
        <v>-612.47</v>
      </c>
      <c r="S11" s="152" t="n">
        <v>9.197142856999999</v>
      </c>
      <c r="T11" s="152" t="n">
        <v>4.589285714</v>
      </c>
      <c r="U11" s="152" t="n">
        <v>4.607857143</v>
      </c>
      <c r="V11" s="152" t="n">
        <v>2.653745445</v>
      </c>
      <c r="W11" s="152" t="n">
        <v>1.954111698</v>
      </c>
      <c r="X11" s="158" t="n">
        <v>2.173347815</v>
      </c>
      <c r="Y11" s="158" t="n">
        <v>520.5582609000001</v>
      </c>
      <c r="Z11" s="158" t="n">
        <v>11.08821739</v>
      </c>
      <c r="AA11" s="158" t="n">
        <v>3.278536364</v>
      </c>
      <c r="AB11" s="159" t="n">
        <v>0.2097398252</v>
      </c>
      <c r="AC11" s="159" t="n">
        <v>-0.1613489145</v>
      </c>
      <c r="AD11" s="159" t="n">
        <v>68.16857552</v>
      </c>
      <c r="AE11" s="159" t="n">
        <v>60.29</v>
      </c>
      <c r="AF11" s="159" t="n">
        <v>2.44591</v>
      </c>
      <c r="AG11" s="159" t="n">
        <v>2.30364</v>
      </c>
      <c r="AH11" s="159" t="n">
        <v>4.96818</v>
      </c>
      <c r="AI11" s="159" t="n">
        <v>5.11</v>
      </c>
      <c r="AJ11" s="159" t="n">
        <v>0.141818</v>
      </c>
      <c r="AK11" s="159" t="n">
        <v>2.69409</v>
      </c>
      <c r="AL11" s="159" t="n">
        <v>2.66409</v>
      </c>
      <c r="AM11" s="159" t="n">
        <v>63.6119</v>
      </c>
      <c r="AN11" s="159" t="n">
        <v>-0.9681999999999999</v>
      </c>
      <c r="AO11" s="159" t="n">
        <v>-0.5585</v>
      </c>
      <c r="AP11" s="159" t="n">
        <v>-0.4155</v>
      </c>
      <c r="AQ11" s="159" t="n">
        <v>4.71683</v>
      </c>
      <c r="AR11" s="159" t="n"/>
      <c r="AS11" s="159" t="n">
        <v>0.469048</v>
      </c>
      <c r="AT11" s="159" t="n">
        <v>4.6</v>
      </c>
      <c r="AU11" s="159" t="n">
        <v>97.59999999999999</v>
      </c>
      <c r="AV11" s="159" t="n">
        <v>117.9</v>
      </c>
      <c r="AW11" s="159" t="n">
        <v>100.391</v>
      </c>
      <c r="AX11" s="159" t="n">
        <v>76.4158</v>
      </c>
      <c r="AY11" s="159" t="n">
        <v>4.245304443</v>
      </c>
      <c r="AZ11" s="159" t="n">
        <v>4.785790296</v>
      </c>
      <c r="BA11" s="159" t="n">
        <v>9.560997243999999</v>
      </c>
      <c r="BB11" s="159" t="n">
        <v>4.592965005</v>
      </c>
      <c r="BC11" s="159" t="n">
        <v>4.731802837</v>
      </c>
    </row>
    <row r="12">
      <c r="A12" s="83" t="inlineStr">
        <is>
          <t>2006-06</t>
        </is>
      </c>
      <c r="B12" s="155" t="n">
        <v>2542.22</v>
      </c>
      <c r="C12" s="155" t="n">
        <v>135.31</v>
      </c>
      <c r="D12" s="155" t="n">
        <v>342.37</v>
      </c>
      <c r="E12" s="155" t="n">
        <v>3627.84</v>
      </c>
      <c r="F12" s="152" t="n">
        <v>6.333333333</v>
      </c>
      <c r="G12" s="152" t="n">
        <v>4.99</v>
      </c>
      <c r="H12" s="152" t="n">
        <v>1.343333333</v>
      </c>
      <c r="I12" s="156" t="n">
        <v>-539.8959368</v>
      </c>
      <c r="J12" s="152" t="n">
        <v>4.000523343</v>
      </c>
      <c r="K12" s="152" t="n">
        <v>98.69272273</v>
      </c>
      <c r="L12" s="152" t="n">
        <v>16.91863636</v>
      </c>
      <c r="M12" s="157" t="n">
        <v>0</v>
      </c>
      <c r="N12" s="155" t="n">
        <v>14461.24</v>
      </c>
      <c r="O12" s="152" t="n">
        <v>231.3181818</v>
      </c>
      <c r="P12" s="152" t="n">
        <v>2.313181818</v>
      </c>
      <c r="Q12" s="156" t="n">
        <v>-479.87</v>
      </c>
      <c r="R12" s="156" t="n">
        <v>-145.63</v>
      </c>
      <c r="S12" s="152" t="n">
        <v>10.46277778</v>
      </c>
      <c r="T12" s="152" t="n">
        <v>5.985</v>
      </c>
      <c r="U12" s="152" t="n">
        <v>4.477777778</v>
      </c>
      <c r="V12" s="152" t="n">
        <v>2.566595468</v>
      </c>
      <c r="W12" s="152" t="n">
        <v>1.91118231</v>
      </c>
      <c r="X12" s="158" t="n">
        <v>2.249545466</v>
      </c>
      <c r="Y12" s="158" t="n">
        <v>542.7163636</v>
      </c>
      <c r="Z12" s="158" t="n">
        <v>11.39377273</v>
      </c>
      <c r="AA12" s="158" t="n">
        <v>3.263909524</v>
      </c>
      <c r="AB12" s="159" t="n">
        <v>1.056077012</v>
      </c>
      <c r="AC12" s="159" t="n">
        <v>0.7045879266</v>
      </c>
      <c r="AD12" s="159" t="n">
        <v>67.76984718999999</v>
      </c>
      <c r="AE12" s="159" t="n">
        <v>60.48</v>
      </c>
      <c r="AF12" s="159" t="n">
        <v>2.52955</v>
      </c>
      <c r="AG12" s="159" t="n">
        <v>2.45182</v>
      </c>
      <c r="AH12" s="159" t="n">
        <v>5.12182</v>
      </c>
      <c r="AI12" s="159" t="n">
        <v>5.10636</v>
      </c>
      <c r="AJ12" s="159" t="n">
        <v>-0.0154545</v>
      </c>
      <c r="AK12" s="159" t="n">
        <v>2.61545</v>
      </c>
      <c r="AL12" s="159" t="n">
        <v>2.57682</v>
      </c>
      <c r="AM12" s="159" t="n">
        <v>73.58929999999999</v>
      </c>
      <c r="AN12" s="159" t="n">
        <v>-0.8175</v>
      </c>
      <c r="AO12" s="159" t="n">
        <v>-0.5032</v>
      </c>
      <c r="AP12" s="159" t="n">
        <v>-0.354</v>
      </c>
      <c r="AQ12" s="159" t="n">
        <v>4.70301</v>
      </c>
      <c r="AR12" s="159" t="n"/>
      <c r="AS12" s="159" t="n">
        <v>0.5936360000000001</v>
      </c>
      <c r="AT12" s="159" t="n">
        <v>4.6</v>
      </c>
      <c r="AU12" s="159" t="n">
        <v>97.40000000000001</v>
      </c>
      <c r="AV12" s="159" t="n">
        <v>119.5</v>
      </c>
      <c r="AW12" s="159" t="n">
        <v>100.415</v>
      </c>
      <c r="AX12" s="159" t="n">
        <v>76.0337</v>
      </c>
      <c r="AY12" s="159" t="n">
        <v>4.227649471</v>
      </c>
      <c r="AZ12" s="159" t="n">
        <v>4.762857462</v>
      </c>
      <c r="BA12" s="159" t="n">
        <v>9.561701221</v>
      </c>
      <c r="BB12" s="159" t="n">
        <v>4.596126414</v>
      </c>
      <c r="BC12" s="159" t="n">
        <v>4.727387819</v>
      </c>
    </row>
    <row r="13">
      <c r="A13" s="83" t="inlineStr">
        <is>
          <t>2006-07</t>
        </is>
      </c>
      <c r="B13" s="155" t="n">
        <v>2513.698387</v>
      </c>
      <c r="C13" s="155" t="n">
        <v>137.8</v>
      </c>
      <c r="D13" s="155" t="n">
        <v>313.73</v>
      </c>
      <c r="E13" s="155" t="n">
        <v>3678.77</v>
      </c>
      <c r="F13" s="152" t="n">
        <v>6.5</v>
      </c>
      <c r="G13" s="152" t="n">
        <v>5.24</v>
      </c>
      <c r="H13" s="152" t="n">
        <v>1.26</v>
      </c>
      <c r="I13" s="156" t="n">
        <v>-626.3574207</v>
      </c>
      <c r="J13" s="152" t="n">
        <v>3.866772925</v>
      </c>
      <c r="K13" s="152" t="n">
        <v>98.43871428999999</v>
      </c>
      <c r="L13" s="152" t="n">
        <v>15.326</v>
      </c>
      <c r="M13" s="157" t="n">
        <v>0</v>
      </c>
      <c r="N13" s="155" t="n">
        <v>14688.43</v>
      </c>
      <c r="O13" s="152" t="n">
        <v>228.2857143</v>
      </c>
      <c r="P13" s="152" t="n">
        <v>2.282857143</v>
      </c>
      <c r="Q13" s="156" t="n">
        <v>-655.97</v>
      </c>
      <c r="R13" s="156" t="n">
        <v>524.77</v>
      </c>
      <c r="S13" s="152" t="n">
        <v>10.46333333</v>
      </c>
      <c r="T13" s="152" t="n">
        <v>6.074285714</v>
      </c>
      <c r="U13" s="152" t="n">
        <v>4.389047619</v>
      </c>
      <c r="V13" s="152" t="n">
        <v>2.539475</v>
      </c>
      <c r="W13" s="152" t="n">
        <v>1.849572619</v>
      </c>
      <c r="X13" s="158" t="n">
        <v>2.189142863</v>
      </c>
      <c r="Y13" s="158" t="n">
        <v>540.6552381</v>
      </c>
      <c r="Z13" s="158" t="n">
        <v>10.98671429</v>
      </c>
      <c r="AA13" s="158" t="n">
        <v>3.243425</v>
      </c>
      <c r="AB13" s="159" t="n">
        <v>-0.8334321008</v>
      </c>
      <c r="AC13" s="159" t="n">
        <v>-0.7492398484</v>
      </c>
      <c r="AD13" s="159" t="n">
        <v>68.56919219</v>
      </c>
      <c r="AE13" s="159" t="n">
        <v>60.73</v>
      </c>
      <c r="AF13" s="159" t="n">
        <v>2.507</v>
      </c>
      <c r="AG13" s="159" t="n">
        <v>2.4555</v>
      </c>
      <c r="AH13" s="159" t="n">
        <v>5.1185</v>
      </c>
      <c r="AI13" s="159" t="n">
        <v>5.0875</v>
      </c>
      <c r="AJ13" s="159" t="n">
        <v>-0.031</v>
      </c>
      <c r="AK13" s="159" t="n">
        <v>2.5845</v>
      </c>
      <c r="AL13" s="159" t="n">
        <v>2.5805</v>
      </c>
      <c r="AM13" s="159" t="n">
        <v>70.02200000000001</v>
      </c>
      <c r="AN13" s="159" t="n">
        <v>-0.866325</v>
      </c>
      <c r="AO13" s="159" t="n">
        <v>-0.501</v>
      </c>
      <c r="AP13" s="159" t="n">
        <v>-0.3725</v>
      </c>
      <c r="AQ13" s="159" t="n">
        <v>4.81047</v>
      </c>
      <c r="AR13" s="159" t="n"/>
      <c r="AS13" s="159" t="n">
        <v>0.5505</v>
      </c>
      <c r="AT13" s="159" t="n">
        <v>4.7</v>
      </c>
      <c r="AU13" s="159" t="n">
        <v>97.5</v>
      </c>
      <c r="AV13" s="159" t="n">
        <v>116.7</v>
      </c>
      <c r="AW13" s="159" t="n">
        <v>100.454</v>
      </c>
      <c r="AX13" s="159" t="n">
        <v>75.8056</v>
      </c>
      <c r="AY13" s="159" t="n">
        <v>4.299654027</v>
      </c>
      <c r="AZ13" s="159" t="n">
        <v>4.799757872</v>
      </c>
      <c r="BA13" s="159" t="n">
        <v>9.559940347</v>
      </c>
      <c r="BB13" s="159" t="n">
        <v>4.595613668</v>
      </c>
      <c r="BC13" s="159" t="n">
        <v>4.716711561</v>
      </c>
    </row>
    <row r="14">
      <c r="A14" s="83" t="inlineStr">
        <is>
          <t>2006-08</t>
        </is>
      </c>
      <c r="B14" s="155" t="n">
        <v>2388.983548</v>
      </c>
      <c r="C14" s="155" t="n">
        <v>134.31</v>
      </c>
      <c r="D14" s="155" t="n">
        <v>334.72</v>
      </c>
      <c r="E14" s="155" t="n">
        <v>3713.6</v>
      </c>
      <c r="F14" s="152" t="n">
        <v>6.580645161</v>
      </c>
      <c r="G14" s="152" t="n">
        <v>5.25</v>
      </c>
      <c r="H14" s="152" t="n">
        <v>1.330645161</v>
      </c>
      <c r="I14" s="156" t="n">
        <v>641.5375862</v>
      </c>
      <c r="J14" s="152" t="n">
        <v>3.885340436</v>
      </c>
      <c r="K14" s="152" t="n">
        <v>97.71376522</v>
      </c>
      <c r="L14" s="152" t="n">
        <v>13.35173913</v>
      </c>
      <c r="M14" s="157" t="n">
        <v>0</v>
      </c>
      <c r="N14" s="155" t="n">
        <v>14982.42</v>
      </c>
      <c r="O14" s="152" t="n">
        <v>196.4782609</v>
      </c>
      <c r="P14" s="152" t="n">
        <v>1.964782609</v>
      </c>
      <c r="Q14" s="156" t="n">
        <v>-530.34</v>
      </c>
      <c r="R14" s="156" t="n">
        <v>384.09</v>
      </c>
      <c r="S14" s="152" t="n">
        <v>9.539047619</v>
      </c>
      <c r="T14" s="152" t="n">
        <v>4.792</v>
      </c>
      <c r="U14" s="152" t="n">
        <v>4.747047619</v>
      </c>
      <c r="V14" s="152" t="n">
        <v>2.495491308</v>
      </c>
      <c r="W14" s="152" t="n">
        <v>2.251556311</v>
      </c>
      <c r="X14" s="158" t="n">
        <v>2.156304349</v>
      </c>
      <c r="Y14" s="158" t="n">
        <v>538.7847826</v>
      </c>
      <c r="Z14" s="158" t="n">
        <v>10.87452174</v>
      </c>
      <c r="AA14" s="158" t="n">
        <v>3.234790909</v>
      </c>
      <c r="AB14" s="159" t="n">
        <v>-0.4065242495</v>
      </c>
      <c r="AC14" s="159" t="n">
        <v>-0.3560427051</v>
      </c>
      <c r="AD14" s="159" t="n">
        <v>69.53388445</v>
      </c>
      <c r="AE14" s="159" t="n">
        <v>60.96</v>
      </c>
      <c r="AF14" s="159" t="n">
        <v>2.29087</v>
      </c>
      <c r="AG14" s="159" t="n">
        <v>2.26739</v>
      </c>
      <c r="AH14" s="159" t="n">
        <v>4.90348</v>
      </c>
      <c r="AI14" s="159" t="n">
        <v>4.87652</v>
      </c>
      <c r="AJ14" s="159" t="n">
        <v>-0.0269565</v>
      </c>
      <c r="AK14" s="159" t="n">
        <v>2.55478</v>
      </c>
      <c r="AL14" s="159" t="n">
        <v>2.58565</v>
      </c>
      <c r="AM14" s="159" t="n">
        <v>60.7611</v>
      </c>
      <c r="AN14" s="159" t="n">
        <v>-0.9510999999999999</v>
      </c>
      <c r="AO14" s="159" t="n">
        <v>-0.5485</v>
      </c>
      <c r="AP14" s="159" t="n">
        <v>-0.44675</v>
      </c>
      <c r="AQ14" s="159" t="n">
        <v>4.70105</v>
      </c>
      <c r="AR14" s="159" t="n"/>
      <c r="AS14" s="159" t="n">
        <v>0.460909</v>
      </c>
      <c r="AT14" s="159" t="n">
        <v>4.7</v>
      </c>
      <c r="AU14" s="159" t="n">
        <v>97.59999999999999</v>
      </c>
      <c r="AV14" s="159" t="n">
        <v>115.7</v>
      </c>
      <c r="AW14" s="159" t="n">
        <v>100.519</v>
      </c>
      <c r="AX14" s="159" t="n">
        <v>76.033</v>
      </c>
      <c r="AY14" s="159" t="n">
        <v>4.293610635</v>
      </c>
      <c r="AZ14" s="159" t="n">
        <v>4.804955035</v>
      </c>
      <c r="BA14" s="159" t="n">
        <v>9.557752549</v>
      </c>
      <c r="BB14" s="159" t="n">
        <v>4.599992806</v>
      </c>
      <c r="BC14" s="159" t="n">
        <v>4.696837375</v>
      </c>
    </row>
    <row r="15">
      <c r="A15" s="83" t="inlineStr">
        <is>
          <t>2006-09</t>
        </is>
      </c>
      <c r="B15" s="155" t="n">
        <v>2398.708667</v>
      </c>
      <c r="C15" s="155" t="n">
        <v>127.86</v>
      </c>
      <c r="D15" s="155" t="n">
        <v>324.12</v>
      </c>
      <c r="E15" s="155" t="n">
        <v>3748.93</v>
      </c>
      <c r="F15" s="152" t="n">
        <v>6.75</v>
      </c>
      <c r="G15" s="152" t="n">
        <v>5.25</v>
      </c>
      <c r="H15" s="152" t="n">
        <v>1.5</v>
      </c>
      <c r="I15" s="156" t="n">
        <v>-100.4314416</v>
      </c>
      <c r="J15" s="152" t="n">
        <v>3.654184295</v>
      </c>
      <c r="K15" s="152" t="n">
        <v>97.9813619</v>
      </c>
      <c r="L15" s="152" t="n">
        <v>12.1845</v>
      </c>
      <c r="M15" s="157" t="n">
        <v>0</v>
      </c>
      <c r="N15" s="155" t="n">
        <v>15013.29</v>
      </c>
      <c r="O15" s="152" t="n">
        <v>206.3333333</v>
      </c>
      <c r="P15" s="152" t="n">
        <v>2.063333333</v>
      </c>
      <c r="Q15" s="156" t="n">
        <v>-560.04</v>
      </c>
      <c r="R15" s="156" t="n">
        <v>126.98</v>
      </c>
      <c r="S15" s="152" t="n">
        <v>9.602380952000001</v>
      </c>
      <c r="T15" s="152" t="n">
        <v>4.6425</v>
      </c>
      <c r="U15" s="152" t="n">
        <v>4.959880952</v>
      </c>
      <c r="V15" s="152" t="n">
        <v>2.24733001</v>
      </c>
      <c r="W15" s="152" t="n">
        <v>2.712550942</v>
      </c>
      <c r="X15" s="158" t="n">
        <v>2.167666674</v>
      </c>
      <c r="Y15" s="158" t="n">
        <v>538.5285714</v>
      </c>
      <c r="Z15" s="158" t="n">
        <v>10.982</v>
      </c>
      <c r="AA15" s="158" t="n">
        <v>3.247914286</v>
      </c>
      <c r="AB15" s="159" t="n">
        <v>0.05659956747</v>
      </c>
      <c r="AC15" s="159" t="n">
        <v>0.1263464674</v>
      </c>
      <c r="AD15" s="159" t="n">
        <v>70.10725093000001</v>
      </c>
      <c r="AE15" s="159" t="n">
        <v>61.14</v>
      </c>
      <c r="AF15" s="159" t="n">
        <v>2.3195</v>
      </c>
      <c r="AG15" s="159" t="n">
        <v>2.377</v>
      </c>
      <c r="AH15" s="159" t="n">
        <v>4.769</v>
      </c>
      <c r="AI15" s="159" t="n">
        <v>4.719</v>
      </c>
      <c r="AJ15" s="159" t="n">
        <v>-0.05</v>
      </c>
      <c r="AK15" s="159" t="n">
        <v>2.2905</v>
      </c>
      <c r="AL15" s="159" t="n">
        <v>2.3995</v>
      </c>
      <c r="AM15" s="159" t="n">
        <v>57.3273</v>
      </c>
      <c r="AN15" s="159" t="n">
        <v>-0.88042</v>
      </c>
      <c r="AO15" s="159" t="n">
        <v>-0.5646</v>
      </c>
      <c r="AP15" s="159" t="n">
        <v>-0.4688</v>
      </c>
      <c r="AQ15" s="159" t="n">
        <v>4.60168</v>
      </c>
      <c r="AR15" s="159" t="n"/>
      <c r="AS15" s="159" t="n">
        <v>0.578</v>
      </c>
      <c r="AT15" s="159" t="n">
        <v>4.5</v>
      </c>
      <c r="AU15" s="159" t="n">
        <v>97.40000000000001</v>
      </c>
      <c r="AV15" s="159" t="n">
        <v>116.1</v>
      </c>
      <c r="AW15" s="159" t="n">
        <v>100.621</v>
      </c>
      <c r="AX15" s="159" t="n">
        <v>76.4132</v>
      </c>
      <c r="AY15" s="159" t="n">
        <v>4.12646642</v>
      </c>
      <c r="AZ15" s="159" t="n">
        <v>4.722117317</v>
      </c>
      <c r="BA15" s="159" t="n">
        <v>9.555347511000001</v>
      </c>
      <c r="BB15" s="159" t="n">
        <v>4.598329844</v>
      </c>
      <c r="BC15" s="159" t="n">
        <v>4.725616339</v>
      </c>
    </row>
    <row r="16">
      <c r="A16" s="83" t="inlineStr">
        <is>
          <t>2006-10</t>
        </is>
      </c>
      <c r="B16" s="155" t="n">
        <v>2361.796452</v>
      </c>
      <c r="C16" s="155" t="n">
        <v>127.38</v>
      </c>
      <c r="D16" s="155" t="n">
        <v>331.6</v>
      </c>
      <c r="E16" s="155" t="n">
        <v>3795.01</v>
      </c>
      <c r="F16" s="152" t="n">
        <v>7.008064516</v>
      </c>
      <c r="G16" s="152" t="n">
        <v>5.25</v>
      </c>
      <c r="H16" s="152" t="n">
        <v>1.758064516</v>
      </c>
      <c r="I16" s="156" t="n">
        <v>-1093.300195</v>
      </c>
      <c r="J16" s="152" t="n">
        <v>3.895828134</v>
      </c>
      <c r="K16" s="152" t="n">
        <v>98.31565455</v>
      </c>
      <c r="L16" s="152" t="n">
        <v>11.30636364</v>
      </c>
      <c r="M16" s="157" t="n">
        <v>0</v>
      </c>
      <c r="N16" s="155" t="n">
        <v>15135.6</v>
      </c>
      <c r="O16" s="152" t="n">
        <v>181.0454545</v>
      </c>
      <c r="P16" s="152" t="n">
        <v>1.810454545</v>
      </c>
      <c r="Q16" s="156" t="n">
        <v>-653.95</v>
      </c>
      <c r="R16" s="156" t="n">
        <v>499.03</v>
      </c>
      <c r="S16" s="152" t="n">
        <v>9.5</v>
      </c>
      <c r="T16" s="152" t="n">
        <v>4.511111111</v>
      </c>
      <c r="U16" s="152" t="n">
        <v>4.988888889</v>
      </c>
      <c r="V16" s="152" t="n">
        <v>2.136961892</v>
      </c>
      <c r="W16" s="152" t="n">
        <v>2.851926997</v>
      </c>
      <c r="X16" s="158" t="n">
        <v>2.148045431</v>
      </c>
      <c r="Y16" s="158" t="n">
        <v>530.855</v>
      </c>
      <c r="Z16" s="158" t="n">
        <v>10.8965</v>
      </c>
      <c r="AA16" s="158" t="n">
        <v>3.237409091</v>
      </c>
      <c r="AB16" s="159" t="n">
        <v>-0.4583576676</v>
      </c>
      <c r="AC16" s="159" t="n">
        <v>-0.4064648899</v>
      </c>
      <c r="AD16" s="159" t="n">
        <v>70.06902287</v>
      </c>
      <c r="AE16" s="159" t="n">
        <v>61.05</v>
      </c>
      <c r="AF16" s="159" t="n">
        <v>2.41143</v>
      </c>
      <c r="AG16" s="159" t="n">
        <v>2.51048</v>
      </c>
      <c r="AH16" s="159" t="n">
        <v>4.79571</v>
      </c>
      <c r="AI16" s="159" t="n">
        <v>4.72905</v>
      </c>
      <c r="AJ16" s="159" t="n">
        <v>-0.0666667</v>
      </c>
      <c r="AK16" s="159" t="n">
        <v>2.17619</v>
      </c>
      <c r="AL16" s="159" t="n">
        <v>2.31762</v>
      </c>
      <c r="AM16" s="159" t="n">
        <v>60.2849</v>
      </c>
      <c r="AN16" s="159" t="n">
        <v>-0.95635</v>
      </c>
      <c r="AO16" s="159" t="n">
        <v>-0.57725</v>
      </c>
      <c r="AP16" s="159" t="n">
        <v>-0.5297500000000001</v>
      </c>
      <c r="AQ16" s="159" t="n">
        <v>4.45203</v>
      </c>
      <c r="AR16" s="159" t="n"/>
      <c r="AS16" s="159" t="n">
        <v>0.455714</v>
      </c>
      <c r="AT16" s="159" t="n">
        <v>4.4</v>
      </c>
      <c r="AU16" s="159" t="n">
        <v>97.2</v>
      </c>
      <c r="AV16" s="159" t="n">
        <v>114.7</v>
      </c>
      <c r="AW16" s="159" t="n">
        <v>100.763</v>
      </c>
      <c r="AX16" s="159" t="n">
        <v>76.4896</v>
      </c>
      <c r="AY16" s="159" t="n">
        <v>4.057130634</v>
      </c>
      <c r="AZ16" s="159" t="n">
        <v>4.706896104</v>
      </c>
      <c r="BA16" s="159" t="n">
        <v>9.551657993999999</v>
      </c>
      <c r="BB16" s="159" t="n">
        <v>4.597182368</v>
      </c>
      <c r="BC16" s="159" t="n">
        <v>4.707726774</v>
      </c>
    </row>
    <row r="17">
      <c r="A17" s="83" t="inlineStr">
        <is>
          <t>2006-11</t>
        </is>
      </c>
      <c r="B17" s="155" t="n">
        <v>2290.438</v>
      </c>
      <c r="C17" s="155" t="n">
        <v>127.06</v>
      </c>
      <c r="D17" s="155" t="n">
        <v>332.93</v>
      </c>
      <c r="E17" s="155" t="n">
        <v>3833.63</v>
      </c>
      <c r="F17" s="152" t="n">
        <v>7.25</v>
      </c>
      <c r="G17" s="152" t="n">
        <v>5.25</v>
      </c>
      <c r="H17" s="152" t="n">
        <v>2</v>
      </c>
      <c r="I17" s="156" t="n">
        <v>-1369.838992</v>
      </c>
      <c r="J17" s="152" t="n">
        <v>3.504711191</v>
      </c>
      <c r="K17" s="152" t="n">
        <v>97.51328182</v>
      </c>
      <c r="L17" s="152" t="n">
        <v>10.81761905</v>
      </c>
      <c r="M17" s="157" t="n">
        <v>0</v>
      </c>
      <c r="N17" s="155" t="n">
        <v>15452.62</v>
      </c>
      <c r="O17" s="152" t="n">
        <v>189.4545455</v>
      </c>
      <c r="P17" s="152" t="n">
        <v>1.894545455</v>
      </c>
      <c r="Q17" s="156" t="n">
        <v>-563.4400000000001</v>
      </c>
      <c r="R17" s="156" t="n">
        <v>509.33</v>
      </c>
      <c r="S17" s="152" t="n">
        <v>9.1295</v>
      </c>
      <c r="T17" s="152" t="n">
        <v>4.55</v>
      </c>
      <c r="U17" s="152" t="n">
        <v>4.5795</v>
      </c>
      <c r="V17" s="152" t="n">
        <v>2.115390471</v>
      </c>
      <c r="W17" s="152" t="n">
        <v>2.464109529</v>
      </c>
      <c r="X17" s="158" t="n">
        <v>2.157</v>
      </c>
      <c r="Y17" s="158" t="n">
        <v>527.4486364000001</v>
      </c>
      <c r="Z17" s="158" t="n">
        <v>10.91604545</v>
      </c>
      <c r="AA17" s="158" t="n">
        <v>3.222490476</v>
      </c>
      <c r="AB17" s="159" t="n">
        <v>-0.1240557433</v>
      </c>
      <c r="AC17" s="159" t="n">
        <v>-0.1834777567</v>
      </c>
      <c r="AD17" s="159" t="n">
        <v>70.90138908</v>
      </c>
      <c r="AE17" s="159" t="n">
        <v>61.19</v>
      </c>
      <c r="AF17" s="159" t="n">
        <v>2.2919</v>
      </c>
      <c r="AG17" s="159" t="n">
        <v>2.4081</v>
      </c>
      <c r="AH17" s="159" t="n">
        <v>4.74048</v>
      </c>
      <c r="AI17" s="159" t="n">
        <v>4.59524</v>
      </c>
      <c r="AJ17" s="159" t="n">
        <v>-0.145238</v>
      </c>
      <c r="AK17" s="159" t="n">
        <v>2.17429</v>
      </c>
      <c r="AL17" s="159" t="n">
        <v>2.30333</v>
      </c>
      <c r="AM17" s="159" t="n">
        <v>57.9888</v>
      </c>
      <c r="AN17" s="159" t="n">
        <v>-0.9500999999999999</v>
      </c>
      <c r="AO17" s="159" t="n">
        <v>-0.58875</v>
      </c>
      <c r="AP17" s="159" t="n">
        <v>-0.532</v>
      </c>
      <c r="AQ17" s="159" t="n">
        <v>4.5679</v>
      </c>
      <c r="AR17" s="159" t="n"/>
      <c r="AS17" s="159" t="n">
        <v>0.429524</v>
      </c>
      <c r="AT17" s="159" t="n">
        <v>4.5</v>
      </c>
      <c r="AU17" s="159" t="n">
        <v>97.3</v>
      </c>
      <c r="AV17" s="159" t="n">
        <v>114.9</v>
      </c>
      <c r="AW17" s="159" t="n">
        <v>100.941</v>
      </c>
      <c r="AX17" s="159" t="n">
        <v>76.71899999999999</v>
      </c>
      <c r="AY17" s="159" t="n">
        <v>4.073485177</v>
      </c>
      <c r="AZ17" s="159" t="n">
        <v>4.731476793</v>
      </c>
      <c r="BA17" s="159" t="n">
        <v>9.549238236000001</v>
      </c>
      <c r="BB17" s="159" t="n">
        <v>4.596761936</v>
      </c>
      <c r="BC17" s="159" t="n">
        <v>4.686750173</v>
      </c>
    </row>
    <row r="18">
      <c r="A18" s="83" t="inlineStr">
        <is>
          <t>2006-12</t>
        </is>
      </c>
      <c r="B18" s="155" t="n">
        <v>2260.705484</v>
      </c>
      <c r="C18" s="155" t="n">
        <v>130.84</v>
      </c>
      <c r="D18" s="155" t="n">
        <v>375.34</v>
      </c>
      <c r="E18" s="155" t="n">
        <v>3860.94</v>
      </c>
      <c r="F18" s="152" t="n">
        <v>7.362903226</v>
      </c>
      <c r="G18" s="152" t="n">
        <v>5.24</v>
      </c>
      <c r="H18" s="152" t="n">
        <v>2.122903226</v>
      </c>
      <c r="I18" s="156" t="n">
        <v>-2522.391247</v>
      </c>
      <c r="J18" s="152" t="n">
        <v>3.425526113</v>
      </c>
      <c r="K18" s="152" t="n">
        <v>96.79507142999999</v>
      </c>
      <c r="L18" s="152" t="n">
        <v>10.9645</v>
      </c>
      <c r="M18" s="157" t="n">
        <v>0</v>
      </c>
      <c r="N18" s="155" t="n">
        <v>15435.49</v>
      </c>
      <c r="O18" s="152" t="n">
        <v>181.0952381</v>
      </c>
      <c r="P18" s="152" t="n">
        <v>1.810952381</v>
      </c>
      <c r="Q18" s="156" t="n">
        <v>-750.87</v>
      </c>
      <c r="R18" s="156" t="n">
        <v>439.64</v>
      </c>
      <c r="S18" s="152" t="n">
        <v>9.043888889</v>
      </c>
      <c r="T18" s="152" t="n">
        <v>4.337142857</v>
      </c>
      <c r="U18" s="152" t="n">
        <v>4.706746032</v>
      </c>
      <c r="V18" s="152" t="n">
        <v>2.183465028</v>
      </c>
      <c r="W18" s="152" t="n">
        <v>2.523281004</v>
      </c>
      <c r="X18" s="158" t="n">
        <v>2.148142826</v>
      </c>
      <c r="Y18" s="158" t="n">
        <v>527.8133333</v>
      </c>
      <c r="Z18" s="158" t="n">
        <v>10.8557619</v>
      </c>
      <c r="AA18" s="158" t="n">
        <v>3.205089474</v>
      </c>
      <c r="AB18" s="159" t="n">
        <v>-0.1980495202</v>
      </c>
      <c r="AC18" s="159" t="n">
        <v>-0.254976089</v>
      </c>
      <c r="AD18" s="159" t="n">
        <v>70.38933897</v>
      </c>
      <c r="AE18" s="159" t="n">
        <v>61.33</v>
      </c>
      <c r="AF18" s="159" t="n">
        <v>2.2505</v>
      </c>
      <c r="AG18" s="159" t="n">
        <v>2.283</v>
      </c>
      <c r="AH18" s="159" t="n">
        <v>4.6735</v>
      </c>
      <c r="AI18" s="159" t="n">
        <v>4.5645</v>
      </c>
      <c r="AJ18" s="159" t="n">
        <v>-0.109</v>
      </c>
      <c r="AK18" s="159" t="n">
        <v>2.25</v>
      </c>
      <c r="AL18" s="159" t="n">
        <v>2.314</v>
      </c>
      <c r="AM18" s="159" t="n">
        <v>56.6021</v>
      </c>
      <c r="AN18" s="159" t="n">
        <v>-0.91554</v>
      </c>
      <c r="AO18" s="159" t="n">
        <v>-0.5818</v>
      </c>
      <c r="AP18" s="159" t="n">
        <v>-0.4158</v>
      </c>
      <c r="AQ18" s="159" t="n">
        <v>4.52308</v>
      </c>
      <c r="AR18" s="159" t="n"/>
      <c r="AS18" s="159" t="n">
        <v>0.514737</v>
      </c>
      <c r="AT18" s="159" t="n">
        <v>4.4</v>
      </c>
      <c r="AU18" s="159" t="n">
        <v>97.3</v>
      </c>
      <c r="AV18" s="159" t="n">
        <v>114.7</v>
      </c>
      <c r="AW18" s="159" t="n">
        <v>101.141</v>
      </c>
      <c r="AX18" s="159" t="n">
        <v>77.7931</v>
      </c>
      <c r="AY18" s="159" t="n">
        <v>4.134720057</v>
      </c>
      <c r="AZ18" s="159" t="n">
        <v>4.748439016</v>
      </c>
      <c r="BA18" s="159" t="n">
        <v>9.547455258999999</v>
      </c>
      <c r="BB18" s="159" t="n">
        <v>4.606908674</v>
      </c>
      <c r="BC18" s="159" t="n">
        <v>4.705920089</v>
      </c>
    </row>
    <row r="19">
      <c r="A19" s="83" t="inlineStr">
        <is>
          <t>2007-01</t>
        </is>
      </c>
      <c r="B19" s="155" t="n">
        <v>2236.202258</v>
      </c>
      <c r="C19" s="155" t="n">
        <v>125.16</v>
      </c>
      <c r="D19" s="155" t="n">
        <v>305.28</v>
      </c>
      <c r="E19" s="155" t="n">
        <v>3899.34</v>
      </c>
      <c r="F19" s="152" t="n">
        <v>7.524193548</v>
      </c>
      <c r="G19" s="152" t="n">
        <v>5.25</v>
      </c>
      <c r="H19" s="152" t="n">
        <v>2.274193548</v>
      </c>
      <c r="I19" s="156" t="n">
        <v>-994.5023411</v>
      </c>
      <c r="J19" s="152" t="n">
        <v>2.726369078</v>
      </c>
      <c r="K19" s="152" t="n">
        <v>97.83377727</v>
      </c>
      <c r="L19" s="152" t="n">
        <v>11.0425</v>
      </c>
      <c r="M19" s="157" t="n">
        <v>0</v>
      </c>
      <c r="N19" s="155" t="n">
        <v>16446.58</v>
      </c>
      <c r="O19" s="152" t="n">
        <v>164.7826087</v>
      </c>
      <c r="P19" s="152" t="n">
        <v>1.647826087</v>
      </c>
      <c r="Q19" s="156" t="n">
        <v>-521.75</v>
      </c>
      <c r="R19" s="156" t="n">
        <v>1246.63</v>
      </c>
      <c r="S19" s="152" t="n">
        <v>9.23952381</v>
      </c>
      <c r="T19" s="152" t="n">
        <v>4.544444444</v>
      </c>
      <c r="U19" s="152" t="n">
        <v>4.695079365</v>
      </c>
      <c r="V19" s="152" t="n">
        <v>2.208919037</v>
      </c>
      <c r="W19" s="152" t="n">
        <v>2.486160328</v>
      </c>
      <c r="X19" s="158" t="n">
        <v>2.13782608</v>
      </c>
      <c r="Y19" s="158" t="n">
        <v>540.6830435000001</v>
      </c>
      <c r="Z19" s="158" t="n">
        <v>10.94882609</v>
      </c>
      <c r="AA19" s="158" t="n">
        <v>3.192663636</v>
      </c>
      <c r="AB19" s="159" t="n">
        <v>0.2561482614</v>
      </c>
      <c r="AC19" s="159" t="n">
        <v>0.1164464361</v>
      </c>
      <c r="AD19" s="159" t="n">
        <v>70.81081825</v>
      </c>
      <c r="AE19" s="159" t="n">
        <v>61.8</v>
      </c>
      <c r="AF19" s="159" t="n">
        <v>2.43667</v>
      </c>
      <c r="AG19" s="159" t="n">
        <v>2.47238</v>
      </c>
      <c r="AH19" s="159" t="n">
        <v>4.87619</v>
      </c>
      <c r="AI19" s="159" t="n">
        <v>4.75952</v>
      </c>
      <c r="AJ19" s="159" t="n">
        <v>-0.116667</v>
      </c>
      <c r="AK19" s="159" t="n">
        <v>2.28048</v>
      </c>
      <c r="AL19" s="159" t="n">
        <v>2.32286</v>
      </c>
      <c r="AM19" s="159" t="n">
        <v>63.6875</v>
      </c>
      <c r="AN19" s="159" t="n">
        <v>-1.02005</v>
      </c>
      <c r="AO19" s="159" t="n">
        <v>-0.6225000000000001</v>
      </c>
      <c r="AP19" s="159" t="n">
        <v>-0.47125</v>
      </c>
      <c r="AQ19" s="159" t="n">
        <v>4.66728</v>
      </c>
      <c r="AR19" s="159" t="n"/>
      <c r="AS19" s="159" t="n">
        <v>0.384762</v>
      </c>
      <c r="AT19" s="159" t="n">
        <v>4.6</v>
      </c>
      <c r="AU19" s="159" t="n">
        <v>97.2</v>
      </c>
      <c r="AV19" s="159" t="n"/>
      <c r="AW19" s="159" t="n">
        <v>101.35</v>
      </c>
      <c r="AX19" s="159" t="n">
        <v>78.3377</v>
      </c>
      <c r="AY19" s="159" t="n">
        <v>3.983066573</v>
      </c>
      <c r="AZ19" s="159" t="n">
        <v>4.708682996</v>
      </c>
      <c r="BA19" s="159" t="n">
        <v>9.547098282</v>
      </c>
      <c r="BB19" s="159" t="n">
        <v>4.603514817</v>
      </c>
      <c r="BC19" s="159" t="n">
        <v>4.699570861</v>
      </c>
    </row>
    <row r="20">
      <c r="A20" s="83" t="inlineStr">
        <is>
          <t>2007-02</t>
        </is>
      </c>
      <c r="B20" s="155" t="n">
        <v>2227.569643</v>
      </c>
      <c r="C20" s="155" t="n">
        <v>129.93</v>
      </c>
      <c r="D20" s="155" t="n">
        <v>299.97</v>
      </c>
      <c r="E20" s="155" t="n">
        <v>3934.56</v>
      </c>
      <c r="F20" s="152" t="n">
        <v>7.776785714</v>
      </c>
      <c r="G20" s="152" t="n">
        <v>5.26</v>
      </c>
      <c r="H20" s="152" t="n">
        <v>2.516785714</v>
      </c>
      <c r="I20" s="156" t="n">
        <v>-3259.482586</v>
      </c>
      <c r="J20" s="152" t="n">
        <v>2.727114411</v>
      </c>
      <c r="K20" s="152" t="n">
        <v>97.47642500000001</v>
      </c>
      <c r="L20" s="152" t="n">
        <v>11.15526316</v>
      </c>
      <c r="M20" s="157" t="n">
        <v>0</v>
      </c>
      <c r="N20" s="155" t="n">
        <v>17590.77</v>
      </c>
      <c r="O20" s="152" t="n">
        <v>163.25</v>
      </c>
      <c r="P20" s="152" t="n">
        <v>1.6325</v>
      </c>
      <c r="Q20" s="156" t="n">
        <v>-625.8099999999999</v>
      </c>
      <c r="R20" s="156" t="n">
        <v>1479.84</v>
      </c>
      <c r="S20" s="152" t="n">
        <v>9.5115</v>
      </c>
      <c r="T20" s="152" t="n">
        <v>4.451666667</v>
      </c>
      <c r="U20" s="152" t="n">
        <v>5.059833333</v>
      </c>
      <c r="V20" s="152" t="n">
        <v>2.290415776</v>
      </c>
      <c r="W20" s="152" t="n">
        <v>2.769417557</v>
      </c>
      <c r="X20" s="158" t="n">
        <v>2.096299994</v>
      </c>
      <c r="Y20" s="158" t="n">
        <v>542.0454999999999</v>
      </c>
      <c r="Z20" s="158" t="n">
        <v>10.9944</v>
      </c>
      <c r="AA20" s="158" t="n">
        <v>3.19029</v>
      </c>
      <c r="AB20" s="159" t="n">
        <v>-0.2001864049</v>
      </c>
      <c r="AC20" s="159" t="n">
        <v>-0.1626350848</v>
      </c>
      <c r="AD20" s="159" t="n">
        <v>71.74444775000001</v>
      </c>
      <c r="AE20" s="159" t="n">
        <v>62.53</v>
      </c>
      <c r="AF20" s="159" t="n">
        <v>2.36053</v>
      </c>
      <c r="AG20" s="159" t="n">
        <v>2.34105</v>
      </c>
      <c r="AH20" s="159" t="n">
        <v>4.84895</v>
      </c>
      <c r="AI20" s="159" t="n">
        <v>4.72263</v>
      </c>
      <c r="AJ20" s="159" t="n">
        <v>-0.126316</v>
      </c>
      <c r="AK20" s="159" t="n">
        <v>2.36947</v>
      </c>
      <c r="AL20" s="159" t="n">
        <v>2.36211</v>
      </c>
      <c r="AM20" s="159" t="n">
        <v>54.5824</v>
      </c>
      <c r="AN20" s="159" t="n">
        <v>-1.10088</v>
      </c>
      <c r="AO20" s="159" t="n">
        <v>-0.637</v>
      </c>
      <c r="AP20" s="159" t="n">
        <v>-0.529</v>
      </c>
      <c r="AQ20" s="159" t="n">
        <v>4.61288</v>
      </c>
      <c r="AR20" s="159" t="n"/>
      <c r="AS20" s="159" t="n">
        <v>0.332632</v>
      </c>
      <c r="AT20" s="159" t="n">
        <v>4.5</v>
      </c>
      <c r="AU20" s="159" t="n">
        <v>97.2</v>
      </c>
      <c r="AV20" s="159" t="n">
        <v>112.6</v>
      </c>
      <c r="AW20" s="159" t="n">
        <v>101.54</v>
      </c>
      <c r="AX20" s="159" t="n">
        <v>79.121</v>
      </c>
      <c r="AY20" s="159" t="n">
        <v>4.052754912</v>
      </c>
      <c r="AZ20" s="159" t="n">
        <v>4.761344531</v>
      </c>
      <c r="BA20" s="159" t="n">
        <v>9.546312484</v>
      </c>
      <c r="BB20" s="159" t="n">
        <v>4.612890309</v>
      </c>
      <c r="BC20" s="159" t="n">
        <v>4.705015521</v>
      </c>
    </row>
    <row r="21">
      <c r="A21" s="83" t="inlineStr">
        <is>
          <t>2007-03</t>
        </is>
      </c>
      <c r="B21" s="155" t="n">
        <v>2202.844516</v>
      </c>
      <c r="C21" s="155" t="n">
        <v>130.28</v>
      </c>
      <c r="D21" s="155" t="n">
        <v>338.83</v>
      </c>
      <c r="E21" s="155" t="n">
        <v>3949.13</v>
      </c>
      <c r="F21" s="152" t="n">
        <v>8.048387097000001</v>
      </c>
      <c r="G21" s="152" t="n">
        <v>5.26</v>
      </c>
      <c r="H21" s="152" t="n">
        <v>2.788387097</v>
      </c>
      <c r="I21" s="156" t="n">
        <v>-1554.130205</v>
      </c>
      <c r="J21" s="152" t="n">
        <v>2.890076276</v>
      </c>
      <c r="K21" s="152" t="n">
        <v>97.01175455000001</v>
      </c>
      <c r="L21" s="152" t="n">
        <v>15.16272727</v>
      </c>
      <c r="M21" s="157" t="n">
        <v>0</v>
      </c>
      <c r="N21" s="155" t="n">
        <v>18993.18</v>
      </c>
      <c r="O21" s="152" t="n">
        <v>171.0909091</v>
      </c>
      <c r="P21" s="152" t="n">
        <v>1.710909091</v>
      </c>
      <c r="Q21" s="156" t="n">
        <v>-698.04</v>
      </c>
      <c r="R21" s="156" t="n">
        <v>1811.86</v>
      </c>
      <c r="S21" s="152" t="n">
        <v>9.910476190000001</v>
      </c>
      <c r="T21" s="152" t="n">
        <v>4.776153846</v>
      </c>
      <c r="U21" s="152" t="n">
        <v>5.134322344</v>
      </c>
      <c r="V21" s="152" t="n">
        <v>2.360368187</v>
      </c>
      <c r="W21" s="152" t="n">
        <v>2.773954158</v>
      </c>
      <c r="X21" s="158" t="n">
        <v>2.088090929</v>
      </c>
      <c r="Y21" s="158" t="n">
        <v>538.4486364000001</v>
      </c>
      <c r="Z21" s="158" t="n">
        <v>11.11627273</v>
      </c>
      <c r="AA21" s="158" t="n">
        <v>3.185577273</v>
      </c>
      <c r="AB21" s="159" t="n">
        <v>-0.08979596971000001</v>
      </c>
      <c r="AC21" s="159" t="n">
        <v>-0.09461658682</v>
      </c>
      <c r="AD21" s="159" t="n">
        <v>72.08965243999999</v>
      </c>
      <c r="AE21" s="159" t="n">
        <v>63.29</v>
      </c>
      <c r="AF21" s="159" t="n">
        <v>2.17682</v>
      </c>
      <c r="AG21" s="159" t="n">
        <v>2.03909</v>
      </c>
      <c r="AH21" s="159" t="n">
        <v>4.57364</v>
      </c>
      <c r="AI21" s="159" t="n">
        <v>4.56455</v>
      </c>
      <c r="AJ21" s="159" t="n">
        <v>-0.009090910000000001</v>
      </c>
      <c r="AK21" s="159" t="n">
        <v>2.44182</v>
      </c>
      <c r="AL21" s="159" t="n">
        <v>2.38773</v>
      </c>
      <c r="AM21" s="159" t="n">
        <v>64.1597</v>
      </c>
      <c r="AN21" s="159" t="n">
        <v>-0.8535199999999999</v>
      </c>
      <c r="AO21" s="159" t="n">
        <v>-0.5864</v>
      </c>
      <c r="AP21" s="159" t="n">
        <v>-0.4574</v>
      </c>
      <c r="AQ21" s="159" t="n">
        <v>4.4493</v>
      </c>
      <c r="AR21" s="159" t="n"/>
      <c r="AS21" s="159" t="n">
        <v>0.408636</v>
      </c>
      <c r="AT21" s="159" t="n">
        <v>4.4</v>
      </c>
      <c r="AU21" s="159" t="n">
        <v>97.40000000000001</v>
      </c>
      <c r="AV21" s="159" t="n">
        <v>117.6</v>
      </c>
      <c r="AW21" s="159" t="n">
        <v>101.729</v>
      </c>
      <c r="AX21" s="159" t="n">
        <v>78.8837</v>
      </c>
      <c r="AY21" s="159" t="n">
        <v>4.12794857</v>
      </c>
      <c r="AZ21" s="159" t="n">
        <v>4.78422809</v>
      </c>
      <c r="BA21" s="159" t="n">
        <v>9.544237868</v>
      </c>
      <c r="BB21" s="159" t="n">
        <v>4.614674873</v>
      </c>
      <c r="BC21" s="159" t="n">
        <v>4.715816706</v>
      </c>
    </row>
    <row r="22">
      <c r="A22" s="83" t="inlineStr">
        <is>
          <t>2007-04</t>
        </is>
      </c>
      <c r="B22" s="155" t="n">
        <v>2144.900667</v>
      </c>
      <c r="C22" s="155" t="n">
        <v>134.8</v>
      </c>
      <c r="D22" s="155" t="n">
        <v>317.74</v>
      </c>
      <c r="E22" s="155" t="n">
        <v>3983.61</v>
      </c>
      <c r="F22" s="152" t="n">
        <v>8.25</v>
      </c>
      <c r="G22" s="152" t="n">
        <v>5.25</v>
      </c>
      <c r="H22" s="152" t="n">
        <v>3</v>
      </c>
      <c r="I22" s="156" t="n">
        <v>-1980.651221</v>
      </c>
      <c r="J22" s="152" t="n">
        <v>2.647914181</v>
      </c>
      <c r="K22" s="152" t="n">
        <v>95.6322</v>
      </c>
      <c r="L22" s="152" t="n">
        <v>12.933</v>
      </c>
      <c r="M22" s="157" t="n">
        <v>0</v>
      </c>
      <c r="N22" s="155" t="n">
        <v>19775.82</v>
      </c>
      <c r="O22" s="152" t="n">
        <v>142.4285714</v>
      </c>
      <c r="P22" s="152" t="n">
        <v>1.424285714</v>
      </c>
      <c r="Q22" s="156" t="n">
        <v>-597.72</v>
      </c>
      <c r="R22" s="156" t="n">
        <v>1045.44</v>
      </c>
      <c r="S22" s="152" t="n">
        <v>10.14789474</v>
      </c>
      <c r="T22" s="152" t="n">
        <v>5.026923077</v>
      </c>
      <c r="U22" s="152" t="n">
        <v>5.12097166</v>
      </c>
      <c r="V22" s="152" t="n">
        <v>2.403528543</v>
      </c>
      <c r="W22" s="152" t="n">
        <v>2.717443117</v>
      </c>
      <c r="X22" s="158" t="n">
        <v>2.03090477</v>
      </c>
      <c r="Y22" s="158" t="n">
        <v>531.8847618999999</v>
      </c>
      <c r="Z22" s="158" t="n">
        <v>10.98066667</v>
      </c>
      <c r="AA22" s="158" t="n">
        <v>3.178242105</v>
      </c>
      <c r="AB22" s="159" t="n">
        <v>-0.6554819</v>
      </c>
      <c r="AC22" s="159" t="n">
        <v>-0.5355140574</v>
      </c>
      <c r="AD22" s="159" t="n">
        <v>71.33312816999999</v>
      </c>
      <c r="AE22" s="159" t="n">
        <v>63.85</v>
      </c>
      <c r="AF22" s="159" t="n">
        <v>2.25571</v>
      </c>
      <c r="AG22" s="159" t="n">
        <v>2.11619</v>
      </c>
      <c r="AH22" s="159" t="n">
        <v>4.66619</v>
      </c>
      <c r="AI22" s="159" t="n">
        <v>4.69381</v>
      </c>
      <c r="AJ22" s="159" t="n">
        <v>0.027619</v>
      </c>
      <c r="AK22" s="159" t="n">
        <v>2.47714</v>
      </c>
      <c r="AL22" s="159" t="n">
        <v>2.4381</v>
      </c>
      <c r="AM22" s="159" t="n">
        <v>59.5922</v>
      </c>
      <c r="AN22" s="159" t="n">
        <v>-1.00105</v>
      </c>
      <c r="AO22" s="159" t="n">
        <v>-0.55775</v>
      </c>
      <c r="AP22" s="159" t="n">
        <v>-0.43275</v>
      </c>
      <c r="AQ22" s="159" t="n">
        <v>4.57339</v>
      </c>
      <c r="AR22" s="159" t="n"/>
      <c r="AS22" s="159" t="n">
        <v>0.492105</v>
      </c>
      <c r="AT22" s="159" t="n">
        <v>4.5</v>
      </c>
      <c r="AU22" s="159" t="n">
        <v>97.40000000000001</v>
      </c>
      <c r="AV22" s="159" t="n">
        <v>117.4</v>
      </c>
      <c r="AW22" s="159" t="n">
        <v>101.921</v>
      </c>
      <c r="AX22" s="159" t="n">
        <v>78.8048</v>
      </c>
      <c r="AY22" s="159" t="n">
        <v>4.211917205</v>
      </c>
      <c r="AZ22" s="159" t="n">
        <v>4.839562235</v>
      </c>
      <c r="BA22" s="159" t="n">
        <v>9.542445946000001</v>
      </c>
      <c r="BB22" s="159" t="n">
        <v>4.621368286</v>
      </c>
      <c r="BC22" s="159" t="n">
        <v>4.703203926</v>
      </c>
    </row>
    <row r="23">
      <c r="A23" s="83" t="inlineStr">
        <is>
          <t>2007-05</t>
        </is>
      </c>
      <c r="B23" s="155" t="n">
        <v>2009.415484</v>
      </c>
      <c r="C23" s="155" t="n">
        <v>138.75</v>
      </c>
      <c r="D23" s="155" t="n">
        <v>339.88</v>
      </c>
      <c r="E23" s="155" t="n">
        <v>3956.51</v>
      </c>
      <c r="F23" s="152" t="n">
        <v>8.572580645</v>
      </c>
      <c r="G23" s="152" t="n">
        <v>5.25</v>
      </c>
      <c r="H23" s="152" t="n">
        <v>3.322580645</v>
      </c>
      <c r="I23" s="156" t="n">
        <v>4532.533269</v>
      </c>
      <c r="J23" s="152" t="n">
        <v>2.069261745</v>
      </c>
      <c r="K23" s="152" t="n">
        <v>94.72254783</v>
      </c>
      <c r="L23" s="152" t="n">
        <v>13.29772727</v>
      </c>
      <c r="M23" s="157" t="n">
        <v>0</v>
      </c>
      <c r="N23" s="155" t="n">
        <v>20409.35</v>
      </c>
      <c r="O23" s="152" t="n">
        <v>130</v>
      </c>
      <c r="P23" s="152" t="n">
        <v>1.3</v>
      </c>
      <c r="Q23" s="156" t="n">
        <v>-656.01</v>
      </c>
      <c r="R23" s="156" t="n">
        <v>1052.75</v>
      </c>
      <c r="S23" s="152" t="n">
        <v>10.15095238</v>
      </c>
      <c r="T23" s="152" t="n">
        <v>5.073333333</v>
      </c>
      <c r="U23" s="152" t="n">
        <v>5.077619048</v>
      </c>
      <c r="V23" s="152" t="n">
        <v>2.328095447</v>
      </c>
      <c r="W23" s="152" t="n">
        <v>2.749523601</v>
      </c>
      <c r="X23" s="158" t="n">
        <v>1.983695668</v>
      </c>
      <c r="Y23" s="158" t="n">
        <v>522.1469565</v>
      </c>
      <c r="Z23" s="158" t="n">
        <v>10.82347826</v>
      </c>
      <c r="AA23" s="158" t="n">
        <v>3.167618182</v>
      </c>
      <c r="AB23" s="159" t="n">
        <v>-0.7200689434</v>
      </c>
      <c r="AC23" s="159" t="n">
        <v>-0.6049330023</v>
      </c>
      <c r="AD23" s="159" t="n">
        <v>72.36792192999999</v>
      </c>
      <c r="AE23" s="159" t="n">
        <v>64.05</v>
      </c>
      <c r="AF23" s="159" t="n">
        <v>2.37364</v>
      </c>
      <c r="AG23" s="159" t="n">
        <v>2.28955</v>
      </c>
      <c r="AH23" s="159" t="n">
        <v>4.76636</v>
      </c>
      <c r="AI23" s="159" t="n">
        <v>4.74636</v>
      </c>
      <c r="AJ23" s="159" t="n">
        <v>-0.02</v>
      </c>
      <c r="AK23" s="159" t="n">
        <v>2.37773</v>
      </c>
      <c r="AL23" s="159" t="n">
        <v>2.37273</v>
      </c>
      <c r="AM23" s="159" t="n">
        <v>58.2266</v>
      </c>
      <c r="AN23" s="159" t="n">
        <v>-0.94125</v>
      </c>
      <c r="AO23" s="159" t="n">
        <v>-0.525</v>
      </c>
      <c r="AP23" s="159" t="n">
        <v>-0.34325</v>
      </c>
      <c r="AQ23" s="159" t="n">
        <v>4.50781</v>
      </c>
      <c r="AR23" s="159" t="n"/>
      <c r="AS23" s="159" t="n">
        <v>0.6290480000000001</v>
      </c>
      <c r="AT23" s="159" t="n">
        <v>4.4</v>
      </c>
      <c r="AU23" s="159" t="n">
        <v>97.7</v>
      </c>
      <c r="AV23" s="159" t="n">
        <v>118.1</v>
      </c>
      <c r="AW23" s="159" t="n">
        <v>102.111</v>
      </c>
      <c r="AX23" s="159" t="n">
        <v>79.0412</v>
      </c>
      <c r="AY23" s="159" t="n">
        <v>4.207856266</v>
      </c>
      <c r="AZ23" s="159" t="n">
        <v>4.842342867</v>
      </c>
      <c r="BA23" s="159" t="n">
        <v>9.541225602000001</v>
      </c>
      <c r="BB23" s="159" t="n">
        <v>4.622332075</v>
      </c>
      <c r="BC23" s="159" t="n">
        <v>4.704110134</v>
      </c>
    </row>
    <row r="24">
      <c r="A24" s="83" t="inlineStr">
        <is>
          <t>2007-06</t>
        </is>
      </c>
      <c r="B24" s="155" t="n">
        <v>1923.534333</v>
      </c>
      <c r="C24" s="155" t="n">
        <v>139.13</v>
      </c>
      <c r="D24" s="155" t="n">
        <v>334.95</v>
      </c>
      <c r="E24" s="155" t="n">
        <v>3949.09</v>
      </c>
      <c r="F24" s="152" t="n">
        <v>8.85</v>
      </c>
      <c r="G24" s="152" t="n">
        <v>5.25</v>
      </c>
      <c r="H24" s="152" t="n">
        <v>3.6</v>
      </c>
      <c r="I24" s="156" t="n">
        <v>-1488.785889</v>
      </c>
      <c r="J24" s="152" t="n">
        <v>2.290703207</v>
      </c>
      <c r="K24" s="152" t="n">
        <v>94.44490952</v>
      </c>
      <c r="L24" s="152" t="n">
        <v>14.94761905</v>
      </c>
      <c r="M24" s="157" t="n">
        <v>0</v>
      </c>
      <c r="N24" s="155" t="n">
        <v>19994.41</v>
      </c>
      <c r="O24" s="152" t="n">
        <v>108.3809524</v>
      </c>
      <c r="P24" s="152" t="n">
        <v>1.083809524</v>
      </c>
      <c r="Q24" s="156" t="n">
        <v>-568.67</v>
      </c>
      <c r="R24" s="156" t="n">
        <v>-155.07</v>
      </c>
      <c r="S24" s="152" t="n">
        <v>9.940526316</v>
      </c>
      <c r="T24" s="152" t="n">
        <v>5.558333333</v>
      </c>
      <c r="U24" s="152" t="n">
        <v>4.382192982</v>
      </c>
      <c r="V24" s="152" t="n">
        <v>2.29662382</v>
      </c>
      <c r="W24" s="152" t="n">
        <v>2.085569162</v>
      </c>
      <c r="X24" s="158" t="n">
        <v>1.932857144</v>
      </c>
      <c r="Y24" s="158" t="n">
        <v>526.8028571</v>
      </c>
      <c r="Z24" s="158" t="n">
        <v>10.83852381</v>
      </c>
      <c r="AA24" s="158" t="n">
        <v>3.170315</v>
      </c>
      <c r="AB24" s="159" t="n">
        <v>-0.2115894945</v>
      </c>
      <c r="AC24" s="159" t="n">
        <v>-0.1391118828</v>
      </c>
      <c r="AD24" s="159" t="n">
        <v>72.82110278</v>
      </c>
      <c r="AE24" s="159" t="n">
        <v>64.12</v>
      </c>
      <c r="AF24" s="159" t="n">
        <v>2.69095</v>
      </c>
      <c r="AG24" s="159" t="n">
        <v>2.65381</v>
      </c>
      <c r="AH24" s="159" t="n">
        <v>4.98048</v>
      </c>
      <c r="AI24" s="159" t="n">
        <v>5.10286</v>
      </c>
      <c r="AJ24" s="159" t="n">
        <v>0.122381</v>
      </c>
      <c r="AK24" s="159" t="n">
        <v>2.37238</v>
      </c>
      <c r="AL24" s="159" t="n">
        <v>2.4119</v>
      </c>
      <c r="AM24" s="159" t="n">
        <v>57.6473</v>
      </c>
      <c r="AN24" s="159" t="n">
        <v>-0.73176</v>
      </c>
      <c r="AO24" s="159" t="n">
        <v>-0.4954</v>
      </c>
      <c r="AP24" s="159" t="n">
        <v>-0.2794</v>
      </c>
      <c r="AQ24" s="159" t="n">
        <v>4.61414</v>
      </c>
      <c r="AR24" s="159" t="n"/>
      <c r="AS24" s="159" t="n">
        <v>0.749048</v>
      </c>
      <c r="AT24" s="159" t="n">
        <v>4.6</v>
      </c>
      <c r="AU24" s="159" t="n">
        <v>98.09999999999999</v>
      </c>
      <c r="AV24" s="159" t="n">
        <v>119.4</v>
      </c>
      <c r="AW24" s="159" t="n">
        <v>102.299</v>
      </c>
      <c r="AX24" s="159" t="n">
        <v>79.3574</v>
      </c>
      <c r="AY24" s="159" t="n">
        <v>4.263323332</v>
      </c>
      <c r="AZ24" s="159" t="n">
        <v>4.844785333</v>
      </c>
      <c r="BA24" s="159" t="n">
        <v>9.539859923</v>
      </c>
      <c r="BB24" s="159" t="n">
        <v>4.622902043</v>
      </c>
      <c r="BC24" s="159" t="n">
        <v>4.697749367</v>
      </c>
    </row>
    <row r="25">
      <c r="A25" s="83" t="inlineStr">
        <is>
          <t>2007-07</t>
        </is>
      </c>
      <c r="B25" s="155" t="n">
        <v>1951.843548</v>
      </c>
      <c r="C25" s="155" t="n">
        <v>140.76</v>
      </c>
      <c r="D25" s="155" t="n">
        <v>368.63</v>
      </c>
      <c r="E25" s="155" t="n">
        <v>4003.99</v>
      </c>
      <c r="F25" s="152" t="n">
        <v>9.016129032</v>
      </c>
      <c r="G25" s="152" t="n">
        <v>5.26</v>
      </c>
      <c r="H25" s="152" t="n">
        <v>3.756129032</v>
      </c>
      <c r="I25" s="156" t="n">
        <v>-1624.422056</v>
      </c>
      <c r="J25" s="152" t="n">
        <v>2.523620514</v>
      </c>
      <c r="K25" s="152" t="n">
        <v>93.20591364000001</v>
      </c>
      <c r="L25" s="152" t="n">
        <v>17.27333333</v>
      </c>
      <c r="M25" s="157" t="n">
        <v>0</v>
      </c>
      <c r="N25" s="155" t="n">
        <v>20195.71</v>
      </c>
      <c r="O25" s="152" t="n">
        <v>135.4545455</v>
      </c>
      <c r="P25" s="152" t="n">
        <v>1.354545455</v>
      </c>
      <c r="Q25" s="156" t="n">
        <v>-673.35</v>
      </c>
      <c r="R25" s="156" t="n">
        <v>661.84</v>
      </c>
      <c r="S25" s="152" t="n">
        <v>10.001</v>
      </c>
      <c r="T25" s="152" t="n">
        <v>5.778888889</v>
      </c>
      <c r="U25" s="152" t="n">
        <v>4.222111111</v>
      </c>
      <c r="V25" s="152" t="n">
        <v>2.198047638</v>
      </c>
      <c r="W25" s="152" t="n">
        <v>2.024063473</v>
      </c>
      <c r="X25" s="158" t="n">
        <v>1.883045462</v>
      </c>
      <c r="Y25" s="158" t="n">
        <v>519.6877273</v>
      </c>
      <c r="Z25" s="158" t="n">
        <v>10.80995455</v>
      </c>
      <c r="AA25" s="158" t="n">
        <v>3.160922727</v>
      </c>
      <c r="AB25" s="159" t="n">
        <v>-0.5416998111</v>
      </c>
      <c r="AC25" s="159" t="n">
        <v>-0.4634862161</v>
      </c>
      <c r="AD25" s="159" t="n">
        <v>72.86869384000001</v>
      </c>
      <c r="AE25" s="159" t="n">
        <v>64.23</v>
      </c>
      <c r="AF25" s="159" t="n">
        <v>2.63667</v>
      </c>
      <c r="AG25" s="159" t="n">
        <v>2.59571</v>
      </c>
      <c r="AH25" s="159" t="n">
        <v>4.81905</v>
      </c>
      <c r="AI25" s="159" t="n">
        <v>5.00429</v>
      </c>
      <c r="AJ25" s="159" t="n">
        <v>0.185238</v>
      </c>
      <c r="AK25" s="159" t="n">
        <v>2.28905</v>
      </c>
      <c r="AL25" s="159" t="n">
        <v>2.36762</v>
      </c>
      <c r="AM25" s="159" t="n">
        <v>47.5894</v>
      </c>
      <c r="AN25" s="159" t="n">
        <v>-0.566975</v>
      </c>
      <c r="AO25" s="159" t="n">
        <v>-0.3665</v>
      </c>
      <c r="AP25" s="159" t="n">
        <v>-0.22725</v>
      </c>
      <c r="AQ25" s="159" t="n">
        <v>4.69595</v>
      </c>
      <c r="AR25" s="159" t="n"/>
      <c r="AS25" s="159" t="n">
        <v>0.538571</v>
      </c>
      <c r="AT25" s="159" t="n">
        <v>4.7</v>
      </c>
      <c r="AU25" s="159" t="n">
        <v>98.5</v>
      </c>
      <c r="AV25" s="159" t="n">
        <v>118</v>
      </c>
      <c r="AW25" s="159" t="n">
        <v>102.481</v>
      </c>
      <c r="AX25" s="159" t="n">
        <v>80.0716</v>
      </c>
      <c r="AY25" s="159" t="n">
        <v>4.342895917</v>
      </c>
      <c r="AZ25" s="159" t="n">
        <v>4.864529941</v>
      </c>
      <c r="BA25" s="159" t="n">
        <v>9.538276278</v>
      </c>
      <c r="BB25" s="159" t="n">
        <v>4.621702767</v>
      </c>
      <c r="BC25" s="159" t="n">
        <v>4.688591794</v>
      </c>
    </row>
    <row r="26">
      <c r="A26" s="83" t="inlineStr">
        <is>
          <t>2007-08</t>
        </is>
      </c>
      <c r="B26" s="155" t="n">
        <v>2056.086774</v>
      </c>
      <c r="C26" s="155" t="n">
        <v>136.63</v>
      </c>
      <c r="D26" s="155" t="n">
        <v>412.73</v>
      </c>
      <c r="E26" s="155" t="n">
        <v>4082</v>
      </c>
      <c r="F26" s="152" t="n">
        <v>9.25</v>
      </c>
      <c r="G26" s="152" t="n">
        <v>5.02</v>
      </c>
      <c r="H26" s="152" t="n">
        <v>4.23</v>
      </c>
      <c r="I26" s="156" t="n">
        <v>1151.787206</v>
      </c>
      <c r="J26" s="152" t="n">
        <v>2.40454409</v>
      </c>
      <c r="K26" s="152" t="n">
        <v>93.76029565</v>
      </c>
      <c r="L26" s="152" t="n">
        <v>25.02608696</v>
      </c>
      <c r="M26" s="157" t="n">
        <v>0</v>
      </c>
      <c r="N26" s="155" t="n">
        <v>20110.68</v>
      </c>
      <c r="O26" s="152" t="n">
        <v>186.4347826</v>
      </c>
      <c r="P26" s="152" t="n">
        <v>1.864347826</v>
      </c>
      <c r="Q26" s="156" t="n">
        <v>-578.53</v>
      </c>
      <c r="R26" s="156" t="n">
        <v>104.03</v>
      </c>
      <c r="S26" s="152" t="n">
        <v>10.44714286</v>
      </c>
      <c r="T26" s="152" t="n">
        <v>5.996153846</v>
      </c>
      <c r="U26" s="152" t="n">
        <v>4.450989011</v>
      </c>
      <c r="V26" s="152" t="n">
        <v>1.984443478</v>
      </c>
      <c r="W26" s="152" t="n">
        <v>2.466545533</v>
      </c>
      <c r="X26" s="158" t="n">
        <v>1.961565199</v>
      </c>
      <c r="Y26" s="158" t="n">
        <v>522.9391304</v>
      </c>
      <c r="Z26" s="158" t="n">
        <v>11.04708696</v>
      </c>
      <c r="AA26" s="158" t="n">
        <v>3.157472727</v>
      </c>
      <c r="AB26" s="159" t="n">
        <v>0.6060650072</v>
      </c>
      <c r="AC26" s="159" t="n">
        <v>0.4350479089</v>
      </c>
      <c r="AD26" s="159" t="n">
        <v>73.78473685</v>
      </c>
      <c r="AE26" s="159" t="n">
        <v>64.14</v>
      </c>
      <c r="AF26" s="159" t="n">
        <v>2.43826</v>
      </c>
      <c r="AG26" s="159" t="n">
        <v>2.38826</v>
      </c>
      <c r="AH26" s="159" t="n">
        <v>4.31304</v>
      </c>
      <c r="AI26" s="159" t="n">
        <v>4.67478</v>
      </c>
      <c r="AJ26" s="159" t="n">
        <v>0.361739</v>
      </c>
      <c r="AK26" s="159" t="n">
        <v>2.04391</v>
      </c>
      <c r="AL26" s="159" t="n">
        <v>2.23652</v>
      </c>
      <c r="AM26" s="159" t="n">
        <v>78.5587</v>
      </c>
      <c r="AN26" s="159" t="n">
        <v>0.7410600000000001</v>
      </c>
      <c r="AO26" s="159" t="n">
        <v>0.07539999999999999</v>
      </c>
      <c r="AP26" s="159" t="n">
        <v>0.4722</v>
      </c>
      <c r="AQ26" s="159" t="n">
        <v>4.67334</v>
      </c>
      <c r="AR26" s="159" t="n"/>
      <c r="AS26" s="159" t="n">
        <v>1.295</v>
      </c>
      <c r="AT26" s="159" t="n">
        <v>4.6</v>
      </c>
      <c r="AU26" s="159" t="n">
        <v>98.90000000000001</v>
      </c>
      <c r="AV26" s="159" t="n">
        <v>117.5</v>
      </c>
      <c r="AW26" s="159" t="n">
        <v>102.656</v>
      </c>
      <c r="AX26" s="159" t="n">
        <v>81.0324</v>
      </c>
      <c r="AY26" s="159" t="n">
        <v>4.259306588</v>
      </c>
      <c r="AZ26" s="159" t="n">
        <v>4.832871336</v>
      </c>
      <c r="BA26" s="159" t="n">
        <v>9.533944454</v>
      </c>
      <c r="BB26" s="159" t="n">
        <v>4.623628773</v>
      </c>
      <c r="BC26" s="159" t="n">
        <v>4.696837375</v>
      </c>
    </row>
    <row r="27">
      <c r="A27" s="83" t="inlineStr">
        <is>
          <t>2007-09</t>
        </is>
      </c>
      <c r="B27" s="155" t="n">
        <v>2113.369667</v>
      </c>
      <c r="C27" s="155" t="n">
        <v>142.31</v>
      </c>
      <c r="D27" s="155" t="n">
        <v>400.52</v>
      </c>
      <c r="E27" s="155" t="n">
        <v>4158.4</v>
      </c>
      <c r="F27" s="152" t="n">
        <v>9.25</v>
      </c>
      <c r="G27" s="152" t="n">
        <v>4.94</v>
      </c>
      <c r="H27" s="152" t="n">
        <v>4.31</v>
      </c>
      <c r="I27" s="156" t="n">
        <v>-1130.152235</v>
      </c>
      <c r="J27" s="152" t="n">
        <v>2.644848962</v>
      </c>
      <c r="K27" s="152" t="n">
        <v>92.436595</v>
      </c>
      <c r="L27" s="152" t="n">
        <v>22.19894737</v>
      </c>
      <c r="M27" s="157" t="n">
        <v>0</v>
      </c>
      <c r="N27" s="155" t="n">
        <v>20547.95</v>
      </c>
      <c r="O27" s="152" t="n">
        <v>180.6</v>
      </c>
      <c r="P27" s="152" t="n">
        <v>1.806</v>
      </c>
      <c r="Q27" s="156" t="n">
        <v>-685.35</v>
      </c>
      <c r="R27" s="156" t="n">
        <v>890.7</v>
      </c>
      <c r="S27" s="152" t="n">
        <v>10.629</v>
      </c>
      <c r="T27" s="152" t="n">
        <v>5.976666667</v>
      </c>
      <c r="U27" s="152" t="n">
        <v>4.652333333</v>
      </c>
      <c r="V27" s="152" t="n">
        <v>1.964099991</v>
      </c>
      <c r="W27" s="152" t="n">
        <v>2.688233343</v>
      </c>
      <c r="X27" s="158" t="n">
        <v>1.902250004</v>
      </c>
      <c r="Y27" s="158" t="n">
        <v>515.917</v>
      </c>
      <c r="Z27" s="158" t="n">
        <v>11.03135</v>
      </c>
      <c r="AA27" s="158" t="n">
        <v>3.135545</v>
      </c>
      <c r="AB27" s="159" t="n">
        <v>-0.5679736805</v>
      </c>
      <c r="AC27" s="159" t="n">
        <v>-0.563683975</v>
      </c>
      <c r="AD27" s="159" t="n">
        <v>74.17386476</v>
      </c>
      <c r="AE27" s="159" t="n">
        <v>64.2</v>
      </c>
      <c r="AF27" s="159" t="n">
        <v>2.25737</v>
      </c>
      <c r="AG27" s="159" t="n">
        <v>2.14263</v>
      </c>
      <c r="AH27" s="159" t="n">
        <v>4.01158</v>
      </c>
      <c r="AI27" s="159" t="n">
        <v>4.52158</v>
      </c>
      <c r="AJ27" s="159" t="n">
        <v>0.51</v>
      </c>
      <c r="AK27" s="159" t="n">
        <v>2.05632</v>
      </c>
      <c r="AL27" s="159" t="n">
        <v>2.26421</v>
      </c>
      <c r="AM27" s="159" t="n">
        <v>99.0733</v>
      </c>
      <c r="AN27" s="159" t="n">
        <v>1.13075</v>
      </c>
      <c r="AO27" s="159" t="n">
        <v>0.19675</v>
      </c>
      <c r="AP27" s="159" t="n">
        <v>0.64325</v>
      </c>
      <c r="AQ27" s="159" t="n">
        <v>4.78989</v>
      </c>
      <c r="AR27" s="159" t="n"/>
      <c r="AS27" s="159" t="n">
        <v>1.59211</v>
      </c>
      <c r="AT27" s="159" t="n">
        <v>4.7</v>
      </c>
      <c r="AU27" s="159" t="n">
        <v>99.09999999999999</v>
      </c>
      <c r="AV27" s="159" t="n">
        <v>118.9</v>
      </c>
      <c r="AW27" s="159" t="n">
        <v>102.819</v>
      </c>
      <c r="AX27" s="159" t="n">
        <v>81.27549999999999</v>
      </c>
      <c r="AY27" s="159" t="n">
        <v>4.346052247</v>
      </c>
      <c r="AZ27" s="159" t="n">
        <v>4.880746782</v>
      </c>
      <c r="BA27" s="159" t="n">
        <v>9.531263778</v>
      </c>
      <c r="BB27" s="159" t="n">
        <v>4.625844982</v>
      </c>
      <c r="BC27" s="159" t="n">
        <v>4.694096395</v>
      </c>
    </row>
    <row r="28">
      <c r="A28" s="83" t="inlineStr">
        <is>
          <t>2007-10</t>
        </is>
      </c>
      <c r="B28" s="155" t="n">
        <v>2001.086129</v>
      </c>
      <c r="C28" s="155" t="n">
        <v>146.6</v>
      </c>
      <c r="D28" s="155" t="n">
        <v>427.78</v>
      </c>
      <c r="E28" s="155" t="n">
        <v>4254.58</v>
      </c>
      <c r="F28" s="152" t="n">
        <v>9.25</v>
      </c>
      <c r="G28" s="152" t="n">
        <v>4.76</v>
      </c>
      <c r="H28" s="152" t="n">
        <v>4.49</v>
      </c>
      <c r="I28" s="156" t="n">
        <v>-1390.805457</v>
      </c>
      <c r="J28" s="152" t="n">
        <v>2.714277456</v>
      </c>
      <c r="K28" s="152" t="n">
        <v>90.40017826</v>
      </c>
      <c r="L28" s="152" t="n">
        <v>19.11565217</v>
      </c>
      <c r="M28" s="157" t="n">
        <v>0</v>
      </c>
      <c r="N28" s="155" t="n">
        <v>20661.24</v>
      </c>
      <c r="O28" s="152" t="n">
        <v>160.6086957</v>
      </c>
      <c r="P28" s="152" t="n">
        <v>1.606086957</v>
      </c>
      <c r="Q28" s="156" t="n">
        <v>-716.0599999999999</v>
      </c>
      <c r="R28" s="156" t="n">
        <v>579.21</v>
      </c>
      <c r="S28" s="152" t="n">
        <v>10.35954545</v>
      </c>
      <c r="T28" s="152" t="n">
        <v>5.617</v>
      </c>
      <c r="U28" s="152" t="n">
        <v>4.742545455</v>
      </c>
      <c r="V28" s="152" t="n">
        <v>2.07450456</v>
      </c>
      <c r="W28" s="152" t="n">
        <v>2.668040895</v>
      </c>
      <c r="X28" s="158" t="n">
        <v>1.800999994</v>
      </c>
      <c r="Y28" s="158" t="n">
        <v>500.4286957</v>
      </c>
      <c r="Z28" s="158" t="n">
        <v>10.82617391</v>
      </c>
      <c r="AA28" s="158" t="n">
        <v>3.019427273</v>
      </c>
      <c r="AB28" s="159" t="n">
        <v>-1.20549523</v>
      </c>
      <c r="AC28" s="159" t="n">
        <v>-1.660645371</v>
      </c>
      <c r="AD28" s="159" t="n">
        <v>74.5292196</v>
      </c>
      <c r="AE28" s="159" t="n">
        <v>64.2</v>
      </c>
      <c r="AF28" s="159" t="n">
        <v>2.20227</v>
      </c>
      <c r="AG28" s="159" t="n">
        <v>2.00682</v>
      </c>
      <c r="AH28" s="159" t="n">
        <v>3.96773</v>
      </c>
      <c r="AI28" s="159" t="n">
        <v>4.52773</v>
      </c>
      <c r="AJ28" s="159" t="n">
        <v>0.5600000000000001</v>
      </c>
      <c r="AK28" s="159" t="n">
        <v>2.19136</v>
      </c>
      <c r="AL28" s="159" t="n">
        <v>2.32545</v>
      </c>
      <c r="AM28" s="159" t="n">
        <v>79.1533</v>
      </c>
      <c r="AN28" s="159" t="n">
        <v>0.64</v>
      </c>
      <c r="AO28" s="159" t="n">
        <v>0.021</v>
      </c>
      <c r="AP28" s="159" t="n">
        <v>0.3265</v>
      </c>
      <c r="AQ28" s="159" t="n">
        <v>4.76652</v>
      </c>
      <c r="AR28" s="159" t="n"/>
      <c r="AS28" s="159" t="n">
        <v>1.24091</v>
      </c>
      <c r="AT28" s="159" t="n">
        <v>4.7</v>
      </c>
      <c r="AU28" s="159" t="n">
        <v>99.3</v>
      </c>
      <c r="AV28" s="159" t="n">
        <v>117.9</v>
      </c>
      <c r="AW28" s="159" t="n">
        <v>102.952</v>
      </c>
      <c r="AX28" s="159" t="n">
        <v>81.5194</v>
      </c>
      <c r="AY28" s="159" t="n">
        <v>4.410857016</v>
      </c>
      <c r="AZ28" s="159" t="n">
        <v>4.93767743</v>
      </c>
      <c r="BA28" s="159" t="n">
        <v>9.529230372000001</v>
      </c>
      <c r="BB28" s="159" t="n">
        <v>4.62302975</v>
      </c>
      <c r="BC28" s="159" t="n">
        <v>4.708628894</v>
      </c>
    </row>
    <row r="29">
      <c r="A29" s="83" t="inlineStr">
        <is>
          <t>2007-11</t>
        </is>
      </c>
      <c r="B29" s="155" t="n">
        <v>2046.357</v>
      </c>
      <c r="C29" s="155" t="n">
        <v>145.74</v>
      </c>
      <c r="D29" s="155" t="n">
        <v>456.17</v>
      </c>
      <c r="E29" s="155" t="n">
        <v>4377.82</v>
      </c>
      <c r="F29" s="152" t="n">
        <v>9.291666666999999</v>
      </c>
      <c r="G29" s="152" t="n">
        <v>4.49</v>
      </c>
      <c r="H29" s="152" t="n">
        <v>4.801666667</v>
      </c>
      <c r="I29" s="156" t="n">
        <v>-1697.946855</v>
      </c>
      <c r="J29" s="152" t="n">
        <v>2.790847647</v>
      </c>
      <c r="K29" s="152" t="n">
        <v>89.05299545</v>
      </c>
      <c r="L29" s="152" t="n">
        <v>25.58238095</v>
      </c>
      <c r="M29" s="157" t="n">
        <v>0</v>
      </c>
      <c r="N29" s="155" t="n">
        <v>20882.4</v>
      </c>
      <c r="O29" s="152" t="n">
        <v>196.8636364</v>
      </c>
      <c r="P29" s="152" t="n">
        <v>1.968636364</v>
      </c>
      <c r="Q29" s="156" t="n">
        <v>-563.97</v>
      </c>
      <c r="R29" s="156" t="n">
        <v>408.26</v>
      </c>
      <c r="S29" s="152" t="n">
        <v>10.2685</v>
      </c>
      <c r="T29" s="152" t="n">
        <v>5.357142857</v>
      </c>
      <c r="U29" s="152" t="n">
        <v>4.911357143</v>
      </c>
      <c r="V29" s="152" t="n">
        <v>2.231260014</v>
      </c>
      <c r="W29" s="152" t="n">
        <v>2.680097129</v>
      </c>
      <c r="X29" s="158" t="n">
        <v>1.767590918</v>
      </c>
      <c r="Y29" s="158" t="n">
        <v>506.88</v>
      </c>
      <c r="Z29" s="158" t="n">
        <v>10.88077273</v>
      </c>
      <c r="AA29" s="158" t="n">
        <v>3.000890476</v>
      </c>
      <c r="AB29" s="159" t="n">
        <v>-0.05311277896</v>
      </c>
      <c r="AC29" s="159" t="n">
        <v>-0.1612297969</v>
      </c>
      <c r="AD29" s="159" t="n">
        <v>75.20753762</v>
      </c>
      <c r="AE29" s="159" t="n">
        <v>64.51000000000001</v>
      </c>
      <c r="AF29" s="159" t="n">
        <v>1.768</v>
      </c>
      <c r="AG29" s="159" t="n">
        <v>1.3525</v>
      </c>
      <c r="AH29" s="159" t="n">
        <v>3.3365</v>
      </c>
      <c r="AI29" s="159" t="n">
        <v>4.1485</v>
      </c>
      <c r="AJ29" s="159" t="n">
        <v>0.8120000000000001</v>
      </c>
      <c r="AK29" s="159" t="n">
        <v>2.3145</v>
      </c>
      <c r="AL29" s="159" t="n">
        <v>2.3805</v>
      </c>
      <c r="AM29" s="159" t="n">
        <v>82.6087</v>
      </c>
      <c r="AN29" s="159" t="n">
        <v>1.37096</v>
      </c>
      <c r="AO29" s="159" t="n">
        <v>0.3052</v>
      </c>
      <c r="AP29" s="159" t="n">
        <v>0.769</v>
      </c>
      <c r="AQ29" s="159" t="n">
        <v>4.77115</v>
      </c>
      <c r="AR29" s="159" t="n"/>
      <c r="AS29" s="159" t="n">
        <v>1.69</v>
      </c>
      <c r="AT29" s="159" t="n">
        <v>4.7</v>
      </c>
      <c r="AU29" s="159" t="n">
        <v>99.5</v>
      </c>
      <c r="AV29" s="159" t="n">
        <v>117.3</v>
      </c>
      <c r="AW29" s="159" t="n">
        <v>103.037</v>
      </c>
      <c r="AX29" s="159" t="n">
        <v>82.09</v>
      </c>
      <c r="AY29" s="159" t="n">
        <v>4.526281729</v>
      </c>
      <c r="AZ29" s="159" t="n">
        <v>4.994444935</v>
      </c>
      <c r="BA29" s="159" t="n">
        <v>9.528866828</v>
      </c>
      <c r="BB29" s="159" t="n">
        <v>4.628349459</v>
      </c>
      <c r="BC29" s="159" t="n">
        <v>4.70682384</v>
      </c>
    </row>
    <row r="30">
      <c r="A30" s="83" t="inlineStr">
        <is>
          <t>2007-12</t>
        </is>
      </c>
      <c r="B30" s="155" t="n">
        <v>2013.834516</v>
      </c>
      <c r="C30" s="155" t="n">
        <v>147.1</v>
      </c>
      <c r="D30" s="155" t="n">
        <v>427.25</v>
      </c>
      <c r="E30" s="155" t="n">
        <v>4429.73</v>
      </c>
      <c r="F30" s="152" t="n">
        <v>9.5</v>
      </c>
      <c r="G30" s="152" t="n">
        <v>4.24</v>
      </c>
      <c r="H30" s="152" t="n">
        <v>5.26</v>
      </c>
      <c r="I30" s="156" t="n">
        <v>-2177.068846</v>
      </c>
      <c r="J30" s="152" t="n">
        <v>2.710260117</v>
      </c>
      <c r="K30" s="152" t="n">
        <v>90.00495714</v>
      </c>
      <c r="L30" s="152" t="n">
        <v>21.651</v>
      </c>
      <c r="M30" s="157" t="n">
        <v>0</v>
      </c>
      <c r="N30" s="155" t="n">
        <v>20948.68</v>
      </c>
      <c r="O30" s="152" t="n">
        <v>187.7619048</v>
      </c>
      <c r="P30" s="152" t="n">
        <v>1.877619048</v>
      </c>
      <c r="Q30" s="156" t="n">
        <v>-781.75</v>
      </c>
      <c r="R30" s="156" t="n">
        <v>564.8099999999999</v>
      </c>
      <c r="S30" s="152" t="n">
        <v>10.22277778</v>
      </c>
      <c r="T30" s="152" t="n">
        <v>5.34</v>
      </c>
      <c r="U30" s="152" t="n">
        <v>4.882777778</v>
      </c>
      <c r="V30" s="152" t="n">
        <v>2.156349981</v>
      </c>
      <c r="W30" s="152" t="n">
        <v>2.726427797</v>
      </c>
      <c r="X30" s="158" t="n">
        <v>1.783350009</v>
      </c>
      <c r="Y30" s="158" t="n">
        <v>498.8742857</v>
      </c>
      <c r="Z30" s="158" t="n">
        <v>10.8462</v>
      </c>
      <c r="AA30" s="158" t="n">
        <v>2.98104</v>
      </c>
      <c r="AB30" s="159" t="n">
        <v>-0.2590944229</v>
      </c>
      <c r="AC30" s="159" t="n">
        <v>-0.3253449846</v>
      </c>
      <c r="AD30" s="159" t="n">
        <v>74.85957634</v>
      </c>
      <c r="AE30" s="159" t="n">
        <v>64.81999999999999</v>
      </c>
      <c r="AF30" s="159" t="n">
        <v>1.789</v>
      </c>
      <c r="AG30" s="159" t="n">
        <v>1.272</v>
      </c>
      <c r="AH30" s="159" t="n">
        <v>3.117</v>
      </c>
      <c r="AI30" s="159" t="n">
        <v>4.0975</v>
      </c>
      <c r="AJ30" s="159" t="n">
        <v>0.9805</v>
      </c>
      <c r="AK30" s="159" t="n">
        <v>2.2155</v>
      </c>
      <c r="AL30" s="159" t="n">
        <v>2.3085</v>
      </c>
      <c r="AM30" s="159" t="n">
        <v>96.43049999999999</v>
      </c>
      <c r="AN30" s="159" t="n">
        <v>1.76202</v>
      </c>
      <c r="AO30" s="159" t="n">
        <v>0.5845</v>
      </c>
      <c r="AP30" s="159" t="n">
        <v>1.18875</v>
      </c>
      <c r="AQ30" s="159" t="n">
        <v>5.05261</v>
      </c>
      <c r="AR30" s="159" t="n"/>
      <c r="AS30" s="159" t="n">
        <v>1.99684</v>
      </c>
      <c r="AT30" s="159" t="n">
        <v>5</v>
      </c>
      <c r="AU30" s="159" t="n">
        <v>99.59999999999999</v>
      </c>
      <c r="AV30" s="159" t="n">
        <v>117.4</v>
      </c>
      <c r="AW30" s="159" t="n">
        <v>103.054</v>
      </c>
      <c r="AX30" s="159" t="n">
        <v>82.9109</v>
      </c>
      <c r="AY30" s="159" t="n">
        <v>4.510054787</v>
      </c>
      <c r="AZ30" s="159" t="n">
        <v>4.995589336</v>
      </c>
      <c r="BA30" s="159" t="n">
        <v>9.527993782999999</v>
      </c>
      <c r="BB30" s="159" t="n">
        <v>4.628691381</v>
      </c>
      <c r="BC30" s="159" t="n">
        <v>4.70682384</v>
      </c>
    </row>
    <row r="31">
      <c r="A31" s="83" t="inlineStr">
        <is>
          <t>2008-01</t>
        </is>
      </c>
      <c r="B31" s="155" t="n">
        <v>1983.184194</v>
      </c>
      <c r="C31" s="155" t="n">
        <v>145.36</v>
      </c>
      <c r="D31" s="155" t="n">
        <v>380.82</v>
      </c>
      <c r="E31" s="155" t="n">
        <v>4505.27</v>
      </c>
      <c r="F31" s="152" t="n">
        <v>9.5</v>
      </c>
      <c r="G31" s="152" t="n">
        <v>3.94</v>
      </c>
      <c r="H31" s="152" t="n">
        <v>5.56</v>
      </c>
      <c r="I31" s="156" t="n">
        <v>-1131.468567</v>
      </c>
      <c r="J31" s="152" t="n">
        <v>2.465742275</v>
      </c>
      <c r="K31" s="152" t="n">
        <v>89.39711739000001</v>
      </c>
      <c r="L31" s="152" t="n">
        <v>25.81619048</v>
      </c>
      <c r="M31" s="157" t="n">
        <v>0</v>
      </c>
      <c r="N31" s="155" t="n">
        <v>21367.99</v>
      </c>
      <c r="O31" s="152" t="n">
        <v>239.5652174</v>
      </c>
      <c r="P31" s="152" t="n">
        <v>2.395652174</v>
      </c>
      <c r="Q31" s="156" t="n">
        <v>-729.85</v>
      </c>
      <c r="R31" s="156" t="n">
        <v>892.37</v>
      </c>
      <c r="S31" s="152" t="n">
        <v>10.76571429</v>
      </c>
      <c r="T31" s="152" t="n">
        <v>5.454444444</v>
      </c>
      <c r="U31" s="152" t="n">
        <v>5.311269841</v>
      </c>
      <c r="V31" s="152" t="n">
        <v>2.090871448</v>
      </c>
      <c r="W31" s="152" t="n">
        <v>3.220398394</v>
      </c>
      <c r="X31" s="158" t="n">
        <v>1.773130432</v>
      </c>
      <c r="Y31" s="158" t="n">
        <v>480.8963636</v>
      </c>
      <c r="Z31" s="158" t="n">
        <v>10.91004348</v>
      </c>
      <c r="AA31" s="158" t="n">
        <v>2.950168182</v>
      </c>
      <c r="AB31" s="159" t="n">
        <v>-0.5431162688</v>
      </c>
      <c r="AC31" s="159" t="n">
        <v>-0.6142527548</v>
      </c>
      <c r="AD31" s="159" t="n">
        <v>75.49934487</v>
      </c>
      <c r="AE31" s="159" t="n">
        <v>65.51000000000001</v>
      </c>
      <c r="AF31" s="159" t="n">
        <v>1.46905</v>
      </c>
      <c r="AG31" s="159" t="n">
        <v>0.857619</v>
      </c>
      <c r="AH31" s="159" t="n">
        <v>2.47571</v>
      </c>
      <c r="AI31" s="159" t="n">
        <v>3.74429</v>
      </c>
      <c r="AJ31" s="159" t="n">
        <v>1.26857</v>
      </c>
      <c r="AK31" s="159" t="n">
        <v>2.12286</v>
      </c>
      <c r="AL31" s="159" t="n">
        <v>2.27524</v>
      </c>
      <c r="AM31" s="159" t="n">
        <v>134.443</v>
      </c>
      <c r="AN31" s="159" t="n">
        <v>1.39392</v>
      </c>
      <c r="AO31" s="159" t="n">
        <v>0.4635</v>
      </c>
      <c r="AP31" s="159" t="n">
        <v>0.92325</v>
      </c>
      <c r="AQ31" s="159" t="n">
        <v>4.99517</v>
      </c>
      <c r="AR31" s="159" t="n"/>
      <c r="AS31" s="159" t="n">
        <v>1.16762</v>
      </c>
      <c r="AT31" s="159" t="n">
        <v>5</v>
      </c>
      <c r="AU31" s="159" t="n">
        <v>100.5</v>
      </c>
      <c r="AV31" s="159" t="n"/>
      <c r="AW31" s="159" t="n">
        <v>102.984</v>
      </c>
      <c r="AX31" s="159" t="n">
        <v>83.9058</v>
      </c>
      <c r="AY31" s="159" t="n">
        <v>4.523722575</v>
      </c>
      <c r="AZ31" s="159" t="n">
        <v>5.03937823</v>
      </c>
      <c r="BA31" s="159" t="n">
        <v>9.526391218000001</v>
      </c>
      <c r="BB31" s="159" t="n">
        <v>4.627371894</v>
      </c>
      <c r="BC31" s="159" t="n">
        <v>4.730921391</v>
      </c>
    </row>
    <row r="32">
      <c r="A32" s="83" t="inlineStr">
        <is>
          <t>2008-02</t>
        </is>
      </c>
      <c r="B32" s="155" t="n">
        <v>1905.294138</v>
      </c>
      <c r="C32" s="155" t="n">
        <v>150.3</v>
      </c>
      <c r="D32" s="155" t="n">
        <v>357.81</v>
      </c>
      <c r="E32" s="155" t="n">
        <v>4563.11</v>
      </c>
      <c r="F32" s="152" t="n">
        <v>9.543103448</v>
      </c>
      <c r="G32" s="152" t="n">
        <v>2.98</v>
      </c>
      <c r="H32" s="152" t="n">
        <v>6.563103448</v>
      </c>
      <c r="I32" s="156" t="n">
        <v>-3897.160203</v>
      </c>
      <c r="J32" s="152" t="n">
        <v>2.599552424</v>
      </c>
      <c r="K32" s="152" t="n">
        <v>88.6434381</v>
      </c>
      <c r="L32" s="152" t="n">
        <v>25.456</v>
      </c>
      <c r="M32" s="157" t="n">
        <v>0</v>
      </c>
      <c r="N32" s="155" t="n">
        <v>21843.11</v>
      </c>
      <c r="O32" s="152" t="n">
        <v>249.6666667</v>
      </c>
      <c r="P32" s="152" t="n">
        <v>2.496666667</v>
      </c>
      <c r="Q32" s="156" t="n">
        <v>-726.6799999999999</v>
      </c>
      <c r="R32" s="156" t="n">
        <v>1007.79</v>
      </c>
      <c r="S32" s="152" t="n">
        <v>11.31</v>
      </c>
      <c r="T32" s="152" t="n">
        <v>5.615454545</v>
      </c>
      <c r="U32" s="152" t="n">
        <v>5.694545455</v>
      </c>
      <c r="V32" s="152" t="n">
        <v>2.151049995</v>
      </c>
      <c r="W32" s="152" t="n">
        <v>3.543495459</v>
      </c>
      <c r="X32" s="158" t="n">
        <v>1.731571442</v>
      </c>
      <c r="Y32" s="158" t="n">
        <v>467.2171429</v>
      </c>
      <c r="Z32" s="158" t="n">
        <v>10.76861905</v>
      </c>
      <c r="AA32" s="158" t="n">
        <v>2.905057143</v>
      </c>
      <c r="AB32" s="159" t="n">
        <v>-0.8350216922</v>
      </c>
      <c r="AC32" s="159" t="n">
        <v>-0.9337289352</v>
      </c>
      <c r="AD32" s="159" t="n">
        <v>75.47872913</v>
      </c>
      <c r="AE32" s="159" t="n">
        <v>66.5</v>
      </c>
      <c r="AF32" s="159" t="n">
        <v>1.405</v>
      </c>
      <c r="AG32" s="159" t="n">
        <v>0.648</v>
      </c>
      <c r="AH32" s="159" t="n">
        <v>1.973</v>
      </c>
      <c r="AI32" s="159" t="n">
        <v>3.7375</v>
      </c>
      <c r="AJ32" s="159" t="n">
        <v>1.7645</v>
      </c>
      <c r="AK32" s="159" t="n">
        <v>2.131</v>
      </c>
      <c r="AL32" s="159" t="n">
        <v>2.3325</v>
      </c>
      <c r="AM32" s="159" t="n">
        <v>98.0441</v>
      </c>
      <c r="AN32" s="159" t="n">
        <v>1.28514</v>
      </c>
      <c r="AO32" s="159" t="n">
        <v>0.6302</v>
      </c>
      <c r="AP32" s="159" t="n">
        <v>1.1268</v>
      </c>
      <c r="AQ32" s="159" t="n">
        <v>4.93279</v>
      </c>
      <c r="AR32" s="159" t="n"/>
      <c r="AS32" s="159" t="n">
        <v>0.9645</v>
      </c>
      <c r="AT32" s="159" t="n">
        <v>4.9</v>
      </c>
      <c r="AU32" s="159" t="n">
        <v>100.5</v>
      </c>
      <c r="AV32" s="159" t="n">
        <v>115.4</v>
      </c>
      <c r="AW32" s="159" t="n">
        <v>102.809</v>
      </c>
      <c r="AX32" s="159" t="n">
        <v>86.0874</v>
      </c>
      <c r="AY32" s="159" t="n">
        <v>4.553734776</v>
      </c>
      <c r="AZ32" s="159" t="n">
        <v>5.083997274</v>
      </c>
      <c r="BA32" s="159" t="n">
        <v>9.524420918000001</v>
      </c>
      <c r="BB32" s="159" t="n">
        <v>4.623442231</v>
      </c>
      <c r="BC32" s="159" t="n">
        <v>4.710430697</v>
      </c>
    </row>
    <row r="33">
      <c r="A33" s="83" t="inlineStr">
        <is>
          <t>2008-03</t>
        </is>
      </c>
      <c r="B33" s="155" t="n">
        <v>1843.493226</v>
      </c>
      <c r="C33" s="155" t="n">
        <v>156.16</v>
      </c>
      <c r="D33" s="155" t="n">
        <v>389.47</v>
      </c>
      <c r="E33" s="155" t="n">
        <v>4613.75</v>
      </c>
      <c r="F33" s="152" t="n">
        <v>9.75</v>
      </c>
      <c r="G33" s="152" t="n">
        <v>2.61</v>
      </c>
      <c r="H33" s="152" t="n">
        <v>7.14</v>
      </c>
      <c r="I33" s="156" t="n">
        <v>-487.437149</v>
      </c>
      <c r="J33" s="152" t="n">
        <v>2.375717758</v>
      </c>
      <c r="K33" s="152" t="n">
        <v>86.83986667000001</v>
      </c>
      <c r="L33" s="152" t="n">
        <v>27.1035</v>
      </c>
      <c r="M33" s="157" t="n">
        <v>0</v>
      </c>
      <c r="N33" s="155" t="n">
        <v>22130.06</v>
      </c>
      <c r="O33" s="152" t="n">
        <v>263.7142857</v>
      </c>
      <c r="P33" s="152" t="n">
        <v>2.637142857</v>
      </c>
      <c r="Q33" s="156" t="n">
        <v>-491.61</v>
      </c>
      <c r="R33" s="156" t="n">
        <v>626.16</v>
      </c>
      <c r="S33" s="152" t="n">
        <v>11.63055556</v>
      </c>
      <c r="T33" s="152" t="n">
        <v>5.805454545</v>
      </c>
      <c r="U33" s="152" t="n">
        <v>5.82510101</v>
      </c>
      <c r="V33" s="152" t="n">
        <v>2.209690469</v>
      </c>
      <c r="W33" s="152" t="n">
        <v>3.615410541</v>
      </c>
      <c r="X33" s="158" t="n">
        <v>1.709714282</v>
      </c>
      <c r="Y33" s="158" t="n">
        <v>442.942</v>
      </c>
      <c r="Z33" s="158" t="n">
        <v>10.7342381</v>
      </c>
      <c r="AA33" s="158" t="n">
        <v>2.810294737</v>
      </c>
      <c r="AB33" s="159" t="n">
        <v>-0.9227679546999999</v>
      </c>
      <c r="AC33" s="159" t="n">
        <v>-1.356639634</v>
      </c>
      <c r="AD33" s="159" t="n">
        <v>74.34234332</v>
      </c>
      <c r="AE33" s="159" t="n">
        <v>67.04000000000001</v>
      </c>
      <c r="AF33" s="159" t="n">
        <v>1.091</v>
      </c>
      <c r="AG33" s="159" t="n">
        <v>0.2275</v>
      </c>
      <c r="AH33" s="159" t="n">
        <v>1.617</v>
      </c>
      <c r="AI33" s="159" t="n">
        <v>3.51</v>
      </c>
      <c r="AJ33" s="159" t="n">
        <v>1.893</v>
      </c>
      <c r="AK33" s="159" t="n">
        <v>2.256</v>
      </c>
      <c r="AL33" s="159" t="n">
        <v>2.419</v>
      </c>
      <c r="AM33" s="159" t="n">
        <v>117.884</v>
      </c>
      <c r="AN33" s="159" t="n">
        <v>2.15488</v>
      </c>
      <c r="AO33" s="159" t="n">
        <v>0.9575</v>
      </c>
      <c r="AP33" s="159" t="n">
        <v>1.6795</v>
      </c>
      <c r="AQ33" s="159" t="n">
        <v>5.11657</v>
      </c>
      <c r="AR33" s="159" t="n"/>
      <c r="AS33" s="159" t="n">
        <v>1.51842</v>
      </c>
      <c r="AT33" s="159" t="n">
        <v>5.1</v>
      </c>
      <c r="AU33" s="159" t="n">
        <v>101.1</v>
      </c>
      <c r="AV33" s="159" t="n">
        <v>117.8</v>
      </c>
      <c r="AW33" s="159" t="n">
        <v>102.529</v>
      </c>
      <c r="AX33" s="159" t="n">
        <v>85.48480000000001</v>
      </c>
      <c r="AY33" s="159" t="n">
        <v>4.64088476</v>
      </c>
      <c r="AZ33" s="159" t="n">
        <v>5.142575421</v>
      </c>
      <c r="BA33" s="159" t="n">
        <v>9.521494800999999</v>
      </c>
      <c r="BB33" s="159" t="n">
        <v>4.620393718</v>
      </c>
      <c r="BC33" s="159" t="n">
        <v>4.696837375</v>
      </c>
    </row>
    <row r="34">
      <c r="A34" s="83" t="inlineStr">
        <is>
          <t>2008-04</t>
        </is>
      </c>
      <c r="B34" s="155" t="n">
        <v>1795.103</v>
      </c>
      <c r="C34" s="155" t="n">
        <v>154.39</v>
      </c>
      <c r="D34" s="155" t="n">
        <v>405.98</v>
      </c>
      <c r="E34" s="155" t="n">
        <v>4701.99</v>
      </c>
      <c r="F34" s="152" t="n">
        <v>9.75</v>
      </c>
      <c r="G34" s="152" t="n">
        <v>2.28</v>
      </c>
      <c r="H34" s="152" t="n">
        <v>7.47</v>
      </c>
      <c r="I34" s="156" t="n">
        <v>1170.9732</v>
      </c>
      <c r="J34" s="152" t="n">
        <v>1.714381493</v>
      </c>
      <c r="K34" s="152" t="n">
        <v>86.54753636</v>
      </c>
      <c r="L34" s="152" t="n">
        <v>21.56272727</v>
      </c>
      <c r="M34" s="157" t="n">
        <v>0</v>
      </c>
      <c r="N34" s="155" t="n">
        <v>22209.35</v>
      </c>
      <c r="O34" s="152" t="n">
        <v>215.7727273</v>
      </c>
      <c r="P34" s="152" t="n">
        <v>2.157727273</v>
      </c>
      <c r="Q34" s="156" t="n">
        <v>-656.4400000000001</v>
      </c>
      <c r="R34" s="156" t="n">
        <v>734.35</v>
      </c>
      <c r="S34" s="152" t="n">
        <v>11.28681818</v>
      </c>
      <c r="T34" s="152" t="n">
        <v>6.137142857</v>
      </c>
      <c r="U34" s="152" t="n">
        <v>5.149675325</v>
      </c>
      <c r="V34" s="152" t="n">
        <v>2.186009082</v>
      </c>
      <c r="W34" s="152" t="n">
        <v>2.963666243</v>
      </c>
      <c r="X34" s="158" t="n">
        <v>1.686500002</v>
      </c>
      <c r="Y34" s="158" t="n">
        <v>446.4336364</v>
      </c>
      <c r="Z34" s="158" t="n">
        <v>10.51513636</v>
      </c>
      <c r="AA34" s="158" t="n">
        <v>2.747650113</v>
      </c>
      <c r="AB34" s="159" t="n">
        <v>-0.3761245279</v>
      </c>
      <c r="AC34" s="159" t="n">
        <v>-0.7330476342</v>
      </c>
      <c r="AD34" s="159" t="n">
        <v>75.35737167000001</v>
      </c>
      <c r="AE34" s="159" t="n">
        <v>67.51000000000001</v>
      </c>
      <c r="AF34" s="159" t="n">
        <v>1.36227</v>
      </c>
      <c r="AG34" s="159" t="n">
        <v>0.615455</v>
      </c>
      <c r="AH34" s="159" t="n">
        <v>2.04727</v>
      </c>
      <c r="AI34" s="159" t="n">
        <v>3.675</v>
      </c>
      <c r="AJ34" s="159" t="n">
        <v>1.62773</v>
      </c>
      <c r="AK34" s="159" t="n">
        <v>2.22591</v>
      </c>
      <c r="AL34" s="159" t="n">
        <v>2.31273</v>
      </c>
      <c r="AM34" s="159" t="n">
        <v>91.181</v>
      </c>
      <c r="AN34" s="159" t="n">
        <v>1.82187</v>
      </c>
      <c r="AO34" s="159" t="n">
        <v>0.799</v>
      </c>
      <c r="AP34" s="159" t="n">
        <v>1.353</v>
      </c>
      <c r="AQ34" s="159" t="n">
        <v>5.0699</v>
      </c>
      <c r="AR34" s="159" t="n"/>
      <c r="AS34" s="159" t="n">
        <v>1.50136</v>
      </c>
      <c r="AT34" s="159" t="n">
        <v>5</v>
      </c>
      <c r="AU34" s="159" t="n">
        <v>101.5</v>
      </c>
      <c r="AV34" s="159" t="n">
        <v>115.7</v>
      </c>
      <c r="AW34" s="159" t="n">
        <v>102.136</v>
      </c>
      <c r="AX34" s="159" t="n">
        <v>85.5703</v>
      </c>
      <c r="AY34" s="159" t="n">
        <v>4.691999046</v>
      </c>
      <c r="AZ34" s="159" t="n">
        <v>5.180563705</v>
      </c>
      <c r="BA34" s="159" t="n">
        <v>9.517015921</v>
      </c>
      <c r="BB34" s="159" t="n">
        <v>4.613921779</v>
      </c>
      <c r="BC34" s="159" t="n">
        <v>4.71492105</v>
      </c>
    </row>
    <row r="35">
      <c r="A35" s="83" t="inlineStr">
        <is>
          <t>2008-05</t>
        </is>
      </c>
      <c r="B35" s="155" t="n">
        <v>1775.156129</v>
      </c>
      <c r="C35" s="155" t="n">
        <v>159.88</v>
      </c>
      <c r="D35" s="155" t="n">
        <v>405.55</v>
      </c>
      <c r="E35" s="155" t="n">
        <v>4767.66</v>
      </c>
      <c r="F35" s="152" t="n">
        <v>9.75</v>
      </c>
      <c r="G35" s="152" t="n">
        <v>1.98</v>
      </c>
      <c r="H35" s="152" t="n">
        <v>7.77</v>
      </c>
      <c r="I35" s="156" t="n">
        <v>2254.996348</v>
      </c>
      <c r="J35" s="152" t="n">
        <v>2.192299404</v>
      </c>
      <c r="K35" s="152" t="n">
        <v>86.82446364</v>
      </c>
      <c r="L35" s="152" t="n">
        <v>18.30333333</v>
      </c>
      <c r="M35" s="157" t="n">
        <v>0</v>
      </c>
      <c r="N35" s="155" t="n">
        <v>22377.81</v>
      </c>
      <c r="O35" s="152" t="n">
        <v>179.0454545</v>
      </c>
      <c r="P35" s="152" t="n">
        <v>1.790454545</v>
      </c>
      <c r="Q35" s="156" t="n">
        <v>-616.8099999999999</v>
      </c>
      <c r="R35" s="156" t="n">
        <v>481.67</v>
      </c>
      <c r="S35" s="152" t="n">
        <v>11.35</v>
      </c>
      <c r="T35" s="152" t="n">
        <v>5.781818182</v>
      </c>
      <c r="U35" s="152" t="n">
        <v>5.568181818</v>
      </c>
      <c r="V35" s="152" t="n">
        <v>2.369638114</v>
      </c>
      <c r="W35" s="152" t="n">
        <v>3.198543704</v>
      </c>
      <c r="X35" s="158" t="n">
        <v>1.659409084</v>
      </c>
      <c r="Y35" s="158" t="n">
        <v>470.1</v>
      </c>
      <c r="Z35" s="158" t="n">
        <v>10.44022727</v>
      </c>
      <c r="AA35" s="158" t="n">
        <v>2.8045</v>
      </c>
      <c r="AB35" s="159" t="n">
        <v>0.3089908804</v>
      </c>
      <c r="AC35" s="159" t="n">
        <v>0.6461093397</v>
      </c>
      <c r="AD35" s="159" t="n">
        <v>74.6305267</v>
      </c>
      <c r="AE35" s="159" t="n">
        <v>68.14</v>
      </c>
      <c r="AF35" s="159" t="n">
        <v>1.46</v>
      </c>
      <c r="AG35" s="159" t="n">
        <v>0.792857</v>
      </c>
      <c r="AH35" s="159" t="n">
        <v>2.44571</v>
      </c>
      <c r="AI35" s="159" t="n">
        <v>3.88</v>
      </c>
      <c r="AJ35" s="159" t="n">
        <v>1.43429</v>
      </c>
      <c r="AK35" s="159" t="n">
        <v>2.36048</v>
      </c>
      <c r="AL35" s="159" t="n">
        <v>2.42</v>
      </c>
      <c r="AM35" s="159" t="n">
        <v>77.8793</v>
      </c>
      <c r="AN35" s="159" t="n">
        <v>1.12686</v>
      </c>
      <c r="AO35" s="159" t="n">
        <v>0.5384</v>
      </c>
      <c r="AP35" s="159" t="n">
        <v>0.975</v>
      </c>
      <c r="AQ35" s="159" t="n">
        <v>5.5404</v>
      </c>
      <c r="AR35" s="159" t="n"/>
      <c r="AS35" s="159" t="n">
        <v>0.948</v>
      </c>
      <c r="AT35" s="159" t="n">
        <v>5.4</v>
      </c>
      <c r="AU35" s="159" t="n">
        <v>102.2</v>
      </c>
      <c r="AV35" s="159" t="n">
        <v>116</v>
      </c>
      <c r="AW35" s="159" t="n">
        <v>101.626</v>
      </c>
      <c r="AX35" s="159" t="n">
        <v>85.22799999999999</v>
      </c>
      <c r="AY35" s="159" t="n">
        <v>4.810532585</v>
      </c>
      <c r="AZ35" s="159" t="n">
        <v>5.248218096</v>
      </c>
      <c r="BA35" s="159" t="n">
        <v>9.514510762</v>
      </c>
      <c r="BB35" s="159" t="n">
        <v>4.607836628</v>
      </c>
      <c r="BC35" s="159" t="n">
        <v>4.712229258</v>
      </c>
    </row>
    <row r="36">
      <c r="A36" s="83" t="inlineStr">
        <is>
          <t>2008-06</t>
        </is>
      </c>
      <c r="B36" s="155" t="n">
        <v>1732.286333</v>
      </c>
      <c r="C36" s="155" t="n">
        <v>162.14</v>
      </c>
      <c r="D36" s="155" t="n">
        <v>362.75</v>
      </c>
      <c r="E36" s="155" t="n">
        <v>4795.46</v>
      </c>
      <c r="F36" s="152" t="n">
        <v>9.75</v>
      </c>
      <c r="G36" s="152" t="n">
        <v>2</v>
      </c>
      <c r="H36" s="152" t="n">
        <v>7.75</v>
      </c>
      <c r="I36" s="156" t="n">
        <v>1772.505974</v>
      </c>
      <c r="J36" s="152" t="n">
        <v>1.507950545</v>
      </c>
      <c r="K36" s="152" t="n">
        <v>87.07280476</v>
      </c>
      <c r="L36" s="152" t="n">
        <v>22.11047619</v>
      </c>
      <c r="M36" s="157" t="n">
        <v>0</v>
      </c>
      <c r="N36" s="155" t="n">
        <v>22847.51</v>
      </c>
      <c r="O36" s="152" t="n">
        <v>180.6190476</v>
      </c>
      <c r="P36" s="152" t="n">
        <v>1.806190476</v>
      </c>
      <c r="Q36" s="156" t="n">
        <v>-712.03</v>
      </c>
      <c r="R36" s="156" t="n">
        <v>1179.02</v>
      </c>
      <c r="S36" s="152" t="n">
        <v>12.18894737</v>
      </c>
      <c r="T36" s="152" t="n">
        <v>5.945333333</v>
      </c>
      <c r="U36" s="152" t="n">
        <v>6.243614035</v>
      </c>
      <c r="V36" s="152" t="n">
        <v>2.493171465</v>
      </c>
      <c r="W36" s="152" t="n">
        <v>3.75044257</v>
      </c>
      <c r="X36" s="158" t="n">
        <v>1.618904761</v>
      </c>
      <c r="Y36" s="158" t="n">
        <v>497.0119048</v>
      </c>
      <c r="Z36" s="158" t="n">
        <v>10.32814286</v>
      </c>
      <c r="AA36" s="158" t="n">
        <v>2.89227619</v>
      </c>
      <c r="AB36" s="159" t="n">
        <v>0.2380224945</v>
      </c>
      <c r="AC36" s="159" t="n">
        <v>0.8008393393</v>
      </c>
      <c r="AD36" s="159" t="n">
        <v>74.97940953</v>
      </c>
      <c r="AE36" s="159" t="n">
        <v>68.73</v>
      </c>
      <c r="AF36" s="159" t="n">
        <v>1.62857</v>
      </c>
      <c r="AG36" s="159" t="n">
        <v>0.969048</v>
      </c>
      <c r="AH36" s="159" t="n">
        <v>2.77381</v>
      </c>
      <c r="AI36" s="159" t="n">
        <v>4.09952</v>
      </c>
      <c r="AJ36" s="159" t="n">
        <v>1.32571</v>
      </c>
      <c r="AK36" s="159" t="n">
        <v>2.51619</v>
      </c>
      <c r="AL36" s="159" t="n">
        <v>2.47095</v>
      </c>
      <c r="AM36" s="159" t="n">
        <v>87.15989999999999</v>
      </c>
      <c r="AN36" s="159" t="n">
        <v>1.40897</v>
      </c>
      <c r="AO36" s="159" t="n">
        <v>0.6555</v>
      </c>
      <c r="AP36" s="159" t="n">
        <v>1.1295</v>
      </c>
      <c r="AQ36" s="159" t="n">
        <v>5.63108</v>
      </c>
      <c r="AR36" s="159" t="n"/>
      <c r="AS36" s="159" t="n">
        <v>0.909048</v>
      </c>
      <c r="AT36" s="159" t="n">
        <v>5.6</v>
      </c>
      <c r="AU36" s="159" t="n">
        <v>102.8</v>
      </c>
      <c r="AV36" s="159" t="n">
        <v>116</v>
      </c>
      <c r="AW36" s="159" t="n">
        <v>101.001</v>
      </c>
      <c r="AX36" s="159" t="n">
        <v>85.0575</v>
      </c>
      <c r="AY36" s="159" t="n">
        <v>4.885238346</v>
      </c>
      <c r="AZ36" s="159" t="n">
        <v>5.294404722</v>
      </c>
      <c r="BA36" s="159" t="n">
        <v>9.510000421000001</v>
      </c>
      <c r="BB36" s="159" t="n">
        <v>4.605510128</v>
      </c>
      <c r="BC36" s="159" t="n">
        <v>4.699570861</v>
      </c>
    </row>
    <row r="37">
      <c r="A37" s="83" t="inlineStr">
        <is>
          <t>2008-07</t>
        </is>
      </c>
      <c r="B37" s="155" t="n">
        <v>1781.045161</v>
      </c>
      <c r="C37" s="155" t="n">
        <v>159.92</v>
      </c>
      <c r="D37" s="155" t="n">
        <v>465.82</v>
      </c>
      <c r="E37" s="155" t="n">
        <v>4892.65</v>
      </c>
      <c r="F37" s="152" t="n">
        <v>9.782258065000001</v>
      </c>
      <c r="G37" s="152" t="n">
        <v>2.01</v>
      </c>
      <c r="H37" s="152" t="n">
        <v>7.772258065</v>
      </c>
      <c r="I37" s="156" t="n">
        <v>-1018.414518</v>
      </c>
      <c r="J37" s="152" t="n">
        <v>1.38078604</v>
      </c>
      <c r="K37" s="152" t="n">
        <v>86.45375652</v>
      </c>
      <c r="L37" s="152" t="n">
        <v>24.32181818</v>
      </c>
      <c r="M37" s="157" t="n">
        <v>0</v>
      </c>
      <c r="N37" s="155" t="n">
        <v>23345.58</v>
      </c>
      <c r="O37" s="152" t="n">
        <v>217.5217391</v>
      </c>
      <c r="P37" s="152" t="n">
        <v>2.175217391</v>
      </c>
      <c r="Q37" s="156" t="n">
        <v>-764.6799999999999</v>
      </c>
      <c r="R37" s="156" t="n">
        <v>998.73</v>
      </c>
      <c r="S37" s="152" t="n">
        <v>13.07869565</v>
      </c>
      <c r="T37" s="152" t="n">
        <v>6.157857143</v>
      </c>
      <c r="U37" s="152" t="n">
        <v>6.920838509</v>
      </c>
      <c r="V37" s="152" t="n">
        <v>2.420181805</v>
      </c>
      <c r="W37" s="152" t="n">
        <v>4.500656704</v>
      </c>
      <c r="X37" s="158" t="n">
        <v>1.591434769</v>
      </c>
      <c r="Y37" s="158" t="n">
        <v>499.8806522</v>
      </c>
      <c r="Z37" s="158" t="n">
        <v>10.21717391</v>
      </c>
      <c r="AA37" s="158" t="n">
        <v>2.84752381</v>
      </c>
      <c r="AB37" s="159" t="n">
        <v>-0.3160464393</v>
      </c>
      <c r="AC37" s="159" t="n">
        <v>-0.5482165141999999</v>
      </c>
      <c r="AD37" s="159" t="n">
        <v>76.1591705</v>
      </c>
      <c r="AE37" s="159" t="n">
        <v>69.06</v>
      </c>
      <c r="AF37" s="159" t="n">
        <v>1.56909</v>
      </c>
      <c r="AG37" s="159" t="n">
        <v>0.840455</v>
      </c>
      <c r="AH37" s="159" t="n">
        <v>2.57318</v>
      </c>
      <c r="AI37" s="159" t="n">
        <v>4.00773</v>
      </c>
      <c r="AJ37" s="159" t="n">
        <v>1.43455</v>
      </c>
      <c r="AK37" s="159" t="n">
        <v>2.46273</v>
      </c>
      <c r="AL37" s="159" t="n">
        <v>2.43864</v>
      </c>
      <c r="AM37" s="159" t="n">
        <v>95.8087</v>
      </c>
      <c r="AN37" s="159" t="n">
        <v>1.66305</v>
      </c>
      <c r="AO37" s="159" t="n">
        <v>0.762</v>
      </c>
      <c r="AP37" s="159" t="n">
        <v>1.29175</v>
      </c>
      <c r="AQ37" s="159" t="n">
        <v>5.87718</v>
      </c>
      <c r="AR37" s="159" t="n"/>
      <c r="AS37" s="159" t="n">
        <v>1.16682</v>
      </c>
      <c r="AT37" s="159" t="n">
        <v>5.8</v>
      </c>
      <c r="AU37" s="159" t="n">
        <v>103.6</v>
      </c>
      <c r="AV37" s="159" t="n">
        <v>114.7</v>
      </c>
      <c r="AW37" s="159" t="n">
        <v>100.275</v>
      </c>
      <c r="AX37" s="159" t="n">
        <v>85.1426</v>
      </c>
      <c r="AY37" s="159" t="n">
        <v>4.888226576</v>
      </c>
      <c r="AZ37" s="159" t="n">
        <v>5.302334288</v>
      </c>
      <c r="BA37" s="159" t="n">
        <v>9.504426892</v>
      </c>
      <c r="BB37" s="159" t="n">
        <v>4.601924926</v>
      </c>
      <c r="BC37" s="159" t="n">
        <v>4.710430697</v>
      </c>
    </row>
    <row r="38">
      <c r="A38" s="83" t="inlineStr">
        <is>
          <t>2008-08</t>
        </is>
      </c>
      <c r="B38" s="155" t="n">
        <v>1847.477419</v>
      </c>
      <c r="C38" s="155" t="n">
        <v>147.49</v>
      </c>
      <c r="D38" s="155" t="n">
        <v>369.55</v>
      </c>
      <c r="E38" s="155" t="n">
        <v>4849.47</v>
      </c>
      <c r="F38" s="152" t="n">
        <v>10</v>
      </c>
      <c r="G38" s="152" t="n">
        <v>2</v>
      </c>
      <c r="H38" s="152" t="n">
        <v>8</v>
      </c>
      <c r="I38" s="156" t="n">
        <v>-1108.479733</v>
      </c>
      <c r="J38" s="152" t="n">
        <v>1.855080021</v>
      </c>
      <c r="K38" s="152" t="n">
        <v>88.94499524</v>
      </c>
      <c r="L38" s="152" t="n">
        <v>20.69571429</v>
      </c>
      <c r="M38" s="157" t="n">
        <v>0</v>
      </c>
      <c r="N38" s="155" t="n">
        <v>23638.88</v>
      </c>
      <c r="O38" s="152" t="n">
        <v>221.952381</v>
      </c>
      <c r="P38" s="152" t="n">
        <v>2.21952381</v>
      </c>
      <c r="Q38" s="156" t="n">
        <v>-735.95</v>
      </c>
      <c r="R38" s="156" t="n">
        <v>695.09</v>
      </c>
      <c r="S38" s="152" t="n">
        <v>12.01526316</v>
      </c>
      <c r="T38" s="152" t="n">
        <v>5.994545455</v>
      </c>
      <c r="U38" s="152" t="n">
        <v>6.020717703</v>
      </c>
      <c r="V38" s="152" t="n">
        <v>1.932185724</v>
      </c>
      <c r="W38" s="152" t="n">
        <v>4.08853198</v>
      </c>
      <c r="X38" s="158" t="n">
        <v>1.612666664</v>
      </c>
      <c r="Y38" s="158" t="n">
        <v>516.51</v>
      </c>
      <c r="Z38" s="158" t="n">
        <v>10.10866667</v>
      </c>
      <c r="AA38" s="158" t="n">
        <v>2.893338095</v>
      </c>
      <c r="AB38" s="159" t="n">
        <v>0.2982139333</v>
      </c>
      <c r="AC38" s="159" t="n">
        <v>0.5471528608</v>
      </c>
      <c r="AD38" s="159" t="n">
        <v>75.87247868999999</v>
      </c>
      <c r="AE38" s="159" t="n">
        <v>69.19</v>
      </c>
      <c r="AF38" s="159" t="n">
        <v>1.67619</v>
      </c>
      <c r="AG38" s="159" t="n">
        <v>1.1481</v>
      </c>
      <c r="AH38" s="159" t="n">
        <v>2.42048</v>
      </c>
      <c r="AI38" s="159" t="n">
        <v>3.88571</v>
      </c>
      <c r="AJ38" s="159" t="n">
        <v>1.46524</v>
      </c>
      <c r="AK38" s="159" t="n">
        <v>1.99381</v>
      </c>
      <c r="AL38" s="159" t="n">
        <v>2.20952</v>
      </c>
      <c r="AM38" s="159" t="n">
        <v>89.7984</v>
      </c>
      <c r="AN38" s="159" t="n">
        <v>1.63148</v>
      </c>
      <c r="AO38" s="159" t="n">
        <v>0.7392</v>
      </c>
      <c r="AP38" s="159" t="n">
        <v>1.1988</v>
      </c>
      <c r="AQ38" s="159" t="n">
        <v>6.15329</v>
      </c>
      <c r="AR38" s="159" t="n"/>
      <c r="AS38" s="159" t="n">
        <v>1.0825</v>
      </c>
      <c r="AT38" s="159" t="n">
        <v>6.1</v>
      </c>
      <c r="AU38" s="159" t="n">
        <v>103.8</v>
      </c>
      <c r="AV38" s="159" t="n">
        <v>112.8</v>
      </c>
      <c r="AW38" s="159" t="n">
        <v>99.483</v>
      </c>
      <c r="AX38" s="159" t="n">
        <v>85.0574</v>
      </c>
      <c r="AY38" s="159" t="n">
        <v>4.729535952</v>
      </c>
      <c r="AZ38" s="159" t="n">
        <v>5.191984156</v>
      </c>
      <c r="BA38" s="159" t="n">
        <v>9.499121840000001</v>
      </c>
      <c r="BB38" s="159" t="n">
        <v>4.58610051</v>
      </c>
      <c r="BC38" s="159" t="n">
        <v>4.691347882</v>
      </c>
    </row>
    <row r="39">
      <c r="A39" s="83" t="inlineStr">
        <is>
          <t>2008-09</t>
        </is>
      </c>
      <c r="B39" s="155" t="n">
        <v>2066.187</v>
      </c>
      <c r="C39" s="155" t="n">
        <v>144.57</v>
      </c>
      <c r="D39" s="155" t="n">
        <v>476.54</v>
      </c>
      <c r="E39" s="155" t="n">
        <v>4925.49</v>
      </c>
      <c r="F39" s="152" t="n">
        <v>10</v>
      </c>
      <c r="G39" s="152" t="n">
        <v>1.81</v>
      </c>
      <c r="H39" s="152" t="n">
        <v>8.19</v>
      </c>
      <c r="I39" s="156" t="n">
        <v>-692.0362976</v>
      </c>
      <c r="J39" s="152" t="n">
        <v>1.763145856</v>
      </c>
      <c r="K39" s="152" t="n">
        <v>91.26510909</v>
      </c>
      <c r="L39" s="152" t="n">
        <v>30.23857143</v>
      </c>
      <c r="M39" s="157" t="n">
        <v>0</v>
      </c>
      <c r="N39" s="155" t="n">
        <v>24082.29</v>
      </c>
      <c r="O39" s="152" t="n">
        <v>270.4545455</v>
      </c>
      <c r="P39" s="152" t="n">
        <v>2.704545455</v>
      </c>
      <c r="Q39" s="156" t="n">
        <v>-713.33</v>
      </c>
      <c r="R39" s="156" t="n">
        <v>812.95</v>
      </c>
      <c r="S39" s="152" t="n">
        <v>11.93681818</v>
      </c>
      <c r="T39" s="152" t="n">
        <v>6.006428571</v>
      </c>
      <c r="U39" s="152" t="n">
        <v>5.93038961</v>
      </c>
      <c r="V39" s="152" t="n">
        <v>1.333100007</v>
      </c>
      <c r="W39" s="152" t="n">
        <v>4.597289604</v>
      </c>
      <c r="X39" s="158" t="n">
        <v>1.794590907</v>
      </c>
      <c r="Y39" s="158" t="n">
        <v>533.3625</v>
      </c>
      <c r="Z39" s="158" t="n">
        <v>10.64740909</v>
      </c>
      <c r="AA39" s="158" t="n">
        <v>2.966263636</v>
      </c>
      <c r="AB39" s="159" t="n">
        <v>1.891190367</v>
      </c>
      <c r="AC39" s="159" t="n">
        <v>1.921518671</v>
      </c>
      <c r="AD39" s="159" t="n">
        <v>76.24415252</v>
      </c>
      <c r="AE39" s="159" t="n">
        <v>69.06</v>
      </c>
      <c r="AF39" s="159" t="n">
        <v>1.85</v>
      </c>
      <c r="AG39" s="159" t="n">
        <v>1.55333</v>
      </c>
      <c r="AH39" s="159" t="n">
        <v>2.07619</v>
      </c>
      <c r="AI39" s="159" t="n">
        <v>3.68619</v>
      </c>
      <c r="AJ39" s="159" t="n">
        <v>1.61</v>
      </c>
      <c r="AK39" s="159" t="n">
        <v>1.33095</v>
      </c>
      <c r="AL39" s="159" t="n">
        <v>1.83619</v>
      </c>
      <c r="AM39" s="159" t="n">
        <v>162.002</v>
      </c>
      <c r="AN39" s="159" t="n">
        <v>3.14845</v>
      </c>
      <c r="AO39" s="159" t="n">
        <v>1.40175</v>
      </c>
      <c r="AP39" s="159" t="n">
        <v>1.94975</v>
      </c>
      <c r="AQ39" s="159" t="n">
        <v>6.27842</v>
      </c>
      <c r="AR39" s="159" t="n"/>
      <c r="AS39" s="159" t="n">
        <v>2.00238</v>
      </c>
      <c r="AT39" s="159" t="n">
        <v>6.1</v>
      </c>
      <c r="AU39" s="159" t="n">
        <v>103.7</v>
      </c>
      <c r="AV39" s="159" t="n">
        <v>111.4</v>
      </c>
      <c r="AW39" s="159" t="n">
        <v>98.67489999999999</v>
      </c>
      <c r="AX39" s="159" t="n">
        <v>85.0574</v>
      </c>
      <c r="AY39" s="159" t="n">
        <v>4.577128672</v>
      </c>
      <c r="AZ39" s="159" t="n">
        <v>5.105187611</v>
      </c>
      <c r="BA39" s="159" t="n">
        <v>9.493035028</v>
      </c>
      <c r="BB39" s="159" t="n">
        <v>4.541052909</v>
      </c>
      <c r="BC39" s="159" t="n">
        <v>4.676560182</v>
      </c>
    </row>
    <row r="40">
      <c r="A40" s="83" t="inlineStr">
        <is>
          <t>2008-10</t>
        </is>
      </c>
      <c r="B40" s="155" t="n">
        <v>2288.858065</v>
      </c>
      <c r="C40" s="155" t="n">
        <v>132.19</v>
      </c>
      <c r="D40" s="155" t="n">
        <v>421.17</v>
      </c>
      <c r="E40" s="155" t="n">
        <v>4918.88</v>
      </c>
      <c r="F40" s="152" t="n">
        <v>10</v>
      </c>
      <c r="G40" s="152" t="n">
        <v>0.97</v>
      </c>
      <c r="H40" s="152" t="n">
        <v>9.029999999999999</v>
      </c>
      <c r="I40" s="156" t="n">
        <v>-1086.107683</v>
      </c>
      <c r="J40" s="152" t="n">
        <v>1.699208134</v>
      </c>
      <c r="K40" s="152" t="n">
        <v>98.04000000000001</v>
      </c>
      <c r="L40" s="152" t="n">
        <v>61.1773913</v>
      </c>
      <c r="M40" s="157" t="n">
        <v>0</v>
      </c>
      <c r="N40" s="155" t="n">
        <v>23407.49</v>
      </c>
      <c r="O40" s="152" t="n">
        <v>534.3478261</v>
      </c>
      <c r="P40" s="152" t="n">
        <v>5.343478261</v>
      </c>
      <c r="Q40" s="156" t="n">
        <v>-644.2</v>
      </c>
      <c r="R40" s="156" t="n">
        <v>-219.71</v>
      </c>
      <c r="S40" s="152" t="n">
        <v>12.65863636</v>
      </c>
      <c r="T40" s="152" t="n">
        <v>6.652</v>
      </c>
      <c r="U40" s="152" t="n">
        <v>6.006636364</v>
      </c>
      <c r="V40" s="152" t="n">
        <v>0.0598090904</v>
      </c>
      <c r="W40" s="152" t="n">
        <v>5.946827273</v>
      </c>
      <c r="X40" s="158" t="n">
        <v>2.176434776</v>
      </c>
      <c r="Y40" s="158" t="n">
        <v>627.3641304</v>
      </c>
      <c r="Z40" s="158" t="n">
        <v>12.64386957</v>
      </c>
      <c r="AA40" s="158" t="n">
        <v>3.073586364</v>
      </c>
      <c r="AB40" s="159" t="n">
        <v>5.734449444</v>
      </c>
      <c r="AC40" s="159" t="n">
        <v>5.01816254</v>
      </c>
      <c r="AD40" s="159" t="n">
        <v>75.9404313</v>
      </c>
      <c r="AE40" s="159" t="n">
        <v>69.3</v>
      </c>
      <c r="AF40" s="159" t="n">
        <v>2.75227</v>
      </c>
      <c r="AG40" s="159" t="n">
        <v>2.75409</v>
      </c>
      <c r="AH40" s="159" t="n">
        <v>1.61227</v>
      </c>
      <c r="AI40" s="159" t="n">
        <v>3.81409</v>
      </c>
      <c r="AJ40" s="159" t="n">
        <v>2.20182</v>
      </c>
      <c r="AK40" s="159" t="n">
        <v>-0.0277273</v>
      </c>
      <c r="AL40" s="159" t="n">
        <v>1.06182</v>
      </c>
      <c r="AM40" s="159" t="n">
        <v>207.622</v>
      </c>
      <c r="AN40" s="159" t="n">
        <v>8.499919999999999</v>
      </c>
      <c r="AO40" s="159" t="n">
        <v>2.5038</v>
      </c>
      <c r="AP40" s="159" t="n">
        <v>3.4048</v>
      </c>
      <c r="AQ40" s="159" t="n">
        <v>6.59481</v>
      </c>
      <c r="AR40" s="159" t="n"/>
      <c r="AS40" s="159" t="n">
        <v>3.35273</v>
      </c>
      <c r="AT40" s="159" t="n">
        <v>6.5</v>
      </c>
      <c r="AU40" s="159" t="n">
        <v>103.6</v>
      </c>
      <c r="AV40" s="159" t="n">
        <v>108.2</v>
      </c>
      <c r="AW40" s="159" t="n">
        <v>97.9097</v>
      </c>
      <c r="AX40" s="159" t="n">
        <v>84.8023</v>
      </c>
      <c r="AY40" s="159" t="n">
        <v>4.27084644</v>
      </c>
      <c r="AZ40" s="159" t="n">
        <v>4.904125971</v>
      </c>
      <c r="BA40" s="159" t="n">
        <v>9.483264073000001</v>
      </c>
      <c r="BB40" s="159" t="n">
        <v>4.55094523</v>
      </c>
      <c r="BC40" s="159" t="n">
        <v>4.676560182</v>
      </c>
    </row>
    <row r="41">
      <c r="A41" s="83" t="inlineStr">
        <is>
          <t>2008-11</t>
        </is>
      </c>
      <c r="B41" s="155" t="n">
        <v>2333.660333</v>
      </c>
      <c r="C41" s="155" t="n">
        <v>117.74</v>
      </c>
      <c r="D41" s="155" t="n">
        <v>317.42</v>
      </c>
      <c r="E41" s="155" t="n">
        <v>4780.13</v>
      </c>
      <c r="F41" s="152" t="n">
        <v>10</v>
      </c>
      <c r="G41" s="152" t="n">
        <v>0.39</v>
      </c>
      <c r="H41" s="152" t="n">
        <v>9.609999999999999</v>
      </c>
      <c r="I41" s="156" t="n">
        <v>-4714.333891</v>
      </c>
      <c r="J41" s="152" t="n">
        <v>2.332166211</v>
      </c>
      <c r="K41" s="152" t="n">
        <v>100.76666</v>
      </c>
      <c r="L41" s="152" t="n">
        <v>62.66894737</v>
      </c>
      <c r="M41" s="157" t="n">
        <v>0</v>
      </c>
      <c r="N41" s="155" t="n">
        <v>23604.5</v>
      </c>
      <c r="O41" s="152" t="n">
        <v>549.6</v>
      </c>
      <c r="P41" s="152" t="n">
        <v>5.496</v>
      </c>
      <c r="Q41" s="156" t="n">
        <v>-663.52</v>
      </c>
      <c r="R41" s="156" t="n">
        <v>550.88</v>
      </c>
      <c r="S41" s="152" t="n">
        <v>12.2775</v>
      </c>
      <c r="T41" s="152" t="n">
        <v>6.116363636</v>
      </c>
      <c r="U41" s="152" t="n">
        <v>6.161136364</v>
      </c>
      <c r="V41" s="152" t="n">
        <v>-1.110811108</v>
      </c>
      <c r="W41" s="152" t="n">
        <v>7.271947471</v>
      </c>
      <c r="X41" s="158" t="n">
        <v>2.267949998</v>
      </c>
      <c r="Y41" s="158" t="n">
        <v>650.734</v>
      </c>
      <c r="Z41" s="158" t="n">
        <v>13.1082</v>
      </c>
      <c r="AA41" s="158" t="n">
        <v>3.092088889</v>
      </c>
      <c r="AB41" s="159" t="n">
        <v>1.159772216</v>
      </c>
      <c r="AC41" s="159" t="n">
        <v>0.9930082398</v>
      </c>
      <c r="AD41" s="159" t="n">
        <v>74.20778747999999</v>
      </c>
      <c r="AE41" s="159" t="n">
        <v>69.48999999999999</v>
      </c>
      <c r="AF41" s="159" t="n">
        <v>2.88833</v>
      </c>
      <c r="AG41" s="159" t="n">
        <v>3.69056</v>
      </c>
      <c r="AH41" s="159" t="n">
        <v>1.21278</v>
      </c>
      <c r="AI41" s="159" t="n">
        <v>3.52667</v>
      </c>
      <c r="AJ41" s="159" t="n">
        <v>2.31389</v>
      </c>
      <c r="AK41" s="159" t="n">
        <v>-1.39889</v>
      </c>
      <c r="AL41" s="159" t="n">
        <v>0.638333</v>
      </c>
      <c r="AM41" s="159" t="n">
        <v>143.303</v>
      </c>
      <c r="AN41" s="159" t="n">
        <v>6.73715</v>
      </c>
      <c r="AO41" s="159" t="n">
        <v>3.0265</v>
      </c>
      <c r="AP41" s="159" t="n">
        <v>3.78325</v>
      </c>
      <c r="AQ41" s="159" t="n">
        <v>6.90854</v>
      </c>
      <c r="AR41" s="159" t="n"/>
      <c r="AS41" s="159" t="n">
        <v>2.09889</v>
      </c>
      <c r="AT41" s="159" t="n">
        <v>6.8</v>
      </c>
      <c r="AU41" s="159" t="n">
        <v>102.9</v>
      </c>
      <c r="AV41" s="159" t="n">
        <v>105.4</v>
      </c>
      <c r="AW41" s="159" t="n">
        <v>97.25530000000001</v>
      </c>
      <c r="AX41" s="159" t="n">
        <v>84.12390000000001</v>
      </c>
      <c r="AY41" s="159" t="n">
        <v>3.959909905</v>
      </c>
      <c r="AZ41" s="159" t="n">
        <v>4.739351367</v>
      </c>
      <c r="BA41" s="159" t="n">
        <v>9.474702639</v>
      </c>
      <c r="BB41" s="159" t="n">
        <v>4.537656577</v>
      </c>
      <c r="BC41" s="159" t="n">
        <v>4.646312129</v>
      </c>
    </row>
    <row r="42">
      <c r="A42" s="83" t="inlineStr">
        <is>
          <t>2008-12</t>
        </is>
      </c>
      <c r="B42" s="155" t="n">
        <v>2251.510323</v>
      </c>
      <c r="C42" s="155" t="n">
        <v>127.1</v>
      </c>
      <c r="D42" s="155" t="n">
        <v>432.04</v>
      </c>
      <c r="E42" s="155" t="n">
        <v>4784.92</v>
      </c>
      <c r="F42" s="152" t="n">
        <v>9.838709677000001</v>
      </c>
      <c r="G42" s="152" t="n">
        <v>0.16</v>
      </c>
      <c r="H42" s="152" t="n">
        <v>9.678709677000001</v>
      </c>
      <c r="I42" s="156" t="n">
        <v>-2130.803741</v>
      </c>
      <c r="J42" s="152" t="n">
        <v>2.32245795</v>
      </c>
      <c r="K42" s="152" t="n">
        <v>99.66224783</v>
      </c>
      <c r="L42" s="152" t="n">
        <v>52.405</v>
      </c>
      <c r="M42" s="157" t="n">
        <v>0</v>
      </c>
      <c r="N42" s="155" t="n">
        <v>24029.69</v>
      </c>
      <c r="O42" s="152" t="n">
        <v>536.2608696</v>
      </c>
      <c r="P42" s="152" t="n">
        <v>5.362608696</v>
      </c>
      <c r="Q42" s="156" t="n">
        <v>-907.6900000000001</v>
      </c>
      <c r="R42" s="156" t="n">
        <v>911.98</v>
      </c>
      <c r="S42" s="152" t="n">
        <v>10.842</v>
      </c>
      <c r="T42" s="152" t="n">
        <v>5.477272727</v>
      </c>
      <c r="U42" s="152" t="n">
        <v>5.364727273</v>
      </c>
      <c r="V42" s="152" t="n">
        <v>-1.385790901</v>
      </c>
      <c r="W42" s="152" t="n">
        <v>6.750518173</v>
      </c>
      <c r="X42" s="158" t="n">
        <v>2.398400009</v>
      </c>
      <c r="Y42" s="158" t="n">
        <v>650.0565</v>
      </c>
      <c r="Z42" s="158" t="n">
        <v>13.4171</v>
      </c>
      <c r="AA42" s="158" t="n">
        <v>3.11397</v>
      </c>
      <c r="AB42" s="159" t="n">
        <v>0.6713216209</v>
      </c>
      <c r="AC42" s="159" t="n">
        <v>0.6477842907</v>
      </c>
      <c r="AD42" s="159" t="n">
        <v>74.99358032000001</v>
      </c>
      <c r="AE42" s="159" t="n">
        <v>69.8</v>
      </c>
      <c r="AF42" s="159" t="n">
        <v>2.17</v>
      </c>
      <c r="AG42" s="159" t="n">
        <v>1.76182</v>
      </c>
      <c r="AH42" s="159" t="n">
        <v>0.820909</v>
      </c>
      <c r="AI42" s="159" t="n">
        <v>2.41636</v>
      </c>
      <c r="AJ42" s="159" t="n">
        <v>1.59545</v>
      </c>
      <c r="AK42" s="159" t="n">
        <v>-0.24</v>
      </c>
      <c r="AL42" s="159" t="n">
        <v>0.246364</v>
      </c>
      <c r="AM42" s="159" t="n">
        <v>144.132</v>
      </c>
      <c r="AN42" s="159" t="n">
        <v>6.10925</v>
      </c>
      <c r="AO42" s="159" t="n">
        <v>2.93975</v>
      </c>
      <c r="AP42" s="159" t="n">
        <v>3.81125</v>
      </c>
      <c r="AQ42" s="159" t="n">
        <v>7.47159</v>
      </c>
      <c r="AR42" s="159" t="n"/>
      <c r="AS42" s="159" t="n">
        <v>1.79571</v>
      </c>
      <c r="AT42" s="159" t="n">
        <v>7.3</v>
      </c>
      <c r="AU42" s="159" t="n">
        <v>102.4</v>
      </c>
      <c r="AV42" s="159" t="n">
        <v>105.7</v>
      </c>
      <c r="AW42" s="159" t="n">
        <v>96.77070000000001</v>
      </c>
      <c r="AX42" s="159" t="n">
        <v>83.9556</v>
      </c>
      <c r="AY42" s="159" t="n">
        <v>3.687548569</v>
      </c>
      <c r="AZ42" s="159" t="n">
        <v>4.623314576</v>
      </c>
      <c r="BA42" s="159" t="n">
        <v>9.460476328</v>
      </c>
      <c r="BB42" s="159" t="n">
        <v>4.50905238</v>
      </c>
      <c r="BC42" s="159" t="n">
        <v>4.609162207</v>
      </c>
    </row>
    <row r="43">
      <c r="A43" s="83" t="inlineStr">
        <is>
          <t>2009-01</t>
        </is>
      </c>
      <c r="B43" s="155" t="n">
        <v>2253.506129</v>
      </c>
      <c r="C43" s="155" t="n">
        <v>114.11</v>
      </c>
      <c r="D43" s="155" t="n">
        <v>319.24</v>
      </c>
      <c r="E43" s="155" t="n">
        <v>4723.34</v>
      </c>
      <c r="F43" s="152" t="n">
        <v>9.5</v>
      </c>
      <c r="G43" s="152" t="n">
        <v>0.15</v>
      </c>
      <c r="H43" s="152" t="n">
        <v>9.35</v>
      </c>
      <c r="I43" s="156" t="n">
        <v>1131.622516</v>
      </c>
      <c r="J43" s="152" t="n">
        <v>1.755409008</v>
      </c>
      <c r="K43" s="152" t="n">
        <v>100.3520842</v>
      </c>
      <c r="L43" s="152" t="n">
        <v>44.683</v>
      </c>
      <c r="M43" s="157" t="n">
        <v>0</v>
      </c>
      <c r="N43" s="155" t="n">
        <v>23621.15</v>
      </c>
      <c r="O43" s="152" t="n">
        <v>502.9545455</v>
      </c>
      <c r="P43" s="152" t="n">
        <v>5.029545455</v>
      </c>
      <c r="Q43" s="156" t="n">
        <v>-495.03</v>
      </c>
      <c r="R43" s="156" t="n">
        <v>-95.91</v>
      </c>
      <c r="S43" s="152" t="n">
        <v>9.871499999999999</v>
      </c>
      <c r="T43" s="152" t="n">
        <v>4.736666667</v>
      </c>
      <c r="U43" s="152" t="n">
        <v>5.134833333</v>
      </c>
      <c r="V43" s="152" t="n">
        <v>-0.5874400007</v>
      </c>
      <c r="W43" s="152" t="n">
        <v>5.722273334</v>
      </c>
      <c r="X43" s="158" t="n">
        <v>2.314149988</v>
      </c>
      <c r="Y43" s="158" t="n">
        <v>621.865</v>
      </c>
      <c r="Z43" s="158" t="n">
        <v>13.91065</v>
      </c>
      <c r="AA43" s="158" t="n">
        <v>3.151542105</v>
      </c>
      <c r="AB43" s="159" t="n">
        <v>-0.5491106589</v>
      </c>
      <c r="AC43" s="159" t="n">
        <v>-0.168142793</v>
      </c>
      <c r="AD43" s="159" t="n">
        <v>74.3063387</v>
      </c>
      <c r="AE43" s="159" t="n">
        <v>70.20999999999999</v>
      </c>
      <c r="AF43" s="159" t="n">
        <v>1.912</v>
      </c>
      <c r="AG43" s="159" t="n">
        <v>1.585</v>
      </c>
      <c r="AH43" s="159" t="n">
        <v>0.8070000000000001</v>
      </c>
      <c r="AI43" s="159" t="n">
        <v>2.5175</v>
      </c>
      <c r="AJ43" s="159" t="n">
        <v>1.7105</v>
      </c>
      <c r="AK43" s="159" t="n">
        <v>0.0115</v>
      </c>
      <c r="AL43" s="159" t="n">
        <v>0.6055</v>
      </c>
      <c r="AM43" s="159" t="n">
        <v>145.537</v>
      </c>
      <c r="AN43" s="159" t="n">
        <v>4.19768</v>
      </c>
      <c r="AO43" s="159" t="n">
        <v>2.3336</v>
      </c>
      <c r="AP43" s="159" t="n">
        <v>3.0036</v>
      </c>
      <c r="AQ43" s="159" t="n">
        <v>7.92959</v>
      </c>
      <c r="AR43" s="159" t="n"/>
      <c r="AS43" s="159" t="n">
        <v>1.083</v>
      </c>
      <c r="AT43" s="159" t="n">
        <v>7.8</v>
      </c>
      <c r="AU43" s="159" t="n">
        <v>102</v>
      </c>
      <c r="AV43" s="159" t="n">
        <v>111</v>
      </c>
      <c r="AW43" s="159" t="n">
        <v>96.4873</v>
      </c>
      <c r="AX43" s="159" t="n">
        <v>84.71120000000001</v>
      </c>
      <c r="AY43" s="159" t="n">
        <v>3.771369165</v>
      </c>
      <c r="AZ43" s="159" t="n">
        <v>4.64895738</v>
      </c>
      <c r="BA43" s="159" t="n">
        <v>9.437635294</v>
      </c>
      <c r="BB43" s="159" t="n">
        <v>4.4837932</v>
      </c>
      <c r="BC43" s="159" t="n">
        <v>4.591071262</v>
      </c>
    </row>
    <row r="44">
      <c r="A44" s="83" t="inlineStr">
        <is>
          <t>2009-02</t>
        </is>
      </c>
      <c r="B44" s="155" t="n">
        <v>2512.344286</v>
      </c>
      <c r="C44" s="155" t="n">
        <v>114.79</v>
      </c>
      <c r="D44" s="155" t="n">
        <v>374.71</v>
      </c>
      <c r="E44" s="155" t="n">
        <v>4740.24</v>
      </c>
      <c r="F44" s="152" t="n">
        <v>9.017857143000001</v>
      </c>
      <c r="G44" s="152" t="n">
        <v>0.22</v>
      </c>
      <c r="H44" s="152" t="n">
        <v>8.797857143</v>
      </c>
      <c r="I44" s="156" t="n">
        <v>-3211.483497</v>
      </c>
      <c r="J44" s="152" t="n">
        <v>1.618704014</v>
      </c>
      <c r="K44" s="152" t="n">
        <v>102.9737263</v>
      </c>
      <c r="L44" s="152" t="n">
        <v>45.57052632</v>
      </c>
      <c r="M44" s="157" t="n">
        <v>0</v>
      </c>
      <c r="N44" s="155" t="n">
        <v>23341.55</v>
      </c>
      <c r="O44" s="152" t="n">
        <v>477.75</v>
      </c>
      <c r="P44" s="152" t="n">
        <v>4.7775</v>
      </c>
      <c r="Q44" s="156" t="n">
        <v>-616.8</v>
      </c>
      <c r="R44" s="156" t="n">
        <v>1.28</v>
      </c>
      <c r="S44" s="152" t="n">
        <v>9.644444443999999</v>
      </c>
      <c r="T44" s="152" t="n">
        <v>4.836666667</v>
      </c>
      <c r="U44" s="152" t="n">
        <v>4.807777778</v>
      </c>
      <c r="V44" s="152" t="n">
        <v>0.2000052623</v>
      </c>
      <c r="W44" s="152" t="n">
        <v>4.607772515</v>
      </c>
      <c r="X44" s="158" t="n">
        <v>2.320700002</v>
      </c>
      <c r="Y44" s="158" t="n">
        <v>605.1975</v>
      </c>
      <c r="Z44" s="158" t="n">
        <v>14.6087</v>
      </c>
      <c r="AA44" s="158" t="n">
        <v>3.236695</v>
      </c>
      <c r="AB44" s="159" t="n">
        <v>0.1696952617</v>
      </c>
      <c r="AC44" s="159" t="n">
        <v>0.6659698589</v>
      </c>
      <c r="AD44" s="159" t="n">
        <v>75.72737583999999</v>
      </c>
      <c r="AE44" s="159" t="n">
        <v>70.8</v>
      </c>
      <c r="AF44" s="159" t="n">
        <v>1.75211</v>
      </c>
      <c r="AG44" s="159" t="n">
        <v>1.28947</v>
      </c>
      <c r="AH44" s="159" t="n">
        <v>0.975263</v>
      </c>
      <c r="AI44" s="159" t="n">
        <v>2.87</v>
      </c>
      <c r="AJ44" s="159" t="n">
        <v>1.89474</v>
      </c>
      <c r="AK44" s="159" t="n">
        <v>0.582105</v>
      </c>
      <c r="AL44" s="159" t="n">
        <v>1.11789</v>
      </c>
      <c r="AM44" s="159" t="n">
        <v>146.938</v>
      </c>
      <c r="AN44" s="159" t="n">
        <v>3.9069</v>
      </c>
      <c r="AO44" s="159" t="n">
        <v>2.12125</v>
      </c>
      <c r="AP44" s="159" t="n">
        <v>2.79725</v>
      </c>
      <c r="AQ44" s="159" t="n">
        <v>8.424480000000001</v>
      </c>
      <c r="AR44" s="159" t="n"/>
      <c r="AS44" s="159" t="n">
        <v>0.946842</v>
      </c>
      <c r="AT44" s="159" t="n">
        <v>8.300000000000001</v>
      </c>
      <c r="AU44" s="159" t="n">
        <v>101.5</v>
      </c>
      <c r="AV44" s="159" t="n">
        <v>111</v>
      </c>
      <c r="AW44" s="159" t="n">
        <v>96.4203</v>
      </c>
      <c r="AX44" s="159" t="n">
        <v>84.71120000000001</v>
      </c>
      <c r="AY44" s="159" t="n">
        <v>3.768722911</v>
      </c>
      <c r="AZ44" s="159" t="n">
        <v>4.61435785</v>
      </c>
      <c r="BA44" s="159" t="n">
        <v>9.423110303</v>
      </c>
      <c r="BB44" s="159" t="n">
        <v>4.477689025</v>
      </c>
      <c r="BC44" s="159" t="n">
        <v>4.616110126</v>
      </c>
    </row>
    <row r="45">
      <c r="A45" s="83" t="inlineStr">
        <is>
          <t>2009-03</t>
        </is>
      </c>
      <c r="B45" s="155" t="n">
        <v>2469.634839</v>
      </c>
      <c r="C45" s="155" t="n">
        <v>129.27</v>
      </c>
      <c r="D45" s="155" t="n">
        <v>385.91</v>
      </c>
      <c r="E45" s="155" t="n">
        <v>4736.68</v>
      </c>
      <c r="F45" s="152" t="n">
        <v>7.774193548</v>
      </c>
      <c r="G45" s="152" t="n">
        <v>0.18</v>
      </c>
      <c r="H45" s="152" t="n">
        <v>7.594193548</v>
      </c>
      <c r="I45" s="156" t="n">
        <v>-1171.186926</v>
      </c>
      <c r="J45" s="152" t="n">
        <v>1.755024832</v>
      </c>
      <c r="K45" s="152" t="n">
        <v>103.4397455</v>
      </c>
      <c r="L45" s="152" t="n">
        <v>44.79545455</v>
      </c>
      <c r="M45" s="157" t="n">
        <v>0</v>
      </c>
      <c r="N45" s="155" t="n">
        <v>23840.96</v>
      </c>
      <c r="O45" s="152" t="n">
        <v>483.4090909</v>
      </c>
      <c r="P45" s="152" t="n">
        <v>4.834090909</v>
      </c>
      <c r="Q45" s="156" t="n">
        <v>-536.61</v>
      </c>
      <c r="R45" s="156" t="n">
        <v>808.55</v>
      </c>
      <c r="S45" s="152" t="n">
        <v>9.003333333</v>
      </c>
      <c r="T45" s="152" t="n">
        <v>4.991538462</v>
      </c>
      <c r="U45" s="152" t="n">
        <v>4.011794872</v>
      </c>
      <c r="V45" s="152" t="n">
        <v>0.2514045435</v>
      </c>
      <c r="W45" s="152" t="n">
        <v>3.760390328</v>
      </c>
      <c r="X45" s="158" t="n">
        <v>2.314863628</v>
      </c>
      <c r="Y45" s="158" t="n">
        <v>592.2181818</v>
      </c>
      <c r="Z45" s="158" t="n">
        <v>14.641</v>
      </c>
      <c r="AA45" s="158" t="n">
        <v>3.174786364</v>
      </c>
      <c r="AB45" s="159" t="n">
        <v>-0.3700534773</v>
      </c>
      <c r="AC45" s="159" t="n">
        <v>-0.6635102659</v>
      </c>
      <c r="AD45" s="159" t="n">
        <v>75.35303402</v>
      </c>
      <c r="AE45" s="159" t="n">
        <v>71.15000000000001</v>
      </c>
      <c r="AF45" s="159" t="n">
        <v>1.70909</v>
      </c>
      <c r="AG45" s="159" t="n">
        <v>1.22727</v>
      </c>
      <c r="AH45" s="159" t="n">
        <v>0.931364</v>
      </c>
      <c r="AI45" s="159" t="n">
        <v>2.81955</v>
      </c>
      <c r="AJ45" s="159" t="n">
        <v>1.88818</v>
      </c>
      <c r="AK45" s="159" t="n">
        <v>0.588636</v>
      </c>
      <c r="AL45" s="159" t="n">
        <v>1.11045</v>
      </c>
      <c r="AM45" s="159" t="n">
        <v>131.618</v>
      </c>
      <c r="AN45" s="159" t="n">
        <v>3.84547</v>
      </c>
      <c r="AO45" s="159" t="n">
        <v>2.041</v>
      </c>
      <c r="AP45" s="159" t="n">
        <v>2.86575</v>
      </c>
      <c r="AQ45" s="159" t="n">
        <v>8.864269999999999</v>
      </c>
      <c r="AR45" s="159" t="n"/>
      <c r="AS45" s="159" t="n">
        <v>1.05364</v>
      </c>
      <c r="AT45" s="159" t="n">
        <v>8.699999999999999</v>
      </c>
      <c r="AU45" s="159" t="n">
        <v>100.9</v>
      </c>
      <c r="AV45" s="159" t="n">
        <v>108.3</v>
      </c>
      <c r="AW45" s="159" t="n">
        <v>96.55070000000001</v>
      </c>
      <c r="AX45" s="159" t="n">
        <v>84.4571</v>
      </c>
      <c r="AY45" s="159" t="n">
        <v>3.840322901</v>
      </c>
      <c r="AZ45" s="159" t="n">
        <v>4.614199301</v>
      </c>
      <c r="BA45" s="159" t="n">
        <v>9.408863308000001</v>
      </c>
      <c r="BB45" s="159" t="n">
        <v>4.46190933</v>
      </c>
      <c r="BC45" s="159" t="n">
        <v>4.562262685</v>
      </c>
    </row>
    <row r="46">
      <c r="A46" s="83" t="inlineStr">
        <is>
          <t>2009-04</t>
        </is>
      </c>
      <c r="B46" s="155" t="n">
        <v>2374.607667</v>
      </c>
      <c r="C46" s="155" t="n">
        <v>127.57</v>
      </c>
      <c r="D46" s="155" t="n">
        <v>340.08</v>
      </c>
      <c r="E46" s="155" t="n">
        <v>4670.78</v>
      </c>
      <c r="F46" s="152" t="n">
        <v>7</v>
      </c>
      <c r="G46" s="152" t="n">
        <v>0.15</v>
      </c>
      <c r="H46" s="152" t="n">
        <v>6.85</v>
      </c>
      <c r="I46" s="156" t="n">
        <v>2912.885466</v>
      </c>
      <c r="J46" s="152" t="n">
        <v>1.407735645</v>
      </c>
      <c r="K46" s="152" t="n">
        <v>100.7161864</v>
      </c>
      <c r="L46" s="152" t="n">
        <v>38.06380952</v>
      </c>
      <c r="M46" s="157" t="n">
        <v>0</v>
      </c>
      <c r="N46" s="155" t="n">
        <v>23413.66</v>
      </c>
      <c r="O46" s="152" t="n">
        <v>417.5454545</v>
      </c>
      <c r="P46" s="152" t="n">
        <v>4.175454545</v>
      </c>
      <c r="Q46" s="156" t="n">
        <v>-702.1</v>
      </c>
      <c r="R46" s="156" t="n">
        <v>387.22</v>
      </c>
      <c r="S46" s="152" t="n">
        <v>8.4125</v>
      </c>
      <c r="T46" s="152" t="n">
        <v>4.679333333</v>
      </c>
      <c r="U46" s="152" t="n">
        <v>3.733166667</v>
      </c>
      <c r="V46" s="152" t="n">
        <v>0.6342142849</v>
      </c>
      <c r="W46" s="152" t="n">
        <v>3.098952382</v>
      </c>
      <c r="X46" s="158" t="n">
        <v>2.202636361</v>
      </c>
      <c r="Y46" s="158" t="n">
        <v>582.4590909</v>
      </c>
      <c r="Z46" s="158" t="n">
        <v>13.409</v>
      </c>
      <c r="AA46" s="158" t="n">
        <v>3.084215</v>
      </c>
      <c r="AB46" s="159" t="n">
        <v>-1.814431296</v>
      </c>
      <c r="AC46" s="159" t="n">
        <v>-1.940499072</v>
      </c>
      <c r="AD46" s="159" t="n">
        <v>75.97334755</v>
      </c>
      <c r="AE46" s="159" t="n">
        <v>71.38</v>
      </c>
      <c r="AF46" s="159" t="n">
        <v>1.56762</v>
      </c>
      <c r="AG46" s="159" t="n">
        <v>1.11048</v>
      </c>
      <c r="AH46" s="159" t="n">
        <v>0.9271430000000001</v>
      </c>
      <c r="AI46" s="159" t="n">
        <v>2.92714</v>
      </c>
      <c r="AJ46" s="159" t="n">
        <v>2</v>
      </c>
      <c r="AK46" s="159" t="n">
        <v>0.747619</v>
      </c>
      <c r="AL46" s="159" t="n">
        <v>1.35952</v>
      </c>
      <c r="AM46" s="159" t="n">
        <v>101.952</v>
      </c>
      <c r="AN46" s="159" t="n">
        <v>2.83858</v>
      </c>
      <c r="AO46" s="159" t="n">
        <v>1.57775</v>
      </c>
      <c r="AP46" s="159" t="n">
        <v>2.19025</v>
      </c>
      <c r="AQ46" s="159" t="n">
        <v>9.16315</v>
      </c>
      <c r="AR46" s="159" t="n"/>
      <c r="AS46" s="159" t="n">
        <v>0.9495</v>
      </c>
      <c r="AT46" s="159" t="n">
        <v>9</v>
      </c>
      <c r="AU46" s="159" t="n">
        <v>100.4</v>
      </c>
      <c r="AV46" s="159" t="n">
        <v>107.3</v>
      </c>
      <c r="AW46" s="159" t="n">
        <v>96.8279</v>
      </c>
      <c r="AX46" s="159" t="n">
        <v>84.2882</v>
      </c>
      <c r="AY46" s="159" t="n">
        <v>3.915654404</v>
      </c>
      <c r="AZ46" s="159" t="n">
        <v>4.63381595</v>
      </c>
      <c r="BA46" s="159" t="n">
        <v>9.394077593</v>
      </c>
      <c r="BB46" s="159" t="n">
        <v>4.453584214</v>
      </c>
      <c r="BC46" s="159" t="n">
        <v>4.552823706</v>
      </c>
    </row>
    <row r="47">
      <c r="A47" s="83" t="inlineStr">
        <is>
          <t>2009-05</t>
        </is>
      </c>
      <c r="B47" s="155" t="n">
        <v>2227.317742</v>
      </c>
      <c r="C47" s="155" t="n">
        <v>139.83</v>
      </c>
      <c r="D47" s="155" t="n">
        <v>341.62</v>
      </c>
      <c r="E47" s="155" t="n">
        <v>4606.85</v>
      </c>
      <c r="F47" s="152" t="n">
        <v>6.096774194</v>
      </c>
      <c r="G47" s="152" t="n">
        <v>0.18</v>
      </c>
      <c r="H47" s="152" t="n">
        <v>5.916774194</v>
      </c>
      <c r="I47" s="156" t="n">
        <v>-1876.659441</v>
      </c>
      <c r="J47" s="152" t="n">
        <v>2.231473675</v>
      </c>
      <c r="K47" s="152" t="n">
        <v>97.55188</v>
      </c>
      <c r="L47" s="152" t="n">
        <v>31.978</v>
      </c>
      <c r="M47" s="157" t="n">
        <v>0</v>
      </c>
      <c r="N47" s="155" t="n">
        <v>23584.69</v>
      </c>
      <c r="O47" s="152" t="n">
        <v>322.4761905</v>
      </c>
      <c r="P47" s="152" t="n">
        <v>3.224761905</v>
      </c>
      <c r="Q47" s="156" t="n">
        <v>-499.12</v>
      </c>
      <c r="R47" s="156" t="n">
        <v>619.6799999999999</v>
      </c>
      <c r="S47" s="152" t="n">
        <v>7.94</v>
      </c>
      <c r="T47" s="152" t="n">
        <v>4.489411765</v>
      </c>
      <c r="U47" s="152" t="n">
        <v>3.450588235</v>
      </c>
      <c r="V47" s="152" t="n">
        <v>0.8413999975000001</v>
      </c>
      <c r="W47" s="152" t="n">
        <v>2.609188238</v>
      </c>
      <c r="X47" s="158" t="n">
        <v>2.066761902</v>
      </c>
      <c r="Y47" s="158" t="n">
        <v>565.3952381</v>
      </c>
      <c r="Z47" s="158" t="n">
        <v>13.18757143</v>
      </c>
      <c r="AA47" s="158" t="n">
        <v>2.99438</v>
      </c>
      <c r="AB47" s="159" t="n">
        <v>-1.252373374</v>
      </c>
      <c r="AC47" s="159" t="n">
        <v>-1.531361328</v>
      </c>
      <c r="AD47" s="159" t="n">
        <v>75.95451392</v>
      </c>
      <c r="AE47" s="159" t="n">
        <v>71.39</v>
      </c>
      <c r="AF47" s="159" t="n">
        <v>1.717</v>
      </c>
      <c r="AG47" s="159" t="n">
        <v>1.071</v>
      </c>
      <c r="AH47" s="159" t="n">
        <v>0.9295</v>
      </c>
      <c r="AI47" s="159" t="n">
        <v>3.293</v>
      </c>
      <c r="AJ47" s="159" t="n">
        <v>2.3635</v>
      </c>
      <c r="AK47" s="159" t="n">
        <v>1.063</v>
      </c>
      <c r="AL47" s="159" t="n">
        <v>1.576</v>
      </c>
      <c r="AM47" s="159" t="n">
        <v>102.976</v>
      </c>
      <c r="AN47" s="159" t="n">
        <v>1.79992</v>
      </c>
      <c r="AO47" s="159" t="n">
        <v>1.0328</v>
      </c>
      <c r="AP47" s="159" t="n">
        <v>1.5494</v>
      </c>
      <c r="AQ47" s="159" t="n">
        <v>9.52056</v>
      </c>
      <c r="AR47" s="159" t="n"/>
      <c r="AS47" s="159" t="n">
        <v>0.640526</v>
      </c>
      <c r="AT47" s="159" t="n">
        <v>9.4</v>
      </c>
      <c r="AU47" s="159" t="n">
        <v>100.4</v>
      </c>
      <c r="AV47" s="159" t="n">
        <v>108.9</v>
      </c>
      <c r="AW47" s="159" t="n">
        <v>97.2062</v>
      </c>
      <c r="AX47" s="159" t="n">
        <v>84.03530000000001</v>
      </c>
      <c r="AY47" s="159" t="n">
        <v>4.048344253</v>
      </c>
      <c r="AZ47" s="159" t="n">
        <v>4.716398453</v>
      </c>
      <c r="BA47" s="159" t="n">
        <v>9.380083147000001</v>
      </c>
      <c r="BB47" s="159" t="n">
        <v>4.443433304</v>
      </c>
      <c r="BC47" s="159" t="n">
        <v>4.55492897</v>
      </c>
    </row>
    <row r="48">
      <c r="A48" s="83" t="inlineStr">
        <is>
          <t>2009-06</t>
        </is>
      </c>
      <c r="B48" s="155" t="n">
        <v>2089.460333</v>
      </c>
      <c r="C48" s="155" t="n">
        <v>146.13</v>
      </c>
      <c r="D48" s="155" t="n">
        <v>313.08</v>
      </c>
      <c r="E48" s="155" t="n">
        <v>4557.18</v>
      </c>
      <c r="F48" s="152" t="n">
        <v>4.866666667</v>
      </c>
      <c r="G48" s="152" t="n">
        <v>0.21</v>
      </c>
      <c r="H48" s="152" t="n">
        <v>4.656666667</v>
      </c>
      <c r="I48" s="156" t="n">
        <v>-2008.01347</v>
      </c>
      <c r="J48" s="152" t="n">
        <v>2.985204818</v>
      </c>
      <c r="K48" s="152" t="n">
        <v>96.04261818000001</v>
      </c>
      <c r="L48" s="152" t="n">
        <v>29.14045455</v>
      </c>
      <c r="M48" s="157" t="n">
        <v>0</v>
      </c>
      <c r="N48" s="155" t="n">
        <v>23723.36</v>
      </c>
      <c r="O48" s="152" t="n">
        <v>297.5454545</v>
      </c>
      <c r="P48" s="152" t="n">
        <v>2.975454545</v>
      </c>
      <c r="Q48" s="156" t="n">
        <v>-510.76</v>
      </c>
      <c r="R48" s="156" t="n">
        <v>679.65</v>
      </c>
      <c r="S48" s="152" t="n">
        <v>8.901176470999999</v>
      </c>
      <c r="T48" s="152" t="n">
        <v>4.832666667</v>
      </c>
      <c r="U48" s="152" t="n">
        <v>4.068509804</v>
      </c>
      <c r="V48" s="152" t="n">
        <v>1.306950006</v>
      </c>
      <c r="W48" s="152" t="n">
        <v>2.761559798</v>
      </c>
      <c r="X48" s="158" t="n">
        <v>1.958118184</v>
      </c>
      <c r="Y48" s="158" t="n">
        <v>550.3431818</v>
      </c>
      <c r="Z48" s="158" t="n">
        <v>13.33204545</v>
      </c>
      <c r="AA48" s="158" t="n">
        <v>2.990747619</v>
      </c>
      <c r="AB48" s="159" t="n">
        <v>-0.800337655</v>
      </c>
      <c r="AC48" s="159" t="n">
        <v>-0.6222029274</v>
      </c>
      <c r="AD48" s="159" t="n">
        <v>75.792761</v>
      </c>
      <c r="AE48" s="159" t="n">
        <v>71.34999999999999</v>
      </c>
      <c r="AF48" s="159" t="n">
        <v>1.86227</v>
      </c>
      <c r="AG48" s="159" t="n">
        <v>1.18</v>
      </c>
      <c r="AH48" s="159" t="n">
        <v>1.18409</v>
      </c>
      <c r="AI48" s="159" t="n">
        <v>3.72182</v>
      </c>
      <c r="AJ48" s="159" t="n">
        <v>2.53773</v>
      </c>
      <c r="AK48" s="159" t="n">
        <v>1.52591</v>
      </c>
      <c r="AL48" s="159" t="n">
        <v>1.85955</v>
      </c>
      <c r="AM48" s="159" t="n">
        <v>115.972</v>
      </c>
      <c r="AN48" s="159" t="n">
        <v>1.38742</v>
      </c>
      <c r="AO48" s="159" t="n">
        <v>0.7725</v>
      </c>
      <c r="AP48" s="159" t="n">
        <v>1.265</v>
      </c>
      <c r="AQ48" s="159" t="n">
        <v>9.52078</v>
      </c>
      <c r="AR48" s="159" t="n"/>
      <c r="AS48" s="159" t="n">
        <v>0.443636</v>
      </c>
      <c r="AT48" s="159" t="n">
        <v>9.5</v>
      </c>
      <c r="AU48" s="159" t="n">
        <v>100.4</v>
      </c>
      <c r="AV48" s="159" t="n">
        <v>110.7</v>
      </c>
      <c r="AW48" s="159" t="n">
        <v>97.6354</v>
      </c>
      <c r="AX48" s="159" t="n">
        <v>83.6151</v>
      </c>
      <c r="AY48" s="159" t="n">
        <v>4.228431009</v>
      </c>
      <c r="AZ48" s="159" t="n">
        <v>4.791741035</v>
      </c>
      <c r="BA48" s="159" t="n">
        <v>9.368454614999999</v>
      </c>
      <c r="BB48" s="159" t="n">
        <v>4.439657368</v>
      </c>
      <c r="BC48" s="159" t="n">
        <v>4.566429358</v>
      </c>
    </row>
    <row r="49">
      <c r="A49" s="83" t="inlineStr">
        <is>
          <t>2009-07</t>
        </is>
      </c>
      <c r="B49" s="155" t="n">
        <v>2049.239677</v>
      </c>
      <c r="C49" s="155" t="n">
        <v>137.48</v>
      </c>
      <c r="D49" s="155" t="n">
        <v>314.47</v>
      </c>
      <c r="E49" s="155" t="n">
        <v>4405.83</v>
      </c>
      <c r="F49" s="152" t="n">
        <v>4.5</v>
      </c>
      <c r="G49" s="152" t="n">
        <v>0.16</v>
      </c>
      <c r="H49" s="152" t="n">
        <v>4.34</v>
      </c>
      <c r="I49" s="156" t="n">
        <v>-2738.042198</v>
      </c>
      <c r="J49" s="152" t="n">
        <v>3.328051074</v>
      </c>
      <c r="K49" s="152" t="n">
        <v>95.66055909000001</v>
      </c>
      <c r="L49" s="152" t="n">
        <v>26.16272727</v>
      </c>
      <c r="M49" s="157" t="n">
        <v>0</v>
      </c>
      <c r="N49" s="155" t="n">
        <v>24122.44</v>
      </c>
      <c r="O49" s="152" t="n">
        <v>297.6086957</v>
      </c>
      <c r="P49" s="152" t="n">
        <v>2.976086957</v>
      </c>
      <c r="Q49" s="156" t="n">
        <v>-772.5599999999999</v>
      </c>
      <c r="R49" s="156" t="n">
        <v>1101.62</v>
      </c>
      <c r="S49" s="152" t="n">
        <v>8.719545455</v>
      </c>
      <c r="T49" s="152" t="n">
        <v>4.783157895</v>
      </c>
      <c r="U49" s="152" t="n">
        <v>3.93638756</v>
      </c>
      <c r="V49" s="152" t="n">
        <v>1.039150005</v>
      </c>
      <c r="W49" s="152" t="n">
        <v>2.897237555</v>
      </c>
      <c r="X49" s="158" t="n">
        <v>1.933521742</v>
      </c>
      <c r="Y49" s="158" t="n">
        <v>540.2934782999999</v>
      </c>
      <c r="Z49" s="158" t="n">
        <v>13.36169565</v>
      </c>
      <c r="AA49" s="158" t="n">
        <v>3.012625</v>
      </c>
      <c r="AB49" s="159" t="n">
        <v>-0.4213658576</v>
      </c>
      <c r="AC49" s="159" t="n">
        <v>-0.1669678198</v>
      </c>
      <c r="AD49" s="159" t="n">
        <v>77.70034381000001</v>
      </c>
      <c r="AE49" s="159" t="n">
        <v>71.31999999999999</v>
      </c>
      <c r="AF49" s="159" t="n">
        <v>1.82273</v>
      </c>
      <c r="AG49" s="159" t="n">
        <v>1.17864</v>
      </c>
      <c r="AH49" s="159" t="n">
        <v>1.01909</v>
      </c>
      <c r="AI49" s="159" t="n">
        <v>3.56227</v>
      </c>
      <c r="AJ49" s="159" t="n">
        <v>2.54318</v>
      </c>
      <c r="AK49" s="159" t="n">
        <v>1.28409</v>
      </c>
      <c r="AL49" s="159" t="n">
        <v>1.73955</v>
      </c>
      <c r="AM49" s="159" t="n">
        <v>104.826</v>
      </c>
      <c r="AN49" s="159" t="n">
        <v>1.01362</v>
      </c>
      <c r="AO49" s="159" t="n">
        <v>0.5508</v>
      </c>
      <c r="AP49" s="159" t="n">
        <v>0.9704</v>
      </c>
      <c r="AQ49" s="159" t="n">
        <v>9.5107</v>
      </c>
      <c r="AR49" s="159" t="n"/>
      <c r="AS49" s="159" t="n">
        <v>0.329091</v>
      </c>
      <c r="AT49" s="159" t="n">
        <v>9.5</v>
      </c>
      <c r="AU49" s="159" t="n">
        <v>100.3</v>
      </c>
      <c r="AV49" s="159" t="n">
        <v>110.8</v>
      </c>
      <c r="AW49" s="159" t="n">
        <v>98.07040000000001</v>
      </c>
      <c r="AX49" s="159" t="n">
        <v>83.6151</v>
      </c>
      <c r="AY49" s="159" t="n">
        <v>4.165664723</v>
      </c>
      <c r="AZ49" s="159" t="n">
        <v>4.75643098</v>
      </c>
      <c r="BA49" s="159" t="n">
        <v>9.363404748000001</v>
      </c>
      <c r="BB49" s="159" t="n">
        <v>4.45088433</v>
      </c>
      <c r="BC49" s="159" t="n">
        <v>4.589040804</v>
      </c>
    </row>
    <row r="50">
      <c r="A50" s="83" t="inlineStr">
        <is>
          <t>2009-08</t>
        </is>
      </c>
      <c r="B50" s="155" t="n">
        <v>2017.618065</v>
      </c>
      <c r="C50" s="155" t="n">
        <v>144.15</v>
      </c>
      <c r="D50" s="155" t="n">
        <v>304.05</v>
      </c>
      <c r="E50" s="155" t="n">
        <v>4340.33</v>
      </c>
      <c r="F50" s="152" t="n">
        <v>4.5</v>
      </c>
      <c r="G50" s="152" t="n">
        <v>0.16</v>
      </c>
      <c r="H50" s="152" t="n">
        <v>4.34</v>
      </c>
      <c r="I50" s="156" t="n">
        <v>746.6916332</v>
      </c>
      <c r="J50" s="152" t="n">
        <v>2.958181152</v>
      </c>
      <c r="K50" s="152" t="n">
        <v>94.37304286</v>
      </c>
      <c r="L50" s="152" t="n">
        <v>25.33714286</v>
      </c>
      <c r="M50" s="157" t="n">
        <v>0</v>
      </c>
      <c r="N50" s="155" t="n">
        <v>25238.94</v>
      </c>
      <c r="O50" s="152" t="n">
        <v>261.1428571</v>
      </c>
      <c r="P50" s="152" t="n">
        <v>2.611428571</v>
      </c>
      <c r="Q50" s="156" t="n">
        <v>-568.66</v>
      </c>
      <c r="R50" s="156" t="n">
        <v>1421.3</v>
      </c>
      <c r="S50" s="152" t="n">
        <v>8.878421053</v>
      </c>
      <c r="T50" s="152" t="n">
        <v>4.555263158</v>
      </c>
      <c r="U50" s="152" t="n">
        <v>4.323157895</v>
      </c>
      <c r="V50" s="152" t="n">
        <v>1.0577238</v>
      </c>
      <c r="W50" s="152" t="n">
        <v>3.265434094</v>
      </c>
      <c r="X50" s="158" t="n">
        <v>1.84495239</v>
      </c>
      <c r="Y50" s="158" t="n">
        <v>547.2857143</v>
      </c>
      <c r="Z50" s="158" t="n">
        <v>13.00761905</v>
      </c>
      <c r="AA50" s="158" t="n">
        <v>2.950680952</v>
      </c>
      <c r="AB50" s="159" t="n">
        <v>-0.6902847953</v>
      </c>
      <c r="AC50" s="159" t="n">
        <v>-0.9331176316999999</v>
      </c>
      <c r="AD50" s="159" t="n">
        <v>75.98726481</v>
      </c>
      <c r="AE50" s="159" t="n">
        <v>71.34999999999999</v>
      </c>
      <c r="AF50" s="159" t="n">
        <v>1.77381</v>
      </c>
      <c r="AG50" s="159" t="n">
        <v>1.28952</v>
      </c>
      <c r="AH50" s="159" t="n">
        <v>1.11524</v>
      </c>
      <c r="AI50" s="159" t="n">
        <v>3.58714</v>
      </c>
      <c r="AJ50" s="159" t="n">
        <v>2.4719</v>
      </c>
      <c r="AK50" s="159" t="n">
        <v>1.28143</v>
      </c>
      <c r="AL50" s="159" t="n">
        <v>1.81333</v>
      </c>
      <c r="AM50" s="159" t="n">
        <v>101.726</v>
      </c>
      <c r="AN50" s="159" t="n">
        <v>0.6335499999999999</v>
      </c>
      <c r="AO50" s="159" t="n">
        <v>0.29225</v>
      </c>
      <c r="AP50" s="159" t="n">
        <v>0.61975</v>
      </c>
      <c r="AQ50" s="159" t="n">
        <v>9.71247</v>
      </c>
      <c r="AR50" s="159" t="n"/>
      <c r="AS50" s="159" t="n">
        <v>0.2515</v>
      </c>
      <c r="AT50" s="159" t="n">
        <v>9.6</v>
      </c>
      <c r="AU50" s="159" t="n">
        <v>100.6</v>
      </c>
      <c r="AV50" s="159" t="n">
        <v>112.3</v>
      </c>
      <c r="AW50" s="159" t="n">
        <v>98.48439999999999</v>
      </c>
      <c r="AX50" s="159" t="n">
        <v>84.03319999999999</v>
      </c>
      <c r="AY50" s="159" t="n">
        <v>4.283705176</v>
      </c>
      <c r="AZ50" s="159" t="n">
        <v>4.810597731</v>
      </c>
      <c r="BA50" s="159" t="n">
        <v>9.359794324999999</v>
      </c>
      <c r="BB50" s="159" t="n">
        <v>4.461791611</v>
      </c>
      <c r="BC50" s="159" t="n">
        <v>4.597138014</v>
      </c>
    </row>
    <row r="51">
      <c r="A51" s="83" t="inlineStr">
        <is>
          <t>2009-09</t>
        </is>
      </c>
      <c r="B51" s="155" t="n">
        <v>1978.033</v>
      </c>
      <c r="C51" s="155" t="n">
        <v>148.17</v>
      </c>
      <c r="D51" s="155" t="n">
        <v>313.7</v>
      </c>
      <c r="E51" s="155" t="n">
        <v>4177.49</v>
      </c>
      <c r="F51" s="152" t="n">
        <v>4.45</v>
      </c>
      <c r="G51" s="152" t="n">
        <v>0.15</v>
      </c>
      <c r="H51" s="152" t="n">
        <v>4.3</v>
      </c>
      <c r="I51" s="156" t="n">
        <v>-1297.365731</v>
      </c>
      <c r="J51" s="152" t="n">
        <v>3.078867119</v>
      </c>
      <c r="K51" s="152" t="n">
        <v>93.66379999999999</v>
      </c>
      <c r="L51" s="152" t="n">
        <v>24.92666667</v>
      </c>
      <c r="M51" s="157" t="n">
        <v>0</v>
      </c>
      <c r="N51" s="155" t="n">
        <v>25122.6</v>
      </c>
      <c r="O51" s="152" t="n">
        <v>250.3181818</v>
      </c>
      <c r="P51" s="152" t="n">
        <v>2.503181818</v>
      </c>
      <c r="Q51" s="156" t="n">
        <v>-802.12</v>
      </c>
      <c r="R51" s="156" t="n">
        <v>729.3</v>
      </c>
      <c r="S51" s="152" t="n">
        <v>8.915714286</v>
      </c>
      <c r="T51" s="152" t="n">
        <v>4.322352941</v>
      </c>
      <c r="U51" s="152" t="n">
        <v>4.593361345</v>
      </c>
      <c r="V51" s="152" t="n">
        <v>1.1555</v>
      </c>
      <c r="W51" s="152" t="n">
        <v>3.437861344</v>
      </c>
      <c r="X51" s="158" t="n">
        <v>1.81959091</v>
      </c>
      <c r="Y51" s="158" t="n">
        <v>548.8113636</v>
      </c>
      <c r="Z51" s="158" t="n">
        <v>13.40490909</v>
      </c>
      <c r="AA51" s="158" t="n">
        <v>2.909509091</v>
      </c>
      <c r="AB51" s="159" t="n">
        <v>0.1660605909</v>
      </c>
      <c r="AC51" s="159" t="n">
        <v>-0.1556133066</v>
      </c>
      <c r="AD51" s="159" t="n">
        <v>76.93181472000001</v>
      </c>
      <c r="AE51" s="159" t="n">
        <v>71.28</v>
      </c>
      <c r="AF51" s="159" t="n">
        <v>1.6419</v>
      </c>
      <c r="AG51" s="159" t="n">
        <v>1.02571</v>
      </c>
      <c r="AH51" s="159" t="n">
        <v>0.95619</v>
      </c>
      <c r="AI51" s="159" t="n">
        <v>3.4019</v>
      </c>
      <c r="AJ51" s="159" t="n">
        <v>2.44571</v>
      </c>
      <c r="AK51" s="159" t="n">
        <v>1.34333</v>
      </c>
      <c r="AL51" s="159" t="n">
        <v>1.76</v>
      </c>
      <c r="AM51" s="159" t="n">
        <v>106.323</v>
      </c>
      <c r="AN51" s="159" t="n">
        <v>0.33415</v>
      </c>
      <c r="AO51" s="159" t="n">
        <v>0.15075</v>
      </c>
      <c r="AP51" s="159" t="n">
        <v>0.44075</v>
      </c>
      <c r="AQ51" s="159" t="n">
        <v>9.993180000000001</v>
      </c>
      <c r="AR51" s="159" t="n"/>
      <c r="AS51" s="159" t="n">
        <v>0.173333</v>
      </c>
      <c r="AT51" s="159" t="n">
        <v>9.800000000000001</v>
      </c>
      <c r="AU51" s="159" t="n">
        <v>100.5</v>
      </c>
      <c r="AV51" s="159" t="n">
        <v>113.9</v>
      </c>
      <c r="AW51" s="159" t="n">
        <v>98.86020000000001</v>
      </c>
      <c r="AX51" s="159" t="n">
        <v>84.3693</v>
      </c>
      <c r="AY51" s="159" t="n">
        <v>4.214291182</v>
      </c>
      <c r="AZ51" s="159" t="n">
        <v>4.780089413</v>
      </c>
      <c r="BA51" s="159" t="n">
        <v>9.357034751</v>
      </c>
      <c r="BB51" s="159" t="n">
        <v>4.470567362</v>
      </c>
      <c r="BC51" s="159" t="n">
        <v>4.602165677</v>
      </c>
    </row>
    <row r="52">
      <c r="A52" s="83" t="inlineStr">
        <is>
          <t>2009-10</t>
        </is>
      </c>
      <c r="B52" s="155" t="n">
        <v>1901.400323</v>
      </c>
      <c r="C52" s="155" t="n">
        <v>154.41</v>
      </c>
      <c r="D52" s="155" t="n">
        <v>334.92</v>
      </c>
      <c r="E52" s="155" t="n">
        <v>4091.24</v>
      </c>
      <c r="F52" s="152" t="n">
        <v>4</v>
      </c>
      <c r="G52" s="152" t="n">
        <v>0.12</v>
      </c>
      <c r="H52" s="152" t="n">
        <v>3.88</v>
      </c>
      <c r="I52" s="156" t="n">
        <v>-3707.944669</v>
      </c>
      <c r="J52" s="152" t="n">
        <v>3.601588988</v>
      </c>
      <c r="K52" s="152" t="n">
        <v>92.2597619</v>
      </c>
      <c r="L52" s="152" t="n">
        <v>24.25227273</v>
      </c>
      <c r="M52" s="157" t="n">
        <v>0</v>
      </c>
      <c r="N52" s="155" t="n">
        <v>25185.77</v>
      </c>
      <c r="O52" s="152" t="n">
        <v>218.3636364</v>
      </c>
      <c r="P52" s="152" t="n">
        <v>2.183636364</v>
      </c>
      <c r="Q52" s="156" t="n">
        <v>-662.67</v>
      </c>
      <c r="R52" s="156" t="n">
        <v>800.88</v>
      </c>
      <c r="S52" s="152" t="n">
        <v>8.307619047999999</v>
      </c>
      <c r="T52" s="152" t="n">
        <v>3.988095238</v>
      </c>
      <c r="U52" s="152" t="n">
        <v>4.31952381</v>
      </c>
      <c r="V52" s="152" t="n">
        <v>1.348490477</v>
      </c>
      <c r="W52" s="152" t="n">
        <v>2.971033333</v>
      </c>
      <c r="X52" s="158" t="n">
        <v>1.73913636</v>
      </c>
      <c r="Y52" s="158" t="n">
        <v>545.2545454999999</v>
      </c>
      <c r="Z52" s="158" t="n">
        <v>13.21986364</v>
      </c>
      <c r="AA52" s="158" t="n">
        <v>2.872</v>
      </c>
      <c r="AB52" s="159" t="n">
        <v>-0.7617096426</v>
      </c>
      <c r="AC52" s="159" t="n">
        <v>-0.8298014733</v>
      </c>
      <c r="AD52" s="159" t="n">
        <v>77.23718174</v>
      </c>
      <c r="AE52" s="159" t="n">
        <v>71.19</v>
      </c>
      <c r="AF52" s="159" t="n">
        <v>1.48333</v>
      </c>
      <c r="AG52" s="159" t="n">
        <v>0.832381</v>
      </c>
      <c r="AH52" s="159" t="n">
        <v>0.949048</v>
      </c>
      <c r="AI52" s="159" t="n">
        <v>3.38762</v>
      </c>
      <c r="AJ52" s="159" t="n">
        <v>2.43857</v>
      </c>
      <c r="AK52" s="159" t="n">
        <v>1.50048</v>
      </c>
      <c r="AL52" s="159" t="n">
        <v>1.90429</v>
      </c>
      <c r="AM52" s="159" t="n">
        <v>91.8189</v>
      </c>
      <c r="AN52" s="159" t="n">
        <v>0.30474</v>
      </c>
      <c r="AO52" s="159" t="n">
        <v>0.0498</v>
      </c>
      <c r="AP52" s="159" t="n">
        <v>0.3486</v>
      </c>
      <c r="AQ52" s="159" t="n">
        <v>10.1784</v>
      </c>
      <c r="AR52" s="159" t="n"/>
      <c r="AS52" s="159" t="n">
        <v>0.205714</v>
      </c>
      <c r="AT52" s="159" t="n">
        <v>10</v>
      </c>
      <c r="AU52" s="159" t="n">
        <v>100.4</v>
      </c>
      <c r="AV52" s="159" t="n">
        <v>116.1</v>
      </c>
      <c r="AW52" s="159" t="n">
        <v>99.1846</v>
      </c>
      <c r="AX52" s="159" t="n">
        <v>84.28700000000001</v>
      </c>
      <c r="AY52" s="159" t="n">
        <v>4.287296911</v>
      </c>
      <c r="AZ52" s="159" t="n">
        <v>4.84123786</v>
      </c>
      <c r="BA52" s="159" t="n">
        <v>9.352447389</v>
      </c>
      <c r="BB52" s="159" t="n">
        <v>4.473259194</v>
      </c>
      <c r="BC52" s="159" t="n">
        <v>4.591071262</v>
      </c>
    </row>
    <row r="53">
      <c r="A53" s="83" t="inlineStr">
        <is>
          <t>2009-11</t>
        </is>
      </c>
      <c r="B53" s="155" t="n">
        <v>1976.879333</v>
      </c>
      <c r="C53" s="155" t="n">
        <v>153.54</v>
      </c>
      <c r="D53" s="155" t="n">
        <v>340.87</v>
      </c>
      <c r="E53" s="155" t="n">
        <v>4114.69</v>
      </c>
      <c r="F53" s="152" t="n">
        <v>3.883333333</v>
      </c>
      <c r="G53" s="152" t="n">
        <v>0.12</v>
      </c>
      <c r="H53" s="152" t="n">
        <v>3.763333333</v>
      </c>
      <c r="I53" s="156" t="n">
        <v>-3446.245145</v>
      </c>
      <c r="J53" s="152" t="n">
        <v>3.348767122</v>
      </c>
      <c r="K53" s="152" t="n">
        <v>91.79961053</v>
      </c>
      <c r="L53" s="152" t="n">
        <v>23.789</v>
      </c>
      <c r="M53" s="157" t="n">
        <v>0</v>
      </c>
      <c r="N53" s="155" t="n">
        <v>25440.54</v>
      </c>
      <c r="O53" s="152" t="n">
        <v>213.3333333</v>
      </c>
      <c r="P53" s="152" t="n">
        <v>2.133333333</v>
      </c>
      <c r="Q53" s="156" t="n">
        <v>-615.96</v>
      </c>
      <c r="R53" s="156" t="n">
        <v>661.52</v>
      </c>
      <c r="S53" s="152" t="n">
        <v>7.293684211</v>
      </c>
      <c r="T53" s="152" t="n">
        <v>3.785</v>
      </c>
      <c r="U53" s="152" t="n">
        <v>3.508684211</v>
      </c>
      <c r="V53" s="152" t="n">
        <v>1.60220527</v>
      </c>
      <c r="W53" s="152" t="n">
        <v>1.90647894</v>
      </c>
      <c r="X53" s="158" t="n">
        <v>1.728666663</v>
      </c>
      <c r="Y53" s="158" t="n">
        <v>505.4904762</v>
      </c>
      <c r="Z53" s="158" t="n">
        <v>13.10947619</v>
      </c>
      <c r="AA53" s="158" t="n">
        <v>2.8843</v>
      </c>
      <c r="AB53" s="159" t="n">
        <v>-1.203479883</v>
      </c>
      <c r="AC53" s="159" t="n">
        <v>-0.814190776</v>
      </c>
      <c r="AD53" s="159" t="n">
        <v>77.18842212</v>
      </c>
      <c r="AE53" s="159" t="n">
        <v>71.14</v>
      </c>
      <c r="AF53" s="159" t="n">
        <v>1.27526</v>
      </c>
      <c r="AG53" s="159" t="n">
        <v>0.484211</v>
      </c>
      <c r="AH53" s="159" t="n">
        <v>0.803158</v>
      </c>
      <c r="AI53" s="159" t="n">
        <v>3.40263</v>
      </c>
      <c r="AJ53" s="159" t="n">
        <v>2.59947</v>
      </c>
      <c r="AK53" s="159" t="n">
        <v>1.74632</v>
      </c>
      <c r="AL53" s="159" t="n">
        <v>2.12737</v>
      </c>
      <c r="AM53" s="159" t="n">
        <v>104.426</v>
      </c>
      <c r="AN53" s="159" t="n">
        <v>0.19615</v>
      </c>
      <c r="AO53" s="159" t="n">
        <v>-0.00475</v>
      </c>
      <c r="AP53" s="159" t="n">
        <v>0.25825</v>
      </c>
      <c r="AQ53" s="159" t="n">
        <v>10.0345</v>
      </c>
      <c r="AR53" s="159" t="n"/>
      <c r="AS53" s="159" t="n">
        <v>0.216842</v>
      </c>
      <c r="AT53" s="159" t="n">
        <v>9.9</v>
      </c>
      <c r="AU53" s="159" t="n">
        <v>100.4</v>
      </c>
      <c r="AV53" s="159" t="n">
        <v>119.2</v>
      </c>
      <c r="AW53" s="159" t="n">
        <v>99.4508</v>
      </c>
      <c r="AX53" s="159" t="n">
        <v>84.5407</v>
      </c>
      <c r="AY53" s="159" t="n">
        <v>4.339406149</v>
      </c>
      <c r="AZ53" s="159" t="n">
        <v>4.879006852</v>
      </c>
      <c r="BA53" s="159" t="n">
        <v>9.349928386</v>
      </c>
      <c r="BB53" s="159" t="n">
        <v>4.477587919</v>
      </c>
      <c r="BC53" s="159" t="n">
        <v>4.618086411</v>
      </c>
    </row>
    <row r="54">
      <c r="A54" s="83" t="inlineStr">
        <is>
          <t>2009-12</t>
        </is>
      </c>
      <c r="B54" s="155" t="n">
        <v>2018.012581</v>
      </c>
      <c r="C54" s="155" t="n">
        <v>153.1</v>
      </c>
      <c r="D54" s="155" t="n">
        <v>407.63</v>
      </c>
      <c r="E54" s="155" t="n">
        <v>4090.28</v>
      </c>
      <c r="F54" s="152" t="n">
        <v>3.5</v>
      </c>
      <c r="G54" s="152" t="n">
        <v>0.12</v>
      </c>
      <c r="H54" s="152" t="n">
        <v>3.38</v>
      </c>
      <c r="I54" s="156" t="n">
        <v>-6049.282194</v>
      </c>
      <c r="J54" s="152" t="n">
        <v>4.13000348</v>
      </c>
      <c r="K54" s="152" t="n">
        <v>92.25861904999999</v>
      </c>
      <c r="L54" s="152" t="n">
        <v>21.23954545</v>
      </c>
      <c r="M54" s="157" t="n">
        <v>0</v>
      </c>
      <c r="N54" s="155" t="n">
        <v>25355.74</v>
      </c>
      <c r="O54" s="152" t="n">
        <v>208.1304348</v>
      </c>
      <c r="P54" s="152" t="n">
        <v>2.081304348</v>
      </c>
      <c r="Q54" s="156" t="n">
        <v>-699.85</v>
      </c>
      <c r="R54" s="156" t="n">
        <v>412.46</v>
      </c>
      <c r="S54" s="152" t="n">
        <v>7.1525</v>
      </c>
      <c r="T54" s="152" t="n">
        <v>3.602857143</v>
      </c>
      <c r="U54" s="152" t="n">
        <v>3.549642857</v>
      </c>
      <c r="V54" s="152" t="n">
        <v>1.733800005</v>
      </c>
      <c r="W54" s="152" t="n">
        <v>1.815842852</v>
      </c>
      <c r="X54" s="158" t="n">
        <v>1.751347827</v>
      </c>
      <c r="Y54" s="158" t="n">
        <v>502.6913043</v>
      </c>
      <c r="Z54" s="158" t="n">
        <v>12.85830435</v>
      </c>
      <c r="AA54" s="158" t="n">
        <v>2.877578947</v>
      </c>
      <c r="AB54" s="159" t="n">
        <v>-0.2853463917</v>
      </c>
      <c r="AC54" s="159" t="n">
        <v>-0.2584688735</v>
      </c>
      <c r="AD54" s="159" t="n">
        <v>78.34888916</v>
      </c>
      <c r="AE54" s="159" t="n">
        <v>71.2</v>
      </c>
      <c r="AF54" s="159" t="n">
        <v>1.36455</v>
      </c>
      <c r="AG54" s="159" t="n">
        <v>0.431818</v>
      </c>
      <c r="AH54" s="159" t="n">
        <v>0.874545</v>
      </c>
      <c r="AI54" s="159" t="n">
        <v>3.59</v>
      </c>
      <c r="AJ54" s="159" t="n">
        <v>2.71545</v>
      </c>
      <c r="AK54" s="159" t="n">
        <v>1.90864</v>
      </c>
      <c r="AL54" s="159" t="n">
        <v>2.22545</v>
      </c>
      <c r="AM54" s="159" t="n">
        <v>101.735</v>
      </c>
      <c r="AN54" s="159" t="n">
        <v>-0.0747</v>
      </c>
      <c r="AO54" s="159" t="n">
        <v>-0.10225</v>
      </c>
      <c r="AP54" s="159" t="n">
        <v>0.12075</v>
      </c>
      <c r="AQ54" s="159" t="n">
        <v>10.1034</v>
      </c>
      <c r="AR54" s="159" t="n"/>
      <c r="AS54" s="159" t="n">
        <v>0.200952</v>
      </c>
      <c r="AT54" s="159" t="n">
        <v>9.9</v>
      </c>
      <c r="AU54" s="159" t="n">
        <v>100.6</v>
      </c>
      <c r="AV54" s="159" t="n">
        <v>118.5</v>
      </c>
      <c r="AW54" s="159" t="n">
        <v>99.6553</v>
      </c>
      <c r="AX54" s="159" t="n">
        <v>85.3861</v>
      </c>
      <c r="AY54" s="159" t="n">
        <v>4.310213719</v>
      </c>
      <c r="AZ54" s="159" t="n">
        <v>4.89842172</v>
      </c>
      <c r="BA54" s="159" t="n">
        <v>9.347054195</v>
      </c>
      <c r="BB54" s="159" t="n">
        <v>4.481637779</v>
      </c>
      <c r="BC54" s="159" t="n">
        <v>4.622027303</v>
      </c>
    </row>
    <row r="55">
      <c r="A55" s="83" t="inlineStr">
        <is>
          <t>2010-01</t>
        </is>
      </c>
      <c r="B55" s="155" t="n">
        <v>1983.426774</v>
      </c>
      <c r="C55" s="155" t="n">
        <v>158.66</v>
      </c>
      <c r="D55" s="155" t="n">
        <v>265.31</v>
      </c>
      <c r="E55" s="155" t="n">
        <v>4036.35</v>
      </c>
      <c r="F55" s="152" t="n">
        <v>3.5</v>
      </c>
      <c r="G55" s="152" t="n">
        <v>0.11</v>
      </c>
      <c r="H55" s="152" t="n">
        <v>3.39</v>
      </c>
      <c r="I55" s="156" t="n">
        <v>2168.018762</v>
      </c>
      <c r="J55" s="152" t="n">
        <v>3.616995811</v>
      </c>
      <c r="K55" s="152" t="n">
        <v>92.44029999999999</v>
      </c>
      <c r="L55" s="152" t="n">
        <v>20.64315789</v>
      </c>
      <c r="M55" s="157" t="n">
        <v>0</v>
      </c>
      <c r="N55" s="155" t="n">
        <v>25259.19</v>
      </c>
      <c r="O55" s="152" t="n">
        <v>209.7142857</v>
      </c>
      <c r="P55" s="152" t="n">
        <v>2.097142857</v>
      </c>
      <c r="Q55" s="156" t="n">
        <v>-832.88</v>
      </c>
      <c r="R55" s="156" t="n">
        <v>717.35</v>
      </c>
      <c r="S55" s="152" t="n">
        <v>7.905263158</v>
      </c>
      <c r="T55" s="152" t="n">
        <v>3.542222222</v>
      </c>
      <c r="U55" s="152" t="n">
        <v>4.363040936</v>
      </c>
      <c r="V55" s="152" t="n">
        <v>1.934999993</v>
      </c>
      <c r="W55" s="152" t="n">
        <v>2.428040943</v>
      </c>
      <c r="X55" s="158" t="n">
        <v>1.780857149</v>
      </c>
      <c r="Y55" s="158" t="n">
        <v>502.0785714</v>
      </c>
      <c r="Z55" s="158" t="n">
        <v>12.81809524</v>
      </c>
      <c r="AA55" s="158" t="n">
        <v>2.856255</v>
      </c>
      <c r="AB55" s="159" t="n">
        <v>-0.003769763674</v>
      </c>
      <c r="AC55" s="159" t="n">
        <v>-0.1499648446</v>
      </c>
      <c r="AD55" s="159" t="n">
        <v>77.23594029</v>
      </c>
      <c r="AE55" s="159" t="n">
        <v>71.69</v>
      </c>
      <c r="AF55" s="159" t="n">
        <v>1.37474</v>
      </c>
      <c r="AG55" s="159" t="n">
        <v>0.417895</v>
      </c>
      <c r="AH55" s="159" t="n">
        <v>0.928947</v>
      </c>
      <c r="AI55" s="159" t="n">
        <v>3.73316</v>
      </c>
      <c r="AJ55" s="159" t="n">
        <v>2.80421</v>
      </c>
      <c r="AK55" s="159" t="n">
        <v>2.06632</v>
      </c>
      <c r="AL55" s="159" t="n">
        <v>2.35842</v>
      </c>
      <c r="AM55" s="159" t="n">
        <v>117.743</v>
      </c>
      <c r="AN55" s="159" t="n">
        <v>-0.19208</v>
      </c>
      <c r="AO55" s="159" t="n">
        <v>-0.1978</v>
      </c>
      <c r="AP55" s="159" t="n">
        <v>-0.0388</v>
      </c>
      <c r="AQ55" s="159" t="n">
        <v>9.91006</v>
      </c>
      <c r="AR55" s="159" t="n"/>
      <c r="AS55" s="159" t="n">
        <v>0.188421</v>
      </c>
      <c r="AT55" s="159" t="n">
        <v>9.800000000000001</v>
      </c>
      <c r="AU55" s="159" t="n">
        <v>100.3</v>
      </c>
      <c r="AV55" s="159" t="n">
        <v>112.8</v>
      </c>
      <c r="AW55" s="159" t="n">
        <v>99.8013</v>
      </c>
      <c r="AX55" s="159" t="n">
        <v>85.8934</v>
      </c>
      <c r="AY55" s="159" t="n">
        <v>4.33293355</v>
      </c>
      <c r="AZ55" s="159" t="n">
        <v>4.940520365</v>
      </c>
      <c r="BA55" s="159" t="n">
        <v>9.345482966000001</v>
      </c>
      <c r="BB55" s="159" t="n">
        <v>4.492478418</v>
      </c>
      <c r="BC55" s="159" t="n">
        <v>4.635699391</v>
      </c>
    </row>
    <row r="56">
      <c r="A56" s="83" t="inlineStr">
        <is>
          <t>2010-02</t>
        </is>
      </c>
      <c r="B56" s="155" t="n">
        <v>1951.723929</v>
      </c>
      <c r="C56" s="155" t="n">
        <v>154.55</v>
      </c>
      <c r="D56" s="155" t="n">
        <v>273.2</v>
      </c>
      <c r="E56" s="155" t="n">
        <v>3934.84</v>
      </c>
      <c r="F56" s="152" t="n">
        <v>3.5</v>
      </c>
      <c r="G56" s="152" t="n">
        <v>0.13</v>
      </c>
      <c r="H56" s="152" t="n">
        <v>3.37</v>
      </c>
      <c r="I56" s="156" t="n">
        <v>-450.9388046</v>
      </c>
      <c r="J56" s="152" t="n">
        <v>3.109598706</v>
      </c>
      <c r="K56" s="152" t="n">
        <v>93.88668</v>
      </c>
      <c r="L56" s="152" t="n">
        <v>22.54</v>
      </c>
      <c r="M56" s="157" t="n">
        <v>0</v>
      </c>
      <c r="N56" s="155" t="n">
        <v>25205.3</v>
      </c>
      <c r="O56" s="152" t="n">
        <v>235.1</v>
      </c>
      <c r="P56" s="152" t="n">
        <v>2.351</v>
      </c>
      <c r="Q56" s="156" t="n">
        <v>-841.4</v>
      </c>
      <c r="R56" s="156" t="n">
        <v>839.52</v>
      </c>
      <c r="S56" s="152" t="n">
        <v>8.4435</v>
      </c>
      <c r="T56" s="152" t="n">
        <v>3.3495</v>
      </c>
      <c r="U56" s="152" t="n">
        <v>5.094</v>
      </c>
      <c r="V56" s="152" t="n">
        <v>1.882184204</v>
      </c>
      <c r="W56" s="152" t="n">
        <v>3.211815796</v>
      </c>
      <c r="X56" s="158" t="n">
        <v>1.841100007</v>
      </c>
      <c r="Y56" s="158" t="n">
        <v>532.01</v>
      </c>
      <c r="Z56" s="158" t="n">
        <v>12.9288</v>
      </c>
      <c r="AA56" s="158" t="n">
        <v>2.853985</v>
      </c>
      <c r="AB56" s="159" t="n">
        <v>1.025260927</v>
      </c>
      <c r="AC56" s="159" t="n">
        <v>0.7554181934</v>
      </c>
      <c r="AD56" s="159" t="n">
        <v>78.38059387</v>
      </c>
      <c r="AE56" s="159" t="n">
        <v>72.28</v>
      </c>
      <c r="AF56" s="159" t="n">
        <v>1.41895</v>
      </c>
      <c r="AG56" s="159" t="n">
        <v>0.415789</v>
      </c>
      <c r="AH56" s="159" t="n">
        <v>0.856842</v>
      </c>
      <c r="AI56" s="159" t="n">
        <v>3.69105</v>
      </c>
      <c r="AJ56" s="159" t="n">
        <v>2.83421</v>
      </c>
      <c r="AK56" s="159" t="n">
        <v>1.94789</v>
      </c>
      <c r="AL56" s="159" t="n">
        <v>2.27211</v>
      </c>
      <c r="AM56" s="159" t="n">
        <v>112.853</v>
      </c>
      <c r="AN56" s="159" t="n">
        <v>-0.091475</v>
      </c>
      <c r="AO56" s="159" t="n">
        <v>-0.21775</v>
      </c>
      <c r="AP56" s="159" t="n">
        <v>-0.04775</v>
      </c>
      <c r="AQ56" s="159" t="n">
        <v>9.932510000000001</v>
      </c>
      <c r="AR56" s="159" t="n"/>
      <c r="AS56" s="159" t="n">
        <v>0.141053</v>
      </c>
      <c r="AT56" s="159" t="n">
        <v>9.800000000000001</v>
      </c>
      <c r="AU56" s="159" t="n">
        <v>100.2</v>
      </c>
      <c r="AV56" s="159" t="n">
        <v>112.8</v>
      </c>
      <c r="AW56" s="159" t="n">
        <v>99.89019999999999</v>
      </c>
      <c r="AX56" s="159" t="n">
        <v>86.92910000000001</v>
      </c>
      <c r="AY56" s="159" t="n">
        <v>4.300709469</v>
      </c>
      <c r="AZ56" s="159" t="n">
        <v>4.916815337</v>
      </c>
      <c r="BA56" s="159" t="n">
        <v>9.344783849000001</v>
      </c>
      <c r="BB56" s="159" t="n">
        <v>4.496224362</v>
      </c>
      <c r="BC56" s="159" t="n">
        <v>4.6558633</v>
      </c>
    </row>
    <row r="57">
      <c r="A57" s="83" t="inlineStr">
        <is>
          <t>2010-03</t>
        </is>
      </c>
      <c r="B57" s="155" t="n">
        <v>1908.991935</v>
      </c>
      <c r="C57" s="155" t="n">
        <v>159.54</v>
      </c>
      <c r="D57" s="155" t="n">
        <v>361.06</v>
      </c>
      <c r="E57" s="155" t="n">
        <v>3909.99</v>
      </c>
      <c r="F57" s="152" t="n">
        <v>3.5</v>
      </c>
      <c r="G57" s="152" t="n">
        <v>0.16</v>
      </c>
      <c r="H57" s="152" t="n">
        <v>3.34</v>
      </c>
      <c r="I57" s="156" t="n">
        <v>-989.6072038</v>
      </c>
      <c r="J57" s="152" t="n">
        <v>3.076223761</v>
      </c>
      <c r="K57" s="152" t="n">
        <v>93.14987825999999</v>
      </c>
      <c r="L57" s="152" t="n">
        <v>17.7673913</v>
      </c>
      <c r="M57" s="157" t="n">
        <v>0</v>
      </c>
      <c r="N57" s="155" t="n">
        <v>25501.04</v>
      </c>
      <c r="O57" s="152" t="n">
        <v>189</v>
      </c>
      <c r="P57" s="152" t="n">
        <v>1.89</v>
      </c>
      <c r="Q57" s="156" t="n">
        <v>-751.64</v>
      </c>
      <c r="R57" s="156" t="n">
        <v>1290.25</v>
      </c>
      <c r="S57" s="152" t="n">
        <v>8.435454545000001</v>
      </c>
      <c r="T57" s="152" t="n">
        <v>3.57952381</v>
      </c>
      <c r="U57" s="152" t="n">
        <v>4.855930736</v>
      </c>
      <c r="V57" s="152" t="n">
        <v>1.870039137</v>
      </c>
      <c r="W57" s="152" t="n">
        <v>2.985891599</v>
      </c>
      <c r="X57" s="158" t="n">
        <v>1.78543479</v>
      </c>
      <c r="Y57" s="158" t="n">
        <v>522.7130435</v>
      </c>
      <c r="Z57" s="158" t="n">
        <v>12.57069565</v>
      </c>
      <c r="AA57" s="158" t="n">
        <v>2.839278261</v>
      </c>
      <c r="AB57" s="159" t="n">
        <v>-0.9384199028</v>
      </c>
      <c r="AC57" s="159" t="n">
        <v>-0.8052634607</v>
      </c>
      <c r="AD57" s="159" t="n">
        <v>78.73699138000001</v>
      </c>
      <c r="AE57" s="159" t="n">
        <v>72.45999999999999</v>
      </c>
      <c r="AF57" s="159" t="n">
        <v>1.50826</v>
      </c>
      <c r="AG57" s="159" t="n">
        <v>0.561304</v>
      </c>
      <c r="AH57" s="159" t="n">
        <v>0.958696</v>
      </c>
      <c r="AI57" s="159" t="n">
        <v>3.72739</v>
      </c>
      <c r="AJ57" s="159" t="n">
        <v>2.7687</v>
      </c>
      <c r="AK57" s="159" t="n">
        <v>1.87174</v>
      </c>
      <c r="AL57" s="159" t="n">
        <v>2.21913</v>
      </c>
      <c r="AM57" s="159" t="n">
        <v>113.055</v>
      </c>
      <c r="AN57" s="159" t="n">
        <v>-0.41155</v>
      </c>
      <c r="AO57" s="159" t="n">
        <v>-0.3595</v>
      </c>
      <c r="AP57" s="159" t="n">
        <v>-0.23425</v>
      </c>
      <c r="AQ57" s="159" t="n">
        <v>10.048</v>
      </c>
      <c r="AR57" s="159" t="n"/>
      <c r="AS57" s="159" t="n">
        <v>0.117826</v>
      </c>
      <c r="AT57" s="159" t="n">
        <v>9.9</v>
      </c>
      <c r="AU57" s="159" t="n">
        <v>100.1</v>
      </c>
      <c r="AV57" s="159" t="n">
        <v>118.1</v>
      </c>
      <c r="AW57" s="159" t="n">
        <v>99.9393</v>
      </c>
      <c r="AX57" s="159" t="n">
        <v>86.31619999999999</v>
      </c>
      <c r="AY57" s="159" t="n">
        <v>4.367260652</v>
      </c>
      <c r="AZ57" s="159" t="n">
        <v>4.952412785</v>
      </c>
      <c r="BA57" s="159" t="n">
        <v>9.344783849000001</v>
      </c>
      <c r="BB57" s="159" t="n">
        <v>4.503057723</v>
      </c>
      <c r="BC57" s="159" t="n">
        <v>4.657762636</v>
      </c>
    </row>
    <row r="58">
      <c r="A58" s="83" t="inlineStr">
        <is>
          <t>2010-04</t>
        </is>
      </c>
      <c r="B58" s="155" t="n">
        <v>1937.449</v>
      </c>
      <c r="C58" s="155" t="n">
        <v>164.62</v>
      </c>
      <c r="D58" s="155" t="n">
        <v>317.54</v>
      </c>
      <c r="E58" s="155" t="n">
        <v>3887.45</v>
      </c>
      <c r="F58" s="152" t="n">
        <v>3.5</v>
      </c>
      <c r="G58" s="152" t="n">
        <v>0.2</v>
      </c>
      <c r="H58" s="152" t="n">
        <v>3.3</v>
      </c>
      <c r="I58" s="156" t="n">
        <v>314.8964864</v>
      </c>
      <c r="J58" s="152" t="n">
        <v>3.553742597</v>
      </c>
      <c r="K58" s="152" t="n">
        <v>92.63908635999999</v>
      </c>
      <c r="L58" s="152" t="n">
        <v>17.42428571</v>
      </c>
      <c r="M58" s="157" t="n">
        <v>0</v>
      </c>
      <c r="N58" s="155" t="n">
        <v>25905.52</v>
      </c>
      <c r="O58" s="152" t="n">
        <v>172.7727273</v>
      </c>
      <c r="P58" s="152" t="n">
        <v>1.727727273</v>
      </c>
      <c r="Q58" s="156" t="n">
        <v>-636.67</v>
      </c>
      <c r="R58" s="156" t="n">
        <v>1056.83</v>
      </c>
      <c r="S58" s="152" t="n">
        <v>8.07</v>
      </c>
      <c r="T58" s="152" t="n">
        <v>4.034736842</v>
      </c>
      <c r="U58" s="152" t="n">
        <v>4.035263158</v>
      </c>
      <c r="V58" s="152" t="n">
        <v>1.999209095</v>
      </c>
      <c r="W58" s="152" t="n">
        <v>2.036054063</v>
      </c>
      <c r="X58" s="158" t="n">
        <v>1.7595</v>
      </c>
      <c r="Y58" s="158" t="n">
        <v>519.775</v>
      </c>
      <c r="Z58" s="158" t="n">
        <v>12.24972727</v>
      </c>
      <c r="AA58" s="158" t="n">
        <v>2.8398</v>
      </c>
      <c r="AB58" s="159" t="n">
        <v>-0.6159872758</v>
      </c>
      <c r="AC58" s="159" t="n">
        <v>-0.4558311011</v>
      </c>
      <c r="AD58" s="159" t="n">
        <v>79.21529423</v>
      </c>
      <c r="AE58" s="159" t="n">
        <v>72.79000000000001</v>
      </c>
      <c r="AF58" s="159" t="n">
        <v>1.50091</v>
      </c>
      <c r="AG58" s="159" t="n">
        <v>0.620455</v>
      </c>
      <c r="AH58" s="159" t="n">
        <v>1.06045</v>
      </c>
      <c r="AI58" s="159" t="n">
        <v>3.84682</v>
      </c>
      <c r="AJ58" s="159" t="n">
        <v>2.78636</v>
      </c>
      <c r="AK58" s="159" t="n">
        <v>1.96091</v>
      </c>
      <c r="AL58" s="159" t="n">
        <v>2.34591</v>
      </c>
      <c r="AM58" s="159" t="n">
        <v>108.71</v>
      </c>
      <c r="AN58" s="159" t="n">
        <v>-0.37292</v>
      </c>
      <c r="AO58" s="159" t="n">
        <v>-0.4408</v>
      </c>
      <c r="AP58" s="159" t="n">
        <v>-0.392</v>
      </c>
      <c r="AQ58" s="159" t="n">
        <v>10.1472</v>
      </c>
      <c r="AR58" s="159" t="n"/>
      <c r="AS58" s="159" t="n">
        <v>0.15</v>
      </c>
      <c r="AT58" s="159" t="n">
        <v>9.9</v>
      </c>
      <c r="AU58" s="159" t="n">
        <v>100.3</v>
      </c>
      <c r="AV58" s="159" t="n">
        <v>117.8</v>
      </c>
      <c r="AW58" s="159" t="n">
        <v>99.9572</v>
      </c>
      <c r="AX58" s="159" t="n">
        <v>86.4923</v>
      </c>
      <c r="AY58" s="159" t="n">
        <v>4.440503068</v>
      </c>
      <c r="AZ58" s="159" t="n">
        <v>5.006105048</v>
      </c>
      <c r="BA58" s="159" t="n">
        <v>9.347926035</v>
      </c>
      <c r="BB58" s="159" t="n">
        <v>4.506444279</v>
      </c>
      <c r="BC58" s="159" t="n">
        <v>4.666265285</v>
      </c>
    </row>
    <row r="59">
      <c r="A59" s="83" t="inlineStr">
        <is>
          <t>2010-05</t>
        </is>
      </c>
      <c r="B59" s="155" t="n">
        <v>1983.593226</v>
      </c>
      <c r="C59" s="155" t="n">
        <v>155.44</v>
      </c>
      <c r="D59" s="155" t="n">
        <v>329.87</v>
      </c>
      <c r="E59" s="155" t="n">
        <v>3875.7</v>
      </c>
      <c r="F59" s="152" t="n">
        <v>3.032258065</v>
      </c>
      <c r="G59" s="152" t="n">
        <v>0.2</v>
      </c>
      <c r="H59" s="152" t="n">
        <v>2.832258065</v>
      </c>
      <c r="I59" s="156" t="n">
        <v>-1793.193985</v>
      </c>
      <c r="J59" s="152" t="n">
        <v>3.538401375</v>
      </c>
      <c r="K59" s="152" t="n">
        <v>95.53064000000001</v>
      </c>
      <c r="L59" s="152" t="n">
        <v>31.9295</v>
      </c>
      <c r="M59" s="157" t="n">
        <v>0</v>
      </c>
      <c r="N59" s="155" t="n">
        <v>25933.86</v>
      </c>
      <c r="O59" s="152" t="n">
        <v>231.047619</v>
      </c>
      <c r="P59" s="152" t="n">
        <v>2.31047619</v>
      </c>
      <c r="Q59" s="156" t="n">
        <v>-764.96</v>
      </c>
      <c r="R59" s="156" t="n">
        <v>893.4</v>
      </c>
      <c r="S59" s="152" t="n">
        <v>7.8595</v>
      </c>
      <c r="T59" s="152" t="n">
        <v>4.047368421</v>
      </c>
      <c r="U59" s="152" t="n">
        <v>3.812131579</v>
      </c>
      <c r="V59" s="152" t="n">
        <v>1.754359984</v>
      </c>
      <c r="W59" s="152" t="n">
        <v>2.057771595</v>
      </c>
      <c r="X59" s="158" t="n">
        <v>1.813714294</v>
      </c>
      <c r="Y59" s="158" t="n">
        <v>533.3666667</v>
      </c>
      <c r="Z59" s="158" t="n">
        <v>12.7382381</v>
      </c>
      <c r="AA59" s="158" t="n">
        <v>2.845452381</v>
      </c>
      <c r="AB59" s="159" t="n">
        <v>0.9632611718</v>
      </c>
      <c r="AC59" s="159" t="n">
        <v>0.7649034159</v>
      </c>
      <c r="AD59" s="159" t="n">
        <v>79.04243719</v>
      </c>
      <c r="AE59" s="159" t="n">
        <v>72.87</v>
      </c>
      <c r="AF59" s="159" t="n">
        <v>1.307</v>
      </c>
      <c r="AG59" s="159" t="n">
        <v>0.4095</v>
      </c>
      <c r="AH59" s="159" t="n">
        <v>0.8305</v>
      </c>
      <c r="AI59" s="159" t="n">
        <v>3.42</v>
      </c>
      <c r="AJ59" s="159" t="n">
        <v>2.5895</v>
      </c>
      <c r="AK59" s="159" t="n">
        <v>1.7705</v>
      </c>
      <c r="AL59" s="159" t="n">
        <v>2.113</v>
      </c>
      <c r="AM59" s="159" t="n">
        <v>145.691</v>
      </c>
      <c r="AN59" s="159" t="n">
        <v>0.701775</v>
      </c>
      <c r="AO59" s="159" t="n">
        <v>-0.19225</v>
      </c>
      <c r="AP59" s="159" t="n">
        <v>-0.062</v>
      </c>
      <c r="AQ59" s="159" t="n">
        <v>9.850199999999999</v>
      </c>
      <c r="AR59" s="159" t="n"/>
      <c r="AS59" s="159" t="n">
        <v>0.299474</v>
      </c>
      <c r="AT59" s="159" t="n">
        <v>9.6</v>
      </c>
      <c r="AU59" s="159" t="n">
        <v>100.6</v>
      </c>
      <c r="AV59" s="159" t="n">
        <v>116.5</v>
      </c>
      <c r="AW59" s="159" t="n">
        <v>99.9543</v>
      </c>
      <c r="AX59" s="159" t="n">
        <v>86.40779999999999</v>
      </c>
      <c r="AY59" s="159" t="n">
        <v>4.330015978</v>
      </c>
      <c r="AZ59" s="159" t="n">
        <v>4.944851554</v>
      </c>
      <c r="BA59" s="159" t="n">
        <v>9.351058378999999</v>
      </c>
      <c r="BB59" s="159" t="n">
        <v>4.519862811</v>
      </c>
      <c r="BC59" s="159" t="n">
        <v>4.666265285</v>
      </c>
    </row>
    <row r="60">
      <c r="A60" s="83" t="inlineStr">
        <is>
          <t>2010-06</t>
        </is>
      </c>
      <c r="B60" s="155" t="n">
        <v>1926.846</v>
      </c>
      <c r="C60" s="155" t="n">
        <v>160.18</v>
      </c>
      <c r="D60" s="155" t="n">
        <v>319.07</v>
      </c>
      <c r="E60" s="155" t="n">
        <v>3881.69</v>
      </c>
      <c r="F60" s="152" t="n">
        <v>3</v>
      </c>
      <c r="G60" s="152" t="n">
        <v>0.18</v>
      </c>
      <c r="H60" s="152" t="n">
        <v>2.82</v>
      </c>
      <c r="I60" s="156" t="n">
        <v>-3600.618051</v>
      </c>
      <c r="J60" s="152" t="n">
        <v>3.831127284</v>
      </c>
      <c r="K60" s="152" t="n">
        <v>96.06062727</v>
      </c>
      <c r="L60" s="152" t="n">
        <v>29.91636364</v>
      </c>
      <c r="M60" s="157" t="n">
        <v>0</v>
      </c>
      <c r="N60" s="155" t="n">
        <v>26402.22</v>
      </c>
      <c r="O60" s="152" t="n">
        <v>223.0454545</v>
      </c>
      <c r="P60" s="152" t="n">
        <v>2.230454545</v>
      </c>
      <c r="Q60" s="156" t="n">
        <v>-987.02</v>
      </c>
      <c r="R60" s="156" t="n">
        <v>1647.53</v>
      </c>
      <c r="S60" s="152" t="n">
        <v>7.6075</v>
      </c>
      <c r="T60" s="152" t="n">
        <v>3.884736842</v>
      </c>
      <c r="U60" s="152" t="n">
        <v>3.722763158</v>
      </c>
      <c r="V60" s="152" t="n">
        <v>1.543190907</v>
      </c>
      <c r="W60" s="152" t="n">
        <v>2.179572251</v>
      </c>
      <c r="X60" s="158" t="n">
        <v>1.805318182</v>
      </c>
      <c r="Y60" s="158" t="n">
        <v>537.4727273</v>
      </c>
      <c r="Z60" s="158" t="n">
        <v>12.717</v>
      </c>
      <c r="AA60" s="158" t="n">
        <v>2.83802</v>
      </c>
      <c r="AB60" s="159" t="n">
        <v>-0.06941040028999999</v>
      </c>
      <c r="AC60" s="159" t="n">
        <v>-0.1021988389</v>
      </c>
      <c r="AD60" s="159" t="n">
        <v>79.3025507</v>
      </c>
      <c r="AE60" s="159" t="n">
        <v>72.95</v>
      </c>
      <c r="AF60" s="159" t="n">
        <v>1.25682</v>
      </c>
      <c r="AG60" s="159" t="n">
        <v>0.344545</v>
      </c>
      <c r="AH60" s="159" t="n">
        <v>0.724545</v>
      </c>
      <c r="AI60" s="159" t="n">
        <v>3.20409</v>
      </c>
      <c r="AJ60" s="159" t="n">
        <v>2.47955</v>
      </c>
      <c r="AK60" s="159" t="n">
        <v>1.65182</v>
      </c>
      <c r="AL60" s="159" t="n">
        <v>1.94727</v>
      </c>
      <c r="AM60" s="159" t="n">
        <v>136.259</v>
      </c>
      <c r="AN60" s="159" t="n">
        <v>0.727625</v>
      </c>
      <c r="AO60" s="159" t="n">
        <v>-0.07174999999999999</v>
      </c>
      <c r="AP60" s="159" t="n">
        <v>0.0605</v>
      </c>
      <c r="AQ60" s="159" t="n">
        <v>9.51614</v>
      </c>
      <c r="AR60" s="159" t="n"/>
      <c r="AS60" s="159" t="n">
        <v>0.414545</v>
      </c>
      <c r="AT60" s="159" t="n">
        <v>9.4</v>
      </c>
      <c r="AU60" s="159" t="n">
        <v>100.4</v>
      </c>
      <c r="AV60" s="159" t="n">
        <v>113.7</v>
      </c>
      <c r="AW60" s="159" t="n">
        <v>99.9481</v>
      </c>
      <c r="AX60" s="159" t="n">
        <v>85.88639999999999</v>
      </c>
      <c r="AY60" s="159" t="n">
        <v>4.314295021</v>
      </c>
      <c r="AZ60" s="159" t="n">
        <v>4.925251682</v>
      </c>
      <c r="BA60" s="159" t="n">
        <v>9.352620879</v>
      </c>
      <c r="BB60" s="159" t="n">
        <v>4.521710313</v>
      </c>
      <c r="BC60" s="159" t="n">
        <v>4.667205577</v>
      </c>
    </row>
    <row r="61">
      <c r="A61" s="83" t="inlineStr">
        <is>
          <t>2010-07</t>
        </is>
      </c>
      <c r="B61" s="155" t="n">
        <v>1874.41129</v>
      </c>
      <c r="C61" s="155" t="n">
        <v>155.63</v>
      </c>
      <c r="D61" s="155" t="n">
        <v>341.59</v>
      </c>
      <c r="E61" s="155" t="n">
        <v>3908.81</v>
      </c>
      <c r="F61" s="152" t="n">
        <v>3</v>
      </c>
      <c r="G61" s="152" t="n">
        <v>0.18</v>
      </c>
      <c r="H61" s="152" t="n">
        <v>2.82</v>
      </c>
      <c r="I61" s="156" t="n">
        <v>-2150.40688</v>
      </c>
      <c r="J61" s="152" t="n">
        <v>3.723117998</v>
      </c>
      <c r="K61" s="152" t="n">
        <v>94.45469048</v>
      </c>
      <c r="L61" s="152" t="n">
        <v>25.5652381</v>
      </c>
      <c r="M61" s="157" t="n">
        <v>0</v>
      </c>
      <c r="N61" s="155" t="n">
        <v>26665.02</v>
      </c>
      <c r="O61" s="152" t="n">
        <v>199.0454545</v>
      </c>
      <c r="P61" s="152" t="n">
        <v>1.990454545</v>
      </c>
      <c r="Q61" s="156" t="n">
        <v>-1028.52</v>
      </c>
      <c r="R61" s="156" t="n">
        <v>1358.97</v>
      </c>
      <c r="S61" s="152" t="n">
        <v>7.229</v>
      </c>
      <c r="T61" s="152" t="n">
        <v>3.3095</v>
      </c>
      <c r="U61" s="152" t="n">
        <v>3.9195</v>
      </c>
      <c r="V61" s="152" t="n">
        <v>1.310180942</v>
      </c>
      <c r="W61" s="152" t="n">
        <v>2.609319058</v>
      </c>
      <c r="X61" s="158" t="n">
        <v>1.76931818</v>
      </c>
      <c r="Y61" s="158" t="n">
        <v>530.2136364</v>
      </c>
      <c r="Z61" s="158" t="n">
        <v>12.8205</v>
      </c>
      <c r="AA61" s="158" t="n">
        <v>2.823015789</v>
      </c>
      <c r="AB61" s="159" t="n">
        <v>-0.3588252628</v>
      </c>
      <c r="AC61" s="159" t="n">
        <v>-0.3732728373</v>
      </c>
      <c r="AD61" s="159" t="n">
        <v>79.39808649</v>
      </c>
      <c r="AE61" s="159" t="n">
        <v>72.92</v>
      </c>
      <c r="AF61" s="159" t="n">
        <v>1.24095</v>
      </c>
      <c r="AG61" s="159" t="n">
        <v>0.340476</v>
      </c>
      <c r="AH61" s="159" t="n">
        <v>0.616667</v>
      </c>
      <c r="AI61" s="159" t="n">
        <v>3.01143</v>
      </c>
      <c r="AJ61" s="159" t="n">
        <v>2.39476</v>
      </c>
      <c r="AK61" s="159" t="n">
        <v>1.42238</v>
      </c>
      <c r="AL61" s="159" t="n">
        <v>1.77048</v>
      </c>
      <c r="AM61" s="159" t="n">
        <v>147.17</v>
      </c>
      <c r="AN61" s="159" t="n">
        <v>0.51454</v>
      </c>
      <c r="AO61" s="159" t="n">
        <v>-0.2064</v>
      </c>
      <c r="AP61" s="159" t="n">
        <v>-0.1178</v>
      </c>
      <c r="AQ61" s="159" t="n">
        <v>9.499309999999999</v>
      </c>
      <c r="AR61" s="159" t="n"/>
      <c r="AS61" s="159" t="n">
        <v>0.351905</v>
      </c>
      <c r="AT61" s="159" t="n">
        <v>9.4</v>
      </c>
      <c r="AU61" s="159" t="n">
        <v>100.5</v>
      </c>
      <c r="AV61" s="159" t="n">
        <v>113.4</v>
      </c>
      <c r="AW61" s="159" t="n">
        <v>99.96250000000001</v>
      </c>
      <c r="AX61" s="159" t="n">
        <v>86.2316</v>
      </c>
      <c r="AY61" s="159" t="n">
        <v>4.325191698</v>
      </c>
      <c r="AZ61" s="159" t="n">
        <v>4.925883181</v>
      </c>
      <c r="BA61" s="159" t="n">
        <v>9.354094335999999</v>
      </c>
      <c r="BB61" s="159" t="n">
        <v>4.525500159</v>
      </c>
      <c r="BC61" s="159" t="n">
        <v>4.671893818</v>
      </c>
    </row>
    <row r="62">
      <c r="A62" s="83" t="inlineStr">
        <is>
          <t>2010-08</t>
        </is>
      </c>
      <c r="B62" s="155" t="n">
        <v>1821.200645</v>
      </c>
      <c r="C62" s="155" t="n">
        <v>158.98</v>
      </c>
      <c r="D62" s="155" t="n">
        <v>337</v>
      </c>
      <c r="E62" s="155" t="n">
        <v>3941.76</v>
      </c>
      <c r="F62" s="152" t="n">
        <v>3</v>
      </c>
      <c r="G62" s="152" t="n">
        <v>0.19</v>
      </c>
      <c r="H62" s="152" t="n">
        <v>2.81</v>
      </c>
      <c r="I62" s="156" t="n">
        <v>134.6172056</v>
      </c>
      <c r="J62" s="152" t="n">
        <v>3.835619272</v>
      </c>
      <c r="K62" s="152" t="n">
        <v>93.68223182</v>
      </c>
      <c r="L62" s="152" t="n">
        <v>24.74590909</v>
      </c>
      <c r="M62" s="157" t="n">
        <v>0</v>
      </c>
      <c r="N62" s="155" t="n">
        <v>26701.9</v>
      </c>
      <c r="O62" s="152" t="n">
        <v>165.7727273</v>
      </c>
      <c r="P62" s="152" t="n">
        <v>1.657727273</v>
      </c>
      <c r="Q62" s="156" t="n">
        <v>-900.77</v>
      </c>
      <c r="R62" s="156" t="n">
        <v>998.17</v>
      </c>
      <c r="S62" s="152" t="n">
        <v>6.921904762</v>
      </c>
      <c r="T62" s="152" t="n">
        <v>3.147222222</v>
      </c>
      <c r="U62" s="152" t="n">
        <v>3.77468254</v>
      </c>
      <c r="V62" s="152" t="n">
        <v>1.219454532</v>
      </c>
      <c r="W62" s="152" t="n">
        <v>2.555228007</v>
      </c>
      <c r="X62" s="158" t="n">
        <v>1.758727279</v>
      </c>
      <c r="Y62" s="158" t="n">
        <v>508.0090909</v>
      </c>
      <c r="Z62" s="158" t="n">
        <v>12.76863636</v>
      </c>
      <c r="AA62" s="158" t="n">
        <v>2.801847619</v>
      </c>
      <c r="AB62" s="159" t="n">
        <v>-0.740102386</v>
      </c>
      <c r="AC62" s="159" t="n">
        <v>-0.7039985068</v>
      </c>
      <c r="AD62" s="159" t="n">
        <v>79.45216114</v>
      </c>
      <c r="AE62" s="159" t="n">
        <v>73</v>
      </c>
      <c r="AF62" s="159" t="n">
        <v>1.02182</v>
      </c>
      <c r="AG62" s="159" t="n">
        <v>0.129091</v>
      </c>
      <c r="AH62" s="159" t="n">
        <v>0.520455</v>
      </c>
      <c r="AI62" s="159" t="n">
        <v>2.69864</v>
      </c>
      <c r="AJ62" s="159" t="n">
        <v>2.17818</v>
      </c>
      <c r="AK62" s="159" t="n">
        <v>1.33636</v>
      </c>
      <c r="AL62" s="159" t="n">
        <v>1.67682</v>
      </c>
      <c r="AM62" s="159" t="n">
        <v>122.243</v>
      </c>
      <c r="AN62" s="159" t="n">
        <v>0.38815</v>
      </c>
      <c r="AO62" s="159" t="n">
        <v>-0.2885</v>
      </c>
      <c r="AP62" s="159" t="n">
        <v>-0.19975</v>
      </c>
      <c r="AQ62" s="159" t="n">
        <v>9.61462</v>
      </c>
      <c r="AR62" s="159" t="n"/>
      <c r="AS62" s="159" t="n">
        <v>0.206667</v>
      </c>
      <c r="AT62" s="159" t="n">
        <v>9.5</v>
      </c>
      <c r="AU62" s="159" t="n">
        <v>100.5</v>
      </c>
      <c r="AV62" s="159" t="n">
        <v>113.9</v>
      </c>
      <c r="AW62" s="159" t="n">
        <v>100.012</v>
      </c>
      <c r="AX62" s="159" t="n">
        <v>86.74590000000001</v>
      </c>
      <c r="AY62" s="159" t="n">
        <v>4.344318277</v>
      </c>
      <c r="AZ62" s="159" t="n">
        <v>4.953486292</v>
      </c>
      <c r="BA62" s="159" t="n">
        <v>9.353401215</v>
      </c>
      <c r="BB62" s="159" t="n">
        <v>4.529158094</v>
      </c>
      <c r="BC62" s="159" t="n">
        <v>4.670021158</v>
      </c>
    </row>
    <row r="63">
      <c r="A63" s="83" t="inlineStr">
        <is>
          <t>2010-09</t>
        </is>
      </c>
      <c r="B63" s="155" t="n">
        <v>1805.772333</v>
      </c>
      <c r="C63" s="155" t="n">
        <v>158.74</v>
      </c>
      <c r="D63" s="155" t="n">
        <v>330.33</v>
      </c>
      <c r="E63" s="155" t="n">
        <v>3958.39</v>
      </c>
      <c r="F63" s="152" t="n">
        <v>3</v>
      </c>
      <c r="G63" s="152" t="n">
        <v>0.19</v>
      </c>
      <c r="H63" s="152" t="n">
        <v>2.81</v>
      </c>
      <c r="I63" s="156" t="n">
        <v>424.749597</v>
      </c>
      <c r="J63" s="152" t="n">
        <v>3.519088865</v>
      </c>
      <c r="K63" s="152" t="n">
        <v>92.76259524</v>
      </c>
      <c r="L63" s="152" t="n">
        <v>22.51761905</v>
      </c>
      <c r="M63" s="157" t="n">
        <v>0</v>
      </c>
      <c r="N63" s="155" t="n">
        <v>27286.08</v>
      </c>
      <c r="O63" s="152" t="n">
        <v>175.7727273</v>
      </c>
      <c r="P63" s="152" t="n">
        <v>1.757727273</v>
      </c>
      <c r="Q63" s="156" t="n">
        <v>-1120.01</v>
      </c>
      <c r="R63" s="156" t="n">
        <v>1716.03</v>
      </c>
      <c r="S63" s="152" t="n">
        <v>6.744545455</v>
      </c>
      <c r="T63" s="152" t="n">
        <v>2.988095238</v>
      </c>
      <c r="U63" s="152" t="n">
        <v>3.756450216</v>
      </c>
      <c r="V63" s="152" t="n">
        <v>1.219790476</v>
      </c>
      <c r="W63" s="152" t="n">
        <v>2.536659741</v>
      </c>
      <c r="X63" s="158" t="n">
        <v>1.717727271</v>
      </c>
      <c r="Y63" s="158" t="n">
        <v>493.4136364</v>
      </c>
      <c r="Z63" s="158" t="n">
        <v>12.803</v>
      </c>
      <c r="AA63" s="158" t="n">
        <v>2.790590909</v>
      </c>
      <c r="AB63" s="159" t="n">
        <v>-0.6491606132</v>
      </c>
      <c r="AC63" s="159" t="n">
        <v>-0.565376246</v>
      </c>
      <c r="AD63" s="159" t="n">
        <v>80.4583422</v>
      </c>
      <c r="AE63" s="159" t="n">
        <v>72.90000000000001</v>
      </c>
      <c r="AF63" s="159" t="n">
        <v>0.909048</v>
      </c>
      <c r="AG63" s="159" t="n">
        <v>0.131429</v>
      </c>
      <c r="AH63" s="159" t="n">
        <v>0.48</v>
      </c>
      <c r="AI63" s="159" t="n">
        <v>2.64762</v>
      </c>
      <c r="AJ63" s="159" t="n">
        <v>2.16762</v>
      </c>
      <c r="AK63" s="159" t="n">
        <v>1.27905</v>
      </c>
      <c r="AL63" s="159" t="n">
        <v>1.73857</v>
      </c>
      <c r="AM63" s="159" t="n">
        <v>132.437</v>
      </c>
      <c r="AN63" s="159" t="n">
        <v>0.11265</v>
      </c>
      <c r="AO63" s="159" t="n">
        <v>-0.3265</v>
      </c>
      <c r="AP63" s="159" t="n">
        <v>-0.241</v>
      </c>
      <c r="AQ63" s="159" t="n">
        <v>9.68493</v>
      </c>
      <c r="AR63" s="159" t="n"/>
      <c r="AS63" s="159" t="n">
        <v>0.138571</v>
      </c>
      <c r="AT63" s="159" t="n">
        <v>9.5</v>
      </c>
      <c r="AU63" s="159" t="n">
        <v>100.5</v>
      </c>
      <c r="AV63" s="159" t="n">
        <v>113.3</v>
      </c>
      <c r="AW63" s="159" t="n">
        <v>100.103</v>
      </c>
      <c r="AX63" s="159" t="n">
        <v>87.26730000000001</v>
      </c>
      <c r="AY63" s="159" t="n">
        <v>4.354661861</v>
      </c>
      <c r="AZ63" s="159" t="n">
        <v>4.972642627</v>
      </c>
      <c r="BA63" s="159" t="n">
        <v>9.354354131999999</v>
      </c>
      <c r="BB63" s="159" t="n">
        <v>4.53210152</v>
      </c>
      <c r="BC63" s="159" t="n">
        <v>4.674696249</v>
      </c>
    </row>
    <row r="64">
      <c r="A64" s="83" t="inlineStr">
        <is>
          <t>2010-10</t>
        </is>
      </c>
      <c r="B64" s="155" t="n">
        <v>1808.607097</v>
      </c>
      <c r="C64" s="155" t="n">
        <v>163.94</v>
      </c>
      <c r="D64" s="155" t="n">
        <v>343.74</v>
      </c>
      <c r="E64" s="155" t="n">
        <v>3967.21</v>
      </c>
      <c r="F64" s="152" t="n">
        <v>3</v>
      </c>
      <c r="G64" s="152" t="n">
        <v>0.19</v>
      </c>
      <c r="H64" s="152" t="n">
        <v>2.81</v>
      </c>
      <c r="I64" s="156" t="n">
        <v>-2495.162226</v>
      </c>
      <c r="J64" s="152" t="n">
        <v>3.296175502</v>
      </c>
      <c r="K64" s="152" t="n">
        <v>90.22911999999999</v>
      </c>
      <c r="L64" s="152" t="n">
        <v>20.37333333</v>
      </c>
      <c r="M64" s="157" t="n">
        <v>0</v>
      </c>
      <c r="N64" s="155" t="n">
        <v>27838.86</v>
      </c>
      <c r="O64" s="152" t="n">
        <v>158.1428571</v>
      </c>
      <c r="P64" s="152" t="n">
        <v>1.581428571</v>
      </c>
      <c r="Q64" s="156" t="n">
        <v>-942.47</v>
      </c>
      <c r="R64" s="156" t="n">
        <v>1600.73</v>
      </c>
      <c r="S64" s="152" t="n">
        <v>6.5605</v>
      </c>
      <c r="T64" s="152" t="n">
        <v>3.052</v>
      </c>
      <c r="U64" s="152" t="n">
        <v>3.5085</v>
      </c>
      <c r="V64" s="152" t="n">
        <v>1.476570004</v>
      </c>
      <c r="W64" s="152" t="n">
        <v>2.031929996</v>
      </c>
      <c r="X64" s="158" t="n">
        <v>1.683904761</v>
      </c>
      <c r="Y64" s="158" t="n">
        <v>484.6142857</v>
      </c>
      <c r="Z64" s="158" t="n">
        <v>12.44404762</v>
      </c>
      <c r="AA64" s="158" t="n">
        <v>2.79163</v>
      </c>
      <c r="AB64" s="159" t="n">
        <v>-0.8488139257</v>
      </c>
      <c r="AC64" s="159" t="n">
        <v>-0.6266588473</v>
      </c>
      <c r="AD64" s="159" t="n">
        <v>81.10647735000001</v>
      </c>
      <c r="AE64" s="159" t="n">
        <v>72.84</v>
      </c>
      <c r="AF64" s="159" t="n">
        <v>0.525</v>
      </c>
      <c r="AG64" s="159" t="n">
        <v>-0.3245</v>
      </c>
      <c r="AH64" s="159" t="n">
        <v>0.376</v>
      </c>
      <c r="AI64" s="159" t="n">
        <v>2.54</v>
      </c>
      <c r="AJ64" s="159" t="n">
        <v>2.164</v>
      </c>
      <c r="AK64" s="159" t="n">
        <v>1.507</v>
      </c>
      <c r="AL64" s="159" t="n">
        <v>2.015</v>
      </c>
      <c r="AM64" s="159" t="n">
        <v>126.113</v>
      </c>
      <c r="AN64" s="159" t="n">
        <v>-0.07136000000000001</v>
      </c>
      <c r="AO64" s="159" t="n">
        <v>-0.425</v>
      </c>
      <c r="AP64" s="159" t="n">
        <v>-0.3596</v>
      </c>
      <c r="AQ64" s="159" t="n">
        <v>9.67586</v>
      </c>
      <c r="AR64" s="159" t="n"/>
      <c r="AS64" s="159" t="n">
        <v>0.1555</v>
      </c>
      <c r="AT64" s="159" t="n">
        <v>9.4</v>
      </c>
      <c r="AU64" s="159" t="n">
        <v>100.8</v>
      </c>
      <c r="AV64" s="159" t="n">
        <v>113.1</v>
      </c>
      <c r="AW64" s="159" t="n">
        <v>100.238</v>
      </c>
      <c r="AX64" s="159" t="n">
        <v>87.88030000000001</v>
      </c>
      <c r="AY64" s="159" t="n">
        <v>4.414793877</v>
      </c>
      <c r="AZ64" s="159" t="n">
        <v>5.025142882</v>
      </c>
      <c r="BA64" s="159" t="n">
        <v>9.354267541</v>
      </c>
      <c r="BB64" s="159" t="n">
        <v>4.529263828</v>
      </c>
      <c r="BC64" s="159" t="n">
        <v>4.679349584</v>
      </c>
    </row>
    <row r="65">
      <c r="A65" s="83" t="inlineStr">
        <is>
          <t>2010-11</t>
        </is>
      </c>
      <c r="B65" s="155" t="n">
        <v>1862.994</v>
      </c>
      <c r="C65" s="155" t="n">
        <v>166.7</v>
      </c>
      <c r="D65" s="155" t="n">
        <v>360.89</v>
      </c>
      <c r="E65" s="155" t="n">
        <v>3987.23</v>
      </c>
      <c r="F65" s="152" t="n">
        <v>3</v>
      </c>
      <c r="G65" s="152" t="n">
        <v>0.19</v>
      </c>
      <c r="H65" s="152" t="n">
        <v>2.81</v>
      </c>
      <c r="I65" s="156" t="n">
        <v>-2609.406444</v>
      </c>
      <c r="J65" s="152" t="n">
        <v>3.142361823</v>
      </c>
      <c r="K65" s="152" t="n">
        <v>90.509535</v>
      </c>
      <c r="L65" s="152" t="n">
        <v>20.09571429</v>
      </c>
      <c r="M65" s="157" t="n">
        <v>0</v>
      </c>
      <c r="N65" s="155" t="n">
        <v>27871.06</v>
      </c>
      <c r="O65" s="152" t="n">
        <v>151.6363636</v>
      </c>
      <c r="P65" s="152" t="n">
        <v>1.516363636</v>
      </c>
      <c r="Q65" s="156" t="n">
        <v>-935.16</v>
      </c>
      <c r="R65" s="156" t="n">
        <v>859.0700000000001</v>
      </c>
      <c r="S65" s="152" t="n">
        <v>6.665</v>
      </c>
      <c r="T65" s="152" t="n">
        <v>3.047647059</v>
      </c>
      <c r="U65" s="152" t="n">
        <v>3.617352941</v>
      </c>
      <c r="V65" s="152" t="n">
        <v>1.541384989</v>
      </c>
      <c r="W65" s="152" t="n">
        <v>2.075967952</v>
      </c>
      <c r="X65" s="158" t="n">
        <v>1.713499996</v>
      </c>
      <c r="Y65" s="158" t="n">
        <v>482.5886364</v>
      </c>
      <c r="Z65" s="158" t="n">
        <v>12.33477273</v>
      </c>
      <c r="AA65" s="158" t="n">
        <v>2.805819048</v>
      </c>
      <c r="AB65" s="159" t="n">
        <v>-0.1024320116</v>
      </c>
      <c r="AC65" s="159" t="n">
        <v>0.02761029498</v>
      </c>
      <c r="AD65" s="159" t="n">
        <v>81.18791499</v>
      </c>
      <c r="AE65" s="159" t="n">
        <v>72.98</v>
      </c>
      <c r="AF65" s="159" t="n">
        <v>0.666</v>
      </c>
      <c r="AG65" s="159" t="n">
        <v>-0.2055</v>
      </c>
      <c r="AH65" s="159" t="n">
        <v>0.454</v>
      </c>
      <c r="AI65" s="159" t="n">
        <v>2.763</v>
      </c>
      <c r="AJ65" s="159" t="n">
        <v>2.309</v>
      </c>
      <c r="AK65" s="159" t="n">
        <v>1.5555</v>
      </c>
      <c r="AL65" s="159" t="n">
        <v>2.097</v>
      </c>
      <c r="AM65" s="159" t="n">
        <v>130.017</v>
      </c>
      <c r="AN65" s="159" t="n">
        <v>-0.080875</v>
      </c>
      <c r="AO65" s="159" t="n">
        <v>-0.47575</v>
      </c>
      <c r="AP65" s="159" t="n">
        <v>-0.426</v>
      </c>
      <c r="AQ65" s="159" t="n">
        <v>9.88701</v>
      </c>
      <c r="AR65" s="159" t="n"/>
      <c r="AS65" s="159" t="n">
        <v>0.144</v>
      </c>
      <c r="AT65" s="159" t="n">
        <v>9.800000000000001</v>
      </c>
      <c r="AU65" s="159" t="n">
        <v>101.1</v>
      </c>
      <c r="AV65" s="159" t="n">
        <v>113.3</v>
      </c>
      <c r="AW65" s="159" t="n">
        <v>100.414</v>
      </c>
      <c r="AX65" s="159" t="n">
        <v>88.8456</v>
      </c>
      <c r="AY65" s="159" t="n">
        <v>4.445878983</v>
      </c>
      <c r="AZ65" s="159" t="n">
        <v>5.05675523</v>
      </c>
      <c r="BA65" s="159" t="n">
        <v>9.356257247</v>
      </c>
      <c r="BB65" s="159" t="n">
        <v>4.530133013</v>
      </c>
      <c r="BC65" s="159" t="n">
        <v>4.67562865</v>
      </c>
    </row>
    <row r="66">
      <c r="A66" s="83" t="inlineStr">
        <is>
          <t>2010-12</t>
        </is>
      </c>
      <c r="B66" s="155" t="n">
        <v>1922.33129</v>
      </c>
      <c r="C66" s="155" t="n">
        <v>167.94</v>
      </c>
      <c r="D66" s="155" t="n">
        <v>416.74</v>
      </c>
      <c r="E66" s="155" t="n">
        <v>3996.34</v>
      </c>
      <c r="F66" s="152" t="n">
        <v>3</v>
      </c>
      <c r="G66" s="152" t="n">
        <v>0.18</v>
      </c>
      <c r="H66" s="152" t="n">
        <v>2.82</v>
      </c>
      <c r="I66" s="156" t="n">
        <v>-9971.978206</v>
      </c>
      <c r="J66" s="152" t="n">
        <v>3.863366127</v>
      </c>
      <c r="K66" s="152" t="n">
        <v>91.18347143</v>
      </c>
      <c r="L66" s="152" t="n">
        <v>17.56954545</v>
      </c>
      <c r="M66" s="157" t="n">
        <v>0</v>
      </c>
      <c r="N66" s="155" t="n">
        <v>28451.84</v>
      </c>
      <c r="O66" s="152" t="n">
        <v>160.7391304</v>
      </c>
      <c r="P66" s="152" t="n">
        <v>1.607391304</v>
      </c>
      <c r="Q66" s="156" t="n">
        <v>-1117.54</v>
      </c>
      <c r="R66" s="156" t="n">
        <v>2157.34</v>
      </c>
      <c r="S66" s="152" t="n">
        <v>7.146666667</v>
      </c>
      <c r="T66" s="152" t="n">
        <v>2.864736842</v>
      </c>
      <c r="U66" s="152" t="n">
        <v>4.281929825</v>
      </c>
      <c r="V66" s="152" t="n">
        <v>1.747586359</v>
      </c>
      <c r="W66" s="152" t="n">
        <v>2.534343466</v>
      </c>
      <c r="X66" s="158" t="n">
        <v>1.693173906</v>
      </c>
      <c r="Y66" s="158" t="n">
        <v>473.523913</v>
      </c>
      <c r="Z66" s="158" t="n">
        <v>12.38904348</v>
      </c>
      <c r="AA66" s="158" t="n">
        <v>2.815455</v>
      </c>
      <c r="AB66" s="159" t="n">
        <v>-0.3956209811</v>
      </c>
      <c r="AC66" s="159" t="n">
        <v>-0.2252961463</v>
      </c>
      <c r="AD66" s="159" t="n">
        <v>82.70289880999999</v>
      </c>
      <c r="AE66" s="159" t="n">
        <v>73.45</v>
      </c>
      <c r="AF66" s="159" t="n">
        <v>1.04409</v>
      </c>
      <c r="AG66" s="159" t="n">
        <v>0.205</v>
      </c>
      <c r="AH66" s="159" t="n">
        <v>0.618182</v>
      </c>
      <c r="AI66" s="159" t="n">
        <v>3.29091</v>
      </c>
      <c r="AJ66" s="159" t="n">
        <v>2.67273</v>
      </c>
      <c r="AK66" s="159" t="n">
        <v>1.72955</v>
      </c>
      <c r="AL66" s="159" t="n">
        <v>2.24682</v>
      </c>
      <c r="AM66" s="159" t="n">
        <v>132.994</v>
      </c>
      <c r="AN66" s="159" t="n">
        <v>-0.19386</v>
      </c>
      <c r="AO66" s="159" t="n">
        <v>-0.5165999999999999</v>
      </c>
      <c r="AP66" s="159" t="n">
        <v>-0.4916</v>
      </c>
      <c r="AQ66" s="159" t="n">
        <v>9.577500000000001</v>
      </c>
      <c r="AR66" s="159" t="n"/>
      <c r="AS66" s="159" t="n">
        <v>0.161</v>
      </c>
      <c r="AT66" s="159" t="n">
        <v>9.300000000000001</v>
      </c>
      <c r="AU66" s="159" t="n">
        <v>101.4</v>
      </c>
      <c r="AV66" s="159" t="n">
        <v>113.5</v>
      </c>
      <c r="AW66" s="159" t="n">
        <v>100.622</v>
      </c>
      <c r="AX66" s="159" t="n">
        <v>89.2894</v>
      </c>
      <c r="AY66" s="159" t="n">
        <v>4.515757382</v>
      </c>
      <c r="AZ66" s="159" t="n">
        <v>5.112878957</v>
      </c>
      <c r="BA66" s="159" t="n">
        <v>9.356948392</v>
      </c>
      <c r="BB66" s="159" t="n">
        <v>4.539870842</v>
      </c>
      <c r="BC66" s="159" t="n">
        <v>4.688591794</v>
      </c>
    </row>
    <row r="67">
      <c r="A67" s="83" t="inlineStr">
        <is>
          <t>2011-01</t>
        </is>
      </c>
      <c r="B67" s="155" t="n">
        <v>1867.076774</v>
      </c>
      <c r="C67" s="155" t="n">
        <v>168.24</v>
      </c>
      <c r="D67" s="155" t="n">
        <v>291.37</v>
      </c>
      <c r="E67" s="155" t="n">
        <v>4022.4</v>
      </c>
      <c r="F67" s="152" t="n">
        <v>3</v>
      </c>
      <c r="G67" s="152" t="n">
        <v>0.17</v>
      </c>
      <c r="H67" s="152" t="n">
        <v>2.83</v>
      </c>
      <c r="I67" s="156" t="n">
        <v>4073.462465</v>
      </c>
      <c r="J67" s="152" t="n">
        <v>3.08770208</v>
      </c>
      <c r="K67" s="152" t="n">
        <v>90.11122</v>
      </c>
      <c r="L67" s="152" t="n">
        <v>17.3155</v>
      </c>
      <c r="M67" s="157" t="n">
        <v>0</v>
      </c>
      <c r="N67" s="155" t="n">
        <v>28896.21</v>
      </c>
      <c r="O67" s="152" t="n">
        <v>145.7619048</v>
      </c>
      <c r="P67" s="152" t="n">
        <v>1.457619048</v>
      </c>
      <c r="Q67" s="156" t="n">
        <v>-1190.37</v>
      </c>
      <c r="R67" s="156" t="n">
        <v>1665.29</v>
      </c>
      <c r="S67" s="152" t="n">
        <v>7.557</v>
      </c>
      <c r="T67" s="152" t="n">
        <v>2.694</v>
      </c>
      <c r="U67" s="152" t="n">
        <v>4.863</v>
      </c>
      <c r="V67" s="152" t="n">
        <v>1.98001501</v>
      </c>
      <c r="W67" s="152" t="n">
        <v>2.88298499</v>
      </c>
      <c r="X67" s="158" t="n">
        <v>1.67485714</v>
      </c>
      <c r="Y67" s="158" t="n">
        <v>490.2095238</v>
      </c>
      <c r="Z67" s="158" t="n">
        <v>12.1236619</v>
      </c>
      <c r="AA67" s="158" t="n">
        <v>2.786671429</v>
      </c>
      <c r="AB67" s="159" t="n">
        <v>-0.02879319328</v>
      </c>
      <c r="AC67" s="159" t="n">
        <v>-0.2258149193</v>
      </c>
      <c r="AD67" s="159" t="n">
        <v>82.90068212</v>
      </c>
      <c r="AE67" s="159" t="n">
        <v>74.12</v>
      </c>
      <c r="AF67" s="159" t="n">
        <v>1.0605</v>
      </c>
      <c r="AG67" s="159" t="n">
        <v>0.064</v>
      </c>
      <c r="AH67" s="159" t="n">
        <v>0.6145</v>
      </c>
      <c r="AI67" s="159" t="n">
        <v>3.394</v>
      </c>
      <c r="AJ67" s="159" t="n">
        <v>2.7795</v>
      </c>
      <c r="AK67" s="159" t="n">
        <v>1.9305</v>
      </c>
      <c r="AL67" s="159" t="n">
        <v>2.3335</v>
      </c>
      <c r="AM67" s="159" t="n">
        <v>113.62</v>
      </c>
      <c r="AN67" s="159" t="n">
        <v>-0.30145</v>
      </c>
      <c r="AO67" s="159" t="n">
        <v>-0.602</v>
      </c>
      <c r="AP67" s="159" t="n">
        <v>-0.5972499999999999</v>
      </c>
      <c r="AQ67" s="159" t="n">
        <v>9.23583</v>
      </c>
      <c r="AR67" s="159" t="n"/>
      <c r="AS67" s="159" t="n">
        <v>0.147895</v>
      </c>
      <c r="AT67" s="159" t="n">
        <v>9.1</v>
      </c>
      <c r="AU67" s="159" t="n">
        <v>101.8</v>
      </c>
      <c r="AV67" s="159" t="n">
        <v>114.9</v>
      </c>
      <c r="AW67" s="159" t="n">
        <v>100.847</v>
      </c>
      <c r="AX67" s="159" t="n">
        <v>90.1842</v>
      </c>
      <c r="AY67" s="159" t="n">
        <v>4.569786502</v>
      </c>
      <c r="AZ67" s="159" t="n">
        <v>5.15014793</v>
      </c>
      <c r="BA67" s="159" t="n">
        <v>9.359277485</v>
      </c>
      <c r="BB67" s="159" t="n">
        <v>4.537762486</v>
      </c>
      <c r="BC67" s="159" t="n">
        <v>4.700480366</v>
      </c>
    </row>
    <row r="68">
      <c r="A68" s="83" t="inlineStr">
        <is>
          <t>2011-02</t>
        </is>
      </c>
      <c r="B68" s="155" t="n">
        <v>1882.371429</v>
      </c>
      <c r="C68" s="155" t="n">
        <v>173.53</v>
      </c>
      <c r="D68" s="155" t="n">
        <v>320.09</v>
      </c>
      <c r="E68" s="155" t="n">
        <v>4069.29</v>
      </c>
      <c r="F68" s="152" t="n">
        <v>3.008928571</v>
      </c>
      <c r="G68" s="152" t="n">
        <v>0.16</v>
      </c>
      <c r="H68" s="152" t="n">
        <v>2.848928571</v>
      </c>
      <c r="I68" s="156" t="n">
        <v>-788.2202759</v>
      </c>
      <c r="J68" s="152" t="n">
        <v>3.142188177</v>
      </c>
      <c r="K68" s="152" t="n">
        <v>89.39668947</v>
      </c>
      <c r="L68" s="152" t="n">
        <v>17.43</v>
      </c>
      <c r="M68" s="157" t="n">
        <v>0</v>
      </c>
      <c r="N68" s="155" t="n">
        <v>29311.9</v>
      </c>
      <c r="O68" s="152" t="n">
        <v>150.95</v>
      </c>
      <c r="P68" s="152" t="n">
        <v>1.5095</v>
      </c>
      <c r="Q68" s="156" t="n">
        <v>-806.14</v>
      </c>
      <c r="R68" s="156" t="n">
        <v>1029.76</v>
      </c>
      <c r="S68" s="152" t="n">
        <v>7.9305</v>
      </c>
      <c r="T68" s="152" t="n">
        <v>3.0285</v>
      </c>
      <c r="U68" s="152" t="n">
        <v>4.902</v>
      </c>
      <c r="V68" s="152" t="n">
        <v>2.127331571</v>
      </c>
      <c r="W68" s="152" t="n">
        <v>2.774668429</v>
      </c>
      <c r="X68" s="158" t="n">
        <v>1.666649991</v>
      </c>
      <c r="Y68" s="158" t="n">
        <v>474.815</v>
      </c>
      <c r="Z68" s="158" t="n">
        <v>12.06545</v>
      </c>
      <c r="AA68" s="158" t="n">
        <v>2.77041</v>
      </c>
      <c r="AB68" s="159" t="n">
        <v>-0.6035450963</v>
      </c>
      <c r="AC68" s="159" t="n">
        <v>-0.5679079487000001</v>
      </c>
      <c r="AD68" s="159" t="n">
        <v>82.97108545</v>
      </c>
      <c r="AE68" s="159" t="n">
        <v>74.56999999999999</v>
      </c>
      <c r="AF68" s="159" t="n">
        <v>1.23789</v>
      </c>
      <c r="AG68" s="159" t="n">
        <v>0.246842</v>
      </c>
      <c r="AH68" s="159" t="n">
        <v>0.772632</v>
      </c>
      <c r="AI68" s="159" t="n">
        <v>3.57632</v>
      </c>
      <c r="AJ68" s="159" t="n">
        <v>2.80368</v>
      </c>
      <c r="AK68" s="159" t="n">
        <v>2.01105</v>
      </c>
      <c r="AL68" s="159" t="n">
        <v>2.33842</v>
      </c>
      <c r="AM68" s="159" t="n">
        <v>95.98439999999999</v>
      </c>
      <c r="AN68" s="159" t="n">
        <v>-0.307075</v>
      </c>
      <c r="AO68" s="159" t="n">
        <v>-0.61825</v>
      </c>
      <c r="AP68" s="159" t="n">
        <v>-0.642</v>
      </c>
      <c r="AQ68" s="159" t="n">
        <v>9.1584</v>
      </c>
      <c r="AR68" s="159" t="n"/>
      <c r="AS68" s="159" t="n">
        <v>0.177895</v>
      </c>
      <c r="AT68" s="159" t="n">
        <v>9</v>
      </c>
      <c r="AU68" s="159" t="n">
        <v>102.1</v>
      </c>
      <c r="AV68" s="159" t="n">
        <v>114.9</v>
      </c>
      <c r="AW68" s="159" t="n">
        <v>101.069</v>
      </c>
      <c r="AX68" s="159" t="n">
        <v>91.3372</v>
      </c>
      <c r="AY68" s="159" t="n">
        <v>4.641656395</v>
      </c>
      <c r="AZ68" s="159" t="n">
        <v>5.185792358</v>
      </c>
      <c r="BA68" s="159" t="n">
        <v>9.361944956</v>
      </c>
      <c r="BB68" s="159" t="n">
        <v>4.533783738</v>
      </c>
      <c r="BC68" s="159" t="n">
        <v>4.69501089</v>
      </c>
    </row>
    <row r="69">
      <c r="A69" s="83" t="inlineStr">
        <is>
          <t>2011-03</t>
        </is>
      </c>
      <c r="B69" s="155" t="n">
        <v>1881.814839</v>
      </c>
      <c r="C69" s="155" t="n">
        <v>184.97</v>
      </c>
      <c r="D69" s="155" t="n">
        <v>359.04</v>
      </c>
      <c r="E69" s="155" t="n">
        <v>4067.27</v>
      </c>
      <c r="F69" s="152" t="n">
        <v>3.330645161</v>
      </c>
      <c r="G69" s="152" t="n">
        <v>0.14</v>
      </c>
      <c r="H69" s="152" t="n">
        <v>3.190645161</v>
      </c>
      <c r="I69" s="156" t="n">
        <v>468.7181054</v>
      </c>
      <c r="J69" s="152" t="n">
        <v>2.906603181</v>
      </c>
      <c r="K69" s="152" t="n">
        <v>88.48722608999999</v>
      </c>
      <c r="L69" s="152" t="n">
        <v>20.72347826</v>
      </c>
      <c r="M69" s="157" t="n">
        <v>0</v>
      </c>
      <c r="N69" s="155" t="n">
        <v>29846.61</v>
      </c>
      <c r="O69" s="152" t="n">
        <v>155.1304348</v>
      </c>
      <c r="P69" s="152" t="n">
        <v>1.551304348</v>
      </c>
      <c r="Q69" s="156" t="n">
        <v>-1175.09</v>
      </c>
      <c r="R69" s="156" t="n">
        <v>1938.43</v>
      </c>
      <c r="S69" s="152" t="n">
        <v>7.988636364</v>
      </c>
      <c r="T69" s="152" t="n">
        <v>3.502105263</v>
      </c>
      <c r="U69" s="152" t="n">
        <v>4.4865311</v>
      </c>
      <c r="V69" s="152" t="n">
        <v>2.302900024</v>
      </c>
      <c r="W69" s="152" t="n">
        <v>2.183631076</v>
      </c>
      <c r="X69" s="158" t="n">
        <v>1.657260874</v>
      </c>
      <c r="Y69" s="158" t="n">
        <v>479.3173913</v>
      </c>
      <c r="Z69" s="158" t="n">
        <v>11.99795652</v>
      </c>
      <c r="AA69" s="158" t="n">
        <v>2.779508696</v>
      </c>
      <c r="AB69" s="159" t="n">
        <v>-0.1036843936</v>
      </c>
      <c r="AC69" s="159" t="n">
        <v>-0.009351239486</v>
      </c>
      <c r="AD69" s="159" t="n">
        <v>83.68667728</v>
      </c>
      <c r="AE69" s="159" t="n">
        <v>74.77</v>
      </c>
      <c r="AF69" s="159" t="n">
        <v>0.963913</v>
      </c>
      <c r="AG69" s="159" t="n">
        <v>-0.0882609</v>
      </c>
      <c r="AH69" s="159" t="n">
        <v>0.697391</v>
      </c>
      <c r="AI69" s="159" t="n">
        <v>3.41435</v>
      </c>
      <c r="AJ69" s="159" t="n">
        <v>2.71696</v>
      </c>
      <c r="AK69" s="159" t="n">
        <v>2.20174</v>
      </c>
      <c r="AL69" s="159" t="n">
        <v>2.45043</v>
      </c>
      <c r="AM69" s="159" t="n">
        <v>129.215</v>
      </c>
      <c r="AN69" s="159" t="n">
        <v>-0.176125</v>
      </c>
      <c r="AO69" s="159" t="n">
        <v>-0.5775</v>
      </c>
      <c r="AP69" s="159" t="n">
        <v>-0.53625</v>
      </c>
      <c r="AQ69" s="159" t="n">
        <v>9.10134</v>
      </c>
      <c r="AR69" s="159" t="n"/>
      <c r="AS69" s="159" t="n">
        <v>0.208696</v>
      </c>
      <c r="AT69" s="159" t="n">
        <v>9</v>
      </c>
      <c r="AU69" s="159" t="n">
        <v>102.7</v>
      </c>
      <c r="AV69" s="159" t="n">
        <v>114.8</v>
      </c>
      <c r="AW69" s="159" t="n">
        <v>101.273</v>
      </c>
      <c r="AX69" s="159" t="n">
        <v>91.1538</v>
      </c>
      <c r="AY69" s="159" t="n">
        <v>4.741822952</v>
      </c>
      <c r="AZ69" s="159" t="n">
        <v>5.219084747</v>
      </c>
      <c r="BA69" s="159" t="n">
        <v>9.363833693</v>
      </c>
      <c r="BB69" s="159" t="n">
        <v>4.544132729</v>
      </c>
      <c r="BC69" s="159" t="n">
        <v>4.708628894</v>
      </c>
    </row>
    <row r="70">
      <c r="A70" s="83" t="inlineStr">
        <is>
          <t>2011-04</t>
        </is>
      </c>
      <c r="B70" s="155" t="n">
        <v>1809.834</v>
      </c>
      <c r="C70" s="155" t="n">
        <v>192.99</v>
      </c>
      <c r="D70" s="155" t="n">
        <v>308.01</v>
      </c>
      <c r="E70" s="155" t="n">
        <v>4057.74</v>
      </c>
      <c r="F70" s="152" t="n">
        <v>3.5</v>
      </c>
      <c r="G70" s="152" t="n">
        <v>0.1</v>
      </c>
      <c r="H70" s="152" t="n">
        <v>3.4</v>
      </c>
      <c r="I70" s="156" t="n">
        <v>3929.227352</v>
      </c>
      <c r="J70" s="152" t="n">
        <v>2.322726513</v>
      </c>
      <c r="K70" s="152" t="n">
        <v>86.92136667</v>
      </c>
      <c r="L70" s="152" t="n">
        <v>16.244</v>
      </c>
      <c r="M70" s="157" t="n">
        <v>0</v>
      </c>
      <c r="N70" s="155" t="n">
        <v>30555.51</v>
      </c>
      <c r="O70" s="152" t="n">
        <v>151.5238095</v>
      </c>
      <c r="P70" s="152" t="n">
        <v>1.515238095</v>
      </c>
      <c r="Q70" s="156" t="n">
        <v>-1207.35</v>
      </c>
      <c r="R70" s="156" t="n">
        <v>2149.83</v>
      </c>
      <c r="S70" s="152" t="n">
        <v>7.794736842</v>
      </c>
      <c r="T70" s="152" t="n">
        <v>3.724</v>
      </c>
      <c r="U70" s="152" t="n">
        <v>4.070736842</v>
      </c>
      <c r="V70" s="152" t="n">
        <v>2.426485014</v>
      </c>
      <c r="W70" s="152" t="n">
        <v>1.644251828</v>
      </c>
      <c r="X70" s="158" t="n">
        <v>1.584190482</v>
      </c>
      <c r="Y70" s="158" t="n">
        <v>469.7095238</v>
      </c>
      <c r="Z70" s="158" t="n">
        <v>11.70142857</v>
      </c>
      <c r="AA70" s="158" t="n">
        <v>2.815842105</v>
      </c>
      <c r="AB70" s="159" t="n">
        <v>-1.065286415</v>
      </c>
      <c r="AC70" s="159" t="n">
        <v>-0.5352875091</v>
      </c>
      <c r="AD70" s="159" t="n">
        <v>83.80673719000001</v>
      </c>
      <c r="AE70" s="159" t="n">
        <v>74.86</v>
      </c>
      <c r="AF70" s="159" t="n">
        <v>0.8635</v>
      </c>
      <c r="AG70" s="159" t="n">
        <v>-0.1425</v>
      </c>
      <c r="AH70" s="159" t="n">
        <v>0.7345</v>
      </c>
      <c r="AI70" s="159" t="n">
        <v>3.455</v>
      </c>
      <c r="AJ70" s="159" t="n">
        <v>2.7205</v>
      </c>
      <c r="AK70" s="159" t="n">
        <v>2.3115</v>
      </c>
      <c r="AL70" s="159" t="n">
        <v>2.5915</v>
      </c>
      <c r="AM70" s="159" t="n">
        <v>117.561</v>
      </c>
      <c r="AN70" s="159" t="n">
        <v>-0.41164</v>
      </c>
      <c r="AO70" s="159" t="n">
        <v>-0.6098</v>
      </c>
      <c r="AP70" s="159" t="n">
        <v>-0.5898</v>
      </c>
      <c r="AQ70" s="159" t="n">
        <v>9.28393</v>
      </c>
      <c r="AR70" s="159" t="n"/>
      <c r="AS70" s="159" t="n">
        <v>0.221111</v>
      </c>
      <c r="AT70" s="159" t="n">
        <v>9.1</v>
      </c>
      <c r="AU70" s="159" t="n">
        <v>103.1</v>
      </c>
      <c r="AV70" s="159" t="n">
        <v>113.4</v>
      </c>
      <c r="AW70" s="159" t="n">
        <v>101.45</v>
      </c>
      <c r="AX70" s="159" t="n">
        <v>91.24550000000001</v>
      </c>
      <c r="AY70" s="159" t="n">
        <v>4.814287833</v>
      </c>
      <c r="AZ70" s="159" t="n">
        <v>5.269269534</v>
      </c>
      <c r="BA70" s="159" t="n">
        <v>9.366403507999999</v>
      </c>
      <c r="BB70" s="159" t="n">
        <v>4.54089723</v>
      </c>
      <c r="BC70" s="159" t="n">
        <v>4.703203926</v>
      </c>
    </row>
    <row r="71">
      <c r="A71" s="83" t="inlineStr">
        <is>
          <t>2011-05</t>
        </is>
      </c>
      <c r="B71" s="155" t="n">
        <v>1800.50871</v>
      </c>
      <c r="C71" s="155" t="n">
        <v>188.49</v>
      </c>
      <c r="D71" s="155" t="n">
        <v>349.67</v>
      </c>
      <c r="E71" s="155" t="n">
        <v>4077.54</v>
      </c>
      <c r="F71" s="152" t="n">
        <v>3.75</v>
      </c>
      <c r="G71" s="152" t="n">
        <v>0.09</v>
      </c>
      <c r="H71" s="152" t="n">
        <v>3.66</v>
      </c>
      <c r="I71" s="156" t="n">
        <v>106.1759116</v>
      </c>
      <c r="J71" s="152" t="n">
        <v>2.01589302</v>
      </c>
      <c r="K71" s="152" t="n">
        <v>86.94640475999999</v>
      </c>
      <c r="L71" s="152" t="n">
        <v>16.91142857</v>
      </c>
      <c r="M71" s="157" t="n">
        <v>0</v>
      </c>
      <c r="N71" s="155" t="n">
        <v>30811.65</v>
      </c>
      <c r="O71" s="152" t="n">
        <v>147.5909091</v>
      </c>
      <c r="P71" s="152" t="n">
        <v>1.475909091</v>
      </c>
      <c r="Q71" s="156" t="n">
        <v>-1137.89</v>
      </c>
      <c r="R71" s="156" t="n">
        <v>1440.63</v>
      </c>
      <c r="S71" s="152" t="n">
        <v>7.635909091</v>
      </c>
      <c r="T71" s="152" t="n">
        <v>3.661904762</v>
      </c>
      <c r="U71" s="152" t="n">
        <v>3.974004329</v>
      </c>
      <c r="V71" s="152" t="n">
        <v>2.198523805</v>
      </c>
      <c r="W71" s="152" t="n">
        <v>1.775480524</v>
      </c>
      <c r="X71" s="158" t="n">
        <v>1.613090911</v>
      </c>
      <c r="Y71" s="158" t="n">
        <v>467.8863636</v>
      </c>
      <c r="Z71" s="158" t="n">
        <v>11.653</v>
      </c>
      <c r="AA71" s="158" t="n">
        <v>2.774390476</v>
      </c>
      <c r="AB71" s="159" t="n">
        <v>-0.0367921051</v>
      </c>
      <c r="AC71" s="159" t="n">
        <v>-0.3234146804</v>
      </c>
      <c r="AD71" s="159" t="n">
        <v>84.16075293999999</v>
      </c>
      <c r="AE71" s="159" t="n">
        <v>75.06999999999999</v>
      </c>
      <c r="AF71" s="159" t="n">
        <v>0.778571</v>
      </c>
      <c r="AG71" s="159" t="n">
        <v>-0.335238</v>
      </c>
      <c r="AH71" s="159" t="n">
        <v>0.555238</v>
      </c>
      <c r="AI71" s="159" t="n">
        <v>3.16857</v>
      </c>
      <c r="AJ71" s="159" t="n">
        <v>2.61333</v>
      </c>
      <c r="AK71" s="159" t="n">
        <v>2.17762</v>
      </c>
      <c r="AL71" s="159" t="n">
        <v>2.39</v>
      </c>
      <c r="AM71" s="159" t="n">
        <v>92.9943</v>
      </c>
      <c r="AN71" s="159" t="n">
        <v>-0.3175</v>
      </c>
      <c r="AO71" s="159" t="n">
        <v>-0.6095</v>
      </c>
      <c r="AP71" s="159" t="n">
        <v>-0.60725</v>
      </c>
      <c r="AQ71" s="159" t="n">
        <v>9.20598</v>
      </c>
      <c r="AR71" s="159" t="n"/>
      <c r="AS71" s="159" t="n">
        <v>0.22</v>
      </c>
      <c r="AT71" s="159" t="n">
        <v>9</v>
      </c>
      <c r="AU71" s="159" t="n">
        <v>103.4</v>
      </c>
      <c r="AV71" s="159" t="n">
        <v>113.3</v>
      </c>
      <c r="AW71" s="159" t="n">
        <v>101.591</v>
      </c>
      <c r="AX71" s="159" t="n">
        <v>91.3372</v>
      </c>
      <c r="AY71" s="159" t="n">
        <v>4.744836472</v>
      </c>
      <c r="AZ71" s="159" t="n">
        <v>5.230643268</v>
      </c>
      <c r="BA71" s="159" t="n">
        <v>9.367087678000001</v>
      </c>
      <c r="BB71" s="159" t="n">
        <v>4.542102583</v>
      </c>
      <c r="BC71" s="159" t="n">
        <v>4.686750173</v>
      </c>
    </row>
    <row r="72">
      <c r="A72" s="83" t="inlineStr">
        <is>
          <t>2011-06</t>
        </is>
      </c>
      <c r="B72" s="155" t="n">
        <v>1783.159333</v>
      </c>
      <c r="C72" s="155" t="n">
        <v>185.71</v>
      </c>
      <c r="D72" s="155" t="n">
        <v>326.63</v>
      </c>
      <c r="E72" s="155" t="n">
        <v>4085.1</v>
      </c>
      <c r="F72" s="152" t="n">
        <v>4.091666667</v>
      </c>
      <c r="G72" s="152" t="n">
        <v>0.09</v>
      </c>
      <c r="H72" s="152" t="n">
        <v>4.001666667</v>
      </c>
      <c r="I72" s="156" t="n">
        <v>206.31011</v>
      </c>
      <c r="J72" s="152" t="n">
        <v>1.400903244</v>
      </c>
      <c r="K72" s="152" t="n">
        <v>86.94125455</v>
      </c>
      <c r="L72" s="152" t="n">
        <v>19.15318182</v>
      </c>
      <c r="M72" s="157" t="n">
        <v>0</v>
      </c>
      <c r="N72" s="155" t="n">
        <v>31197.83</v>
      </c>
      <c r="O72" s="152" t="n">
        <v>144.6363636</v>
      </c>
      <c r="P72" s="152" t="n">
        <v>1.446363636</v>
      </c>
      <c r="Q72" s="156" t="n">
        <v>-1162.65</v>
      </c>
      <c r="R72" s="156" t="n">
        <v>1728.3</v>
      </c>
      <c r="S72" s="152" t="n">
        <v>7.2005</v>
      </c>
      <c r="T72" s="152" t="n">
        <v>3.427894737</v>
      </c>
      <c r="U72" s="152" t="n">
        <v>3.772605263</v>
      </c>
      <c r="V72" s="152" t="n">
        <v>1.954959084</v>
      </c>
      <c r="W72" s="152" t="n">
        <v>1.817646179</v>
      </c>
      <c r="X72" s="158" t="n">
        <v>1.58590909</v>
      </c>
      <c r="Y72" s="158" t="n">
        <v>469.4954545</v>
      </c>
      <c r="Z72" s="158" t="n">
        <v>11.80381818</v>
      </c>
      <c r="AA72" s="158" t="n">
        <v>2.76382381</v>
      </c>
      <c r="AB72" s="159" t="n">
        <v>-0.06070425238</v>
      </c>
      <c r="AC72" s="159" t="n">
        <v>-0.1198146521</v>
      </c>
      <c r="AD72" s="159" t="n">
        <v>84.45485205999999</v>
      </c>
      <c r="AE72" s="159" t="n">
        <v>75.31</v>
      </c>
      <c r="AF72" s="159" t="n">
        <v>0.755455</v>
      </c>
      <c r="AG72" s="159" t="n">
        <v>-0.375455</v>
      </c>
      <c r="AH72" s="159" t="n">
        <v>0.410455</v>
      </c>
      <c r="AI72" s="159" t="n">
        <v>3.00227</v>
      </c>
      <c r="AJ72" s="159" t="n">
        <v>2.59182</v>
      </c>
      <c r="AK72" s="159" t="n">
        <v>1.95545</v>
      </c>
      <c r="AL72" s="159" t="n">
        <v>2.24682</v>
      </c>
      <c r="AM72" s="159" t="n">
        <v>124.031</v>
      </c>
      <c r="AN72" s="159" t="n">
        <v>-0.145175</v>
      </c>
      <c r="AO72" s="159" t="n">
        <v>-0.56375</v>
      </c>
      <c r="AP72" s="159" t="n">
        <v>-0.55425</v>
      </c>
      <c r="AQ72" s="159" t="n">
        <v>9.172510000000001</v>
      </c>
      <c r="AR72" s="159" t="n"/>
      <c r="AS72" s="159" t="n">
        <v>0.212727</v>
      </c>
      <c r="AT72" s="159" t="n">
        <v>9.1</v>
      </c>
      <c r="AU72" s="159" t="n">
        <v>103.7</v>
      </c>
      <c r="AV72" s="159" t="n">
        <v>115.1</v>
      </c>
      <c r="AW72" s="159" t="n">
        <v>101.693</v>
      </c>
      <c r="AX72" s="159" t="n">
        <v>91.6122</v>
      </c>
      <c r="AY72" s="159" t="n">
        <v>4.734732462</v>
      </c>
      <c r="AZ72" s="159" t="n">
        <v>5.219890852</v>
      </c>
      <c r="BA72" s="159" t="n">
        <v>9.368198457</v>
      </c>
      <c r="BB72" s="159" t="n">
        <v>4.545122897</v>
      </c>
      <c r="BC72" s="159" t="n">
        <v>4.703203926</v>
      </c>
    </row>
    <row r="73">
      <c r="A73" s="83" t="inlineStr">
        <is>
          <t>2011-07</t>
        </is>
      </c>
      <c r="B73" s="155" t="n">
        <v>1761.593871</v>
      </c>
      <c r="C73" s="155" t="n">
        <v>185.45</v>
      </c>
      <c r="D73" s="155" t="n">
        <v>319.42</v>
      </c>
      <c r="E73" s="155" t="n">
        <v>4062.93</v>
      </c>
      <c r="F73" s="152" t="n">
        <v>4.25</v>
      </c>
      <c r="G73" s="152" t="n">
        <v>0.07000000000000001</v>
      </c>
      <c r="H73" s="152" t="n">
        <v>4.18</v>
      </c>
      <c r="I73" s="156" t="n">
        <v>-123.3717723</v>
      </c>
      <c r="J73" s="152" t="n">
        <v>1.073446088</v>
      </c>
      <c r="K73" s="152" t="n">
        <v>86.31780500000001</v>
      </c>
      <c r="L73" s="152" t="n">
        <v>19.2275</v>
      </c>
      <c r="M73" s="157" t="n">
        <v>0</v>
      </c>
      <c r="N73" s="155" t="n">
        <v>32144.6</v>
      </c>
      <c r="O73" s="152" t="n">
        <v>140.7142857</v>
      </c>
      <c r="P73" s="152" t="n">
        <v>1.407142857</v>
      </c>
      <c r="Q73" s="156" t="n">
        <v>-794.88</v>
      </c>
      <c r="R73" s="156" t="n">
        <v>1838.09</v>
      </c>
      <c r="S73" s="152" t="n">
        <v>7.075789474</v>
      </c>
      <c r="T73" s="152" t="n">
        <v>3.507857143</v>
      </c>
      <c r="U73" s="152" t="n">
        <v>3.567932331</v>
      </c>
      <c r="V73" s="152" t="n">
        <v>2.05825001</v>
      </c>
      <c r="W73" s="152" t="n">
        <v>1.509682321</v>
      </c>
      <c r="X73" s="158" t="n">
        <v>1.562238103</v>
      </c>
      <c r="Y73" s="158" t="n">
        <v>461.9190476</v>
      </c>
      <c r="Z73" s="158" t="n">
        <v>11.669</v>
      </c>
      <c r="AA73" s="158" t="n">
        <v>2.741405263</v>
      </c>
      <c r="AB73" s="159" t="n">
        <v>-0.5802948451</v>
      </c>
      <c r="AC73" s="159" t="n">
        <v>-0.5965692081</v>
      </c>
      <c r="AD73" s="159" t="n">
        <v>84.89675092</v>
      </c>
      <c r="AE73" s="159" t="n">
        <v>75.42</v>
      </c>
      <c r="AF73" s="159" t="n">
        <v>0.6235000000000001</v>
      </c>
      <c r="AG73" s="159" t="n">
        <v>-0.491</v>
      </c>
      <c r="AH73" s="159" t="n">
        <v>0.4065</v>
      </c>
      <c r="AI73" s="159" t="n">
        <v>3.003</v>
      </c>
      <c r="AJ73" s="159" t="n">
        <v>2.5965</v>
      </c>
      <c r="AK73" s="159" t="n">
        <v>2.032</v>
      </c>
      <c r="AL73" s="159" t="n">
        <v>2.3795</v>
      </c>
      <c r="AM73" s="159" t="n">
        <v>152.225</v>
      </c>
      <c r="AN73" s="159" t="n">
        <v>-0.2619</v>
      </c>
      <c r="AO73" s="159" t="n">
        <v>-0.4982</v>
      </c>
      <c r="AP73" s="159" t="n">
        <v>-0.5068</v>
      </c>
      <c r="AQ73" s="159" t="n">
        <v>9.05405</v>
      </c>
      <c r="AR73" s="159" t="n"/>
      <c r="AS73" s="159" t="n">
        <v>0.213</v>
      </c>
      <c r="AT73" s="159" t="n">
        <v>9</v>
      </c>
      <c r="AU73" s="159" t="n">
        <v>104</v>
      </c>
      <c r="AV73" s="159" t="n">
        <v>114</v>
      </c>
      <c r="AW73" s="159" t="n">
        <v>101.751</v>
      </c>
      <c r="AX73" s="159" t="n">
        <v>92.014</v>
      </c>
      <c r="AY73" s="159" t="n">
        <v>4.761943139</v>
      </c>
      <c r="AZ73" s="159" t="n">
        <v>5.235915228</v>
      </c>
      <c r="BA73" s="159" t="n">
        <v>9.369819687</v>
      </c>
      <c r="BB73" s="159" t="n">
        <v>4.550037953</v>
      </c>
      <c r="BC73" s="159" t="n">
        <v>4.701389044</v>
      </c>
    </row>
    <row r="74">
      <c r="A74" s="83" t="inlineStr">
        <is>
          <t>2011-08</t>
        </is>
      </c>
      <c r="B74" s="155" t="n">
        <v>1785.56</v>
      </c>
      <c r="C74" s="155" t="n">
        <v>180.66</v>
      </c>
      <c r="D74" s="155" t="n">
        <v>369.65</v>
      </c>
      <c r="E74" s="155" t="n">
        <v>4095.58</v>
      </c>
      <c r="F74" s="152" t="n">
        <v>4.5</v>
      </c>
      <c r="G74" s="152" t="n">
        <v>0.1</v>
      </c>
      <c r="H74" s="152" t="n">
        <v>4.4</v>
      </c>
      <c r="I74" s="156" t="n">
        <v>-3295.813115</v>
      </c>
      <c r="J74" s="152" t="n">
        <v>1.627614564</v>
      </c>
      <c r="K74" s="152" t="n">
        <v>86.89824348</v>
      </c>
      <c r="L74" s="152" t="n">
        <v>35.02913043</v>
      </c>
      <c r="M74" s="157" t="n">
        <v>0</v>
      </c>
      <c r="N74" s="155" t="n">
        <v>32355.27</v>
      </c>
      <c r="O74" s="152" t="n">
        <v>170.826087</v>
      </c>
      <c r="P74" s="152" t="n">
        <v>1.70826087</v>
      </c>
      <c r="Q74" s="156" t="n">
        <v>-829.45</v>
      </c>
      <c r="R74" s="156" t="n">
        <v>877.22</v>
      </c>
      <c r="S74" s="152" t="n">
        <v>6.763181818</v>
      </c>
      <c r="T74" s="152" t="n">
        <v>3.344210526</v>
      </c>
      <c r="U74" s="152" t="n">
        <v>3.418971292</v>
      </c>
      <c r="V74" s="152" t="n">
        <v>1.762778251</v>
      </c>
      <c r="W74" s="152" t="n">
        <v>1.656193041</v>
      </c>
      <c r="X74" s="158" t="n">
        <v>1.595739121</v>
      </c>
      <c r="Y74" s="158" t="n">
        <v>466.6369565</v>
      </c>
      <c r="Z74" s="158" t="n">
        <v>12.231</v>
      </c>
      <c r="AA74" s="158" t="n">
        <v>2.739519048</v>
      </c>
      <c r="AB74" s="159" t="n">
        <v>0.7798503499</v>
      </c>
      <c r="AC74" s="159" t="n">
        <v>0.5735079299</v>
      </c>
      <c r="AD74" s="159" t="n">
        <v>86.56347468</v>
      </c>
      <c r="AE74" s="159" t="n">
        <v>75.39</v>
      </c>
      <c r="AF74" s="159" t="n">
        <v>0.135217</v>
      </c>
      <c r="AG74" s="159" t="n">
        <v>-0.747826</v>
      </c>
      <c r="AH74" s="159" t="n">
        <v>0.230435</v>
      </c>
      <c r="AI74" s="159" t="n">
        <v>2.30304</v>
      </c>
      <c r="AJ74" s="159" t="n">
        <v>2.07261</v>
      </c>
      <c r="AK74" s="159" t="n">
        <v>1.76913</v>
      </c>
      <c r="AL74" s="159" t="n">
        <v>2.16783</v>
      </c>
      <c r="AM74" s="159" t="n">
        <v>214.111</v>
      </c>
      <c r="AN74" s="159" t="n">
        <v>0.7759</v>
      </c>
      <c r="AO74" s="159" t="n">
        <v>-0.273</v>
      </c>
      <c r="AP74" s="159" t="n">
        <v>-0.181</v>
      </c>
      <c r="AQ74" s="159" t="n">
        <v>9.09821</v>
      </c>
      <c r="AR74" s="159" t="n"/>
      <c r="AS74" s="159" t="n">
        <v>0.268636</v>
      </c>
      <c r="AT74" s="159" t="n">
        <v>9</v>
      </c>
      <c r="AU74" s="159" t="n">
        <v>104.1</v>
      </c>
      <c r="AV74" s="159" t="n">
        <v>113.5</v>
      </c>
      <c r="AW74" s="159" t="n">
        <v>101.767</v>
      </c>
      <c r="AX74" s="159" t="n">
        <v>92.27549999999999</v>
      </c>
      <c r="AY74" s="159" t="n">
        <v>4.702478368</v>
      </c>
      <c r="AZ74" s="159" t="n">
        <v>5.210551159</v>
      </c>
      <c r="BA74" s="159" t="n">
        <v>9.371438292000001</v>
      </c>
      <c r="BB74" s="159" t="n">
        <v>4.556766397</v>
      </c>
      <c r="BC74" s="159" t="n">
        <v>4.705920089</v>
      </c>
    </row>
    <row r="75">
      <c r="A75" s="83" t="inlineStr">
        <is>
          <t>2011-09</t>
        </is>
      </c>
      <c r="B75" s="155" t="n">
        <v>1833.319667</v>
      </c>
      <c r="C75" s="155" t="n">
        <v>186.69</v>
      </c>
      <c r="D75" s="155" t="n">
        <v>339.35</v>
      </c>
      <c r="E75" s="155" t="n">
        <v>4104.6</v>
      </c>
      <c r="F75" s="152" t="n">
        <v>4.5</v>
      </c>
      <c r="G75" s="152" t="n">
        <v>0.08</v>
      </c>
      <c r="H75" s="152" t="n">
        <v>4.42</v>
      </c>
      <c r="I75" s="156" t="n">
        <v>1273.770036</v>
      </c>
      <c r="J75" s="152" t="n">
        <v>1.490459654</v>
      </c>
      <c r="K75" s="152" t="n">
        <v>89.72526667</v>
      </c>
      <c r="L75" s="152" t="n">
        <v>36.53</v>
      </c>
      <c r="M75" s="157" t="n">
        <v>0</v>
      </c>
      <c r="N75" s="155" t="n">
        <v>32434.11</v>
      </c>
      <c r="O75" s="152" t="n">
        <v>214.8181818</v>
      </c>
      <c r="P75" s="152" t="n">
        <v>2.148181818</v>
      </c>
      <c r="Q75" s="156" t="n">
        <v>-575.03</v>
      </c>
      <c r="R75" s="156" t="n">
        <v>595.6799999999999</v>
      </c>
      <c r="S75" s="152" t="n">
        <v>6.550909091</v>
      </c>
      <c r="T75" s="152" t="n">
        <v>3.203529412</v>
      </c>
      <c r="U75" s="152" t="n">
        <v>3.347379679</v>
      </c>
      <c r="V75" s="152" t="n">
        <v>1.567080941</v>
      </c>
      <c r="W75" s="152" t="n">
        <v>1.780298739</v>
      </c>
      <c r="X75" s="158" t="n">
        <v>1.749954538</v>
      </c>
      <c r="Y75" s="158" t="n">
        <v>486.3363636</v>
      </c>
      <c r="Z75" s="158" t="n">
        <v>13.05427273</v>
      </c>
      <c r="AA75" s="158" t="n">
        <v>2.74415</v>
      </c>
      <c r="AB75" s="159" t="n">
        <v>2.031721955</v>
      </c>
      <c r="AC75" s="159" t="n">
        <v>1.560226337</v>
      </c>
      <c r="AD75" s="159" t="n">
        <v>86.06652049</v>
      </c>
      <c r="AE75" s="159" t="n">
        <v>75.62</v>
      </c>
      <c r="AF75" s="159" t="n">
        <v>0.07761899999999999</v>
      </c>
      <c r="AG75" s="159" t="n">
        <v>-0.715238</v>
      </c>
      <c r="AH75" s="159" t="n">
        <v>0.211429</v>
      </c>
      <c r="AI75" s="159" t="n">
        <v>1.97524</v>
      </c>
      <c r="AJ75" s="159" t="n">
        <v>1.76381</v>
      </c>
      <c r="AK75" s="159" t="n">
        <v>1.61571</v>
      </c>
      <c r="AL75" s="159" t="n">
        <v>1.89762</v>
      </c>
      <c r="AM75" s="159" t="n">
        <v>193.281</v>
      </c>
      <c r="AN75" s="159" t="n">
        <v>0.8975</v>
      </c>
      <c r="AO75" s="159" t="n">
        <v>-0.108</v>
      </c>
      <c r="AP75" s="159" t="n">
        <v>0.0146</v>
      </c>
      <c r="AQ75" s="159" t="n">
        <v>9.1936</v>
      </c>
      <c r="AR75" s="159" t="n"/>
      <c r="AS75" s="159" t="n">
        <v>0.337619</v>
      </c>
      <c r="AT75" s="159" t="n">
        <v>9</v>
      </c>
      <c r="AU75" s="159" t="n">
        <v>104.4</v>
      </c>
      <c r="AV75" s="159" t="n">
        <v>113.8</v>
      </c>
      <c r="AW75" s="159" t="n">
        <v>101.745</v>
      </c>
      <c r="AX75" s="159" t="n">
        <v>92.7111</v>
      </c>
      <c r="AY75" s="159" t="n">
        <v>4.725917712</v>
      </c>
      <c r="AZ75" s="159" t="n">
        <v>5.196821595</v>
      </c>
      <c r="BA75" s="159" t="n">
        <v>9.371778718</v>
      </c>
      <c r="BB75" s="159" t="n">
        <v>4.555938975</v>
      </c>
      <c r="BC75" s="159" t="n">
        <v>4.711330382</v>
      </c>
    </row>
    <row r="76">
      <c r="A76" s="83" t="inlineStr">
        <is>
          <t>2011-10</t>
        </is>
      </c>
      <c r="B76" s="155" t="n">
        <v>1907.609032</v>
      </c>
      <c r="C76" s="155" t="n">
        <v>185.34</v>
      </c>
      <c r="D76" s="155" t="n">
        <v>351.16</v>
      </c>
      <c r="E76" s="155" t="n">
        <v>4112.02</v>
      </c>
      <c r="F76" s="152" t="n">
        <v>4.5</v>
      </c>
      <c r="G76" s="152" t="n">
        <v>0.07000000000000001</v>
      </c>
      <c r="H76" s="152" t="n">
        <v>4.43</v>
      </c>
      <c r="I76" s="156" t="n">
        <v>-3200.593164</v>
      </c>
      <c r="J76" s="152" t="n">
        <v>1.604418414</v>
      </c>
      <c r="K76" s="152" t="n">
        <v>90.60984500000001</v>
      </c>
      <c r="L76" s="152" t="n">
        <v>32.82904762</v>
      </c>
      <c r="M76" s="157" t="n">
        <v>0</v>
      </c>
      <c r="N76" s="155" t="n">
        <v>32739.02</v>
      </c>
      <c r="O76" s="152" t="n">
        <v>207.0952381</v>
      </c>
      <c r="P76" s="152" t="n">
        <v>2.070952381</v>
      </c>
      <c r="Q76" s="156" t="n">
        <v>-771.61</v>
      </c>
      <c r="R76" s="156" t="n">
        <v>1156.01</v>
      </c>
      <c r="S76" s="152" t="n">
        <v>6.891</v>
      </c>
      <c r="T76" s="152" t="n">
        <v>3.232352941</v>
      </c>
      <c r="U76" s="152" t="n">
        <v>3.658647059</v>
      </c>
      <c r="V76" s="152" t="n">
        <v>1.625824988</v>
      </c>
      <c r="W76" s="152" t="n">
        <v>2.032822071</v>
      </c>
      <c r="X76" s="158" t="n">
        <v>1.772285722</v>
      </c>
      <c r="Y76" s="158" t="n">
        <v>509.1928571</v>
      </c>
      <c r="Z76" s="158" t="n">
        <v>13.43847619</v>
      </c>
      <c r="AA76" s="158" t="n">
        <v>2.73113</v>
      </c>
      <c r="AB76" s="159" t="n">
        <v>0.9328167599</v>
      </c>
      <c r="AC76" s="159" t="n">
        <v>0.6064194266</v>
      </c>
      <c r="AD76" s="159" t="n">
        <v>86.36921950999999</v>
      </c>
      <c r="AE76" s="159" t="n">
        <v>75.77</v>
      </c>
      <c r="AF76" s="159" t="n">
        <v>0.186</v>
      </c>
      <c r="AG76" s="159" t="n">
        <v>-0.6345</v>
      </c>
      <c r="AH76" s="159" t="n">
        <v>0.2805</v>
      </c>
      <c r="AI76" s="159" t="n">
        <v>2.152</v>
      </c>
      <c r="AJ76" s="159" t="n">
        <v>1.8715</v>
      </c>
      <c r="AK76" s="159" t="n">
        <v>1.696</v>
      </c>
      <c r="AL76" s="159" t="n">
        <v>1.966</v>
      </c>
      <c r="AM76" s="159" t="n">
        <v>165.365</v>
      </c>
      <c r="AN76" s="159" t="n">
        <v>0.71475</v>
      </c>
      <c r="AO76" s="159" t="n">
        <v>-0.13425</v>
      </c>
      <c r="AP76" s="159" t="n">
        <v>-0.035</v>
      </c>
      <c r="AQ76" s="159" t="n">
        <v>9.016730000000001</v>
      </c>
      <c r="AR76" s="159" t="n"/>
      <c r="AS76" s="159" t="n">
        <v>0.388</v>
      </c>
      <c r="AT76" s="159" t="n">
        <v>8.800000000000001</v>
      </c>
      <c r="AU76" s="159" t="n">
        <v>104.8</v>
      </c>
      <c r="AV76" s="159" t="n">
        <v>113.2</v>
      </c>
      <c r="AW76" s="159" t="n">
        <v>101.69</v>
      </c>
      <c r="AX76" s="159" t="n">
        <v>92.7983</v>
      </c>
      <c r="AY76" s="159" t="n">
        <v>4.696381066</v>
      </c>
      <c r="AZ76" s="159" t="n">
        <v>5.163945621</v>
      </c>
      <c r="BA76" s="159" t="n">
        <v>9.372629275</v>
      </c>
      <c r="BB76" s="159" t="n">
        <v>4.562855411</v>
      </c>
      <c r="BC76" s="159" t="n">
        <v>4.714024591</v>
      </c>
    </row>
    <row r="77">
      <c r="A77" s="83" t="inlineStr">
        <is>
          <t>2011-11</t>
        </is>
      </c>
      <c r="B77" s="155" t="n">
        <v>1919.475</v>
      </c>
      <c r="C77" s="155" t="n">
        <v>191.56</v>
      </c>
      <c r="D77" s="155" t="n">
        <v>354.01</v>
      </c>
      <c r="E77" s="155" t="n">
        <v>4105.14</v>
      </c>
      <c r="F77" s="152" t="n">
        <v>4.525</v>
      </c>
      <c r="G77" s="152" t="n">
        <v>0.08</v>
      </c>
      <c r="H77" s="152" t="n">
        <v>4.445</v>
      </c>
      <c r="I77" s="156" t="n">
        <v>-9099.518620999999</v>
      </c>
      <c r="J77" s="152" t="n">
        <v>2.652862846</v>
      </c>
      <c r="K77" s="152" t="n">
        <v>91.26488000000001</v>
      </c>
      <c r="L77" s="152" t="n">
        <v>31.94190476</v>
      </c>
      <c r="M77" s="157" t="n">
        <v>0</v>
      </c>
      <c r="N77" s="155" t="n">
        <v>32588.96</v>
      </c>
      <c r="O77" s="152" t="n">
        <v>197.0454545</v>
      </c>
      <c r="P77" s="152" t="n">
        <v>1.970454545</v>
      </c>
      <c r="Q77" s="156" t="n">
        <v>-523.34</v>
      </c>
      <c r="R77" s="156" t="n">
        <v>239.96</v>
      </c>
      <c r="S77" s="152" t="n">
        <v>7.0495</v>
      </c>
      <c r="T77" s="152" t="n">
        <v>3.002105263</v>
      </c>
      <c r="U77" s="152" t="n">
        <v>4.047394737</v>
      </c>
      <c r="V77" s="152" t="n">
        <v>1.758014995</v>
      </c>
      <c r="W77" s="152" t="n">
        <v>2.289379742</v>
      </c>
      <c r="X77" s="158" t="n">
        <v>1.786136367</v>
      </c>
      <c r="Y77" s="158" t="n">
        <v>508.6477273</v>
      </c>
      <c r="Z77" s="158" t="n">
        <v>13.69709091</v>
      </c>
      <c r="AA77" s="158" t="n">
        <v>2.705104762</v>
      </c>
      <c r="AB77" s="159" t="n">
        <v>0.1826083147</v>
      </c>
      <c r="AC77" s="159" t="n">
        <v>-0.05315976247</v>
      </c>
      <c r="AD77" s="159" t="n">
        <v>86.76173627999999</v>
      </c>
      <c r="AE77" s="159" t="n">
        <v>75.87</v>
      </c>
      <c r="AF77" s="159" t="n">
        <v>0.0015</v>
      </c>
      <c r="AG77" s="159" t="n">
        <v>-0.853</v>
      </c>
      <c r="AH77" s="159" t="n">
        <v>0.2535</v>
      </c>
      <c r="AI77" s="159" t="n">
        <v>2.0135</v>
      </c>
      <c r="AJ77" s="159" t="n">
        <v>1.76</v>
      </c>
      <c r="AK77" s="159" t="n">
        <v>1.761</v>
      </c>
      <c r="AL77" s="159" t="n">
        <v>2.012</v>
      </c>
      <c r="AM77" s="159" t="n">
        <v>190.832</v>
      </c>
      <c r="AN77" s="159" t="n">
        <v>0.98725</v>
      </c>
      <c r="AO77" s="159" t="n">
        <v>-0.149</v>
      </c>
      <c r="AP77" s="159" t="n">
        <v>-0.05225</v>
      </c>
      <c r="AQ77" s="159" t="n">
        <v>8.721690000000001</v>
      </c>
      <c r="AR77" s="159" t="n"/>
      <c r="AS77" s="159" t="n">
        <v>0.4605</v>
      </c>
      <c r="AT77" s="159" t="n">
        <v>8.6</v>
      </c>
      <c r="AU77" s="159" t="n">
        <v>105.1</v>
      </c>
      <c r="AV77" s="159" t="n">
        <v>112.4</v>
      </c>
      <c r="AW77" s="159" t="n">
        <v>101.609</v>
      </c>
      <c r="AX77" s="159" t="n">
        <v>92.624</v>
      </c>
      <c r="AY77" s="159" t="n">
        <v>4.707437924</v>
      </c>
      <c r="AZ77" s="159" t="n">
        <v>5.175103988</v>
      </c>
      <c r="BA77" s="159" t="n">
        <v>9.371863806</v>
      </c>
      <c r="BB77" s="159" t="n">
        <v>4.56276882</v>
      </c>
      <c r="BC77" s="159" t="n">
        <v>4.716711561</v>
      </c>
    </row>
    <row r="78">
      <c r="A78" s="83" t="inlineStr">
        <is>
          <t>2011-12</t>
        </is>
      </c>
      <c r="B78" s="155" t="n">
        <v>1933.35129</v>
      </c>
      <c r="C78" s="155" t="n">
        <v>183.64</v>
      </c>
      <c r="D78" s="155" t="n">
        <v>375.7</v>
      </c>
      <c r="E78" s="155" t="n">
        <v>4064.1</v>
      </c>
      <c r="F78" s="152" t="n">
        <v>4.75</v>
      </c>
      <c r="G78" s="152" t="n">
        <v>0.07000000000000001</v>
      </c>
      <c r="H78" s="152" t="n">
        <v>4.68</v>
      </c>
      <c r="I78" s="156" t="n">
        <v>-11056.86197</v>
      </c>
      <c r="J78" s="152" t="n">
        <v>2.82812027</v>
      </c>
      <c r="K78" s="152" t="n">
        <v>92.20559048</v>
      </c>
      <c r="L78" s="152" t="n">
        <v>25.04761905</v>
      </c>
      <c r="M78" s="157" t="n">
        <v>0</v>
      </c>
      <c r="N78" s="155" t="n">
        <v>32300.44</v>
      </c>
      <c r="O78" s="152" t="n">
        <v>187.1363636</v>
      </c>
      <c r="P78" s="152" t="n">
        <v>1.871363636</v>
      </c>
      <c r="Q78" s="156" t="n">
        <v>-870.63</v>
      </c>
      <c r="R78" s="156" t="n">
        <v>615.38</v>
      </c>
      <c r="S78" s="152" t="n">
        <v>7.0905</v>
      </c>
      <c r="T78" s="152" t="n">
        <v>2.998333333</v>
      </c>
      <c r="U78" s="152" t="n">
        <v>4.092166667</v>
      </c>
      <c r="V78" s="152" t="n">
        <v>1.722495244</v>
      </c>
      <c r="W78" s="152" t="n">
        <v>2.369671423</v>
      </c>
      <c r="X78" s="158" t="n">
        <v>1.837681825</v>
      </c>
      <c r="Y78" s="158" t="n">
        <v>516.8840909</v>
      </c>
      <c r="Z78" s="158" t="n">
        <v>13.76968182</v>
      </c>
      <c r="AA78" s="158" t="n">
        <v>2.696178947</v>
      </c>
      <c r="AB78" s="159" t="n">
        <v>0.4194774238</v>
      </c>
      <c r="AC78" s="159" t="n">
        <v>0.2505962464</v>
      </c>
      <c r="AD78" s="159" t="n">
        <v>86.85303997</v>
      </c>
      <c r="AE78" s="159" t="n">
        <v>76.19</v>
      </c>
      <c r="AF78" s="159" t="n">
        <v>-0.0314286</v>
      </c>
      <c r="AG78" s="159" t="n">
        <v>-0.778095</v>
      </c>
      <c r="AH78" s="159" t="n">
        <v>0.257143</v>
      </c>
      <c r="AI78" s="159" t="n">
        <v>1.9781</v>
      </c>
      <c r="AJ78" s="159" t="n">
        <v>1.72095</v>
      </c>
      <c r="AK78" s="159" t="n">
        <v>1.66952</v>
      </c>
      <c r="AL78" s="159" t="n">
        <v>2.00952</v>
      </c>
      <c r="AM78" s="159" t="n">
        <v>176.19</v>
      </c>
      <c r="AN78" s="159" t="n">
        <v>0.70966</v>
      </c>
      <c r="AO78" s="159" t="n">
        <v>-0.1602</v>
      </c>
      <c r="AP78" s="159" t="n">
        <v>-0.037</v>
      </c>
      <c r="AQ78" s="159" t="n">
        <v>8.70261</v>
      </c>
      <c r="AR78" s="159" t="n"/>
      <c r="AS78" s="159" t="n">
        <v>0.545</v>
      </c>
      <c r="AT78" s="159" t="n">
        <v>8.5</v>
      </c>
      <c r="AU78" s="159" t="n">
        <v>105.1</v>
      </c>
      <c r="AV78" s="159" t="n">
        <v>112.8</v>
      </c>
      <c r="AW78" s="159" t="n">
        <v>101.509</v>
      </c>
      <c r="AX78" s="159" t="n">
        <v>92.8854</v>
      </c>
      <c r="AY78" s="159" t="n">
        <v>4.680926798</v>
      </c>
      <c r="AZ78" s="159" t="n">
        <v>5.155693332</v>
      </c>
      <c r="BA78" s="159" t="n">
        <v>9.374413093999999</v>
      </c>
      <c r="BB78" s="159" t="n">
        <v>4.568061082</v>
      </c>
      <c r="BC78" s="159" t="n">
        <v>4.743191484</v>
      </c>
    </row>
    <row r="79">
      <c r="A79" s="83" t="inlineStr">
        <is>
          <t>2012-01</t>
        </is>
      </c>
      <c r="B79" s="155" t="n">
        <v>1853.282258</v>
      </c>
      <c r="C79" s="155" t="n">
        <v>188.84</v>
      </c>
      <c r="D79" s="155" t="n">
        <v>294.54</v>
      </c>
      <c r="E79" s="155" t="n">
        <v>4067.27</v>
      </c>
      <c r="F79" s="152" t="n">
        <v>4.758064516</v>
      </c>
      <c r="G79" s="152" t="n">
        <v>0.08</v>
      </c>
      <c r="H79" s="152" t="n">
        <v>4.678064516</v>
      </c>
      <c r="I79" s="156" t="n">
        <v>3977.500343</v>
      </c>
      <c r="J79" s="152" t="n">
        <v>2.641034086</v>
      </c>
      <c r="K79" s="152" t="n">
        <v>91.646265</v>
      </c>
      <c r="L79" s="152" t="n">
        <v>20.228</v>
      </c>
      <c r="M79" s="157" t="n">
        <v>0</v>
      </c>
      <c r="N79" s="155" t="n">
        <v>32518.33</v>
      </c>
      <c r="O79" s="152" t="n">
        <v>197.1363636</v>
      </c>
      <c r="P79" s="152" t="n">
        <v>1.971363636</v>
      </c>
      <c r="Q79" s="156" t="n">
        <v>-918.67</v>
      </c>
      <c r="R79" s="156" t="n">
        <v>1248.34</v>
      </c>
      <c r="S79" s="152" t="n">
        <v>6.962857143</v>
      </c>
      <c r="T79" s="152" t="n">
        <v>2.852222222</v>
      </c>
      <c r="U79" s="152" t="n">
        <v>4.110634921</v>
      </c>
      <c r="V79" s="152" t="n">
        <v>1.799820006</v>
      </c>
      <c r="W79" s="152" t="n">
        <v>2.310814915</v>
      </c>
      <c r="X79" s="158" t="n">
        <v>1.788272733</v>
      </c>
      <c r="Y79" s="158" t="n">
        <v>499.7409091</v>
      </c>
      <c r="Z79" s="158" t="n">
        <v>13.40286364</v>
      </c>
      <c r="AA79" s="158" t="n">
        <v>2.6925</v>
      </c>
      <c r="AB79" s="159" t="n">
        <v>-1.095017501</v>
      </c>
      <c r="AC79" s="159" t="n">
        <v>-0.8462626431</v>
      </c>
      <c r="AD79" s="159" t="n">
        <v>87.57403137</v>
      </c>
      <c r="AE79" s="159" t="n">
        <v>76.75</v>
      </c>
      <c r="AF79" s="159" t="n">
        <v>-0.108</v>
      </c>
      <c r="AG79" s="159" t="n">
        <v>-0.922</v>
      </c>
      <c r="AH79" s="159" t="n">
        <v>0.2405</v>
      </c>
      <c r="AI79" s="159" t="n">
        <v>1.9665</v>
      </c>
      <c r="AJ79" s="159" t="n">
        <v>1.726</v>
      </c>
      <c r="AK79" s="159" t="n">
        <v>1.757</v>
      </c>
      <c r="AL79" s="159" t="n">
        <v>2.0745</v>
      </c>
      <c r="AM79" s="159" t="n">
        <v>153.436</v>
      </c>
      <c r="AN79" s="159" t="n">
        <v>0.4682</v>
      </c>
      <c r="AO79" s="159" t="n">
        <v>-0.31075</v>
      </c>
      <c r="AP79" s="159" t="n">
        <v>-0.21025</v>
      </c>
      <c r="AQ79" s="159" t="n">
        <v>8.351990000000001</v>
      </c>
      <c r="AR79" s="159" t="n"/>
      <c r="AS79" s="159" t="n">
        <v>0.531</v>
      </c>
      <c r="AT79" s="159" t="n">
        <v>8.300000000000001</v>
      </c>
      <c r="AU79" s="159" t="n">
        <v>105.4</v>
      </c>
      <c r="AV79" s="159" t="n">
        <v>111.4</v>
      </c>
      <c r="AW79" s="159" t="n">
        <v>101.399</v>
      </c>
      <c r="AX79" s="159" t="n">
        <v>94.2796</v>
      </c>
      <c r="AY79" s="159" t="n">
        <v>4.706697364</v>
      </c>
      <c r="AZ79" s="159" t="n">
        <v>5.173099889</v>
      </c>
      <c r="BA79" s="159" t="n">
        <v>9.377548291</v>
      </c>
      <c r="BB79" s="159" t="n">
        <v>4.574007638</v>
      </c>
      <c r="BC79" s="159" t="n">
        <v>4.711330382</v>
      </c>
    </row>
    <row r="80">
      <c r="A80" s="83" t="inlineStr">
        <is>
          <t>2012-02</t>
        </is>
      </c>
      <c r="B80" s="155" t="n">
        <v>1782.754828</v>
      </c>
      <c r="C80" s="155" t="n">
        <v>191.26</v>
      </c>
      <c r="D80" s="155" t="n">
        <v>302.52</v>
      </c>
      <c r="E80" s="155" t="n">
        <v>4049.7</v>
      </c>
      <c r="F80" s="152" t="n">
        <v>5.025862069</v>
      </c>
      <c r="G80" s="152" t="n">
        <v>0.1</v>
      </c>
      <c r="H80" s="152" t="n">
        <v>4.925862069</v>
      </c>
      <c r="I80" s="156" t="n">
        <v>-372.308152</v>
      </c>
      <c r="J80" s="152" t="n">
        <v>2.578632323</v>
      </c>
      <c r="K80" s="152" t="n">
        <v>89.9605</v>
      </c>
      <c r="L80" s="152" t="n">
        <v>18.4205</v>
      </c>
      <c r="M80" s="157" t="n">
        <v>0</v>
      </c>
      <c r="N80" s="155" t="n">
        <v>32818.29</v>
      </c>
      <c r="O80" s="152" t="n">
        <v>175.5714286</v>
      </c>
      <c r="P80" s="152" t="n">
        <v>1.755714286</v>
      </c>
      <c r="Q80" s="156" t="n">
        <v>-651.4</v>
      </c>
      <c r="R80" s="156" t="n">
        <v>909.95</v>
      </c>
      <c r="S80" s="152" t="n">
        <v>6.967619048</v>
      </c>
      <c r="T80" s="152" t="n">
        <v>2.997894737</v>
      </c>
      <c r="U80" s="152" t="n">
        <v>3.969724311</v>
      </c>
      <c r="V80" s="152" t="n">
        <v>2.037274992</v>
      </c>
      <c r="W80" s="152" t="n">
        <v>1.932449318</v>
      </c>
      <c r="X80" s="158" t="n">
        <v>1.715619042</v>
      </c>
      <c r="Y80" s="158" t="n">
        <v>480.8690476</v>
      </c>
      <c r="Z80" s="158" t="n">
        <v>12.77552381</v>
      </c>
      <c r="AA80" s="158" t="n">
        <v>2.683271429</v>
      </c>
      <c r="AB80" s="159" t="n">
        <v>-1.534431971</v>
      </c>
      <c r="AC80" s="159" t="n">
        <v>-1.217416785</v>
      </c>
      <c r="AD80" s="159" t="n">
        <v>87.72663427000001</v>
      </c>
      <c r="AE80" s="159" t="n">
        <v>77.22</v>
      </c>
      <c r="AF80" s="159" t="n">
        <v>-0.2545</v>
      </c>
      <c r="AG80" s="159" t="n">
        <v>-1.1145</v>
      </c>
      <c r="AH80" s="159" t="n">
        <v>0.278</v>
      </c>
      <c r="AI80" s="159" t="n">
        <v>1.9675</v>
      </c>
      <c r="AJ80" s="159" t="n">
        <v>1.6895</v>
      </c>
      <c r="AK80" s="159" t="n">
        <v>1.9455</v>
      </c>
      <c r="AL80" s="159" t="n">
        <v>2.222</v>
      </c>
      <c r="AM80" s="159" t="n">
        <v>139.79</v>
      </c>
      <c r="AN80" s="159" t="n">
        <v>0.16635</v>
      </c>
      <c r="AO80" s="159" t="n">
        <v>-0.43275</v>
      </c>
      <c r="AP80" s="159" t="n">
        <v>-0.36925</v>
      </c>
      <c r="AQ80" s="159" t="n">
        <v>8.38003</v>
      </c>
      <c r="AR80" s="159" t="n"/>
      <c r="AS80" s="159" t="n">
        <v>0.4115</v>
      </c>
      <c r="AT80" s="159" t="n">
        <v>8.300000000000001</v>
      </c>
      <c r="AU80" s="159" t="n">
        <v>105.5</v>
      </c>
      <c r="AV80" s="159" t="n">
        <v>111.4</v>
      </c>
      <c r="AW80" s="159" t="n">
        <v>101.287</v>
      </c>
      <c r="AX80" s="159" t="n">
        <v>94.19240000000001</v>
      </c>
      <c r="AY80" s="159" t="n">
        <v>4.781867624</v>
      </c>
      <c r="AZ80" s="159" t="n">
        <v>5.203534048</v>
      </c>
      <c r="BA80" s="159" t="n">
        <v>9.379323363999999</v>
      </c>
      <c r="BB80" s="159" t="n">
        <v>4.577218142</v>
      </c>
      <c r="BC80" s="159" t="n">
        <v>4.715816706</v>
      </c>
    </row>
    <row r="81">
      <c r="A81" s="83" t="inlineStr">
        <is>
          <t>2012-03</t>
        </is>
      </c>
      <c r="B81" s="155" t="n">
        <v>1766.331613</v>
      </c>
      <c r="C81" s="155" t="n">
        <v>193.11</v>
      </c>
      <c r="D81" s="155" t="n">
        <v>338.47</v>
      </c>
      <c r="E81" s="155" t="n">
        <v>4029.13</v>
      </c>
      <c r="F81" s="152" t="n">
        <v>5.25</v>
      </c>
      <c r="G81" s="152" t="n">
        <v>0.13</v>
      </c>
      <c r="H81" s="152" t="n">
        <v>5.12</v>
      </c>
      <c r="I81" s="156" t="n">
        <v>-598.6766777</v>
      </c>
      <c r="J81" s="152" t="n">
        <v>2.738779895</v>
      </c>
      <c r="K81" s="152" t="n">
        <v>90.51121363999999</v>
      </c>
      <c r="L81" s="152" t="n">
        <v>16.16727273</v>
      </c>
      <c r="M81" s="157" t="n">
        <v>0</v>
      </c>
      <c r="N81" s="155" t="n">
        <v>33121.74</v>
      </c>
      <c r="O81" s="152" t="n">
        <v>149.0909091</v>
      </c>
      <c r="P81" s="152" t="n">
        <v>1.490909091</v>
      </c>
      <c r="Q81" s="156" t="n">
        <v>-570.85</v>
      </c>
      <c r="R81" s="156" t="n">
        <v>888.26</v>
      </c>
      <c r="S81" s="152" t="n">
        <v>6.788095238</v>
      </c>
      <c r="T81" s="152" t="n">
        <v>3.228888889</v>
      </c>
      <c r="U81" s="152" t="n">
        <v>3.559206349</v>
      </c>
      <c r="V81" s="152" t="n">
        <v>2.17007727</v>
      </c>
      <c r="W81" s="152" t="n">
        <v>1.389129079</v>
      </c>
      <c r="X81" s="158" t="n">
        <v>1.794590912</v>
      </c>
      <c r="Y81" s="158" t="n">
        <v>485.6181818</v>
      </c>
      <c r="Z81" s="158" t="n">
        <v>12.74281818</v>
      </c>
      <c r="AA81" s="158" t="n">
        <v>2.670872727</v>
      </c>
      <c r="AB81" s="159" t="n">
        <v>0.3981916376</v>
      </c>
      <c r="AC81" s="159" t="n">
        <v>0.2079542913</v>
      </c>
      <c r="AD81" s="159" t="n">
        <v>88.46403392000001</v>
      </c>
      <c r="AE81" s="159" t="n">
        <v>77.31</v>
      </c>
      <c r="AF81" s="159" t="n">
        <v>-0.141364</v>
      </c>
      <c r="AG81" s="159" t="n">
        <v>-1.02864</v>
      </c>
      <c r="AH81" s="159" t="n">
        <v>0.344545</v>
      </c>
      <c r="AI81" s="159" t="n">
        <v>2.17273</v>
      </c>
      <c r="AJ81" s="159" t="n">
        <v>1.82818</v>
      </c>
      <c r="AK81" s="159" t="n">
        <v>2.04591</v>
      </c>
      <c r="AL81" s="159" t="n">
        <v>2.31409</v>
      </c>
      <c r="AM81" s="159" t="n">
        <v>131.124</v>
      </c>
      <c r="AN81" s="159" t="n">
        <v>-0.00684</v>
      </c>
      <c r="AO81" s="159" t="n">
        <v>-0.477</v>
      </c>
      <c r="AP81" s="159" t="n">
        <v>-0.4368</v>
      </c>
      <c r="AQ81" s="159" t="n">
        <v>8.318</v>
      </c>
      <c r="AR81" s="159" t="n"/>
      <c r="AS81" s="159" t="n">
        <v>0.386818</v>
      </c>
      <c r="AT81" s="159" t="n">
        <v>8.199999999999999</v>
      </c>
      <c r="AU81" s="159" t="n">
        <v>105.4</v>
      </c>
      <c r="AV81" s="159" t="n">
        <v>111.9</v>
      </c>
      <c r="AW81" s="159" t="n">
        <v>101.177</v>
      </c>
      <c r="AX81" s="159" t="n">
        <v>94.36669999999999</v>
      </c>
      <c r="AY81" s="159" t="n">
        <v>4.831867416</v>
      </c>
      <c r="AZ81" s="159" t="n">
        <v>5.223820088</v>
      </c>
      <c r="BA81" s="159" t="n">
        <v>9.382611593</v>
      </c>
      <c r="BB81" s="159" t="n">
        <v>4.572026967</v>
      </c>
      <c r="BC81" s="159" t="n">
        <v>4.71492105</v>
      </c>
    </row>
    <row r="82">
      <c r="A82" s="83" t="inlineStr">
        <is>
          <t>2012-04</t>
        </is>
      </c>
      <c r="B82" s="155" t="n">
        <v>1774.249</v>
      </c>
      <c r="C82" s="155" t="n">
        <v>189.48</v>
      </c>
      <c r="D82" s="155" t="n">
        <v>330.6</v>
      </c>
      <c r="E82" s="155" t="n">
        <v>4051.72</v>
      </c>
      <c r="F82" s="152" t="n">
        <v>5.25</v>
      </c>
      <c r="G82" s="152" t="n">
        <v>0.14</v>
      </c>
      <c r="H82" s="152" t="n">
        <v>5.11</v>
      </c>
      <c r="I82" s="156" t="n">
        <v>9730.221583</v>
      </c>
      <c r="J82" s="152" t="n">
        <v>1.86842231</v>
      </c>
      <c r="K82" s="152" t="n">
        <v>90.81560952</v>
      </c>
      <c r="L82" s="152" t="n">
        <v>17.823</v>
      </c>
      <c r="M82" s="157" t="n">
        <v>0</v>
      </c>
      <c r="N82" s="155" t="n">
        <v>33554.52</v>
      </c>
      <c r="O82" s="152" t="n">
        <v>147.4761905</v>
      </c>
      <c r="P82" s="152" t="n">
        <v>1.474761905</v>
      </c>
      <c r="Q82" s="156" t="n">
        <v>-507.33</v>
      </c>
      <c r="R82" s="156" t="n">
        <v>989.5599999999999</v>
      </c>
      <c r="S82" s="152" t="n">
        <v>6.592631579</v>
      </c>
      <c r="T82" s="152" t="n">
        <v>3.293529412</v>
      </c>
      <c r="U82" s="152" t="n">
        <v>3.299102167</v>
      </c>
      <c r="V82" s="152" t="n">
        <v>2.065314282</v>
      </c>
      <c r="W82" s="152" t="n">
        <v>1.233787886</v>
      </c>
      <c r="X82" s="158" t="n">
        <v>1.852952389</v>
      </c>
      <c r="Y82" s="158" t="n">
        <v>485.4452381</v>
      </c>
      <c r="Z82" s="158" t="n">
        <v>13.05628571</v>
      </c>
      <c r="AA82" s="158" t="n">
        <v>2.656622222</v>
      </c>
      <c r="AB82" s="159" t="n">
        <v>0.4744600182</v>
      </c>
      <c r="AC82" s="159" t="n">
        <v>0.2507070853</v>
      </c>
      <c r="AD82" s="159" t="n">
        <v>87.70985259</v>
      </c>
      <c r="AE82" s="159" t="n">
        <v>77.42</v>
      </c>
      <c r="AF82" s="159" t="n">
        <v>-0.21381</v>
      </c>
      <c r="AG82" s="159" t="n">
        <v>-1.05762</v>
      </c>
      <c r="AH82" s="159" t="n">
        <v>0.291905</v>
      </c>
      <c r="AI82" s="159" t="n">
        <v>2.05286</v>
      </c>
      <c r="AJ82" s="159" t="n">
        <v>1.76095</v>
      </c>
      <c r="AK82" s="159" t="n">
        <v>1.95238</v>
      </c>
      <c r="AL82" s="159" t="n">
        <v>2.26667</v>
      </c>
      <c r="AM82" s="159" t="n">
        <v>128.086</v>
      </c>
      <c r="AN82" s="159" t="n">
        <v>0.099075</v>
      </c>
      <c r="AO82" s="159" t="n">
        <v>-0.4545</v>
      </c>
      <c r="AP82" s="159" t="n">
        <v>-0.41775</v>
      </c>
      <c r="AQ82" s="159" t="n">
        <v>8.31358</v>
      </c>
      <c r="AR82" s="159" t="n"/>
      <c r="AS82" s="159" t="n">
        <v>0.385789</v>
      </c>
      <c r="AT82" s="159" t="n">
        <v>8.199999999999999</v>
      </c>
      <c r="AU82" s="159" t="n">
        <v>105</v>
      </c>
      <c r="AV82" s="159" t="n">
        <v>109.3</v>
      </c>
      <c r="AW82" s="159" t="n">
        <v>101.071</v>
      </c>
      <c r="AX82" s="159" t="n">
        <v>94.2796</v>
      </c>
      <c r="AY82" s="159" t="n">
        <v>4.782663439</v>
      </c>
      <c r="AZ82" s="159" t="n">
        <v>5.207341779</v>
      </c>
      <c r="BA82" s="159" t="n">
        <v>9.384041546000001</v>
      </c>
      <c r="BB82" s="159" t="n">
        <v>4.579194726</v>
      </c>
      <c r="BC82" s="159" t="n">
        <v>4.716711561</v>
      </c>
    </row>
    <row r="83">
      <c r="A83" s="83" t="inlineStr">
        <is>
          <t>2012-05</t>
        </is>
      </c>
      <c r="B83" s="155" t="n">
        <v>1793.276774</v>
      </c>
      <c r="C83" s="155" t="n">
        <v>172.38</v>
      </c>
      <c r="D83" s="155" t="n">
        <v>354.33</v>
      </c>
      <c r="E83" s="155" t="n">
        <v>4056.38</v>
      </c>
      <c r="F83" s="152" t="n">
        <v>5.25</v>
      </c>
      <c r="G83" s="152" t="n">
        <v>0.16</v>
      </c>
      <c r="H83" s="152" t="n">
        <v>5.09</v>
      </c>
      <c r="I83" s="156" t="n">
        <v>777.0797026</v>
      </c>
      <c r="J83" s="152" t="n">
        <v>1.767762633</v>
      </c>
      <c r="K83" s="152" t="n">
        <v>92.49278636</v>
      </c>
      <c r="L83" s="152" t="n">
        <v>21.00181818</v>
      </c>
      <c r="M83" s="157" t="n">
        <v>0</v>
      </c>
      <c r="N83" s="155" t="n">
        <v>33669.15</v>
      </c>
      <c r="O83" s="152" t="n">
        <v>174.3043478</v>
      </c>
      <c r="P83" s="152" t="n">
        <v>1.743043478</v>
      </c>
      <c r="Q83" s="156" t="n">
        <v>-416.53</v>
      </c>
      <c r="R83" s="156" t="n">
        <v>496.59</v>
      </c>
      <c r="S83" s="152" t="n">
        <v>6.642857143</v>
      </c>
      <c r="T83" s="152" t="n">
        <v>3.336666667</v>
      </c>
      <c r="U83" s="152" t="n">
        <v>3.306190476</v>
      </c>
      <c r="V83" s="152" t="n">
        <v>1.931013644</v>
      </c>
      <c r="W83" s="152" t="n">
        <v>1.375176832</v>
      </c>
      <c r="X83" s="158" t="n">
        <v>1.98134783</v>
      </c>
      <c r="Y83" s="158" t="n">
        <v>498.226087</v>
      </c>
      <c r="Z83" s="158" t="n">
        <v>13.62604348</v>
      </c>
      <c r="AA83" s="158" t="n">
        <v>2.669736364</v>
      </c>
      <c r="AB83" s="159" t="n">
        <v>1.341861733</v>
      </c>
      <c r="AC83" s="159" t="n">
        <v>1.107902435</v>
      </c>
      <c r="AD83" s="159" t="n">
        <v>88.43227742000001</v>
      </c>
      <c r="AE83" s="159" t="n">
        <v>77.66</v>
      </c>
      <c r="AF83" s="159" t="n">
        <v>-0.341364</v>
      </c>
      <c r="AG83" s="159" t="n">
        <v>-1.12318</v>
      </c>
      <c r="AH83" s="159" t="n">
        <v>0.285</v>
      </c>
      <c r="AI83" s="159" t="n">
        <v>1.80318</v>
      </c>
      <c r="AJ83" s="159" t="n">
        <v>1.51818</v>
      </c>
      <c r="AK83" s="159" t="n">
        <v>1.885</v>
      </c>
      <c r="AL83" s="159" t="n">
        <v>2.14455</v>
      </c>
      <c r="AM83" s="159" t="n">
        <v>157.86</v>
      </c>
      <c r="AN83" s="159" t="n">
        <v>0.21815</v>
      </c>
      <c r="AO83" s="159" t="n">
        <v>-0.35775</v>
      </c>
      <c r="AP83" s="159" t="n">
        <v>-0.312</v>
      </c>
      <c r="AQ83" s="159" t="n">
        <v>8.316660000000001</v>
      </c>
      <c r="AR83" s="159" t="n"/>
      <c r="AS83" s="159" t="n">
        <v>0.380952</v>
      </c>
      <c r="AT83" s="159" t="n">
        <v>8.199999999999999</v>
      </c>
      <c r="AU83" s="159" t="n">
        <v>104.9</v>
      </c>
      <c r="AV83" s="159" t="n">
        <v>109.6</v>
      </c>
      <c r="AW83" s="159" t="n">
        <v>100.975</v>
      </c>
      <c r="AX83" s="159" t="n">
        <v>94.0181</v>
      </c>
      <c r="AY83" s="159" t="n">
        <v>4.703566508</v>
      </c>
      <c r="AZ83" s="159" t="n">
        <v>5.147360747</v>
      </c>
      <c r="BA83" s="159" t="n">
        <v>9.384965722</v>
      </c>
      <c r="BB83" s="159" t="n">
        <v>4.581501274</v>
      </c>
      <c r="BC83" s="159" t="n">
        <v>4.724729421</v>
      </c>
    </row>
    <row r="84">
      <c r="A84" s="83" t="inlineStr">
        <is>
          <t>2012-06</t>
        </is>
      </c>
      <c r="B84" s="155" t="n">
        <v>1792.546667</v>
      </c>
      <c r="C84" s="155" t="n">
        <v>160.51</v>
      </c>
      <c r="D84" s="155" t="n">
        <v>319.67</v>
      </c>
      <c r="E84" s="155" t="n">
        <v>4049.42</v>
      </c>
      <c r="F84" s="152" t="n">
        <v>5.25</v>
      </c>
      <c r="G84" s="152" t="n">
        <v>0.16</v>
      </c>
      <c r="H84" s="152" t="n">
        <v>5.09</v>
      </c>
      <c r="I84" s="156" t="n">
        <v>2603.840731</v>
      </c>
      <c r="J84" s="152" t="n">
        <v>1.408046888</v>
      </c>
      <c r="K84" s="152" t="n">
        <v>93.88086667</v>
      </c>
      <c r="L84" s="152" t="n">
        <v>21.13095238</v>
      </c>
      <c r="M84" s="157" t="n">
        <v>0</v>
      </c>
      <c r="N84" s="155" t="n">
        <v>34265.53</v>
      </c>
      <c r="O84" s="152" t="n">
        <v>172.7619048</v>
      </c>
      <c r="P84" s="152" t="n">
        <v>1.727619048</v>
      </c>
      <c r="Q84" s="156" t="n">
        <v>-488.08</v>
      </c>
      <c r="R84" s="156" t="n">
        <v>1266.02</v>
      </c>
      <c r="S84" s="152" t="n">
        <v>6.504736842</v>
      </c>
      <c r="T84" s="152" t="n">
        <v>3.328333333</v>
      </c>
      <c r="U84" s="152" t="n">
        <v>3.176403509</v>
      </c>
      <c r="V84" s="152" t="n">
        <v>1.782585717</v>
      </c>
      <c r="W84" s="152" t="n">
        <v>1.393817791</v>
      </c>
      <c r="X84" s="158" t="n">
        <v>2.048904759</v>
      </c>
      <c r="Y84" s="158" t="n">
        <v>504.3857143</v>
      </c>
      <c r="Z84" s="158" t="n">
        <v>13.9137619</v>
      </c>
      <c r="AA84" s="158" t="n">
        <v>2.67096</v>
      </c>
      <c r="AB84" s="159" t="n">
        <v>0.6053731685</v>
      </c>
      <c r="AC84" s="159" t="n">
        <v>0.4657101043</v>
      </c>
      <c r="AD84" s="159" t="n">
        <v>88.5012747</v>
      </c>
      <c r="AE84" s="159" t="n">
        <v>77.72</v>
      </c>
      <c r="AF84" s="159" t="n">
        <v>-0.500476</v>
      </c>
      <c r="AG84" s="159" t="n">
        <v>-1.04762</v>
      </c>
      <c r="AH84" s="159" t="n">
        <v>0.291905</v>
      </c>
      <c r="AI84" s="159" t="n">
        <v>1.62238</v>
      </c>
      <c r="AJ84" s="159" t="n">
        <v>1.33048</v>
      </c>
      <c r="AK84" s="159" t="n">
        <v>1.75905</v>
      </c>
      <c r="AL84" s="159" t="n">
        <v>2.12286</v>
      </c>
      <c r="AM84" s="159" t="n">
        <v>181.591</v>
      </c>
      <c r="AN84" s="159" t="n">
        <v>0.25884</v>
      </c>
      <c r="AO84" s="159" t="n">
        <v>-0.3006</v>
      </c>
      <c r="AP84" s="159" t="n">
        <v>-0.229</v>
      </c>
      <c r="AQ84" s="159" t="n">
        <v>8.21833</v>
      </c>
      <c r="AR84" s="159" t="n"/>
      <c r="AS84" s="159" t="n">
        <v>0.374211</v>
      </c>
      <c r="AT84" s="159" t="n">
        <v>8.199999999999999</v>
      </c>
      <c r="AU84" s="159" t="n">
        <v>104.9</v>
      </c>
      <c r="AV84" s="159" t="n">
        <v>109.5</v>
      </c>
      <c r="AW84" s="159" t="n">
        <v>100.889</v>
      </c>
      <c r="AX84" s="159" t="n">
        <v>93.4953</v>
      </c>
      <c r="AY84" s="159" t="n">
        <v>4.555514497</v>
      </c>
      <c r="AZ84" s="159" t="n">
        <v>5.080795484</v>
      </c>
      <c r="BA84" s="159" t="n">
        <v>9.385805141000001</v>
      </c>
      <c r="BB84" s="159" t="n">
        <v>4.581556566</v>
      </c>
      <c r="BC84" s="159" t="n">
        <v>4.731802837</v>
      </c>
    </row>
    <row r="85">
      <c r="A85" s="83" t="inlineStr">
        <is>
          <t>2012-07</t>
        </is>
      </c>
      <c r="B85" s="155" t="n">
        <v>1783.820323</v>
      </c>
      <c r="C85" s="155" t="n">
        <v>162.14</v>
      </c>
      <c r="D85" s="155" t="n">
        <v>330.39</v>
      </c>
      <c r="E85" s="155" t="n">
        <v>4060.39</v>
      </c>
      <c r="F85" s="152" t="n">
        <v>5.233870968</v>
      </c>
      <c r="G85" s="152" t="n">
        <v>0.16</v>
      </c>
      <c r="H85" s="152" t="n">
        <v>5.073870968</v>
      </c>
      <c r="I85" s="156" t="n">
        <v>-739.9800067</v>
      </c>
      <c r="J85" s="152" t="n">
        <v>1.500560281</v>
      </c>
      <c r="K85" s="152" t="n">
        <v>93.40616667</v>
      </c>
      <c r="L85" s="152" t="n">
        <v>17.5652381</v>
      </c>
      <c r="M85" s="157" t="n">
        <v>0</v>
      </c>
      <c r="N85" s="155" t="n">
        <v>34712.56</v>
      </c>
      <c r="O85" s="152" t="n">
        <v>150.9545455</v>
      </c>
      <c r="P85" s="152" t="n">
        <v>1.509545455</v>
      </c>
      <c r="Q85" s="156" t="n">
        <v>-510.66</v>
      </c>
      <c r="R85" s="156" t="n">
        <v>1098.05</v>
      </c>
      <c r="S85" s="152" t="n">
        <v>6.223</v>
      </c>
      <c r="T85" s="152" t="n">
        <v>3.334375</v>
      </c>
      <c r="U85" s="152" t="n">
        <v>2.888625</v>
      </c>
      <c r="V85" s="152" t="n">
        <v>1.783238104</v>
      </c>
      <c r="W85" s="152" t="n">
        <v>1.105386896</v>
      </c>
      <c r="X85" s="158" t="n">
        <v>2.027727268</v>
      </c>
      <c r="Y85" s="158" t="n">
        <v>490.9340909</v>
      </c>
      <c r="Z85" s="158" t="n">
        <v>13.35668182</v>
      </c>
      <c r="AA85" s="158" t="n">
        <v>2.634985714</v>
      </c>
      <c r="AB85" s="159" t="n">
        <v>-1.023997101</v>
      </c>
      <c r="AC85" s="159" t="n">
        <v>-1.038272808</v>
      </c>
      <c r="AD85" s="159" t="n">
        <v>87.96513578</v>
      </c>
      <c r="AE85" s="159" t="n">
        <v>77.7</v>
      </c>
      <c r="AF85" s="159" t="n">
        <v>-0.601905</v>
      </c>
      <c r="AG85" s="159" t="n">
        <v>-1.14762</v>
      </c>
      <c r="AH85" s="159" t="n">
        <v>0.248095</v>
      </c>
      <c r="AI85" s="159" t="n">
        <v>1.52667</v>
      </c>
      <c r="AJ85" s="159" t="n">
        <v>1.27857</v>
      </c>
      <c r="AK85" s="159" t="n">
        <v>1.76714</v>
      </c>
      <c r="AL85" s="159" t="n">
        <v>2.12857</v>
      </c>
      <c r="AM85" s="159" t="n">
        <v>149.978</v>
      </c>
      <c r="AN85" s="159" t="n">
        <v>0.06535000000000001</v>
      </c>
      <c r="AO85" s="159" t="n">
        <v>-0.381</v>
      </c>
      <c r="AP85" s="159" t="n">
        <v>-0.34275</v>
      </c>
      <c r="AQ85" s="159" t="n">
        <v>8.225479999999999</v>
      </c>
      <c r="AR85" s="159" t="n"/>
      <c r="AS85" s="159" t="n">
        <v>0.357619</v>
      </c>
      <c r="AT85" s="159" t="n">
        <v>8.199999999999999</v>
      </c>
      <c r="AU85" s="159" t="n">
        <v>104.9</v>
      </c>
      <c r="AV85" s="159" t="n">
        <v>109.2</v>
      </c>
      <c r="AW85" s="159" t="n">
        <v>100.817</v>
      </c>
      <c r="AX85" s="159" t="n">
        <v>93.5825</v>
      </c>
      <c r="AY85" s="159" t="n">
        <v>4.631023101</v>
      </c>
      <c r="AZ85" s="159" t="n">
        <v>5.115073384</v>
      </c>
      <c r="BA85" s="159" t="n">
        <v>9.387984339000001</v>
      </c>
      <c r="BB85" s="159" t="n">
        <v>4.58365335</v>
      </c>
      <c r="BC85" s="159" t="n">
        <v>4.729156166</v>
      </c>
    </row>
    <row r="86">
      <c r="A86" s="83" t="inlineStr">
        <is>
          <t>2012-08</t>
        </is>
      </c>
      <c r="B86" s="155" t="n">
        <v>1805.523226</v>
      </c>
      <c r="C86" s="155" t="n">
        <v>155.67</v>
      </c>
      <c r="D86" s="155" t="n">
        <v>346.78</v>
      </c>
      <c r="E86" s="155" t="n">
        <v>4037.52</v>
      </c>
      <c r="F86" s="152" t="n">
        <v>4.959677419</v>
      </c>
      <c r="G86" s="152" t="n">
        <v>0.13</v>
      </c>
      <c r="H86" s="152" t="n">
        <v>4.829677419</v>
      </c>
      <c r="I86" s="156" t="n">
        <v>-3395.703087</v>
      </c>
      <c r="J86" s="152" t="n">
        <v>1.515547366</v>
      </c>
      <c r="K86" s="152" t="n">
        <v>92.52826521999999</v>
      </c>
      <c r="L86" s="152" t="n">
        <v>15.68956522</v>
      </c>
      <c r="M86" s="157" t="n">
        <v>0</v>
      </c>
      <c r="N86" s="155" t="n">
        <v>35270.04</v>
      </c>
      <c r="O86" s="152" t="n">
        <v>128.7826087</v>
      </c>
      <c r="P86" s="152" t="n">
        <v>1.287826087</v>
      </c>
      <c r="Q86" s="156" t="n">
        <v>-387.72</v>
      </c>
      <c r="R86" s="156" t="n">
        <v>867.16</v>
      </c>
      <c r="S86" s="152" t="n">
        <v>5.871904762</v>
      </c>
      <c r="T86" s="152" t="n">
        <v>3.06</v>
      </c>
      <c r="U86" s="152" t="n">
        <v>2.811904762</v>
      </c>
      <c r="V86" s="152" t="n">
        <v>1.941217391</v>
      </c>
      <c r="W86" s="152" t="n">
        <v>0.8706873705</v>
      </c>
      <c r="X86" s="158" t="n">
        <v>2.027913031</v>
      </c>
      <c r="Y86" s="158" t="n">
        <v>480.8956522</v>
      </c>
      <c r="Z86" s="158" t="n">
        <v>13.178</v>
      </c>
      <c r="AA86" s="158" t="n">
        <v>2.61587619</v>
      </c>
      <c r="AB86" s="159" t="n">
        <v>-0.5212470283</v>
      </c>
      <c r="AC86" s="159" t="n">
        <v>-0.5348684544</v>
      </c>
      <c r="AD86" s="159" t="n">
        <v>86.78354663</v>
      </c>
      <c r="AE86" s="159" t="n">
        <v>77.73</v>
      </c>
      <c r="AF86" s="159" t="n">
        <v>-0.585652</v>
      </c>
      <c r="AG86" s="159" t="n">
        <v>-1.19217</v>
      </c>
      <c r="AH86" s="159" t="n">
        <v>0.268696</v>
      </c>
      <c r="AI86" s="159" t="n">
        <v>1.67826</v>
      </c>
      <c r="AJ86" s="159" t="n">
        <v>1.40957</v>
      </c>
      <c r="AK86" s="159" t="n">
        <v>1.90609</v>
      </c>
      <c r="AL86" s="159" t="n">
        <v>2.26391</v>
      </c>
      <c r="AM86" s="159" t="n">
        <v>116.172</v>
      </c>
      <c r="AN86" s="159" t="n">
        <v>-0.12632</v>
      </c>
      <c r="AO86" s="159" t="n">
        <v>-0.4696</v>
      </c>
      <c r="AP86" s="159" t="n">
        <v>-0.435</v>
      </c>
      <c r="AQ86" s="159" t="n">
        <v>8.15958</v>
      </c>
      <c r="AR86" s="159" t="n"/>
      <c r="AS86" s="159" t="n">
        <v>0.329545</v>
      </c>
      <c r="AT86" s="159" t="n">
        <v>8.1</v>
      </c>
      <c r="AU86" s="159" t="n">
        <v>104.9</v>
      </c>
      <c r="AV86" s="159" t="n">
        <v>108.9</v>
      </c>
      <c r="AW86" s="159" t="n">
        <v>100.761</v>
      </c>
      <c r="AX86" s="159" t="n">
        <v>94.193</v>
      </c>
      <c r="AY86" s="159" t="n">
        <v>4.730533309</v>
      </c>
      <c r="AZ86" s="159" t="n">
        <v>5.143795785</v>
      </c>
      <c r="BA86" s="159" t="n">
        <v>9.387649387</v>
      </c>
      <c r="BB86" s="159" t="n">
        <v>4.57936508</v>
      </c>
      <c r="BC86" s="159" t="n">
        <v>4.722953222</v>
      </c>
    </row>
    <row r="87">
      <c r="A87" s="83" t="inlineStr">
        <is>
          <t>2012-09</t>
        </is>
      </c>
      <c r="B87" s="155" t="n">
        <v>1802.746333</v>
      </c>
      <c r="C87" s="155" t="n">
        <v>169.21</v>
      </c>
      <c r="D87" s="155" t="n">
        <v>313.1</v>
      </c>
      <c r="E87" s="155" t="n">
        <v>4011.27</v>
      </c>
      <c r="F87" s="152" t="n">
        <v>4.75</v>
      </c>
      <c r="G87" s="152" t="n">
        <v>0.14</v>
      </c>
      <c r="H87" s="152" t="n">
        <v>4.61</v>
      </c>
      <c r="I87" s="156" t="n">
        <v>590.9353321</v>
      </c>
      <c r="J87" s="152" t="n">
        <v>1.617997108</v>
      </c>
      <c r="K87" s="152" t="n">
        <v>90.9802</v>
      </c>
      <c r="L87" s="152" t="n">
        <v>15.28473684</v>
      </c>
      <c r="M87" s="157" t="n">
        <v>0</v>
      </c>
      <c r="N87" s="155" t="n">
        <v>35829.46</v>
      </c>
      <c r="O87" s="152" t="n">
        <v>126.5</v>
      </c>
      <c r="P87" s="152" t="n">
        <v>1.265</v>
      </c>
      <c r="Q87" s="156" t="n">
        <v>-419.47</v>
      </c>
      <c r="R87" s="156" t="n">
        <v>998.3200000000001</v>
      </c>
      <c r="S87" s="152" t="n">
        <v>5.797</v>
      </c>
      <c r="T87" s="152" t="n">
        <v>2.645789474</v>
      </c>
      <c r="U87" s="152" t="n">
        <v>3.151210526</v>
      </c>
      <c r="V87" s="152" t="n">
        <v>2.172694721</v>
      </c>
      <c r="W87" s="152" t="n">
        <v>0.9785158056</v>
      </c>
      <c r="X87" s="158" t="n">
        <v>2.02650001</v>
      </c>
      <c r="Y87" s="158" t="n">
        <v>473.5725</v>
      </c>
      <c r="Z87" s="158" t="n">
        <v>12.9339</v>
      </c>
      <c r="AA87" s="158" t="n">
        <v>2.60267</v>
      </c>
      <c r="AB87" s="159" t="n">
        <v>-0.5246747376000001</v>
      </c>
      <c r="AC87" s="159" t="n">
        <v>-0.4928404222</v>
      </c>
      <c r="AD87" s="159" t="n">
        <v>88.51502481999999</v>
      </c>
      <c r="AE87" s="159" t="n">
        <v>77.95999999999999</v>
      </c>
      <c r="AF87" s="159" t="n">
        <v>-0.713158</v>
      </c>
      <c r="AG87" s="159" t="n">
        <v>-1.47053</v>
      </c>
      <c r="AH87" s="159" t="n">
        <v>0.255263</v>
      </c>
      <c r="AI87" s="159" t="n">
        <v>1.72316</v>
      </c>
      <c r="AJ87" s="159" t="n">
        <v>1.46789</v>
      </c>
      <c r="AK87" s="159" t="n">
        <v>2.13947</v>
      </c>
      <c r="AL87" s="159" t="n">
        <v>2.43632</v>
      </c>
      <c r="AM87" s="159" t="n">
        <v>151.508</v>
      </c>
      <c r="AN87" s="159" t="n">
        <v>-0.35175</v>
      </c>
      <c r="AO87" s="159" t="n">
        <v>-0.545</v>
      </c>
      <c r="AP87" s="159" t="n">
        <v>-0.53325</v>
      </c>
      <c r="AQ87" s="159" t="n">
        <v>7.93339</v>
      </c>
      <c r="AR87" s="159" t="n"/>
      <c r="AS87" s="159" t="n">
        <v>0.278947</v>
      </c>
      <c r="AT87" s="159" t="n">
        <v>7.8</v>
      </c>
      <c r="AU87" s="159" t="n">
        <v>104.7</v>
      </c>
      <c r="AV87" s="159" t="n">
        <v>109.2</v>
      </c>
      <c r="AW87" s="159" t="n">
        <v>100.722</v>
      </c>
      <c r="AX87" s="159" t="n">
        <v>94.4821</v>
      </c>
      <c r="AY87" s="159" t="n">
        <v>4.726183554</v>
      </c>
      <c r="AZ87" s="159" t="n">
        <v>5.153256912</v>
      </c>
      <c r="BA87" s="159" t="n">
        <v>9.387146747999999</v>
      </c>
      <c r="BB87" s="159" t="n">
        <v>4.57863112</v>
      </c>
      <c r="BC87" s="159" t="n">
        <v>4.716711561</v>
      </c>
    </row>
    <row r="88">
      <c r="A88" s="83" t="inlineStr">
        <is>
          <t>2012-10</t>
        </is>
      </c>
      <c r="B88" s="155" t="n">
        <v>1804.400968</v>
      </c>
      <c r="C88" s="155" t="n">
        <v>170.07</v>
      </c>
      <c r="D88" s="155" t="n">
        <v>353.61</v>
      </c>
      <c r="E88" s="155" t="n">
        <v>4013.72</v>
      </c>
      <c r="F88" s="152" t="n">
        <v>4.75</v>
      </c>
      <c r="G88" s="152" t="n">
        <v>0.16</v>
      </c>
      <c r="H88" s="152" t="n">
        <v>4.59</v>
      </c>
      <c r="I88" s="156" t="n">
        <v>-5623.009116</v>
      </c>
      <c r="J88" s="152" t="n">
        <v>1.981446547</v>
      </c>
      <c r="K88" s="152" t="n">
        <v>90.75663</v>
      </c>
      <c r="L88" s="152" t="n">
        <v>16.27619048</v>
      </c>
      <c r="M88" s="157" t="n">
        <v>0</v>
      </c>
      <c r="N88" s="155" t="n">
        <v>36395.33</v>
      </c>
      <c r="O88" s="152" t="n">
        <v>110.6521739</v>
      </c>
      <c r="P88" s="152" t="n">
        <v>1.106521739</v>
      </c>
      <c r="Q88" s="156" t="n">
        <v>-293.83</v>
      </c>
      <c r="R88" s="156" t="n">
        <v>994.42</v>
      </c>
      <c r="S88" s="152" t="n">
        <v>5.562272727</v>
      </c>
      <c r="T88" s="152" t="n">
        <v>2.343333333</v>
      </c>
      <c r="U88" s="152" t="n">
        <v>3.218939394</v>
      </c>
      <c r="V88" s="152" t="n">
        <v>2.215485709</v>
      </c>
      <c r="W88" s="152" t="n">
        <v>1.003453685</v>
      </c>
      <c r="X88" s="158" t="n">
        <v>2.029304328</v>
      </c>
      <c r="Y88" s="158" t="n">
        <v>475.4326087</v>
      </c>
      <c r="Z88" s="158" t="n">
        <v>12.88921739</v>
      </c>
      <c r="AA88" s="158" t="n">
        <v>2.58766</v>
      </c>
      <c r="AB88" s="159" t="n">
        <v>-0.08289523778000001</v>
      </c>
      <c r="AC88" s="159" t="n">
        <v>-0.176039286</v>
      </c>
      <c r="AD88" s="159" t="n">
        <v>88.64569431</v>
      </c>
      <c r="AE88" s="159" t="n">
        <v>78.08</v>
      </c>
      <c r="AF88" s="159" t="n">
        <v>-0.748571</v>
      </c>
      <c r="AG88" s="159" t="n">
        <v>-1.46571</v>
      </c>
      <c r="AH88" s="159" t="n">
        <v>0.277143</v>
      </c>
      <c r="AI88" s="159" t="n">
        <v>1.74619</v>
      </c>
      <c r="AJ88" s="159" t="n">
        <v>1.46905</v>
      </c>
      <c r="AK88" s="159" t="n">
        <v>2.17429</v>
      </c>
      <c r="AL88" s="159" t="n">
        <v>2.49476</v>
      </c>
      <c r="AM88" s="159" t="n">
        <v>149.624</v>
      </c>
      <c r="AN88" s="159" t="n">
        <v>-0.45995</v>
      </c>
      <c r="AO88" s="159" t="n">
        <v>-0.58175</v>
      </c>
      <c r="AP88" s="159" t="n">
        <v>-0.6075</v>
      </c>
      <c r="AQ88" s="159" t="n">
        <v>8.006030000000001</v>
      </c>
      <c r="AR88" s="159" t="n"/>
      <c r="AS88" s="159" t="n">
        <v>0.224762</v>
      </c>
      <c r="AT88" s="159" t="n">
        <v>7.8</v>
      </c>
      <c r="AU88" s="159" t="n">
        <v>104.5</v>
      </c>
      <c r="AV88" s="159" t="n">
        <v>109.6</v>
      </c>
      <c r="AW88" s="159" t="n">
        <v>100.701</v>
      </c>
      <c r="AX88" s="159" t="n">
        <v>94.38339999999999</v>
      </c>
      <c r="AY88" s="159" t="n">
        <v>4.715915179</v>
      </c>
      <c r="AZ88" s="159" t="n">
        <v>5.142996002</v>
      </c>
      <c r="BA88" s="159" t="n">
        <v>9.387733136</v>
      </c>
      <c r="BB88" s="159" t="n">
        <v>4.582099083</v>
      </c>
      <c r="BC88" s="159" t="n">
        <v>4.702296897</v>
      </c>
    </row>
    <row r="89">
      <c r="A89" s="83" t="inlineStr">
        <is>
          <t>2012-11</t>
        </is>
      </c>
      <c r="B89" s="155" t="n">
        <v>1821.013667</v>
      </c>
      <c r="C89" s="155" t="n">
        <v>167.03</v>
      </c>
      <c r="D89" s="155" t="n">
        <v>327.24</v>
      </c>
      <c r="E89" s="155" t="n">
        <v>3986.95</v>
      </c>
      <c r="F89" s="152" t="n">
        <v>4.708333333</v>
      </c>
      <c r="G89" s="152" t="n">
        <v>0.16</v>
      </c>
      <c r="H89" s="152" t="n">
        <v>4.548333333</v>
      </c>
      <c r="I89" s="156" t="n">
        <v>-2810.256374</v>
      </c>
      <c r="J89" s="152" t="n">
        <v>1.037831214</v>
      </c>
      <c r="K89" s="152" t="n">
        <v>91.47508000000001</v>
      </c>
      <c r="L89" s="152" t="n">
        <v>16.70190476</v>
      </c>
      <c r="M89" s="157" t="n">
        <v>0</v>
      </c>
      <c r="N89" s="155" t="n">
        <v>36889.85</v>
      </c>
      <c r="O89" s="152" t="n">
        <v>122.8181818</v>
      </c>
      <c r="P89" s="152" t="n">
        <v>1.228181818</v>
      </c>
      <c r="Q89" s="156" t="n">
        <v>-363.11</v>
      </c>
      <c r="R89" s="156" t="n">
        <v>861.1799999999999</v>
      </c>
      <c r="S89" s="152" t="n">
        <v>5.598</v>
      </c>
      <c r="T89" s="152" t="n">
        <v>2.34</v>
      </c>
      <c r="U89" s="152" t="n">
        <v>3.258</v>
      </c>
      <c r="V89" s="152" t="n">
        <v>2.123420012</v>
      </c>
      <c r="W89" s="152" t="n">
        <v>1.134579988</v>
      </c>
      <c r="X89" s="158" t="n">
        <v>2.066954537</v>
      </c>
      <c r="Y89" s="158" t="n">
        <v>480.0122727</v>
      </c>
      <c r="Z89" s="158" t="n">
        <v>13.06513636</v>
      </c>
      <c r="AA89" s="158" t="n">
        <v>2.598605</v>
      </c>
      <c r="AB89" s="159" t="n">
        <v>0.3461067737</v>
      </c>
      <c r="AC89" s="159" t="n">
        <v>0.3469369418</v>
      </c>
      <c r="AD89" s="159" t="n">
        <v>89.33688592</v>
      </c>
      <c r="AE89" s="159" t="n">
        <v>77.98</v>
      </c>
      <c r="AF89" s="159" t="n">
        <v>-0.7725</v>
      </c>
      <c r="AG89" s="159" t="n">
        <v>-1.383</v>
      </c>
      <c r="AH89" s="159" t="n">
        <v>0.268</v>
      </c>
      <c r="AI89" s="159" t="n">
        <v>1.654</v>
      </c>
      <c r="AJ89" s="159" t="n">
        <v>1.386</v>
      </c>
      <c r="AK89" s="159" t="n">
        <v>2.048</v>
      </c>
      <c r="AL89" s="159" t="n">
        <v>2.4265</v>
      </c>
      <c r="AM89" s="159" t="n">
        <v>163.336</v>
      </c>
      <c r="AN89" s="159" t="n">
        <v>-0.36788</v>
      </c>
      <c r="AO89" s="159" t="n">
        <v>-0.5814</v>
      </c>
      <c r="AP89" s="159" t="n">
        <v>-0.596</v>
      </c>
      <c r="AQ89" s="159" t="n">
        <v>7.86142</v>
      </c>
      <c r="AR89" s="159" t="n"/>
      <c r="AS89" s="159" t="n">
        <v>0.2165</v>
      </c>
      <c r="AT89" s="159" t="n">
        <v>7.7</v>
      </c>
      <c r="AU89" s="159" t="n">
        <v>104.5</v>
      </c>
      <c r="AV89" s="159" t="n">
        <v>110.1</v>
      </c>
      <c r="AW89" s="159" t="n">
        <v>100.694</v>
      </c>
      <c r="AX89" s="159" t="n">
        <v>94.54089999999999</v>
      </c>
      <c r="AY89" s="159" t="n">
        <v>4.69188902</v>
      </c>
      <c r="AZ89" s="159" t="n">
        <v>5.130419289</v>
      </c>
      <c r="BA89" s="159" t="n">
        <v>9.386811515</v>
      </c>
      <c r="BB89" s="159" t="n">
        <v>4.585760022</v>
      </c>
      <c r="BC89" s="159" t="n">
        <v>4.716711561</v>
      </c>
    </row>
    <row r="90">
      <c r="A90" s="83" t="inlineStr">
        <is>
          <t>2012-12</t>
        </is>
      </c>
      <c r="B90" s="155" t="n">
        <v>1792.494839</v>
      </c>
      <c r="C90" s="155" t="n">
        <v>166.52</v>
      </c>
      <c r="D90" s="155" t="n">
        <v>358.42</v>
      </c>
      <c r="E90" s="155" t="n">
        <v>3969.67</v>
      </c>
      <c r="F90" s="152" t="n">
        <v>4.435483871</v>
      </c>
      <c r="G90" s="152" t="n">
        <v>0.16</v>
      </c>
      <c r="H90" s="152" t="n">
        <v>4.275483871</v>
      </c>
      <c r="I90" s="156" t="n">
        <v>-19579.2955</v>
      </c>
      <c r="J90" s="152" t="n">
        <v>2.316502485</v>
      </c>
      <c r="K90" s="152" t="n">
        <v>90.88039000000001</v>
      </c>
      <c r="L90" s="152" t="n">
        <v>17.307</v>
      </c>
      <c r="M90" s="157" t="n">
        <v>0</v>
      </c>
      <c r="N90" s="155" t="n">
        <v>37466.61</v>
      </c>
      <c r="O90" s="152" t="n">
        <v>116.1428571</v>
      </c>
      <c r="P90" s="152" t="n">
        <v>1.161428571</v>
      </c>
      <c r="Q90" s="156" t="n">
        <v>-578.73</v>
      </c>
      <c r="R90" s="156" t="n">
        <v>1207.44</v>
      </c>
      <c r="S90" s="152" t="n">
        <v>5.325263158</v>
      </c>
      <c r="T90" s="152" t="n">
        <v>2.421428571</v>
      </c>
      <c r="U90" s="152" t="n">
        <v>2.903834586</v>
      </c>
      <c r="V90" s="152" t="n">
        <v>2.206884992</v>
      </c>
      <c r="W90" s="152" t="n">
        <v>0.6969495943</v>
      </c>
      <c r="X90" s="158" t="n">
        <v>2.075904778</v>
      </c>
      <c r="Y90" s="158" t="n">
        <v>476.672381</v>
      </c>
      <c r="Z90" s="158" t="n">
        <v>12.8622381</v>
      </c>
      <c r="AA90" s="158" t="n">
        <v>2.566561111</v>
      </c>
      <c r="AB90" s="159" t="n">
        <v>-0.3382040945</v>
      </c>
      <c r="AC90" s="159" t="n">
        <v>-0.5007506455</v>
      </c>
      <c r="AD90" s="159" t="n">
        <v>89.13502927</v>
      </c>
      <c r="AE90" s="159" t="n">
        <v>78.05</v>
      </c>
      <c r="AF90" s="159" t="n">
        <v>-0.7575</v>
      </c>
      <c r="AG90" s="159" t="n">
        <v>-1.3995</v>
      </c>
      <c r="AH90" s="159" t="n">
        <v>0.257</v>
      </c>
      <c r="AI90" s="159" t="n">
        <v>1.719</v>
      </c>
      <c r="AJ90" s="159" t="n">
        <v>1.462</v>
      </c>
      <c r="AK90" s="159" t="n">
        <v>2.0955</v>
      </c>
      <c r="AL90" s="159" t="n">
        <v>2.4765</v>
      </c>
      <c r="AM90" s="159" t="n">
        <v>168.132</v>
      </c>
      <c r="AN90" s="159" t="n">
        <v>-0.5071</v>
      </c>
      <c r="AO90" s="159" t="n">
        <v>-0.60975</v>
      </c>
      <c r="AP90" s="159" t="n">
        <v>-0.61875</v>
      </c>
      <c r="AQ90" s="159" t="n">
        <v>8.070360000000001</v>
      </c>
      <c r="AR90" s="159" t="n"/>
      <c r="AS90" s="159" t="n">
        <v>0.241053</v>
      </c>
      <c r="AT90" s="159" t="n">
        <v>7.9</v>
      </c>
      <c r="AU90" s="159" t="n">
        <v>104.5</v>
      </c>
      <c r="AV90" s="159" t="n">
        <v>110.3</v>
      </c>
      <c r="AW90" s="159" t="n">
        <v>100.7</v>
      </c>
      <c r="AX90" s="159" t="n">
        <v>95.2366</v>
      </c>
      <c r="AY90" s="159" t="n">
        <v>4.695869753</v>
      </c>
      <c r="AZ90" s="159" t="n">
        <v>5.135551348</v>
      </c>
      <c r="BA90" s="159" t="n">
        <v>9.387565630999999</v>
      </c>
      <c r="BB90" s="159" t="n">
        <v>4.588126769</v>
      </c>
      <c r="BC90" s="159" t="n">
        <v>4.717605615</v>
      </c>
    </row>
    <row r="91">
      <c r="A91" s="83" t="inlineStr">
        <is>
          <t>2013-01</t>
        </is>
      </c>
      <c r="B91" s="155" t="n">
        <v>1769.672581</v>
      </c>
      <c r="C91" s="155" t="n">
        <v>167.43</v>
      </c>
      <c r="D91" s="155" t="n">
        <v>329.4</v>
      </c>
      <c r="E91" s="155" t="n">
        <v>4004.53</v>
      </c>
      <c r="F91" s="152" t="n">
        <v>4.225806452</v>
      </c>
      <c r="G91" s="152" t="n">
        <v>0.14</v>
      </c>
      <c r="H91" s="152" t="n">
        <v>4.085806452</v>
      </c>
      <c r="I91" s="156" t="n">
        <v>8920.333169</v>
      </c>
      <c r="J91" s="152" t="n">
        <v>1.469951168</v>
      </c>
      <c r="K91" s="152" t="n">
        <v>90.82551429</v>
      </c>
      <c r="L91" s="152" t="n">
        <v>13.5052381</v>
      </c>
      <c r="M91" s="157" t="n">
        <v>0</v>
      </c>
      <c r="N91" s="155" t="n">
        <v>37862.51</v>
      </c>
      <c r="O91" s="152" t="n">
        <v>112.4347826</v>
      </c>
      <c r="P91" s="152" t="n">
        <v>1.124347826</v>
      </c>
      <c r="Q91" s="156" t="n">
        <v>-462.35</v>
      </c>
      <c r="R91" s="156" t="n">
        <v>975.46</v>
      </c>
      <c r="S91" s="152" t="n">
        <v>4.87952381</v>
      </c>
      <c r="T91" s="152" t="n">
        <v>2.092941176</v>
      </c>
      <c r="U91" s="152" t="n">
        <v>2.786582633</v>
      </c>
      <c r="V91" s="152" t="n">
        <v>2.308266674</v>
      </c>
      <c r="W91" s="152" t="n">
        <v>0.4783159593</v>
      </c>
      <c r="X91" s="158" t="n">
        <v>2.029043472</v>
      </c>
      <c r="Y91" s="158" t="n">
        <v>471.8052174</v>
      </c>
      <c r="Z91" s="158" t="n">
        <v>12.69817391</v>
      </c>
      <c r="AA91" s="158" t="n">
        <v>2.552172727</v>
      </c>
      <c r="AB91" s="159" t="n">
        <v>-0.5923571245</v>
      </c>
      <c r="AC91" s="159" t="n">
        <v>-0.5548777429</v>
      </c>
      <c r="AD91" s="159" t="n">
        <v>91.27340617</v>
      </c>
      <c r="AE91" s="159" t="n">
        <v>78.28</v>
      </c>
      <c r="AF91" s="159" t="n">
        <v>-0.608571</v>
      </c>
      <c r="AG91" s="159" t="n">
        <v>-1.38571</v>
      </c>
      <c r="AH91" s="159" t="n">
        <v>0.265238</v>
      </c>
      <c r="AI91" s="159" t="n">
        <v>1.91476</v>
      </c>
      <c r="AJ91" s="159" t="n">
        <v>1.64952</v>
      </c>
      <c r="AK91" s="159" t="n">
        <v>2.19095</v>
      </c>
      <c r="AL91" s="159" t="n">
        <v>2.52333</v>
      </c>
      <c r="AM91" s="159" t="n">
        <v>165.047</v>
      </c>
      <c r="AN91" s="159" t="n">
        <v>-0.635525</v>
      </c>
      <c r="AO91" s="159" t="n">
        <v>-0.6565</v>
      </c>
      <c r="AP91" s="159" t="n">
        <v>-0.66125</v>
      </c>
      <c r="AQ91" s="159" t="n">
        <v>8.015420000000001</v>
      </c>
      <c r="AR91" s="159" t="n"/>
      <c r="AS91" s="159" t="n">
        <v>0.227143</v>
      </c>
      <c r="AT91" s="159" t="n">
        <v>8</v>
      </c>
      <c r="AU91" s="159" t="n">
        <v>104.4</v>
      </c>
      <c r="AV91" s="159" t="n"/>
      <c r="AW91" s="159" t="n">
        <v>100.715</v>
      </c>
      <c r="AX91" s="159" t="n">
        <v>96.18859999999999</v>
      </c>
      <c r="AY91" s="159" t="n">
        <v>4.727033774</v>
      </c>
      <c r="AZ91" s="159" t="n">
        <v>5.159147249</v>
      </c>
      <c r="BA91" s="159" t="n">
        <v>9.389490238</v>
      </c>
      <c r="BB91" s="159" t="n">
        <v>4.588371881</v>
      </c>
      <c r="BC91" s="159" t="n">
        <v>4.737075257</v>
      </c>
    </row>
    <row r="92">
      <c r="A92" s="83" t="inlineStr">
        <is>
          <t>2013-02</t>
        </is>
      </c>
      <c r="B92" s="155" t="n">
        <v>1790.547857</v>
      </c>
      <c r="C92" s="155" t="n">
        <v>170.29</v>
      </c>
      <c r="D92" s="155" t="n">
        <v>317.32</v>
      </c>
      <c r="E92" s="155" t="n">
        <v>4019.33</v>
      </c>
      <c r="F92" s="152" t="n">
        <v>3.964285714</v>
      </c>
      <c r="G92" s="152" t="n">
        <v>0.15</v>
      </c>
      <c r="H92" s="152" t="n">
        <v>3.814285714</v>
      </c>
      <c r="I92" s="156" t="n">
        <v>-1878.951326</v>
      </c>
      <c r="J92" s="152" t="n">
        <v>1.680938137</v>
      </c>
      <c r="K92" s="152" t="n">
        <v>91.55087368</v>
      </c>
      <c r="L92" s="152" t="n">
        <v>14.07263158</v>
      </c>
      <c r="M92" s="157" t="n">
        <v>0</v>
      </c>
      <c r="N92" s="155" t="n">
        <v>38535.79</v>
      </c>
      <c r="O92" s="152" t="n">
        <v>131.3</v>
      </c>
      <c r="P92" s="152" t="n">
        <v>1.313</v>
      </c>
      <c r="Q92" s="156" t="n">
        <v>-260.93</v>
      </c>
      <c r="R92" s="156" t="n">
        <v>737.1799999999999</v>
      </c>
      <c r="S92" s="152" t="n">
        <v>4.587</v>
      </c>
      <c r="T92" s="152" t="n">
        <v>1.917692308</v>
      </c>
      <c r="U92" s="152" t="n">
        <v>2.669307692</v>
      </c>
      <c r="V92" s="152" t="n">
        <v>2.449884226</v>
      </c>
      <c r="W92" s="152" t="n">
        <v>0.2194234659</v>
      </c>
      <c r="X92" s="158" t="n">
        <v>1.972700006</v>
      </c>
      <c r="Y92" s="158" t="n">
        <v>472.018</v>
      </c>
      <c r="Z92" s="158" t="n">
        <v>12.71625</v>
      </c>
      <c r="AA92" s="158" t="n">
        <v>2.578347368</v>
      </c>
      <c r="AB92" s="159" t="n">
        <v>-0.3363675092</v>
      </c>
      <c r="AC92" s="159" t="n">
        <v>-0.04458517608</v>
      </c>
      <c r="AD92" s="159" t="n">
        <v>90.67918865999999</v>
      </c>
      <c r="AE92" s="159" t="n">
        <v>78.63</v>
      </c>
      <c r="AF92" s="159" t="n">
        <v>-0.570526</v>
      </c>
      <c r="AG92" s="159" t="n">
        <v>-1.38737</v>
      </c>
      <c r="AH92" s="159" t="n">
        <v>0.267368</v>
      </c>
      <c r="AI92" s="159" t="n">
        <v>1.98421</v>
      </c>
      <c r="AJ92" s="159" t="n">
        <v>1.71684</v>
      </c>
      <c r="AK92" s="159" t="n">
        <v>2.23368</v>
      </c>
      <c r="AL92" s="159" t="n">
        <v>2.55474</v>
      </c>
      <c r="AM92" s="159" t="n">
        <v>121.086</v>
      </c>
      <c r="AN92" s="159" t="n">
        <v>-0.596225</v>
      </c>
      <c r="AO92" s="159" t="n">
        <v>-0.675</v>
      </c>
      <c r="AP92" s="159" t="n">
        <v>-0.672</v>
      </c>
      <c r="AQ92" s="159" t="n">
        <v>7.77225</v>
      </c>
      <c r="AR92" s="159" t="n"/>
      <c r="AS92" s="159" t="n">
        <v>0.192632</v>
      </c>
      <c r="AT92" s="159" t="n">
        <v>7.7</v>
      </c>
      <c r="AU92" s="159" t="n">
        <v>104.3</v>
      </c>
      <c r="AV92" s="159" t="n">
        <v>109.9</v>
      </c>
      <c r="AW92" s="159" t="n">
        <v>100.74</v>
      </c>
      <c r="AX92" s="159" t="n">
        <v>97.24630000000001</v>
      </c>
      <c r="AY92" s="159" t="n">
        <v>4.75402975</v>
      </c>
      <c r="AZ92" s="159" t="n">
        <v>5.167827059</v>
      </c>
      <c r="BA92" s="159" t="n">
        <v>9.390492911000001</v>
      </c>
      <c r="BB92" s="159" t="n">
        <v>4.593037886</v>
      </c>
      <c r="BC92" s="159" t="n">
        <v>4.750135956</v>
      </c>
    </row>
    <row r="93">
      <c r="A93" s="83" t="inlineStr">
        <is>
          <t>2013-03</t>
        </is>
      </c>
      <c r="B93" s="155" t="n">
        <v>1813.74871</v>
      </c>
      <c r="C93" s="155" t="n">
        <v>164.81</v>
      </c>
      <c r="D93" s="155" t="n">
        <v>334.17</v>
      </c>
      <c r="E93" s="155" t="n">
        <v>4015.03</v>
      </c>
      <c r="F93" s="152" t="n">
        <v>3.653225806</v>
      </c>
      <c r="G93" s="152" t="n">
        <v>0.14</v>
      </c>
      <c r="H93" s="152" t="n">
        <v>3.513225806</v>
      </c>
      <c r="I93" s="156" t="n">
        <v>-3909.373406</v>
      </c>
      <c r="J93" s="152" t="n">
        <v>2.144560764</v>
      </c>
      <c r="K93" s="152" t="n">
        <v>92.41318</v>
      </c>
      <c r="L93" s="152" t="n">
        <v>13.0315</v>
      </c>
      <c r="M93" s="157" t="n">
        <v>0</v>
      </c>
      <c r="N93" s="155" t="n">
        <v>39334.93</v>
      </c>
      <c r="O93" s="152" t="n">
        <v>141.8095238</v>
      </c>
      <c r="P93" s="152" t="n">
        <v>1.418095238</v>
      </c>
      <c r="Q93" s="156" t="n">
        <v>-133.72</v>
      </c>
      <c r="R93" s="156" t="n">
        <v>1025.15</v>
      </c>
      <c r="S93" s="152" t="n">
        <v>4.474444444</v>
      </c>
      <c r="T93" s="152" t="n">
        <v>1.701538462</v>
      </c>
      <c r="U93" s="152" t="n">
        <v>2.772905983</v>
      </c>
      <c r="V93" s="152" t="n">
        <v>2.481630003</v>
      </c>
      <c r="W93" s="152" t="n">
        <v>0.2912759795</v>
      </c>
      <c r="X93" s="158" t="n">
        <v>1.98509524</v>
      </c>
      <c r="Y93" s="158" t="n">
        <v>472.0547619</v>
      </c>
      <c r="Z93" s="158" t="n">
        <v>12.49833333</v>
      </c>
      <c r="AA93" s="158" t="n">
        <v>2.594173684</v>
      </c>
      <c r="AB93" s="159" t="n">
        <v>-0.2519671956</v>
      </c>
      <c r="AC93" s="159" t="n">
        <v>-0.06343102824000001</v>
      </c>
      <c r="AD93" s="159" t="n">
        <v>90.37461586000001</v>
      </c>
      <c r="AE93" s="159" t="n">
        <v>78.79000000000001</v>
      </c>
      <c r="AF93" s="159" t="n">
        <v>-0.585</v>
      </c>
      <c r="AG93" s="159" t="n">
        <v>-1.4275</v>
      </c>
      <c r="AH93" s="159" t="n">
        <v>0.256</v>
      </c>
      <c r="AI93" s="159" t="n">
        <v>1.9575</v>
      </c>
      <c r="AJ93" s="159" t="n">
        <v>1.7015</v>
      </c>
      <c r="AK93" s="159" t="n">
        <v>2.246</v>
      </c>
      <c r="AL93" s="159" t="n">
        <v>2.5425</v>
      </c>
      <c r="AM93" s="159" t="n">
        <v>143.044</v>
      </c>
      <c r="AN93" s="159" t="n">
        <v>-0.64756</v>
      </c>
      <c r="AO93" s="159" t="n">
        <v>-0.6844</v>
      </c>
      <c r="AP93" s="159" t="n">
        <v>-0.736</v>
      </c>
      <c r="AQ93" s="159" t="n">
        <v>7.57582</v>
      </c>
      <c r="AR93" s="159" t="n"/>
      <c r="AS93" s="159" t="n">
        <v>0.193</v>
      </c>
      <c r="AT93" s="159" t="n">
        <v>7.5</v>
      </c>
      <c r="AU93" s="159" t="n">
        <v>104.1</v>
      </c>
      <c r="AV93" s="159" t="n">
        <v>108.9</v>
      </c>
      <c r="AW93" s="159" t="n">
        <v>100.774</v>
      </c>
      <c r="AX93" s="159" t="n">
        <v>96.3719</v>
      </c>
      <c r="AY93" s="159" t="n">
        <v>4.686510513</v>
      </c>
      <c r="AZ93" s="159" t="n">
        <v>5.142849987</v>
      </c>
      <c r="BA93" s="159" t="n">
        <v>9.390743423</v>
      </c>
      <c r="BB93" s="159" t="n">
        <v>4.597058374</v>
      </c>
      <c r="BC93" s="159" t="n">
        <v>4.74927053</v>
      </c>
    </row>
    <row r="94">
      <c r="A94" s="83" t="inlineStr">
        <is>
          <t>2013-04</t>
        </is>
      </c>
      <c r="B94" s="155" t="n">
        <v>1830.231333</v>
      </c>
      <c r="C94" s="155" t="n">
        <v>156.96</v>
      </c>
      <c r="D94" s="155" t="n">
        <v>387.13</v>
      </c>
      <c r="E94" s="155" t="n">
        <v>4071.56</v>
      </c>
      <c r="F94" s="152" t="n">
        <v>3.25</v>
      </c>
      <c r="G94" s="152" t="n">
        <v>0.15</v>
      </c>
      <c r="H94" s="152" t="n">
        <v>3.1</v>
      </c>
      <c r="I94" s="156" t="n">
        <v>3956.848764</v>
      </c>
      <c r="J94" s="152" t="n">
        <v>2.953051089</v>
      </c>
      <c r="K94" s="152" t="n">
        <v>92.04782272999999</v>
      </c>
      <c r="L94" s="152" t="n">
        <v>13.96727273</v>
      </c>
      <c r="M94" s="157" t="n">
        <v>0</v>
      </c>
      <c r="N94" s="155" t="n">
        <v>40089.66</v>
      </c>
      <c r="O94" s="152" t="n">
        <v>131.9545455</v>
      </c>
      <c r="P94" s="152" t="n">
        <v>1.319545455</v>
      </c>
      <c r="Q94" s="156" t="n">
        <v>-442.14</v>
      </c>
      <c r="R94" s="156" t="n">
        <v>1245.43</v>
      </c>
      <c r="S94" s="152" t="n">
        <v>4.490909091</v>
      </c>
      <c r="T94" s="152" t="n">
        <v>1.738666667</v>
      </c>
      <c r="U94" s="152" t="n">
        <v>2.752242424</v>
      </c>
      <c r="V94" s="152" t="n">
        <v>2.290472713</v>
      </c>
      <c r="W94" s="152" t="n">
        <v>0.4617697109</v>
      </c>
      <c r="X94" s="158" t="n">
        <v>2.001409075</v>
      </c>
      <c r="Y94" s="158" t="n">
        <v>471.8686364</v>
      </c>
      <c r="Z94" s="158" t="n">
        <v>12.21318182</v>
      </c>
      <c r="AA94" s="158" t="n">
        <v>2.598068182</v>
      </c>
      <c r="AB94" s="159" t="n">
        <v>-0.3097547991</v>
      </c>
      <c r="AC94" s="159" t="n">
        <v>-0.1996801271</v>
      </c>
      <c r="AD94" s="159" t="n">
        <v>92.31371359000001</v>
      </c>
      <c r="AE94" s="159" t="n">
        <v>78.98999999999999</v>
      </c>
      <c r="AF94" s="159" t="n">
        <v>-0.652273</v>
      </c>
      <c r="AG94" s="159" t="n">
        <v>-1.38</v>
      </c>
      <c r="AH94" s="159" t="n">
        <v>0.232273</v>
      </c>
      <c r="AI94" s="159" t="n">
        <v>1.75909</v>
      </c>
      <c r="AJ94" s="159" t="n">
        <v>1.52682</v>
      </c>
      <c r="AK94" s="159" t="n">
        <v>2.09045</v>
      </c>
      <c r="AL94" s="159" t="n">
        <v>2.41136</v>
      </c>
      <c r="AM94" s="159" t="n">
        <v>134.13</v>
      </c>
      <c r="AN94" s="159" t="n">
        <v>-0.610225</v>
      </c>
      <c r="AO94" s="159" t="n">
        <v>-0.7172500000000001</v>
      </c>
      <c r="AP94" s="159" t="n">
        <v>-0.79525</v>
      </c>
      <c r="AQ94" s="159" t="n">
        <v>7.68511</v>
      </c>
      <c r="AR94" s="159" t="n"/>
      <c r="AS94" s="159" t="n">
        <v>0.22</v>
      </c>
      <c r="AT94" s="159" t="n">
        <v>7.6</v>
      </c>
      <c r="AU94" s="159" t="n">
        <v>104.1</v>
      </c>
      <c r="AV94" s="159" t="n">
        <v>109.3</v>
      </c>
      <c r="AW94" s="159" t="n">
        <v>100.818</v>
      </c>
      <c r="AX94" s="159" t="n">
        <v>96.5624</v>
      </c>
      <c r="AY94" s="159" t="n">
        <v>4.627401235</v>
      </c>
      <c r="AZ94" s="159" t="n">
        <v>5.122772794</v>
      </c>
      <c r="BA94" s="159" t="n">
        <v>9.390826913</v>
      </c>
      <c r="BB94" s="159" t="n">
        <v>4.596195029</v>
      </c>
      <c r="BC94" s="159" t="n">
        <v>4.742320024</v>
      </c>
    </row>
    <row r="95">
      <c r="A95" s="83" t="inlineStr">
        <is>
          <t>2013-05</t>
        </is>
      </c>
      <c r="B95" s="155" t="n">
        <v>1847.92129</v>
      </c>
      <c r="C95" s="155" t="n">
        <v>156.56</v>
      </c>
      <c r="D95" s="155" t="n">
        <v>395.79</v>
      </c>
      <c r="E95" s="155" t="n">
        <v>4113.02</v>
      </c>
      <c r="F95" s="152" t="n">
        <v>3.25</v>
      </c>
      <c r="G95" s="152" t="n">
        <v>0.11</v>
      </c>
      <c r="H95" s="152" t="n">
        <v>3.14</v>
      </c>
      <c r="I95" s="156" t="n">
        <v>526.3185837</v>
      </c>
      <c r="J95" s="152" t="n">
        <v>2.98816712</v>
      </c>
      <c r="K95" s="152" t="n">
        <v>92.52896818000001</v>
      </c>
      <c r="L95" s="152" t="n">
        <v>13.49363636</v>
      </c>
      <c r="M95" s="157" t="n">
        <v>0</v>
      </c>
      <c r="N95" s="155" t="n">
        <v>40509.26</v>
      </c>
      <c r="O95" s="152" t="n">
        <v>135.3913043</v>
      </c>
      <c r="P95" s="152" t="n">
        <v>1.353913043</v>
      </c>
      <c r="Q95" s="156" t="n">
        <v>-261.47</v>
      </c>
      <c r="R95" s="156" t="n">
        <v>544.87</v>
      </c>
      <c r="S95" s="152" t="n">
        <v>4.784285714</v>
      </c>
      <c r="T95" s="152" t="n">
        <v>2.002666667</v>
      </c>
      <c r="U95" s="152" t="n">
        <v>2.781619048</v>
      </c>
      <c r="V95" s="152" t="n">
        <v>2.064354523</v>
      </c>
      <c r="W95" s="152" t="n">
        <v>0.717264525</v>
      </c>
      <c r="X95" s="158" t="n">
        <v>2.039238101</v>
      </c>
      <c r="Y95" s="158" t="n">
        <v>481.2471429</v>
      </c>
      <c r="Z95" s="158" t="n">
        <v>12.31371429</v>
      </c>
      <c r="AA95" s="158" t="n">
        <v>2.645718182</v>
      </c>
      <c r="AB95" s="159" t="n">
        <v>0.4110659314</v>
      </c>
      <c r="AC95" s="159" t="n">
        <v>0.6763080216</v>
      </c>
      <c r="AD95" s="159" t="n">
        <v>93.07688813</v>
      </c>
      <c r="AE95" s="159" t="n">
        <v>79.20999999999999</v>
      </c>
      <c r="AF95" s="159" t="n">
        <v>-0.355</v>
      </c>
      <c r="AG95" s="159" t="n">
        <v>-1.14091</v>
      </c>
      <c r="AH95" s="159" t="n">
        <v>0.250455</v>
      </c>
      <c r="AI95" s="159" t="n">
        <v>1.92818</v>
      </c>
      <c r="AJ95" s="159" t="n">
        <v>1.67773</v>
      </c>
      <c r="AK95" s="159" t="n">
        <v>1.98182</v>
      </c>
      <c r="AL95" s="159" t="n">
        <v>2.28318</v>
      </c>
      <c r="AM95" s="159" t="n">
        <v>106.182</v>
      </c>
      <c r="AN95" s="159" t="n">
        <v>-0.58796</v>
      </c>
      <c r="AO95" s="159" t="n">
        <v>-0.7364000000000001</v>
      </c>
      <c r="AP95" s="159" t="n">
        <v>-0.823</v>
      </c>
      <c r="AQ95" s="159" t="n">
        <v>7.70972</v>
      </c>
      <c r="AR95" s="159" t="n"/>
      <c r="AS95" s="159" t="n">
        <v>0.229524</v>
      </c>
      <c r="AT95" s="159" t="n">
        <v>7.5</v>
      </c>
      <c r="AU95" s="159" t="n">
        <v>103.5</v>
      </c>
      <c r="AV95" s="159" t="n">
        <v>109.2</v>
      </c>
      <c r="AW95" s="159" t="n">
        <v>100.869</v>
      </c>
      <c r="AX95" s="159" t="n">
        <v>95.9841</v>
      </c>
      <c r="AY95" s="159" t="n">
        <v>4.630438243</v>
      </c>
      <c r="AZ95" s="159" t="n">
        <v>5.116567646</v>
      </c>
      <c r="BA95" s="159" t="n">
        <v>9.390826913</v>
      </c>
      <c r="BB95" s="159" t="n">
        <v>4.596975703</v>
      </c>
      <c r="BC95" s="159" t="n">
        <v>4.751000634</v>
      </c>
    </row>
    <row r="96">
      <c r="A96" s="83" t="inlineStr">
        <is>
          <t>2013-06</t>
        </is>
      </c>
      <c r="B96" s="155" t="n">
        <v>1909.849333</v>
      </c>
      <c r="C96" s="155" t="n">
        <v>157.8</v>
      </c>
      <c r="D96" s="155" t="n">
        <v>372.87</v>
      </c>
      <c r="E96" s="155" t="n">
        <v>4166.22</v>
      </c>
      <c r="F96" s="152" t="n">
        <v>3.25</v>
      </c>
      <c r="G96" s="152" t="n">
        <v>0.09</v>
      </c>
      <c r="H96" s="152" t="n">
        <v>3.16</v>
      </c>
      <c r="I96" s="156" t="n">
        <v>2058.561346</v>
      </c>
      <c r="J96" s="152" t="n">
        <v>3.064526836</v>
      </c>
      <c r="K96" s="152" t="n">
        <v>93.283615</v>
      </c>
      <c r="L96" s="152" t="n">
        <v>17.2715</v>
      </c>
      <c r="M96" s="157" t="n">
        <v>0</v>
      </c>
      <c r="N96" s="155" t="n">
        <v>40816.75</v>
      </c>
      <c r="O96" s="152" t="n">
        <v>180</v>
      </c>
      <c r="P96" s="152" t="n">
        <v>1.8</v>
      </c>
      <c r="Q96" s="156" t="n">
        <v>-285.82</v>
      </c>
      <c r="R96" s="156" t="n">
        <v>674.9299999999999</v>
      </c>
      <c r="S96" s="152" t="n">
        <v>6.256666667</v>
      </c>
      <c r="T96" s="152" t="n">
        <v>3.113333333</v>
      </c>
      <c r="U96" s="152" t="n">
        <v>3.143333333</v>
      </c>
      <c r="V96" s="152" t="n">
        <v>1.810659993</v>
      </c>
      <c r="W96" s="152" t="n">
        <v>1.332673341</v>
      </c>
      <c r="X96" s="158" t="n">
        <v>2.172654986</v>
      </c>
      <c r="Y96" s="158" t="n">
        <v>503.0825</v>
      </c>
      <c r="Z96" s="158" t="n">
        <v>12.9572025</v>
      </c>
      <c r="AA96" s="158" t="n">
        <v>2.748484211</v>
      </c>
      <c r="AB96" s="159" t="n">
        <v>1.636875579</v>
      </c>
      <c r="AC96" s="159" t="n">
        <v>1.996573665</v>
      </c>
      <c r="AD96" s="159" t="n">
        <v>92.48372507000001</v>
      </c>
      <c r="AE96" s="159" t="n">
        <v>79.39</v>
      </c>
      <c r="AF96" s="159" t="n">
        <v>0.2515</v>
      </c>
      <c r="AG96" s="159" t="n">
        <v>-0.5895</v>
      </c>
      <c r="AH96" s="159" t="n">
        <v>0.3335</v>
      </c>
      <c r="AI96" s="159" t="n">
        <v>2.3</v>
      </c>
      <c r="AJ96" s="159" t="n">
        <v>1.9665</v>
      </c>
      <c r="AK96" s="159" t="n">
        <v>1.793</v>
      </c>
      <c r="AL96" s="159" t="n">
        <v>2.0485</v>
      </c>
      <c r="AM96" s="159" t="n">
        <v>126.199</v>
      </c>
      <c r="AN96" s="159" t="n">
        <v>-0.06887500000000001</v>
      </c>
      <c r="AO96" s="159" t="n">
        <v>-0.67375</v>
      </c>
      <c r="AP96" s="159" t="n">
        <v>-0.70325</v>
      </c>
      <c r="AQ96" s="159" t="n">
        <v>7.65347</v>
      </c>
      <c r="AR96" s="159" t="n"/>
      <c r="AS96" s="159" t="n">
        <v>0.2215</v>
      </c>
      <c r="AT96" s="159" t="n">
        <v>7.5</v>
      </c>
      <c r="AU96" s="159" t="n">
        <v>103.7</v>
      </c>
      <c r="AV96" s="159" t="n">
        <v>108.9</v>
      </c>
      <c r="AW96" s="159" t="n">
        <v>100.928</v>
      </c>
      <c r="AX96" s="159" t="n">
        <v>95.9841</v>
      </c>
      <c r="AY96" s="159" t="n">
        <v>4.633942271</v>
      </c>
      <c r="AZ96" s="159" t="n">
        <v>5.100116397</v>
      </c>
      <c r="BA96" s="159" t="n">
        <v>9.391160803</v>
      </c>
      <c r="BB96" s="159" t="n">
        <v>4.599048487</v>
      </c>
      <c r="BC96" s="159" t="n">
        <v>4.754451889</v>
      </c>
    </row>
    <row r="97">
      <c r="A97" s="83" t="inlineStr">
        <is>
          <t>2013-07</t>
        </is>
      </c>
      <c r="B97" s="155" t="n">
        <v>1901.542581</v>
      </c>
      <c r="C97" s="155" t="n">
        <v>160.44</v>
      </c>
      <c r="D97" s="155" t="n">
        <v>394.23</v>
      </c>
      <c r="E97" s="155" t="n">
        <v>4230.06</v>
      </c>
      <c r="F97" s="152" t="n">
        <v>3.25</v>
      </c>
      <c r="G97" s="152" t="n">
        <v>0.09</v>
      </c>
      <c r="H97" s="152" t="n">
        <v>3.16</v>
      </c>
      <c r="I97" s="156" t="n">
        <v>-3121.871982</v>
      </c>
      <c r="J97" s="152" t="n">
        <v>3.398081706</v>
      </c>
      <c r="K97" s="152" t="n">
        <v>93.87238635999999</v>
      </c>
      <c r="L97" s="152" t="n">
        <v>13.97454545</v>
      </c>
      <c r="M97" s="157" t="n">
        <v>0</v>
      </c>
      <c r="N97" s="155" t="n">
        <v>41524.03</v>
      </c>
      <c r="O97" s="152" t="n">
        <v>169.5217391</v>
      </c>
      <c r="P97" s="152" t="n">
        <v>1.695217391</v>
      </c>
      <c r="Q97" s="156" t="n">
        <v>-531.62</v>
      </c>
      <c r="R97" s="156" t="n">
        <v>1345.27</v>
      </c>
      <c r="S97" s="152" t="n">
        <v>6.323181818</v>
      </c>
      <c r="T97" s="152" t="n">
        <v>3.265294118</v>
      </c>
      <c r="U97" s="152" t="n">
        <v>3.057887701</v>
      </c>
      <c r="V97" s="152" t="n">
        <v>1.88493636</v>
      </c>
      <c r="W97" s="152" t="n">
        <v>1.172951341</v>
      </c>
      <c r="X97" s="158" t="n">
        <v>2.25185215</v>
      </c>
      <c r="Y97" s="158" t="n">
        <v>505.1813043</v>
      </c>
      <c r="Z97" s="158" t="n">
        <v>12.76188043</v>
      </c>
      <c r="AA97" s="158" t="n">
        <v>2.776885714</v>
      </c>
      <c r="AB97" s="159" t="n">
        <v>0.09269878677</v>
      </c>
      <c r="AC97" s="159" t="n">
        <v>0.2787611899</v>
      </c>
      <c r="AD97" s="159" t="n">
        <v>93.99220716000001</v>
      </c>
      <c r="AE97" s="159" t="n">
        <v>79.43000000000001</v>
      </c>
      <c r="AF97" s="159" t="n">
        <v>0.46</v>
      </c>
      <c r="AG97" s="159" t="n">
        <v>-0.454545</v>
      </c>
      <c r="AH97" s="159" t="n">
        <v>0.340909</v>
      </c>
      <c r="AI97" s="159" t="n">
        <v>2.58227</v>
      </c>
      <c r="AJ97" s="159" t="n">
        <v>2.24136</v>
      </c>
      <c r="AK97" s="159" t="n">
        <v>1.85773</v>
      </c>
      <c r="AL97" s="159" t="n">
        <v>2.12227</v>
      </c>
      <c r="AM97" s="159" t="n">
        <v>107.454</v>
      </c>
      <c r="AN97" s="159" t="n">
        <v>-0.3608</v>
      </c>
      <c r="AO97" s="159" t="n">
        <v>-0.671</v>
      </c>
      <c r="AP97" s="159" t="n">
        <v>-0.70675</v>
      </c>
      <c r="AQ97" s="159" t="n">
        <v>7.45547</v>
      </c>
      <c r="AR97" s="159" t="n"/>
      <c r="AS97" s="159" t="n">
        <v>0.232273</v>
      </c>
      <c r="AT97" s="159" t="n">
        <v>7.3</v>
      </c>
      <c r="AU97" s="159" t="n">
        <v>103.6</v>
      </c>
      <c r="AV97" s="159" t="n">
        <v>109.7</v>
      </c>
      <c r="AW97" s="159" t="n">
        <v>100.992</v>
      </c>
      <c r="AX97" s="159" t="n">
        <v>96.07899999999999</v>
      </c>
      <c r="AY97" s="159" t="n">
        <v>4.681510664</v>
      </c>
      <c r="AZ97" s="159" t="n">
        <v>5.111903447</v>
      </c>
      <c r="BA97" s="159" t="n">
        <v>9.389490238</v>
      </c>
      <c r="BB97" s="159" t="n">
        <v>4.595941735</v>
      </c>
      <c r="BC97" s="159" t="n">
        <v>4.751864565</v>
      </c>
    </row>
    <row r="98">
      <c r="A98" s="83" t="inlineStr">
        <is>
          <t>2013-08</t>
        </is>
      </c>
      <c r="B98" s="155" t="n">
        <v>1902.104194</v>
      </c>
      <c r="C98" s="155" t="n">
        <v>162.5</v>
      </c>
      <c r="D98" s="155" t="n">
        <v>372.23</v>
      </c>
      <c r="E98" s="155" t="n">
        <v>4255.51</v>
      </c>
      <c r="F98" s="152" t="n">
        <v>3.25</v>
      </c>
      <c r="G98" s="152" t="n">
        <v>0.08</v>
      </c>
      <c r="H98" s="152" t="n">
        <v>3.17</v>
      </c>
      <c r="I98" s="156" t="n">
        <v>-3292.03001</v>
      </c>
      <c r="J98" s="152" t="n">
        <v>3.383563558</v>
      </c>
      <c r="K98" s="152" t="n">
        <v>93.71488635999999</v>
      </c>
      <c r="L98" s="152" t="n">
        <v>14.21</v>
      </c>
      <c r="M98" s="157" t="n">
        <v>0</v>
      </c>
      <c r="N98" s="155" t="n">
        <v>42092.89</v>
      </c>
      <c r="O98" s="152" t="n">
        <v>182.9545455</v>
      </c>
      <c r="P98" s="152" t="n">
        <v>1.829545455</v>
      </c>
      <c r="Q98" s="156" t="n">
        <v>-301.71</v>
      </c>
      <c r="R98" s="156" t="n">
        <v>806.9299999999999</v>
      </c>
      <c r="S98" s="152" t="n">
        <v>6.5265</v>
      </c>
      <c r="T98" s="152" t="n">
        <v>3.417222222</v>
      </c>
      <c r="U98" s="152" t="n">
        <v>3.109277778</v>
      </c>
      <c r="V98" s="152" t="n">
        <v>1.902504552</v>
      </c>
      <c r="W98" s="152" t="n">
        <v>1.206773225</v>
      </c>
      <c r="X98" s="158" t="n">
        <v>2.341890909</v>
      </c>
      <c r="Y98" s="158" t="n">
        <v>512.03</v>
      </c>
      <c r="Z98" s="158" t="n">
        <v>12.92856818</v>
      </c>
      <c r="AA98" s="158" t="n">
        <v>2.801985714</v>
      </c>
      <c r="AB98" s="159" t="n">
        <v>0.5769155335</v>
      </c>
      <c r="AC98" s="159" t="n">
        <v>0.6161347659999999</v>
      </c>
      <c r="AD98" s="159" t="n">
        <v>92.44476284</v>
      </c>
      <c r="AE98" s="159" t="n">
        <v>79.5</v>
      </c>
      <c r="AF98" s="159" t="n">
        <v>0.552727</v>
      </c>
      <c r="AG98" s="159" t="n">
        <v>-0.332727</v>
      </c>
      <c r="AH98" s="159" t="n">
        <v>0.356364</v>
      </c>
      <c r="AI98" s="159" t="n">
        <v>2.73727</v>
      </c>
      <c r="AJ98" s="159" t="n">
        <v>2.38091</v>
      </c>
      <c r="AK98" s="159" t="n">
        <v>1.85318</v>
      </c>
      <c r="AL98" s="159" t="n">
        <v>2.18455</v>
      </c>
      <c r="AM98" s="159" t="n">
        <v>118.423</v>
      </c>
      <c r="AN98" s="159" t="n">
        <v>-0.29854</v>
      </c>
      <c r="AO98" s="159" t="n">
        <v>-0.6936</v>
      </c>
      <c r="AP98" s="159" t="n">
        <v>-0.7528</v>
      </c>
      <c r="AQ98" s="159" t="n">
        <v>7.37731</v>
      </c>
      <c r="AR98" s="159" t="n"/>
      <c r="AS98" s="159" t="n">
        <v>0.218571</v>
      </c>
      <c r="AT98" s="159" t="n">
        <v>7.2</v>
      </c>
      <c r="AU98" s="159" t="n">
        <v>103.6</v>
      </c>
      <c r="AV98" s="159" t="n">
        <v>110.4</v>
      </c>
      <c r="AW98" s="159" t="n">
        <v>101.054</v>
      </c>
      <c r="AX98" s="159" t="n">
        <v>96.56229999999999</v>
      </c>
      <c r="AY98" s="159" t="n">
        <v>4.712049548</v>
      </c>
      <c r="AZ98" s="159" t="n">
        <v>5.127380755</v>
      </c>
      <c r="BA98" s="159" t="n">
        <v>9.391995039999999</v>
      </c>
      <c r="BB98" s="159" t="n">
        <v>4.601707197</v>
      </c>
      <c r="BC98" s="159" t="n">
        <v>4.75617306</v>
      </c>
    </row>
    <row r="99">
      <c r="A99" s="83" t="inlineStr">
        <is>
          <t>2013-09</t>
        </is>
      </c>
      <c r="B99" s="155" t="n">
        <v>1919.512333</v>
      </c>
      <c r="C99" s="155" t="n">
        <v>160.64</v>
      </c>
      <c r="D99" s="155" t="n">
        <v>354.14</v>
      </c>
      <c r="E99" s="155" t="n">
        <v>4296.55</v>
      </c>
      <c r="F99" s="152" t="n">
        <v>3.25</v>
      </c>
      <c r="G99" s="152" t="n">
        <v>0.08</v>
      </c>
      <c r="H99" s="152" t="n">
        <v>3.17</v>
      </c>
      <c r="I99" s="156" t="n">
        <v>1832.936358</v>
      </c>
      <c r="J99" s="152" t="n">
        <v>3.209636489</v>
      </c>
      <c r="K99" s="152" t="n">
        <v>93.47056499999999</v>
      </c>
      <c r="L99" s="152" t="n">
        <v>14.692</v>
      </c>
      <c r="M99" s="157" t="n">
        <v>0</v>
      </c>
      <c r="N99" s="155" t="n">
        <v>43064.73</v>
      </c>
      <c r="O99" s="152" t="n">
        <v>181.3809524</v>
      </c>
      <c r="P99" s="152" t="n">
        <v>1.813809524</v>
      </c>
      <c r="Q99" s="156" t="n">
        <v>-452.7</v>
      </c>
      <c r="R99" s="156" t="n">
        <v>1400.76</v>
      </c>
      <c r="S99" s="152" t="n">
        <v>6.522857143</v>
      </c>
      <c r="T99" s="152" t="n">
        <v>3.648</v>
      </c>
      <c r="U99" s="152" t="n">
        <v>2.874857143</v>
      </c>
      <c r="V99" s="152" t="n">
        <v>1.885879999</v>
      </c>
      <c r="W99" s="152" t="n">
        <v>0.9889771435</v>
      </c>
      <c r="X99" s="158" t="n">
        <v>2.270199991</v>
      </c>
      <c r="Y99" s="158" t="n">
        <v>503.5538095</v>
      </c>
      <c r="Z99" s="158" t="n">
        <v>13.07427381</v>
      </c>
      <c r="AA99" s="158" t="n">
        <v>2.778661905</v>
      </c>
      <c r="AB99" s="159" t="n">
        <v>-0.4598737282</v>
      </c>
      <c r="AC99" s="159" t="n">
        <v>-0.5105649621</v>
      </c>
      <c r="AD99" s="159" t="n">
        <v>93.76819607</v>
      </c>
      <c r="AE99" s="159" t="n">
        <v>79.73</v>
      </c>
      <c r="AF99" s="159" t="n">
        <v>0.664</v>
      </c>
      <c r="AG99" s="159" t="n">
        <v>-0.1715</v>
      </c>
      <c r="AH99" s="159" t="n">
        <v>0.404</v>
      </c>
      <c r="AI99" s="159" t="n">
        <v>2.8095</v>
      </c>
      <c r="AJ99" s="159" t="n">
        <v>2.4055</v>
      </c>
      <c r="AK99" s="159" t="n">
        <v>1.7675</v>
      </c>
      <c r="AL99" s="159" t="n">
        <v>2.1455</v>
      </c>
      <c r="AM99" s="159" t="n">
        <v>136.985</v>
      </c>
      <c r="AN99" s="159" t="n">
        <v>-0.3387</v>
      </c>
      <c r="AO99" s="159" t="n">
        <v>-0.69175</v>
      </c>
      <c r="AP99" s="159" t="n">
        <v>-0.751</v>
      </c>
      <c r="AQ99" s="159" t="n">
        <v>7.37597</v>
      </c>
      <c r="AR99" s="159" t="n"/>
      <c r="AS99" s="159" t="n">
        <v>0.237</v>
      </c>
      <c r="AT99" s="159" t="n">
        <v>7.2</v>
      </c>
      <c r="AU99" s="159" t="n">
        <v>103.7</v>
      </c>
      <c r="AV99" s="159" t="n">
        <v>110.2</v>
      </c>
      <c r="AW99" s="159" t="n">
        <v>101.11</v>
      </c>
      <c r="AX99" s="159" t="n">
        <v>97.3319</v>
      </c>
      <c r="AY99" s="159" t="n">
        <v>4.714885207</v>
      </c>
      <c r="AZ99" s="159" t="n">
        <v>5.123612727</v>
      </c>
      <c r="BA99" s="159" t="n">
        <v>9.393494915</v>
      </c>
      <c r="BB99" s="159" t="n">
        <v>4.606778891</v>
      </c>
      <c r="BC99" s="159" t="n">
        <v>4.757032535</v>
      </c>
    </row>
    <row r="100">
      <c r="A100" s="83" t="inlineStr">
        <is>
          <t>2013-10</t>
        </is>
      </c>
      <c r="B100" s="155" t="n">
        <v>1885.13129</v>
      </c>
      <c r="C100" s="155" t="n">
        <v>159.96</v>
      </c>
      <c r="D100" s="155" t="n">
        <v>368.29</v>
      </c>
      <c r="E100" s="155" t="n">
        <v>4311.23</v>
      </c>
      <c r="F100" s="152" t="n">
        <v>3.25</v>
      </c>
      <c r="G100" s="152" t="n">
        <v>0.09</v>
      </c>
      <c r="H100" s="152" t="n">
        <v>3.16</v>
      </c>
      <c r="I100" s="156" t="n">
        <v>-6260.098119</v>
      </c>
      <c r="J100" s="152" t="n">
        <v>3.29885302</v>
      </c>
      <c r="K100" s="152" t="n">
        <v>92.49926818</v>
      </c>
      <c r="L100" s="152" t="n">
        <v>15.40782609</v>
      </c>
      <c r="M100" s="157" t="n">
        <v>0</v>
      </c>
      <c r="N100" s="155" t="n">
        <v>43292.85</v>
      </c>
      <c r="O100" s="152" t="n">
        <v>171.3043478</v>
      </c>
      <c r="P100" s="152" t="n">
        <v>1.713043478</v>
      </c>
      <c r="Q100" s="156" t="n">
        <v>-651.55</v>
      </c>
      <c r="R100" s="156" t="n">
        <v>1039.38</v>
      </c>
      <c r="S100" s="152" t="n">
        <v>6.281818182</v>
      </c>
      <c r="T100" s="152" t="n">
        <v>3.399090909</v>
      </c>
      <c r="U100" s="152" t="n">
        <v>2.882727273</v>
      </c>
      <c r="V100" s="152" t="n">
        <v>1.938222723</v>
      </c>
      <c r="W100" s="152" t="n">
        <v>0.9445045502</v>
      </c>
      <c r="X100" s="158" t="n">
        <v>2.188347806</v>
      </c>
      <c r="Y100" s="158" t="n">
        <v>501.4386957</v>
      </c>
      <c r="Z100" s="158" t="n">
        <v>12.99666304</v>
      </c>
      <c r="AA100" s="158" t="n">
        <v>2.769066667</v>
      </c>
      <c r="AB100" s="159" t="n">
        <v>-0.5606630627</v>
      </c>
      <c r="AC100" s="159" t="n">
        <v>-0.4876083199</v>
      </c>
      <c r="AD100" s="159" t="n">
        <v>94.33689898</v>
      </c>
      <c r="AE100" s="159" t="n">
        <v>79.52</v>
      </c>
      <c r="AF100" s="159" t="n">
        <v>0.428636</v>
      </c>
      <c r="AG100" s="159" t="n">
        <v>-0.410455</v>
      </c>
      <c r="AH100" s="159" t="n">
        <v>0.335455</v>
      </c>
      <c r="AI100" s="159" t="n">
        <v>2.61591</v>
      </c>
      <c r="AJ100" s="159" t="n">
        <v>2.28045</v>
      </c>
      <c r="AK100" s="159" t="n">
        <v>1.77727</v>
      </c>
      <c r="AL100" s="159" t="n">
        <v>2.18727</v>
      </c>
      <c r="AM100" s="159" t="n">
        <v>166.476</v>
      </c>
      <c r="AN100" s="159" t="n">
        <v>-0.4435</v>
      </c>
      <c r="AO100" s="159" t="n">
        <v>-0.72975</v>
      </c>
      <c r="AP100" s="159" t="n">
        <v>-0.7847499999999999</v>
      </c>
      <c r="AQ100" s="159" t="n">
        <v>7.40565</v>
      </c>
      <c r="AR100" s="159" t="n"/>
      <c r="AS100" s="159" t="n">
        <v>0.194091</v>
      </c>
      <c r="AT100" s="159" t="n">
        <v>7.2</v>
      </c>
      <c r="AU100" s="159" t="n">
        <v>103.6</v>
      </c>
      <c r="AV100" s="159" t="n">
        <v>110.3</v>
      </c>
      <c r="AW100" s="159" t="n">
        <v>101.155</v>
      </c>
      <c r="AX100" s="159" t="n">
        <v>97.42959999999999</v>
      </c>
      <c r="AY100" s="159" t="n">
        <v>4.692054055</v>
      </c>
      <c r="AZ100" s="159" t="n">
        <v>5.108251903</v>
      </c>
      <c r="BA100" s="159" t="n">
        <v>9.395408154</v>
      </c>
      <c r="BB100" s="159" t="n">
        <v>4.60598985</v>
      </c>
      <c r="BC100" s="159" t="n">
        <v>4.75617306</v>
      </c>
    </row>
    <row r="101">
      <c r="A101" s="83" t="inlineStr">
        <is>
          <t>2013-11</t>
        </is>
      </c>
      <c r="B101" s="155" t="n">
        <v>1921.753</v>
      </c>
      <c r="C101" s="155" t="n">
        <v>158.91</v>
      </c>
      <c r="D101" s="155" t="n">
        <v>360.61</v>
      </c>
      <c r="E101" s="155" t="n">
        <v>4344.6</v>
      </c>
      <c r="F101" s="152" t="n">
        <v>3.25</v>
      </c>
      <c r="G101" s="152" t="n">
        <v>0.08</v>
      </c>
      <c r="H101" s="152" t="n">
        <v>3.17</v>
      </c>
      <c r="I101" s="156" t="n">
        <v>-2583.382716</v>
      </c>
      <c r="J101" s="152" t="n">
        <v>3.267082136</v>
      </c>
      <c r="K101" s="152" t="n">
        <v>93.37366842</v>
      </c>
      <c r="L101" s="152" t="n">
        <v>12.924</v>
      </c>
      <c r="M101" s="157" t="n">
        <v>0</v>
      </c>
      <c r="N101" s="155" t="n">
        <v>43417.31</v>
      </c>
      <c r="O101" s="152" t="n">
        <v>183.1428571</v>
      </c>
      <c r="P101" s="152" t="n">
        <v>1.831428571</v>
      </c>
      <c r="Q101" s="156" t="n">
        <v>-375.72</v>
      </c>
      <c r="R101" s="156" t="n">
        <v>360.13</v>
      </c>
      <c r="S101" s="152" t="n">
        <v>6.376315789</v>
      </c>
      <c r="T101" s="152" t="n">
        <v>3.441578947</v>
      </c>
      <c r="U101" s="152" t="n">
        <v>2.934736842</v>
      </c>
      <c r="V101" s="152" t="n">
        <v>1.920999991</v>
      </c>
      <c r="W101" s="152" t="n">
        <v>1.013736851</v>
      </c>
      <c r="X101" s="158" t="n">
        <v>2.296623798</v>
      </c>
      <c r="Y101" s="158" t="n">
        <v>520.1733333</v>
      </c>
      <c r="Z101" s="158" t="n">
        <v>13.07421429</v>
      </c>
      <c r="AA101" s="158" t="n">
        <v>2.79875</v>
      </c>
      <c r="AB101" s="159" t="n">
        <v>0.8652023057</v>
      </c>
      <c r="AC101" s="159" t="n">
        <v>0.8658236614</v>
      </c>
      <c r="AD101" s="159" t="n">
        <v>94.83354842</v>
      </c>
      <c r="AE101" s="159" t="n">
        <v>79.34999999999999</v>
      </c>
      <c r="AF101" s="159" t="n">
        <v>0.547895</v>
      </c>
      <c r="AG101" s="159" t="n">
        <v>-0.382105</v>
      </c>
      <c r="AH101" s="159" t="n">
        <v>0.303684</v>
      </c>
      <c r="AI101" s="159" t="n">
        <v>2.71842</v>
      </c>
      <c r="AJ101" s="159" t="n">
        <v>2.41474</v>
      </c>
      <c r="AK101" s="159" t="n">
        <v>1.75316</v>
      </c>
      <c r="AL101" s="159" t="n">
        <v>2.17053</v>
      </c>
      <c r="AM101" s="159" t="n">
        <v>102.397</v>
      </c>
      <c r="AN101" s="159" t="n">
        <v>-0.56386</v>
      </c>
      <c r="AO101" s="159" t="n">
        <v>-0.7774</v>
      </c>
      <c r="AP101" s="159" t="n">
        <v>-0.8518</v>
      </c>
      <c r="AQ101" s="159" t="n">
        <v>7.10571</v>
      </c>
      <c r="AR101" s="159" t="n"/>
      <c r="AS101" s="159" t="n">
        <v>0.172105</v>
      </c>
      <c r="AT101" s="159" t="n">
        <v>6.9</v>
      </c>
      <c r="AU101" s="159" t="n">
        <v>103.7</v>
      </c>
      <c r="AV101" s="159" t="n">
        <v>110</v>
      </c>
      <c r="AW101" s="159" t="n">
        <v>101.187</v>
      </c>
      <c r="AX101" s="159" t="n">
        <v>97.3318</v>
      </c>
      <c r="AY101" s="159" t="n">
        <v>4.680203444</v>
      </c>
      <c r="AZ101" s="159" t="n">
        <v>5.097198237</v>
      </c>
      <c r="BA101" s="159" t="n">
        <v>9.397151834000001</v>
      </c>
      <c r="BB101" s="159" t="n">
        <v>4.608325204</v>
      </c>
      <c r="BC101" s="159" t="n">
        <v>4.776599302</v>
      </c>
    </row>
    <row r="102">
      <c r="A102" s="83" t="inlineStr">
        <is>
          <t>2013-12</t>
        </is>
      </c>
      <c r="B102" s="155" t="n">
        <v>1932.956129</v>
      </c>
      <c r="C102" s="155" t="n">
        <v>159.34</v>
      </c>
      <c r="D102" s="155" t="n">
        <v>414.86</v>
      </c>
      <c r="E102" s="155" t="n">
        <v>4401.04</v>
      </c>
      <c r="F102" s="152" t="n">
        <v>3.25</v>
      </c>
      <c r="G102" s="152" t="n">
        <v>0.09</v>
      </c>
      <c r="H102" s="152" t="n">
        <v>3.16</v>
      </c>
      <c r="I102" s="156" t="n">
        <v>-12894.70989</v>
      </c>
      <c r="J102" s="152" t="n">
        <v>2.330987593</v>
      </c>
      <c r="K102" s="152" t="n">
        <v>93.53402</v>
      </c>
      <c r="L102" s="152" t="n">
        <v>14.19238095</v>
      </c>
      <c r="M102" s="157" t="n">
        <v>0</v>
      </c>
      <c r="N102" s="155" t="n">
        <v>43632.74</v>
      </c>
      <c r="O102" s="152" t="n">
        <v>177.0909091</v>
      </c>
      <c r="P102" s="152" t="n">
        <v>1.770909091</v>
      </c>
      <c r="Q102" s="156" t="n">
        <v>-633.4400000000001</v>
      </c>
      <c r="R102" s="156" t="n">
        <v>785.5700000000001</v>
      </c>
      <c r="S102" s="152" t="n">
        <v>6.2725</v>
      </c>
      <c r="T102" s="152" t="n">
        <v>3.203684211</v>
      </c>
      <c r="U102" s="152" t="n">
        <v>3.068815789</v>
      </c>
      <c r="V102" s="152" t="n">
        <v>1.874561912</v>
      </c>
      <c r="W102" s="152" t="n">
        <v>1.194253878</v>
      </c>
      <c r="X102" s="158" t="n">
        <v>2.345604528</v>
      </c>
      <c r="Y102" s="158" t="n">
        <v>528.9259524</v>
      </c>
      <c r="Z102" s="158" t="n">
        <v>13.00595455</v>
      </c>
      <c r="AA102" s="158" t="n">
        <v>2.78564</v>
      </c>
      <c r="AB102" s="159" t="n">
        <v>0.2345250256</v>
      </c>
      <c r="AC102" s="159" t="n">
        <v>0.08392130859999999</v>
      </c>
      <c r="AD102" s="159" t="n">
        <v>95.47179208999999</v>
      </c>
      <c r="AE102" s="159" t="n">
        <v>79.56</v>
      </c>
      <c r="AF102" s="159" t="n">
        <v>0.738571</v>
      </c>
      <c r="AG102" s="159" t="n">
        <v>-0.09333329999999999</v>
      </c>
      <c r="AH102" s="159" t="n">
        <v>0.34</v>
      </c>
      <c r="AI102" s="159" t="n">
        <v>2.9019</v>
      </c>
      <c r="AJ102" s="159" t="n">
        <v>2.5619</v>
      </c>
      <c r="AK102" s="159" t="n">
        <v>1.66952</v>
      </c>
      <c r="AL102" s="159" t="n">
        <v>2.16333</v>
      </c>
      <c r="AM102" s="159" t="n">
        <v>120.209</v>
      </c>
      <c r="AN102" s="159" t="n">
        <v>-0.5484250000000001</v>
      </c>
      <c r="AO102" s="159" t="n">
        <v>-0.796</v>
      </c>
      <c r="AP102" s="159" t="n">
        <v>-0.88475</v>
      </c>
      <c r="AQ102" s="159" t="n">
        <v>6.84688</v>
      </c>
      <c r="AR102" s="159" t="n"/>
      <c r="AS102" s="159" t="n">
        <v>0.1775</v>
      </c>
      <c r="AT102" s="159" t="n">
        <v>6.7</v>
      </c>
      <c r="AU102" s="159" t="n">
        <v>103.8</v>
      </c>
      <c r="AV102" s="159" t="n">
        <v>109.7</v>
      </c>
      <c r="AW102" s="159" t="n">
        <v>101.205</v>
      </c>
      <c r="AX102" s="159" t="n">
        <v>97.6238</v>
      </c>
      <c r="AY102" s="159" t="n">
        <v>4.707338612</v>
      </c>
      <c r="AZ102" s="159" t="n">
        <v>5.118921526</v>
      </c>
      <c r="BA102" s="159" t="n">
        <v>9.397649469999999</v>
      </c>
      <c r="BB102" s="159" t="n">
        <v>4.610326867</v>
      </c>
      <c r="BC102" s="159" t="n">
        <v>4.765586907</v>
      </c>
    </row>
    <row r="103">
      <c r="A103" s="83" t="inlineStr">
        <is>
          <t>2014-01</t>
        </is>
      </c>
      <c r="B103" s="155" t="n">
        <v>1957.287097</v>
      </c>
      <c r="C103" s="155" t="n">
        <v>154.23</v>
      </c>
      <c r="D103" s="155" t="n">
        <v>352.57</v>
      </c>
      <c r="E103" s="155" t="n">
        <v>4424.21</v>
      </c>
      <c r="F103" s="152" t="n">
        <v>3.25</v>
      </c>
      <c r="G103" s="152" t="n">
        <v>0.07000000000000001</v>
      </c>
      <c r="H103" s="152" t="n">
        <v>3.18</v>
      </c>
      <c r="I103" s="156" t="n">
        <v>7386.752191</v>
      </c>
      <c r="J103" s="152" t="n">
        <v>2.382871769</v>
      </c>
      <c r="K103" s="152" t="n">
        <v>94.46474762</v>
      </c>
      <c r="L103" s="152" t="n">
        <v>14.24095238</v>
      </c>
      <c r="M103" s="157" t="n">
        <v>0</v>
      </c>
      <c r="N103" s="155" t="n">
        <v>43710.5</v>
      </c>
      <c r="O103" s="152" t="n">
        <v>182.0869565</v>
      </c>
      <c r="P103" s="152" t="n">
        <v>1.820869565</v>
      </c>
      <c r="Q103" s="156" t="n">
        <v>-452.26</v>
      </c>
      <c r="R103" s="156" t="n">
        <v>537.45</v>
      </c>
      <c r="S103" s="152" t="n">
        <v>6.259047619</v>
      </c>
      <c r="T103" s="152" t="n">
        <v>2.939047619</v>
      </c>
      <c r="U103" s="152" t="n">
        <v>3.32</v>
      </c>
      <c r="V103" s="152" t="n">
        <v>2.010638095</v>
      </c>
      <c r="W103" s="152" t="n">
        <v>1.309361905</v>
      </c>
      <c r="X103" s="158" t="n">
        <v>2.380178255</v>
      </c>
      <c r="Y103" s="158" t="n">
        <v>538.4970455</v>
      </c>
      <c r="Z103" s="158" t="n">
        <v>13.21326087</v>
      </c>
      <c r="AA103" s="158" t="n">
        <v>2.809277273</v>
      </c>
      <c r="AB103" s="159" t="n">
        <v>0.4432168626</v>
      </c>
      <c r="AC103" s="159" t="n">
        <v>0.5048247816</v>
      </c>
      <c r="AD103" s="159" t="n">
        <v>95.70635871</v>
      </c>
      <c r="AE103" s="159" t="n">
        <v>79.95</v>
      </c>
      <c r="AF103" s="159" t="n">
        <v>0.631905</v>
      </c>
      <c r="AG103" s="159" t="n">
        <v>-0.0914286</v>
      </c>
      <c r="AH103" s="159" t="n">
        <v>0.39381</v>
      </c>
      <c r="AI103" s="159" t="n">
        <v>2.8581</v>
      </c>
      <c r="AJ103" s="159" t="n">
        <v>2.46429</v>
      </c>
      <c r="AK103" s="159" t="n">
        <v>1.7381</v>
      </c>
      <c r="AL103" s="159" t="n">
        <v>2.22619</v>
      </c>
      <c r="AM103" s="159" t="n">
        <v>113.849</v>
      </c>
      <c r="AN103" s="159" t="n">
        <v>-0.53786</v>
      </c>
      <c r="AO103" s="159" t="n">
        <v>-0.7887999999999999</v>
      </c>
      <c r="AP103" s="159" t="n">
        <v>-0.888</v>
      </c>
      <c r="AQ103" s="159" t="n">
        <v>6.64603</v>
      </c>
      <c r="AR103" s="159" t="n"/>
      <c r="AS103" s="159" t="n">
        <v>0.196667</v>
      </c>
      <c r="AT103" s="159" t="n">
        <v>6.6</v>
      </c>
      <c r="AU103" s="159" t="n">
        <v>103.7</v>
      </c>
      <c r="AV103" s="159" t="n"/>
      <c r="AW103" s="159" t="n">
        <v>101.213</v>
      </c>
      <c r="AX103" s="159" t="n">
        <v>98.59999999999999</v>
      </c>
      <c r="AY103" s="159" t="n">
        <v>4.683223223</v>
      </c>
      <c r="AZ103" s="159" t="n">
        <v>5.109237021</v>
      </c>
      <c r="BA103" s="159" t="n">
        <v>9.397483619000001</v>
      </c>
      <c r="BB103" s="159" t="n">
        <v>4.606768907</v>
      </c>
      <c r="BC103" s="159" t="n">
        <v>4.75272775</v>
      </c>
    </row>
    <row r="104">
      <c r="A104" s="83" t="inlineStr">
        <is>
          <t>2014-02</t>
        </is>
      </c>
      <c r="B104" s="155" t="n">
        <v>2038.4925</v>
      </c>
      <c r="C104" s="155" t="n">
        <v>154.46</v>
      </c>
      <c r="D104" s="155" t="n">
        <v>330.22</v>
      </c>
      <c r="E104" s="155" t="n">
        <v>4437.11</v>
      </c>
      <c r="F104" s="152" t="n">
        <v>3.25</v>
      </c>
      <c r="G104" s="152" t="n">
        <v>0.07000000000000001</v>
      </c>
      <c r="H104" s="152" t="n">
        <v>3.18</v>
      </c>
      <c r="I104" s="156" t="n">
        <v>-2756.311949</v>
      </c>
      <c r="J104" s="152" t="n">
        <v>2.497874675</v>
      </c>
      <c r="K104" s="152" t="n">
        <v>94.64558235</v>
      </c>
      <c r="L104" s="152" t="n">
        <v>15.47</v>
      </c>
      <c r="M104" s="157" t="n">
        <v>0</v>
      </c>
      <c r="N104" s="155" t="n">
        <v>44026.86</v>
      </c>
      <c r="O104" s="152" t="n">
        <v>188.25</v>
      </c>
      <c r="P104" s="152" t="n">
        <v>1.8825</v>
      </c>
      <c r="Q104" s="156" t="n">
        <v>-393.78</v>
      </c>
      <c r="R104" s="156" t="n">
        <v>621.75</v>
      </c>
      <c r="S104" s="152" t="n">
        <v>6.595</v>
      </c>
      <c r="T104" s="152" t="n">
        <v>3.1985</v>
      </c>
      <c r="U104" s="152" t="n">
        <v>3.3965</v>
      </c>
      <c r="V104" s="152" t="n">
        <v>2.035842099</v>
      </c>
      <c r="W104" s="152" t="n">
        <v>1.360657901</v>
      </c>
      <c r="X104" s="158" t="n">
        <v>2.383375001</v>
      </c>
      <c r="Y104" s="158" t="n">
        <v>554.4525</v>
      </c>
      <c r="Z104" s="158" t="n">
        <v>13.2786</v>
      </c>
      <c r="AA104" s="158" t="n">
        <v>2.81255</v>
      </c>
      <c r="AB104" s="159" t="n">
        <v>0.3327563874</v>
      </c>
      <c r="AC104" s="159" t="n">
        <v>0.2754486755</v>
      </c>
      <c r="AD104" s="159" t="n">
        <v>97.11695021</v>
      </c>
      <c r="AE104" s="159" t="n">
        <v>80.45</v>
      </c>
      <c r="AF104" s="159" t="n">
        <v>0.552105</v>
      </c>
      <c r="AG104" s="159" t="n">
        <v>-0.258421</v>
      </c>
      <c r="AH104" s="159" t="n">
        <v>0.326842</v>
      </c>
      <c r="AI104" s="159" t="n">
        <v>2.70947</v>
      </c>
      <c r="AJ104" s="159" t="n">
        <v>2.38263</v>
      </c>
      <c r="AK104" s="159" t="n">
        <v>1.77421</v>
      </c>
      <c r="AL104" s="159" t="n">
        <v>2.15737</v>
      </c>
      <c r="AM104" s="159" t="n">
        <v>99.6794</v>
      </c>
      <c r="AN104" s="159" t="n">
        <v>-0.571875</v>
      </c>
      <c r="AO104" s="159" t="n">
        <v>-0.789</v>
      </c>
      <c r="AP104" s="159" t="n">
        <v>-0.89</v>
      </c>
      <c r="AQ104" s="159" t="n">
        <v>6.7912</v>
      </c>
      <c r="AR104" s="159" t="n"/>
      <c r="AS104" s="159" t="n">
        <v>0.183158</v>
      </c>
      <c r="AT104" s="159" t="n">
        <v>6.7</v>
      </c>
      <c r="AU104" s="159" t="n">
        <v>103.9</v>
      </c>
      <c r="AV104" s="159" t="n">
        <v>108.6</v>
      </c>
      <c r="AW104" s="159" t="n">
        <v>101.211</v>
      </c>
      <c r="AX104" s="159" t="n">
        <v>99.09999999999999</v>
      </c>
      <c r="AY104" s="159" t="n">
        <v>4.690439213</v>
      </c>
      <c r="AZ104" s="159" t="n">
        <v>5.131849474</v>
      </c>
      <c r="BA104" s="159" t="n">
        <v>9.399637543000001</v>
      </c>
      <c r="BB104" s="159" t="n">
        <v>4.614298397</v>
      </c>
      <c r="BC104" s="159" t="n">
        <v>4.768988271</v>
      </c>
    </row>
    <row r="105">
      <c r="A105" s="83" t="inlineStr">
        <is>
          <t>2014-03</t>
        </is>
      </c>
      <c r="B105" s="155" t="n">
        <v>2019.713226</v>
      </c>
      <c r="C105" s="155" t="n">
        <v>157.03</v>
      </c>
      <c r="D105" s="155" t="n">
        <v>338.7</v>
      </c>
      <c r="E105" s="155" t="n">
        <v>4441.64</v>
      </c>
      <c r="F105" s="152" t="n">
        <v>3.25</v>
      </c>
      <c r="G105" s="152" t="n">
        <v>0.08</v>
      </c>
      <c r="H105" s="152" t="n">
        <v>3.17</v>
      </c>
      <c r="I105" s="156" t="n">
        <v>-4104.442797</v>
      </c>
      <c r="J105" s="152" t="n">
        <v>2.523444032</v>
      </c>
      <c r="K105" s="152" t="n">
        <v>94.44082105</v>
      </c>
      <c r="L105" s="152" t="n">
        <v>14.83666667</v>
      </c>
      <c r="M105" s="157" t="n">
        <v>0</v>
      </c>
      <c r="N105" s="155" t="n">
        <v>44298.38</v>
      </c>
      <c r="O105" s="152" t="n">
        <v>176.7619048</v>
      </c>
      <c r="P105" s="152" t="n">
        <v>1.767619048</v>
      </c>
      <c r="Q105" s="156" t="n">
        <v>-549.09</v>
      </c>
      <c r="R105" s="156" t="n">
        <v>887.6900000000001</v>
      </c>
      <c r="S105" s="152" t="n">
        <v>6.3475</v>
      </c>
      <c r="T105" s="152" t="n">
        <v>3.0425</v>
      </c>
      <c r="U105" s="152" t="n">
        <v>3.305</v>
      </c>
      <c r="V105" s="152" t="n">
        <v>2.071966659</v>
      </c>
      <c r="W105" s="152" t="n">
        <v>1.233033341</v>
      </c>
      <c r="X105" s="158" t="n">
        <v>2.326471408</v>
      </c>
      <c r="Y105" s="158" t="n">
        <v>563.4209524</v>
      </c>
      <c r="Z105" s="158" t="n">
        <v>13.2025</v>
      </c>
      <c r="AA105" s="158" t="n">
        <v>2.806571429</v>
      </c>
      <c r="AB105" s="159" t="n">
        <v>-0.1911925957</v>
      </c>
      <c r="AC105" s="159" t="n">
        <v>-0.1837303259</v>
      </c>
      <c r="AD105" s="159" t="n">
        <v>95.98768595999999</v>
      </c>
      <c r="AE105" s="159" t="n">
        <v>80.77</v>
      </c>
      <c r="AF105" s="159" t="n">
        <v>0.555714</v>
      </c>
      <c r="AG105" s="159" t="n">
        <v>-0.137619</v>
      </c>
      <c r="AH105" s="159" t="n">
        <v>0.399048</v>
      </c>
      <c r="AI105" s="159" t="n">
        <v>2.72333</v>
      </c>
      <c r="AJ105" s="159" t="n">
        <v>2.32429</v>
      </c>
      <c r="AK105" s="159" t="n">
        <v>1.77714</v>
      </c>
      <c r="AL105" s="159" t="n">
        <v>2.16762</v>
      </c>
      <c r="AM105" s="159" t="n">
        <v>112.482</v>
      </c>
      <c r="AN105" s="159" t="n">
        <v>-0.6092</v>
      </c>
      <c r="AO105" s="159" t="n">
        <v>-0.796</v>
      </c>
      <c r="AP105" s="159" t="n">
        <v>-0.87725</v>
      </c>
      <c r="AQ105" s="159" t="n">
        <v>6.76533</v>
      </c>
      <c r="AR105" s="159" t="n"/>
      <c r="AS105" s="159" t="n">
        <v>0.18</v>
      </c>
      <c r="AT105" s="159" t="n">
        <v>6.7</v>
      </c>
      <c r="AU105" s="159" t="n">
        <v>103.8</v>
      </c>
      <c r="AV105" s="159" t="n">
        <v>108.8</v>
      </c>
      <c r="AW105" s="159" t="n">
        <v>101.201</v>
      </c>
      <c r="AX105" s="159" t="n">
        <v>98.59999999999999</v>
      </c>
      <c r="AY105" s="159" t="n">
        <v>4.677314088</v>
      </c>
      <c r="AZ105" s="159" t="n">
        <v>5.127647662</v>
      </c>
      <c r="BA105" s="159" t="n">
        <v>9.400630098000001</v>
      </c>
      <c r="BB105" s="159" t="n">
        <v>4.623933057</v>
      </c>
      <c r="BC105" s="159" t="n">
        <v>4.784988613</v>
      </c>
    </row>
    <row r="106">
      <c r="A106" s="83" t="inlineStr">
        <is>
          <t>2014-04</t>
        </is>
      </c>
      <c r="B106" s="155" t="n">
        <v>1938.360333</v>
      </c>
      <c r="C106" s="155" t="n">
        <v>154.76</v>
      </c>
      <c r="D106" s="155" t="n">
        <v>317.03</v>
      </c>
      <c r="E106" s="155" t="n">
        <v>4371.54</v>
      </c>
      <c r="F106" s="152" t="n">
        <v>3.275</v>
      </c>
      <c r="G106" s="152" t="n">
        <v>0.09</v>
      </c>
      <c r="H106" s="152" t="n">
        <v>3.185</v>
      </c>
      <c r="I106" s="156" t="n">
        <v>2549.881992</v>
      </c>
      <c r="J106" s="152" t="n">
        <v>2.707866792</v>
      </c>
      <c r="K106" s="152" t="n">
        <v>93.99554999999999</v>
      </c>
      <c r="L106" s="152" t="n">
        <v>14.19809524</v>
      </c>
      <c r="M106" s="157" t="n">
        <v>0</v>
      </c>
      <c r="N106" s="155" t="n">
        <v>44642.4</v>
      </c>
      <c r="O106" s="152" t="n">
        <v>161.5454545</v>
      </c>
      <c r="P106" s="152" t="n">
        <v>1.615454545</v>
      </c>
      <c r="Q106" s="156" t="n">
        <v>-405.89</v>
      </c>
      <c r="R106" s="156" t="n">
        <v>902.3099999999999</v>
      </c>
      <c r="S106" s="152" t="n">
        <v>5.832</v>
      </c>
      <c r="T106" s="152" t="n">
        <v>2.729473684</v>
      </c>
      <c r="U106" s="152" t="n">
        <v>3.102526316</v>
      </c>
      <c r="V106" s="152" t="n">
        <v>2.040071425</v>
      </c>
      <c r="W106" s="152" t="n">
        <v>1.062454891</v>
      </c>
      <c r="X106" s="158" t="n">
        <v>2.233872728</v>
      </c>
      <c r="Y106" s="158" t="n">
        <v>555.1857143</v>
      </c>
      <c r="Z106" s="158" t="n">
        <v>13.06177273</v>
      </c>
      <c r="AA106" s="158" t="n">
        <v>2.79444</v>
      </c>
      <c r="AB106" s="159" t="n">
        <v>-0.7843421155</v>
      </c>
      <c r="AC106" s="159" t="n">
        <v>-0.6729206814000001</v>
      </c>
      <c r="AD106" s="159" t="n">
        <v>96.37836991</v>
      </c>
      <c r="AE106" s="159" t="n">
        <v>81.14</v>
      </c>
      <c r="AF106" s="159" t="n">
        <v>0.542857</v>
      </c>
      <c r="AG106" s="159" t="n">
        <v>-0.107619</v>
      </c>
      <c r="AH106" s="159" t="n">
        <v>0.417143</v>
      </c>
      <c r="AI106" s="159" t="n">
        <v>2.70524</v>
      </c>
      <c r="AJ106" s="159" t="n">
        <v>2.2881</v>
      </c>
      <c r="AK106" s="159" t="n">
        <v>1.80857</v>
      </c>
      <c r="AL106" s="159" t="n">
        <v>2.16238</v>
      </c>
      <c r="AM106" s="159" t="n">
        <v>108.511</v>
      </c>
      <c r="AN106" s="159" t="n">
        <v>-0.6199750000000001</v>
      </c>
      <c r="AO106" s="159" t="n">
        <v>-0.7875</v>
      </c>
      <c r="AP106" s="159" t="n">
        <v>-0.841</v>
      </c>
      <c r="AQ106" s="159" t="n">
        <v>6.34732</v>
      </c>
      <c r="AR106" s="159" t="n"/>
      <c r="AS106" s="159" t="n">
        <v>0.1985</v>
      </c>
      <c r="AT106" s="159" t="n">
        <v>6.2</v>
      </c>
      <c r="AU106" s="159" t="n">
        <v>103.8</v>
      </c>
      <c r="AV106" s="159" t="n">
        <v>108.7</v>
      </c>
      <c r="AW106" s="159" t="n">
        <v>101.181</v>
      </c>
      <c r="AX106" s="159" t="n">
        <v>98.2</v>
      </c>
      <c r="AY106" s="159" t="n">
        <v>4.679860132</v>
      </c>
      <c r="AZ106" s="159" t="n">
        <v>5.136386499</v>
      </c>
      <c r="BA106" s="159" t="n">
        <v>9.401704257</v>
      </c>
      <c r="BB106" s="159" t="n">
        <v>4.624904183</v>
      </c>
      <c r="BC106" s="159" t="n">
        <v>4.789157022</v>
      </c>
    </row>
    <row r="107">
      <c r="A107" s="83" t="inlineStr">
        <is>
          <t>2014-05</t>
        </is>
      </c>
      <c r="B107" s="155" t="n">
        <v>1915.360968</v>
      </c>
      <c r="C107" s="155" t="n">
        <v>149.05</v>
      </c>
      <c r="D107" s="155" t="n">
        <v>333.13</v>
      </c>
      <c r="E107" s="155" t="n">
        <v>4308.88</v>
      </c>
      <c r="F107" s="152" t="n">
        <v>3.5</v>
      </c>
      <c r="G107" s="152" t="n">
        <v>0.09</v>
      </c>
      <c r="H107" s="152" t="n">
        <v>3.41</v>
      </c>
      <c r="I107" s="156" t="n">
        <v>-805.7828131</v>
      </c>
      <c r="J107" s="152" t="n">
        <v>2.882476329</v>
      </c>
      <c r="K107" s="152" t="n">
        <v>93.67002857</v>
      </c>
      <c r="L107" s="152" t="n">
        <v>12.4752381</v>
      </c>
      <c r="M107" s="157" t="n">
        <v>0</v>
      </c>
      <c r="N107" s="155" t="n">
        <v>45036.17</v>
      </c>
      <c r="O107" s="152" t="n">
        <v>154</v>
      </c>
      <c r="P107" s="152" t="n">
        <v>1.54</v>
      </c>
      <c r="Q107" s="156" t="n">
        <v>-457.83</v>
      </c>
      <c r="R107" s="156" t="n">
        <v>954.65</v>
      </c>
      <c r="S107" s="152" t="n">
        <v>6.056666667</v>
      </c>
      <c r="T107" s="152" t="n">
        <v>2.903333333</v>
      </c>
      <c r="U107" s="152" t="n">
        <v>3.153333333</v>
      </c>
      <c r="V107" s="152" t="n">
        <v>2.052661884</v>
      </c>
      <c r="W107" s="152" t="n">
        <v>1.100671449</v>
      </c>
      <c r="X107" s="158" t="n">
        <v>2.221268188</v>
      </c>
      <c r="Y107" s="158" t="n">
        <v>554.9156818</v>
      </c>
      <c r="Z107" s="158" t="n">
        <v>12.93015909</v>
      </c>
      <c r="AA107" s="158" t="n">
        <v>2.786952381</v>
      </c>
      <c r="AB107" s="159" t="n">
        <v>-0.2817255492</v>
      </c>
      <c r="AC107" s="159" t="n">
        <v>-0.2627954228</v>
      </c>
      <c r="AD107" s="159" t="n">
        <v>96.22195325</v>
      </c>
      <c r="AE107" s="159" t="n">
        <v>81.53</v>
      </c>
      <c r="AF107" s="159" t="n">
        <v>0.368095</v>
      </c>
      <c r="AG107" s="159" t="n">
        <v>-0.342857</v>
      </c>
      <c r="AH107" s="159" t="n">
        <v>0.389048</v>
      </c>
      <c r="AI107" s="159" t="n">
        <v>2.55905</v>
      </c>
      <c r="AJ107" s="159" t="n">
        <v>2.17</v>
      </c>
      <c r="AK107" s="159" t="n">
        <v>1.93571</v>
      </c>
      <c r="AL107" s="159" t="n">
        <v>2.19095</v>
      </c>
      <c r="AM107" s="159" t="n">
        <v>105.314</v>
      </c>
      <c r="AN107" s="159" t="n">
        <v>-0.69968</v>
      </c>
      <c r="AO107" s="159" t="n">
        <v>-0.7942</v>
      </c>
      <c r="AP107" s="159" t="n">
        <v>-0.8304</v>
      </c>
      <c r="AQ107" s="159" t="n">
        <v>6.40097</v>
      </c>
      <c r="AR107" s="159" t="n"/>
      <c r="AS107" s="159" t="n">
        <v>0.194</v>
      </c>
      <c r="AT107" s="159" t="n">
        <v>6.3</v>
      </c>
      <c r="AU107" s="159" t="n">
        <v>104.1</v>
      </c>
      <c r="AV107" s="159" t="n">
        <v>108.8</v>
      </c>
      <c r="AW107" s="159" t="n">
        <v>101.149</v>
      </c>
      <c r="AX107" s="159" t="n">
        <v>98.3</v>
      </c>
      <c r="AY107" s="159" t="n">
        <v>4.69628065</v>
      </c>
      <c r="AZ107" s="159" t="n">
        <v>5.124463854</v>
      </c>
      <c r="BA107" s="159" t="n">
        <v>9.40261226</v>
      </c>
      <c r="BB107" s="159" t="n">
        <v>4.62873045</v>
      </c>
      <c r="BC107" s="159" t="n">
        <v>4.793308128</v>
      </c>
    </row>
    <row r="108">
      <c r="A108" s="83" t="inlineStr">
        <is>
          <t>2014-06</t>
        </is>
      </c>
      <c r="B108" s="155" t="n">
        <v>1887.039333</v>
      </c>
      <c r="C108" s="155" t="n">
        <v>162.47</v>
      </c>
      <c r="D108" s="155" t="n">
        <v>298.39</v>
      </c>
      <c r="E108" s="155" t="n">
        <v>4234.4</v>
      </c>
      <c r="F108" s="152" t="n">
        <v>3.791666667</v>
      </c>
      <c r="G108" s="152" t="n">
        <v>0.1</v>
      </c>
      <c r="H108" s="152" t="n">
        <v>3.691666667</v>
      </c>
      <c r="I108" s="156" t="n">
        <v>-1168.040131</v>
      </c>
      <c r="J108" s="152" t="n">
        <v>3.305413646</v>
      </c>
      <c r="K108" s="152" t="n">
        <v>93.82740475999999</v>
      </c>
      <c r="L108" s="152" t="n">
        <v>11.54142857</v>
      </c>
      <c r="M108" s="157" t="n">
        <v>0</v>
      </c>
      <c r="N108" s="155" t="n">
        <v>45501.64</v>
      </c>
      <c r="O108" s="152" t="n">
        <v>144.2380952</v>
      </c>
      <c r="P108" s="152" t="n">
        <v>1.442380952</v>
      </c>
      <c r="Q108" s="156" t="n">
        <v>-422.78</v>
      </c>
      <c r="R108" s="156" t="n">
        <v>1106.4</v>
      </c>
      <c r="S108" s="152" t="n">
        <v>6.129444444</v>
      </c>
      <c r="T108" s="152" t="n">
        <v>2.923888889</v>
      </c>
      <c r="U108" s="152" t="n">
        <v>3.205555556</v>
      </c>
      <c r="V108" s="152" t="n">
        <v>2.10500951</v>
      </c>
      <c r="W108" s="152" t="n">
        <v>1.100546045</v>
      </c>
      <c r="X108" s="158" t="n">
        <v>2.236019055</v>
      </c>
      <c r="Y108" s="158" t="n">
        <v>553.1237048</v>
      </c>
      <c r="Z108" s="158" t="n">
        <v>12.99334524</v>
      </c>
      <c r="AA108" s="158" t="n">
        <v>2.79452381</v>
      </c>
      <c r="AB108" s="159" t="n">
        <v>-0.02481825408</v>
      </c>
      <c r="AC108" s="159" t="n">
        <v>0.03841827441</v>
      </c>
      <c r="AD108" s="159" t="n">
        <v>95.85109108</v>
      </c>
      <c r="AE108" s="159" t="n">
        <v>81.61</v>
      </c>
      <c r="AF108" s="159" t="n">
        <v>0.369524</v>
      </c>
      <c r="AG108" s="159" t="n">
        <v>-0.291429</v>
      </c>
      <c r="AH108" s="159" t="n">
        <v>0.452381</v>
      </c>
      <c r="AI108" s="159" t="n">
        <v>2.59857</v>
      </c>
      <c r="AJ108" s="159" t="n">
        <v>2.14619</v>
      </c>
      <c r="AK108" s="159" t="n">
        <v>1.97048</v>
      </c>
      <c r="AL108" s="159" t="n">
        <v>2.22905</v>
      </c>
      <c r="AM108" s="159" t="n">
        <v>90.1999</v>
      </c>
      <c r="AN108" s="159" t="n">
        <v>-0.7984250000000001</v>
      </c>
      <c r="AO108" s="159" t="n">
        <v>-0.80375</v>
      </c>
      <c r="AP108" s="159" t="n">
        <v>-0.864</v>
      </c>
      <c r="AQ108" s="159" t="n">
        <v>6.16993</v>
      </c>
      <c r="AR108" s="159" t="n"/>
      <c r="AS108" s="159" t="n">
        <v>0.194286</v>
      </c>
      <c r="AT108" s="159" t="n">
        <v>6.1</v>
      </c>
      <c r="AU108" s="159" t="n">
        <v>104.1</v>
      </c>
      <c r="AV108" s="159" t="n">
        <v>109.2</v>
      </c>
      <c r="AW108" s="159" t="n">
        <v>101.106</v>
      </c>
      <c r="AX108" s="159" t="n">
        <v>98.2</v>
      </c>
      <c r="AY108" s="159" t="n">
        <v>4.716666837</v>
      </c>
      <c r="AZ108" s="159" t="n">
        <v>5.126045146</v>
      </c>
      <c r="BA108" s="159" t="n">
        <v>9.404755176</v>
      </c>
      <c r="BB108" s="159" t="n">
        <v>4.632152857</v>
      </c>
      <c r="BC108" s="159" t="n">
        <v>4.782479201</v>
      </c>
    </row>
    <row r="109">
      <c r="A109" s="83" t="inlineStr">
        <is>
          <t>2014-07</t>
        </is>
      </c>
      <c r="B109" s="155" t="n">
        <v>1857.644194</v>
      </c>
      <c r="C109" s="155" t="n">
        <v>148.64</v>
      </c>
      <c r="D109" s="155" t="n">
        <v>346.21</v>
      </c>
      <c r="E109" s="155" t="n">
        <v>4186.38</v>
      </c>
      <c r="F109" s="152" t="n">
        <v>4</v>
      </c>
      <c r="G109" s="152" t="n">
        <v>0.09</v>
      </c>
      <c r="H109" s="152" t="n">
        <v>3.91</v>
      </c>
      <c r="I109" s="156" t="n">
        <v>-2706.775753</v>
      </c>
      <c r="J109" s="152" t="n">
        <v>3.251003553</v>
      </c>
      <c r="K109" s="152" t="n">
        <v>93.60385909</v>
      </c>
      <c r="L109" s="152" t="n">
        <v>12.29636364</v>
      </c>
      <c r="M109" s="157" t="n">
        <v>0</v>
      </c>
      <c r="N109" s="155" t="n">
        <v>46091.98</v>
      </c>
      <c r="O109" s="152" t="n">
        <v>145.4782609</v>
      </c>
      <c r="P109" s="152" t="n">
        <v>1.454782609</v>
      </c>
      <c r="Q109" s="156" t="n">
        <v>-515.55</v>
      </c>
      <c r="R109" s="156" t="n">
        <v>1241.81</v>
      </c>
      <c r="S109" s="152" t="n">
        <v>6.233913043</v>
      </c>
      <c r="T109" s="152" t="n">
        <v>3.063043478</v>
      </c>
      <c r="U109" s="152" t="n">
        <v>3.170869565</v>
      </c>
      <c r="V109" s="152" t="n">
        <v>2.138290893</v>
      </c>
      <c r="W109" s="152" t="n">
        <v>1.032578672</v>
      </c>
      <c r="X109" s="158" t="n">
        <v>2.224330436</v>
      </c>
      <c r="Y109" s="158" t="n">
        <v>559.2120609</v>
      </c>
      <c r="Z109" s="158" t="n">
        <v>12.9666413</v>
      </c>
      <c r="AA109" s="158" t="n">
        <v>2.786395238</v>
      </c>
      <c r="AB109" s="159" t="n">
        <v>-0.03860818642</v>
      </c>
      <c r="AC109" s="159" t="n">
        <v>-0.08508186806</v>
      </c>
      <c r="AD109" s="159" t="n">
        <v>97.02542391</v>
      </c>
      <c r="AE109" s="159" t="n">
        <v>81.73</v>
      </c>
      <c r="AF109" s="159" t="n">
        <v>0.279545</v>
      </c>
      <c r="AG109" s="159" t="n">
        <v>-0.271364</v>
      </c>
      <c r="AH109" s="159" t="n">
        <v>0.506364</v>
      </c>
      <c r="AI109" s="159" t="n">
        <v>2.54227</v>
      </c>
      <c r="AJ109" s="159" t="n">
        <v>2.03591</v>
      </c>
      <c r="AK109" s="159" t="n">
        <v>1.97091</v>
      </c>
      <c r="AL109" s="159" t="n">
        <v>2.26273</v>
      </c>
      <c r="AM109" s="159" t="n">
        <v>92.6309</v>
      </c>
      <c r="AN109" s="159" t="n">
        <v>-0.712075</v>
      </c>
      <c r="AO109" s="159" t="n">
        <v>-0.77</v>
      </c>
      <c r="AP109" s="159" t="n">
        <v>-0.82225</v>
      </c>
      <c r="AQ109" s="159" t="n">
        <v>6.26569</v>
      </c>
      <c r="AR109" s="159" t="n"/>
      <c r="AS109" s="159" t="n">
        <v>0.205909</v>
      </c>
      <c r="AT109" s="159" t="n">
        <v>6.2</v>
      </c>
      <c r="AU109" s="159" t="n">
        <v>103.9</v>
      </c>
      <c r="AV109" s="159" t="n">
        <v>109</v>
      </c>
      <c r="AW109" s="159" t="n">
        <v>101.052</v>
      </c>
      <c r="AX109" s="159" t="n">
        <v>98.2</v>
      </c>
      <c r="AY109" s="159" t="n">
        <v>4.670658256</v>
      </c>
      <c r="AZ109" s="159" t="n">
        <v>5.10480543</v>
      </c>
      <c r="BA109" s="159" t="n">
        <v>9.406318255</v>
      </c>
      <c r="BB109" s="159" t="n">
        <v>4.6343697</v>
      </c>
      <c r="BC109" s="159" t="n">
        <v>4.788324729</v>
      </c>
    </row>
    <row r="110">
      <c r="A110" s="83" t="inlineStr">
        <is>
          <t>2014-08</t>
        </is>
      </c>
      <c r="B110" s="155" t="n">
        <v>1898.125161</v>
      </c>
      <c r="C110" s="155" t="n">
        <v>151.55</v>
      </c>
      <c r="D110" s="155" t="n">
        <v>315.26</v>
      </c>
      <c r="E110" s="155" t="n">
        <v>4129.41</v>
      </c>
      <c r="F110" s="152" t="n">
        <v>4.25</v>
      </c>
      <c r="G110" s="152" t="n">
        <v>0.09</v>
      </c>
      <c r="H110" s="152" t="n">
        <v>4.16</v>
      </c>
      <c r="I110" s="156" t="n">
        <v>-5648.355493</v>
      </c>
      <c r="J110" s="152" t="n">
        <v>3.559866605</v>
      </c>
      <c r="K110" s="152" t="n">
        <v>94.58080952</v>
      </c>
      <c r="L110" s="152" t="n">
        <v>13.49190476</v>
      </c>
      <c r="M110" s="157" t="n">
        <v>0</v>
      </c>
      <c r="N110" s="155" t="n">
        <v>46705.06</v>
      </c>
      <c r="O110" s="152" t="n">
        <v>153.5714286</v>
      </c>
      <c r="P110" s="152" t="n">
        <v>1.535714286</v>
      </c>
      <c r="Q110" s="156" t="n">
        <v>-404.15</v>
      </c>
      <c r="R110" s="156" t="n">
        <v>1469.35</v>
      </c>
      <c r="S110" s="152" t="n">
        <v>6.150526316</v>
      </c>
      <c r="T110" s="152" t="n">
        <v>2.956842105</v>
      </c>
      <c r="U110" s="152" t="n">
        <v>3.193684211</v>
      </c>
      <c r="V110" s="152" t="n">
        <v>2.027733315</v>
      </c>
      <c r="W110" s="152" t="n">
        <v>1.165950896</v>
      </c>
      <c r="X110" s="158" t="n">
        <v>2.267723799</v>
      </c>
      <c r="Y110" s="158" t="n">
        <v>579.8196333</v>
      </c>
      <c r="Z110" s="158" t="n">
        <v>13.14407143</v>
      </c>
      <c r="AA110" s="158" t="n">
        <v>2.814766667</v>
      </c>
      <c r="AB110" s="159" t="n">
        <v>0.6871038693</v>
      </c>
      <c r="AC110" s="159" t="n">
        <v>0.7215510059</v>
      </c>
      <c r="AD110" s="159" t="n">
        <v>96.49224791</v>
      </c>
      <c r="AE110" s="159" t="n">
        <v>81.90000000000001</v>
      </c>
      <c r="AF110" s="159" t="n">
        <v>0.22381</v>
      </c>
      <c r="AG110" s="159" t="n">
        <v>-0.21</v>
      </c>
      <c r="AH110" s="159" t="n">
        <v>0.472381</v>
      </c>
      <c r="AI110" s="159" t="n">
        <v>2.42</v>
      </c>
      <c r="AJ110" s="159" t="n">
        <v>1.94762</v>
      </c>
      <c r="AK110" s="159" t="n">
        <v>1.84143</v>
      </c>
      <c r="AL110" s="159" t="n">
        <v>2.19619</v>
      </c>
      <c r="AM110" s="159" t="n">
        <v>96.10809999999999</v>
      </c>
      <c r="AN110" s="159" t="n">
        <v>-0.6034</v>
      </c>
      <c r="AO110" s="159" t="n">
        <v>-0.7396</v>
      </c>
      <c r="AP110" s="159" t="n">
        <v>-0.796</v>
      </c>
      <c r="AQ110" s="159" t="n">
        <v>6.16527</v>
      </c>
      <c r="AR110" s="159" t="n"/>
      <c r="AS110" s="159" t="n">
        <v>0.2005</v>
      </c>
      <c r="AT110" s="159" t="n">
        <v>6.1</v>
      </c>
      <c r="AU110" s="159" t="n">
        <v>103.7</v>
      </c>
      <c r="AV110" s="159" t="n">
        <v>106.9</v>
      </c>
      <c r="AW110" s="159" t="n">
        <v>100.986</v>
      </c>
      <c r="AX110" s="159" t="n">
        <v>98.40000000000001</v>
      </c>
      <c r="AY110" s="159" t="n">
        <v>4.621122272</v>
      </c>
      <c r="AZ110" s="159" t="n">
        <v>5.070563203</v>
      </c>
      <c r="BA110" s="159" t="n">
        <v>9.407714731</v>
      </c>
      <c r="BB110" s="159" t="n">
        <v>4.632483751</v>
      </c>
      <c r="BC110" s="159" t="n">
        <v>4.790819533</v>
      </c>
    </row>
    <row r="111">
      <c r="A111" s="83" t="inlineStr">
        <is>
          <t>2014-09</t>
        </is>
      </c>
      <c r="B111" s="155" t="n">
        <v>1973.716667</v>
      </c>
      <c r="C111" s="155" t="n">
        <v>145.98</v>
      </c>
      <c r="D111" s="155" t="n">
        <v>343.28</v>
      </c>
      <c r="E111" s="155" t="n">
        <v>4118.55</v>
      </c>
      <c r="F111" s="152" t="n">
        <v>4.5</v>
      </c>
      <c r="G111" s="152" t="n">
        <v>0.09</v>
      </c>
      <c r="H111" s="152" t="n">
        <v>4.41</v>
      </c>
      <c r="I111" s="156" t="n">
        <v>3278.842819</v>
      </c>
      <c r="J111" s="152" t="n">
        <v>3.370339697</v>
      </c>
      <c r="K111" s="152" t="n">
        <v>96.12086667</v>
      </c>
      <c r="L111" s="152" t="n">
        <v>13.46666667</v>
      </c>
      <c r="M111" s="157" t="n">
        <v>0</v>
      </c>
      <c r="N111" s="155" t="n">
        <v>47106.54</v>
      </c>
      <c r="O111" s="152" t="n">
        <v>151.9090909</v>
      </c>
      <c r="P111" s="152" t="n">
        <v>1.519090909</v>
      </c>
      <c r="Q111" s="156" t="n">
        <v>-356.99</v>
      </c>
      <c r="R111" s="156" t="n">
        <v>923.79</v>
      </c>
      <c r="S111" s="152" t="n">
        <v>6.047272727</v>
      </c>
      <c r="T111" s="152" t="n">
        <v>2.882727273</v>
      </c>
      <c r="U111" s="152" t="n">
        <v>3.164545455</v>
      </c>
      <c r="V111" s="152" t="n">
        <v>1.85944761</v>
      </c>
      <c r="W111" s="152" t="n">
        <v>1.305097845</v>
      </c>
      <c r="X111" s="158" t="n">
        <v>2.332554535</v>
      </c>
      <c r="Y111" s="158" t="n">
        <v>594.2876136</v>
      </c>
      <c r="Z111" s="158" t="n">
        <v>13.23838636</v>
      </c>
      <c r="AA111" s="158" t="n">
        <v>2.864695455</v>
      </c>
      <c r="AB111" s="159" t="n">
        <v>0.5465466648</v>
      </c>
      <c r="AC111" s="159" t="n">
        <v>0.7660173235</v>
      </c>
      <c r="AD111" s="159" t="n">
        <v>98.21003188</v>
      </c>
      <c r="AE111" s="159" t="n">
        <v>82.01000000000001</v>
      </c>
      <c r="AF111" s="159" t="n">
        <v>0.460952</v>
      </c>
      <c r="AG111" s="159" t="n">
        <v>0.0971429</v>
      </c>
      <c r="AH111" s="159" t="n">
        <v>0.566667</v>
      </c>
      <c r="AI111" s="159" t="n">
        <v>2.53429</v>
      </c>
      <c r="AJ111" s="159" t="n">
        <v>1.96762</v>
      </c>
      <c r="AK111" s="159" t="n">
        <v>1.67667</v>
      </c>
      <c r="AL111" s="159" t="n">
        <v>2.07333</v>
      </c>
      <c r="AM111" s="159" t="n">
        <v>119.655</v>
      </c>
      <c r="AN111" s="159" t="n">
        <v>-0.50165</v>
      </c>
      <c r="AO111" s="159" t="n">
        <v>-0.70875</v>
      </c>
      <c r="AP111" s="159" t="n">
        <v>-0.791</v>
      </c>
      <c r="AQ111" s="159" t="n">
        <v>6.04679</v>
      </c>
      <c r="AR111" s="159" t="n"/>
      <c r="AS111" s="159" t="n">
        <v>0.211905</v>
      </c>
      <c r="AT111" s="159" t="n">
        <v>5.9</v>
      </c>
      <c r="AU111" s="159" t="n">
        <v>103.7</v>
      </c>
      <c r="AV111" s="159" t="n">
        <v>108</v>
      </c>
      <c r="AW111" s="159" t="n">
        <v>100.913</v>
      </c>
      <c r="AX111" s="159" t="n">
        <v>98.90000000000001</v>
      </c>
      <c r="AY111" s="159" t="n">
        <v>4.575652803</v>
      </c>
      <c r="AZ111" s="159" t="n">
        <v>5.03821155</v>
      </c>
      <c r="BA111" s="159" t="n">
        <v>9.409273195000001</v>
      </c>
      <c r="BB111" s="159" t="n">
        <v>4.635350154</v>
      </c>
      <c r="BC111" s="159" t="n">
        <v>4.80073697</v>
      </c>
    </row>
    <row r="112">
      <c r="A112" s="83" t="inlineStr">
        <is>
          <t>2014-10</t>
        </is>
      </c>
      <c r="B112" s="155" t="n">
        <v>2048.567419</v>
      </c>
      <c r="C112" s="155" t="n">
        <v>133.69</v>
      </c>
      <c r="D112" s="155" t="n">
        <v>349.25</v>
      </c>
      <c r="E112" s="155" t="n">
        <v>4099.51</v>
      </c>
      <c r="F112" s="152" t="n">
        <v>4.5</v>
      </c>
      <c r="G112" s="152" t="n">
        <v>0.09</v>
      </c>
      <c r="H112" s="152" t="n">
        <v>4.41</v>
      </c>
      <c r="I112" s="156" t="n">
        <v>-3539.124574</v>
      </c>
      <c r="J112" s="152" t="n">
        <v>3.013679212</v>
      </c>
      <c r="K112" s="152" t="n">
        <v>97.43960455</v>
      </c>
      <c r="L112" s="152" t="n">
        <v>18.05869565</v>
      </c>
      <c r="M112" s="157" t="n">
        <v>0</v>
      </c>
      <c r="N112" s="155" t="n">
        <v>47364.58</v>
      </c>
      <c r="O112" s="152" t="n">
        <v>174.173913</v>
      </c>
      <c r="P112" s="152" t="n">
        <v>1.74173913</v>
      </c>
      <c r="Q112" s="156" t="n">
        <v>-395.14</v>
      </c>
      <c r="R112" s="156" t="n">
        <v>885.3</v>
      </c>
      <c r="S112" s="152" t="n">
        <v>6.055909091</v>
      </c>
      <c r="T112" s="152" t="n">
        <v>2.840909091</v>
      </c>
      <c r="U112" s="152" t="n">
        <v>3.215</v>
      </c>
      <c r="V112" s="152" t="n">
        <v>1.675463633</v>
      </c>
      <c r="W112" s="152" t="n">
        <v>1.539536367</v>
      </c>
      <c r="X112" s="158" t="n">
        <v>2.447943439</v>
      </c>
      <c r="Y112" s="158" t="n">
        <v>588.3092652</v>
      </c>
      <c r="Z112" s="158" t="n">
        <v>13.4796087</v>
      </c>
      <c r="AA112" s="158" t="n">
        <v>2.906709091</v>
      </c>
      <c r="AB112" s="159" t="n">
        <v>0.4259806319</v>
      </c>
      <c r="AC112" s="159" t="n">
        <v>0.6147870631</v>
      </c>
      <c r="AD112" s="159" t="n">
        <v>98.69626049</v>
      </c>
      <c r="AE112" s="159" t="n">
        <v>82.14</v>
      </c>
      <c r="AF112" s="159" t="n">
        <v>0.384091</v>
      </c>
      <c r="AG112" s="159" t="n">
        <v>0.06454550000000001</v>
      </c>
      <c r="AH112" s="159" t="n">
        <v>0.445455</v>
      </c>
      <c r="AI112" s="159" t="n">
        <v>2.30409</v>
      </c>
      <c r="AJ112" s="159" t="n">
        <v>1.85864</v>
      </c>
      <c r="AK112" s="159" t="n">
        <v>1.48136</v>
      </c>
      <c r="AL112" s="159" t="n">
        <v>1.92</v>
      </c>
      <c r="AM112" s="159" t="n">
        <v>110.969</v>
      </c>
      <c r="AN112" s="159" t="n">
        <v>-0.2706</v>
      </c>
      <c r="AO112" s="159" t="n">
        <v>-0.656</v>
      </c>
      <c r="AP112" s="159" t="n">
        <v>-0.733</v>
      </c>
      <c r="AQ112" s="159" t="n">
        <v>5.88454</v>
      </c>
      <c r="AR112" s="159" t="n"/>
      <c r="AS112" s="159" t="n">
        <v>0.213182</v>
      </c>
      <c r="AT112" s="159" t="n">
        <v>5.7</v>
      </c>
      <c r="AU112" s="159" t="n">
        <v>103.7</v>
      </c>
      <c r="AV112" s="159" t="n">
        <v>107.7</v>
      </c>
      <c r="AW112" s="159" t="n">
        <v>100.83</v>
      </c>
      <c r="AX112" s="159" t="n">
        <v>98.90000000000001</v>
      </c>
      <c r="AY112" s="159" t="n">
        <v>4.470783571</v>
      </c>
      <c r="AZ112" s="159" t="n">
        <v>4.981913408</v>
      </c>
      <c r="BA112" s="159" t="n">
        <v>9.411892497</v>
      </c>
      <c r="BB112" s="159" t="n">
        <v>4.63546658</v>
      </c>
      <c r="BC112" s="159" t="n">
        <v>4.806477043</v>
      </c>
    </row>
    <row r="113">
      <c r="A113" s="83" t="inlineStr">
        <is>
          <t>2014-11</t>
        </is>
      </c>
      <c r="B113" s="155" t="n">
        <v>2128.683667</v>
      </c>
      <c r="C113" s="155" t="n">
        <v>130.36</v>
      </c>
      <c r="D113" s="155" t="n">
        <v>324.2</v>
      </c>
      <c r="E113" s="155" t="n">
        <v>4063.1</v>
      </c>
      <c r="F113" s="152" t="n">
        <v>4.5</v>
      </c>
      <c r="G113" s="152" t="n">
        <v>0.09</v>
      </c>
      <c r="H113" s="152" t="n">
        <v>4.41</v>
      </c>
      <c r="I113" s="156" t="n">
        <v>-1325.607484</v>
      </c>
      <c r="J113" s="152" t="n">
        <v>2.848812219</v>
      </c>
      <c r="K113" s="152" t="n">
        <v>99.11468889</v>
      </c>
      <c r="L113" s="152" t="n">
        <v>13.41315789</v>
      </c>
      <c r="M113" s="157" t="n">
        <v>0</v>
      </c>
      <c r="N113" s="155" t="n">
        <v>47380.2</v>
      </c>
      <c r="O113" s="152" t="n">
        <v>172.8</v>
      </c>
      <c r="P113" s="152" t="n">
        <v>1.728</v>
      </c>
      <c r="Q113" s="156" t="n">
        <v>-265.41</v>
      </c>
      <c r="R113" s="156" t="n">
        <v>319.11</v>
      </c>
      <c r="S113" s="152" t="n">
        <v>5.736111111</v>
      </c>
      <c r="T113" s="152" t="n">
        <v>2.486666667</v>
      </c>
      <c r="U113" s="152" t="n">
        <v>3.249444444</v>
      </c>
      <c r="V113" s="152" t="n">
        <v>1.687477781</v>
      </c>
      <c r="W113" s="152" t="n">
        <v>1.561966664</v>
      </c>
      <c r="X113" s="158" t="n">
        <v>2.548040009</v>
      </c>
      <c r="Y113" s="158" t="n">
        <v>594.161385</v>
      </c>
      <c r="Z113" s="158" t="n">
        <v>13.622</v>
      </c>
      <c r="AA113" s="158" t="n">
        <v>2.92551</v>
      </c>
      <c r="AB113" s="159" t="n">
        <v>0.5107452137</v>
      </c>
      <c r="AC113" s="159" t="n">
        <v>0.5151979656</v>
      </c>
      <c r="AD113" s="159" t="n">
        <v>97.62249159</v>
      </c>
      <c r="AE113" s="159" t="n">
        <v>82.25</v>
      </c>
      <c r="AF113" s="159" t="n">
        <v>0.445556</v>
      </c>
      <c r="AG113" s="159" t="n">
        <v>0.142778</v>
      </c>
      <c r="AH113" s="159" t="n">
        <v>0.527222</v>
      </c>
      <c r="AI113" s="159" t="n">
        <v>2.32556</v>
      </c>
      <c r="AJ113" s="159" t="n">
        <v>1.79833</v>
      </c>
      <c r="AK113" s="159" t="n">
        <v>1.47778</v>
      </c>
      <c r="AL113" s="159" t="n">
        <v>1.88</v>
      </c>
      <c r="AM113" s="159" t="n">
        <v>117.379</v>
      </c>
      <c r="AN113" s="159" t="n">
        <v>-0.390925</v>
      </c>
      <c r="AO113" s="159" t="n">
        <v>-0.66375</v>
      </c>
      <c r="AP113" s="159" t="n">
        <v>-0.76275</v>
      </c>
      <c r="AQ113" s="159" t="n">
        <v>5.90364</v>
      </c>
      <c r="AR113" s="159" t="n"/>
      <c r="AS113" s="159" t="n">
        <v>0.209444</v>
      </c>
      <c r="AT113" s="159" t="n">
        <v>5.8</v>
      </c>
      <c r="AU113" s="159" t="n">
        <v>103.6</v>
      </c>
      <c r="AV113" s="159" t="n">
        <v>107.2</v>
      </c>
      <c r="AW113" s="159" t="n">
        <v>100.74</v>
      </c>
      <c r="AX113" s="159" t="n">
        <v>98.59999999999999</v>
      </c>
      <c r="AY113" s="159" t="n">
        <v>4.374975584</v>
      </c>
      <c r="AZ113" s="159" t="n">
        <v>4.935322494</v>
      </c>
      <c r="BA113" s="159" t="n">
        <v>9.414097208999999</v>
      </c>
      <c r="BB113" s="159" t="n">
        <v>4.641627469</v>
      </c>
      <c r="BC113" s="159" t="n">
        <v>4.811371017</v>
      </c>
    </row>
    <row r="114">
      <c r="A114" s="83" t="inlineStr">
        <is>
          <t>2014-12</t>
        </is>
      </c>
      <c r="B114" s="155" t="n">
        <v>2342.253548</v>
      </c>
      <c r="C114" s="155" t="n">
        <v>117.58</v>
      </c>
      <c r="D114" s="155" t="n">
        <v>444.97</v>
      </c>
      <c r="E114" s="155" t="n">
        <v>4093.21</v>
      </c>
      <c r="F114" s="152" t="n">
        <v>4.5</v>
      </c>
      <c r="G114" s="152" t="n">
        <v>0.12</v>
      </c>
      <c r="H114" s="152" t="n">
        <v>4.38</v>
      </c>
      <c r="I114" s="156" t="n">
        <v>-9517.492224</v>
      </c>
      <c r="J114" s="152" t="n">
        <v>2.406132394</v>
      </c>
      <c r="K114" s="152" t="n">
        <v>101.4441333</v>
      </c>
      <c r="L114" s="152" t="n">
        <v>16.29227273</v>
      </c>
      <c r="M114" s="157" t="n">
        <v>0</v>
      </c>
      <c r="N114" s="155" t="n">
        <v>47323.09</v>
      </c>
      <c r="O114" s="152" t="n">
        <v>199.7391304</v>
      </c>
      <c r="P114" s="152" t="n">
        <v>1.997391304</v>
      </c>
      <c r="Q114" s="156" t="n">
        <v>-357.49</v>
      </c>
      <c r="R114" s="156" t="n">
        <v>260.06</v>
      </c>
      <c r="S114" s="152" t="n">
        <v>6.112</v>
      </c>
      <c r="T114" s="152" t="n">
        <v>2.43</v>
      </c>
      <c r="U114" s="152" t="n">
        <v>3.682</v>
      </c>
      <c r="V114" s="152" t="n">
        <v>1.43580454</v>
      </c>
      <c r="W114" s="152" t="n">
        <v>2.24619546</v>
      </c>
      <c r="X114" s="158" t="n">
        <v>2.640943465</v>
      </c>
      <c r="Y114" s="158" t="n">
        <v>612.2470913</v>
      </c>
      <c r="Z114" s="158" t="n">
        <v>14.53530435</v>
      </c>
      <c r="AA114" s="158" t="n">
        <v>2.962538095</v>
      </c>
      <c r="AB114" s="159" t="n">
        <v>1.373736468</v>
      </c>
      <c r="AC114" s="159" t="n">
        <v>1.285740465</v>
      </c>
      <c r="AD114" s="159" t="n">
        <v>98.86244329</v>
      </c>
      <c r="AE114" s="159" t="n">
        <v>82.47</v>
      </c>
      <c r="AF114" s="159" t="n">
        <v>0.510455</v>
      </c>
      <c r="AG114" s="159" t="n">
        <v>0.365455</v>
      </c>
      <c r="AH114" s="159" t="n">
        <v>0.635455</v>
      </c>
      <c r="AI114" s="159" t="n">
        <v>2.20727</v>
      </c>
      <c r="AJ114" s="159" t="n">
        <v>1.57182</v>
      </c>
      <c r="AK114" s="159" t="n">
        <v>1.27455</v>
      </c>
      <c r="AL114" s="159" t="n">
        <v>1.69682</v>
      </c>
      <c r="AM114" s="159" t="n">
        <v>109.498</v>
      </c>
      <c r="AN114" s="159" t="n">
        <v>-0.1689</v>
      </c>
      <c r="AO114" s="159" t="n">
        <v>-0.615</v>
      </c>
      <c r="AP114" s="159" t="n">
        <v>-0.69575</v>
      </c>
      <c r="AQ114" s="159" t="n">
        <v>5.69614</v>
      </c>
      <c r="AR114" s="159" t="n"/>
      <c r="AS114" s="159" t="n">
        <v>0.215238</v>
      </c>
      <c r="AT114" s="159" t="n">
        <v>5.6</v>
      </c>
      <c r="AU114" s="159" t="n">
        <v>103.7</v>
      </c>
      <c r="AV114" s="159" t="n">
        <v>107.9</v>
      </c>
      <c r="AW114" s="159" t="n">
        <v>100.644</v>
      </c>
      <c r="AX114" s="159" t="n">
        <v>99</v>
      </c>
      <c r="AY114" s="159" t="n">
        <v>4.132523066</v>
      </c>
      <c r="AZ114" s="159" t="n">
        <v>4.835829424</v>
      </c>
      <c r="BA114" s="159" t="n">
        <v>9.414586485999999</v>
      </c>
      <c r="BB114" s="159" t="n">
        <v>4.641540687</v>
      </c>
      <c r="BC114" s="159" t="n">
        <v>4.810557016</v>
      </c>
    </row>
    <row r="115">
      <c r="A115" s="83" t="inlineStr">
        <is>
          <t>2015-01</t>
        </is>
      </c>
      <c r="B115" s="155" t="n">
        <v>2397.258065</v>
      </c>
      <c r="C115" s="155" t="n">
        <v>104.49</v>
      </c>
      <c r="D115" s="155" t="n">
        <v>349</v>
      </c>
      <c r="E115" s="155" t="n">
        <v>4089.64</v>
      </c>
      <c r="F115" s="152" t="n">
        <v>4.5</v>
      </c>
      <c r="G115" s="152" t="n">
        <v>0.11</v>
      </c>
      <c r="H115" s="152" t="n">
        <v>4.39</v>
      </c>
      <c r="I115" s="156" t="n">
        <v>4185.292315</v>
      </c>
      <c r="J115" s="152" t="n">
        <v>2.679027018</v>
      </c>
      <c r="K115" s="152" t="n">
        <v>103.76074</v>
      </c>
      <c r="L115" s="152" t="n">
        <v>19.1195</v>
      </c>
      <c r="M115" s="157" t="n">
        <v>0</v>
      </c>
      <c r="N115" s="155" t="n">
        <v>47067.16</v>
      </c>
      <c r="O115" s="152" t="n">
        <v>229.5</v>
      </c>
      <c r="P115" s="152" t="n">
        <v>2.295</v>
      </c>
      <c r="Q115" s="156" t="n">
        <v>-289.86</v>
      </c>
      <c r="R115" s="156" t="n">
        <v>10.35</v>
      </c>
      <c r="S115" s="152" t="n">
        <v>5.899</v>
      </c>
      <c r="T115" s="152" t="n">
        <v>2.348947368</v>
      </c>
      <c r="U115" s="152" t="n">
        <v>3.550052632</v>
      </c>
      <c r="V115" s="152" t="n">
        <v>1.383875</v>
      </c>
      <c r="W115" s="152" t="n">
        <v>2.166177631</v>
      </c>
      <c r="X115" s="158" t="n">
        <v>2.634918191</v>
      </c>
      <c r="Y115" s="158" t="n">
        <v>621.6387635999999</v>
      </c>
      <c r="Z115" s="158" t="n">
        <v>14.69686364</v>
      </c>
      <c r="AA115" s="158" t="n">
        <v>3.006785</v>
      </c>
      <c r="AB115" s="159" t="n">
        <v>0.1985991189</v>
      </c>
      <c r="AC115" s="159" t="n">
        <v>0.4495917297</v>
      </c>
      <c r="AD115" s="159" t="n">
        <v>98.8177929</v>
      </c>
      <c r="AE115" s="159" t="n">
        <v>83</v>
      </c>
      <c r="AF115" s="159" t="n">
        <v>0.2745</v>
      </c>
      <c r="AG115" s="159" t="n">
        <v>0.166</v>
      </c>
      <c r="AH115" s="159" t="n">
        <v>0.5515</v>
      </c>
      <c r="AI115" s="159" t="n">
        <v>1.8815</v>
      </c>
      <c r="AJ115" s="159" t="n">
        <v>1.33</v>
      </c>
      <c r="AK115" s="159" t="n">
        <v>1.2085</v>
      </c>
      <c r="AL115" s="159" t="n">
        <v>1.607</v>
      </c>
      <c r="AM115" s="159" t="n">
        <v>126.991</v>
      </c>
      <c r="AN115" s="159" t="n">
        <v>0.04442</v>
      </c>
      <c r="AO115" s="159" t="n">
        <v>-0.5316</v>
      </c>
      <c r="AP115" s="159" t="n">
        <v>-0.6048</v>
      </c>
      <c r="AQ115" s="159" t="n">
        <v>5.73365</v>
      </c>
      <c r="AR115" s="159" t="n"/>
      <c r="AS115" s="159" t="n">
        <v>0.226</v>
      </c>
      <c r="AT115" s="159" t="n">
        <v>5.7</v>
      </c>
      <c r="AU115" s="159" t="n">
        <v>103.5</v>
      </c>
      <c r="AV115" s="159" t="n"/>
      <c r="AW115" s="159" t="n">
        <v>100.541</v>
      </c>
      <c r="AX115" s="159" t="n">
        <v>99.3</v>
      </c>
      <c r="AY115" s="159" t="n">
        <v>3.866178</v>
      </c>
      <c r="AZ115" s="159" t="n">
        <v>4.736505419</v>
      </c>
      <c r="BA115" s="159" t="n">
        <v>9.414504957</v>
      </c>
      <c r="BB115" s="159" t="n">
        <v>4.633670175</v>
      </c>
      <c r="BC115" s="159" t="n">
        <v>4.808927024</v>
      </c>
    </row>
    <row r="116">
      <c r="A116" s="83" t="inlineStr">
        <is>
          <t>2015-02</t>
        </is>
      </c>
      <c r="B116" s="155" t="n">
        <v>2420.6725</v>
      </c>
      <c r="C116" s="155" t="n">
        <v>108.98</v>
      </c>
      <c r="D116" s="155" t="n">
        <v>361.96</v>
      </c>
      <c r="E116" s="155" t="n">
        <v>4121.38</v>
      </c>
      <c r="F116" s="152" t="n">
        <v>4.5</v>
      </c>
      <c r="G116" s="152" t="n">
        <v>0.11</v>
      </c>
      <c r="H116" s="152" t="n">
        <v>4.39</v>
      </c>
      <c r="I116" s="156" t="n">
        <v>-2925.395126</v>
      </c>
      <c r="J116" s="152" t="n">
        <v>2.700039179</v>
      </c>
      <c r="K116" s="152" t="n">
        <v>105.1685389</v>
      </c>
      <c r="L116" s="152" t="n">
        <v>15.90421053</v>
      </c>
      <c r="M116" s="157" t="n">
        <v>0</v>
      </c>
      <c r="N116" s="155" t="n">
        <v>47055.26</v>
      </c>
      <c r="O116" s="152" t="n">
        <v>207.75</v>
      </c>
      <c r="P116" s="152" t="n">
        <v>2.0775</v>
      </c>
      <c r="Q116" s="156" t="n">
        <v>-241.31</v>
      </c>
      <c r="R116" s="156" t="n">
        <v>166.63</v>
      </c>
      <c r="S116" s="152" t="n">
        <v>5.6245</v>
      </c>
      <c r="T116" s="152" t="n">
        <v>2.212</v>
      </c>
      <c r="U116" s="152" t="n">
        <v>3.4125</v>
      </c>
      <c r="V116" s="152" t="n">
        <v>1.651231578</v>
      </c>
      <c r="W116" s="152" t="n">
        <v>1.761268422</v>
      </c>
      <c r="X116" s="158" t="n">
        <v>2.818399978</v>
      </c>
      <c r="Y116" s="158" t="n">
        <v>622.849655</v>
      </c>
      <c r="Z116" s="158" t="n">
        <v>14.917725</v>
      </c>
      <c r="AA116" s="158" t="n">
        <v>3.079435</v>
      </c>
      <c r="AB116" s="159" t="n">
        <v>0.7119261065</v>
      </c>
      <c r="AC116" s="159" t="n">
        <v>1.01660525</v>
      </c>
      <c r="AD116" s="159" t="n">
        <v>99.33119843999999</v>
      </c>
      <c r="AE116" s="159" t="n">
        <v>83.95999999999999</v>
      </c>
      <c r="AF116" s="159" t="n">
        <v>0.26</v>
      </c>
      <c r="AG116" s="159" t="n">
        <v>0.110526</v>
      </c>
      <c r="AH116" s="159" t="n">
        <v>0.618947</v>
      </c>
      <c r="AI116" s="159" t="n">
        <v>1.97526</v>
      </c>
      <c r="AJ116" s="159" t="n">
        <v>1.35632</v>
      </c>
      <c r="AK116" s="159" t="n">
        <v>1.36211</v>
      </c>
      <c r="AL116" s="159" t="n">
        <v>1.71526</v>
      </c>
      <c r="AM116" s="159" t="n">
        <v>113.933</v>
      </c>
      <c r="AN116" s="159" t="n">
        <v>-0.220875</v>
      </c>
      <c r="AO116" s="159" t="n">
        <v>-0.52325</v>
      </c>
      <c r="AP116" s="159" t="n">
        <v>-0.58</v>
      </c>
      <c r="AQ116" s="159" t="n">
        <v>5.56334</v>
      </c>
      <c r="AR116" s="159" t="n"/>
      <c r="AS116" s="159" t="n">
        <v>0.241579</v>
      </c>
      <c r="AT116" s="159" t="n">
        <v>5.5</v>
      </c>
      <c r="AU116" s="159" t="n">
        <v>103.4</v>
      </c>
      <c r="AV116" s="159" t="n">
        <v>106.8</v>
      </c>
      <c r="AW116" s="159" t="n">
        <v>100.434</v>
      </c>
      <c r="AX116" s="159" t="n">
        <v>100.5</v>
      </c>
      <c r="AY116" s="159" t="n">
        <v>4.062088208</v>
      </c>
      <c r="AZ116" s="159" t="n">
        <v>4.763847747</v>
      </c>
      <c r="BA116" s="159" t="n">
        <v>9.415319952999999</v>
      </c>
      <c r="BB116" s="159" t="n">
        <v>4.627264303</v>
      </c>
      <c r="BC116" s="159" t="n">
        <v>4.801559</v>
      </c>
    </row>
    <row r="117">
      <c r="A117" s="83" t="inlineStr">
        <is>
          <t>2015-03</t>
        </is>
      </c>
      <c r="B117" s="155" t="n">
        <v>2585.362258</v>
      </c>
      <c r="C117" s="155" t="n">
        <v>116.07</v>
      </c>
      <c r="D117" s="155" t="n">
        <v>435.94</v>
      </c>
      <c r="E117" s="155" t="n">
        <v>4218.62</v>
      </c>
      <c r="F117" s="152" t="n">
        <v>4.5</v>
      </c>
      <c r="G117" s="152" t="n">
        <v>0.11</v>
      </c>
      <c r="H117" s="152" t="n">
        <v>4.39</v>
      </c>
      <c r="I117" s="156" t="n">
        <v>-4438.343245</v>
      </c>
      <c r="J117" s="152" t="n">
        <v>2.741533371</v>
      </c>
      <c r="K117" s="152" t="n">
        <v>107.3647381</v>
      </c>
      <c r="L117" s="152" t="n">
        <v>14.81272727</v>
      </c>
      <c r="M117" s="157" t="n">
        <v>0</v>
      </c>
      <c r="N117" s="155" t="n">
        <v>46913.63</v>
      </c>
      <c r="O117" s="152" t="n">
        <v>221.8636364</v>
      </c>
      <c r="P117" s="152" t="n">
        <v>2.218636364</v>
      </c>
      <c r="Q117" s="156" t="n">
        <v>-267.57</v>
      </c>
      <c r="R117" s="156" t="n">
        <v>51.11</v>
      </c>
      <c r="S117" s="152" t="n">
        <v>5.967619048</v>
      </c>
      <c r="T117" s="152" t="n">
        <v>2.3315</v>
      </c>
      <c r="U117" s="152" t="n">
        <v>3.636119048</v>
      </c>
      <c r="V117" s="152" t="n">
        <v>1.69767273</v>
      </c>
      <c r="W117" s="152" t="n">
        <v>1.938446317</v>
      </c>
      <c r="X117" s="158" t="n">
        <v>3.139163635</v>
      </c>
      <c r="Y117" s="158" t="n">
        <v>628.7480773</v>
      </c>
      <c r="Z117" s="158" t="n">
        <v>15.24282955</v>
      </c>
      <c r="AA117" s="158" t="n">
        <v>3.092236364</v>
      </c>
      <c r="AB117" s="159" t="n">
        <v>1.252769852</v>
      </c>
      <c r="AC117" s="159" t="n">
        <v>1.025479316</v>
      </c>
      <c r="AD117" s="159" t="n">
        <v>98.82482776000001</v>
      </c>
      <c r="AE117" s="159" t="n">
        <v>84.45</v>
      </c>
      <c r="AF117" s="159" t="n">
        <v>0.280909</v>
      </c>
      <c r="AG117" s="159" t="n">
        <v>0.0418182</v>
      </c>
      <c r="AH117" s="159" t="n">
        <v>0.640455</v>
      </c>
      <c r="AI117" s="159" t="n">
        <v>2.04273</v>
      </c>
      <c r="AJ117" s="159" t="n">
        <v>1.40227</v>
      </c>
      <c r="AK117" s="159" t="n">
        <v>1.47727</v>
      </c>
      <c r="AL117" s="159" t="n">
        <v>1.76182</v>
      </c>
      <c r="AM117" s="159" t="n">
        <v>109.955</v>
      </c>
      <c r="AN117" s="159" t="n">
        <v>-0.17315</v>
      </c>
      <c r="AO117" s="159" t="n">
        <v>-0.54225</v>
      </c>
      <c r="AP117" s="159" t="n">
        <v>-0.58975</v>
      </c>
      <c r="AQ117" s="159" t="n">
        <v>5.53924</v>
      </c>
      <c r="AR117" s="159" t="n"/>
      <c r="AS117" s="159" t="n">
        <v>0.240455</v>
      </c>
      <c r="AT117" s="159" t="n">
        <v>5.4</v>
      </c>
      <c r="AU117" s="159" t="n">
        <v>103.3</v>
      </c>
      <c r="AV117" s="159" t="n">
        <v>105.6</v>
      </c>
      <c r="AW117" s="159" t="n">
        <v>100.326</v>
      </c>
      <c r="AX117" s="159" t="n">
        <v>99.90000000000001</v>
      </c>
      <c r="AY117" s="159" t="n">
        <v>4.023304955</v>
      </c>
      <c r="AZ117" s="159" t="n">
        <v>4.729968557</v>
      </c>
      <c r="BA117" s="159" t="n">
        <v>9.416215682000001</v>
      </c>
      <c r="BB117" s="159" t="n">
        <v>4.623903614</v>
      </c>
      <c r="BC117" s="159" t="n">
        <v>4.808927024</v>
      </c>
    </row>
    <row r="118">
      <c r="A118" s="83" t="inlineStr">
        <is>
          <t>2015-04</t>
        </is>
      </c>
      <c r="B118" s="155" t="n">
        <v>2505.248</v>
      </c>
      <c r="C118" s="155" t="n">
        <v>118.61</v>
      </c>
      <c r="D118" s="155" t="n">
        <v>352.86</v>
      </c>
      <c r="E118" s="155" t="n">
        <v>4254.45</v>
      </c>
      <c r="F118" s="152" t="n">
        <v>4.5</v>
      </c>
      <c r="G118" s="152" t="n">
        <v>0.12</v>
      </c>
      <c r="H118" s="152" t="n">
        <v>4.38</v>
      </c>
      <c r="I118" s="156" t="n">
        <v>2274.928871</v>
      </c>
      <c r="J118" s="152" t="n">
        <v>2.775702112</v>
      </c>
      <c r="K118" s="152" t="n">
        <v>106.3522818</v>
      </c>
      <c r="L118" s="152" t="n">
        <v>13.4947619</v>
      </c>
      <c r="M118" s="157" t="n">
        <v>0</v>
      </c>
      <c r="N118" s="155" t="n">
        <v>47172.99</v>
      </c>
      <c r="O118" s="152" t="n">
        <v>215.7272727</v>
      </c>
      <c r="P118" s="152" t="n">
        <v>2.157272727</v>
      </c>
      <c r="Q118" s="156" t="n">
        <v>-331.29</v>
      </c>
      <c r="R118" s="156" t="n">
        <v>593.9</v>
      </c>
      <c r="S118" s="152" t="n">
        <v>5.887</v>
      </c>
      <c r="T118" s="152" t="n">
        <v>2.486</v>
      </c>
      <c r="U118" s="152" t="n">
        <v>3.401</v>
      </c>
      <c r="V118" s="152" t="n">
        <v>1.796318195</v>
      </c>
      <c r="W118" s="152" t="n">
        <v>1.604681805</v>
      </c>
      <c r="X118" s="158" t="n">
        <v>3.047900005</v>
      </c>
      <c r="Y118" s="158" t="n">
        <v>614.0399227</v>
      </c>
      <c r="Z118" s="158" t="n">
        <v>15.22827</v>
      </c>
      <c r="AA118" s="158" t="n">
        <v>3.12064</v>
      </c>
      <c r="AB118" s="159" t="n">
        <v>-0.6781398962</v>
      </c>
      <c r="AC118" s="159" t="n">
        <v>-0.3222355442</v>
      </c>
      <c r="AD118" s="159" t="n">
        <v>99.86124018</v>
      </c>
      <c r="AE118" s="159" t="n">
        <v>84.90000000000001</v>
      </c>
      <c r="AF118" s="159" t="n">
        <v>0.0768182</v>
      </c>
      <c r="AG118" s="159" t="n">
        <v>-0.263182</v>
      </c>
      <c r="AH118" s="159" t="n">
        <v>0.54</v>
      </c>
      <c r="AI118" s="159" t="n">
        <v>1.935</v>
      </c>
      <c r="AJ118" s="159" t="n">
        <v>1.395</v>
      </c>
      <c r="AK118" s="159" t="n">
        <v>1.61773</v>
      </c>
      <c r="AL118" s="159" t="n">
        <v>1.85818</v>
      </c>
      <c r="AM118" s="159" t="n">
        <v>99.39360000000001</v>
      </c>
      <c r="AN118" s="159" t="n">
        <v>-0.31865</v>
      </c>
      <c r="AO118" s="159" t="n">
        <v>-0.5505</v>
      </c>
      <c r="AP118" s="159" t="n">
        <v>-0.59275</v>
      </c>
      <c r="AQ118" s="159" t="n">
        <v>5.53691</v>
      </c>
      <c r="AR118" s="159" t="n"/>
      <c r="AS118" s="159" t="n">
        <v>0.2545</v>
      </c>
      <c r="AT118" s="159" t="n">
        <v>5.4</v>
      </c>
      <c r="AU118" s="159" t="n">
        <v>103.3</v>
      </c>
      <c r="AV118" s="159" t="n">
        <v>105.9</v>
      </c>
      <c r="AW118" s="159" t="n">
        <v>100.22</v>
      </c>
      <c r="AX118" s="159" t="n">
        <v>99.7</v>
      </c>
      <c r="AY118" s="159" t="n">
        <v>4.086384633</v>
      </c>
      <c r="AZ118" s="159" t="n">
        <v>4.74122963</v>
      </c>
      <c r="BA118" s="159" t="n">
        <v>9.416622565999999</v>
      </c>
      <c r="BB118" s="159" t="n">
        <v>4.61843186</v>
      </c>
      <c r="BC118" s="159" t="n">
        <v>4.80073697</v>
      </c>
    </row>
    <row r="119">
      <c r="A119" s="83" t="inlineStr">
        <is>
          <t>2015-05</t>
        </is>
      </c>
      <c r="B119" s="155" t="n">
        <v>2437.535161</v>
      </c>
      <c r="C119" s="155" t="n">
        <v>123.53</v>
      </c>
      <c r="D119" s="155" t="n">
        <v>362.7</v>
      </c>
      <c r="E119" s="155" t="n">
        <v>4284.02</v>
      </c>
      <c r="F119" s="152" t="n">
        <v>4.5</v>
      </c>
      <c r="G119" s="152" t="n">
        <v>0.12</v>
      </c>
      <c r="H119" s="152" t="n">
        <v>4.38</v>
      </c>
      <c r="I119" s="156" t="n">
        <v>870.7905267</v>
      </c>
      <c r="J119" s="152" t="n">
        <v>2.567352415</v>
      </c>
      <c r="K119" s="152" t="n">
        <v>105.406515</v>
      </c>
      <c r="L119" s="152" t="n">
        <v>13.3385</v>
      </c>
      <c r="M119" s="157" t="n">
        <v>0</v>
      </c>
      <c r="N119" s="155" t="n">
        <v>47005.47</v>
      </c>
      <c r="O119" s="152" t="n">
        <v>208.952381</v>
      </c>
      <c r="P119" s="152" t="n">
        <v>2.08952381</v>
      </c>
      <c r="Q119" s="156" t="n">
        <v>-201.58</v>
      </c>
      <c r="R119" s="156" t="n">
        <v>-105.45</v>
      </c>
      <c r="S119" s="152" t="n">
        <v>5.988947368</v>
      </c>
      <c r="T119" s="152" t="n">
        <v>2.735789474</v>
      </c>
      <c r="U119" s="152" t="n">
        <v>3.253157895</v>
      </c>
      <c r="V119" s="152" t="n">
        <v>1.747645003</v>
      </c>
      <c r="W119" s="152" t="n">
        <v>1.505512892</v>
      </c>
      <c r="X119" s="158" t="n">
        <v>3.058133352</v>
      </c>
      <c r="Y119" s="158" t="n">
        <v>607.8615619</v>
      </c>
      <c r="Z119" s="158" t="n">
        <v>15.2665</v>
      </c>
      <c r="AA119" s="158" t="n">
        <v>3.151345</v>
      </c>
      <c r="AB119" s="159" t="n">
        <v>-0.1687206708</v>
      </c>
      <c r="AC119" s="159" t="n">
        <v>0.07285616794999999</v>
      </c>
      <c r="AD119" s="159" t="n">
        <v>99.71697868</v>
      </c>
      <c r="AE119" s="159" t="n">
        <v>85.12</v>
      </c>
      <c r="AF119" s="159" t="n">
        <v>0.332</v>
      </c>
      <c r="AG119" s="159" t="n">
        <v>-0.101</v>
      </c>
      <c r="AH119" s="159" t="n">
        <v>0.609</v>
      </c>
      <c r="AI119" s="159" t="n">
        <v>2.1975</v>
      </c>
      <c r="AJ119" s="159" t="n">
        <v>1.5885</v>
      </c>
      <c r="AK119" s="159" t="n">
        <v>1.6395</v>
      </c>
      <c r="AL119" s="159" t="n">
        <v>1.8655</v>
      </c>
      <c r="AM119" s="159" t="n">
        <v>102.952</v>
      </c>
      <c r="AN119" s="159" t="n">
        <v>-0.29026</v>
      </c>
      <c r="AO119" s="159" t="n">
        <v>-0.554</v>
      </c>
      <c r="AP119" s="159" t="n">
        <v>-0.581</v>
      </c>
      <c r="AQ119" s="159" t="n">
        <v>5.67854</v>
      </c>
      <c r="AR119" s="159" t="n"/>
      <c r="AS119" s="159" t="n">
        <v>0.263684</v>
      </c>
      <c r="AT119" s="159" t="n">
        <v>5.6</v>
      </c>
      <c r="AU119" s="159" t="n">
        <v>103</v>
      </c>
      <c r="AV119" s="159" t="n">
        <v>106.1</v>
      </c>
      <c r="AW119" s="159" t="n">
        <v>100.118</v>
      </c>
      <c r="AX119" s="159" t="n">
        <v>99.5</v>
      </c>
      <c r="AY119" s="159" t="n">
        <v>4.160054272</v>
      </c>
      <c r="AZ119" s="159" t="n">
        <v>4.771743386</v>
      </c>
      <c r="BA119" s="159" t="n">
        <v>9.417842227</v>
      </c>
      <c r="BB119" s="159" t="n">
        <v>4.614010991</v>
      </c>
      <c r="BC119" s="159" t="n">
        <v>4.801559</v>
      </c>
    </row>
    <row r="120">
      <c r="A120" s="83" t="inlineStr">
        <is>
          <t>2015-06</t>
        </is>
      </c>
      <c r="B120" s="155" t="n">
        <v>2562.477667</v>
      </c>
      <c r="C120" s="155" t="n">
        <v>122.42</v>
      </c>
      <c r="D120" s="155" t="n">
        <v>396.98</v>
      </c>
      <c r="E120" s="155" t="n">
        <v>4382.61</v>
      </c>
      <c r="F120" s="152" t="n">
        <v>4.5</v>
      </c>
      <c r="G120" s="152" t="n">
        <v>0.13</v>
      </c>
      <c r="H120" s="152" t="n">
        <v>4.37</v>
      </c>
      <c r="I120" s="156" t="n">
        <v>-1953.188952</v>
      </c>
      <c r="J120" s="152" t="n">
        <v>2.664923762</v>
      </c>
      <c r="K120" s="152" t="n">
        <v>106.1789864</v>
      </c>
      <c r="L120" s="152" t="n">
        <v>14.33954545</v>
      </c>
      <c r="M120" s="157" t="n">
        <v>0</v>
      </c>
      <c r="N120" s="155" t="n">
        <v>46975.77</v>
      </c>
      <c r="O120" s="152" t="n">
        <v>224.8636364</v>
      </c>
      <c r="P120" s="152" t="n">
        <v>2.248636364</v>
      </c>
      <c r="Q120" s="156" t="n">
        <v>-164.19</v>
      </c>
      <c r="R120" s="156" t="n">
        <v>168.05</v>
      </c>
      <c r="S120" s="152" t="n">
        <v>6.195789474</v>
      </c>
      <c r="T120" s="152" t="n">
        <v>3.014210526</v>
      </c>
      <c r="U120" s="152" t="n">
        <v>3.181578947</v>
      </c>
      <c r="V120" s="152" t="n">
        <v>1.732659085</v>
      </c>
      <c r="W120" s="152" t="n">
        <v>1.448919862</v>
      </c>
      <c r="X120" s="158" t="n">
        <v>3.111727281</v>
      </c>
      <c r="Y120" s="158" t="n">
        <v>631.7326318</v>
      </c>
      <c r="Z120" s="158" t="n">
        <v>15.50471591</v>
      </c>
      <c r="AA120" s="158" t="n">
        <v>3.161780952</v>
      </c>
      <c r="AB120" s="159" t="n">
        <v>0.7211464185000001</v>
      </c>
      <c r="AC120" s="159" t="n">
        <v>0.6098200608</v>
      </c>
      <c r="AD120" s="159" t="n">
        <v>99.57712323</v>
      </c>
      <c r="AE120" s="159" t="n">
        <v>85.20999999999999</v>
      </c>
      <c r="AF120" s="159" t="n">
        <v>0.497727</v>
      </c>
      <c r="AG120" s="159" t="n">
        <v>0.0509091</v>
      </c>
      <c r="AH120" s="159" t="n">
        <v>0.688636</v>
      </c>
      <c r="AI120" s="159" t="n">
        <v>2.36364</v>
      </c>
      <c r="AJ120" s="159" t="n">
        <v>1.675</v>
      </c>
      <c r="AK120" s="159" t="n">
        <v>1.63273</v>
      </c>
      <c r="AL120" s="159" t="n">
        <v>1.86591</v>
      </c>
      <c r="AM120" s="159" t="n">
        <v>117.945</v>
      </c>
      <c r="AN120" s="159" t="n">
        <v>-0.21405</v>
      </c>
      <c r="AO120" s="159" t="n">
        <v>-0.5505</v>
      </c>
      <c r="AP120" s="159" t="n">
        <v>-0.58125</v>
      </c>
      <c r="AQ120" s="159" t="n">
        <v>5.34593</v>
      </c>
      <c r="AR120" s="159" t="n"/>
      <c r="AS120" s="159" t="n">
        <v>0.267727</v>
      </c>
      <c r="AT120" s="159" t="n">
        <v>5.3</v>
      </c>
      <c r="AU120" s="159" t="n">
        <v>102.9</v>
      </c>
      <c r="AV120" s="159" t="n">
        <v>106.8</v>
      </c>
      <c r="AW120" s="159" t="n">
        <v>100.02</v>
      </c>
      <c r="AX120" s="159" t="n">
        <v>99.5</v>
      </c>
      <c r="AY120" s="159" t="n">
        <v>4.118674507</v>
      </c>
      <c r="AZ120" s="159" t="n">
        <v>4.751009277</v>
      </c>
      <c r="BA120" s="159" t="n">
        <v>9.417923484999999</v>
      </c>
      <c r="BB120" s="159" t="n">
        <v>4.610863946</v>
      </c>
      <c r="BC120" s="159" t="n">
        <v>4.799090879</v>
      </c>
    </row>
    <row r="121">
      <c r="A121" s="83" t="inlineStr">
        <is>
          <t>2015-07</t>
        </is>
      </c>
      <c r="B121" s="155" t="n">
        <v>2732.035806</v>
      </c>
      <c r="C121" s="155" t="n">
        <v>115.13</v>
      </c>
      <c r="D121" s="155" t="n">
        <v>458.71</v>
      </c>
      <c r="E121" s="155" t="n">
        <v>4495.11</v>
      </c>
      <c r="F121" s="152" t="n">
        <v>4.5</v>
      </c>
      <c r="G121" s="152" t="n">
        <v>0.13</v>
      </c>
      <c r="H121" s="152" t="n">
        <v>4.37</v>
      </c>
      <c r="I121" s="156" t="n">
        <v>-3128.173274</v>
      </c>
      <c r="J121" s="152" t="n">
        <v>2.717291316</v>
      </c>
      <c r="K121" s="152" t="n">
        <v>108.1235682</v>
      </c>
      <c r="L121" s="152" t="n">
        <v>14.35272727</v>
      </c>
      <c r="M121" s="157" t="n">
        <v>0</v>
      </c>
      <c r="N121" s="155" t="n">
        <v>46845.8</v>
      </c>
      <c r="O121" s="152" t="n">
        <v>242</v>
      </c>
      <c r="P121" s="152" t="n">
        <v>2.42</v>
      </c>
      <c r="Q121" s="156" t="n">
        <v>-220.53</v>
      </c>
      <c r="R121" s="156" t="n">
        <v>-57.83</v>
      </c>
      <c r="S121" s="152" t="n">
        <v>6.352272727</v>
      </c>
      <c r="T121" s="152" t="n">
        <v>3.276818182</v>
      </c>
      <c r="U121" s="152" t="n">
        <v>3.075454545</v>
      </c>
      <c r="V121" s="152" t="n">
        <v>1.605290911</v>
      </c>
      <c r="W121" s="152" t="n">
        <v>1.470163634</v>
      </c>
      <c r="X121" s="158" t="n">
        <v>3.222817379</v>
      </c>
      <c r="Y121" s="158" t="n">
        <v>651.4216304</v>
      </c>
      <c r="Z121" s="158" t="n">
        <v>15.94103087</v>
      </c>
      <c r="AA121" s="158" t="n">
        <v>3.181965</v>
      </c>
      <c r="AB121" s="159" t="n">
        <v>0.9312664655</v>
      </c>
      <c r="AC121" s="159" t="n">
        <v>0.8289032046</v>
      </c>
      <c r="AD121" s="159" t="n">
        <v>101.3119493</v>
      </c>
      <c r="AE121" s="159" t="n">
        <v>85.37</v>
      </c>
      <c r="AF121" s="159" t="n">
        <v>0.503636</v>
      </c>
      <c r="AG121" s="159" t="n">
        <v>0.136818</v>
      </c>
      <c r="AH121" s="159" t="n">
        <v>0.667727</v>
      </c>
      <c r="AI121" s="159" t="n">
        <v>2.32455</v>
      </c>
      <c r="AJ121" s="159" t="n">
        <v>1.65682</v>
      </c>
      <c r="AK121" s="159" t="n">
        <v>1.49545</v>
      </c>
      <c r="AL121" s="159" t="n">
        <v>1.82091</v>
      </c>
      <c r="AM121" s="159" t="n">
        <v>121.838</v>
      </c>
      <c r="AN121" s="159" t="n">
        <v>-0.10316</v>
      </c>
      <c r="AO121" s="159" t="n">
        <v>-0.5274</v>
      </c>
      <c r="AP121" s="159" t="n">
        <v>-0.544</v>
      </c>
      <c r="AQ121" s="159" t="n">
        <v>5.32742</v>
      </c>
      <c r="AR121" s="159" t="n"/>
      <c r="AS121" s="159" t="n">
        <v>0.258636</v>
      </c>
      <c r="AT121" s="159" t="n">
        <v>5.2</v>
      </c>
      <c r="AU121" s="159" t="n">
        <v>102.7</v>
      </c>
      <c r="AV121" s="159" t="n">
        <v>106</v>
      </c>
      <c r="AW121" s="159" t="n">
        <v>99.9247</v>
      </c>
      <c r="AX121" s="159" t="n">
        <v>99.90000000000001</v>
      </c>
      <c r="AY121" s="159" t="n">
        <v>4.035325006</v>
      </c>
      <c r="AZ121" s="159" t="n">
        <v>4.694444002</v>
      </c>
      <c r="BA121" s="159" t="n">
        <v>9.419222714</v>
      </c>
      <c r="BB121" s="159" t="n">
        <v>4.617326004</v>
      </c>
      <c r="BC121" s="159" t="n">
        <v>4.80729437</v>
      </c>
    </row>
    <row r="122">
      <c r="A122" s="83" t="inlineStr">
        <is>
          <t>2015-08</t>
        </is>
      </c>
      <c r="B122" s="155" t="n">
        <v>3012.587419</v>
      </c>
      <c r="C122" s="155" t="n">
        <v>105.94</v>
      </c>
      <c r="D122" s="155" t="n">
        <v>502.15</v>
      </c>
      <c r="E122" s="155" t="n">
        <v>4682</v>
      </c>
      <c r="F122" s="152" t="n">
        <v>4.5</v>
      </c>
      <c r="G122" s="152" t="n">
        <v>0.14</v>
      </c>
      <c r="H122" s="152" t="n">
        <v>4.36</v>
      </c>
      <c r="I122" s="156" t="n">
        <v>-4192.1143</v>
      </c>
      <c r="J122" s="152" t="n">
        <v>2.536322549</v>
      </c>
      <c r="K122" s="152" t="n">
        <v>109.9767476</v>
      </c>
      <c r="L122" s="152" t="n">
        <v>19.42809524</v>
      </c>
      <c r="M122" s="157" t="n">
        <v>0</v>
      </c>
      <c r="N122" s="155" t="n">
        <v>46703.28</v>
      </c>
      <c r="O122" s="152" t="n">
        <v>275.7142857</v>
      </c>
      <c r="P122" s="152" t="n">
        <v>2.757142857</v>
      </c>
      <c r="Q122" s="156" t="n">
        <v>-171.35</v>
      </c>
      <c r="R122" s="156" t="n">
        <v>-171.04</v>
      </c>
      <c r="S122" s="152" t="n">
        <v>6.677894737</v>
      </c>
      <c r="T122" s="152" t="n">
        <v>3.013684211</v>
      </c>
      <c r="U122" s="152" t="n">
        <v>3.664210526</v>
      </c>
      <c r="V122" s="152" t="n">
        <v>1.330823813</v>
      </c>
      <c r="W122" s="152" t="n">
        <v>2.333386713</v>
      </c>
      <c r="X122" s="158" t="n">
        <v>3.51399525</v>
      </c>
      <c r="Y122" s="158" t="n">
        <v>688.8470238</v>
      </c>
      <c r="Z122" s="158" t="n">
        <v>16.54392381</v>
      </c>
      <c r="AA122" s="158" t="n">
        <v>3.239442857</v>
      </c>
      <c r="AB122" s="159" t="n">
        <v>1.825155624</v>
      </c>
      <c r="AC122" s="159" t="n">
        <v>1.731405228</v>
      </c>
      <c r="AD122" s="159" t="n">
        <v>99.92496451</v>
      </c>
      <c r="AE122" s="159" t="n">
        <v>85.78</v>
      </c>
      <c r="AF122" s="159" t="n">
        <v>0.555714</v>
      </c>
      <c r="AG122" s="159" t="n">
        <v>0.311905</v>
      </c>
      <c r="AH122" s="159" t="n">
        <v>0.697619</v>
      </c>
      <c r="AI122" s="159" t="n">
        <v>2.16714</v>
      </c>
      <c r="AJ122" s="159" t="n">
        <v>1.46952</v>
      </c>
      <c r="AK122" s="159" t="n">
        <v>1.22952</v>
      </c>
      <c r="AL122" s="159" t="n">
        <v>1.61143</v>
      </c>
      <c r="AM122" s="159" t="n">
        <v>118.495</v>
      </c>
      <c r="AN122" s="159" t="n">
        <v>0.174025</v>
      </c>
      <c r="AO122" s="159" t="n">
        <v>-0.455</v>
      </c>
      <c r="AP122" s="159" t="n">
        <v>-0.4755</v>
      </c>
      <c r="AQ122" s="159" t="n">
        <v>5.13243</v>
      </c>
      <c r="AR122" s="159" t="n"/>
      <c r="AS122" s="159" t="n">
        <v>0.248</v>
      </c>
      <c r="AT122" s="159" t="n">
        <v>5.1</v>
      </c>
      <c r="AU122" s="159" t="n">
        <v>102.6</v>
      </c>
      <c r="AV122" s="159" t="n">
        <v>106.1</v>
      </c>
      <c r="AW122" s="159" t="n">
        <v>99.8336</v>
      </c>
      <c r="AX122" s="159" t="n">
        <v>100.4</v>
      </c>
      <c r="AY122" s="159" t="n">
        <v>3.839774841</v>
      </c>
      <c r="AZ122" s="159" t="n">
        <v>4.628232202</v>
      </c>
      <c r="BA122" s="159" t="n">
        <v>9.418816886</v>
      </c>
      <c r="BB122" s="159" t="n">
        <v>4.615486786</v>
      </c>
      <c r="BC122" s="159" t="n">
        <v>4.811371017</v>
      </c>
    </row>
    <row r="123">
      <c r="A123" s="83" t="inlineStr">
        <is>
          <t>2015-09</t>
        </is>
      </c>
      <c r="B123" s="155" t="n">
        <v>3066.408</v>
      </c>
      <c r="C123" s="155" t="n">
        <v>106.31</v>
      </c>
      <c r="D123" s="155" t="n">
        <v>451.97</v>
      </c>
      <c r="E123" s="155" t="n">
        <v>4790.69</v>
      </c>
      <c r="F123" s="152" t="n">
        <v>4.525</v>
      </c>
      <c r="G123" s="152" t="n">
        <v>0.14</v>
      </c>
      <c r="H123" s="152" t="n">
        <v>4.385</v>
      </c>
      <c r="I123" s="156" t="n">
        <v>1423.223087</v>
      </c>
      <c r="J123" s="152" t="n">
        <v>2.766922547</v>
      </c>
      <c r="K123" s="152" t="n">
        <v>110.8512571</v>
      </c>
      <c r="L123" s="152" t="n">
        <v>24.37714286</v>
      </c>
      <c r="M123" s="157" t="n">
        <v>0</v>
      </c>
      <c r="N123" s="155" t="n">
        <v>46726.37</v>
      </c>
      <c r="O123" s="152" t="n">
        <v>290.7272727</v>
      </c>
      <c r="P123" s="152" t="n">
        <v>2.907272727</v>
      </c>
      <c r="Q123" s="156" t="n">
        <v>-251.93</v>
      </c>
      <c r="R123" s="156" t="n">
        <v>-50.87</v>
      </c>
      <c r="S123" s="152" t="n">
        <v>7.214090909</v>
      </c>
      <c r="T123" s="152" t="n">
        <v>2.993636364</v>
      </c>
      <c r="U123" s="152" t="n">
        <v>4.220454545</v>
      </c>
      <c r="V123" s="152" t="n">
        <v>1.220623805</v>
      </c>
      <c r="W123" s="152" t="n">
        <v>2.99983074</v>
      </c>
      <c r="X123" s="158" t="n">
        <v>3.901209105</v>
      </c>
      <c r="Y123" s="158" t="n">
        <v>691.3589818</v>
      </c>
      <c r="Z123" s="158" t="n">
        <v>16.85139091</v>
      </c>
      <c r="AA123" s="158" t="n">
        <v>3.218645455</v>
      </c>
      <c r="AB123" s="159" t="n">
        <v>1.113319359</v>
      </c>
      <c r="AC123" s="159" t="n">
        <v>0.7079092357</v>
      </c>
      <c r="AD123" s="159" t="n">
        <v>101.0032057</v>
      </c>
      <c r="AE123" s="159" t="n">
        <v>86.39</v>
      </c>
      <c r="AF123" s="159" t="n">
        <v>0.65</v>
      </c>
      <c r="AG123" s="159" t="n">
        <v>0.334762</v>
      </c>
      <c r="AH123" s="159" t="n">
        <v>0.713333</v>
      </c>
      <c r="AI123" s="159" t="n">
        <v>2.17286</v>
      </c>
      <c r="AJ123" s="159" t="n">
        <v>1.45952</v>
      </c>
      <c r="AK123" s="159" t="n">
        <v>1.15524</v>
      </c>
      <c r="AL123" s="159" t="n">
        <v>1.52286</v>
      </c>
      <c r="AM123" s="159" t="n">
        <v>151.93</v>
      </c>
      <c r="AN123" s="159" t="n">
        <v>0.28145</v>
      </c>
      <c r="AO123" s="159" t="n">
        <v>-0.408</v>
      </c>
      <c r="AP123" s="159" t="n">
        <v>-0.42275</v>
      </c>
      <c r="AQ123" s="159" t="n">
        <v>5.09898</v>
      </c>
      <c r="AR123" s="159" t="n"/>
      <c r="AS123" s="159" t="n">
        <v>0.31</v>
      </c>
      <c r="AT123" s="159" t="n">
        <v>5</v>
      </c>
      <c r="AU123" s="159" t="n">
        <v>102.4</v>
      </c>
      <c r="AV123" s="159" t="n">
        <v>105.7</v>
      </c>
      <c r="AW123" s="159" t="n">
        <v>99.74769999999999</v>
      </c>
      <c r="AX123" s="159" t="n">
        <v>100.5</v>
      </c>
      <c r="AY123" s="159" t="n">
        <v>3.863320037</v>
      </c>
      <c r="AZ123" s="159" t="n">
        <v>4.623825096</v>
      </c>
      <c r="BA123" s="159" t="n">
        <v>9.419466132</v>
      </c>
      <c r="BB123" s="159" t="n">
        <v>4.612691827</v>
      </c>
      <c r="BC123" s="159" t="n">
        <v>4.812997033</v>
      </c>
    </row>
    <row r="124">
      <c r="A124" s="83" t="inlineStr">
        <is>
          <t>2015-10</t>
        </is>
      </c>
      <c r="B124" s="155" t="n">
        <v>2929.472258</v>
      </c>
      <c r="C124" s="155" t="n">
        <v>105.08</v>
      </c>
      <c r="D124" s="155" t="n">
        <v>388.73</v>
      </c>
      <c r="E124" s="155" t="n">
        <v>4830.17</v>
      </c>
      <c r="F124" s="152" t="n">
        <v>4.75</v>
      </c>
      <c r="G124" s="152" t="n">
        <v>0.12</v>
      </c>
      <c r="H124" s="152" t="n">
        <v>4.63</v>
      </c>
      <c r="I124" s="156" t="n">
        <v>-3817.656829</v>
      </c>
      <c r="J124" s="152" t="n">
        <v>2.80153607</v>
      </c>
      <c r="K124" s="152" t="n">
        <v>109.9035714</v>
      </c>
      <c r="L124" s="152" t="n">
        <v>16.78954545</v>
      </c>
      <c r="M124" s="157" t="n">
        <v>0</v>
      </c>
      <c r="N124" s="155" t="n">
        <v>46826.33</v>
      </c>
      <c r="O124" s="152" t="n">
        <v>282.4545455</v>
      </c>
      <c r="P124" s="152" t="n">
        <v>2.824545455</v>
      </c>
      <c r="Q124" s="156" t="n">
        <v>-330.84</v>
      </c>
      <c r="R124" s="156" t="n">
        <v>414.98</v>
      </c>
      <c r="S124" s="152" t="n">
        <v>7.306666667</v>
      </c>
      <c r="T124" s="152" t="n">
        <v>2.899047619</v>
      </c>
      <c r="U124" s="152" t="n">
        <v>4.407619048</v>
      </c>
      <c r="V124" s="152" t="n">
        <v>1.224066672</v>
      </c>
      <c r="W124" s="152" t="n">
        <v>3.183552376</v>
      </c>
      <c r="X124" s="158" t="n">
        <v>3.873372707</v>
      </c>
      <c r="Y124" s="158" t="n">
        <v>684.1142136</v>
      </c>
      <c r="Z124" s="158" t="n">
        <v>16.57883273</v>
      </c>
      <c r="AA124" s="158" t="n">
        <v>3.24952</v>
      </c>
      <c r="AB124" s="159" t="n">
        <v>-0.49477594</v>
      </c>
      <c r="AC124" s="159" t="n">
        <v>-0.1766039319</v>
      </c>
      <c r="AD124" s="159" t="n">
        <v>101.0568748</v>
      </c>
      <c r="AE124" s="159" t="n">
        <v>86.98</v>
      </c>
      <c r="AF124" s="159" t="n">
        <v>0.571429</v>
      </c>
      <c r="AG124" s="159" t="n">
        <v>0.211429</v>
      </c>
      <c r="AH124" s="159" t="n">
        <v>0.6447619999999999</v>
      </c>
      <c r="AI124" s="159" t="n">
        <v>2.07</v>
      </c>
      <c r="AJ124" s="159" t="n">
        <v>1.42524</v>
      </c>
      <c r="AK124" s="159" t="n">
        <v>1.17429</v>
      </c>
      <c r="AL124" s="159" t="n">
        <v>1.49857</v>
      </c>
      <c r="AM124" s="159" t="n">
        <v>114.384</v>
      </c>
      <c r="AN124" s="159" t="n">
        <v>0.19942</v>
      </c>
      <c r="AO124" s="159" t="n">
        <v>-0.4484</v>
      </c>
      <c r="AP124" s="159" t="n">
        <v>-0.4678</v>
      </c>
      <c r="AQ124" s="159" t="n">
        <v>5.18287</v>
      </c>
      <c r="AR124" s="159" t="n"/>
      <c r="AS124" s="159" t="n">
        <v>0.30619</v>
      </c>
      <c r="AT124" s="159" t="n">
        <v>5</v>
      </c>
      <c r="AU124" s="159" t="n">
        <v>102.3</v>
      </c>
      <c r="AV124" s="159" t="n">
        <v>105.6</v>
      </c>
      <c r="AW124" s="159" t="n">
        <v>99.66670000000001</v>
      </c>
      <c r="AX124" s="159" t="n">
        <v>100.1</v>
      </c>
      <c r="AY124" s="159" t="n">
        <v>3.880119456</v>
      </c>
      <c r="AZ124" s="159" t="n">
        <v>4.625315892</v>
      </c>
      <c r="BA124" s="159" t="n">
        <v>9.420114956000001</v>
      </c>
      <c r="BB124" s="159" t="n">
        <v>4.607836628</v>
      </c>
      <c r="BC124" s="159" t="n">
        <v>4.808927024</v>
      </c>
    </row>
    <row r="125">
      <c r="A125" s="83" t="inlineStr">
        <is>
          <t>2015-11</t>
        </is>
      </c>
      <c r="B125" s="155" t="n">
        <v>3001.376333</v>
      </c>
      <c r="C125" s="155" t="n">
        <v>102.93</v>
      </c>
      <c r="D125" s="155" t="n">
        <v>399</v>
      </c>
      <c r="E125" s="155" t="n">
        <v>4904.97</v>
      </c>
      <c r="F125" s="152" t="n">
        <v>5.225</v>
      </c>
      <c r="G125" s="152" t="n">
        <v>0.12</v>
      </c>
      <c r="H125" s="152" t="n">
        <v>5.105</v>
      </c>
      <c r="I125" s="156" t="n">
        <v>-2772.118317</v>
      </c>
      <c r="J125" s="152" t="n">
        <v>2.981295634</v>
      </c>
      <c r="K125" s="152" t="n">
        <v>111.6916105</v>
      </c>
      <c r="L125" s="152" t="n">
        <v>16.21</v>
      </c>
      <c r="M125" s="157" t="n">
        <v>0</v>
      </c>
      <c r="N125" s="155" t="n">
        <v>46757.77</v>
      </c>
      <c r="O125" s="152" t="n">
        <v>280.3809524</v>
      </c>
      <c r="P125" s="152" t="n">
        <v>2.803809524</v>
      </c>
      <c r="Q125" s="156" t="n">
        <v>-146.75</v>
      </c>
      <c r="R125" s="156" t="n">
        <v>-154.99</v>
      </c>
      <c r="S125" s="152" t="n">
        <v>7.561578947</v>
      </c>
      <c r="T125" s="152" t="n">
        <v>2.987368421</v>
      </c>
      <c r="U125" s="152" t="n">
        <v>4.574210526</v>
      </c>
      <c r="V125" s="152" t="n">
        <v>1.32780001</v>
      </c>
      <c r="W125" s="152" t="n">
        <v>3.246410516</v>
      </c>
      <c r="X125" s="158" t="n">
        <v>3.780033339</v>
      </c>
      <c r="Y125" s="158" t="n">
        <v>704.8474905</v>
      </c>
      <c r="Z125" s="158" t="n">
        <v>16.63820762</v>
      </c>
      <c r="AA125" s="158" t="n">
        <v>3.3382</v>
      </c>
      <c r="AB125" s="159" t="n">
        <v>0.09072250098</v>
      </c>
      <c r="AC125" s="159" t="n">
        <v>0.6120419068</v>
      </c>
      <c r="AD125" s="159" t="n">
        <v>99.960804</v>
      </c>
      <c r="AE125" s="159" t="n">
        <v>87.51000000000001</v>
      </c>
      <c r="AF125" s="159" t="n">
        <v>0.692632</v>
      </c>
      <c r="AG125" s="159" t="n">
        <v>0.404737</v>
      </c>
      <c r="AH125" s="159" t="n">
        <v>0.884737</v>
      </c>
      <c r="AI125" s="159" t="n">
        <v>2.26316</v>
      </c>
      <c r="AJ125" s="159" t="n">
        <v>1.37842</v>
      </c>
      <c r="AK125" s="159" t="n">
        <v>1.26632</v>
      </c>
      <c r="AL125" s="159" t="n">
        <v>1.57053</v>
      </c>
      <c r="AM125" s="159" t="n">
        <v>103.41</v>
      </c>
      <c r="AN125" s="159" t="n">
        <v>0.058125</v>
      </c>
      <c r="AO125" s="159" t="n">
        <v>-0.46325</v>
      </c>
      <c r="AP125" s="159" t="n">
        <v>-0.48325</v>
      </c>
      <c r="AQ125" s="159" t="n">
        <v>5.18978</v>
      </c>
      <c r="AR125" s="159" t="n"/>
      <c r="AS125" s="159" t="n">
        <v>0.244211</v>
      </c>
      <c r="AT125" s="159" t="n">
        <v>5.1</v>
      </c>
      <c r="AU125" s="159" t="n">
        <v>102</v>
      </c>
      <c r="AV125" s="159" t="n">
        <v>106.2</v>
      </c>
      <c r="AW125" s="159" t="n">
        <v>99.59059999999999</v>
      </c>
      <c r="AX125" s="159" t="n">
        <v>100.1</v>
      </c>
      <c r="AY125" s="159" t="n">
        <v>3.790253032</v>
      </c>
      <c r="AZ125" s="159" t="n">
        <v>4.564790802</v>
      </c>
      <c r="BA125" s="159" t="n">
        <v>9.419709490000001</v>
      </c>
      <c r="BB125" s="159" t="n">
        <v>4.600457097</v>
      </c>
      <c r="BC125" s="159" t="n">
        <v>4.793308128</v>
      </c>
    </row>
    <row r="126">
      <c r="A126" s="83" t="inlineStr">
        <is>
          <t>2015-12</t>
        </is>
      </c>
      <c r="B126" s="155" t="n">
        <v>3244.201613</v>
      </c>
      <c r="C126" s="155" t="n">
        <v>95.81999999999999</v>
      </c>
      <c r="D126" s="155" t="n">
        <v>497.4</v>
      </c>
      <c r="E126" s="155" t="n">
        <v>4957.4</v>
      </c>
      <c r="F126" s="152" t="n">
        <v>5.588709677</v>
      </c>
      <c r="G126" s="152" t="n">
        <v>0.24</v>
      </c>
      <c r="H126" s="152" t="n">
        <v>5.348709677</v>
      </c>
      <c r="I126" s="156" t="n">
        <v>-9795.834233</v>
      </c>
      <c r="J126" s="152" t="n">
        <v>3.015885516</v>
      </c>
      <c r="K126" s="152" t="n">
        <v>112.7857409</v>
      </c>
      <c r="L126" s="152" t="n">
        <v>18.02545455</v>
      </c>
      <c r="M126" s="157" t="n">
        <v>0</v>
      </c>
      <c r="N126" s="155" t="n">
        <v>46731.11</v>
      </c>
      <c r="O126" s="152" t="n">
        <v>313.7391304</v>
      </c>
      <c r="P126" s="152" t="n">
        <v>3.137391304</v>
      </c>
      <c r="Q126" s="156" t="n">
        <v>-252.16</v>
      </c>
      <c r="R126" s="156" t="n">
        <v>-31.5</v>
      </c>
      <c r="S126" s="152" t="n">
        <v>7.8875</v>
      </c>
      <c r="T126" s="152" t="n">
        <v>3.359411765</v>
      </c>
      <c r="U126" s="152" t="n">
        <v>4.528088235</v>
      </c>
      <c r="V126" s="152" t="n">
        <v>1.293045472</v>
      </c>
      <c r="W126" s="152" t="n">
        <v>3.235042763</v>
      </c>
      <c r="X126" s="158" t="n">
        <v>3.874326074</v>
      </c>
      <c r="Y126" s="158" t="n">
        <v>704.4074783</v>
      </c>
      <c r="Z126" s="158" t="n">
        <v>17.08013565</v>
      </c>
      <c r="AA126" s="158" t="n">
        <v>3.38377619</v>
      </c>
      <c r="AB126" s="159" t="n">
        <v>0.4270484975</v>
      </c>
      <c r="AC126" s="159" t="n">
        <v>0.5954961751</v>
      </c>
      <c r="AD126" s="159" t="n">
        <v>100.6130405</v>
      </c>
      <c r="AE126" s="159" t="n">
        <v>88.05</v>
      </c>
      <c r="AF126" s="159" t="n">
        <v>0.727727</v>
      </c>
      <c r="AG126" s="159" t="n">
        <v>0.46</v>
      </c>
      <c r="AH126" s="159" t="n">
        <v>0.982727</v>
      </c>
      <c r="AI126" s="159" t="n">
        <v>2.24273</v>
      </c>
      <c r="AJ126" s="159" t="n">
        <v>1.26</v>
      </c>
      <c r="AK126" s="159" t="n">
        <v>1.23864</v>
      </c>
      <c r="AL126" s="159" t="n">
        <v>1.515</v>
      </c>
      <c r="AM126" s="159" t="n">
        <v>110.719</v>
      </c>
      <c r="AN126" s="159" t="n">
        <v>0.385575</v>
      </c>
      <c r="AO126" s="159" t="n">
        <v>-0.3945</v>
      </c>
      <c r="AP126" s="159" t="n">
        <v>-0.37925</v>
      </c>
      <c r="AQ126" s="159" t="n">
        <v>5.12357</v>
      </c>
      <c r="AR126" s="159" t="n"/>
      <c r="AS126" s="159" t="n">
        <v>0.305238</v>
      </c>
      <c r="AT126" s="159" t="n">
        <v>5</v>
      </c>
      <c r="AU126" s="159" t="n">
        <v>101.9</v>
      </c>
      <c r="AV126" s="159" t="n">
        <v>105.9</v>
      </c>
      <c r="AW126" s="159" t="n">
        <v>99.5185</v>
      </c>
      <c r="AX126" s="159" t="n">
        <v>100.6</v>
      </c>
      <c r="AY126" s="159" t="n">
        <v>3.637730886</v>
      </c>
      <c r="AZ126" s="159" t="n">
        <v>4.505748666</v>
      </c>
      <c r="BA126" s="159" t="n">
        <v>9.420033876</v>
      </c>
      <c r="BB126" s="159" t="n">
        <v>4.595540974</v>
      </c>
      <c r="BC126" s="159" t="n">
        <v>4.789988623</v>
      </c>
    </row>
    <row r="127">
      <c r="A127" s="83" t="inlineStr">
        <is>
          <t>2016-01</t>
        </is>
      </c>
      <c r="B127" s="155" t="n">
        <v>3270.195161</v>
      </c>
      <c r="C127" s="155" t="n">
        <v>86.25</v>
      </c>
      <c r="D127" s="155" t="n">
        <v>409.29</v>
      </c>
      <c r="E127" s="155" t="n">
        <v>5017.69</v>
      </c>
      <c r="F127" s="152" t="n">
        <v>5.75</v>
      </c>
      <c r="G127" s="152" t="n">
        <v>0.34</v>
      </c>
      <c r="H127" s="152" t="n">
        <v>5.41</v>
      </c>
      <c r="I127" s="156" t="n">
        <v>1561.154616</v>
      </c>
      <c r="J127" s="152" t="n">
        <v>3.113369713</v>
      </c>
      <c r="K127" s="152" t="n">
        <v>115.2343875</v>
      </c>
      <c r="L127" s="152" t="n">
        <v>23.71789474</v>
      </c>
      <c r="M127" s="157" t="n">
        <v>0</v>
      </c>
      <c r="N127" s="155" t="n">
        <v>46734.29</v>
      </c>
      <c r="O127" s="152" t="n">
        <v>367.4285714</v>
      </c>
      <c r="P127" s="152" t="n">
        <v>3.674285714</v>
      </c>
      <c r="Q127" s="156" t="n">
        <v>-157.72</v>
      </c>
      <c r="R127" s="156" t="n">
        <v>36.65</v>
      </c>
      <c r="S127" s="152" t="n">
        <v>8.222631579</v>
      </c>
      <c r="T127" s="152" t="n">
        <v>3.561052632</v>
      </c>
      <c r="U127" s="152" t="n">
        <v>4.661578947</v>
      </c>
      <c r="V127" s="152" t="n">
        <v>1.226210525</v>
      </c>
      <c r="W127" s="152" t="n">
        <v>3.435368422</v>
      </c>
      <c r="X127" s="158" t="n">
        <v>4.045000008</v>
      </c>
      <c r="Y127" s="158" t="n">
        <v>721.5532286</v>
      </c>
      <c r="Z127" s="158" t="n">
        <v>18.04937476</v>
      </c>
      <c r="AA127" s="158" t="n">
        <v>3.43865</v>
      </c>
      <c r="AB127" s="159" t="n">
        <v>1.249890468</v>
      </c>
      <c r="AC127" s="159" t="n">
        <v>1.263435322</v>
      </c>
      <c r="AD127" s="159" t="n">
        <v>100.9258767</v>
      </c>
      <c r="AE127" s="159" t="n">
        <v>89.19</v>
      </c>
      <c r="AF127" s="159" t="n">
        <v>0.665263</v>
      </c>
      <c r="AG127" s="159" t="n">
        <v>0.327895</v>
      </c>
      <c r="AH127" s="159" t="n">
        <v>0.899474</v>
      </c>
      <c r="AI127" s="159" t="n">
        <v>2.08526</v>
      </c>
      <c r="AJ127" s="159" t="n">
        <v>1.18579</v>
      </c>
      <c r="AK127" s="159" t="n">
        <v>1.19053</v>
      </c>
      <c r="AL127" s="159" t="n">
        <v>1.42</v>
      </c>
      <c r="AM127" s="159" t="n">
        <v>143.155</v>
      </c>
      <c r="AN127" s="159" t="n">
        <v>0.69394</v>
      </c>
      <c r="AO127" s="159" t="n">
        <v>-0.322</v>
      </c>
      <c r="AP127" s="159" t="n">
        <v>-0.3094</v>
      </c>
      <c r="AQ127" s="159" t="n">
        <v>4.94338</v>
      </c>
      <c r="AR127" s="159" t="n"/>
      <c r="AS127" s="159" t="n">
        <v>0.363684</v>
      </c>
      <c r="AT127" s="159" t="n">
        <v>4.8</v>
      </c>
      <c r="AU127" s="159" t="n">
        <v>101.8</v>
      </c>
      <c r="AV127" s="159" t="n"/>
      <c r="AW127" s="159" t="n">
        <v>99.44970000000001</v>
      </c>
      <c r="AX127" s="159" t="n">
        <v>101.1</v>
      </c>
      <c r="AY127" s="159" t="n">
        <v>3.424246368</v>
      </c>
      <c r="AZ127" s="159" t="n">
        <v>4.445840284</v>
      </c>
      <c r="BA127" s="159" t="n">
        <v>9.421735176</v>
      </c>
      <c r="BB127" s="159" t="n">
        <v>4.600767508</v>
      </c>
      <c r="BC127" s="159" t="n">
        <v>4.804840381</v>
      </c>
    </row>
    <row r="128">
      <c r="A128" s="83" t="inlineStr">
        <is>
          <t>2016-02</t>
        </is>
      </c>
      <c r="B128" s="155" t="n">
        <v>3354.956897</v>
      </c>
      <c r="C128" s="155" t="n">
        <v>94.13</v>
      </c>
      <c r="D128" s="155" t="n">
        <v>451.42</v>
      </c>
      <c r="E128" s="155" t="n">
        <v>5107.15</v>
      </c>
      <c r="F128" s="152" t="n">
        <v>6.068965517</v>
      </c>
      <c r="G128" s="152" t="n">
        <v>0.38</v>
      </c>
      <c r="H128" s="152" t="n">
        <v>5.688965517</v>
      </c>
      <c r="I128" s="156" t="n">
        <v>-5524.624035</v>
      </c>
      <c r="J128" s="152" t="n">
        <v>3.414282317</v>
      </c>
      <c r="K128" s="152" t="n">
        <v>114.281735</v>
      </c>
      <c r="L128" s="152" t="n">
        <v>22.517</v>
      </c>
      <c r="M128" s="157" t="n">
        <v>0</v>
      </c>
      <c r="N128" s="155" t="n">
        <v>46849.39</v>
      </c>
      <c r="O128" s="152" t="n">
        <v>393.1904762</v>
      </c>
      <c r="P128" s="152" t="n">
        <v>3.931904762</v>
      </c>
      <c r="Q128" s="156" t="n">
        <v>-147.57</v>
      </c>
      <c r="R128" s="156" t="n">
        <v>54.35</v>
      </c>
      <c r="S128" s="152" t="n">
        <v>8.513333333</v>
      </c>
      <c r="T128" s="152" t="n">
        <v>3.793333333</v>
      </c>
      <c r="U128" s="152" t="n">
        <v>4.72</v>
      </c>
      <c r="V128" s="152" t="n">
        <v>1.140039995</v>
      </c>
      <c r="W128" s="152" t="n">
        <v>3.579960005</v>
      </c>
      <c r="X128" s="158" t="n">
        <v>3.966157153</v>
      </c>
      <c r="Y128" s="158" t="n">
        <v>703.1560714</v>
      </c>
      <c r="Z128" s="158" t="n">
        <v>18.46209</v>
      </c>
      <c r="AA128" s="158" t="n">
        <v>3.506957143</v>
      </c>
      <c r="AB128" s="159" t="n">
        <v>-0.3337051692</v>
      </c>
      <c r="AC128" s="159" t="n">
        <v>0.1478070936</v>
      </c>
      <c r="AD128" s="159" t="n">
        <v>102.4592145</v>
      </c>
      <c r="AE128" s="159" t="n">
        <v>90.33</v>
      </c>
      <c r="AF128" s="159" t="n">
        <v>0.472</v>
      </c>
      <c r="AG128" s="159" t="n">
        <v>0.1385</v>
      </c>
      <c r="AH128" s="159" t="n">
        <v>0.7335</v>
      </c>
      <c r="AI128" s="159" t="n">
        <v>1.7795</v>
      </c>
      <c r="AJ128" s="159" t="n">
        <v>1.046</v>
      </c>
      <c r="AK128" s="159" t="n">
        <v>1.0835</v>
      </c>
      <c r="AL128" s="159" t="n">
        <v>1.3075</v>
      </c>
      <c r="AM128" s="159" t="n">
        <v>145.442</v>
      </c>
      <c r="AN128" s="159" t="n">
        <v>0.7857</v>
      </c>
      <c r="AO128" s="159" t="n">
        <v>-0.3115</v>
      </c>
      <c r="AP128" s="159" t="n">
        <v>-0.298</v>
      </c>
      <c r="AQ128" s="159" t="n">
        <v>4.99067</v>
      </c>
      <c r="AR128" s="159" t="n"/>
      <c r="AS128" s="159" t="n">
        <v>0.311</v>
      </c>
      <c r="AT128" s="159" t="n">
        <v>4.9</v>
      </c>
      <c r="AU128" s="159" t="n">
        <v>101.6</v>
      </c>
      <c r="AV128" s="159" t="n">
        <v>105.4</v>
      </c>
      <c r="AW128" s="159" t="n">
        <v>99.3847</v>
      </c>
      <c r="AX128" s="159" t="n">
        <v>102.7</v>
      </c>
      <c r="AY128" s="159" t="n">
        <v>3.471391753</v>
      </c>
      <c r="AZ128" s="159" t="n">
        <v>4.465775926</v>
      </c>
      <c r="BA128" s="159" t="n">
        <v>9.420358156000001</v>
      </c>
      <c r="BB128" s="159" t="n">
        <v>4.595569244</v>
      </c>
      <c r="BC128" s="159" t="n">
        <v>4.799090879</v>
      </c>
    </row>
    <row r="129">
      <c r="A129" s="83" t="inlineStr">
        <is>
          <t>2016-03</t>
        </is>
      </c>
      <c r="B129" s="155" t="n">
        <v>3128.789032</v>
      </c>
      <c r="C129" s="155" t="n">
        <v>103.64</v>
      </c>
      <c r="D129" s="155" t="n">
        <v>414.88</v>
      </c>
      <c r="E129" s="155" t="n">
        <v>5086.09</v>
      </c>
      <c r="F129" s="152" t="n">
        <v>6.330645161</v>
      </c>
      <c r="G129" s="152" t="n">
        <v>0.36</v>
      </c>
      <c r="H129" s="152" t="n">
        <v>5.970645161</v>
      </c>
      <c r="I129" s="156" t="n">
        <v>-3048.225588</v>
      </c>
      <c r="J129" s="152" t="n">
        <v>3.253348464</v>
      </c>
      <c r="K129" s="152" t="n">
        <v>111.8933913</v>
      </c>
      <c r="L129" s="152" t="n">
        <v>15.84909091</v>
      </c>
      <c r="M129" s="157" t="n">
        <v>0</v>
      </c>
      <c r="N129" s="155" t="n">
        <v>47224.96</v>
      </c>
      <c r="O129" s="152" t="n">
        <v>309.3043478</v>
      </c>
      <c r="P129" s="152" t="n">
        <v>3.093043478</v>
      </c>
      <c r="Q129" s="156" t="n">
        <v>-258.82</v>
      </c>
      <c r="R129" s="156" t="n">
        <v>549.21</v>
      </c>
      <c r="S129" s="152" t="n">
        <v>7.9405</v>
      </c>
      <c r="T129" s="152" t="n">
        <v>3.5855</v>
      </c>
      <c r="U129" s="152" t="n">
        <v>4.355</v>
      </c>
      <c r="V129" s="152" t="n">
        <v>1.489581813</v>
      </c>
      <c r="W129" s="152" t="n">
        <v>2.865418187</v>
      </c>
      <c r="X129" s="158" t="n">
        <v>3.703213039</v>
      </c>
      <c r="Y129" s="158" t="n">
        <v>680.3120739</v>
      </c>
      <c r="Z129" s="158" t="n">
        <v>17.6228413</v>
      </c>
      <c r="AA129" s="158" t="n">
        <v>3.406928571</v>
      </c>
      <c r="AB129" s="159" t="n">
        <v>-1.695845552</v>
      </c>
      <c r="AC129" s="159" t="n">
        <v>-1.851447177</v>
      </c>
      <c r="AD129" s="159" t="n">
        <v>101.7772231</v>
      </c>
      <c r="AE129" s="159" t="n">
        <v>91.18000000000001</v>
      </c>
      <c r="AF129" s="159" t="n">
        <v>0.337273</v>
      </c>
      <c r="AG129" s="159" t="n">
        <v>-0.0331818</v>
      </c>
      <c r="AH129" s="159" t="n">
        <v>0.875</v>
      </c>
      <c r="AI129" s="159" t="n">
        <v>1.88909</v>
      </c>
      <c r="AJ129" s="159" t="n">
        <v>1.01409</v>
      </c>
      <c r="AK129" s="159" t="n">
        <v>1.40909</v>
      </c>
      <c r="AL129" s="159" t="n">
        <v>1.55182</v>
      </c>
      <c r="AM129" s="159" t="n">
        <v>156.885</v>
      </c>
      <c r="AN129" s="159" t="n">
        <v>0.216875</v>
      </c>
      <c r="AO129" s="159" t="n">
        <v>-0.362</v>
      </c>
      <c r="AP129" s="159" t="n">
        <v>-0.3485</v>
      </c>
      <c r="AQ129" s="159" t="n">
        <v>5.0889</v>
      </c>
      <c r="AR129" s="159" t="n"/>
      <c r="AS129" s="159" t="n">
        <v>0.337143</v>
      </c>
      <c r="AT129" s="159" t="n">
        <v>5</v>
      </c>
      <c r="AU129" s="159" t="n">
        <v>101.4</v>
      </c>
      <c r="AV129" s="159" t="n">
        <v>106.8</v>
      </c>
      <c r="AW129" s="159" t="n">
        <v>99.3242</v>
      </c>
      <c r="AX129" s="159" t="n">
        <v>102.2</v>
      </c>
      <c r="AY129" s="159" t="n">
        <v>3.643110347</v>
      </c>
      <c r="AZ129" s="159" t="n">
        <v>4.538658519</v>
      </c>
      <c r="BA129" s="159" t="n">
        <v>9.418410894000001</v>
      </c>
      <c r="BB129" s="159" t="n">
        <v>4.588121683</v>
      </c>
      <c r="BC129" s="159" t="n">
        <v>4.790819533</v>
      </c>
    </row>
    <row r="130">
      <c r="A130" s="83" t="inlineStr">
        <is>
          <t>2016-04</t>
        </is>
      </c>
      <c r="B130" s="155" t="n">
        <v>2997.727</v>
      </c>
      <c r="C130" s="155" t="n">
        <v>105.85</v>
      </c>
      <c r="D130" s="155" t="n">
        <v>399.76</v>
      </c>
      <c r="E130" s="155" t="n">
        <v>5132.99</v>
      </c>
      <c r="F130" s="152" t="n">
        <v>6.5</v>
      </c>
      <c r="G130" s="152" t="n">
        <v>0.37</v>
      </c>
      <c r="H130" s="152" t="n">
        <v>6.13</v>
      </c>
      <c r="I130" s="156" t="n">
        <v>-441.2978213</v>
      </c>
      <c r="J130" s="152" t="n">
        <v>3.567805895</v>
      </c>
      <c r="K130" s="152" t="n">
        <v>110.0170762</v>
      </c>
      <c r="L130" s="152" t="n">
        <v>14.30047619</v>
      </c>
      <c r="M130" s="157" t="n">
        <v>0</v>
      </c>
      <c r="N130" s="155" t="n">
        <v>47292.95</v>
      </c>
      <c r="O130" s="152" t="n">
        <v>286.8095238</v>
      </c>
      <c r="P130" s="152" t="n">
        <v>2.868095238</v>
      </c>
      <c r="Q130" s="156" t="n">
        <v>-161.77</v>
      </c>
      <c r="R130" s="156" t="n">
        <v>118.04</v>
      </c>
      <c r="S130" s="152" t="n">
        <v>7.723333333</v>
      </c>
      <c r="T130" s="152" t="n">
        <v>3.335714286</v>
      </c>
      <c r="U130" s="152" t="n">
        <v>4.387619048</v>
      </c>
      <c r="V130" s="152" t="n">
        <v>1.533871424</v>
      </c>
      <c r="W130" s="152" t="n">
        <v>2.853747624</v>
      </c>
      <c r="X130" s="158" t="n">
        <v>3.564800001</v>
      </c>
      <c r="Y130" s="158" t="n">
        <v>669.6329667</v>
      </c>
      <c r="Z130" s="158" t="n">
        <v>17.46794571</v>
      </c>
      <c r="AA130" s="158" t="n">
        <v>3.3011</v>
      </c>
      <c r="AB130" s="159" t="n">
        <v>-0.7525010312</v>
      </c>
      <c r="AC130" s="159" t="n">
        <v>-1.19659207</v>
      </c>
      <c r="AD130" s="159" t="n">
        <v>101.3818981</v>
      </c>
      <c r="AE130" s="159" t="n">
        <v>91.63</v>
      </c>
      <c r="AF130" s="159" t="n">
        <v>0.190476</v>
      </c>
      <c r="AG130" s="159" t="n">
        <v>-0.22381</v>
      </c>
      <c r="AH130" s="159" t="n">
        <v>0.768095</v>
      </c>
      <c r="AI130" s="159" t="n">
        <v>1.80524</v>
      </c>
      <c r="AJ130" s="159" t="n">
        <v>1.03714</v>
      </c>
      <c r="AK130" s="159" t="n">
        <v>1.4819</v>
      </c>
      <c r="AL130" s="159" t="n">
        <v>1.61476</v>
      </c>
      <c r="AM130" s="159" t="n">
        <v>140.076</v>
      </c>
      <c r="AN130" s="159" t="n">
        <v>0.1805</v>
      </c>
      <c r="AO130" s="159" t="n">
        <v>-0.3906</v>
      </c>
      <c r="AP130" s="159" t="n">
        <v>-0.3372</v>
      </c>
      <c r="AQ130" s="159" t="n">
        <v>5.11821</v>
      </c>
      <c r="AR130" s="159" t="n"/>
      <c r="AS130" s="159" t="n">
        <v>0.404762</v>
      </c>
      <c r="AT130" s="159" t="n">
        <v>5.1</v>
      </c>
      <c r="AU130" s="159" t="n">
        <v>101.3</v>
      </c>
      <c r="AV130" s="159" t="n">
        <v>106</v>
      </c>
      <c r="AW130" s="159" t="n">
        <v>99.2679</v>
      </c>
      <c r="AX130" s="159" t="n">
        <v>102</v>
      </c>
      <c r="AY130" s="159" t="n">
        <v>3.727698644</v>
      </c>
      <c r="AZ130" s="159" t="n">
        <v>4.573949864</v>
      </c>
      <c r="BA130" s="159" t="n">
        <v>9.419384999</v>
      </c>
      <c r="BB130" s="159" t="n">
        <v>4.591498148</v>
      </c>
      <c r="BC130" s="159" t="n">
        <v>4.810557016</v>
      </c>
    </row>
    <row r="131">
      <c r="A131" s="83" t="inlineStr">
        <is>
          <t>2016-05</t>
        </is>
      </c>
      <c r="B131" s="155" t="n">
        <v>2993.508387</v>
      </c>
      <c r="C131" s="155" t="n">
        <v>112.65</v>
      </c>
      <c r="D131" s="155" t="n">
        <v>433.51</v>
      </c>
      <c r="E131" s="155" t="n">
        <v>5203.8</v>
      </c>
      <c r="F131" s="152" t="n">
        <v>6.991935484</v>
      </c>
      <c r="G131" s="152" t="n">
        <v>0.37</v>
      </c>
      <c r="H131" s="152" t="n">
        <v>6.621935484</v>
      </c>
      <c r="I131" s="156" t="n">
        <v>294.7500988</v>
      </c>
      <c r="J131" s="152" t="n">
        <v>3.634494068</v>
      </c>
      <c r="K131" s="152" t="n">
        <v>111.1405143</v>
      </c>
      <c r="L131" s="152" t="n">
        <v>14.85285714</v>
      </c>
      <c r="M131" s="157" t="n">
        <v>0</v>
      </c>
      <c r="N131" s="155" t="n">
        <v>47532.46</v>
      </c>
      <c r="O131" s="152" t="n">
        <v>291.2272727</v>
      </c>
      <c r="P131" s="152" t="n">
        <v>2.912272727</v>
      </c>
      <c r="Q131" s="156" t="n">
        <v>9.75</v>
      </c>
      <c r="R131" s="156" t="n">
        <v>-128.79</v>
      </c>
      <c r="S131" s="152" t="n">
        <v>7.6175</v>
      </c>
      <c r="T131" s="152" t="n">
        <v>3.339</v>
      </c>
      <c r="U131" s="152" t="n">
        <v>4.2785</v>
      </c>
      <c r="V131" s="152" t="n">
        <v>1.549852366</v>
      </c>
      <c r="W131" s="152" t="n">
        <v>2.728647634</v>
      </c>
      <c r="X131" s="158" t="n">
        <v>3.540854562</v>
      </c>
      <c r="Y131" s="158" t="n">
        <v>683.3696773</v>
      </c>
      <c r="Z131" s="158" t="n">
        <v>18.08294591</v>
      </c>
      <c r="AA131" s="158" t="n">
        <v>3.334681818</v>
      </c>
      <c r="AB131" s="159" t="n">
        <v>0.5034172842</v>
      </c>
      <c r="AC131" s="159" t="n">
        <v>0.5836027138</v>
      </c>
      <c r="AD131" s="159" t="n">
        <v>101.821567</v>
      </c>
      <c r="AE131" s="159" t="n">
        <v>92.09999999999999</v>
      </c>
      <c r="AF131" s="159" t="n">
        <v>0.211905</v>
      </c>
      <c r="AG131" s="159" t="n">
        <v>-0.22</v>
      </c>
      <c r="AH131" s="159" t="n">
        <v>0.81619</v>
      </c>
      <c r="AI131" s="159" t="n">
        <v>1.80619</v>
      </c>
      <c r="AJ131" s="159" t="n">
        <v>0.99</v>
      </c>
      <c r="AK131" s="159" t="n">
        <v>1.52048</v>
      </c>
      <c r="AL131" s="159" t="n">
        <v>1.59429</v>
      </c>
      <c r="AM131" s="159" t="n">
        <v>123.494</v>
      </c>
      <c r="AN131" s="159" t="n">
        <v>0.139175</v>
      </c>
      <c r="AO131" s="159" t="n">
        <v>-0.38675</v>
      </c>
      <c r="AP131" s="159" t="n">
        <v>-0.326</v>
      </c>
      <c r="AQ131" s="159" t="n">
        <v>4.88655</v>
      </c>
      <c r="AR131" s="159" t="n"/>
      <c r="AS131" s="159" t="n">
        <v>0.3685</v>
      </c>
      <c r="AT131" s="159" t="n">
        <v>4.8</v>
      </c>
      <c r="AU131" s="159" t="n">
        <v>101.2</v>
      </c>
      <c r="AV131" s="159" t="n">
        <v>106</v>
      </c>
      <c r="AW131" s="159" t="n">
        <v>99.2169</v>
      </c>
      <c r="AX131" s="159" t="n">
        <v>101.6</v>
      </c>
      <c r="AY131" s="159" t="n">
        <v>3.844651676</v>
      </c>
      <c r="AZ131" s="159" t="n">
        <v>4.613673926</v>
      </c>
      <c r="BA131" s="159" t="n">
        <v>9.417598414</v>
      </c>
      <c r="BB131" s="159" t="n">
        <v>4.589227778</v>
      </c>
      <c r="BC131" s="159" t="n">
        <v>4.804021045</v>
      </c>
    </row>
    <row r="132">
      <c r="A132" s="83" t="inlineStr">
        <is>
          <t>2016-06</t>
        </is>
      </c>
      <c r="B132" s="155" t="n">
        <v>2992.858667</v>
      </c>
      <c r="C132" s="155" t="n">
        <v>115.06</v>
      </c>
      <c r="D132" s="155" t="n">
        <v>404.3</v>
      </c>
      <c r="E132" s="155" t="n">
        <v>5211.12</v>
      </c>
      <c r="F132" s="152" t="n">
        <v>7.316666667</v>
      </c>
      <c r="G132" s="152" t="n">
        <v>0.38</v>
      </c>
      <c r="H132" s="152" t="n">
        <v>6.936666667</v>
      </c>
      <c r="I132" s="156" t="n">
        <v>-1564.24087</v>
      </c>
      <c r="J132" s="152" t="n">
        <v>3.589465567</v>
      </c>
      <c r="K132" s="152" t="n">
        <v>111.5596273</v>
      </c>
      <c r="L132" s="152" t="n">
        <v>17.77454545</v>
      </c>
      <c r="M132" s="157" t="n">
        <v>0</v>
      </c>
      <c r="N132" s="155" t="n">
        <v>47025.08</v>
      </c>
      <c r="O132" s="152" t="n">
        <v>280.7727273</v>
      </c>
      <c r="P132" s="152" t="n">
        <v>2.807727273</v>
      </c>
      <c r="Q132" s="156" t="n">
        <v>-151.83</v>
      </c>
      <c r="R132" s="156" t="n">
        <v>-424.57</v>
      </c>
      <c r="S132" s="152" t="n">
        <v>7.426190476</v>
      </c>
      <c r="T132" s="152" t="n">
        <v>3.416190476</v>
      </c>
      <c r="U132" s="152" t="n">
        <v>4.01</v>
      </c>
      <c r="V132" s="152" t="n">
        <v>1.450309082</v>
      </c>
      <c r="W132" s="152" t="n">
        <v>2.559690918</v>
      </c>
      <c r="X132" s="158" t="n">
        <v>3.424177267</v>
      </c>
      <c r="Y132" s="158" t="n">
        <v>679.6082818</v>
      </c>
      <c r="Z132" s="158" t="n">
        <v>18.57009682</v>
      </c>
      <c r="AA132" s="158" t="n">
        <v>3.3161</v>
      </c>
      <c r="AB132" s="159" t="n">
        <v>-0.1583088956</v>
      </c>
      <c r="AC132" s="159" t="n">
        <v>-0.2286578604</v>
      </c>
      <c r="AD132" s="159" t="n">
        <v>101.8876814</v>
      </c>
      <c r="AE132" s="159" t="n">
        <v>92.54000000000001</v>
      </c>
      <c r="AF132" s="159" t="n">
        <v>0.174091</v>
      </c>
      <c r="AG132" s="159" t="n">
        <v>-0.269545</v>
      </c>
      <c r="AH132" s="159" t="n">
        <v>0.731364</v>
      </c>
      <c r="AI132" s="159" t="n">
        <v>1.64409</v>
      </c>
      <c r="AJ132" s="159" t="n">
        <v>0.912727</v>
      </c>
      <c r="AK132" s="159" t="n">
        <v>1.43591</v>
      </c>
      <c r="AL132" s="159" t="n">
        <v>1.47</v>
      </c>
      <c r="AM132" s="159" t="n">
        <v>227.962</v>
      </c>
      <c r="AN132" s="159" t="n">
        <v>0.2865</v>
      </c>
      <c r="AO132" s="159" t="n">
        <v>-0.36575</v>
      </c>
      <c r="AP132" s="159" t="n">
        <v>-0.295</v>
      </c>
      <c r="AQ132" s="159" t="n">
        <v>4.94473</v>
      </c>
      <c r="AR132" s="159" t="n"/>
      <c r="AS132" s="159" t="n">
        <v>0.382273</v>
      </c>
      <c r="AT132" s="159" t="n">
        <v>4.9</v>
      </c>
      <c r="AU132" s="159" t="n">
        <v>101</v>
      </c>
      <c r="AV132" s="159" t="n">
        <v>106.2</v>
      </c>
      <c r="AW132" s="159" t="n">
        <v>99.1721</v>
      </c>
      <c r="AX132" s="159" t="n">
        <v>101.4</v>
      </c>
      <c r="AY132" s="159" t="n">
        <v>3.876339868</v>
      </c>
      <c r="AZ132" s="159" t="n">
        <v>4.639619921</v>
      </c>
      <c r="BA132" s="159" t="n">
        <v>9.419060403</v>
      </c>
      <c r="BB132" s="159" t="n">
        <v>4.593940367</v>
      </c>
      <c r="BC132" s="159" t="n">
        <v>4.811371017</v>
      </c>
    </row>
    <row r="133">
      <c r="A133" s="83" t="inlineStr">
        <is>
          <t>2016-07</t>
        </is>
      </c>
      <c r="B133" s="155" t="n">
        <v>2960.999677</v>
      </c>
      <c r="C133" s="155" t="n">
        <v>111.35</v>
      </c>
      <c r="D133" s="155" t="n">
        <v>399.62</v>
      </c>
      <c r="E133" s="155" t="n">
        <v>5152.03</v>
      </c>
      <c r="F133" s="152" t="n">
        <v>7.5</v>
      </c>
      <c r="G133" s="152" t="n">
        <v>0.39</v>
      </c>
      <c r="H133" s="152" t="n">
        <v>7.11</v>
      </c>
      <c r="I133" s="156" t="n">
        <v>-6505.047012</v>
      </c>
      <c r="J133" s="152" t="n">
        <v>3.980406075</v>
      </c>
      <c r="K133" s="152" t="n">
        <v>112.47729</v>
      </c>
      <c r="L133" s="152" t="n">
        <v>13.1585</v>
      </c>
      <c r="M133" s="157" t="n">
        <v>0</v>
      </c>
      <c r="N133" s="155" t="n">
        <v>47091.19</v>
      </c>
      <c r="O133" s="152" t="n">
        <v>249.8095238</v>
      </c>
      <c r="P133" s="152" t="n">
        <v>2.498095238</v>
      </c>
      <c r="Q133" s="156" t="n">
        <v>-43.5</v>
      </c>
      <c r="R133" s="156" t="n">
        <v>-30.32</v>
      </c>
      <c r="S133" s="152" t="n">
        <v>7.081578947</v>
      </c>
      <c r="T133" s="152" t="n">
        <v>3.08</v>
      </c>
      <c r="U133" s="152" t="n">
        <v>4.001578947</v>
      </c>
      <c r="V133" s="152" t="n">
        <v>1.39623999</v>
      </c>
      <c r="W133" s="152" t="n">
        <v>2.605338957</v>
      </c>
      <c r="X133" s="158" t="n">
        <v>3.275266647</v>
      </c>
      <c r="Y133" s="158" t="n">
        <v>656.9708524</v>
      </c>
      <c r="Z133" s="158" t="n">
        <v>18.52282762</v>
      </c>
      <c r="AA133" s="158" t="n">
        <v>3.299473684</v>
      </c>
      <c r="AB133" s="159" t="n">
        <v>-0.9606139338</v>
      </c>
      <c r="AC133" s="159" t="n">
        <v>-0.8190941569</v>
      </c>
      <c r="AD133" s="159" t="n">
        <v>99.67750528000001</v>
      </c>
      <c r="AE133" s="159" t="n">
        <v>93.02</v>
      </c>
      <c r="AF133" s="159" t="n">
        <v>0.0385</v>
      </c>
      <c r="AG133" s="159" t="n">
        <v>-0.317</v>
      </c>
      <c r="AH133" s="159" t="n">
        <v>0.6725</v>
      </c>
      <c r="AI133" s="159" t="n">
        <v>1.504</v>
      </c>
      <c r="AJ133" s="159" t="n">
        <v>0.8315</v>
      </c>
      <c r="AK133" s="159" t="n">
        <v>1.3885</v>
      </c>
      <c r="AL133" s="159" t="n">
        <v>1.4655</v>
      </c>
      <c r="AM133" s="159" t="n">
        <v>202.207</v>
      </c>
      <c r="AN133" s="159" t="n">
        <v>0.21364</v>
      </c>
      <c r="AO133" s="159" t="n">
        <v>-0.3602</v>
      </c>
      <c r="AP133" s="159" t="n">
        <v>-0.2816</v>
      </c>
      <c r="AQ133" s="159" t="n">
        <v>4.87869</v>
      </c>
      <c r="AR133" s="159" t="n"/>
      <c r="AS133" s="159" t="n">
        <v>0.4005</v>
      </c>
      <c r="AT133" s="159" t="n">
        <v>4.8</v>
      </c>
      <c r="AU133" s="159" t="n">
        <v>101</v>
      </c>
      <c r="AV133" s="159" t="n">
        <v>106</v>
      </c>
      <c r="AW133" s="159" t="n">
        <v>99.1344</v>
      </c>
      <c r="AX133" s="159" t="n">
        <v>101.6</v>
      </c>
      <c r="AY133" s="159" t="n">
        <v>3.805593029</v>
      </c>
      <c r="AZ133" s="159" t="n">
        <v>4.632785353</v>
      </c>
      <c r="BA133" s="159" t="n">
        <v>9.420763359</v>
      </c>
      <c r="BB133" s="159" t="n">
        <v>4.595111769</v>
      </c>
      <c r="BC133" s="159" t="n">
        <v>4.829912459</v>
      </c>
    </row>
    <row r="134">
      <c r="A134" s="83" t="inlineStr">
        <is>
          <t>2016-08</t>
        </is>
      </c>
      <c r="B134" s="155" t="n">
        <v>2952.766774</v>
      </c>
      <c r="C134" s="155" t="n">
        <v>113.12</v>
      </c>
      <c r="D134" s="155" t="n">
        <v>453.21</v>
      </c>
      <c r="E134" s="155" t="n">
        <v>5103.09</v>
      </c>
      <c r="F134" s="152" t="n">
        <v>7.75</v>
      </c>
      <c r="G134" s="152" t="n">
        <v>0.4</v>
      </c>
      <c r="H134" s="152" t="n">
        <v>7.35</v>
      </c>
      <c r="I134" s="156" t="n">
        <v>-6591.676449</v>
      </c>
      <c r="J134" s="152" t="n">
        <v>4.258203268</v>
      </c>
      <c r="K134" s="152" t="n">
        <v>111.4383696</v>
      </c>
      <c r="L134" s="152" t="n">
        <v>12.39956522</v>
      </c>
      <c r="M134" s="157" t="n">
        <v>0</v>
      </c>
      <c r="N134" s="155" t="n">
        <v>47036.53</v>
      </c>
      <c r="O134" s="152" t="n">
        <v>234.1304348</v>
      </c>
      <c r="P134" s="152" t="n">
        <v>2.341304348</v>
      </c>
      <c r="Q134" s="156" t="n">
        <v>-230.41</v>
      </c>
      <c r="R134" s="156" t="n">
        <v>24.63</v>
      </c>
      <c r="S134" s="152" t="n">
        <v>7.170909091</v>
      </c>
      <c r="T134" s="152" t="n">
        <v>3.373636364</v>
      </c>
      <c r="U134" s="152" t="n">
        <v>3.797272727</v>
      </c>
      <c r="V134" s="152" t="n">
        <v>1.329260878</v>
      </c>
      <c r="W134" s="152" t="n">
        <v>2.468011849</v>
      </c>
      <c r="X134" s="158" t="n">
        <v>3.209356495</v>
      </c>
      <c r="Y134" s="158" t="n">
        <v>659.3605348</v>
      </c>
      <c r="Z134" s="158" t="n">
        <v>18.41910043</v>
      </c>
      <c r="AA134" s="158" t="n">
        <v>3.333827273</v>
      </c>
      <c r="AB134" s="159" t="n">
        <v>-0.3097098478</v>
      </c>
      <c r="AC134" s="159" t="n">
        <v>-0.02148612242</v>
      </c>
      <c r="AD134" s="159" t="n">
        <v>103.2327384</v>
      </c>
      <c r="AE134" s="159" t="n">
        <v>92.73</v>
      </c>
      <c r="AF134" s="159" t="n">
        <v>0.0882609</v>
      </c>
      <c r="AG134" s="159" t="n">
        <v>-0.170435</v>
      </c>
      <c r="AH134" s="159" t="n">
        <v>0.737391</v>
      </c>
      <c r="AI134" s="159" t="n">
        <v>1.55652</v>
      </c>
      <c r="AJ134" s="159" t="n">
        <v>0.81913</v>
      </c>
      <c r="AK134" s="159" t="n">
        <v>1.30348</v>
      </c>
      <c r="AL134" s="159" t="n">
        <v>1.46826</v>
      </c>
      <c r="AM134" s="159" t="n">
        <v>132.513</v>
      </c>
      <c r="AN134" s="159" t="n">
        <v>0.26655</v>
      </c>
      <c r="AO134" s="159" t="n">
        <v>-0.36575</v>
      </c>
      <c r="AP134" s="159" t="n">
        <v>-0.27725</v>
      </c>
      <c r="AQ134" s="159" t="n">
        <v>4.9164</v>
      </c>
      <c r="AR134" s="159" t="n"/>
      <c r="AS134" s="159" t="n">
        <v>0.515455</v>
      </c>
      <c r="AT134" s="159" t="n">
        <v>4.9</v>
      </c>
      <c r="AU134" s="159" t="n">
        <v>100.8</v>
      </c>
      <c r="AV134" s="159" t="n">
        <v>106.3</v>
      </c>
      <c r="AW134" s="159" t="n">
        <v>99.10429999999999</v>
      </c>
      <c r="AX134" s="159" t="n">
        <v>101.7</v>
      </c>
      <c r="AY134" s="159" t="n">
        <v>3.825222515</v>
      </c>
      <c r="AZ134" s="159" t="n">
        <v>4.636174545</v>
      </c>
      <c r="BA134" s="159" t="n">
        <v>9.418898065</v>
      </c>
      <c r="BB134" s="159" t="n">
        <v>4.59360355</v>
      </c>
      <c r="BC134" s="159" t="n">
        <v>4.813809051</v>
      </c>
    </row>
    <row r="135">
      <c r="A135" s="83" t="inlineStr">
        <is>
          <t>2016-09</t>
        </is>
      </c>
      <c r="B135" s="155" t="n">
        <v>2924.265333</v>
      </c>
      <c r="C135" s="155" t="n">
        <v>113.7</v>
      </c>
      <c r="D135" s="155" t="n">
        <v>413.45</v>
      </c>
      <c r="E135" s="155" t="n">
        <v>5064.57</v>
      </c>
      <c r="F135" s="152" t="n">
        <v>7.75</v>
      </c>
      <c r="G135" s="152" t="n">
        <v>0.4</v>
      </c>
      <c r="H135" s="152" t="n">
        <v>7.35</v>
      </c>
      <c r="I135" s="156" t="n">
        <v>117.3548369</v>
      </c>
      <c r="J135" s="152" t="n">
        <v>4.409383572</v>
      </c>
      <c r="K135" s="152" t="n">
        <v>112.3168619</v>
      </c>
      <c r="L135" s="152" t="n">
        <v>14.21952381</v>
      </c>
      <c r="M135" s="157" t="n">
        <v>0</v>
      </c>
      <c r="N135" s="155" t="n">
        <v>47106.05</v>
      </c>
      <c r="O135" s="152" t="n">
        <v>231.4545455</v>
      </c>
      <c r="P135" s="152" t="n">
        <v>2.314545455</v>
      </c>
      <c r="Q135" s="156" t="n">
        <v>-143.72</v>
      </c>
      <c r="R135" s="156" t="n">
        <v>-118.15</v>
      </c>
      <c r="S135" s="152" t="n">
        <v>6.720909091</v>
      </c>
      <c r="T135" s="152" t="n">
        <v>3.352272727</v>
      </c>
      <c r="U135" s="152" t="n">
        <v>3.368636364</v>
      </c>
      <c r="V135" s="152" t="n">
        <v>1.401557145</v>
      </c>
      <c r="W135" s="152" t="n">
        <v>1.967079219</v>
      </c>
      <c r="X135" s="158" t="n">
        <v>3.255563649</v>
      </c>
      <c r="Y135" s="158" t="n">
        <v>667.8723955</v>
      </c>
      <c r="Z135" s="158" t="n">
        <v>19.04943545</v>
      </c>
      <c r="AA135" s="158" t="n">
        <v>3.382459091</v>
      </c>
      <c r="AB135" s="159" t="n">
        <v>0.589903467</v>
      </c>
      <c r="AC135" s="159" t="n">
        <v>0.7361706747</v>
      </c>
      <c r="AD135" s="159" t="n">
        <v>103.6139523</v>
      </c>
      <c r="AE135" s="159" t="n">
        <v>92.68000000000001</v>
      </c>
      <c r="AF135" s="159" t="n">
        <v>0.115714</v>
      </c>
      <c r="AG135" s="159" t="n">
        <v>-0.171429</v>
      </c>
      <c r="AH135" s="159" t="n">
        <v>0.770952</v>
      </c>
      <c r="AI135" s="159" t="n">
        <v>1.63048</v>
      </c>
      <c r="AJ135" s="159" t="n">
        <v>0.859524</v>
      </c>
      <c r="AK135" s="159" t="n">
        <v>1.34952</v>
      </c>
      <c r="AL135" s="159" t="n">
        <v>1.51476</v>
      </c>
      <c r="AM135" s="159" t="n">
        <v>134.358</v>
      </c>
      <c r="AN135" s="159" t="n">
        <v>0.35302</v>
      </c>
      <c r="AO135" s="159" t="n">
        <v>-0.3466</v>
      </c>
      <c r="AP135" s="159" t="n">
        <v>-0.2178</v>
      </c>
      <c r="AQ135" s="159" t="n">
        <v>5.04747</v>
      </c>
      <c r="AR135" s="159" t="n"/>
      <c r="AS135" s="159" t="n">
        <v>0.559048</v>
      </c>
      <c r="AT135" s="159" t="n">
        <v>5</v>
      </c>
      <c r="AU135" s="159" t="n">
        <v>100.7</v>
      </c>
      <c r="AV135" s="159" t="n">
        <v>106.1</v>
      </c>
      <c r="AW135" s="159" t="n">
        <v>99.08199999999999</v>
      </c>
      <c r="AX135" s="159" t="n">
        <v>102.4</v>
      </c>
      <c r="AY135" s="159" t="n">
        <v>3.840907168</v>
      </c>
      <c r="AZ135" s="159" t="n">
        <v>4.636416883</v>
      </c>
      <c r="BA135" s="159" t="n">
        <v>9.418735700999999</v>
      </c>
      <c r="BB135" s="159" t="n">
        <v>4.592547859</v>
      </c>
      <c r="BC135" s="159" t="n">
        <v>4.804021045</v>
      </c>
    </row>
    <row r="136">
      <c r="A136" s="83" t="inlineStr">
        <is>
          <t>2016-10</t>
        </is>
      </c>
      <c r="B136" s="155" t="n">
        <v>2929.38871</v>
      </c>
      <c r="C136" s="155" t="n">
        <v>118.75</v>
      </c>
      <c r="D136" s="155" t="n">
        <v>422.42</v>
      </c>
      <c r="E136" s="155" t="n">
        <v>5098.26</v>
      </c>
      <c r="F136" s="152" t="n">
        <v>7.75</v>
      </c>
      <c r="G136" s="152" t="n">
        <v>0.4</v>
      </c>
      <c r="H136" s="152" t="n">
        <v>7.35</v>
      </c>
      <c r="I136" s="156" t="n">
        <v>-4751.099336</v>
      </c>
      <c r="J136" s="152" t="n">
        <v>4.517448165</v>
      </c>
      <c r="K136" s="152" t="n">
        <v>113.474695</v>
      </c>
      <c r="L136" s="152" t="n">
        <v>14.5852381</v>
      </c>
      <c r="M136" s="157" t="n">
        <v>0</v>
      </c>
      <c r="N136" s="155" t="n">
        <v>46966.38</v>
      </c>
      <c r="O136" s="152" t="n">
        <v>229.1904762</v>
      </c>
      <c r="P136" s="152" t="n">
        <v>2.291904762</v>
      </c>
      <c r="Q136" s="156" t="n">
        <v>-5.36</v>
      </c>
      <c r="R136" s="156" t="n">
        <v>-472.97</v>
      </c>
      <c r="S136" s="152" t="n">
        <v>6.692</v>
      </c>
      <c r="T136" s="152" t="n">
        <v>3.077</v>
      </c>
      <c r="U136" s="152" t="n">
        <v>3.615</v>
      </c>
      <c r="V136" s="152" t="n">
        <v>1.597090006</v>
      </c>
      <c r="W136" s="152" t="n">
        <v>2.017909994</v>
      </c>
      <c r="X136" s="158" t="n">
        <v>3.186866658</v>
      </c>
      <c r="Y136" s="158" t="n">
        <v>663.3505857</v>
      </c>
      <c r="Z136" s="158" t="n">
        <v>18.82844571</v>
      </c>
      <c r="AA136" s="158" t="n">
        <v>3.386019048</v>
      </c>
      <c r="AB136" s="159" t="n">
        <v>-0.5213670002</v>
      </c>
      <c r="AC136" s="159" t="n">
        <v>-0.3674039987</v>
      </c>
      <c r="AD136" s="159" t="n">
        <v>102.50889</v>
      </c>
      <c r="AE136" s="159" t="n">
        <v>92.62</v>
      </c>
      <c r="AF136" s="159" t="n">
        <v>0.0975</v>
      </c>
      <c r="AG136" s="159" t="n">
        <v>-0.2605</v>
      </c>
      <c r="AH136" s="159" t="n">
        <v>0.843</v>
      </c>
      <c r="AI136" s="159" t="n">
        <v>1.7645</v>
      </c>
      <c r="AJ136" s="159" t="n">
        <v>0.9215</v>
      </c>
      <c r="AK136" s="159" t="n">
        <v>1.5325</v>
      </c>
      <c r="AL136" s="159" t="n">
        <v>1.667</v>
      </c>
      <c r="AM136" s="159" t="n">
        <v>125.009</v>
      </c>
      <c r="AN136" s="159" t="n">
        <v>0.1574</v>
      </c>
      <c r="AO136" s="159" t="n">
        <v>-0.3695</v>
      </c>
      <c r="AP136" s="159" t="n">
        <v>-0.2555</v>
      </c>
      <c r="AQ136" s="159" t="n">
        <v>4.96836</v>
      </c>
      <c r="AR136" s="159" t="n"/>
      <c r="AS136" s="159" t="n">
        <v>0.5525</v>
      </c>
      <c r="AT136" s="159" t="n">
        <v>4.9</v>
      </c>
      <c r="AU136" s="159" t="n">
        <v>100.6</v>
      </c>
      <c r="AV136" s="159" t="n">
        <v>106.1</v>
      </c>
      <c r="AW136" s="159" t="n">
        <v>99.0685</v>
      </c>
      <c r="AX136" s="159" t="n">
        <v>102.3</v>
      </c>
      <c r="AY136" s="159" t="n">
        <v>3.902425092</v>
      </c>
      <c r="AZ136" s="159" t="n">
        <v>4.670424076</v>
      </c>
      <c r="BA136" s="159" t="n">
        <v>9.418654509</v>
      </c>
      <c r="BB136" s="159" t="n">
        <v>4.592703803</v>
      </c>
      <c r="BC136" s="159" t="n">
        <v>4.811371017</v>
      </c>
    </row>
    <row r="137">
      <c r="A137" s="83" t="inlineStr">
        <is>
          <t>2016-11</t>
        </is>
      </c>
      <c r="B137" s="155" t="n">
        <v>3110.258667</v>
      </c>
      <c r="C137" s="155" t="n">
        <v>116.04</v>
      </c>
      <c r="D137" s="155" t="n">
        <v>478.31</v>
      </c>
      <c r="E137" s="155" t="n">
        <v>5177.57</v>
      </c>
      <c r="F137" s="152" t="n">
        <v>7.75</v>
      </c>
      <c r="G137" s="152" t="n">
        <v>0.41</v>
      </c>
      <c r="H137" s="152" t="n">
        <v>7.34</v>
      </c>
      <c r="I137" s="156" t="n">
        <v>-4847.143896</v>
      </c>
      <c r="J137" s="152" t="n">
        <v>4.757673775</v>
      </c>
      <c r="K137" s="152" t="n">
        <v>116.107515</v>
      </c>
      <c r="L137" s="152" t="n">
        <v>15.23619048</v>
      </c>
      <c r="M137" s="157" t="n">
        <v>0</v>
      </c>
      <c r="N137" s="155" t="n">
        <v>46742.28</v>
      </c>
      <c r="O137" s="152" t="n">
        <v>251.7727273</v>
      </c>
      <c r="P137" s="152" t="n">
        <v>2.517727273</v>
      </c>
      <c r="Q137" s="156" t="n">
        <v>-0.6</v>
      </c>
      <c r="R137" s="156" t="n">
        <v>-618.1799999999999</v>
      </c>
      <c r="S137" s="152" t="n">
        <v>6.95</v>
      </c>
      <c r="T137" s="152" t="n">
        <v>3.056</v>
      </c>
      <c r="U137" s="152" t="n">
        <v>3.894</v>
      </c>
      <c r="V137" s="152" t="n">
        <v>1.739534998</v>
      </c>
      <c r="W137" s="152" t="n">
        <v>2.154465002</v>
      </c>
      <c r="X137" s="158" t="n">
        <v>3.340177287</v>
      </c>
      <c r="Y137" s="158" t="n">
        <v>666.8226045</v>
      </c>
      <c r="Z137" s="158" t="n">
        <v>19.99668545</v>
      </c>
      <c r="AA137" s="158" t="n">
        <v>3.403489474</v>
      </c>
      <c r="AB137" s="159" t="n">
        <v>1.109984454</v>
      </c>
      <c r="AC137" s="159" t="n">
        <v>0.9384607938</v>
      </c>
      <c r="AD137" s="159" t="n">
        <v>103.1688152</v>
      </c>
      <c r="AE137" s="159" t="n">
        <v>92.73</v>
      </c>
      <c r="AF137" s="159" t="n">
        <v>0.32</v>
      </c>
      <c r="AG137" s="159" t="n">
        <v>-0.0655</v>
      </c>
      <c r="AH137" s="159" t="n">
        <v>0.9795</v>
      </c>
      <c r="AI137" s="159" t="n">
        <v>2.142</v>
      </c>
      <c r="AJ137" s="159" t="n">
        <v>1.1625</v>
      </c>
      <c r="AK137" s="159" t="n">
        <v>1.6615</v>
      </c>
      <c r="AL137" s="159" t="n">
        <v>1.822</v>
      </c>
      <c r="AM137" s="159" t="n">
        <v>226.217</v>
      </c>
      <c r="AN137" s="159" t="n">
        <v>0.08712499999999999</v>
      </c>
      <c r="AO137" s="159" t="n">
        <v>-0.41825</v>
      </c>
      <c r="AP137" s="159" t="n">
        <v>-0.36725</v>
      </c>
      <c r="AQ137" s="159" t="n">
        <v>4.77041</v>
      </c>
      <c r="AR137" s="159" t="n"/>
      <c r="AS137" s="159" t="n">
        <v>0.4615</v>
      </c>
      <c r="AT137" s="159" t="n">
        <v>4.7</v>
      </c>
      <c r="AU137" s="159" t="n">
        <v>100.2</v>
      </c>
      <c r="AV137" s="159" t="n">
        <v>106.2</v>
      </c>
      <c r="AW137" s="159" t="n">
        <v>99.06440000000001</v>
      </c>
      <c r="AX137" s="159" t="n">
        <v>102.4</v>
      </c>
      <c r="AY137" s="159" t="n">
        <v>3.800736074</v>
      </c>
      <c r="AZ137" s="159" t="n">
        <v>4.659213196</v>
      </c>
      <c r="BA137" s="159" t="n">
        <v>9.418248451</v>
      </c>
      <c r="BB137" s="159" t="n">
        <v>4.588523394</v>
      </c>
      <c r="BC137" s="159" t="n">
        <v>4.812997033</v>
      </c>
    </row>
    <row r="138">
      <c r="A138" s="83" t="inlineStr">
        <is>
          <t>2016-12</t>
        </is>
      </c>
      <c r="B138" s="155" t="n">
        <v>3009.863871</v>
      </c>
      <c r="C138" s="155" t="n">
        <v>122.86</v>
      </c>
      <c r="D138" s="155" t="n">
        <v>467.3</v>
      </c>
      <c r="E138" s="155" t="n">
        <v>5147.47</v>
      </c>
      <c r="F138" s="152" t="n">
        <v>7.64516129</v>
      </c>
      <c r="G138" s="152" t="n">
        <v>0.54</v>
      </c>
      <c r="H138" s="152" t="n">
        <v>7.10516129</v>
      </c>
      <c r="I138" s="156" t="n">
        <v>-3625.232331</v>
      </c>
      <c r="J138" s="152" t="n">
        <v>4.043303494</v>
      </c>
      <c r="K138" s="152" t="n">
        <v>117.9048286</v>
      </c>
      <c r="L138" s="152" t="n">
        <v>12.47238095</v>
      </c>
      <c r="M138" s="157" t="n">
        <v>0</v>
      </c>
      <c r="N138" s="155" t="n">
        <v>46674.63</v>
      </c>
      <c r="O138" s="152" t="n">
        <v>227.6363636</v>
      </c>
      <c r="P138" s="152" t="n">
        <v>2.276363636</v>
      </c>
      <c r="Q138" s="156" t="n">
        <v>-216.63</v>
      </c>
      <c r="R138" s="156" t="n">
        <v>-60.01</v>
      </c>
      <c r="S138" s="152" t="n">
        <v>6.779</v>
      </c>
      <c r="T138" s="152" t="n">
        <v>3.033684211</v>
      </c>
      <c r="U138" s="152" t="n">
        <v>3.745315789</v>
      </c>
      <c r="V138" s="152" t="n">
        <v>1.883342851</v>
      </c>
      <c r="W138" s="152" t="n">
        <v>1.861972939</v>
      </c>
      <c r="X138" s="158" t="n">
        <v>3.35196818</v>
      </c>
      <c r="Y138" s="158" t="n">
        <v>666.4767182000001</v>
      </c>
      <c r="Z138" s="158" t="n">
        <v>20.45695045</v>
      </c>
      <c r="AA138" s="158" t="n">
        <v>3.39542381</v>
      </c>
      <c r="AB138" s="159" t="n">
        <v>0.1949879014</v>
      </c>
      <c r="AC138" s="159" t="n">
        <v>0.1009834419</v>
      </c>
      <c r="AD138" s="159" t="n">
        <v>103.8116749</v>
      </c>
      <c r="AE138" s="159" t="n">
        <v>93.11</v>
      </c>
      <c r="AF138" s="159" t="n">
        <v>0.55619</v>
      </c>
      <c r="AG138" s="159" t="n">
        <v>0.148095</v>
      </c>
      <c r="AH138" s="159" t="n">
        <v>1.19667</v>
      </c>
      <c r="AI138" s="159" t="n">
        <v>2.4919</v>
      </c>
      <c r="AJ138" s="159" t="n">
        <v>1.29524</v>
      </c>
      <c r="AK138" s="159" t="n">
        <v>1.81095</v>
      </c>
      <c r="AL138" s="159" t="n">
        <v>1.93571</v>
      </c>
      <c r="AM138" s="159" t="n">
        <v>183.894</v>
      </c>
      <c r="AN138" s="159" t="n">
        <v>-0.10672</v>
      </c>
      <c r="AO138" s="159" t="n">
        <v>-0.4602</v>
      </c>
      <c r="AP138" s="159" t="n">
        <v>-0.417</v>
      </c>
      <c r="AQ138" s="159" t="n">
        <v>4.77193</v>
      </c>
      <c r="AR138" s="159" t="n"/>
      <c r="AS138" s="159" t="n">
        <v>0.471</v>
      </c>
      <c r="AT138" s="159" t="n">
        <v>4.7</v>
      </c>
      <c r="AU138" s="159" t="n">
        <v>100.2</v>
      </c>
      <c r="AV138" s="159" t="n">
        <v>106</v>
      </c>
      <c r="AW138" s="159" t="n">
        <v>99.0694</v>
      </c>
      <c r="AX138" s="159" t="n">
        <v>102.6</v>
      </c>
      <c r="AY138" s="159" t="n">
        <v>3.976095793</v>
      </c>
      <c r="AZ138" s="159" t="n">
        <v>4.713764467</v>
      </c>
      <c r="BA138" s="159" t="n">
        <v>9.419303859999999</v>
      </c>
      <c r="BB138" s="159" t="n">
        <v>4.595335988</v>
      </c>
      <c r="BC138" s="159" t="n">
        <v>4.821893169</v>
      </c>
    </row>
    <row r="139">
      <c r="A139" s="83" t="inlineStr">
        <is>
          <t>2017-01</t>
        </is>
      </c>
      <c r="B139" s="155" t="n">
        <v>2941.399355</v>
      </c>
      <c r="C139" s="155" t="n">
        <v>129.46</v>
      </c>
      <c r="D139" s="155" t="n">
        <v>436.51</v>
      </c>
      <c r="E139" s="155" t="n">
        <v>5174.69</v>
      </c>
      <c r="F139" s="152" t="n">
        <v>7.5</v>
      </c>
      <c r="G139" s="152" t="n">
        <v>0.65</v>
      </c>
      <c r="H139" s="152" t="n">
        <v>6.85</v>
      </c>
      <c r="I139" s="156" t="n">
        <v>-257.4366851</v>
      </c>
      <c r="J139" s="152" t="n">
        <v>3.99186059</v>
      </c>
      <c r="K139" s="152" t="n">
        <v>117.7857789</v>
      </c>
      <c r="L139" s="152" t="n">
        <v>11.6085</v>
      </c>
      <c r="M139" s="157" t="n">
        <v>0</v>
      </c>
      <c r="N139" s="155" t="n">
        <v>46981.59</v>
      </c>
      <c r="O139" s="152" t="n">
        <v>211.3636364</v>
      </c>
      <c r="P139" s="152" t="n">
        <v>2.113636364</v>
      </c>
      <c r="Q139" s="156" t="n">
        <v>-204.74</v>
      </c>
      <c r="R139" s="156" t="n">
        <v>355.57</v>
      </c>
      <c r="S139" s="152" t="n">
        <v>6.483333333</v>
      </c>
      <c r="T139" s="152" t="n">
        <v>2.674285714</v>
      </c>
      <c r="U139" s="152" t="n">
        <v>3.809047619</v>
      </c>
      <c r="V139" s="152" t="n">
        <v>2.004924995</v>
      </c>
      <c r="W139" s="152" t="n">
        <v>1.804122624</v>
      </c>
      <c r="X139" s="158" t="n">
        <v>3.196295446</v>
      </c>
      <c r="Y139" s="158" t="n">
        <v>660.5767135999999</v>
      </c>
      <c r="Z139" s="158" t="n">
        <v>21.27207091</v>
      </c>
      <c r="AA139" s="158" t="n">
        <v>3.339872727</v>
      </c>
      <c r="AB139" s="159" t="n">
        <v>-0.17863863</v>
      </c>
      <c r="AC139" s="159" t="n">
        <v>-0.4632999832</v>
      </c>
      <c r="AD139" s="159" t="n">
        <v>102.509824</v>
      </c>
      <c r="AE139" s="159" t="n">
        <v>94.06999999999999</v>
      </c>
      <c r="AF139" s="159" t="n">
        <v>0.421</v>
      </c>
      <c r="AG139" s="159" t="n">
        <v>0.031</v>
      </c>
      <c r="AH139" s="159" t="n">
        <v>1.2065</v>
      </c>
      <c r="AI139" s="159" t="n">
        <v>2.4325</v>
      </c>
      <c r="AJ139" s="159" t="n">
        <v>1.226</v>
      </c>
      <c r="AK139" s="159" t="n">
        <v>1.8855</v>
      </c>
      <c r="AL139" s="159" t="n">
        <v>2.0115</v>
      </c>
      <c r="AM139" s="159" t="n">
        <v>246.671</v>
      </c>
      <c r="AN139" s="159" t="n">
        <v>-0.115425</v>
      </c>
      <c r="AO139" s="159" t="n">
        <v>-0.48575</v>
      </c>
      <c r="AP139" s="159" t="n">
        <v>-0.415</v>
      </c>
      <c r="AQ139" s="159" t="n">
        <v>4.79863</v>
      </c>
      <c r="AR139" s="159" t="n"/>
      <c r="AS139" s="159" t="n">
        <v>0.5135</v>
      </c>
      <c r="AT139" s="159" t="n">
        <v>4.7</v>
      </c>
      <c r="AU139" s="159" t="n">
        <v>99.90000000000001</v>
      </c>
      <c r="AV139" s="159" t="n"/>
      <c r="AW139" s="159" t="n">
        <v>99.0827</v>
      </c>
      <c r="AX139" s="159" t="n">
        <v>103.7</v>
      </c>
      <c r="AY139" s="159" t="n">
        <v>3.999607052</v>
      </c>
      <c r="AZ139" s="159" t="n">
        <v>4.750931487</v>
      </c>
      <c r="BA139" s="159" t="n">
        <v>9.420114956000001</v>
      </c>
      <c r="BB139" s="159" t="n">
        <v>4.592703803</v>
      </c>
      <c r="BC139" s="159" t="n">
        <v>4.81866736</v>
      </c>
    </row>
    <row r="140">
      <c r="A140" s="83" t="inlineStr">
        <is>
          <t>2017-02</t>
        </is>
      </c>
      <c r="B140" s="155" t="n">
        <v>2879.566786</v>
      </c>
      <c r="C140" s="155" t="n">
        <v>128.28</v>
      </c>
      <c r="D140" s="155" t="n">
        <v>392.88</v>
      </c>
      <c r="E140" s="155" t="n">
        <v>5116.15</v>
      </c>
      <c r="F140" s="152" t="n">
        <v>7.482142857</v>
      </c>
      <c r="G140" s="152" t="n">
        <v>0.66</v>
      </c>
      <c r="H140" s="152" t="n">
        <v>6.822142857</v>
      </c>
      <c r="I140" s="156" t="n">
        <v>-6420.920022</v>
      </c>
      <c r="J140" s="152" t="n">
        <v>4.089234215</v>
      </c>
      <c r="K140" s="152" t="n">
        <v>116.1203895</v>
      </c>
      <c r="L140" s="152" t="n">
        <v>11.53052632</v>
      </c>
      <c r="M140" s="157" t="n">
        <v>0</v>
      </c>
      <c r="N140" s="155" t="n">
        <v>46985.58</v>
      </c>
      <c r="O140" s="152" t="n">
        <v>199.15</v>
      </c>
      <c r="P140" s="152" t="n">
        <v>1.9915</v>
      </c>
      <c r="Q140" s="156" t="n">
        <v>-48.41</v>
      </c>
      <c r="R140" s="156" t="n">
        <v>-109.21</v>
      </c>
      <c r="S140" s="152" t="n">
        <v>6.539</v>
      </c>
      <c r="T140" s="152" t="n">
        <v>2.7295</v>
      </c>
      <c r="U140" s="152" t="n">
        <v>3.8095</v>
      </c>
      <c r="V140" s="152" t="n">
        <v>2.063836826</v>
      </c>
      <c r="W140" s="152" t="n">
        <v>1.745663174</v>
      </c>
      <c r="X140" s="158" t="n">
        <v>3.10339998</v>
      </c>
      <c r="Y140" s="158" t="n">
        <v>643.31889</v>
      </c>
      <c r="Z140" s="158" t="n">
        <v>20.2188015</v>
      </c>
      <c r="AA140" s="158" t="n">
        <v>3.259575</v>
      </c>
      <c r="AB140" s="159" t="n">
        <v>-1.309475568</v>
      </c>
      <c r="AC140" s="159" t="n">
        <v>-1.469114949</v>
      </c>
      <c r="AD140" s="159" t="n">
        <v>103.3597217</v>
      </c>
      <c r="AE140" s="159" t="n">
        <v>95.01000000000001</v>
      </c>
      <c r="AF140" s="159" t="n">
        <v>0.4</v>
      </c>
      <c r="AG140" s="159" t="n">
        <v>0.0147368</v>
      </c>
      <c r="AH140" s="159" t="n">
        <v>1.20105</v>
      </c>
      <c r="AI140" s="159" t="n">
        <v>2.41895</v>
      </c>
      <c r="AJ140" s="159" t="n">
        <v>1.21789</v>
      </c>
      <c r="AK140" s="159" t="n">
        <v>1.88684</v>
      </c>
      <c r="AL140" s="159" t="n">
        <v>2.01895</v>
      </c>
      <c r="AM140" s="159" t="n">
        <v>184.955</v>
      </c>
      <c r="AN140" s="159" t="n">
        <v>-0.2008</v>
      </c>
      <c r="AO140" s="159" t="n">
        <v>-0.49475</v>
      </c>
      <c r="AP140" s="159" t="n">
        <v>-0.42725</v>
      </c>
      <c r="AQ140" s="159" t="n">
        <v>4.68461</v>
      </c>
      <c r="AR140" s="159" t="n"/>
      <c r="AS140" s="159" t="n">
        <v>0.521579</v>
      </c>
      <c r="AT140" s="159" t="n">
        <v>4.6</v>
      </c>
      <c r="AU140" s="159" t="n">
        <v>100</v>
      </c>
      <c r="AV140" s="159" t="n">
        <v>106.3</v>
      </c>
      <c r="AW140" s="159" t="n">
        <v>99.1018</v>
      </c>
      <c r="AX140" s="159" t="n">
        <v>103.5</v>
      </c>
      <c r="AY140" s="159" t="n">
        <v>4.004957639</v>
      </c>
      <c r="AZ140" s="159" t="n">
        <v>4.75655132</v>
      </c>
      <c r="BA140" s="159" t="n">
        <v>9.421411342000001</v>
      </c>
      <c r="BB140" s="159" t="n">
        <v>4.588680983</v>
      </c>
      <c r="BC140" s="159" t="n">
        <v>4.825108606</v>
      </c>
    </row>
    <row r="141">
      <c r="A141" s="83" t="inlineStr">
        <is>
          <t>2017-03</t>
        </is>
      </c>
      <c r="B141" s="155" t="n">
        <v>2942.286129</v>
      </c>
      <c r="C141" s="155" t="n">
        <v>124.5</v>
      </c>
      <c r="D141" s="155" t="n">
        <v>479.01</v>
      </c>
      <c r="E141" s="155" t="n">
        <v>5180.28</v>
      </c>
      <c r="F141" s="152" t="n">
        <v>7.209677419</v>
      </c>
      <c r="G141" s="152" t="n">
        <v>0.79</v>
      </c>
      <c r="H141" s="152" t="n">
        <v>6.419677419</v>
      </c>
      <c r="I141" s="156" t="n">
        <v>-4048.257913</v>
      </c>
      <c r="J141" s="152" t="n">
        <v>4.19787776</v>
      </c>
      <c r="K141" s="152" t="n">
        <v>115.6558478</v>
      </c>
      <c r="L141" s="152" t="n">
        <v>11.89782609</v>
      </c>
      <c r="M141" s="157" t="n">
        <v>0</v>
      </c>
      <c r="N141" s="155" t="n">
        <v>46931.69</v>
      </c>
      <c r="O141" s="152" t="n">
        <v>195.0869565</v>
      </c>
      <c r="P141" s="152" t="n">
        <v>1.950869565</v>
      </c>
      <c r="Q141" s="156" t="n">
        <v>-98.02</v>
      </c>
      <c r="R141" s="156" t="n">
        <v>-188.46</v>
      </c>
      <c r="S141" s="152" t="n">
        <v>6.456363636</v>
      </c>
      <c r="T141" s="152" t="n">
        <v>3.054090909</v>
      </c>
      <c r="U141" s="152" t="n">
        <v>3.402272727</v>
      </c>
      <c r="V141" s="152" t="n">
        <v>2.046482625</v>
      </c>
      <c r="W141" s="152" t="n">
        <v>1.355790102</v>
      </c>
      <c r="X141" s="158" t="n">
        <v>3.127630441</v>
      </c>
      <c r="Y141" s="158" t="n">
        <v>661.9683739</v>
      </c>
      <c r="Z141" s="158" t="n">
        <v>19.22789696</v>
      </c>
      <c r="AA141" s="158" t="n">
        <v>3.263982609</v>
      </c>
      <c r="AB141" s="159" t="n">
        <v>-0.2770679549</v>
      </c>
      <c r="AC141" s="159" t="n">
        <v>-0.178158479</v>
      </c>
      <c r="AD141" s="159" t="n">
        <v>102.5717968</v>
      </c>
      <c r="AE141" s="159" t="n">
        <v>95.45999999999999</v>
      </c>
      <c r="AF141" s="159" t="n">
        <v>0.485652</v>
      </c>
      <c r="AG141" s="159" t="n">
        <v>0.176957</v>
      </c>
      <c r="AH141" s="159" t="n">
        <v>1.31304</v>
      </c>
      <c r="AI141" s="159" t="n">
        <v>2.48174</v>
      </c>
      <c r="AJ141" s="159" t="n">
        <v>1.1687</v>
      </c>
      <c r="AK141" s="159" t="n">
        <v>1.83652</v>
      </c>
      <c r="AL141" s="159" t="n">
        <v>1.99609</v>
      </c>
      <c r="AM141" s="159" t="n">
        <v>233.118</v>
      </c>
      <c r="AN141" s="159" t="n">
        <v>-0.3581</v>
      </c>
      <c r="AO141" s="159" t="n">
        <v>-0.4872</v>
      </c>
      <c r="AP141" s="159" t="n">
        <v>-0.4468</v>
      </c>
      <c r="AQ141" s="159" t="n">
        <v>4.47871</v>
      </c>
      <c r="AR141" s="159" t="n"/>
      <c r="AS141" s="159" t="n">
        <v>0.397826</v>
      </c>
      <c r="AT141" s="159" t="n">
        <v>4.4</v>
      </c>
      <c r="AU141" s="159" t="n">
        <v>100.2</v>
      </c>
      <c r="AV141" s="159" t="n">
        <v>107.6</v>
      </c>
      <c r="AW141" s="159" t="n">
        <v>99.1232</v>
      </c>
      <c r="AX141" s="159" t="n">
        <v>103.2</v>
      </c>
      <c r="AY141" s="159" t="n">
        <v>3.94331041</v>
      </c>
      <c r="AZ141" s="159" t="n">
        <v>4.707934334</v>
      </c>
      <c r="BA141" s="159" t="n">
        <v>9.422301634</v>
      </c>
      <c r="BB141" s="159" t="n">
        <v>4.595258224</v>
      </c>
      <c r="BC141" s="159" t="n">
        <v>4.827513417</v>
      </c>
    </row>
    <row r="142">
      <c r="A142" s="83" t="inlineStr">
        <is>
          <t>2017-04</t>
        </is>
      </c>
      <c r="B142" s="155" t="n">
        <v>2877.821667</v>
      </c>
      <c r="C142" s="155" t="n">
        <v>125.02</v>
      </c>
      <c r="D142" s="155" t="n">
        <v>401.64</v>
      </c>
      <c r="E142" s="155" t="n">
        <v>5182.16</v>
      </c>
      <c r="F142" s="152" t="n">
        <v>7</v>
      </c>
      <c r="G142" s="152" t="n">
        <v>0.9</v>
      </c>
      <c r="H142" s="152" t="n">
        <v>6.1</v>
      </c>
      <c r="I142" s="156" t="n">
        <v>1626.511029</v>
      </c>
      <c r="J142" s="152" t="n">
        <v>3.973230938</v>
      </c>
      <c r="K142" s="152" t="n">
        <v>114.769795</v>
      </c>
      <c r="L142" s="152" t="n">
        <v>13.13631579</v>
      </c>
      <c r="M142" s="157" t="n">
        <v>0</v>
      </c>
      <c r="N142" s="155" t="n">
        <v>46935.77</v>
      </c>
      <c r="O142" s="152" t="n">
        <v>196.7</v>
      </c>
      <c r="P142" s="152" t="n">
        <v>1.967</v>
      </c>
      <c r="Q142" s="156" t="n">
        <v>3.69</v>
      </c>
      <c r="R142" s="156" t="n">
        <v>-310.73</v>
      </c>
      <c r="S142" s="152" t="n">
        <v>6.079444444</v>
      </c>
      <c r="T142" s="152" t="n">
        <v>2.932222222</v>
      </c>
      <c r="U142" s="152" t="n">
        <v>3.147222222</v>
      </c>
      <c r="V142" s="152" t="n">
        <v>1.896189464</v>
      </c>
      <c r="W142" s="152" t="n">
        <v>1.251032758</v>
      </c>
      <c r="X142" s="158" t="n">
        <v>3.135865021</v>
      </c>
      <c r="Y142" s="158" t="n">
        <v>655.341395</v>
      </c>
      <c r="Z142" s="158" t="n">
        <v>18.756366</v>
      </c>
      <c r="AA142" s="158" t="n">
        <v>3.247755556</v>
      </c>
      <c r="AB142" s="159" t="n">
        <v>-0.5018768809</v>
      </c>
      <c r="AC142" s="159" t="n">
        <v>-0.474186997</v>
      </c>
      <c r="AD142" s="159" t="n">
        <v>102.626857</v>
      </c>
      <c r="AE142" s="159" t="n">
        <v>95.91</v>
      </c>
      <c r="AF142" s="159" t="n">
        <v>0.391053</v>
      </c>
      <c r="AG142" s="159" t="n">
        <v>0.0757895</v>
      </c>
      <c r="AH142" s="159" t="n">
        <v>1.24105</v>
      </c>
      <c r="AI142" s="159" t="n">
        <v>2.29737</v>
      </c>
      <c r="AJ142" s="159" t="n">
        <v>1.05632</v>
      </c>
      <c r="AK142" s="159" t="n">
        <v>1.74842</v>
      </c>
      <c r="AL142" s="159" t="n">
        <v>1.90632</v>
      </c>
      <c r="AM142" s="159" t="n">
        <v>174.196</v>
      </c>
      <c r="AN142" s="159" t="n">
        <v>-0.3619</v>
      </c>
      <c r="AO142" s="159" t="n">
        <v>-0.50025</v>
      </c>
      <c r="AP142" s="159" t="n">
        <v>-0.46375</v>
      </c>
      <c r="AQ142" s="159" t="n">
        <v>4.45254</v>
      </c>
      <c r="AR142" s="159" t="n"/>
      <c r="AS142" s="159" t="n">
        <v>0.363333</v>
      </c>
      <c r="AT142" s="159" t="n">
        <v>4.4</v>
      </c>
      <c r="AU142" s="159" t="n">
        <v>100.1</v>
      </c>
      <c r="AV142" s="159" t="n">
        <v>106.5</v>
      </c>
      <c r="AW142" s="159" t="n">
        <v>99.1422</v>
      </c>
      <c r="AX142" s="159" t="n">
        <v>103.2</v>
      </c>
      <c r="AY142" s="159" t="n">
        <v>3.957147411</v>
      </c>
      <c r="AZ142" s="159" t="n">
        <v>4.710439698</v>
      </c>
      <c r="BA142" s="159" t="n">
        <v>9.422786914</v>
      </c>
      <c r="BB142" s="159" t="n">
        <v>4.605390162</v>
      </c>
      <c r="BC142" s="159" t="n">
        <v>4.830710862</v>
      </c>
    </row>
    <row r="143">
      <c r="A143" s="83" t="inlineStr">
        <is>
          <t>2017-05</t>
        </is>
      </c>
      <c r="B143" s="155" t="n">
        <v>2923.612903</v>
      </c>
      <c r="C143" s="155" t="n">
        <v>123.74</v>
      </c>
      <c r="D143" s="155" t="n">
        <v>499.08</v>
      </c>
      <c r="E143" s="155" t="n">
        <v>5247.73</v>
      </c>
      <c r="F143" s="152" t="n">
        <v>6.5</v>
      </c>
      <c r="G143" s="152" t="n">
        <v>0.91</v>
      </c>
      <c r="H143" s="152" t="n">
        <v>5.59</v>
      </c>
      <c r="I143" s="156" t="n">
        <v>-53.32923461</v>
      </c>
      <c r="J143" s="152" t="n">
        <v>4.011046289</v>
      </c>
      <c r="K143" s="152" t="n">
        <v>114.2591318</v>
      </c>
      <c r="L143" s="152" t="n">
        <v>10.86227273</v>
      </c>
      <c r="M143" s="157" t="n">
        <v>0</v>
      </c>
      <c r="N143" s="155" t="n">
        <v>47152.54</v>
      </c>
      <c r="O143" s="152" t="n">
        <v>194.5652174</v>
      </c>
      <c r="P143" s="152" t="n">
        <v>1.945652174</v>
      </c>
      <c r="Q143" s="156" t="n">
        <v>-44.92</v>
      </c>
      <c r="R143" s="156" t="n">
        <v>-136.51</v>
      </c>
      <c r="S143" s="152" t="n">
        <v>5.901428571</v>
      </c>
      <c r="T143" s="152" t="n">
        <v>2.62047619</v>
      </c>
      <c r="U143" s="152" t="n">
        <v>3.280952381</v>
      </c>
      <c r="V143" s="152" t="n">
        <v>1.791736354</v>
      </c>
      <c r="W143" s="152" t="n">
        <v>1.489216027</v>
      </c>
      <c r="X143" s="158" t="n">
        <v>3.208626104</v>
      </c>
      <c r="Y143" s="158" t="n">
        <v>671.4088087</v>
      </c>
      <c r="Z143" s="158" t="n">
        <v>18.76033</v>
      </c>
      <c r="AA143" s="158" t="n">
        <v>3.273463636</v>
      </c>
      <c r="AB143" s="159" t="n">
        <v>0.4104604792</v>
      </c>
      <c r="AC143" s="159" t="n">
        <v>0.4688911009</v>
      </c>
      <c r="AD143" s="159" t="n">
        <v>103.2245041</v>
      </c>
      <c r="AE143" s="159" t="n">
        <v>96.12</v>
      </c>
      <c r="AF143" s="159" t="n">
        <v>0.466818</v>
      </c>
      <c r="AG143" s="159" t="n">
        <v>0.09045449999999999</v>
      </c>
      <c r="AH143" s="159" t="n">
        <v>1.30182</v>
      </c>
      <c r="AI143" s="159" t="n">
        <v>2.30364</v>
      </c>
      <c r="AJ143" s="159" t="n">
        <v>1.00182</v>
      </c>
      <c r="AK143" s="159" t="n">
        <v>1.74636</v>
      </c>
      <c r="AL143" s="159" t="n">
        <v>1.83682</v>
      </c>
      <c r="AM143" s="159" t="n">
        <v>142.439</v>
      </c>
      <c r="AN143" s="159" t="n">
        <v>-0.5554750000000001</v>
      </c>
      <c r="AO143" s="159" t="n">
        <v>-0.5365</v>
      </c>
      <c r="AP143" s="159" t="n">
        <v>-0.49925</v>
      </c>
      <c r="AQ143" s="159" t="n">
        <v>4.40475</v>
      </c>
      <c r="AR143" s="159" t="n"/>
      <c r="AS143" s="159" t="n">
        <v>0.292857</v>
      </c>
      <c r="AT143" s="159" t="n">
        <v>4.4</v>
      </c>
      <c r="AU143" s="159" t="n">
        <v>100.1</v>
      </c>
      <c r="AV143" s="159" t="n">
        <v>106.5</v>
      </c>
      <c r="AW143" s="159" t="n">
        <v>99.1564</v>
      </c>
      <c r="AX143" s="159" t="n">
        <v>103.3</v>
      </c>
      <c r="AY143" s="159" t="n">
        <v>3.918531777</v>
      </c>
      <c r="AZ143" s="159" t="n">
        <v>4.690494307</v>
      </c>
      <c r="BA143" s="159" t="n">
        <v>9.423595191</v>
      </c>
      <c r="BB143" s="159" t="n">
        <v>4.606579193</v>
      </c>
      <c r="BC143" s="159" t="n">
        <v>4.835487941</v>
      </c>
    </row>
    <row r="144">
      <c r="A144" s="83" t="inlineStr">
        <is>
          <t>2017-06</t>
        </is>
      </c>
      <c r="B144" s="155" t="n">
        <v>2957.098333</v>
      </c>
      <c r="C144" s="155" t="n">
        <v>122.3</v>
      </c>
      <c r="D144" s="155" t="n">
        <v>499.39</v>
      </c>
      <c r="E144" s="155" t="n">
        <v>5342.82</v>
      </c>
      <c r="F144" s="152" t="n">
        <v>6.25</v>
      </c>
      <c r="G144" s="152" t="n">
        <v>1.04</v>
      </c>
      <c r="H144" s="152" t="n">
        <v>5.21</v>
      </c>
      <c r="I144" s="156" t="n">
        <v>-3441.009172</v>
      </c>
      <c r="J144" s="152" t="n">
        <v>4.214938459</v>
      </c>
      <c r="K144" s="152" t="n">
        <v>112.7602727</v>
      </c>
      <c r="L144" s="152" t="n">
        <v>10.51363636</v>
      </c>
      <c r="M144" s="157" t="n">
        <v>0</v>
      </c>
      <c r="N144" s="155" t="n">
        <v>47234.35</v>
      </c>
      <c r="O144" s="152" t="n">
        <v>196.3636364</v>
      </c>
      <c r="P144" s="152" t="n">
        <v>1.963636364</v>
      </c>
      <c r="Q144" s="156" t="n">
        <v>37.62</v>
      </c>
      <c r="R144" s="156" t="n">
        <v>-300.78</v>
      </c>
      <c r="S144" s="152" t="n">
        <v>5.8495</v>
      </c>
      <c r="T144" s="152" t="n">
        <v>2.646</v>
      </c>
      <c r="U144" s="152" t="n">
        <v>3.2035</v>
      </c>
      <c r="V144" s="152" t="n">
        <v>1.687586373</v>
      </c>
      <c r="W144" s="152" t="n">
        <v>1.515913627</v>
      </c>
      <c r="X144" s="158" t="n">
        <v>3.29453179</v>
      </c>
      <c r="Y144" s="158" t="n">
        <v>664.5387682</v>
      </c>
      <c r="Z144" s="158" t="n">
        <v>18.10983455</v>
      </c>
      <c r="AA144" s="158" t="n">
        <v>3.267975</v>
      </c>
      <c r="AB144" s="159" t="n">
        <v>-0.413563418</v>
      </c>
      <c r="AC144" s="159" t="n">
        <v>-0.3414610178</v>
      </c>
      <c r="AD144" s="159" t="n">
        <v>104.5298365</v>
      </c>
      <c r="AE144" s="159" t="n">
        <v>96.23</v>
      </c>
      <c r="AF144" s="159" t="n">
        <v>0.458182</v>
      </c>
      <c r="AG144" s="159" t="n">
        <v>0.141364</v>
      </c>
      <c r="AH144" s="159" t="n">
        <v>1.34227</v>
      </c>
      <c r="AI144" s="159" t="n">
        <v>2.18682</v>
      </c>
      <c r="AJ144" s="159" t="n">
        <v>0.844545</v>
      </c>
      <c r="AK144" s="159" t="n">
        <v>1.63273</v>
      </c>
      <c r="AL144" s="159" t="n">
        <v>1.72864</v>
      </c>
      <c r="AM144" s="159" t="n">
        <v>169.657</v>
      </c>
      <c r="AN144" s="159" t="n">
        <v>-0.61236</v>
      </c>
      <c r="AO144" s="159" t="n">
        <v>-0.5646</v>
      </c>
      <c r="AP144" s="159" t="n">
        <v>-0.5354</v>
      </c>
      <c r="AQ144" s="159" t="n">
        <v>4.35269</v>
      </c>
      <c r="AR144" s="159" t="n"/>
      <c r="AS144" s="159" t="n">
        <v>0.280455</v>
      </c>
      <c r="AT144" s="159" t="n">
        <v>4.3</v>
      </c>
      <c r="AU144" s="159" t="n">
        <v>100</v>
      </c>
      <c r="AV144" s="159" t="n">
        <v>107.6</v>
      </c>
      <c r="AW144" s="159" t="n">
        <v>99.1636</v>
      </c>
      <c r="AX144" s="159" t="n">
        <v>103.1</v>
      </c>
      <c r="AY144" s="159" t="n">
        <v>3.836613879</v>
      </c>
      <c r="AZ144" s="159" t="n">
        <v>4.660339957</v>
      </c>
      <c r="BA144" s="159" t="n">
        <v>9.424644975</v>
      </c>
      <c r="BB144" s="159" t="n">
        <v>4.608634179</v>
      </c>
      <c r="BC144" s="159" t="n">
        <v>4.834693344</v>
      </c>
    </row>
    <row r="145">
      <c r="A145" s="83" t="inlineStr">
        <is>
          <t>2017-07</t>
        </is>
      </c>
      <c r="B145" s="155" t="n">
        <v>3036.583871</v>
      </c>
      <c r="C145" s="155" t="n">
        <v>122.99</v>
      </c>
      <c r="D145" s="155" t="n">
        <v>509.54</v>
      </c>
      <c r="E145" s="155" t="n">
        <v>5452.74</v>
      </c>
      <c r="F145" s="152" t="n">
        <v>5.766129032</v>
      </c>
      <c r="G145" s="152" t="n">
        <v>1.15</v>
      </c>
      <c r="H145" s="152" t="n">
        <v>4.616129032</v>
      </c>
      <c r="I145" s="156" t="n">
        <v>-6424.036542</v>
      </c>
      <c r="J145" s="152" t="n">
        <v>4.206137479</v>
      </c>
      <c r="K145" s="152" t="n">
        <v>111.060555</v>
      </c>
      <c r="L145" s="152" t="n">
        <v>10.2645</v>
      </c>
      <c r="M145" s="157" t="n">
        <v>0</v>
      </c>
      <c r="N145" s="155" t="n">
        <v>47531.09</v>
      </c>
      <c r="O145" s="152" t="n">
        <v>200.0952381</v>
      </c>
      <c r="P145" s="152" t="n">
        <v>2.000952381</v>
      </c>
      <c r="Q145" s="156" t="n">
        <v>-99.52</v>
      </c>
      <c r="R145" s="156" t="n">
        <v>115.27</v>
      </c>
      <c r="S145" s="152" t="n">
        <v>6.192105263</v>
      </c>
      <c r="T145" s="152" t="n">
        <v>2.933157895</v>
      </c>
      <c r="U145" s="152" t="n">
        <v>3.258947368</v>
      </c>
      <c r="V145" s="152" t="n">
        <v>1.699534994</v>
      </c>
      <c r="W145" s="152" t="n">
        <v>1.559412374</v>
      </c>
      <c r="X145" s="158" t="n">
        <v>3.205838095</v>
      </c>
      <c r="Y145" s="158" t="n">
        <v>657.6549</v>
      </c>
      <c r="Z145" s="158" t="n">
        <v>17.78123143</v>
      </c>
      <c r="AA145" s="158" t="n">
        <v>3.249373684</v>
      </c>
      <c r="AB145" s="159" t="n">
        <v>-0.7002852348</v>
      </c>
      <c r="AC145" s="159" t="n">
        <v>-0.6375614898999999</v>
      </c>
      <c r="AD145" s="159" t="n">
        <v>103.0802985</v>
      </c>
      <c r="AE145" s="159" t="n">
        <v>96.18000000000001</v>
      </c>
      <c r="AF145" s="159" t="n">
        <v>0.546</v>
      </c>
      <c r="AG145" s="159" t="n">
        <v>0.2305</v>
      </c>
      <c r="AH145" s="159" t="n">
        <v>1.3725</v>
      </c>
      <c r="AI145" s="159" t="n">
        <v>2.318</v>
      </c>
      <c r="AJ145" s="159" t="n">
        <v>0.9455</v>
      </c>
      <c r="AK145" s="159" t="n">
        <v>1.6415</v>
      </c>
      <c r="AL145" s="159" t="n">
        <v>1.772</v>
      </c>
      <c r="AM145" s="159" t="n">
        <v>162.896</v>
      </c>
      <c r="AN145" s="159" t="n">
        <v>-0.6383</v>
      </c>
      <c r="AO145" s="159" t="n">
        <v>-0.57725</v>
      </c>
      <c r="AP145" s="159" t="n">
        <v>-0.5775</v>
      </c>
      <c r="AQ145" s="159" t="n">
        <v>4.38444</v>
      </c>
      <c r="AR145" s="159" t="n"/>
      <c r="AS145" s="159" t="n">
        <v>0.2395</v>
      </c>
      <c r="AT145" s="159" t="n">
        <v>4.3</v>
      </c>
      <c r="AU145" s="159" t="n">
        <v>100.1</v>
      </c>
      <c r="AV145" s="159" t="n">
        <v>106.4</v>
      </c>
      <c r="AW145" s="159" t="n">
        <v>99.1614</v>
      </c>
      <c r="AX145" s="159" t="n">
        <v>103</v>
      </c>
      <c r="AY145" s="159" t="n">
        <v>3.881122463</v>
      </c>
      <c r="AZ145" s="159" t="n">
        <v>4.684036818</v>
      </c>
      <c r="BA145" s="159" t="n">
        <v>9.424644975</v>
      </c>
      <c r="BB145" s="159" t="n">
        <v>4.606239614</v>
      </c>
      <c r="BC145" s="159" t="n">
        <v>4.853591544</v>
      </c>
    </row>
    <row r="146">
      <c r="A146" s="83" t="inlineStr">
        <is>
          <t>2017-08</t>
        </is>
      </c>
      <c r="B146" s="155" t="n">
        <v>2973.204839</v>
      </c>
      <c r="C146" s="155" t="n">
        <v>124.53</v>
      </c>
      <c r="D146" s="155" t="n">
        <v>503.72</v>
      </c>
      <c r="E146" s="155" t="n">
        <v>5503.25</v>
      </c>
      <c r="F146" s="152" t="n">
        <v>5.5</v>
      </c>
      <c r="G146" s="152" t="n">
        <v>1.16</v>
      </c>
      <c r="H146" s="152" t="n">
        <v>4.34</v>
      </c>
      <c r="I146" s="156" t="n">
        <v>-1423.300483</v>
      </c>
      <c r="J146" s="152" t="n">
        <v>3.644644942</v>
      </c>
      <c r="K146" s="152" t="n">
        <v>109.9058609</v>
      </c>
      <c r="L146" s="152" t="n">
        <v>11.97565217</v>
      </c>
      <c r="M146" s="157" t="n">
        <v>0</v>
      </c>
      <c r="N146" s="155" t="n">
        <v>47568.61</v>
      </c>
      <c r="O146" s="152" t="n">
        <v>200.6956522</v>
      </c>
      <c r="P146" s="152" t="n">
        <v>2.006956522</v>
      </c>
      <c r="Q146" s="156" t="n">
        <v>-123.63</v>
      </c>
      <c r="R146" s="156" t="n">
        <v>-96.92</v>
      </c>
      <c r="S146" s="152" t="n">
        <v>6.274761905</v>
      </c>
      <c r="T146" s="152" t="n">
        <v>2.897142857</v>
      </c>
      <c r="U146" s="152" t="n">
        <v>3.377619048</v>
      </c>
      <c r="V146" s="152" t="n">
        <v>1.693826095</v>
      </c>
      <c r="W146" s="152" t="n">
        <v>1.683792953</v>
      </c>
      <c r="X146" s="158" t="n">
        <v>3.150613043</v>
      </c>
      <c r="Y146" s="158" t="n">
        <v>643.4549</v>
      </c>
      <c r="Z146" s="158" t="n">
        <v>17.79015652</v>
      </c>
      <c r="AA146" s="158" t="n">
        <v>3.241559091</v>
      </c>
      <c r="AB146" s="159" t="n">
        <v>-0.5274350351</v>
      </c>
      <c r="AC146" s="159" t="n">
        <v>-0.4415420624</v>
      </c>
      <c r="AD146" s="159" t="n">
        <v>104.1348784</v>
      </c>
      <c r="AE146" s="159" t="n">
        <v>96.31999999999999</v>
      </c>
      <c r="AF146" s="159" t="n">
        <v>0.433478</v>
      </c>
      <c r="AG146" s="159" t="n">
        <v>0.161739</v>
      </c>
      <c r="AH146" s="159" t="n">
        <v>1.33522</v>
      </c>
      <c r="AI146" s="159" t="n">
        <v>2.20913</v>
      </c>
      <c r="AJ146" s="159" t="n">
        <v>0.8739130000000001</v>
      </c>
      <c r="AK146" s="159" t="n">
        <v>1.61478</v>
      </c>
      <c r="AL146" s="159" t="n">
        <v>1.77565</v>
      </c>
      <c r="AM146" s="159" t="n">
        <v>139.123</v>
      </c>
      <c r="AN146" s="159" t="n">
        <v>-0.4916</v>
      </c>
      <c r="AO146" s="159" t="n">
        <v>-0.56875</v>
      </c>
      <c r="AP146" s="159" t="n">
        <v>-0.553</v>
      </c>
      <c r="AQ146" s="159" t="n">
        <v>4.44952</v>
      </c>
      <c r="AR146" s="159" t="n"/>
      <c r="AS146" s="159" t="n">
        <v>0.297727</v>
      </c>
      <c r="AT146" s="159" t="n">
        <v>4.4</v>
      </c>
      <c r="AU146" s="159" t="n">
        <v>100.1</v>
      </c>
      <c r="AV146" s="159" t="n">
        <v>106</v>
      </c>
      <c r="AW146" s="159" t="n">
        <v>99.15009999999999</v>
      </c>
      <c r="AX146" s="159" t="n">
        <v>103.5</v>
      </c>
      <c r="AY146" s="159" t="n">
        <v>3.94554095</v>
      </c>
      <c r="AZ146" s="159" t="n">
        <v>4.709908508</v>
      </c>
      <c r="BA146" s="159" t="n">
        <v>9.428270356000001</v>
      </c>
      <c r="BB146" s="159" t="n">
        <v>4.602090448</v>
      </c>
      <c r="BC146" s="159" t="n">
        <v>4.85903691</v>
      </c>
    </row>
    <row r="147">
      <c r="A147" s="83" t="inlineStr">
        <is>
          <t>2017-09</t>
        </is>
      </c>
      <c r="B147" s="155" t="n">
        <v>2917.085</v>
      </c>
      <c r="C147" s="155" t="n">
        <v>129.58</v>
      </c>
      <c r="D147" s="155" t="n">
        <v>458.75</v>
      </c>
      <c r="E147" s="155" t="n">
        <v>5548.55</v>
      </c>
      <c r="F147" s="152" t="n">
        <v>5.25</v>
      </c>
      <c r="G147" s="152" t="n">
        <v>1.15</v>
      </c>
      <c r="H147" s="152" t="n">
        <v>4.1</v>
      </c>
      <c r="I147" s="156" t="n">
        <v>2208.06195</v>
      </c>
      <c r="J147" s="152" t="n">
        <v>3.417510452</v>
      </c>
      <c r="K147" s="152" t="n">
        <v>108.854245</v>
      </c>
      <c r="L147" s="152" t="n">
        <v>10.438</v>
      </c>
      <c r="M147" s="157" t="n">
        <v>0</v>
      </c>
      <c r="N147" s="155" t="n">
        <v>47514.56</v>
      </c>
      <c r="O147" s="152" t="n">
        <v>189.1904762</v>
      </c>
      <c r="P147" s="152" t="n">
        <v>1.891904762</v>
      </c>
      <c r="Q147" s="156" t="n">
        <v>-103.87</v>
      </c>
      <c r="R147" s="156" t="n">
        <v>-209.64</v>
      </c>
      <c r="S147" s="152" t="n">
        <v>6.095238095</v>
      </c>
      <c r="T147" s="152" t="n">
        <v>2.655714286</v>
      </c>
      <c r="U147" s="152" t="n">
        <v>3.43952381</v>
      </c>
      <c r="V147" s="152" t="n">
        <v>1.774534982</v>
      </c>
      <c r="W147" s="152" t="n">
        <v>1.664988827</v>
      </c>
      <c r="X147" s="158" t="n">
        <v>3.133466667</v>
      </c>
      <c r="Y147" s="158" t="n">
        <v>626.014419</v>
      </c>
      <c r="Z147" s="158" t="n">
        <v>17.79284</v>
      </c>
      <c r="AA147" s="158" t="n">
        <v>3.24652381</v>
      </c>
      <c r="AB147" s="159" t="n">
        <v>-0.4937918215</v>
      </c>
      <c r="AC147" s="159" t="n">
        <v>-0.3370986696</v>
      </c>
      <c r="AD147" s="159" t="n">
        <v>104.1751477</v>
      </c>
      <c r="AE147" s="159" t="n">
        <v>96.36</v>
      </c>
      <c r="AF147" s="159" t="n">
        <v>0.368</v>
      </c>
      <c r="AG147" s="159" t="n">
        <v>0.1155</v>
      </c>
      <c r="AH147" s="159" t="n">
        <v>1.3845</v>
      </c>
      <c r="AI147" s="159" t="n">
        <v>2.202</v>
      </c>
      <c r="AJ147" s="159" t="n">
        <v>0.8175</v>
      </c>
      <c r="AK147" s="159" t="n">
        <v>1.682</v>
      </c>
      <c r="AL147" s="159" t="n">
        <v>1.834</v>
      </c>
      <c r="AM147" s="159" t="n">
        <v>155.784</v>
      </c>
      <c r="AN147" s="159" t="n">
        <v>-0.59318</v>
      </c>
      <c r="AO147" s="159" t="n">
        <v>-0.5638</v>
      </c>
      <c r="AP147" s="159" t="n">
        <v>-0.5175999999999999</v>
      </c>
      <c r="AQ147" s="159" t="n">
        <v>4.29328</v>
      </c>
      <c r="AR147" s="159" t="n"/>
      <c r="AS147" s="159" t="n">
        <v>0.294</v>
      </c>
      <c r="AT147" s="159" t="n">
        <v>4.3</v>
      </c>
      <c r="AU147" s="159" t="n">
        <v>99.8</v>
      </c>
      <c r="AV147" s="159" t="n">
        <v>106.6</v>
      </c>
      <c r="AW147" s="159" t="n">
        <v>99.1309</v>
      </c>
      <c r="AX147" s="159" t="n">
        <v>104.1</v>
      </c>
      <c r="AY147" s="159" t="n">
        <v>4.028078327</v>
      </c>
      <c r="AZ147" s="159" t="n">
        <v>4.73695255</v>
      </c>
      <c r="BA147" s="159" t="n">
        <v>9.428913495</v>
      </c>
      <c r="BB147" s="159" t="n">
        <v>4.60312209</v>
      </c>
      <c r="BC147" s="159" t="n">
        <v>4.858260814</v>
      </c>
    </row>
    <row r="148">
      <c r="A148" s="83" t="inlineStr">
        <is>
          <t>2017-10</t>
        </is>
      </c>
      <c r="B148" s="155" t="n">
        <v>2953.755806</v>
      </c>
      <c r="C148" s="155" t="n">
        <v>133.47</v>
      </c>
      <c r="D148" s="155" t="n">
        <v>527.61</v>
      </c>
      <c r="E148" s="155" t="n">
        <v>5653.74</v>
      </c>
      <c r="F148" s="152" t="n">
        <v>5.233870968</v>
      </c>
      <c r="G148" s="152" t="n">
        <v>1.15</v>
      </c>
      <c r="H148" s="152" t="n">
        <v>4.083870968</v>
      </c>
      <c r="I148" s="156" t="n">
        <v>-2906.501852</v>
      </c>
      <c r="J148" s="152" t="n">
        <v>3.21711332</v>
      </c>
      <c r="K148" s="152" t="n">
        <v>110.8891762</v>
      </c>
      <c r="L148" s="152" t="n">
        <v>10.12545455</v>
      </c>
      <c r="M148" s="157" t="n">
        <v>0</v>
      </c>
      <c r="N148" s="155" t="n">
        <v>47407.84</v>
      </c>
      <c r="O148" s="152" t="n">
        <v>185.3636364</v>
      </c>
      <c r="P148" s="152" t="n">
        <v>1.853636364</v>
      </c>
      <c r="Q148" s="156" t="n">
        <v>18.02</v>
      </c>
      <c r="R148" s="156" t="n">
        <v>-495.32</v>
      </c>
      <c r="S148" s="152" t="n">
        <v>6.043809524</v>
      </c>
      <c r="T148" s="152" t="n">
        <v>2.600952381</v>
      </c>
      <c r="U148" s="152" t="n">
        <v>3.442857143</v>
      </c>
      <c r="V148" s="152" t="n">
        <v>1.807942873</v>
      </c>
      <c r="W148" s="152" t="n">
        <v>1.63491427</v>
      </c>
      <c r="X148" s="158" t="n">
        <v>3.189686364</v>
      </c>
      <c r="Y148" s="158" t="n">
        <v>629.7869773</v>
      </c>
      <c r="Z148" s="158" t="n">
        <v>18.73077727</v>
      </c>
      <c r="AA148" s="158" t="n">
        <v>3.251295455</v>
      </c>
      <c r="AB148" s="159" t="n">
        <v>0.7486497355</v>
      </c>
      <c r="AC148" s="159" t="n">
        <v>0.5934911043</v>
      </c>
      <c r="AD148" s="159" t="n">
        <v>103.6006963</v>
      </c>
      <c r="AE148" s="159" t="n">
        <v>96.37</v>
      </c>
      <c r="AF148" s="159" t="n">
        <v>0.498095</v>
      </c>
      <c r="AG148" s="159" t="n">
        <v>0.249524</v>
      </c>
      <c r="AH148" s="159" t="n">
        <v>1.54952</v>
      </c>
      <c r="AI148" s="159" t="n">
        <v>2.36</v>
      </c>
      <c r="AJ148" s="159" t="n">
        <v>0.810476</v>
      </c>
      <c r="AK148" s="159" t="n">
        <v>1.73143</v>
      </c>
      <c r="AL148" s="159" t="n">
        <v>1.8619</v>
      </c>
      <c r="AM148" s="159" t="n">
        <v>143.385</v>
      </c>
      <c r="AN148" s="159" t="n">
        <v>-0.71205</v>
      </c>
      <c r="AO148" s="159" t="n">
        <v>-0.58875</v>
      </c>
      <c r="AP148" s="159" t="n">
        <v>-0.56025</v>
      </c>
      <c r="AQ148" s="159" t="n">
        <v>4.14368</v>
      </c>
      <c r="AR148" s="159" t="n"/>
      <c r="AS148" s="159" t="n">
        <v>0.28619</v>
      </c>
      <c r="AT148" s="159" t="n">
        <v>4.2</v>
      </c>
      <c r="AU148" s="159" t="n">
        <v>99.8</v>
      </c>
      <c r="AV148" s="159" t="n">
        <v>106.2</v>
      </c>
      <c r="AW148" s="159" t="n">
        <v>99.10469999999999</v>
      </c>
      <c r="AX148" s="159" t="n">
        <v>104.2</v>
      </c>
      <c r="AY148" s="159" t="n">
        <v>4.051918852</v>
      </c>
      <c r="AZ148" s="159" t="n">
        <v>4.749772568</v>
      </c>
      <c r="BA148" s="159" t="n">
        <v>9.430037992999999</v>
      </c>
      <c r="BB148" s="159" t="n">
        <v>4.615368011</v>
      </c>
      <c r="BC148" s="159" t="n">
        <v>4.868303386</v>
      </c>
    </row>
    <row r="149">
      <c r="A149" s="83" t="inlineStr">
        <is>
          <t>2017-11</t>
        </is>
      </c>
      <c r="B149" s="155" t="n">
        <v>3013.466667</v>
      </c>
      <c r="C149" s="155" t="n">
        <v>132.23</v>
      </c>
      <c r="D149" s="155" t="n">
        <v>528.26</v>
      </c>
      <c r="E149" s="155" t="n">
        <v>5703.69</v>
      </c>
      <c r="F149" s="152" t="n">
        <v>4.966666667</v>
      </c>
      <c r="G149" s="152" t="n">
        <v>1.16</v>
      </c>
      <c r="H149" s="152" t="n">
        <v>3.806666667</v>
      </c>
      <c r="I149" s="156" t="n">
        <v>-6524.460658</v>
      </c>
      <c r="J149" s="152" t="n">
        <v>3.399337069</v>
      </c>
      <c r="K149" s="152" t="n">
        <v>111.163525</v>
      </c>
      <c r="L149" s="152" t="n">
        <v>10.54047619</v>
      </c>
      <c r="M149" s="157" t="n">
        <v>0</v>
      </c>
      <c r="N149" s="155" t="n">
        <v>47395.26</v>
      </c>
      <c r="O149" s="152" t="n">
        <v>186.1363636</v>
      </c>
      <c r="P149" s="152" t="n">
        <v>1.861363636</v>
      </c>
      <c r="Q149" s="156" t="n">
        <v>-77.25</v>
      </c>
      <c r="R149" s="156" t="n">
        <v>-340.77</v>
      </c>
      <c r="S149" s="152" t="n">
        <v>6.097</v>
      </c>
      <c r="T149" s="152" t="n">
        <v>2.7095</v>
      </c>
      <c r="U149" s="152" t="n">
        <v>3.3875</v>
      </c>
      <c r="V149" s="152" t="n">
        <v>1.83486666</v>
      </c>
      <c r="W149" s="152" t="n">
        <v>1.55263334</v>
      </c>
      <c r="X149" s="158" t="n">
        <v>3.260795455</v>
      </c>
      <c r="Y149" s="158" t="n">
        <v>634.6289909</v>
      </c>
      <c r="Z149" s="158" t="n">
        <v>18.87773</v>
      </c>
      <c r="AA149" s="158" t="n">
        <v>3.240790476</v>
      </c>
      <c r="AB149" s="159" t="n">
        <v>0.2866448418</v>
      </c>
      <c r="AC149" s="159" t="n">
        <v>0.1523562085</v>
      </c>
      <c r="AD149" s="159" t="n">
        <v>104.0496605</v>
      </c>
      <c r="AE149" s="159" t="n">
        <v>96.55</v>
      </c>
      <c r="AF149" s="159" t="n">
        <v>0.495714</v>
      </c>
      <c r="AG149" s="159" t="n">
        <v>0.297143</v>
      </c>
      <c r="AH149" s="159" t="n">
        <v>1.69667</v>
      </c>
      <c r="AI149" s="159" t="n">
        <v>2.35333</v>
      </c>
      <c r="AJ149" s="159" t="n">
        <v>0.656667</v>
      </c>
      <c r="AK149" s="159" t="n">
        <v>1.75286</v>
      </c>
      <c r="AL149" s="159" t="n">
        <v>1.85762</v>
      </c>
      <c r="AM149" s="159" t="n">
        <v>158.386</v>
      </c>
      <c r="AN149" s="159" t="n">
        <v>-0.716625</v>
      </c>
      <c r="AO149" s="159" t="n">
        <v>-0.60375</v>
      </c>
      <c r="AP149" s="159" t="n">
        <v>-0.6015</v>
      </c>
      <c r="AQ149" s="159" t="n">
        <v>4.24249</v>
      </c>
      <c r="AR149" s="159" t="n"/>
      <c r="AS149" s="159" t="n">
        <v>0.203333</v>
      </c>
      <c r="AT149" s="159" t="n">
        <v>4.2</v>
      </c>
      <c r="AU149" s="159" t="n">
        <v>100.1</v>
      </c>
      <c r="AV149" s="159" t="n">
        <v>106.1</v>
      </c>
      <c r="AW149" s="159" t="n">
        <v>99.0724</v>
      </c>
      <c r="AX149" s="159" t="n">
        <v>104.2</v>
      </c>
      <c r="AY149" s="159" t="n">
        <v>4.138586303</v>
      </c>
      <c r="AZ149" s="159" t="n">
        <v>4.791516964</v>
      </c>
      <c r="BA149" s="159" t="n">
        <v>9.431241411</v>
      </c>
      <c r="BB149" s="159" t="n">
        <v>4.617750718</v>
      </c>
      <c r="BC149" s="159" t="n">
        <v>4.880526609</v>
      </c>
    </row>
    <row r="150">
      <c r="A150" s="83" t="inlineStr">
        <is>
          <t>2017-12</t>
        </is>
      </c>
      <c r="B150" s="155" t="n">
        <v>2991.761935</v>
      </c>
      <c r="C150" s="155" t="n">
        <v>139.11</v>
      </c>
      <c r="D150" s="155" t="n">
        <v>547.3200000000001</v>
      </c>
      <c r="E150" s="155" t="n">
        <v>5783.71</v>
      </c>
      <c r="F150" s="152" t="n">
        <v>4.75</v>
      </c>
      <c r="G150" s="152" t="n">
        <v>1.3</v>
      </c>
      <c r="H150" s="152" t="n">
        <v>3.45</v>
      </c>
      <c r="I150" s="156" t="n">
        <v>-5971.104678</v>
      </c>
      <c r="J150" s="152" t="n">
        <v>3.654192719</v>
      </c>
      <c r="K150" s="152" t="n">
        <v>110.87581</v>
      </c>
      <c r="L150" s="152" t="n">
        <v>10.2645</v>
      </c>
      <c r="M150" s="157" t="n">
        <v>0</v>
      </c>
      <c r="N150" s="155" t="n">
        <v>47629.04</v>
      </c>
      <c r="O150" s="152" t="n">
        <v>173.2857143</v>
      </c>
      <c r="P150" s="152" t="n">
        <v>1.732857143</v>
      </c>
      <c r="Q150" s="156" t="n">
        <v>-139.71</v>
      </c>
      <c r="R150" s="156" t="n">
        <v>-2.62</v>
      </c>
      <c r="S150" s="152" t="n">
        <v>5.911666667</v>
      </c>
      <c r="T150" s="152" t="n">
        <v>2.431666667</v>
      </c>
      <c r="U150" s="152" t="n">
        <v>3.48</v>
      </c>
      <c r="V150" s="152" t="n">
        <v>1.856864995</v>
      </c>
      <c r="W150" s="152" t="n">
        <v>1.623135005</v>
      </c>
      <c r="X150" s="158" t="n">
        <v>3.292990476</v>
      </c>
      <c r="Y150" s="158" t="n">
        <v>635.4287333</v>
      </c>
      <c r="Z150" s="158" t="n">
        <v>19.13987429</v>
      </c>
      <c r="AA150" s="158" t="n">
        <v>3.2465</v>
      </c>
      <c r="AB150" s="159" t="n">
        <v>0.1671575097</v>
      </c>
      <c r="AC150" s="159" t="n">
        <v>0.1632354768</v>
      </c>
      <c r="AD150" s="159" t="n">
        <v>105.3900847</v>
      </c>
      <c r="AE150" s="159" t="n">
        <v>96.92</v>
      </c>
      <c r="AF150" s="159" t="n">
        <v>0.503</v>
      </c>
      <c r="AG150" s="159" t="n">
        <v>0.416</v>
      </c>
      <c r="AH150" s="159" t="n">
        <v>1.844</v>
      </c>
      <c r="AI150" s="159" t="n">
        <v>2.4025</v>
      </c>
      <c r="AJ150" s="159" t="n">
        <v>0.5585</v>
      </c>
      <c r="AK150" s="159" t="n">
        <v>1.766</v>
      </c>
      <c r="AL150" s="159" t="n">
        <v>1.8995</v>
      </c>
      <c r="AM150" s="159" t="n">
        <v>146.28</v>
      </c>
      <c r="AN150" s="159" t="n">
        <v>-0.64958</v>
      </c>
      <c r="AO150" s="159" t="n">
        <v>-0.6096</v>
      </c>
      <c r="AP150" s="159" t="n">
        <v>-0.6066</v>
      </c>
      <c r="AQ150" s="159" t="n">
        <v>4.16952</v>
      </c>
      <c r="AR150" s="159" t="n"/>
      <c r="AS150" s="159" t="n">
        <v>0.285789</v>
      </c>
      <c r="AT150" s="159" t="n">
        <v>4.1</v>
      </c>
      <c r="AU150" s="159" t="n">
        <v>100.1</v>
      </c>
      <c r="AV150" s="159" t="n">
        <v>106.2</v>
      </c>
      <c r="AW150" s="159" t="n">
        <v>99.035</v>
      </c>
      <c r="AX150" s="159" t="n">
        <v>104.5</v>
      </c>
      <c r="AY150" s="159" t="n">
        <v>4.164705165</v>
      </c>
      <c r="AZ150" s="159" t="n">
        <v>4.803963666</v>
      </c>
      <c r="BA150" s="159" t="n">
        <v>9.433563919999999</v>
      </c>
      <c r="BB150" s="159" t="n">
        <v>4.619704056</v>
      </c>
      <c r="BC150" s="159" t="n">
        <v>4.892602227</v>
      </c>
    </row>
    <row r="151">
      <c r="A151" s="83" t="inlineStr">
        <is>
          <t>2018-01</t>
        </is>
      </c>
      <c r="B151" s="155" t="n">
        <v>2868.572258</v>
      </c>
      <c r="C151" s="155" t="n">
        <v>140.97</v>
      </c>
      <c r="D151" s="155" t="n">
        <v>531.21</v>
      </c>
      <c r="E151" s="155" t="n">
        <v>5878.41</v>
      </c>
      <c r="F151" s="152" t="n">
        <v>4.733870968</v>
      </c>
      <c r="G151" s="152" t="n">
        <v>1.41</v>
      </c>
      <c r="H151" s="152" t="n">
        <v>3.323870968</v>
      </c>
      <c r="I151" s="156" t="n">
        <v>5175.538626</v>
      </c>
      <c r="J151" s="152" t="n">
        <v>2.85513929</v>
      </c>
      <c r="K151" s="152" t="n">
        <v>108.3567762</v>
      </c>
      <c r="L151" s="152" t="n">
        <v>11.06238095</v>
      </c>
      <c r="M151" s="157" t="n">
        <v>0</v>
      </c>
      <c r="N151" s="155" t="n">
        <v>47783.93</v>
      </c>
      <c r="O151" s="152" t="n">
        <v>159.9130435</v>
      </c>
      <c r="P151" s="152" t="n">
        <v>1.599130435</v>
      </c>
      <c r="Q151" s="156" t="n">
        <v>-227.76</v>
      </c>
      <c r="R151" s="156" t="n">
        <v>140.79</v>
      </c>
      <c r="S151" s="152" t="n">
        <v>5.851428571</v>
      </c>
      <c r="T151" s="152" t="n">
        <v>2.351428571</v>
      </c>
      <c r="U151" s="152" t="n">
        <v>3.5</v>
      </c>
      <c r="V151" s="152" t="n">
        <v>2.024304753</v>
      </c>
      <c r="W151" s="152" t="n">
        <v>1.475695247</v>
      </c>
      <c r="X151" s="158" t="n">
        <v>3.214526087</v>
      </c>
      <c r="Y151" s="158" t="n">
        <v>605.6526957</v>
      </c>
      <c r="Z151" s="158" t="n">
        <v>18.89299391</v>
      </c>
      <c r="AA151" s="158" t="n">
        <v>3.214909524</v>
      </c>
      <c r="AB151" s="159" t="n">
        <v>-1.076734371</v>
      </c>
      <c r="AC151" s="159" t="n">
        <v>-1.001759309</v>
      </c>
      <c r="AD151" s="159" t="n">
        <v>104.1472253</v>
      </c>
      <c r="AE151" s="159" t="n">
        <v>97.53</v>
      </c>
      <c r="AF151" s="159" t="n">
        <v>0.54</v>
      </c>
      <c r="AG151" s="159" t="n">
        <v>0.445238</v>
      </c>
      <c r="AH151" s="159" t="n">
        <v>2.0319</v>
      </c>
      <c r="AI151" s="159" t="n">
        <v>2.58381</v>
      </c>
      <c r="AJ151" s="159" t="n">
        <v>0.551905</v>
      </c>
      <c r="AK151" s="159" t="n">
        <v>1.93667</v>
      </c>
      <c r="AL151" s="159" t="n">
        <v>2.04381</v>
      </c>
      <c r="AM151" s="159" t="n">
        <v>175.191</v>
      </c>
      <c r="AN151" s="159" t="n">
        <v>-0.65945</v>
      </c>
      <c r="AO151" s="159" t="n">
        <v>-0.61475</v>
      </c>
      <c r="AP151" s="159" t="n">
        <v>-0.6225000000000001</v>
      </c>
      <c r="AQ151" s="159" t="n">
        <v>4.16894</v>
      </c>
      <c r="AR151" s="159" t="n"/>
      <c r="AS151" s="159" t="n">
        <v>0.32</v>
      </c>
      <c r="AT151" s="159" t="n">
        <v>4</v>
      </c>
      <c r="AU151" s="159" t="n">
        <v>100.1</v>
      </c>
      <c r="AV151" s="159" t="n"/>
      <c r="AW151" s="159" t="n">
        <v>98.9923</v>
      </c>
      <c r="AX151" s="159" t="n">
        <v>105.2</v>
      </c>
      <c r="AY151" s="159" t="n">
        <v>4.235226167</v>
      </c>
      <c r="AZ151" s="159" t="n">
        <v>4.85542294</v>
      </c>
      <c r="BA151" s="159" t="n">
        <v>9.435641594</v>
      </c>
      <c r="BB151" s="159" t="n">
        <v>4.6196942</v>
      </c>
      <c r="BC151" s="159" t="n">
        <v>4.877484781</v>
      </c>
    </row>
    <row r="152">
      <c r="A152" s="83" t="inlineStr">
        <is>
          <t>2018-02</t>
        </is>
      </c>
      <c r="B152" s="155" t="n">
        <v>2860.252857</v>
      </c>
      <c r="C152" s="155" t="n">
        <v>134.97</v>
      </c>
      <c r="D152" s="155" t="n">
        <v>472.96</v>
      </c>
      <c r="E152" s="155" t="n">
        <v>5958.49</v>
      </c>
      <c r="F152" s="152" t="n">
        <v>4.5</v>
      </c>
      <c r="G152" s="152" t="n">
        <v>1.42</v>
      </c>
      <c r="H152" s="152" t="n">
        <v>3.08</v>
      </c>
      <c r="I152" s="156" t="n">
        <v>-6032.619578</v>
      </c>
      <c r="J152" s="152" t="n">
        <v>2.815829311</v>
      </c>
      <c r="K152" s="152" t="n">
        <v>107.6500947</v>
      </c>
      <c r="L152" s="152" t="n">
        <v>22.46473684</v>
      </c>
      <c r="M152" s="157" t="n">
        <v>0</v>
      </c>
      <c r="N152" s="155" t="n">
        <v>47636.76</v>
      </c>
      <c r="O152" s="152" t="n">
        <v>172.9</v>
      </c>
      <c r="P152" s="152" t="n">
        <v>1.729</v>
      </c>
      <c r="Q152" s="156" t="n">
        <v>8.58</v>
      </c>
      <c r="R152" s="156" t="n">
        <v>-424.28</v>
      </c>
      <c r="S152" s="152" t="n">
        <v>6.013</v>
      </c>
      <c r="T152" s="152" t="n">
        <v>2.4685</v>
      </c>
      <c r="U152" s="152" t="n">
        <v>3.5445</v>
      </c>
      <c r="V152" s="152" t="n">
        <v>2.087878942</v>
      </c>
      <c r="W152" s="152" t="n">
        <v>1.456621058</v>
      </c>
      <c r="X152" s="158" t="n">
        <v>3.24526</v>
      </c>
      <c r="Y152" s="158" t="n">
        <v>596.221895</v>
      </c>
      <c r="Z152" s="158" t="n">
        <v>18.6114675</v>
      </c>
      <c r="AA152" s="158" t="n">
        <v>3.24881</v>
      </c>
      <c r="AB152" s="159" t="n">
        <v>-0.3920744427</v>
      </c>
      <c r="AC152" s="159" t="n">
        <v>-0.08061365941</v>
      </c>
      <c r="AD152" s="159" t="n">
        <v>105.0025931</v>
      </c>
      <c r="AE152" s="159" t="n">
        <v>98.22</v>
      </c>
      <c r="AF152" s="159" t="n">
        <v>0.757368</v>
      </c>
      <c r="AG152" s="159" t="n">
        <v>0.634211</v>
      </c>
      <c r="AH152" s="159" t="n">
        <v>2.17526</v>
      </c>
      <c r="AI152" s="159" t="n">
        <v>2.85895</v>
      </c>
      <c r="AJ152" s="159" t="n">
        <v>0.683684</v>
      </c>
      <c r="AK152" s="159" t="n">
        <v>1.96526</v>
      </c>
      <c r="AL152" s="159" t="n">
        <v>2.10158</v>
      </c>
      <c r="AM152" s="159" t="n">
        <v>124.933</v>
      </c>
      <c r="AN152" s="159" t="n">
        <v>-0.250775</v>
      </c>
      <c r="AO152" s="159" t="n">
        <v>-0.56775</v>
      </c>
      <c r="AP152" s="159" t="n">
        <v>-0.56125</v>
      </c>
      <c r="AQ152" s="159" t="n">
        <v>4.1793</v>
      </c>
      <c r="AR152" s="159" t="n"/>
      <c r="AS152" s="159" t="n">
        <v>0.305263</v>
      </c>
      <c r="AT152" s="159" t="n">
        <v>4.1</v>
      </c>
      <c r="AU152" s="159" t="n">
        <v>100.2</v>
      </c>
      <c r="AV152" s="159" t="n">
        <v>107.2</v>
      </c>
      <c r="AW152" s="159" t="n">
        <v>98.943</v>
      </c>
      <c r="AX152" s="159" t="n">
        <v>106.5</v>
      </c>
      <c r="AY152" s="159" t="n">
        <v>4.179259994</v>
      </c>
      <c r="AZ152" s="159" t="n">
        <v>4.83914289</v>
      </c>
      <c r="BA152" s="159" t="n">
        <v>9.437555623</v>
      </c>
      <c r="BB152" s="159" t="n">
        <v>4.622115795</v>
      </c>
      <c r="BC152" s="159" t="n">
        <v>4.895598484</v>
      </c>
    </row>
    <row r="153">
      <c r="A153" s="83" t="inlineStr">
        <is>
          <t>2018-03</t>
        </is>
      </c>
      <c r="B153" s="155" t="n">
        <v>2847.930645</v>
      </c>
      <c r="C153" s="155" t="n">
        <v>135.79</v>
      </c>
      <c r="D153" s="155" t="n">
        <v>499.6</v>
      </c>
      <c r="E153" s="155" t="n">
        <v>5979.08</v>
      </c>
      <c r="F153" s="152" t="n">
        <v>4.5</v>
      </c>
      <c r="G153" s="152" t="n">
        <v>1.51</v>
      </c>
      <c r="H153" s="152" t="n">
        <v>2.99</v>
      </c>
      <c r="I153" s="156" t="n">
        <v>-4327.127948</v>
      </c>
      <c r="J153" s="152" t="n">
        <v>2.844060995</v>
      </c>
      <c r="K153" s="152" t="n">
        <v>107.947175</v>
      </c>
      <c r="L153" s="152" t="n">
        <v>19.02380952</v>
      </c>
      <c r="M153" s="157" t="n">
        <v>0</v>
      </c>
      <c r="N153" s="155" t="n">
        <v>47608.31</v>
      </c>
      <c r="O153" s="152" t="n">
        <v>178.9090909</v>
      </c>
      <c r="P153" s="152" t="n">
        <v>1.789090909</v>
      </c>
      <c r="Q153" s="156" t="n">
        <v>-119.03</v>
      </c>
      <c r="R153" s="156" t="n">
        <v>-30.65</v>
      </c>
      <c r="S153" s="152" t="n">
        <v>6.052105263</v>
      </c>
      <c r="T153" s="152" t="n">
        <v>2.705789474</v>
      </c>
      <c r="U153" s="152" t="n">
        <v>3.346315789</v>
      </c>
      <c r="V153" s="152" t="n">
        <v>2.127971445</v>
      </c>
      <c r="W153" s="152" t="n">
        <v>1.218344345</v>
      </c>
      <c r="X153" s="158" t="n">
        <v>3.280940909</v>
      </c>
      <c r="Y153" s="158" t="n">
        <v>604.1078773</v>
      </c>
      <c r="Z153" s="158" t="n">
        <v>18.59596</v>
      </c>
      <c r="AA153" s="158" t="n">
        <v>3.252255</v>
      </c>
      <c r="AB153" s="159" t="n">
        <v>0.150486674</v>
      </c>
      <c r="AC153" s="159" t="n">
        <v>0.1366452316</v>
      </c>
      <c r="AD153" s="159" t="n">
        <v>105.8841246</v>
      </c>
      <c r="AE153" s="159" t="n">
        <v>98.45</v>
      </c>
      <c r="AF153" s="159" t="n">
        <v>0.751905</v>
      </c>
      <c r="AG153" s="159" t="n">
        <v>0.6080950000000001</v>
      </c>
      <c r="AH153" s="159" t="n">
        <v>2.27571</v>
      </c>
      <c r="AI153" s="159" t="n">
        <v>2.84238</v>
      </c>
      <c r="AJ153" s="159" t="n">
        <v>0.566667</v>
      </c>
      <c r="AK153" s="159" t="n">
        <v>2.02143</v>
      </c>
      <c r="AL153" s="159" t="n">
        <v>2.09048</v>
      </c>
      <c r="AM153" s="159" t="n">
        <v>179.373</v>
      </c>
      <c r="AN153" s="159" t="n">
        <v>0.08305999999999999</v>
      </c>
      <c r="AO153" s="159" t="n">
        <v>-0.51</v>
      </c>
      <c r="AP153" s="159" t="n">
        <v>-0.4946</v>
      </c>
      <c r="AQ153" s="159" t="n">
        <v>4.0818</v>
      </c>
      <c r="AR153" s="159" t="n"/>
      <c r="AS153" s="159" t="n">
        <v>0.476667</v>
      </c>
      <c r="AT153" s="159" t="n">
        <v>4</v>
      </c>
      <c r="AU153" s="159" t="n">
        <v>100.4</v>
      </c>
      <c r="AV153" s="159" t="n">
        <v>106</v>
      </c>
      <c r="AW153" s="159" t="n">
        <v>98.8858</v>
      </c>
      <c r="AX153" s="159" t="n">
        <v>105.3</v>
      </c>
      <c r="AY153" s="159" t="n">
        <v>4.18990774</v>
      </c>
      <c r="AZ153" s="159" t="n">
        <v>4.837043522</v>
      </c>
      <c r="BA153" s="159" t="n">
        <v>9.439545515000001</v>
      </c>
      <c r="BB153" s="159" t="n">
        <v>4.627000169</v>
      </c>
      <c r="BC153" s="159" t="n">
        <v>4.907494535</v>
      </c>
    </row>
    <row r="154">
      <c r="A154" s="83" t="inlineStr">
        <is>
          <t>2018-04</t>
        </is>
      </c>
      <c r="B154" s="155" t="n">
        <v>2766.285</v>
      </c>
      <c r="C154" s="155" t="n">
        <v>137.43</v>
      </c>
      <c r="D154" s="155" t="n">
        <v>535.62</v>
      </c>
      <c r="E154" s="155" t="n">
        <v>6113.06</v>
      </c>
      <c r="F154" s="152" t="n">
        <v>4.491666667</v>
      </c>
      <c r="G154" s="152" t="n">
        <v>1.69</v>
      </c>
      <c r="H154" s="152" t="n">
        <v>2.801666667</v>
      </c>
      <c r="I154" s="156" t="n">
        <v>-1675.994131</v>
      </c>
      <c r="J154" s="152" t="n">
        <v>3.178393375</v>
      </c>
      <c r="K154" s="152" t="n">
        <v>107.9433571</v>
      </c>
      <c r="L154" s="152" t="n">
        <v>18.26761905</v>
      </c>
      <c r="M154" s="157" t="n">
        <v>0</v>
      </c>
      <c r="N154" s="155" t="n">
        <v>47504.25</v>
      </c>
      <c r="O154" s="152" t="n">
        <v>173.2857143</v>
      </c>
      <c r="P154" s="152" t="n">
        <v>1.732857143</v>
      </c>
      <c r="Q154" s="156" t="n">
        <v>-22.44</v>
      </c>
      <c r="R154" s="156" t="n">
        <v>-344.49</v>
      </c>
      <c r="S154" s="152" t="n">
        <v>5.773809524</v>
      </c>
      <c r="T154" s="152" t="n">
        <v>2.663333333</v>
      </c>
      <c r="U154" s="152" t="n">
        <v>3.11047619</v>
      </c>
      <c r="V154" s="152" t="n">
        <v>2.148747637</v>
      </c>
      <c r="W154" s="152" t="n">
        <v>0.9617285533</v>
      </c>
      <c r="X154" s="158" t="n">
        <v>3.407195238</v>
      </c>
      <c r="Y154" s="158" t="n">
        <v>600.927981</v>
      </c>
      <c r="Z154" s="158" t="n">
        <v>18.32210048</v>
      </c>
      <c r="AA154" s="158" t="n">
        <v>3.230685</v>
      </c>
      <c r="AB154" s="159" t="n">
        <v>-0.003140086552</v>
      </c>
      <c r="AC154" s="159" t="n">
        <v>-0.1337327364</v>
      </c>
      <c r="AD154" s="159" t="n">
        <v>104.969983</v>
      </c>
      <c r="AE154" s="159" t="n">
        <v>98.91</v>
      </c>
      <c r="AF154" s="159" t="n">
        <v>0.741429</v>
      </c>
      <c r="AG154" s="159" t="n">
        <v>0.652381</v>
      </c>
      <c r="AH154" s="159" t="n">
        <v>2.38429</v>
      </c>
      <c r="AI154" s="159" t="n">
        <v>2.86905</v>
      </c>
      <c r="AJ154" s="159" t="n">
        <v>0.484762</v>
      </c>
      <c r="AK154" s="159" t="n">
        <v>2.04952</v>
      </c>
      <c r="AL154" s="159" t="n">
        <v>2.12762</v>
      </c>
      <c r="AM154" s="159" t="n">
        <v>163.319</v>
      </c>
      <c r="AN154" s="159" t="n">
        <v>0.0953</v>
      </c>
      <c r="AO154" s="159" t="n">
        <v>-0.52</v>
      </c>
      <c r="AP154" s="159" t="n">
        <v>-0.491</v>
      </c>
      <c r="AQ154" s="159" t="n">
        <v>4.04803</v>
      </c>
      <c r="AR154" s="159" t="n"/>
      <c r="AS154" s="159" t="n">
        <v>0.5915</v>
      </c>
      <c r="AT154" s="159" t="n">
        <v>4</v>
      </c>
      <c r="AU154" s="159" t="n">
        <v>100.4</v>
      </c>
      <c r="AV154" s="159" t="n">
        <v>107</v>
      </c>
      <c r="AW154" s="159" t="n">
        <v>98.81999999999999</v>
      </c>
      <c r="AX154" s="159" t="n">
        <v>105.1</v>
      </c>
      <c r="AY154" s="159" t="n">
        <v>4.278137259</v>
      </c>
      <c r="AZ154" s="159" t="n">
        <v>4.852694106</v>
      </c>
      <c r="BA154" s="159" t="n">
        <v>9.441055189</v>
      </c>
      <c r="BB154" s="159" t="n">
        <v>4.637956783</v>
      </c>
      <c r="BC154" s="159" t="n">
        <v>4.906755164</v>
      </c>
    </row>
    <row r="155">
      <c r="A155" s="83" t="inlineStr">
        <is>
          <t>2018-05</t>
        </is>
      </c>
      <c r="B155" s="155" t="n">
        <v>2861.825806</v>
      </c>
      <c r="C155" s="155" t="n">
        <v>141.01</v>
      </c>
      <c r="D155" s="155" t="n">
        <v>552.11</v>
      </c>
      <c r="E155" s="155" t="n">
        <v>6166.09</v>
      </c>
      <c r="F155" s="152" t="n">
        <v>4.25</v>
      </c>
      <c r="G155" s="152" t="n">
        <v>1.7</v>
      </c>
      <c r="H155" s="152" t="n">
        <v>2.55</v>
      </c>
      <c r="I155" s="156" t="n">
        <v>-807.8597494000001</v>
      </c>
      <c r="J155" s="152" t="n">
        <v>3.254779019</v>
      </c>
      <c r="K155" s="152" t="n">
        <v>111.0470409</v>
      </c>
      <c r="L155" s="152" t="n">
        <v>14.12454545</v>
      </c>
      <c r="M155" s="157" t="n">
        <v>0</v>
      </c>
      <c r="N155" s="155" t="n">
        <v>47603.01</v>
      </c>
      <c r="O155" s="152" t="n">
        <v>189.9130435</v>
      </c>
      <c r="P155" s="152" t="n">
        <v>1.899130435</v>
      </c>
      <c r="Q155" s="156" t="n">
        <v>-21.84</v>
      </c>
      <c r="R155" s="156" t="n">
        <v>-271.8</v>
      </c>
      <c r="S155" s="152" t="n">
        <v>5.914285714</v>
      </c>
      <c r="T155" s="152" t="n">
        <v>2.605714286</v>
      </c>
      <c r="U155" s="152" t="n">
        <v>3.308571429</v>
      </c>
      <c r="V155" s="152" t="n">
        <v>2.148713643</v>
      </c>
      <c r="W155" s="152" t="n">
        <v>1.159857786</v>
      </c>
      <c r="X155" s="158" t="n">
        <v>3.633408696</v>
      </c>
      <c r="Y155" s="158" t="n">
        <v>627.268813</v>
      </c>
      <c r="Z155" s="158" t="n">
        <v>19.47355652</v>
      </c>
      <c r="AA155" s="158" t="n">
        <v>3.274109091</v>
      </c>
      <c r="AB155" s="159" t="n">
        <v>1.746583369</v>
      </c>
      <c r="AC155" s="159" t="n">
        <v>1.580944624</v>
      </c>
      <c r="AD155" s="159" t="n">
        <v>105.6004026</v>
      </c>
      <c r="AE155" s="159" t="n">
        <v>99.16</v>
      </c>
      <c r="AF155" s="159" t="n">
        <v>0.835909</v>
      </c>
      <c r="AG155" s="159" t="n">
        <v>0.715</v>
      </c>
      <c r="AH155" s="159" t="n">
        <v>2.51182</v>
      </c>
      <c r="AI155" s="159" t="n">
        <v>2.97773</v>
      </c>
      <c r="AJ155" s="159" t="n">
        <v>0.465909</v>
      </c>
      <c r="AK155" s="159" t="n">
        <v>2.10182</v>
      </c>
      <c r="AL155" s="159" t="n">
        <v>2.14182</v>
      </c>
      <c r="AM155" s="159" t="n">
        <v>170.229</v>
      </c>
      <c r="AN155" s="159" t="n">
        <v>-0.18905</v>
      </c>
      <c r="AO155" s="159" t="n">
        <v>-0.56175</v>
      </c>
      <c r="AP155" s="159" t="n">
        <v>-0.5475</v>
      </c>
      <c r="AQ155" s="159" t="n">
        <v>3.82493</v>
      </c>
      <c r="AR155" s="159" t="n"/>
      <c r="AS155" s="159" t="n">
        <v>0.469524</v>
      </c>
      <c r="AT155" s="159" t="n">
        <v>3.8</v>
      </c>
      <c r="AU155" s="159" t="n">
        <v>100.5</v>
      </c>
      <c r="AV155" s="159" t="n">
        <v>106.8</v>
      </c>
      <c r="AW155" s="159" t="n">
        <v>98.7436</v>
      </c>
      <c r="AX155" s="159" t="n">
        <v>104.9</v>
      </c>
      <c r="AY155" s="159" t="n">
        <v>4.343483292</v>
      </c>
      <c r="AZ155" s="159" t="n">
        <v>4.889235727</v>
      </c>
      <c r="BA155" s="159" t="n">
        <v>9.443275826000001</v>
      </c>
      <c r="BB155" s="159" t="n">
        <v>4.628906244</v>
      </c>
      <c r="BC155" s="159" t="n">
        <v>4.914124394</v>
      </c>
    </row>
    <row r="156">
      <c r="A156" s="83" t="inlineStr">
        <is>
          <t>2018-06</t>
        </is>
      </c>
      <c r="B156" s="155" t="n">
        <v>2889.689</v>
      </c>
      <c r="C156" s="155" t="n">
        <v>141.11</v>
      </c>
      <c r="D156" s="155" t="n">
        <v>511.2</v>
      </c>
      <c r="E156" s="155" t="n">
        <v>6177.9</v>
      </c>
      <c r="F156" s="152" t="n">
        <v>4.25</v>
      </c>
      <c r="G156" s="152" t="n">
        <v>1.82</v>
      </c>
      <c r="H156" s="152" t="n">
        <v>2.43</v>
      </c>
      <c r="I156" s="156" t="n">
        <v>-3408.072224</v>
      </c>
      <c r="J156" s="152" t="n">
        <v>3.251444614</v>
      </c>
      <c r="K156" s="152" t="n">
        <v>112.844419</v>
      </c>
      <c r="L156" s="152" t="n">
        <v>13.67809524</v>
      </c>
      <c r="M156" s="157" t="n">
        <v>0</v>
      </c>
      <c r="N156" s="155" t="n">
        <v>47491.08</v>
      </c>
      <c r="O156" s="152" t="n">
        <v>199.7142857</v>
      </c>
      <c r="P156" s="152" t="n">
        <v>1.997142857</v>
      </c>
      <c r="Q156" s="156" t="n">
        <v>2.23</v>
      </c>
      <c r="R156" s="156" t="n">
        <v>-267.36</v>
      </c>
      <c r="S156" s="152" t="n">
        <v>6.070526316</v>
      </c>
      <c r="T156" s="152" t="n">
        <v>2.706315789</v>
      </c>
      <c r="U156" s="152" t="n">
        <v>3.364210526</v>
      </c>
      <c r="V156" s="152" t="n">
        <v>2.102361917</v>
      </c>
      <c r="W156" s="152" t="n">
        <v>1.261848609</v>
      </c>
      <c r="X156" s="158" t="n">
        <v>3.772871429</v>
      </c>
      <c r="Y156" s="158" t="n">
        <v>637.5196667</v>
      </c>
      <c r="Z156" s="158" t="n">
        <v>20.2173519</v>
      </c>
      <c r="AA156" s="158" t="n">
        <v>3.271345</v>
      </c>
      <c r="AB156" s="159" t="n">
        <v>0.8905220415</v>
      </c>
      <c r="AC156" s="159" t="n">
        <v>0.6533680148</v>
      </c>
      <c r="AD156" s="159" t="n">
        <v>106.2559166</v>
      </c>
      <c r="AE156" s="159" t="n">
        <v>99.31</v>
      </c>
      <c r="AF156" s="159" t="n">
        <v>0.794762</v>
      </c>
      <c r="AG156" s="159" t="n">
        <v>0.708095</v>
      </c>
      <c r="AH156" s="159" t="n">
        <v>2.53333</v>
      </c>
      <c r="AI156" s="159" t="n">
        <v>2.91238</v>
      </c>
      <c r="AJ156" s="159" t="n">
        <v>0.379048</v>
      </c>
      <c r="AK156" s="159" t="n">
        <v>2.06762</v>
      </c>
      <c r="AL156" s="159" t="n">
        <v>2.11762</v>
      </c>
      <c r="AM156" s="159" t="n">
        <v>163.29</v>
      </c>
      <c r="AN156" s="159" t="n">
        <v>-0.19876</v>
      </c>
      <c r="AO156" s="159" t="n">
        <v>-0.552</v>
      </c>
      <c r="AP156" s="159" t="n">
        <v>-0.5364</v>
      </c>
      <c r="AQ156" s="159" t="n">
        <v>4.02646</v>
      </c>
      <c r="AR156" s="159" t="n"/>
      <c r="AS156" s="159" t="n">
        <v>0.431905</v>
      </c>
      <c r="AT156" s="159" t="n">
        <v>4</v>
      </c>
      <c r="AU156" s="159" t="n">
        <v>100.5</v>
      </c>
      <c r="AV156" s="159" t="n">
        <v>106</v>
      </c>
      <c r="AW156" s="159" t="n">
        <v>98.6557</v>
      </c>
      <c r="AX156" s="159" t="n">
        <v>104.9</v>
      </c>
      <c r="AY156" s="159" t="n">
        <v>4.309520456</v>
      </c>
      <c r="AZ156" s="159" t="n">
        <v>4.880086117</v>
      </c>
      <c r="BA156" s="159" t="n">
        <v>9.44588669</v>
      </c>
      <c r="BB156" s="159" t="n">
        <v>4.636649473</v>
      </c>
      <c r="BC156" s="159" t="n">
        <v>4.919250732</v>
      </c>
    </row>
    <row r="157">
      <c r="A157" s="83" t="inlineStr">
        <is>
          <t>2018-07</t>
        </is>
      </c>
      <c r="B157" s="155" t="n">
        <v>2885.321935</v>
      </c>
      <c r="C157" s="155" t="n">
        <v>140.34</v>
      </c>
      <c r="D157" s="155" t="n">
        <v>553.55</v>
      </c>
      <c r="E157" s="155" t="n">
        <v>6221.91</v>
      </c>
      <c r="F157" s="152" t="n">
        <v>4.25</v>
      </c>
      <c r="G157" s="152" t="n">
        <v>1.91</v>
      </c>
      <c r="H157" s="152" t="n">
        <v>2.34</v>
      </c>
      <c r="I157" s="156" t="n">
        <v>-7972.161694</v>
      </c>
      <c r="J157" s="152" t="n">
        <v>3.408170597</v>
      </c>
      <c r="K157" s="152" t="n">
        <v>113.0595333</v>
      </c>
      <c r="L157" s="152" t="n">
        <v>13.14761905</v>
      </c>
      <c r="M157" s="157" t="n">
        <v>0</v>
      </c>
      <c r="N157" s="155" t="n">
        <v>47518.17</v>
      </c>
      <c r="O157" s="152" t="n">
        <v>180.7727273</v>
      </c>
      <c r="P157" s="152" t="n">
        <v>1.807727273</v>
      </c>
      <c r="Q157" s="156" t="n">
        <v>-130.43</v>
      </c>
      <c r="R157" s="156" t="n">
        <v>-86.73</v>
      </c>
      <c r="S157" s="152" t="n">
        <v>6.128</v>
      </c>
      <c r="T157" s="152" t="n">
        <v>2.7395</v>
      </c>
      <c r="U157" s="152" t="n">
        <v>3.3885</v>
      </c>
      <c r="V157" s="152" t="n">
        <v>2.077904769</v>
      </c>
      <c r="W157" s="152" t="n">
        <v>1.310595231</v>
      </c>
      <c r="X157" s="158" t="n">
        <v>3.82845</v>
      </c>
      <c r="Y157" s="158" t="n">
        <v>652.0980818</v>
      </c>
      <c r="Z157" s="158" t="n">
        <v>18.95360727</v>
      </c>
      <c r="AA157" s="158" t="n">
        <v>3.27722381</v>
      </c>
      <c r="AB157" s="159" t="n">
        <v>-0.4604413067</v>
      </c>
      <c r="AC157" s="159" t="n">
        <v>-0.3067550411</v>
      </c>
      <c r="AD157" s="159" t="n">
        <v>105.9958716</v>
      </c>
      <c r="AE157" s="159" t="n">
        <v>99.18000000000001</v>
      </c>
      <c r="AF157" s="159" t="n">
        <v>0.774762</v>
      </c>
      <c r="AG157" s="159" t="n">
        <v>0.7352379999999999</v>
      </c>
      <c r="AH157" s="159" t="n">
        <v>2.60667</v>
      </c>
      <c r="AI157" s="159" t="n">
        <v>2.88905</v>
      </c>
      <c r="AJ157" s="159" t="n">
        <v>0.282381</v>
      </c>
      <c r="AK157" s="159" t="n">
        <v>2.04238</v>
      </c>
      <c r="AL157" s="159" t="n">
        <v>2.11429</v>
      </c>
      <c r="AM157" s="159" t="n">
        <v>225.101</v>
      </c>
      <c r="AN157" s="159" t="n">
        <v>-0.401</v>
      </c>
      <c r="AO157" s="159" t="n">
        <v>-0.554</v>
      </c>
      <c r="AP157" s="159" t="n">
        <v>-0.5485</v>
      </c>
      <c r="AQ157" s="159" t="n">
        <v>3.84502</v>
      </c>
      <c r="AR157" s="159" t="n"/>
      <c r="AS157" s="159" t="n">
        <v>0.382381</v>
      </c>
      <c r="AT157" s="159" t="n">
        <v>3.8</v>
      </c>
      <c r="AU157" s="159" t="n">
        <v>100.4</v>
      </c>
      <c r="AV157" s="159" t="n">
        <v>106</v>
      </c>
      <c r="AW157" s="159" t="n">
        <v>98.557</v>
      </c>
      <c r="AX157" s="159" t="n">
        <v>105.2</v>
      </c>
      <c r="AY157" s="159" t="n">
        <v>4.307492995</v>
      </c>
      <c r="AZ157" s="159" t="n">
        <v>4.8662182</v>
      </c>
      <c r="BA157" s="159" t="n">
        <v>9.447465721</v>
      </c>
      <c r="BB157" s="159" t="n">
        <v>4.638266413</v>
      </c>
      <c r="BC157" s="159" t="n">
        <v>4.910446567</v>
      </c>
    </row>
    <row r="158">
      <c r="A158" s="83" t="inlineStr">
        <is>
          <t>2018-08</t>
        </is>
      </c>
      <c r="B158" s="155" t="n">
        <v>2958.666774</v>
      </c>
      <c r="C158" s="155" t="n">
        <v>140.51</v>
      </c>
      <c r="D158" s="155" t="n">
        <v>606.67</v>
      </c>
      <c r="E158" s="155" t="n">
        <v>6324.86</v>
      </c>
      <c r="F158" s="152" t="n">
        <v>4.25</v>
      </c>
      <c r="G158" s="152" t="n">
        <v>1.91</v>
      </c>
      <c r="H158" s="152" t="n">
        <v>2.34</v>
      </c>
      <c r="I158" s="156" t="n">
        <v>-6169.206812</v>
      </c>
      <c r="J158" s="152" t="n">
        <v>3.888627123</v>
      </c>
      <c r="K158" s="152" t="n">
        <v>113.8316304</v>
      </c>
      <c r="L158" s="152" t="n">
        <v>12.54695652</v>
      </c>
      <c r="M158" s="157" t="n">
        <v>0</v>
      </c>
      <c r="N158" s="155" t="n">
        <v>47537.14</v>
      </c>
      <c r="O158" s="152" t="n">
        <v>182.3913043</v>
      </c>
      <c r="P158" s="152" t="n">
        <v>1.823913043</v>
      </c>
      <c r="Q158" s="156" t="n">
        <v>-68.47</v>
      </c>
      <c r="R158" s="156" t="n">
        <v>-408.75</v>
      </c>
      <c r="S158" s="152" t="n">
        <v>6.166190476</v>
      </c>
      <c r="T158" s="152" t="n">
        <v>2.871904762</v>
      </c>
      <c r="U158" s="152" t="n">
        <v>3.294285714</v>
      </c>
      <c r="V158" s="152" t="n">
        <v>2.030147817</v>
      </c>
      <c r="W158" s="152" t="n">
        <v>1.264137897</v>
      </c>
      <c r="X158" s="158" t="n">
        <v>3.929456522</v>
      </c>
      <c r="Y158" s="158" t="n">
        <v>658.3012043</v>
      </c>
      <c r="Z158" s="158" t="n">
        <v>18.78904913</v>
      </c>
      <c r="AA158" s="158" t="n">
        <v>3.288719048</v>
      </c>
      <c r="AB158" s="159" t="n">
        <v>0.1475915266</v>
      </c>
      <c r="AC158" s="159" t="n">
        <v>0.183583238</v>
      </c>
      <c r="AD158" s="159" t="n">
        <v>107.495992</v>
      </c>
      <c r="AE158" s="159" t="n">
        <v>99.3</v>
      </c>
      <c r="AF158" s="159" t="n">
        <v>0.79</v>
      </c>
      <c r="AG158" s="159" t="n">
        <v>0.7852170000000001</v>
      </c>
      <c r="AH158" s="159" t="n">
        <v>2.63565</v>
      </c>
      <c r="AI158" s="159" t="n">
        <v>2.88913</v>
      </c>
      <c r="AJ158" s="159" t="n">
        <v>0.253478</v>
      </c>
      <c r="AK158" s="159" t="n">
        <v>1.98261</v>
      </c>
      <c r="AL158" s="159" t="n">
        <v>2.09913</v>
      </c>
      <c r="AM158" s="159" t="n">
        <v>170.625</v>
      </c>
      <c r="AN158" s="159" t="n">
        <v>-0.54752</v>
      </c>
      <c r="AO158" s="159" t="n">
        <v>-0.5891999999999999</v>
      </c>
      <c r="AP158" s="159" t="n">
        <v>-0.6078</v>
      </c>
      <c r="AQ158" s="159" t="n">
        <v>3.80539</v>
      </c>
      <c r="AR158" s="159" t="n"/>
      <c r="AS158" s="159" t="n">
        <v>0.290909</v>
      </c>
      <c r="AT158" s="159" t="n">
        <v>3.8</v>
      </c>
      <c r="AU158" s="159" t="n">
        <v>100.2</v>
      </c>
      <c r="AV158" s="159" t="n">
        <v>106.1</v>
      </c>
      <c r="AW158" s="159" t="n">
        <v>98.4483</v>
      </c>
      <c r="AX158" s="159" t="n">
        <v>105.9</v>
      </c>
      <c r="AY158" s="159" t="n">
        <v>4.283976831</v>
      </c>
      <c r="AZ158" s="159" t="n">
        <v>4.84821832</v>
      </c>
      <c r="BA158" s="159" t="n">
        <v>9.448411944</v>
      </c>
      <c r="BB158" s="159" t="n">
        <v>4.644708157</v>
      </c>
      <c r="BC158" s="159" t="n">
        <v>4.914124394</v>
      </c>
    </row>
    <row r="159">
      <c r="A159" s="83" t="inlineStr">
        <is>
          <t>2018-09</t>
        </is>
      </c>
      <c r="B159" s="155" t="n">
        <v>3033.768</v>
      </c>
      <c r="C159" s="155" t="n">
        <v>148.99</v>
      </c>
      <c r="D159" s="155" t="n">
        <v>550.17</v>
      </c>
      <c r="E159" s="155" t="n">
        <v>6416.28</v>
      </c>
      <c r="F159" s="152" t="n">
        <v>4.25</v>
      </c>
      <c r="G159" s="152" t="n">
        <v>1.95</v>
      </c>
      <c r="H159" s="152" t="n">
        <v>2.3</v>
      </c>
      <c r="I159" s="156" t="n">
        <v>1322.525015</v>
      </c>
      <c r="J159" s="152" t="n">
        <v>3.978275332</v>
      </c>
      <c r="K159" s="152" t="n">
        <v>114.0786632</v>
      </c>
      <c r="L159" s="152" t="n">
        <v>12.91052632</v>
      </c>
      <c r="M159" s="157" t="n">
        <v>0</v>
      </c>
      <c r="N159" s="155" t="n">
        <v>47511.72</v>
      </c>
      <c r="O159" s="152" t="n">
        <v>177.05</v>
      </c>
      <c r="P159" s="152" t="n">
        <v>1.7705</v>
      </c>
      <c r="Q159" s="156" t="n">
        <v>-145.51</v>
      </c>
      <c r="R159" s="156" t="n">
        <v>-200.76</v>
      </c>
      <c r="S159" s="152" t="n">
        <v>6.2495</v>
      </c>
      <c r="T159" s="152" t="n">
        <v>2.7655</v>
      </c>
      <c r="U159" s="152" t="n">
        <v>3.484</v>
      </c>
      <c r="V159" s="152" t="n">
        <v>2.054473676</v>
      </c>
      <c r="W159" s="152" t="n">
        <v>1.429526324</v>
      </c>
      <c r="X159" s="158" t="n">
        <v>4.11772</v>
      </c>
      <c r="Y159" s="158" t="n">
        <v>680.17666</v>
      </c>
      <c r="Z159" s="158" t="n">
        <v>18.958956</v>
      </c>
      <c r="AA159" s="158" t="n">
        <v>3.31181</v>
      </c>
      <c r="AB159" s="159" t="n">
        <v>0.8383412220999999</v>
      </c>
      <c r="AC159" s="159" t="n">
        <v>0.7719460828</v>
      </c>
      <c r="AD159" s="159" t="n">
        <v>107.0956882</v>
      </c>
      <c r="AE159" s="159" t="n">
        <v>99.47</v>
      </c>
      <c r="AF159" s="159" t="n">
        <v>0.881053</v>
      </c>
      <c r="AG159" s="159" t="n">
        <v>0.885263</v>
      </c>
      <c r="AH159" s="159" t="n">
        <v>2.76789</v>
      </c>
      <c r="AI159" s="159" t="n">
        <v>3.00421</v>
      </c>
      <c r="AJ159" s="159" t="n">
        <v>0.236316</v>
      </c>
      <c r="AK159" s="159" t="n">
        <v>2.00842</v>
      </c>
      <c r="AL159" s="159" t="n">
        <v>2.12316</v>
      </c>
      <c r="AM159" s="159" t="n">
        <v>191.399</v>
      </c>
      <c r="AN159" s="159" t="n">
        <v>-0.719325</v>
      </c>
      <c r="AO159" s="159" t="n">
        <v>-0.6005</v>
      </c>
      <c r="AP159" s="159" t="n">
        <v>-0.6294999999999999</v>
      </c>
      <c r="AQ159" s="159" t="n">
        <v>3.72008</v>
      </c>
      <c r="AR159" s="159" t="n"/>
      <c r="AS159" s="159" t="n">
        <v>0.224737</v>
      </c>
      <c r="AT159" s="159" t="n">
        <v>3.7</v>
      </c>
      <c r="AU159" s="159" t="n">
        <v>100.2</v>
      </c>
      <c r="AV159" s="159" t="n">
        <v>105.8</v>
      </c>
      <c r="AW159" s="159" t="n">
        <v>98.33110000000001</v>
      </c>
      <c r="AX159" s="159" t="n">
        <v>106.6</v>
      </c>
      <c r="AY159" s="159" t="n">
        <v>4.368067153</v>
      </c>
      <c r="AZ159" s="159" t="n">
        <v>4.880632905</v>
      </c>
      <c r="BA159" s="159" t="n">
        <v>9.450144364</v>
      </c>
      <c r="BB159" s="159" t="n">
        <v>4.645351976</v>
      </c>
      <c r="BC159" s="159" t="n">
        <v>4.927253685</v>
      </c>
    </row>
    <row r="160">
      <c r="A160" s="83" t="inlineStr">
        <is>
          <t>2018-10</t>
        </is>
      </c>
      <c r="B160" s="155" t="n">
        <v>3084.830968</v>
      </c>
      <c r="C160" s="155" t="n">
        <v>149.13</v>
      </c>
      <c r="D160" s="155" t="n">
        <v>616.87</v>
      </c>
      <c r="E160" s="155" t="n">
        <v>6505.54</v>
      </c>
      <c r="F160" s="152" t="n">
        <v>4.25</v>
      </c>
      <c r="G160" s="152" t="n">
        <v>2.19</v>
      </c>
      <c r="H160" s="152" t="n">
        <v>2.06</v>
      </c>
      <c r="I160" s="156" t="n">
        <v>-3357.740578</v>
      </c>
      <c r="J160" s="152" t="n">
        <v>4.023956931</v>
      </c>
      <c r="K160" s="152" t="n">
        <v>114.8312591</v>
      </c>
      <c r="L160" s="152" t="n">
        <v>19.35217391</v>
      </c>
      <c r="M160" s="157" t="n">
        <v>0</v>
      </c>
      <c r="N160" s="155" t="n">
        <v>47496.11</v>
      </c>
      <c r="O160" s="152" t="n">
        <v>179.0869565</v>
      </c>
      <c r="P160" s="152" t="n">
        <v>1.790869565</v>
      </c>
      <c r="Q160" s="156" t="n">
        <v>40.37</v>
      </c>
      <c r="R160" s="156" t="n">
        <v>-797.8099999999999</v>
      </c>
      <c r="S160" s="152" t="n">
        <v>6.349090909</v>
      </c>
      <c r="T160" s="152" t="n">
        <v>2.794090909</v>
      </c>
      <c r="U160" s="152" t="n">
        <v>3.555</v>
      </c>
      <c r="V160" s="152" t="n">
        <v>2.025527261</v>
      </c>
      <c r="W160" s="152" t="n">
        <v>1.529472739</v>
      </c>
      <c r="X160" s="158" t="n">
        <v>3.757565217</v>
      </c>
      <c r="Y160" s="158" t="n">
        <v>678.8616348</v>
      </c>
      <c r="Z160" s="158" t="n">
        <v>19.11436261</v>
      </c>
      <c r="AA160" s="158" t="n">
        <v>3.334768182</v>
      </c>
      <c r="AB160" s="159" t="n">
        <v>-0.861603597</v>
      </c>
      <c r="AC160" s="159" t="n">
        <v>-0.5047910893000001</v>
      </c>
      <c r="AD160" s="159" t="n">
        <v>107.2559362</v>
      </c>
      <c r="AE160" s="159" t="n">
        <v>99.59</v>
      </c>
      <c r="AF160" s="159" t="n">
        <v>1.04091</v>
      </c>
      <c r="AG160" s="159" t="n">
        <v>1.01318</v>
      </c>
      <c r="AH160" s="159" t="n">
        <v>2.86091</v>
      </c>
      <c r="AI160" s="159" t="n">
        <v>3.15227</v>
      </c>
      <c r="AJ160" s="159" t="n">
        <v>0.291364</v>
      </c>
      <c r="AK160" s="159" t="n">
        <v>1.98727</v>
      </c>
      <c r="AL160" s="159" t="n">
        <v>2.11136</v>
      </c>
      <c r="AM160" s="159" t="n">
        <v>211.726</v>
      </c>
      <c r="AN160" s="159" t="n">
        <v>-0.484725</v>
      </c>
      <c r="AO160" s="159" t="n">
        <v>-0.5735</v>
      </c>
      <c r="AP160" s="159" t="n">
        <v>-0.60325</v>
      </c>
      <c r="AQ160" s="159" t="n">
        <v>3.79589</v>
      </c>
      <c r="AR160" s="159" t="n"/>
      <c r="AS160" s="159" t="n">
        <v>0.215</v>
      </c>
      <c r="AT160" s="159" t="n">
        <v>3.8</v>
      </c>
      <c r="AU160" s="159" t="n">
        <v>100</v>
      </c>
      <c r="AV160" s="159" t="n">
        <v>105.9</v>
      </c>
      <c r="AW160" s="159" t="n">
        <v>98.2072</v>
      </c>
      <c r="AX160" s="159" t="n">
        <v>106.8</v>
      </c>
      <c r="AY160" s="159" t="n">
        <v>4.394846607</v>
      </c>
      <c r="AZ160" s="159" t="n">
        <v>4.88904753</v>
      </c>
      <c r="BA160" s="159" t="n">
        <v>9.451795242999999</v>
      </c>
      <c r="BB160" s="159" t="n">
        <v>4.644256275</v>
      </c>
      <c r="BC160" s="159" t="n">
        <v>4.935193099</v>
      </c>
    </row>
    <row r="161">
      <c r="A161" s="83" t="inlineStr">
        <is>
          <t>2018-11</t>
        </is>
      </c>
      <c r="B161" s="155" t="n">
        <v>3194.034333</v>
      </c>
      <c r="C161" s="155" t="n">
        <v>138.73</v>
      </c>
      <c r="D161" s="155" t="n">
        <v>588.4</v>
      </c>
      <c r="E161" s="155" t="n">
        <v>6565.68</v>
      </c>
      <c r="F161" s="152" t="n">
        <v>4.25</v>
      </c>
      <c r="G161" s="152" t="n">
        <v>2.2</v>
      </c>
      <c r="H161" s="152" t="n">
        <v>2.05</v>
      </c>
      <c r="I161" s="156" t="n">
        <v>-3715.161114</v>
      </c>
      <c r="J161" s="152" t="n">
        <v>3.73955471</v>
      </c>
      <c r="K161" s="152" t="n">
        <v>116.169045</v>
      </c>
      <c r="L161" s="152" t="n">
        <v>19.38904762</v>
      </c>
      <c r="M161" s="157" t="n">
        <v>0</v>
      </c>
      <c r="N161" s="155" t="n">
        <v>47753.5</v>
      </c>
      <c r="O161" s="152" t="n">
        <v>201.7727273</v>
      </c>
      <c r="P161" s="152" t="n">
        <v>2.017727273</v>
      </c>
      <c r="Q161" s="156" t="n">
        <v>-77.66</v>
      </c>
      <c r="R161" s="156" t="n">
        <v>-286.86</v>
      </c>
      <c r="S161" s="152" t="n">
        <v>6.447</v>
      </c>
      <c r="T161" s="152" t="n">
        <v>2.596</v>
      </c>
      <c r="U161" s="152" t="n">
        <v>3.851</v>
      </c>
      <c r="V161" s="152" t="n">
        <v>1.897289997</v>
      </c>
      <c r="W161" s="152" t="n">
        <v>1.953710003</v>
      </c>
      <c r="X161" s="158" t="n">
        <v>3.782536364</v>
      </c>
      <c r="Y161" s="158" t="n">
        <v>677.2892000000001</v>
      </c>
      <c r="Z161" s="158" t="n">
        <v>20.18623955</v>
      </c>
      <c r="AA161" s="158" t="n">
        <v>3.37565</v>
      </c>
      <c r="AB161" s="159" t="n">
        <v>0.5814211768999999</v>
      </c>
      <c r="AC161" s="159" t="n">
        <v>0.6836033595</v>
      </c>
      <c r="AD161" s="159" t="n">
        <v>107.578413</v>
      </c>
      <c r="AE161" s="159" t="n">
        <v>99.7</v>
      </c>
      <c r="AF161" s="159" t="n">
        <v>1.113</v>
      </c>
      <c r="AG161" s="159" t="n">
        <v>1.1025</v>
      </c>
      <c r="AH161" s="159" t="n">
        <v>2.859</v>
      </c>
      <c r="AI161" s="159" t="n">
        <v>3.117</v>
      </c>
      <c r="AJ161" s="159" t="n">
        <v>0.258</v>
      </c>
      <c r="AK161" s="159" t="n">
        <v>1.8445</v>
      </c>
      <c r="AL161" s="159" t="n">
        <v>2.004</v>
      </c>
      <c r="AM161" s="159" t="n">
        <v>245.682</v>
      </c>
      <c r="AN161" s="159" t="n">
        <v>-0.15864</v>
      </c>
      <c r="AO161" s="159" t="n">
        <v>-0.5046</v>
      </c>
      <c r="AP161" s="159" t="n">
        <v>-0.5476</v>
      </c>
      <c r="AQ161" s="159" t="n">
        <v>3.76372</v>
      </c>
      <c r="AR161" s="159" t="n"/>
      <c r="AS161" s="159" t="n">
        <v>0.323</v>
      </c>
      <c r="AT161" s="159" t="n">
        <v>3.8</v>
      </c>
      <c r="AU161" s="159" t="n">
        <v>99.90000000000001</v>
      </c>
      <c r="AV161" s="159" t="n">
        <v>105.4</v>
      </c>
      <c r="AW161" s="159" t="n">
        <v>98.07940000000001</v>
      </c>
      <c r="AX161" s="159" t="n">
        <v>106.4</v>
      </c>
      <c r="AY161" s="159" t="n">
        <v>4.170505901</v>
      </c>
      <c r="AZ161" s="159" t="n">
        <v>4.799552057</v>
      </c>
      <c r="BA161" s="159" t="n">
        <v>9.452580419</v>
      </c>
      <c r="BB161" s="159" t="n">
        <v>4.645044532</v>
      </c>
      <c r="BC161" s="159" t="n">
        <v>4.935911748</v>
      </c>
    </row>
    <row r="162">
      <c r="A162" s="83" t="inlineStr">
        <is>
          <t>2018-12</t>
        </is>
      </c>
      <c r="B162" s="155" t="n">
        <v>3218.550968</v>
      </c>
      <c r="C162" s="155" t="n">
        <v>130.2</v>
      </c>
      <c r="D162" s="155" t="n">
        <v>617.83</v>
      </c>
      <c r="E162" s="155" t="n">
        <v>6636.19</v>
      </c>
      <c r="F162" s="152" t="n">
        <v>4.25</v>
      </c>
      <c r="G162" s="152" t="n">
        <v>2.27</v>
      </c>
      <c r="H162" s="152" t="n">
        <v>1.98</v>
      </c>
      <c r="I162" s="156" t="n">
        <v>652.0410394</v>
      </c>
      <c r="J162" s="152" t="n">
        <v>3.069053995</v>
      </c>
      <c r="K162" s="152" t="n">
        <v>116.2118053</v>
      </c>
      <c r="L162" s="152" t="n">
        <v>24.95315789</v>
      </c>
      <c r="M162" s="157" t="n">
        <v>0</v>
      </c>
      <c r="N162" s="155" t="n">
        <v>48392.92</v>
      </c>
      <c r="O162" s="152" t="n">
        <v>211.8095238</v>
      </c>
      <c r="P162" s="152" t="n">
        <v>2.118095238</v>
      </c>
      <c r="Q162" s="156" t="n">
        <v>-98.06</v>
      </c>
      <c r="R162" s="156" t="n">
        <v>51.28</v>
      </c>
      <c r="S162" s="152" t="n">
        <v>6.217368421</v>
      </c>
      <c r="T162" s="152" t="n">
        <v>2.500555556</v>
      </c>
      <c r="U162" s="152" t="n">
        <v>3.716812865</v>
      </c>
      <c r="V162" s="152" t="n">
        <v>1.672952633</v>
      </c>
      <c r="W162" s="152" t="n">
        <v>2.043860232</v>
      </c>
      <c r="X162" s="158" t="n">
        <v>3.884728571</v>
      </c>
      <c r="Y162" s="158" t="n">
        <v>684.3270619</v>
      </c>
      <c r="Z162" s="158" t="n">
        <v>20.02230762</v>
      </c>
      <c r="AA162" s="158" t="n">
        <v>3.364384211</v>
      </c>
      <c r="AB162" s="159" t="n">
        <v>0.1708379032</v>
      </c>
      <c r="AC162" s="159" t="n">
        <v>0.06335480249</v>
      </c>
      <c r="AD162" s="159" t="n">
        <v>107.235028</v>
      </c>
      <c r="AE162" s="159" t="n">
        <v>100</v>
      </c>
      <c r="AF162" s="159" t="n">
        <v>1.01632</v>
      </c>
      <c r="AG162" s="159" t="n">
        <v>1.08</v>
      </c>
      <c r="AH162" s="159" t="n">
        <v>2.67632</v>
      </c>
      <c r="AI162" s="159" t="n">
        <v>2.83263</v>
      </c>
      <c r="AJ162" s="159" t="n">
        <v>0.156316</v>
      </c>
      <c r="AK162" s="159" t="n">
        <v>1.60158</v>
      </c>
      <c r="AL162" s="159" t="n">
        <v>1.81632</v>
      </c>
      <c r="AM162" s="159" t="n">
        <v>217.748</v>
      </c>
      <c r="AN162" s="159" t="n">
        <v>0.427175</v>
      </c>
      <c r="AO162" s="159" t="n">
        <v>-0.43625</v>
      </c>
      <c r="AP162" s="159" t="n">
        <v>-0.454</v>
      </c>
      <c r="AQ162" s="159" t="n">
        <v>3.97966</v>
      </c>
      <c r="AR162" s="159" t="n"/>
      <c r="AS162" s="159" t="n">
        <v>0.424444</v>
      </c>
      <c r="AT162" s="159" t="n">
        <v>3.9</v>
      </c>
      <c r="AU162" s="159" t="n">
        <v>99.90000000000001</v>
      </c>
      <c r="AV162" s="159" t="n">
        <v>105.7</v>
      </c>
      <c r="AW162" s="159" t="n">
        <v>97.9515</v>
      </c>
      <c r="AX162" s="159" t="n">
        <v>106.5</v>
      </c>
      <c r="AY162" s="159" t="n">
        <v>4.049389036</v>
      </c>
      <c r="AZ162" s="159" t="n">
        <v>4.75267598</v>
      </c>
      <c r="BA162" s="159" t="n">
        <v>9.454148924</v>
      </c>
      <c r="BB162" s="159" t="n">
        <v>4.645294337</v>
      </c>
      <c r="BC162" s="159" t="n">
        <v>4.921439715</v>
      </c>
    </row>
    <row r="163">
      <c r="A163" s="83" t="inlineStr">
        <is>
          <t>2019-01</t>
        </is>
      </c>
      <c r="B163" s="155" t="n">
        <v>3165.188065</v>
      </c>
      <c r="C163" s="155" t="n">
        <v>131.86</v>
      </c>
      <c r="D163" s="155" t="n">
        <v>572.48</v>
      </c>
      <c r="E163" s="155" t="n">
        <v>6677.46</v>
      </c>
      <c r="F163" s="152" t="n">
        <v>4.25</v>
      </c>
      <c r="G163" s="152" t="n">
        <v>2.4</v>
      </c>
      <c r="H163" s="152" t="n">
        <v>1.85</v>
      </c>
      <c r="I163" s="156" t="n">
        <v>4041.232271</v>
      </c>
      <c r="J163" s="152" t="n">
        <v>2.966804535</v>
      </c>
      <c r="K163" s="152" t="n">
        <v>114.44249</v>
      </c>
      <c r="L163" s="152" t="n">
        <v>19.57238095</v>
      </c>
      <c r="M163" s="157" t="n">
        <v>0</v>
      </c>
      <c r="N163" s="155" t="n">
        <v>49208.63</v>
      </c>
      <c r="O163" s="152" t="n">
        <v>201.4347826</v>
      </c>
      <c r="P163" s="152" t="n">
        <v>2.014347826</v>
      </c>
      <c r="Q163" s="156" t="n">
        <v>-207.42</v>
      </c>
      <c r="R163" s="156" t="n">
        <v>526.6900000000001</v>
      </c>
      <c r="S163" s="152" t="n">
        <v>6.150952381</v>
      </c>
      <c r="T163" s="152" t="n">
        <v>2.52047619</v>
      </c>
      <c r="U163" s="152" t="n">
        <v>3.63047619</v>
      </c>
      <c r="V163" s="152" t="n">
        <v>1.693757148</v>
      </c>
      <c r="W163" s="152" t="n">
        <v>1.936719042</v>
      </c>
      <c r="X163" s="158" t="n">
        <v>3.747152174</v>
      </c>
      <c r="Y163" s="158" t="n">
        <v>675.2184</v>
      </c>
      <c r="Z163" s="158" t="n">
        <v>19.14483565</v>
      </c>
      <c r="AA163" s="158" t="n">
        <v>3.343813636</v>
      </c>
      <c r="AB163" s="159" t="n">
        <v>-1.134521118</v>
      </c>
      <c r="AC163" s="159" t="n">
        <v>-0.9717809385</v>
      </c>
      <c r="AD163" s="159" t="n">
        <v>107.9495871</v>
      </c>
      <c r="AE163" s="159" t="n">
        <v>100.6</v>
      </c>
      <c r="AF163" s="159" t="n">
        <v>0.92</v>
      </c>
      <c r="AG163" s="159" t="n">
        <v>0.908095</v>
      </c>
      <c r="AH163" s="159" t="n">
        <v>2.54333</v>
      </c>
      <c r="AI163" s="159" t="n">
        <v>2.71381</v>
      </c>
      <c r="AJ163" s="159" t="n">
        <v>0.170476</v>
      </c>
      <c r="AK163" s="159" t="n">
        <v>1.6281</v>
      </c>
      <c r="AL163" s="159" t="n">
        <v>1.79381</v>
      </c>
      <c r="AM163" s="159" t="n">
        <v>241.368</v>
      </c>
      <c r="AN163" s="159" t="n">
        <v>-0.029675</v>
      </c>
      <c r="AO163" s="159" t="n">
        <v>-0.4785</v>
      </c>
      <c r="AP163" s="159" t="n">
        <v>-0.5095</v>
      </c>
      <c r="AQ163" s="159" t="n">
        <v>4.05145</v>
      </c>
      <c r="AR163" s="159" t="n"/>
      <c r="AS163" s="159" t="n">
        <v>0.4</v>
      </c>
      <c r="AT163" s="159" t="n">
        <v>4</v>
      </c>
      <c r="AU163" s="159" t="n">
        <v>99.59999999999999</v>
      </c>
      <c r="AV163" s="159" t="n"/>
      <c r="AW163" s="159" t="n">
        <v>97.82640000000001</v>
      </c>
      <c r="AX163" s="159" t="n">
        <v>107</v>
      </c>
      <c r="AY163" s="159" t="n">
        <v>4.084454146</v>
      </c>
      <c r="AZ163" s="159" t="n">
        <v>4.762327769</v>
      </c>
      <c r="BA163" s="159" t="n">
        <v>9.456418895000001</v>
      </c>
      <c r="BB163" s="159" t="n">
        <v>4.638624304</v>
      </c>
      <c r="BC163" s="159" t="n">
        <v>4.923623917</v>
      </c>
    </row>
    <row r="164">
      <c r="A164" s="83" t="inlineStr">
        <is>
          <t>2019-02</t>
        </is>
      </c>
      <c r="B164" s="155" t="n">
        <v>3115.838571</v>
      </c>
      <c r="C164" s="155" t="n">
        <v>141.28</v>
      </c>
      <c r="D164" s="155" t="n">
        <v>512.25</v>
      </c>
      <c r="E164" s="155" t="n">
        <v>6716.75</v>
      </c>
      <c r="F164" s="152" t="n">
        <v>4.25</v>
      </c>
      <c r="G164" s="152" t="n">
        <v>2.4</v>
      </c>
      <c r="H164" s="152" t="n">
        <v>1.85</v>
      </c>
      <c r="I164" s="156" t="n">
        <v>-7565.784087</v>
      </c>
      <c r="J164" s="152" t="n">
        <v>3.111433419</v>
      </c>
      <c r="K164" s="152" t="n">
        <v>114.4130056</v>
      </c>
      <c r="L164" s="152" t="n">
        <v>15.23473684</v>
      </c>
      <c r="M164" s="157" t="n">
        <v>0</v>
      </c>
      <c r="N164" s="155" t="n">
        <v>50498.27</v>
      </c>
      <c r="O164" s="152" t="n">
        <v>191</v>
      </c>
      <c r="P164" s="152" t="n">
        <v>1.91</v>
      </c>
      <c r="Q164" s="156" t="n">
        <v>-23.29</v>
      </c>
      <c r="R164" s="156" t="n">
        <v>769.5700000000001</v>
      </c>
      <c r="S164" s="152" t="n">
        <v>6.009</v>
      </c>
      <c r="T164" s="152" t="n">
        <v>2.5625</v>
      </c>
      <c r="U164" s="152" t="n">
        <v>3.4465</v>
      </c>
      <c r="V164" s="152" t="n">
        <v>1.831599988</v>
      </c>
      <c r="W164" s="152" t="n">
        <v>1.614900012</v>
      </c>
      <c r="X164" s="158" t="n">
        <v>3.723325</v>
      </c>
      <c r="Y164" s="158" t="n">
        <v>656.063625</v>
      </c>
      <c r="Z164" s="158" t="n">
        <v>19.15143</v>
      </c>
      <c r="AA164" s="158" t="n">
        <v>3.3216</v>
      </c>
      <c r="AB164" s="159" t="n">
        <v>-0.516083351</v>
      </c>
      <c r="AC164" s="159" t="n">
        <v>-0.5186605353</v>
      </c>
      <c r="AD164" s="159" t="n">
        <v>108.854269</v>
      </c>
      <c r="AE164" s="159" t="n">
        <v>101.18</v>
      </c>
      <c r="AF164" s="159" t="n">
        <v>0.799474</v>
      </c>
      <c r="AG164" s="159" t="n">
        <v>0.730526</v>
      </c>
      <c r="AH164" s="159" t="n">
        <v>2.50421</v>
      </c>
      <c r="AI164" s="159" t="n">
        <v>2.67632</v>
      </c>
      <c r="AJ164" s="159" t="n">
        <v>0.172105</v>
      </c>
      <c r="AK164" s="159" t="n">
        <v>1.75737</v>
      </c>
      <c r="AL164" s="159" t="n">
        <v>1.87684</v>
      </c>
      <c r="AM164" s="159" t="n">
        <v>172.535</v>
      </c>
      <c r="AN164" s="159" t="n">
        <v>-0.323525</v>
      </c>
      <c r="AO164" s="159" t="n">
        <v>-0.56275</v>
      </c>
      <c r="AP164" s="159" t="n">
        <v>-0.5942499999999999</v>
      </c>
      <c r="AQ164" s="159" t="n">
        <v>3.87811</v>
      </c>
      <c r="AR164" s="159" t="n"/>
      <c r="AS164" s="159" t="n">
        <v>0.29</v>
      </c>
      <c r="AT164" s="159" t="n">
        <v>3.8</v>
      </c>
      <c r="AU164" s="159" t="n">
        <v>99.40000000000001</v>
      </c>
      <c r="AV164" s="159" t="n">
        <v>105.3</v>
      </c>
      <c r="AW164" s="159" t="n">
        <v>97.7072</v>
      </c>
      <c r="AX164" s="159" t="n">
        <v>108.1</v>
      </c>
      <c r="AY164" s="159" t="n">
        <v>4.158265705</v>
      </c>
      <c r="AZ164" s="159" t="n">
        <v>4.777079389</v>
      </c>
      <c r="BA164" s="159" t="n">
        <v>9.45579321</v>
      </c>
      <c r="BB164" s="159" t="n">
        <v>4.63314521</v>
      </c>
      <c r="BC164" s="159" t="n">
        <v>4.914858339</v>
      </c>
    </row>
    <row r="165">
      <c r="A165" s="83" t="inlineStr">
        <is>
          <t>2019-03</t>
        </is>
      </c>
      <c r="B165" s="155" t="n">
        <v>3128.684194</v>
      </c>
      <c r="C165" s="155" t="n">
        <v>140.82</v>
      </c>
      <c r="D165" s="155" t="n">
        <v>559.97</v>
      </c>
      <c r="E165" s="155" t="n">
        <v>6777.12</v>
      </c>
      <c r="F165" s="152" t="n">
        <v>4.25</v>
      </c>
      <c r="G165" s="152" t="n">
        <v>2.41</v>
      </c>
      <c r="H165" s="152" t="n">
        <v>1.84</v>
      </c>
      <c r="I165" s="156" t="n">
        <v>-2767.366095</v>
      </c>
      <c r="J165" s="152" t="n">
        <v>2.964295513</v>
      </c>
      <c r="K165" s="152" t="n">
        <v>114.783519</v>
      </c>
      <c r="L165" s="152" t="n">
        <v>14.4852381</v>
      </c>
      <c r="M165" s="157" t="n">
        <v>0</v>
      </c>
      <c r="N165" s="155" t="n">
        <v>51260.99</v>
      </c>
      <c r="O165" s="152" t="n">
        <v>188.1428571</v>
      </c>
      <c r="P165" s="152" t="n">
        <v>1.881428571</v>
      </c>
      <c r="Q165" s="156" t="n">
        <v>12.51</v>
      </c>
      <c r="R165" s="156" t="n">
        <v>227.34</v>
      </c>
      <c r="S165" s="152" t="n">
        <v>5.843</v>
      </c>
      <c r="T165" s="152" t="n">
        <v>2.6105</v>
      </c>
      <c r="U165" s="152" t="n">
        <v>3.2325</v>
      </c>
      <c r="V165" s="152" t="n">
        <v>1.884904776</v>
      </c>
      <c r="W165" s="152" t="n">
        <v>1.347595224</v>
      </c>
      <c r="X165" s="158" t="n">
        <v>3.840157143</v>
      </c>
      <c r="Y165" s="158" t="n">
        <v>669.593719</v>
      </c>
      <c r="Z165" s="158" t="n">
        <v>19.19449286</v>
      </c>
      <c r="AA165" s="158" t="n">
        <v>3.304319048</v>
      </c>
      <c r="AB165" s="159" t="n">
        <v>0.4596357577</v>
      </c>
      <c r="AC165" s="159" t="n">
        <v>0.2422765954</v>
      </c>
      <c r="AD165" s="159" t="n">
        <v>107.5432664</v>
      </c>
      <c r="AE165" s="159" t="n">
        <v>101.62</v>
      </c>
      <c r="AF165" s="159" t="n">
        <v>0.658095</v>
      </c>
      <c r="AG165" s="159" t="n">
        <v>0.556667</v>
      </c>
      <c r="AH165" s="159" t="n">
        <v>2.40952</v>
      </c>
      <c r="AI165" s="159" t="n">
        <v>2.57095</v>
      </c>
      <c r="AJ165" s="159" t="n">
        <v>0.161429</v>
      </c>
      <c r="AK165" s="159" t="n">
        <v>1.81619</v>
      </c>
      <c r="AL165" s="159" t="n">
        <v>1.91286</v>
      </c>
      <c r="AM165" s="159" t="n">
        <v>238.229</v>
      </c>
      <c r="AN165" s="159" t="n">
        <v>-0.49824</v>
      </c>
      <c r="AO165" s="159" t="n">
        <v>-0.6028</v>
      </c>
      <c r="AP165" s="159" t="n">
        <v>-0.6462</v>
      </c>
      <c r="AQ165" s="159" t="n">
        <v>3.8701</v>
      </c>
      <c r="AR165" s="159" t="n"/>
      <c r="AS165" s="159" t="n">
        <v>0.203333</v>
      </c>
      <c r="AT165" s="159" t="n">
        <v>3.8</v>
      </c>
      <c r="AU165" s="159" t="n">
        <v>99.40000000000001</v>
      </c>
      <c r="AV165" s="159" t="n">
        <v>108.5</v>
      </c>
      <c r="AW165" s="159" t="n">
        <v>97.5964</v>
      </c>
      <c r="AX165" s="159" t="n">
        <v>107.7</v>
      </c>
      <c r="AY165" s="159" t="n">
        <v>4.19175254</v>
      </c>
      <c r="AZ165" s="159" t="n">
        <v>4.782253045</v>
      </c>
      <c r="BA165" s="159" t="n">
        <v>9.45626251</v>
      </c>
      <c r="BB165" s="159" t="n">
        <v>4.633524379</v>
      </c>
      <c r="BC165" s="159" t="n">
        <v>4.915591745</v>
      </c>
    </row>
    <row r="166">
      <c r="A166" s="83" t="inlineStr">
        <is>
          <t>2019-04</t>
        </is>
      </c>
      <c r="B166" s="155" t="n">
        <v>3155.765</v>
      </c>
      <c r="C166" s="155" t="n">
        <v>143.6</v>
      </c>
      <c r="D166" s="155" t="n">
        <v>596.53</v>
      </c>
      <c r="E166" s="155" t="n">
        <v>6838.03</v>
      </c>
      <c r="F166" s="152" t="n">
        <v>4.25</v>
      </c>
      <c r="G166" s="152" t="n">
        <v>2.42</v>
      </c>
      <c r="H166" s="152" t="n">
        <v>1.83</v>
      </c>
      <c r="I166" s="156" t="n">
        <v>1075.425241</v>
      </c>
      <c r="J166" s="152" t="n">
        <v>2.704744298</v>
      </c>
      <c r="K166" s="152" t="n">
        <v>114.9037545</v>
      </c>
      <c r="L166" s="152" t="n">
        <v>12.94904762</v>
      </c>
      <c r="M166" s="157" t="n">
        <v>0</v>
      </c>
      <c r="N166" s="155" t="n">
        <v>51521.67</v>
      </c>
      <c r="O166" s="152" t="n">
        <v>176.9545455</v>
      </c>
      <c r="P166" s="152" t="n">
        <v>1.769545455</v>
      </c>
      <c r="Q166" s="156" t="n">
        <v>28.41</v>
      </c>
      <c r="R166" s="156" t="n">
        <v>-394.67</v>
      </c>
      <c r="S166" s="152" t="n">
        <v>5.8015</v>
      </c>
      <c r="T166" s="152" t="n">
        <v>2.547</v>
      </c>
      <c r="U166" s="152" t="n">
        <v>3.2545</v>
      </c>
      <c r="V166" s="152" t="n">
        <v>1.890471424</v>
      </c>
      <c r="W166" s="152" t="n">
        <v>1.364028576</v>
      </c>
      <c r="X166" s="158" t="n">
        <v>3.897713636</v>
      </c>
      <c r="Y166" s="158" t="n">
        <v>667.3414545000001</v>
      </c>
      <c r="Z166" s="158" t="n">
        <v>18.93698318</v>
      </c>
      <c r="AA166" s="158" t="n">
        <v>3.303405</v>
      </c>
      <c r="AB166" s="159" t="n">
        <v>-0.1714512532</v>
      </c>
      <c r="AC166" s="159" t="n">
        <v>-0.1316892158</v>
      </c>
      <c r="AD166" s="159" t="n">
        <v>108.9572148</v>
      </c>
      <c r="AE166" s="159" t="n">
        <v>102.12</v>
      </c>
      <c r="AF166" s="159" t="n">
        <v>0.595714</v>
      </c>
      <c r="AG166" s="159" t="n">
        <v>0.494762</v>
      </c>
      <c r="AH166" s="159" t="n">
        <v>2.34476</v>
      </c>
      <c r="AI166" s="159" t="n">
        <v>2.53238</v>
      </c>
      <c r="AJ166" s="159" t="n">
        <v>0.187619</v>
      </c>
      <c r="AK166" s="159" t="n">
        <v>1.83857</v>
      </c>
      <c r="AL166" s="159" t="n">
        <v>1.93667</v>
      </c>
      <c r="AM166" s="159" t="n">
        <v>188.797</v>
      </c>
      <c r="AN166" s="159" t="n">
        <v>-0.6806</v>
      </c>
      <c r="AO166" s="159" t="n">
        <v>-0.61725</v>
      </c>
      <c r="AP166" s="159" t="n">
        <v>-0.6665</v>
      </c>
      <c r="AQ166" s="159" t="n">
        <v>3.62743</v>
      </c>
      <c r="AR166" s="159" t="n"/>
      <c r="AS166" s="159" t="n">
        <v>0.207</v>
      </c>
      <c r="AT166" s="159" t="n">
        <v>3.7</v>
      </c>
      <c r="AU166" s="159" t="n">
        <v>99.2</v>
      </c>
      <c r="AV166" s="159" t="n">
        <v>105.4</v>
      </c>
      <c r="AW166" s="159" t="n">
        <v>97.49679999999999</v>
      </c>
      <c r="AX166" s="159" t="n">
        <v>107.8</v>
      </c>
      <c r="AY166" s="159" t="n">
        <v>4.265960406</v>
      </c>
      <c r="AZ166" s="159" t="n">
        <v>4.810345267</v>
      </c>
      <c r="BA166" s="159" t="n">
        <v>9.456027887999999</v>
      </c>
      <c r="BB166" s="159" t="n">
        <v>4.627655486</v>
      </c>
      <c r="BC166" s="159" t="n">
        <v>4.924350925</v>
      </c>
    </row>
    <row r="167">
      <c r="A167" s="83" t="inlineStr">
        <is>
          <t>2019-05</t>
        </is>
      </c>
      <c r="B167" s="155" t="n">
        <v>3304.494516</v>
      </c>
      <c r="C167" s="155" t="n">
        <v>140.88</v>
      </c>
      <c r="D167" s="155" t="n">
        <v>652.23</v>
      </c>
      <c r="E167" s="155" t="n">
        <v>6938.15</v>
      </c>
      <c r="F167" s="152" t="n">
        <v>4.25</v>
      </c>
      <c r="G167" s="152" t="n">
        <v>2.39</v>
      </c>
      <c r="H167" s="152" t="n">
        <v>1.86</v>
      </c>
      <c r="I167" s="156" t="n">
        <v>-87.8617433</v>
      </c>
      <c r="J167" s="152" t="n">
        <v>2.636824315</v>
      </c>
      <c r="K167" s="152" t="n">
        <v>115.9573818</v>
      </c>
      <c r="L167" s="152" t="n">
        <v>16.72181818</v>
      </c>
      <c r="M167" s="157" t="n">
        <v>0</v>
      </c>
      <c r="N167" s="155" t="n">
        <v>51975.23</v>
      </c>
      <c r="O167" s="152" t="n">
        <v>190.6086957</v>
      </c>
      <c r="P167" s="152" t="n">
        <v>1.906086957</v>
      </c>
      <c r="Q167" s="156" t="n">
        <v>-46.58</v>
      </c>
      <c r="R167" s="156" t="n">
        <v>-357.7</v>
      </c>
      <c r="S167" s="152" t="n">
        <v>5.886363636</v>
      </c>
      <c r="T167" s="152" t="n">
        <v>2.53</v>
      </c>
      <c r="U167" s="152" t="n">
        <v>3.356363636</v>
      </c>
      <c r="V167" s="152" t="n">
        <v>1.734959088</v>
      </c>
      <c r="W167" s="152" t="n">
        <v>1.621404549</v>
      </c>
      <c r="X167" s="158" t="n">
        <v>3.998773913</v>
      </c>
      <c r="Y167" s="158" t="n">
        <v>693.1424913</v>
      </c>
      <c r="Z167" s="158" t="n">
        <v>19.08361217</v>
      </c>
      <c r="AA167" s="158" t="n">
        <v>3.333504545</v>
      </c>
      <c r="AB167" s="159" t="n">
        <v>0.6956051346</v>
      </c>
      <c r="AC167" s="159" t="n">
        <v>0.7066024398</v>
      </c>
      <c r="AD167" s="159" t="n">
        <v>110.0237534</v>
      </c>
      <c r="AE167" s="159" t="n">
        <v>102.44</v>
      </c>
      <c r="AF167" s="159" t="n">
        <v>0.568636</v>
      </c>
      <c r="AG167" s="159" t="n">
        <v>0.479545</v>
      </c>
      <c r="AH167" s="159" t="n">
        <v>2.20636</v>
      </c>
      <c r="AI167" s="159" t="n">
        <v>2.395</v>
      </c>
      <c r="AJ167" s="159" t="n">
        <v>0.188636</v>
      </c>
      <c r="AK167" s="159" t="n">
        <v>1.70818</v>
      </c>
      <c r="AL167" s="159" t="n">
        <v>1.82636</v>
      </c>
      <c r="AM167" s="159" t="n">
        <v>220.907</v>
      </c>
      <c r="AN167" s="159" t="n">
        <v>-0.40774</v>
      </c>
      <c r="AO167" s="159" t="n">
        <v>-0.5992</v>
      </c>
      <c r="AP167" s="159" t="n">
        <v>-0.656</v>
      </c>
      <c r="AQ167" s="159" t="n">
        <v>3.65458</v>
      </c>
      <c r="AR167" s="159" t="n"/>
      <c r="AS167" s="159" t="n">
        <v>0.180476</v>
      </c>
      <c r="AT167" s="159" t="n">
        <v>3.6</v>
      </c>
      <c r="AU167" s="159" t="n">
        <v>99.09999999999999</v>
      </c>
      <c r="AV167" s="159" t="n">
        <v>105</v>
      </c>
      <c r="AW167" s="159" t="n">
        <v>97.4156</v>
      </c>
      <c r="AX167" s="159" t="n">
        <v>107.8</v>
      </c>
      <c r="AY167" s="159" t="n">
        <v>4.267144543</v>
      </c>
      <c r="AZ167" s="159" t="n">
        <v>4.784529025</v>
      </c>
      <c r="BA167" s="159" t="n">
        <v>9.455480221</v>
      </c>
      <c r="BB167" s="159" t="n">
        <v>4.628808585</v>
      </c>
      <c r="BC167" s="159" t="n">
        <v>4.92289638</v>
      </c>
    </row>
    <row r="168">
      <c r="A168" s="83" t="inlineStr">
        <is>
          <t>2019-06</t>
        </is>
      </c>
      <c r="B168" s="155" t="n">
        <v>3260.517</v>
      </c>
      <c r="C168" s="155" t="n">
        <v>136.62</v>
      </c>
      <c r="D168" s="155" t="n">
        <v>525.75</v>
      </c>
      <c r="E168" s="155" t="n">
        <v>6952.7</v>
      </c>
      <c r="F168" s="152" t="n">
        <v>4.25</v>
      </c>
      <c r="G168" s="152" t="n">
        <v>2.38</v>
      </c>
      <c r="H168" s="152" t="n">
        <v>1.87</v>
      </c>
      <c r="I168" s="156" t="n">
        <v>330.9743755</v>
      </c>
      <c r="J168" s="152" t="n">
        <v>2.284106697</v>
      </c>
      <c r="K168" s="152" t="n">
        <v>115.42707</v>
      </c>
      <c r="L168" s="152" t="n">
        <v>15.836</v>
      </c>
      <c r="M168" s="157" t="n">
        <v>0</v>
      </c>
      <c r="N168" s="155" t="n">
        <v>52444.49</v>
      </c>
      <c r="O168" s="152" t="n">
        <v>189.6</v>
      </c>
      <c r="P168" s="152" t="n">
        <v>1.896</v>
      </c>
      <c r="Q168" s="156" t="n">
        <v>-139.77</v>
      </c>
      <c r="R168" s="156" t="n">
        <v>-17.21</v>
      </c>
      <c r="S168" s="152" t="n">
        <v>5.455555556</v>
      </c>
      <c r="T168" s="152" t="n">
        <v>2.282777778</v>
      </c>
      <c r="U168" s="152" t="n">
        <v>3.172777778</v>
      </c>
      <c r="V168" s="152" t="n">
        <v>1.586185002</v>
      </c>
      <c r="W168" s="152" t="n">
        <v>1.586592775</v>
      </c>
      <c r="X168" s="158" t="n">
        <v>3.8592</v>
      </c>
      <c r="Y168" s="158" t="n">
        <v>691.00066</v>
      </c>
      <c r="Z168" s="158" t="n">
        <v>19.212393</v>
      </c>
      <c r="AA168" s="158" t="n">
        <v>3.325475</v>
      </c>
      <c r="AB168" s="159" t="n">
        <v>-0.3841252541</v>
      </c>
      <c r="AC168" s="159" t="n">
        <v>-0.3341360629</v>
      </c>
      <c r="AD168" s="159" t="n">
        <v>108.8801059</v>
      </c>
      <c r="AE168" s="159" t="n">
        <v>102.71</v>
      </c>
      <c r="AF168" s="159" t="n">
        <v>0.374</v>
      </c>
      <c r="AG168" s="159" t="n">
        <v>0.276</v>
      </c>
      <c r="AH168" s="159" t="n">
        <v>1.814</v>
      </c>
      <c r="AI168" s="159" t="n">
        <v>2.074</v>
      </c>
      <c r="AJ168" s="159" t="n">
        <v>0.26</v>
      </c>
      <c r="AK168" s="159" t="n">
        <v>1.549</v>
      </c>
      <c r="AL168" s="159" t="n">
        <v>1.7</v>
      </c>
      <c r="AM168" s="159" t="n">
        <v>317.301</v>
      </c>
      <c r="AN168" s="159" t="n">
        <v>-0.3227</v>
      </c>
      <c r="AO168" s="159" t="n">
        <v>-0.57725</v>
      </c>
      <c r="AP168" s="159" t="n">
        <v>-0.633</v>
      </c>
      <c r="AQ168" s="159" t="n">
        <v>3.67946</v>
      </c>
      <c r="AR168" s="159" t="n"/>
      <c r="AS168" s="159" t="n">
        <v>0.227</v>
      </c>
      <c r="AT168" s="159" t="n">
        <v>3.6</v>
      </c>
      <c r="AU168" s="159" t="n">
        <v>98.90000000000001</v>
      </c>
      <c r="AV168" s="159" t="n">
        <v>106.3</v>
      </c>
      <c r="AW168" s="159" t="n">
        <v>97.36190000000001</v>
      </c>
      <c r="AX168" s="159" t="n">
        <v>107.7</v>
      </c>
      <c r="AY168" s="159" t="n">
        <v>4.162322474</v>
      </c>
      <c r="AZ168" s="159" t="n">
        <v>4.743670463</v>
      </c>
      <c r="BA168" s="159" t="n">
        <v>9.456184308999999</v>
      </c>
      <c r="BB168" s="159" t="n">
        <v>4.629257738</v>
      </c>
      <c r="BC168" s="159" t="n">
        <v>4.917056947</v>
      </c>
    </row>
    <row r="169">
      <c r="A169" s="83" t="inlineStr">
        <is>
          <t>2019-07</t>
        </is>
      </c>
      <c r="B169" s="155" t="n">
        <v>3206.600323</v>
      </c>
      <c r="C169" s="155" t="n">
        <v>137.66</v>
      </c>
      <c r="D169" s="155" t="n">
        <v>606.88</v>
      </c>
      <c r="E169" s="155" t="n">
        <v>7006.03</v>
      </c>
      <c r="F169" s="152" t="n">
        <v>4.25</v>
      </c>
      <c r="G169" s="152" t="n">
        <v>2.4</v>
      </c>
      <c r="H169" s="152" t="n">
        <v>1.85</v>
      </c>
      <c r="I169" s="156" t="n">
        <v>-5340.236714</v>
      </c>
      <c r="J169" s="152" t="n">
        <v>2.035827815</v>
      </c>
      <c r="K169" s="152" t="n">
        <v>115.0775909</v>
      </c>
      <c r="L169" s="152" t="n">
        <v>13.30590909</v>
      </c>
      <c r="M169" s="157" t="n">
        <v>0</v>
      </c>
      <c r="N169" s="155" t="n">
        <v>52365.75</v>
      </c>
      <c r="O169" s="152" t="n">
        <v>172.4782609</v>
      </c>
      <c r="P169" s="152" t="n">
        <v>1.724782609</v>
      </c>
      <c r="Q169" s="156" t="n">
        <v>-121.82</v>
      </c>
      <c r="R169" s="156" t="n">
        <v>-643.91</v>
      </c>
      <c r="S169" s="152" t="n">
        <v>5.223181818</v>
      </c>
      <c r="T169" s="152" t="n">
        <v>1.958181818</v>
      </c>
      <c r="U169" s="152" t="n">
        <v>3.265</v>
      </c>
      <c r="V169" s="152" t="n">
        <v>1.606336361</v>
      </c>
      <c r="W169" s="152" t="n">
        <v>1.658663639</v>
      </c>
      <c r="X169" s="158" t="n">
        <v>3.779026087</v>
      </c>
      <c r="Y169" s="158" t="n">
        <v>686.8788217</v>
      </c>
      <c r="Z169" s="158" t="n">
        <v>19.01640609</v>
      </c>
      <c r="AA169" s="158" t="n">
        <v>3.290404762</v>
      </c>
      <c r="AB169" s="159" t="n">
        <v>-0.491274184</v>
      </c>
      <c r="AC169" s="159" t="n">
        <v>-0.5792305585999999</v>
      </c>
      <c r="AD169" s="159" t="n">
        <v>110.4862588</v>
      </c>
      <c r="AE169" s="159" t="n">
        <v>102.94</v>
      </c>
      <c r="AF169" s="159" t="n">
        <v>0.306364</v>
      </c>
      <c r="AG169" s="159" t="n">
        <v>0.248636</v>
      </c>
      <c r="AH169" s="159" t="n">
        <v>1.835</v>
      </c>
      <c r="AI169" s="159" t="n">
        <v>2.05909</v>
      </c>
      <c r="AJ169" s="159" t="n">
        <v>0.224091</v>
      </c>
      <c r="AK169" s="159" t="n">
        <v>1.57955</v>
      </c>
      <c r="AL169" s="159" t="n">
        <v>1.75273</v>
      </c>
      <c r="AM169" s="159" t="n">
        <v>247.13</v>
      </c>
      <c r="AN169" s="159" t="n">
        <v>-0.4537</v>
      </c>
      <c r="AO169" s="159" t="n">
        <v>-0.58325</v>
      </c>
      <c r="AP169" s="159" t="n">
        <v>-0.63125</v>
      </c>
      <c r="AQ169" s="159" t="n">
        <v>3.76302</v>
      </c>
      <c r="AR169" s="159" t="n"/>
      <c r="AS169" s="159" t="n">
        <v>0.195</v>
      </c>
      <c r="AT169" s="159" t="n">
        <v>3.7</v>
      </c>
      <c r="AU169" s="159" t="n">
        <v>98.7</v>
      </c>
      <c r="AV169" s="159" t="n">
        <v>104.8</v>
      </c>
      <c r="AW169" s="159" t="n">
        <v>97.3458</v>
      </c>
      <c r="AX169" s="159" t="n">
        <v>108.1</v>
      </c>
      <c r="AY169" s="159" t="n">
        <v>4.157618221</v>
      </c>
      <c r="AZ169" s="159" t="n">
        <v>4.765450612</v>
      </c>
      <c r="BA169" s="159" t="n">
        <v>9.456418895000001</v>
      </c>
      <c r="BB169" s="159" t="n">
        <v>4.624394215</v>
      </c>
      <c r="BC169" s="159" t="n">
        <v>4.932313327</v>
      </c>
    </row>
    <row r="170">
      <c r="A170" s="83" t="inlineStr">
        <is>
          <t>2019-08</t>
        </is>
      </c>
      <c r="B170" s="155" t="n">
        <v>3410.729032</v>
      </c>
      <c r="C170" s="155" t="n">
        <v>134.09</v>
      </c>
      <c r="D170" s="155" t="n">
        <v>680.3</v>
      </c>
      <c r="E170" s="155" t="n">
        <v>7079.66</v>
      </c>
      <c r="F170" s="152" t="n">
        <v>4.25</v>
      </c>
      <c r="G170" s="152" t="n">
        <v>2.13</v>
      </c>
      <c r="H170" s="152" t="n">
        <v>2.12</v>
      </c>
      <c r="I170" s="156" t="n">
        <v>-5887.050241</v>
      </c>
      <c r="J170" s="152" t="n">
        <v>2.009210978</v>
      </c>
      <c r="K170" s="152" t="n">
        <v>117.1003864</v>
      </c>
      <c r="L170" s="152" t="n">
        <v>18.97909091</v>
      </c>
      <c r="M170" s="157" t="n">
        <v>0</v>
      </c>
      <c r="N170" s="155" t="n">
        <v>52993.64</v>
      </c>
      <c r="O170" s="152" t="n">
        <v>187.3636364</v>
      </c>
      <c r="P170" s="152" t="n">
        <v>1.873636364</v>
      </c>
      <c r="Q170" s="156" t="n">
        <v>-16.43</v>
      </c>
      <c r="R170" s="156" t="n">
        <v>-519.7</v>
      </c>
      <c r="S170" s="152" t="n">
        <v>5.297</v>
      </c>
      <c r="T170" s="152" t="n">
        <v>1.898421053</v>
      </c>
      <c r="U170" s="152" t="n">
        <v>3.398578947</v>
      </c>
      <c r="V170" s="152" t="n">
        <v>1.418700001</v>
      </c>
      <c r="W170" s="152" t="n">
        <v>1.979878946</v>
      </c>
      <c r="X170" s="158" t="n">
        <v>4.019681818</v>
      </c>
      <c r="Y170" s="158" t="n">
        <v>714.5055545</v>
      </c>
      <c r="Z170" s="158" t="n">
        <v>19.65245909</v>
      </c>
      <c r="AA170" s="158" t="n">
        <v>3.37871</v>
      </c>
      <c r="AB170" s="159" t="n">
        <v>1.344400564</v>
      </c>
      <c r="AC170" s="159" t="n">
        <v>1.5434295</v>
      </c>
      <c r="AD170" s="159" t="n">
        <v>110.399165</v>
      </c>
      <c r="AE170" s="159" t="n">
        <v>103.03</v>
      </c>
      <c r="AF170" s="159" t="n">
        <v>0.04</v>
      </c>
      <c r="AG170" s="159" t="n">
        <v>0.106364</v>
      </c>
      <c r="AH170" s="159" t="n">
        <v>1.57136</v>
      </c>
      <c r="AI170" s="159" t="n">
        <v>1.62636</v>
      </c>
      <c r="AJ170" s="159" t="n">
        <v>0.055</v>
      </c>
      <c r="AK170" s="159" t="n">
        <v>1.38045</v>
      </c>
      <c r="AL170" s="159" t="n">
        <v>1.58636</v>
      </c>
      <c r="AM170" s="159" t="n">
        <v>288.16</v>
      </c>
      <c r="AN170" s="159" t="n">
        <v>0.01506</v>
      </c>
      <c r="AO170" s="159" t="n">
        <v>-0.5508</v>
      </c>
      <c r="AP170" s="159" t="n">
        <v>-0.5784</v>
      </c>
      <c r="AQ170" s="159" t="n">
        <v>3.68034</v>
      </c>
      <c r="AR170" s="159" t="n"/>
      <c r="AS170" s="159" t="n">
        <v>0.21619</v>
      </c>
      <c r="AT170" s="159" t="n">
        <v>3.6</v>
      </c>
      <c r="AU170" s="159" t="n">
        <v>98.5</v>
      </c>
      <c r="AV170" s="159" t="n">
        <v>104.4</v>
      </c>
      <c r="AW170" s="159" t="n">
        <v>97.3811</v>
      </c>
      <c r="AX170" s="159" t="n">
        <v>108.9</v>
      </c>
      <c r="AY170" s="159" t="n">
        <v>4.078245668</v>
      </c>
      <c r="AZ170" s="159" t="n">
        <v>4.718766693</v>
      </c>
      <c r="BA170" s="159" t="n">
        <v>9.456340705000001</v>
      </c>
      <c r="BB170" s="159" t="n">
        <v>4.631217977</v>
      </c>
      <c r="BC170" s="159" t="n">
        <v>4.945918979</v>
      </c>
    </row>
    <row r="171">
      <c r="A171" s="83" t="inlineStr">
        <is>
          <t>2019-09</t>
        </is>
      </c>
      <c r="B171" s="155" t="n">
        <v>3399.457</v>
      </c>
      <c r="C171" s="155" t="n">
        <v>136.63</v>
      </c>
      <c r="D171" s="155" t="n">
        <v>582.33</v>
      </c>
      <c r="E171" s="155" t="n">
        <v>7111.82</v>
      </c>
      <c r="F171" s="152" t="n">
        <v>4.25</v>
      </c>
      <c r="G171" s="152" t="n">
        <v>2.04</v>
      </c>
      <c r="H171" s="152" t="n">
        <v>2.21</v>
      </c>
      <c r="I171" s="156" t="n">
        <v>3935.148563</v>
      </c>
      <c r="J171" s="152" t="n">
        <v>1.762752869</v>
      </c>
      <c r="K171" s="152" t="n">
        <v>117.32392</v>
      </c>
      <c r="L171" s="152" t="n">
        <v>15.559</v>
      </c>
      <c r="M171" s="157" t="n">
        <v>0</v>
      </c>
      <c r="N171" s="155" t="n">
        <v>52868.75</v>
      </c>
      <c r="O171" s="152" t="n">
        <v>175.9047619</v>
      </c>
      <c r="P171" s="152" t="n">
        <v>1.759047619</v>
      </c>
      <c r="Q171" s="156" t="n">
        <v>-111.27</v>
      </c>
      <c r="R171" s="156" t="n">
        <v>-1040.81</v>
      </c>
      <c r="S171" s="152" t="n">
        <v>5.273809524</v>
      </c>
      <c r="T171" s="152" t="n">
        <v>1.9375</v>
      </c>
      <c r="U171" s="152" t="n">
        <v>3.336309524</v>
      </c>
      <c r="V171" s="152" t="n">
        <v>1.417964995</v>
      </c>
      <c r="W171" s="152" t="n">
        <v>1.918344529</v>
      </c>
      <c r="X171" s="158" t="n">
        <v>4.1212</v>
      </c>
      <c r="Y171" s="158" t="n">
        <v>718.7510857</v>
      </c>
      <c r="Z171" s="158" t="n">
        <v>19.54335</v>
      </c>
      <c r="AA171" s="158" t="n">
        <v>3.357190476</v>
      </c>
      <c r="AB171" s="159" t="n">
        <v>0.1311044368</v>
      </c>
      <c r="AC171" s="159" t="n">
        <v>-0.02772157543</v>
      </c>
      <c r="AD171" s="159" t="n">
        <v>109.4922061</v>
      </c>
      <c r="AE171" s="159" t="n">
        <v>103.26</v>
      </c>
      <c r="AF171" s="159" t="n">
        <v>0.1125</v>
      </c>
      <c r="AG171" s="159" t="n">
        <v>0.1715</v>
      </c>
      <c r="AH171" s="159" t="n">
        <v>1.648</v>
      </c>
      <c r="AI171" s="159" t="n">
        <v>1.6995</v>
      </c>
      <c r="AJ171" s="159" t="n">
        <v>0.0515</v>
      </c>
      <c r="AK171" s="159" t="n">
        <v>1.3935</v>
      </c>
      <c r="AL171" s="159" t="n">
        <v>1.587</v>
      </c>
      <c r="AM171" s="159" t="n">
        <v>235.635</v>
      </c>
      <c r="AN171" s="159" t="n">
        <v>-0.120525</v>
      </c>
      <c r="AO171" s="159" t="n">
        <v>-0.51675</v>
      </c>
      <c r="AP171" s="159" t="n">
        <v>-0.56225</v>
      </c>
      <c r="AQ171" s="159" t="n">
        <v>3.53804</v>
      </c>
      <c r="AR171" s="159" t="n"/>
      <c r="AS171" s="159" t="n">
        <v>0.2305</v>
      </c>
      <c r="AT171" s="159" t="n">
        <v>3.5</v>
      </c>
      <c r="AU171" s="159" t="n">
        <v>98.3</v>
      </c>
      <c r="AV171" s="159" t="n">
        <v>105.8</v>
      </c>
      <c r="AW171" s="159" t="n">
        <v>97.4812</v>
      </c>
      <c r="AX171" s="159" t="n">
        <v>109.8</v>
      </c>
      <c r="AY171" s="159" t="n">
        <v>4.140380142</v>
      </c>
      <c r="AZ171" s="159" t="n">
        <v>4.736803528</v>
      </c>
      <c r="BA171" s="159" t="n">
        <v>9.456184308999999</v>
      </c>
      <c r="BB171" s="159" t="n">
        <v>4.627831469</v>
      </c>
      <c r="BC171" s="159" t="n">
        <v>4.920710587</v>
      </c>
    </row>
    <row r="172">
      <c r="A172" s="83" t="inlineStr">
        <is>
          <t>2019-10</t>
        </is>
      </c>
      <c r="B172" s="155" t="n">
        <v>3433.311613</v>
      </c>
      <c r="C172" s="155" t="n">
        <v>135.92</v>
      </c>
      <c r="D172" s="155" t="n">
        <v>597.33</v>
      </c>
      <c r="E172" s="155" t="n">
        <v>7092.28</v>
      </c>
      <c r="F172" s="152" t="n">
        <v>4.25</v>
      </c>
      <c r="G172" s="152" t="n">
        <v>1.83</v>
      </c>
      <c r="H172" s="152" t="n">
        <v>2.42</v>
      </c>
      <c r="I172" s="156" t="n">
        <v>-6344.163231</v>
      </c>
      <c r="J172" s="152" t="n">
        <v>2.044472782</v>
      </c>
      <c r="K172" s="152" t="n">
        <v>116.7462591</v>
      </c>
      <c r="L172" s="152" t="n">
        <v>15.46652174</v>
      </c>
      <c r="M172" s="157" t="n">
        <v>0</v>
      </c>
      <c r="N172" s="155" t="n">
        <v>53083.7</v>
      </c>
      <c r="O172" s="152" t="n">
        <v>178.6086957</v>
      </c>
      <c r="P172" s="152" t="n">
        <v>1.786086957</v>
      </c>
      <c r="Q172" s="156" t="n">
        <v>-172.49</v>
      </c>
      <c r="R172" s="156" t="n">
        <v>-471.59</v>
      </c>
      <c r="S172" s="152" t="n">
        <v>5.313181818</v>
      </c>
      <c r="T172" s="152" t="n">
        <v>1.766842105</v>
      </c>
      <c r="U172" s="152" t="n">
        <v>3.546339713</v>
      </c>
      <c r="V172" s="152" t="n">
        <v>1.367468167</v>
      </c>
      <c r="W172" s="152" t="n">
        <v>2.178871545</v>
      </c>
      <c r="X172" s="158" t="n">
        <v>4.086682609</v>
      </c>
      <c r="Y172" s="158" t="n">
        <v>722.4324826</v>
      </c>
      <c r="Z172" s="158" t="n">
        <v>19.29837217</v>
      </c>
      <c r="AA172" s="158" t="n">
        <v>3.36007619</v>
      </c>
      <c r="AB172" s="159" t="n">
        <v>-0.2666762011</v>
      </c>
      <c r="AC172" s="159" t="n">
        <v>-0.1802623005</v>
      </c>
      <c r="AD172" s="159" t="n">
        <v>110.53265</v>
      </c>
      <c r="AE172" s="159" t="n">
        <v>103.43</v>
      </c>
      <c r="AF172" s="159" t="n">
        <v>0.145909</v>
      </c>
      <c r="AG172" s="159" t="n">
        <v>0.122727</v>
      </c>
      <c r="AH172" s="159" t="n">
        <v>1.55136</v>
      </c>
      <c r="AI172" s="159" t="n">
        <v>1.70682</v>
      </c>
      <c r="AJ172" s="159" t="n">
        <v>0.155455</v>
      </c>
      <c r="AK172" s="159" t="n">
        <v>1.40227</v>
      </c>
      <c r="AL172" s="159" t="n">
        <v>1.56091</v>
      </c>
      <c r="AM172" s="159" t="n">
        <v>200.807</v>
      </c>
      <c r="AN172" s="159" t="n">
        <v>0.063225</v>
      </c>
      <c r="AO172" s="159" t="n">
        <v>-0.5345</v>
      </c>
      <c r="AP172" s="159" t="n">
        <v>-0.55525</v>
      </c>
      <c r="AQ172" s="159" t="n">
        <v>3.60637</v>
      </c>
      <c r="AR172" s="159" t="n"/>
      <c r="AS172" s="159" t="n">
        <v>0.33</v>
      </c>
      <c r="AT172" s="159" t="n">
        <v>3.6</v>
      </c>
      <c r="AU172" s="159" t="n">
        <v>98.2</v>
      </c>
      <c r="AV172" s="159" t="n">
        <v>104.7</v>
      </c>
      <c r="AW172" s="159" t="n">
        <v>97.6576</v>
      </c>
      <c r="AX172" s="159" t="n">
        <v>110.8</v>
      </c>
      <c r="AY172" s="159" t="n">
        <v>4.089549752</v>
      </c>
      <c r="AZ172" s="159" t="n">
        <v>4.724143624</v>
      </c>
      <c r="BA172" s="159" t="n">
        <v>9.451952328000001</v>
      </c>
      <c r="BB172" s="159" t="n">
        <v>4.619349187</v>
      </c>
      <c r="BC172" s="159" t="n">
        <v>4.920710587</v>
      </c>
    </row>
    <row r="173">
      <c r="A173" s="83" t="inlineStr">
        <is>
          <t>2019-11</t>
        </is>
      </c>
      <c r="B173" s="155" t="n">
        <v>3401.473</v>
      </c>
      <c r="C173" s="155" t="n">
        <v>137.2</v>
      </c>
      <c r="D173" s="155" t="n">
        <v>542.9400000000001</v>
      </c>
      <c r="E173" s="155" t="n">
        <v>7046.82</v>
      </c>
      <c r="F173" s="152" t="n">
        <v>4.25</v>
      </c>
      <c r="G173" s="152" t="n">
        <v>1.55</v>
      </c>
      <c r="H173" s="152" t="n">
        <v>2.7</v>
      </c>
      <c r="I173" s="156" t="n">
        <v>-4504.724544</v>
      </c>
      <c r="J173" s="152" t="n">
        <v>2.11895512</v>
      </c>
      <c r="K173" s="152" t="n">
        <v>116.5594684</v>
      </c>
      <c r="L173" s="152" t="n">
        <v>12.5235</v>
      </c>
      <c r="M173" s="157" t="n">
        <v>0</v>
      </c>
      <c r="N173" s="155" t="n">
        <v>52951.8</v>
      </c>
      <c r="O173" s="152" t="n">
        <v>181.8571429</v>
      </c>
      <c r="P173" s="152" t="n">
        <v>1.818571429</v>
      </c>
      <c r="Q173" s="156" t="n">
        <v>-57.21</v>
      </c>
      <c r="R173" s="156" t="n">
        <v>-911.4400000000001</v>
      </c>
      <c r="S173" s="152" t="n">
        <v>5.603157895</v>
      </c>
      <c r="T173" s="152" t="n">
        <v>1.934117647</v>
      </c>
      <c r="U173" s="152" t="n">
        <v>3.669040248</v>
      </c>
      <c r="V173" s="152" t="n">
        <v>1.483136842</v>
      </c>
      <c r="W173" s="152" t="n">
        <v>2.185903406</v>
      </c>
      <c r="X173" s="158" t="n">
        <v>4.156357143</v>
      </c>
      <c r="Y173" s="158" t="n">
        <v>779.5039524</v>
      </c>
      <c r="Z173" s="158" t="n">
        <v>19.28694571</v>
      </c>
      <c r="AA173" s="158" t="n">
        <v>3.372715</v>
      </c>
      <c r="AB173" s="159" t="n">
        <v>0.9927427176</v>
      </c>
      <c r="AC173" s="159" t="n">
        <v>0.8225338838</v>
      </c>
      <c r="AD173" s="159" t="n">
        <v>110.0642497</v>
      </c>
      <c r="AE173" s="159" t="n">
        <v>103.54</v>
      </c>
      <c r="AF173" s="159" t="n">
        <v>0.171579</v>
      </c>
      <c r="AG173" s="159" t="n">
        <v>0.0910526</v>
      </c>
      <c r="AH173" s="159" t="n">
        <v>1.61263</v>
      </c>
      <c r="AI173" s="159" t="n">
        <v>1.81211</v>
      </c>
      <c r="AJ173" s="159" t="n">
        <v>0.199474</v>
      </c>
      <c r="AK173" s="159" t="n">
        <v>1.54842</v>
      </c>
      <c r="AL173" s="159" t="n">
        <v>1.64053</v>
      </c>
      <c r="AM173" s="159" t="n">
        <v>240.63</v>
      </c>
      <c r="AN173" s="159" t="n">
        <v>-0.09995999999999999</v>
      </c>
      <c r="AO173" s="159" t="n">
        <v>-0.575</v>
      </c>
      <c r="AP173" s="159" t="n">
        <v>-0.6094000000000001</v>
      </c>
      <c r="AQ173" s="159" t="n">
        <v>3.59631</v>
      </c>
      <c r="AR173" s="159" t="n"/>
      <c r="AS173" s="159" t="n">
        <v>0.362105</v>
      </c>
      <c r="AT173" s="159" t="n">
        <v>3.6</v>
      </c>
      <c r="AU173" s="159" t="n">
        <v>98</v>
      </c>
      <c r="AV173" s="159" t="n">
        <v>106.2</v>
      </c>
      <c r="AW173" s="159" t="n">
        <v>97.9205</v>
      </c>
      <c r="AX173" s="159" t="n">
        <v>111.2</v>
      </c>
      <c r="AY173" s="159" t="n">
        <v>4.146492575</v>
      </c>
      <c r="AZ173" s="159" t="n">
        <v>4.757358943</v>
      </c>
      <c r="BA173" s="159" t="n">
        <v>9.455401959</v>
      </c>
      <c r="BB173" s="159" t="n">
        <v>4.624354975</v>
      </c>
      <c r="BC173" s="159" t="n">
        <v>4.917788744</v>
      </c>
    </row>
    <row r="174">
      <c r="A174" s="83" t="inlineStr">
        <is>
          <t>2019-12</t>
        </is>
      </c>
      <c r="B174" s="155" t="n">
        <v>3378.050645</v>
      </c>
      <c r="C174" s="155" t="n">
        <v>139.13</v>
      </c>
      <c r="D174" s="155" t="n">
        <v>657.54</v>
      </c>
      <c r="E174" s="155" t="n">
        <v>7086.53</v>
      </c>
      <c r="F174" s="152" t="n">
        <v>4.25</v>
      </c>
      <c r="G174" s="152" t="n">
        <v>1.55</v>
      </c>
      <c r="H174" s="152" t="n">
        <v>2.7</v>
      </c>
      <c r="I174" s="156" t="n">
        <v>-2934.132085</v>
      </c>
      <c r="J174" s="152" t="n">
        <v>2.457251638</v>
      </c>
      <c r="K174" s="152" t="n">
        <v>115.90961</v>
      </c>
      <c r="L174" s="152" t="n">
        <v>13.75666667</v>
      </c>
      <c r="M174" s="157" t="n">
        <v>0</v>
      </c>
      <c r="N174" s="155" t="n">
        <v>53167.19</v>
      </c>
      <c r="O174" s="152" t="n">
        <v>171.0454545</v>
      </c>
      <c r="P174" s="152" t="n">
        <v>1.710454545</v>
      </c>
      <c r="Q174" s="156" t="n">
        <v>-312.82</v>
      </c>
      <c r="R174" s="156" t="n">
        <v>-667.21</v>
      </c>
      <c r="S174" s="152" t="n">
        <v>5.583</v>
      </c>
      <c r="T174" s="152" t="n">
        <v>1.795</v>
      </c>
      <c r="U174" s="152" t="n">
        <v>3.788</v>
      </c>
      <c r="V174" s="152" t="n">
        <v>1.581071428</v>
      </c>
      <c r="W174" s="152" t="n">
        <v>2.206928572</v>
      </c>
      <c r="X174" s="158" t="n">
        <v>4.107940909</v>
      </c>
      <c r="Y174" s="158" t="n">
        <v>765.2586409</v>
      </c>
      <c r="Z174" s="158" t="n">
        <v>19.07965818</v>
      </c>
      <c r="AA174" s="158" t="n">
        <v>3.354738095</v>
      </c>
      <c r="AB174" s="159" t="n">
        <v>-0.5690876847</v>
      </c>
      <c r="AC174" s="159" t="n">
        <v>-0.531843996</v>
      </c>
      <c r="AD174" s="159" t="n">
        <v>110.4385118</v>
      </c>
      <c r="AE174" s="159" t="n">
        <v>103.8</v>
      </c>
      <c r="AF174" s="159" t="n">
        <v>0.144762</v>
      </c>
      <c r="AG174" s="159" t="n">
        <v>0.0609524</v>
      </c>
      <c r="AH174" s="159" t="n">
        <v>1.61333</v>
      </c>
      <c r="AI174" s="159" t="n">
        <v>1.86286</v>
      </c>
      <c r="AJ174" s="159" t="n">
        <v>0.249524</v>
      </c>
      <c r="AK174" s="159" t="n">
        <v>1.62143</v>
      </c>
      <c r="AL174" s="159" t="n">
        <v>1.7181</v>
      </c>
      <c r="AM174" s="159" t="n">
        <v>230.833</v>
      </c>
      <c r="AN174" s="159" t="n">
        <v>-0.2266</v>
      </c>
      <c r="AO174" s="159" t="n">
        <v>-0.5590000000000001</v>
      </c>
      <c r="AP174" s="159" t="n">
        <v>-0.5625</v>
      </c>
      <c r="AQ174" s="159" t="n">
        <v>3.61782</v>
      </c>
      <c r="AR174" s="159" t="n"/>
      <c r="AS174" s="159" t="n">
        <v>0.372632</v>
      </c>
      <c r="AT174" s="159" t="n">
        <v>3.6</v>
      </c>
      <c r="AU174" s="159" t="n">
        <v>98.2</v>
      </c>
      <c r="AV174" s="159" t="n">
        <v>106.9</v>
      </c>
      <c r="AW174" s="159" t="n">
        <v>98.27370000000001</v>
      </c>
      <c r="AX174" s="159" t="n">
        <v>111.2</v>
      </c>
      <c r="AY174" s="159" t="n">
        <v>4.207927679</v>
      </c>
      <c r="AZ174" s="159" t="n">
        <v>4.781582652</v>
      </c>
      <c r="BA174" s="159" t="n">
        <v>9.454070557</v>
      </c>
      <c r="BB174" s="159" t="n">
        <v>4.622027303</v>
      </c>
      <c r="BC174" s="159" t="n">
        <v>4.90823336</v>
      </c>
    </row>
    <row r="175">
      <c r="A175" s="83" t="inlineStr">
        <is>
          <t>2020-01</t>
        </is>
      </c>
      <c r="B175" s="155" t="n">
        <v>3311.189355</v>
      </c>
      <c r="C175" s="155" t="n">
        <v>132.64</v>
      </c>
      <c r="D175" s="155" t="n">
        <v>537.91</v>
      </c>
      <c r="E175" s="155" t="n">
        <v>7051.96</v>
      </c>
      <c r="F175" s="152" t="n">
        <v>4.25</v>
      </c>
      <c r="G175" s="152" t="n">
        <v>1.55</v>
      </c>
      <c r="H175" s="152" t="n">
        <v>2.7</v>
      </c>
      <c r="I175" s="156" t="n">
        <v>2831.894771</v>
      </c>
      <c r="J175" s="152" t="n">
        <v>2.72996169</v>
      </c>
      <c r="K175" s="152" t="n">
        <v>115.2793857</v>
      </c>
      <c r="L175" s="152" t="n">
        <v>13.94095238</v>
      </c>
      <c r="M175" s="157" t="n">
        <v>0</v>
      </c>
      <c r="N175" s="155" t="n">
        <v>53461.52</v>
      </c>
      <c r="O175" s="152" t="n">
        <v>170.0869565</v>
      </c>
      <c r="P175" s="152" t="n">
        <v>1.700869565</v>
      </c>
      <c r="Q175" s="156" t="n">
        <v>-78.41</v>
      </c>
      <c r="R175" s="156" t="n">
        <v>-336.39</v>
      </c>
      <c r="S175" s="152" t="n">
        <v>5.392380952</v>
      </c>
      <c r="T175" s="152" t="n">
        <v>1.752777778</v>
      </c>
      <c r="U175" s="152" t="n">
        <v>3.639603175</v>
      </c>
      <c r="V175" s="152" t="n">
        <v>1.603828566</v>
      </c>
      <c r="W175" s="152" t="n">
        <v>2.035774608</v>
      </c>
      <c r="X175" s="158" t="n">
        <v>4.144</v>
      </c>
      <c r="Y175" s="158" t="n">
        <v>774.1786565</v>
      </c>
      <c r="Z175" s="158" t="n">
        <v>18.77573957</v>
      </c>
      <c r="AA175" s="158" t="n">
        <v>3.327763636</v>
      </c>
      <c r="AB175" s="159" t="n">
        <v>-0.07106709284</v>
      </c>
      <c r="AC175" s="159" t="n">
        <v>-0.213214429</v>
      </c>
      <c r="AD175" s="159" t="n">
        <v>111.5885603</v>
      </c>
      <c r="AE175" s="159" t="n">
        <v>104.24</v>
      </c>
      <c r="AF175" s="159" t="n">
        <v>0.0366667</v>
      </c>
      <c r="AG175" s="159" t="n">
        <v>-0.09</v>
      </c>
      <c r="AH175" s="159" t="n">
        <v>1.51905</v>
      </c>
      <c r="AI175" s="159" t="n">
        <v>1.75762</v>
      </c>
      <c r="AJ175" s="159" t="n">
        <v>0.238571</v>
      </c>
      <c r="AK175" s="159" t="n">
        <v>1.65238</v>
      </c>
      <c r="AL175" s="159" t="n">
        <v>1.72095</v>
      </c>
      <c r="AM175" s="159" t="n">
        <v>190.511</v>
      </c>
      <c r="AN175" s="159" t="n">
        <v>-0.32458</v>
      </c>
      <c r="AO175" s="159" t="n">
        <v>-0.6072</v>
      </c>
      <c r="AP175" s="159" t="n">
        <v>-0.617</v>
      </c>
      <c r="AQ175" s="159" t="n">
        <v>3.72718</v>
      </c>
      <c r="AR175" s="159" t="n"/>
      <c r="AS175" s="159" t="n">
        <v>0.298095</v>
      </c>
      <c r="AT175" s="159" t="n">
        <v>3.6</v>
      </c>
      <c r="AU175" s="159" t="n">
        <v>98.2</v>
      </c>
      <c r="AV175" s="159" t="n"/>
      <c r="AW175" s="159" t="n">
        <v>98.7136</v>
      </c>
      <c r="AX175" s="159" t="n">
        <v>112.8</v>
      </c>
      <c r="AY175" s="159" t="n">
        <v>4.153328623</v>
      </c>
      <c r="AZ175" s="159" t="n">
        <v>4.777618159</v>
      </c>
      <c r="BA175" s="159" t="n">
        <v>9.452894317</v>
      </c>
      <c r="BB175" s="159" t="n">
        <v>4.615457094</v>
      </c>
      <c r="BC175" s="159" t="n">
        <v>4.90897164</v>
      </c>
    </row>
    <row r="176">
      <c r="A176" s="83" t="inlineStr">
        <is>
          <t>2020-02</t>
        </is>
      </c>
      <c r="B176" s="155" t="n">
        <v>3411.052759</v>
      </c>
      <c r="C176" s="155" t="n">
        <v>125.37</v>
      </c>
      <c r="D176" s="155" t="n">
        <v>536.38</v>
      </c>
      <c r="E176" s="155" t="n">
        <v>7076.09</v>
      </c>
      <c r="F176" s="152" t="n">
        <v>4.25</v>
      </c>
      <c r="G176" s="152" t="n">
        <v>1.58</v>
      </c>
      <c r="H176" s="152" t="n">
        <v>2.67</v>
      </c>
      <c r="I176" s="156" t="n">
        <v>-4034.656326</v>
      </c>
      <c r="J176" s="152" t="n">
        <v>2.376308178</v>
      </c>
      <c r="K176" s="152" t="n">
        <v>116.7105421</v>
      </c>
      <c r="L176" s="152" t="n">
        <v>19.62894737</v>
      </c>
      <c r="M176" s="157" t="n">
        <v>0</v>
      </c>
      <c r="N176" s="155" t="n">
        <v>53676.04</v>
      </c>
      <c r="O176" s="152" t="n">
        <v>172.7</v>
      </c>
      <c r="P176" s="152" t="n">
        <v>1.727</v>
      </c>
      <c r="Q176" s="156" t="n">
        <v>69.23999999999999</v>
      </c>
      <c r="R176" s="156" t="n">
        <v>-978.67</v>
      </c>
      <c r="S176" s="152" t="n">
        <v>5.2</v>
      </c>
      <c r="T176" s="152" t="n">
        <v>1.6745</v>
      </c>
      <c r="U176" s="152" t="n">
        <v>3.5255</v>
      </c>
      <c r="V176" s="152" t="n">
        <v>1.540247365</v>
      </c>
      <c r="W176" s="152" t="n">
        <v>1.985252635</v>
      </c>
      <c r="X176" s="158" t="n">
        <v>4.34585</v>
      </c>
      <c r="Y176" s="158" t="n">
        <v>797.7135</v>
      </c>
      <c r="Z176" s="158" t="n">
        <v>18.801899</v>
      </c>
      <c r="AA176" s="158" t="n">
        <v>3.39138</v>
      </c>
      <c r="AB176" s="159" t="n">
        <v>0.7199279079000001</v>
      </c>
      <c r="AC176" s="159" t="n">
        <v>0.9232813437</v>
      </c>
      <c r="AD176" s="159" t="n">
        <v>111.6449601</v>
      </c>
      <c r="AE176" s="159" t="n">
        <v>104.94</v>
      </c>
      <c r="AF176" s="159" t="n">
        <v>-0.111579</v>
      </c>
      <c r="AG176" s="159" t="n">
        <v>-0.257368</v>
      </c>
      <c r="AH176" s="159" t="n">
        <v>1.33105</v>
      </c>
      <c r="AI176" s="159" t="n">
        <v>1.50421</v>
      </c>
      <c r="AJ176" s="159" t="n">
        <v>0.173158</v>
      </c>
      <c r="AK176" s="159" t="n">
        <v>1.58105</v>
      </c>
      <c r="AL176" s="159" t="n">
        <v>1.61579</v>
      </c>
      <c r="AM176" s="159" t="n">
        <v>194.925</v>
      </c>
      <c r="AN176" s="159" t="n">
        <v>-0.19895</v>
      </c>
      <c r="AO176" s="159" t="n">
        <v>-0.46625</v>
      </c>
      <c r="AP176" s="159" t="n">
        <v>-0.599</v>
      </c>
      <c r="AQ176" s="159" t="n">
        <v>3.6008</v>
      </c>
      <c r="AR176" s="159" t="n"/>
      <c r="AS176" s="159" t="n">
        <v>0.162105</v>
      </c>
      <c r="AT176" s="159" t="n">
        <v>3.5</v>
      </c>
      <c r="AU176" s="159" t="n">
        <v>98</v>
      </c>
      <c r="AV176" s="159" t="n">
        <v>86.5</v>
      </c>
      <c r="AW176" s="159" t="n">
        <v>73.3408</v>
      </c>
      <c r="AX176" s="159" t="n">
        <v>113.7</v>
      </c>
      <c r="AY176" s="159" t="n">
        <v>4.019207856</v>
      </c>
      <c r="AZ176" s="159" t="n">
        <v>4.701888465</v>
      </c>
      <c r="BA176" s="159" t="n">
        <v>9.45273738</v>
      </c>
      <c r="BB176" s="159" t="n">
        <v>4.618816648</v>
      </c>
      <c r="BC176" s="159" t="n">
        <v>4.906015245</v>
      </c>
    </row>
    <row r="177">
      <c r="A177" s="83" t="inlineStr">
        <is>
          <t>2020-03</t>
        </is>
      </c>
      <c r="B177" s="155" t="n">
        <v>3877.048387</v>
      </c>
      <c r="C177" s="155" t="n">
        <v>100.17</v>
      </c>
      <c r="D177" s="155" t="n">
        <v>718.64</v>
      </c>
      <c r="E177" s="155" t="n">
        <v>7234.76</v>
      </c>
      <c r="F177" s="152" t="n">
        <v>4.217741935</v>
      </c>
      <c r="G177" s="152" t="n">
        <v>0.65</v>
      </c>
      <c r="H177" s="152" t="n">
        <v>3.567741935</v>
      </c>
      <c r="I177" s="156" t="n">
        <v>-1265.372149</v>
      </c>
      <c r="J177" s="152" t="n">
        <v>2.225878777</v>
      </c>
      <c r="K177" s="152" t="n">
        <v>121.0227409</v>
      </c>
      <c r="L177" s="152" t="n">
        <v>57.73681818</v>
      </c>
      <c r="M177" s="157" t="n">
        <v>1</v>
      </c>
      <c r="N177" s="155" t="n">
        <v>53336.49</v>
      </c>
      <c r="O177" s="152" t="n">
        <v>345.1818182</v>
      </c>
      <c r="P177" s="152" t="n">
        <v>3.451818182</v>
      </c>
      <c r="Q177" s="156" t="n">
        <v>234.39</v>
      </c>
      <c r="R177" s="156" t="n">
        <v>-2229.42</v>
      </c>
      <c r="S177" s="152" t="n">
        <v>6.668095238</v>
      </c>
      <c r="T177" s="152" t="n">
        <v>2.746666667</v>
      </c>
      <c r="U177" s="152" t="n">
        <v>3.921428571</v>
      </c>
      <c r="V177" s="152" t="n">
        <v>0.6171227236</v>
      </c>
      <c r="W177" s="152" t="n">
        <v>3.304305848</v>
      </c>
      <c r="X177" s="158" t="n">
        <v>4.883531818</v>
      </c>
      <c r="Y177" s="158" t="n">
        <v>840.3306773</v>
      </c>
      <c r="Z177" s="158" t="n">
        <v>22.14204455</v>
      </c>
      <c r="AA177" s="158" t="n">
        <v>3.492554545</v>
      </c>
      <c r="AB177" s="159" t="n">
        <v>3.564684862</v>
      </c>
      <c r="AC177" s="159" t="n">
        <v>3.267234776</v>
      </c>
      <c r="AD177" s="159" t="n">
        <v>100.7616836</v>
      </c>
      <c r="AE177" s="159" t="n">
        <v>105.53</v>
      </c>
      <c r="AF177" s="159" t="n">
        <v>-0.116818</v>
      </c>
      <c r="AG177" s="159" t="n">
        <v>-0.0827273</v>
      </c>
      <c r="AH177" s="159" t="n">
        <v>0.448182</v>
      </c>
      <c r="AI177" s="159" t="n">
        <v>0.87</v>
      </c>
      <c r="AJ177" s="159" t="n">
        <v>0.421818</v>
      </c>
      <c r="AK177" s="159" t="n">
        <v>0.674545</v>
      </c>
      <c r="AL177" s="159" t="n">
        <v>0.986818</v>
      </c>
      <c r="AM177" s="159" t="n">
        <v>315.024</v>
      </c>
      <c r="AN177" s="159" t="n">
        <v>3.97655</v>
      </c>
      <c r="AO177" s="159" t="n">
        <v>0.09125</v>
      </c>
      <c r="AP177" s="159" t="n">
        <v>0.123</v>
      </c>
      <c r="AQ177" s="159" t="n">
        <v>4.51035</v>
      </c>
      <c r="AR177" s="159" t="n"/>
      <c r="AS177" s="159" t="n">
        <v>0.815455</v>
      </c>
      <c r="AT177" s="159" t="n">
        <v>4.4</v>
      </c>
      <c r="AU177" s="159" t="n">
        <v>98</v>
      </c>
      <c r="AV177" s="159" t="n">
        <v>98.90000000000001</v>
      </c>
      <c r="AW177" s="159" t="n">
        <v>99.78360000000001</v>
      </c>
      <c r="AX177" s="159" t="n">
        <v>112.3</v>
      </c>
      <c r="AY177" s="159" t="n">
        <v>3.466092089</v>
      </c>
      <c r="AZ177" s="159" t="n">
        <v>4.534482665</v>
      </c>
      <c r="BA177" s="159" t="n">
        <v>9.448096636000001</v>
      </c>
      <c r="BB177" s="159" t="n">
        <v>4.57890629</v>
      </c>
      <c r="BC177" s="159" t="n">
        <v>4.897093253</v>
      </c>
    </row>
    <row r="178">
      <c r="A178" s="83" t="inlineStr">
        <is>
          <t>2020-04</t>
        </is>
      </c>
      <c r="B178" s="155" t="n">
        <v>3977.393333</v>
      </c>
      <c r="C178" s="155" t="n">
        <v>96.73999999999999</v>
      </c>
      <c r="D178" s="155" t="n">
        <v>349.52</v>
      </c>
      <c r="E178" s="155" t="n">
        <v>6987.75</v>
      </c>
      <c r="F178" s="152" t="n">
        <v>3.75</v>
      </c>
      <c r="G178" s="152" t="n">
        <v>0.05</v>
      </c>
      <c r="H178" s="152" t="n">
        <v>3.7</v>
      </c>
      <c r="I178" s="156" t="n">
        <v>-8441.085868</v>
      </c>
      <c r="J178" s="152" t="n">
        <v>3.178987191</v>
      </c>
      <c r="K178" s="152" t="n">
        <v>123.2803455</v>
      </c>
      <c r="L178" s="152" t="n">
        <v>41.45380952</v>
      </c>
      <c r="M178" s="157" t="n">
        <v>1</v>
      </c>
      <c r="N178" s="155" t="n">
        <v>53862.68</v>
      </c>
      <c r="O178" s="152" t="n">
        <v>388.8636364</v>
      </c>
      <c r="P178" s="152" t="n">
        <v>3.888636364</v>
      </c>
      <c r="Q178" s="156" t="n">
        <v>11.17</v>
      </c>
      <c r="R178" s="156" t="n">
        <v>14.17</v>
      </c>
      <c r="S178" s="152" t="n">
        <v>6.2605</v>
      </c>
      <c r="T178" s="152" t="n">
        <v>2.819230769</v>
      </c>
      <c r="U178" s="152" t="n">
        <v>3.441269231</v>
      </c>
      <c r="V178" s="152" t="n">
        <v>0.6783285794</v>
      </c>
      <c r="W178" s="152" t="n">
        <v>2.762940651</v>
      </c>
      <c r="X178" s="158" t="n">
        <v>5.312122727</v>
      </c>
      <c r="Y178" s="158" t="n">
        <v>852.085</v>
      </c>
      <c r="Z178" s="158" t="n">
        <v>24.10104591</v>
      </c>
      <c r="AA178" s="158" t="n">
        <v>3.39842</v>
      </c>
      <c r="AB178" s="159" t="n">
        <v>1.850095616</v>
      </c>
      <c r="AC178" s="159" t="n">
        <v>0.8404867660000001</v>
      </c>
      <c r="AD178" s="159" t="n">
        <v>86.86033569</v>
      </c>
      <c r="AE178" s="159" t="n">
        <v>105.7</v>
      </c>
      <c r="AF178" s="159" t="n">
        <v>-0.445714</v>
      </c>
      <c r="AG178" s="159" t="n">
        <v>-0.370476</v>
      </c>
      <c r="AH178" s="159" t="n">
        <v>0.224762</v>
      </c>
      <c r="AI178" s="159" t="n">
        <v>0.657619</v>
      </c>
      <c r="AJ178" s="159" t="n">
        <v>0.432857</v>
      </c>
      <c r="AK178" s="159" t="n">
        <v>0.758571</v>
      </c>
      <c r="AL178" s="159" t="n">
        <v>1.10333</v>
      </c>
      <c r="AM178" s="159" t="n">
        <v>325.329</v>
      </c>
      <c r="AN178" s="159" t="n">
        <v>2.53337</v>
      </c>
      <c r="AO178" s="159" t="n">
        <v>0.25375</v>
      </c>
      <c r="AP178" s="159" t="n">
        <v>0.33775</v>
      </c>
      <c r="AQ178" s="159" t="n">
        <v>15.5035</v>
      </c>
      <c r="AR178" s="159" t="n"/>
      <c r="AS178" s="159" t="n">
        <v>0.9605</v>
      </c>
      <c r="AT178" s="159" t="n">
        <v>14.8</v>
      </c>
      <c r="AU178" s="159" t="n">
        <v>98.09999999999999</v>
      </c>
      <c r="AV178" s="159" t="n">
        <v>103.9</v>
      </c>
      <c r="AW178" s="159" t="n">
        <v>100.368</v>
      </c>
      <c r="AX178" s="159" t="n">
        <v>111.3</v>
      </c>
      <c r="AY178" s="159" t="n">
        <v>2.911181503</v>
      </c>
      <c r="AZ178" s="159" t="n">
        <v>4.443279295</v>
      </c>
      <c r="BA178" s="159" t="n">
        <v>9.339788438999999</v>
      </c>
      <c r="BB178" s="159" t="n">
        <v>4.437483811</v>
      </c>
      <c r="BC178" s="159" t="n">
        <v>4.81866736</v>
      </c>
    </row>
    <row r="179">
      <c r="A179" s="83" t="inlineStr">
        <is>
          <t>2020-05</t>
        </is>
      </c>
      <c r="B179" s="155" t="n">
        <v>3858.191613</v>
      </c>
      <c r="C179" s="155" t="n">
        <v>100.17</v>
      </c>
      <c r="D179" s="155" t="n">
        <v>448.57</v>
      </c>
      <c r="E179" s="155" t="n">
        <v>6784.09</v>
      </c>
      <c r="F179" s="152" t="n">
        <v>3.298387097</v>
      </c>
      <c r="G179" s="152" t="n">
        <v>0.05</v>
      </c>
      <c r="H179" s="152" t="n">
        <v>3.248387097</v>
      </c>
      <c r="I179" s="156" t="n">
        <v>-7384.940838</v>
      </c>
      <c r="J179" s="152" t="n">
        <v>3.909812532</v>
      </c>
      <c r="K179" s="152" t="n">
        <v>122.61501</v>
      </c>
      <c r="L179" s="152" t="n">
        <v>30.897</v>
      </c>
      <c r="M179" s="157" t="n">
        <v>1</v>
      </c>
      <c r="N179" s="155" t="n">
        <v>56361.68</v>
      </c>
      <c r="O179" s="152" t="n">
        <v>335.3333333</v>
      </c>
      <c r="P179" s="152" t="n">
        <v>3.353333333</v>
      </c>
      <c r="Q179" s="156" t="n">
        <v>-94.90000000000001</v>
      </c>
      <c r="R179" s="156" t="n">
        <v>1887.31</v>
      </c>
      <c r="S179" s="152" t="n">
        <v>4.949473684</v>
      </c>
      <c r="T179" s="152" t="n">
        <v>2.58</v>
      </c>
      <c r="U179" s="152" t="n">
        <v>2.369473684</v>
      </c>
      <c r="V179" s="152" t="n">
        <v>0.7583300024</v>
      </c>
      <c r="W179" s="152" t="n">
        <v>1.611143682</v>
      </c>
      <c r="X179" s="158" t="n">
        <v>5.632842857</v>
      </c>
      <c r="Y179" s="158" t="n">
        <v>820.0199857</v>
      </c>
      <c r="Z179" s="158" t="n">
        <v>23.33409524</v>
      </c>
      <c r="AA179" s="158" t="n">
        <v>3.42185</v>
      </c>
      <c r="AB179" s="159" t="n">
        <v>-0.4358909802</v>
      </c>
      <c r="AC179" s="159" t="n">
        <v>-0.1862623949</v>
      </c>
      <c r="AD179" s="159" t="n">
        <v>90.91159132999999</v>
      </c>
      <c r="AE179" s="159" t="n">
        <v>105.36</v>
      </c>
      <c r="AF179" s="159" t="n">
        <v>-0.4415</v>
      </c>
      <c r="AG179" s="159" t="n">
        <v>-0.4255</v>
      </c>
      <c r="AH179" s="159" t="n">
        <v>0.1705</v>
      </c>
      <c r="AI179" s="159" t="n">
        <v>0.674</v>
      </c>
      <c r="AJ179" s="159" t="n">
        <v>0.5034999999999999</v>
      </c>
      <c r="AK179" s="159" t="n">
        <v>0.765</v>
      </c>
      <c r="AL179" s="159" t="n">
        <v>1.1155</v>
      </c>
      <c r="AM179" s="159" t="n">
        <v>410.499</v>
      </c>
      <c r="AN179" s="159" t="n">
        <v>0.7589399999999999</v>
      </c>
      <c r="AO179" s="159" t="n">
        <v>-0.1162</v>
      </c>
      <c r="AP179" s="159" t="n">
        <v>-0.1244</v>
      </c>
      <c r="AQ179" s="159" t="n">
        <v>13.7031</v>
      </c>
      <c r="AR179" s="159" t="n"/>
      <c r="AS179" s="159" t="n">
        <v>0.275263</v>
      </c>
      <c r="AT179" s="159" t="n">
        <v>13.2</v>
      </c>
      <c r="AU179" s="159" t="n">
        <v>98</v>
      </c>
      <c r="AV179" s="159" t="n">
        <v>104.4</v>
      </c>
      <c r="AW179" s="159" t="n">
        <v>100.946</v>
      </c>
      <c r="AX179" s="159" t="n">
        <v>110.4</v>
      </c>
      <c r="AY179" s="159" t="n">
        <v>3.38027673</v>
      </c>
      <c r="AZ179" s="159" t="n">
        <v>4.518803692</v>
      </c>
      <c r="BA179" s="159" t="n">
        <v>9.359622075000001</v>
      </c>
      <c r="BB179" s="159" t="n">
        <v>4.453886725</v>
      </c>
      <c r="BC179" s="159" t="n">
        <v>4.832305759</v>
      </c>
    </row>
    <row r="180">
      <c r="A180" s="83" t="inlineStr">
        <is>
          <t>2020-06</t>
        </is>
      </c>
      <c r="B180" s="155" t="n">
        <v>3701.604333</v>
      </c>
      <c r="C180" s="155" t="n">
        <v>108.03</v>
      </c>
      <c r="D180" s="155" t="n">
        <v>526.42</v>
      </c>
      <c r="E180" s="155" t="n">
        <v>6784.76</v>
      </c>
      <c r="F180" s="152" t="n">
        <v>2.75</v>
      </c>
      <c r="G180" s="152" t="n">
        <v>0.08</v>
      </c>
      <c r="H180" s="152" t="n">
        <v>2.67</v>
      </c>
      <c r="I180" s="156" t="n">
        <v>-12312.51201</v>
      </c>
      <c r="J180" s="152" t="n">
        <v>5.17609732</v>
      </c>
      <c r="K180" s="152" t="n">
        <v>119.6766045</v>
      </c>
      <c r="L180" s="152" t="n">
        <v>31.11954545</v>
      </c>
      <c r="M180" s="157" t="n">
        <v>0</v>
      </c>
      <c r="N180" s="155" t="n">
        <v>56623.49</v>
      </c>
      <c r="O180" s="152" t="n">
        <v>287.3181818</v>
      </c>
      <c r="P180" s="152" t="n">
        <v>2.873181818</v>
      </c>
      <c r="Q180" s="156" t="n">
        <v>-57.41</v>
      </c>
      <c r="R180" s="156" t="n">
        <v>-672.46</v>
      </c>
      <c r="S180" s="152" t="n">
        <v>4.722105263</v>
      </c>
      <c r="T180" s="152" t="n">
        <v>2.533684211</v>
      </c>
      <c r="U180" s="152" t="n">
        <v>2.188421053</v>
      </c>
      <c r="V180" s="152" t="n">
        <v>1.065604546</v>
      </c>
      <c r="W180" s="152" t="n">
        <v>1.122816507</v>
      </c>
      <c r="X180" s="158" t="n">
        <v>5.182331818</v>
      </c>
      <c r="Y180" s="158" t="n">
        <v>795.8832</v>
      </c>
      <c r="Z180" s="158" t="n">
        <v>22.17543045</v>
      </c>
      <c r="AA180" s="158" t="n">
        <v>3.471095238</v>
      </c>
      <c r="AB180" s="159" t="n">
        <v>-1.843489585</v>
      </c>
      <c r="AC180" s="159" t="n">
        <v>-1.092759523</v>
      </c>
      <c r="AD180" s="159" t="n">
        <v>95.55997707</v>
      </c>
      <c r="AE180" s="159" t="n">
        <v>104.97</v>
      </c>
      <c r="AF180" s="159" t="n">
        <v>-0.5445449999999999</v>
      </c>
      <c r="AG180" s="159" t="n">
        <v>-0.6695449999999999</v>
      </c>
      <c r="AH180" s="159" t="n">
        <v>0.185</v>
      </c>
      <c r="AI180" s="159" t="n">
        <v>0.728636</v>
      </c>
      <c r="AJ180" s="159" t="n">
        <v>0.543636</v>
      </c>
      <c r="AK180" s="159" t="n">
        <v>1.01409</v>
      </c>
      <c r="AL180" s="159" t="n">
        <v>1.27318</v>
      </c>
      <c r="AM180" s="159" t="n">
        <v>306.528</v>
      </c>
      <c r="AN180" s="159" t="n">
        <v>0.304075</v>
      </c>
      <c r="AO180" s="159" t="n">
        <v>-0.355</v>
      </c>
      <c r="AP180" s="159" t="n">
        <v>-0.4575</v>
      </c>
      <c r="AQ180" s="159" t="n">
        <v>10.6975</v>
      </c>
      <c r="AR180" s="159" t="n"/>
      <c r="AS180" s="159" t="n">
        <v>0.151818</v>
      </c>
      <c r="AT180" s="159" t="n">
        <v>11</v>
      </c>
      <c r="AU180" s="159" t="n">
        <v>98</v>
      </c>
      <c r="AV180" s="159" t="n">
        <v>104.8</v>
      </c>
      <c r="AW180" s="159" t="n">
        <v>101.492</v>
      </c>
      <c r="AX180" s="159" t="n">
        <v>110.4</v>
      </c>
      <c r="AY180" s="159" t="n">
        <v>3.695527308</v>
      </c>
      <c r="AZ180" s="159" t="n">
        <v>4.603917402</v>
      </c>
      <c r="BA180" s="159" t="n">
        <v>9.388486557</v>
      </c>
      <c r="BB180" s="159" t="n">
        <v>4.517359217</v>
      </c>
      <c r="BC180" s="159" t="n">
        <v>4.855928904</v>
      </c>
    </row>
    <row r="181">
      <c r="A181" s="83" t="inlineStr">
        <is>
          <t>2020-07</t>
        </is>
      </c>
      <c r="B181" s="155" t="n">
        <v>3657.866774</v>
      </c>
      <c r="C181" s="155" t="n">
        <v>117.97</v>
      </c>
      <c r="D181" s="155" t="n">
        <v>584.64</v>
      </c>
      <c r="E181" s="155" t="n">
        <v>6762.52</v>
      </c>
      <c r="F181" s="152" t="n">
        <v>2.5</v>
      </c>
      <c r="G181" s="152" t="n">
        <v>0.09</v>
      </c>
      <c r="H181" s="152" t="n">
        <v>2.41</v>
      </c>
      <c r="I181" s="156" t="n">
        <v>-11480.51974</v>
      </c>
      <c r="J181" s="152" t="n">
        <v>5.791065909</v>
      </c>
      <c r="K181" s="152" t="n">
        <v>118.69005</v>
      </c>
      <c r="L181" s="152" t="n">
        <v>26.84045455</v>
      </c>
      <c r="M181" s="157" t="n">
        <v>0</v>
      </c>
      <c r="N181" s="155" t="n">
        <v>56971.93</v>
      </c>
      <c r="O181" s="152" t="n">
        <v>272.173913</v>
      </c>
      <c r="P181" s="152" t="n">
        <v>2.72173913</v>
      </c>
      <c r="Q181" s="156" t="n">
        <v>-29.76</v>
      </c>
      <c r="R181" s="156" t="n">
        <v>-770.79</v>
      </c>
      <c r="S181" s="152" t="n">
        <v>4.234545455</v>
      </c>
      <c r="T181" s="152" t="n">
        <v>2.128181818</v>
      </c>
      <c r="U181" s="152" t="n">
        <v>2.106363636</v>
      </c>
      <c r="V181" s="152" t="n">
        <v>1.350899989</v>
      </c>
      <c r="W181" s="152" t="n">
        <v>0.7554636474</v>
      </c>
      <c r="X181" s="158" t="n">
        <v>5.279895652</v>
      </c>
      <c r="Y181" s="158" t="n">
        <v>780.9887043</v>
      </c>
      <c r="Z181" s="158" t="n">
        <v>22.33604217</v>
      </c>
      <c r="AA181" s="158" t="n">
        <v>3.517340909</v>
      </c>
      <c r="AB181" s="159" t="n">
        <v>-0.0828278232</v>
      </c>
      <c r="AC181" s="159" t="n">
        <v>0.2065429672</v>
      </c>
      <c r="AD181" s="159" t="n">
        <v>98.87721178</v>
      </c>
      <c r="AE181" s="159" t="n">
        <v>104.97</v>
      </c>
      <c r="AF181" s="159" t="n">
        <v>-0.832727</v>
      </c>
      <c r="AG181" s="159" t="n">
        <v>-1.03455</v>
      </c>
      <c r="AH181" s="159" t="n">
        <v>0.148182</v>
      </c>
      <c r="AI181" s="159" t="n">
        <v>0.623636</v>
      </c>
      <c r="AJ181" s="159" t="n">
        <v>0.475455</v>
      </c>
      <c r="AK181" s="159" t="n">
        <v>1.31318</v>
      </c>
      <c r="AL181" s="159" t="n">
        <v>1.45636</v>
      </c>
      <c r="AM181" s="159" t="n">
        <v>309.07</v>
      </c>
      <c r="AN181" s="159" t="n">
        <v>0.07402</v>
      </c>
      <c r="AO181" s="159" t="n">
        <v>-0.4408</v>
      </c>
      <c r="AP181" s="159" t="n">
        <v>-0.507</v>
      </c>
      <c r="AQ181" s="159" t="n">
        <v>9.813890000000001</v>
      </c>
      <c r="AR181" s="159" t="n"/>
      <c r="AS181" s="159" t="n">
        <v>0.140909</v>
      </c>
      <c r="AT181" s="159" t="n">
        <v>10.2</v>
      </c>
      <c r="AU181" s="159" t="n">
        <v>98.2</v>
      </c>
      <c r="AV181" s="159" t="n">
        <v>104.8</v>
      </c>
      <c r="AW181" s="159" t="n">
        <v>101.983</v>
      </c>
      <c r="AX181" s="159" t="n">
        <v>110</v>
      </c>
      <c r="AY181" s="159" t="n">
        <v>3.76681687</v>
      </c>
      <c r="AZ181" s="159" t="n">
        <v>4.633407727</v>
      </c>
      <c r="BA181" s="159" t="n">
        <v>9.390409394000001</v>
      </c>
      <c r="BB181" s="159" t="n">
        <v>4.554146329</v>
      </c>
      <c r="BC181" s="159" t="n">
        <v>4.886582645</v>
      </c>
    </row>
    <row r="182">
      <c r="A182" s="83" t="inlineStr">
        <is>
          <t>2020-08</t>
        </is>
      </c>
      <c r="B182" s="155" t="n">
        <v>3783.025806</v>
      </c>
      <c r="C182" s="155" t="n">
        <v>122.67</v>
      </c>
      <c r="D182" s="155" t="n">
        <v>635.88</v>
      </c>
      <c r="E182" s="155" t="n">
        <v>6718.1</v>
      </c>
      <c r="F182" s="152" t="n">
        <v>2.266129032</v>
      </c>
      <c r="G182" s="152" t="n">
        <v>0.1</v>
      </c>
      <c r="H182" s="152" t="n">
        <v>2.166129032</v>
      </c>
      <c r="I182" s="156" t="n">
        <v>-11214.28637</v>
      </c>
      <c r="J182" s="152" t="n">
        <v>6.324605304</v>
      </c>
      <c r="K182" s="152" t="n">
        <v>116.9453476</v>
      </c>
      <c r="L182" s="152" t="n">
        <v>22.88952381</v>
      </c>
      <c r="M182" s="157" t="n">
        <v>0</v>
      </c>
      <c r="N182" s="155" t="n">
        <v>57184.93</v>
      </c>
      <c r="O182" s="152" t="n">
        <v>241.047619</v>
      </c>
      <c r="P182" s="152" t="n">
        <v>2.41047619</v>
      </c>
      <c r="Q182" s="156" t="n">
        <v>64.18000000000001</v>
      </c>
      <c r="R182" s="156" t="n">
        <v>-795.33</v>
      </c>
      <c r="S182" s="152" t="n">
        <v>4.272631579</v>
      </c>
      <c r="T182" s="152" t="n">
        <v>1.785263158</v>
      </c>
      <c r="U182" s="152" t="n">
        <v>2.487368421</v>
      </c>
      <c r="V182" s="152" t="n">
        <v>1.582147621</v>
      </c>
      <c r="W182" s="152" t="n">
        <v>0.9052208000999999</v>
      </c>
      <c r="X182" s="158" t="n">
        <v>5.460933333</v>
      </c>
      <c r="Y182" s="158" t="n">
        <v>785.5256905</v>
      </c>
      <c r="Z182" s="158" t="n">
        <v>22.13742952</v>
      </c>
      <c r="AA182" s="158" t="n">
        <v>3.564547619</v>
      </c>
      <c r="AB182" s="159" t="n">
        <v>0.1689394899</v>
      </c>
      <c r="AC182" s="159" t="n">
        <v>0.3973146901</v>
      </c>
      <c r="AD182" s="159" t="n">
        <v>99.23829974</v>
      </c>
      <c r="AE182" s="159" t="n">
        <v>104.96</v>
      </c>
      <c r="AF182" s="159" t="n">
        <v>-1.01143</v>
      </c>
      <c r="AG182" s="159" t="n">
        <v>-1.28381</v>
      </c>
      <c r="AH182" s="159" t="n">
        <v>0.139524</v>
      </c>
      <c r="AI182" s="159" t="n">
        <v>0.65</v>
      </c>
      <c r="AJ182" s="159" t="n">
        <v>0.510476</v>
      </c>
      <c r="AK182" s="159" t="n">
        <v>1.55048</v>
      </c>
      <c r="AL182" s="159" t="n">
        <v>1.66143</v>
      </c>
      <c r="AM182" s="159" t="n">
        <v>286.013</v>
      </c>
      <c r="AN182" s="159" t="n">
        <v>-0.189775</v>
      </c>
      <c r="AO182" s="159" t="n">
        <v>-0.50375</v>
      </c>
      <c r="AP182" s="159" t="n">
        <v>-0.5669999999999999</v>
      </c>
      <c r="AQ182" s="159" t="n">
        <v>8.20234</v>
      </c>
      <c r="AR182" s="159" t="n"/>
      <c r="AS182" s="159" t="n">
        <v>0.149</v>
      </c>
      <c r="AT182" s="159" t="n">
        <v>8.4</v>
      </c>
      <c r="AU182" s="159" t="n">
        <v>98.3</v>
      </c>
      <c r="AV182" s="159" t="n">
        <v>105.6</v>
      </c>
      <c r="AW182" s="159" t="n">
        <v>102.406</v>
      </c>
      <c r="AX182" s="159" t="n">
        <v>111.5</v>
      </c>
      <c r="AY182" s="159" t="n">
        <v>3.800778547</v>
      </c>
      <c r="AZ182" s="159" t="n">
        <v>4.688315767</v>
      </c>
      <c r="BA182" s="159" t="n">
        <v>9.392578592</v>
      </c>
      <c r="BB182" s="159" t="n">
        <v>4.563878289</v>
      </c>
      <c r="BC182" s="159" t="n">
        <v>4.873669439</v>
      </c>
    </row>
    <row r="183">
      <c r="A183" s="83" t="inlineStr">
        <is>
          <t>2020-09</t>
        </is>
      </c>
      <c r="B183" s="155" t="n">
        <v>3750.215333</v>
      </c>
      <c r="C183" s="155" t="n">
        <v>121.86</v>
      </c>
      <c r="D183" s="155" t="n">
        <v>653</v>
      </c>
      <c r="E183" s="155" t="n">
        <v>6788.77</v>
      </c>
      <c r="F183" s="152" t="n">
        <v>1.975</v>
      </c>
      <c r="G183" s="152" t="n">
        <v>0.09</v>
      </c>
      <c r="H183" s="152" t="n">
        <v>1.885</v>
      </c>
      <c r="I183" s="156" t="n">
        <v>-6442.003856</v>
      </c>
      <c r="J183" s="152" t="n">
        <v>7.363909642</v>
      </c>
      <c r="K183" s="152" t="n">
        <v>116.3431333</v>
      </c>
      <c r="L183" s="152" t="n">
        <v>27.64761905</v>
      </c>
      <c r="M183" s="157" t="n">
        <v>0</v>
      </c>
      <c r="N183" s="155" t="n">
        <v>56978.48</v>
      </c>
      <c r="O183" s="152" t="n">
        <v>253.9090909</v>
      </c>
      <c r="P183" s="152" t="n">
        <v>2.539090909</v>
      </c>
      <c r="Q183" s="156" t="n">
        <v>109.83</v>
      </c>
      <c r="R183" s="156" t="n">
        <v>-1294.55</v>
      </c>
      <c r="S183" s="152" t="n">
        <v>4.242727273</v>
      </c>
      <c r="T183" s="152" t="n">
        <v>1.537727273</v>
      </c>
      <c r="U183" s="152" t="n">
        <v>2.705</v>
      </c>
      <c r="V183" s="152" t="n">
        <v>1.578671421</v>
      </c>
      <c r="W183" s="152" t="n">
        <v>1.126328579</v>
      </c>
      <c r="X183" s="158" t="n">
        <v>5.393968182</v>
      </c>
      <c r="Y183" s="158" t="n">
        <v>773.2568182</v>
      </c>
      <c r="Z183" s="158" t="n">
        <v>21.54995182</v>
      </c>
      <c r="AA183" s="158" t="n">
        <v>3.555759091</v>
      </c>
      <c r="AB183" s="159" t="n">
        <v>-0.7336197567</v>
      </c>
      <c r="AC183" s="159" t="n">
        <v>-0.5974021241</v>
      </c>
      <c r="AD183" s="159" t="n">
        <v>102.762518</v>
      </c>
      <c r="AE183" s="159" t="n">
        <v>105.29</v>
      </c>
      <c r="AF183" s="159" t="n">
        <v>-0.976667</v>
      </c>
      <c r="AG183" s="159" t="n">
        <v>-1.26286</v>
      </c>
      <c r="AH183" s="159" t="n">
        <v>0.134762</v>
      </c>
      <c r="AI183" s="159" t="n">
        <v>0.679524</v>
      </c>
      <c r="AJ183" s="159" t="n">
        <v>0.544762</v>
      </c>
      <c r="AK183" s="159" t="n">
        <v>1.53238</v>
      </c>
      <c r="AL183" s="159" t="n">
        <v>1.65619</v>
      </c>
      <c r="AM183" s="159" t="n">
        <v>305.688</v>
      </c>
      <c r="AN183" s="159" t="n">
        <v>0.027225</v>
      </c>
      <c r="AO183" s="159" t="n">
        <v>-0.5024999999999999</v>
      </c>
      <c r="AP183" s="159" t="n">
        <v>-0.6575</v>
      </c>
      <c r="AQ183" s="159" t="n">
        <v>7.99641</v>
      </c>
      <c r="AR183" s="159" t="n"/>
      <c r="AS183" s="159" t="n">
        <v>0.128571</v>
      </c>
      <c r="AT183" s="159" t="n">
        <v>7.8</v>
      </c>
      <c r="AU183" s="159" t="n">
        <v>98.3</v>
      </c>
      <c r="AV183" s="159" t="n">
        <v>106.9</v>
      </c>
      <c r="AW183" s="159" t="n">
        <v>102.75</v>
      </c>
      <c r="AX183" s="159" t="n">
        <v>111.7</v>
      </c>
      <c r="AY183" s="159" t="n">
        <v>3.71136231</v>
      </c>
      <c r="AZ183" s="159" t="n">
        <v>4.68529289</v>
      </c>
      <c r="BA183" s="159" t="n">
        <v>9.397400683000001</v>
      </c>
      <c r="BB183" s="159" t="n">
        <v>4.56400334</v>
      </c>
      <c r="BC183" s="159" t="n">
        <v>4.876722877</v>
      </c>
    </row>
    <row r="184">
      <c r="A184" s="83" t="inlineStr">
        <is>
          <t>2020-10</t>
        </is>
      </c>
      <c r="B184" s="155" t="n">
        <v>3833.788387</v>
      </c>
      <c r="C184" s="155" t="n">
        <v>121.18</v>
      </c>
      <c r="D184" s="155" t="n">
        <v>646.59</v>
      </c>
      <c r="E184" s="155" t="n">
        <v>6838.03</v>
      </c>
      <c r="F184" s="152" t="n">
        <v>1.75</v>
      </c>
      <c r="G184" s="152" t="n">
        <v>0.09</v>
      </c>
      <c r="H184" s="152" t="n">
        <v>1.66</v>
      </c>
      <c r="I184" s="156" t="n">
        <v>2477.461562</v>
      </c>
      <c r="J184" s="152" t="n">
        <v>6.480396271</v>
      </c>
      <c r="K184" s="152" t="n">
        <v>115.7798143</v>
      </c>
      <c r="L184" s="152" t="n">
        <v>29.43863636</v>
      </c>
      <c r="M184" s="157" t="n">
        <v>0</v>
      </c>
      <c r="N184" s="155" t="n">
        <v>56918.99</v>
      </c>
      <c r="O184" s="152" t="n">
        <v>240.4090909</v>
      </c>
      <c r="P184" s="152" t="n">
        <v>2.404090909</v>
      </c>
      <c r="Q184" s="156" t="n">
        <v>93.28</v>
      </c>
      <c r="R184" s="156" t="n">
        <v>-1154.57</v>
      </c>
      <c r="S184" s="152" t="n">
        <v>4.44</v>
      </c>
      <c r="T184" s="152" t="n">
        <v>1.314285714</v>
      </c>
      <c r="U184" s="152" t="n">
        <v>3.125714286</v>
      </c>
      <c r="V184" s="152" t="n">
        <v>1.592328577</v>
      </c>
      <c r="W184" s="152" t="n">
        <v>1.533385709</v>
      </c>
      <c r="X184" s="158" t="n">
        <v>5.621563636</v>
      </c>
      <c r="Y184" s="158" t="n">
        <v>787.7706818</v>
      </c>
      <c r="Z184" s="158" t="n">
        <v>21.21154636</v>
      </c>
      <c r="AA184" s="158" t="n">
        <v>3.596136364</v>
      </c>
      <c r="AB184" s="159" t="n">
        <v>0.3154473082</v>
      </c>
      <c r="AC184" s="159" t="n">
        <v>0.4661565877</v>
      </c>
      <c r="AD184" s="159" t="n">
        <v>105.3580476</v>
      </c>
      <c r="AE184" s="159" t="n">
        <v>105.23</v>
      </c>
      <c r="AF184" s="159" t="n">
        <v>-0.916667</v>
      </c>
      <c r="AG184" s="159" t="n">
        <v>-1.22524</v>
      </c>
      <c r="AH184" s="159" t="n">
        <v>0.149524</v>
      </c>
      <c r="AI184" s="159" t="n">
        <v>0.787143</v>
      </c>
      <c r="AJ184" s="159" t="n">
        <v>0.637619</v>
      </c>
      <c r="AK184" s="159" t="n">
        <v>1.56095</v>
      </c>
      <c r="AL184" s="159" t="n">
        <v>1.70381</v>
      </c>
      <c r="AM184" s="159" t="n">
        <v>302.841</v>
      </c>
      <c r="AN184" s="159" t="n">
        <v>0.01156</v>
      </c>
      <c r="AO184" s="159" t="n">
        <v>-0.498</v>
      </c>
      <c r="AP184" s="159" t="n">
        <v>-0.5726</v>
      </c>
      <c r="AQ184" s="159" t="n">
        <v>7.05895</v>
      </c>
      <c r="AR184" s="159" t="n"/>
      <c r="AS184" s="159" t="n">
        <v>0.12</v>
      </c>
      <c r="AT184" s="159" t="n">
        <v>6.9</v>
      </c>
      <c r="AU184" s="159" t="n">
        <v>98.2</v>
      </c>
      <c r="AV184" s="159" t="n">
        <v>106.9</v>
      </c>
      <c r="AW184" s="159" t="n">
        <v>103.011</v>
      </c>
      <c r="AX184" s="159" t="n">
        <v>111.4</v>
      </c>
      <c r="AY184" s="159" t="n">
        <v>3.693605767</v>
      </c>
      <c r="AZ184" s="159" t="n">
        <v>4.711699019</v>
      </c>
      <c r="BA184" s="159" t="n">
        <v>9.399803037</v>
      </c>
      <c r="BB184" s="159" t="n">
        <v>4.572020765</v>
      </c>
      <c r="BC184" s="159" t="n">
        <v>4.882801923</v>
      </c>
    </row>
    <row r="185">
      <c r="A185" s="83" t="inlineStr">
        <is>
          <t>2020-11</t>
        </is>
      </c>
      <c r="B185" s="155" t="n">
        <v>3685.626667</v>
      </c>
      <c r="C185" s="155" t="n">
        <v>123.44</v>
      </c>
      <c r="D185" s="155" t="n">
        <v>602.59</v>
      </c>
      <c r="E185" s="155" t="n">
        <v>6897.68</v>
      </c>
      <c r="F185" s="152" t="n">
        <v>1.75</v>
      </c>
      <c r="G185" s="152" t="n">
        <v>0.09</v>
      </c>
      <c r="H185" s="152" t="n">
        <v>1.66</v>
      </c>
      <c r="I185" s="156" t="n">
        <v>-8645.868268</v>
      </c>
      <c r="J185" s="152" t="n">
        <v>6.895144794</v>
      </c>
      <c r="K185" s="152" t="n">
        <v>114.0984</v>
      </c>
      <c r="L185" s="152" t="n">
        <v>24.9955</v>
      </c>
      <c r="M185" s="157" t="n">
        <v>0</v>
      </c>
      <c r="N185" s="155" t="n">
        <v>57244.55</v>
      </c>
      <c r="O185" s="152" t="n">
        <v>217.7142857</v>
      </c>
      <c r="P185" s="152" t="n">
        <v>2.177142857</v>
      </c>
      <c r="Q185" s="156" t="n">
        <v>-63.03</v>
      </c>
      <c r="R185" s="156" t="n">
        <v>-338.37</v>
      </c>
      <c r="S185" s="152" t="n">
        <v>4.398421053</v>
      </c>
      <c r="T185" s="152" t="n">
        <v>1.365263158</v>
      </c>
      <c r="U185" s="152" t="n">
        <v>3.033157895</v>
      </c>
      <c r="V185" s="152" t="n">
        <v>1.598405248</v>
      </c>
      <c r="W185" s="152" t="n">
        <v>1.434752646</v>
      </c>
      <c r="X185" s="158" t="n">
        <v>5.434390476</v>
      </c>
      <c r="Y185" s="158" t="n">
        <v>762.4780857</v>
      </c>
      <c r="Z185" s="158" t="n">
        <v>20.35438095</v>
      </c>
      <c r="AA185" s="158" t="n">
        <v>3.608719048</v>
      </c>
      <c r="AB185" s="159" t="n">
        <v>-1.311983844</v>
      </c>
      <c r="AC185" s="159" t="n">
        <v>-0.9112720511</v>
      </c>
      <c r="AD185" s="159" t="n">
        <v>106.1075775</v>
      </c>
      <c r="AE185" s="159" t="n">
        <v>105.08</v>
      </c>
      <c r="AF185" s="159" t="n">
        <v>-0.842105</v>
      </c>
      <c r="AG185" s="159" t="n">
        <v>-1.23737</v>
      </c>
      <c r="AH185" s="159" t="n">
        <v>0.165789</v>
      </c>
      <c r="AI185" s="159" t="n">
        <v>0.87</v>
      </c>
      <c r="AJ185" s="159" t="n">
        <v>0.704211</v>
      </c>
      <c r="AK185" s="159" t="n">
        <v>1.62526</v>
      </c>
      <c r="AL185" s="159" t="n">
        <v>1.71211</v>
      </c>
      <c r="AM185" s="159" t="n">
        <v>392.262</v>
      </c>
      <c r="AN185" s="159" t="n">
        <v>-0.266025</v>
      </c>
      <c r="AO185" s="159" t="n">
        <v>-0.5485</v>
      </c>
      <c r="AP185" s="159" t="n">
        <v>-0.5635</v>
      </c>
      <c r="AQ185" s="159" t="n">
        <v>6.92955</v>
      </c>
      <c r="AR185" s="159" t="n"/>
      <c r="AS185" s="159" t="n">
        <v>0.127895</v>
      </c>
      <c r="AT185" s="159" t="n">
        <v>6.7</v>
      </c>
      <c r="AU185" s="159" t="n">
        <v>98.3</v>
      </c>
      <c r="AV185" s="159" t="n">
        <v>107</v>
      </c>
      <c r="AW185" s="159" t="n">
        <v>103.195</v>
      </c>
      <c r="AX185" s="159" t="n">
        <v>110.7</v>
      </c>
      <c r="AY185" s="159" t="n">
        <v>3.754020918</v>
      </c>
      <c r="AZ185" s="159" t="n">
        <v>4.74675655</v>
      </c>
      <c r="BA185" s="159" t="n">
        <v>9.40244723</v>
      </c>
      <c r="BB185" s="159" t="n">
        <v>4.575551862</v>
      </c>
      <c r="BC185" s="159" t="n">
        <v>4.885072071</v>
      </c>
    </row>
    <row r="186">
      <c r="A186" s="83" t="inlineStr">
        <is>
          <t>2020-12</t>
        </is>
      </c>
      <c r="B186" s="155" t="n">
        <v>3466.127097</v>
      </c>
      <c r="C186" s="155" t="n">
        <v>129.34</v>
      </c>
      <c r="D186" s="155" t="n">
        <v>668.7</v>
      </c>
      <c r="E186" s="155" t="n">
        <v>6908.84</v>
      </c>
      <c r="F186" s="152" t="n">
        <v>1.75</v>
      </c>
      <c r="G186" s="152" t="n">
        <v>0.09</v>
      </c>
      <c r="H186" s="152" t="n">
        <v>1.66</v>
      </c>
      <c r="I186" s="156" t="n">
        <v>-11851.53491</v>
      </c>
      <c r="J186" s="152" t="n">
        <v>7.788250635</v>
      </c>
      <c r="K186" s="152" t="n">
        <v>111.8992143</v>
      </c>
      <c r="L186" s="152" t="n">
        <v>22.37409091</v>
      </c>
      <c r="M186" s="157" t="n">
        <v>0</v>
      </c>
      <c r="N186" s="155" t="n">
        <v>59030.79</v>
      </c>
      <c r="O186" s="152" t="n">
        <v>209.9565217</v>
      </c>
      <c r="P186" s="152" t="n">
        <v>2.099565217</v>
      </c>
      <c r="Q186" s="156" t="n">
        <v>-68.97</v>
      </c>
      <c r="R186" s="156" t="n">
        <v>916.7</v>
      </c>
      <c r="S186" s="152" t="n">
        <v>4.340526316</v>
      </c>
      <c r="T186" s="152" t="n">
        <v>1.185</v>
      </c>
      <c r="U186" s="152" t="n">
        <v>3.155526316</v>
      </c>
      <c r="V186" s="152" t="n">
        <v>1.855690902</v>
      </c>
      <c r="W186" s="152" t="n">
        <v>1.299835414</v>
      </c>
      <c r="X186" s="158" t="n">
        <v>5.14673913</v>
      </c>
      <c r="Y186" s="158" t="n">
        <v>730.3515217</v>
      </c>
      <c r="Z186" s="158" t="n">
        <v>19.89075783</v>
      </c>
      <c r="AA186" s="158" t="n">
        <v>3.603242857</v>
      </c>
      <c r="AB186" s="159" t="n">
        <v>-1.410605932</v>
      </c>
      <c r="AC186" s="159" t="n">
        <v>-1.086035413</v>
      </c>
      <c r="AD186" s="159" t="n">
        <v>108.112174</v>
      </c>
      <c r="AE186" s="159" t="n">
        <v>105.48</v>
      </c>
      <c r="AF186" s="159" t="n">
        <v>-0.982273</v>
      </c>
      <c r="AG186" s="159" t="n">
        <v>-1.47955</v>
      </c>
      <c r="AH186" s="159" t="n">
        <v>0.135909</v>
      </c>
      <c r="AI186" s="159" t="n">
        <v>0.933636</v>
      </c>
      <c r="AJ186" s="159" t="n">
        <v>0.797727</v>
      </c>
      <c r="AK186" s="159" t="n">
        <v>1.86545</v>
      </c>
      <c r="AL186" s="159" t="n">
        <v>1.91591</v>
      </c>
      <c r="AM186" s="159" t="n">
        <v>298.942</v>
      </c>
      <c r="AN186" s="159" t="n">
        <v>-0.403325</v>
      </c>
      <c r="AO186" s="159" t="n">
        <v>-0.59775</v>
      </c>
      <c r="AP186" s="159" t="n">
        <v>-0.57925</v>
      </c>
      <c r="AQ186" s="159" t="n">
        <v>6.95123</v>
      </c>
      <c r="AR186" s="159" t="n"/>
      <c r="AS186" s="159" t="n">
        <v>0.147619</v>
      </c>
      <c r="AT186" s="159" t="n">
        <v>6.7</v>
      </c>
      <c r="AU186" s="159" t="n">
        <v>98.7</v>
      </c>
      <c r="AV186" s="159" t="n">
        <v>107.3</v>
      </c>
      <c r="AW186" s="159" t="n">
        <v>103.306</v>
      </c>
      <c r="AX186" s="159" t="n">
        <v>111.5</v>
      </c>
      <c r="AY186" s="159" t="n">
        <v>3.911894997</v>
      </c>
      <c r="AZ186" s="159" t="n">
        <v>4.830215927</v>
      </c>
      <c r="BA186" s="159" t="n">
        <v>9.405331331999999</v>
      </c>
      <c r="BB186" s="159" t="n">
        <v>4.588664717</v>
      </c>
      <c r="BC186" s="159" t="n">
        <v>4.897093253</v>
      </c>
    </row>
    <row r="187">
      <c r="A187" s="83" t="inlineStr">
        <is>
          <t>2021-01</t>
        </is>
      </c>
      <c r="B187" s="155" t="n">
        <v>3491.321613</v>
      </c>
      <c r="C187" s="155" t="n">
        <v>133.99</v>
      </c>
      <c r="D187" s="155" t="n">
        <v>547.62</v>
      </c>
      <c r="E187" s="155" t="n">
        <v>6918.55</v>
      </c>
      <c r="F187" s="152" t="n">
        <v>1.75</v>
      </c>
      <c r="G187" s="152" t="n">
        <v>0.09</v>
      </c>
      <c r="H187" s="152" t="n">
        <v>1.66</v>
      </c>
      <c r="I187" s="156" t="n">
        <v>-3975.91576</v>
      </c>
      <c r="J187" s="152" t="n">
        <v>7.0911306</v>
      </c>
      <c r="K187" s="152" t="n">
        <v>111.4872722</v>
      </c>
      <c r="L187" s="152" t="n">
        <v>24.91</v>
      </c>
      <c r="M187" s="157" t="n">
        <v>0</v>
      </c>
      <c r="N187" s="155" t="n">
        <v>59000.87</v>
      </c>
      <c r="O187" s="152" t="n">
        <v>216.4285714</v>
      </c>
      <c r="P187" s="152" t="n">
        <v>2.164285714</v>
      </c>
      <c r="Q187" s="156" t="n">
        <v>28.99</v>
      </c>
      <c r="R187" s="156" t="n">
        <v>-841.36</v>
      </c>
      <c r="S187" s="152" t="n">
        <v>4.247894737</v>
      </c>
      <c r="T187" s="152" t="n">
        <v>0.8568421053</v>
      </c>
      <c r="U187" s="152" t="n">
        <v>3.391052632</v>
      </c>
      <c r="V187" s="152" t="n">
        <v>2.125578956</v>
      </c>
      <c r="W187" s="152" t="n">
        <v>1.265473676</v>
      </c>
      <c r="X187" s="158" t="n">
        <v>5.348328571</v>
      </c>
      <c r="Y187" s="158" t="n">
        <v>723.7957333000001</v>
      </c>
      <c r="Z187" s="158" t="n">
        <v>19.84059429</v>
      </c>
      <c r="AA187" s="158" t="n">
        <v>3.62495</v>
      </c>
      <c r="AB187" s="159" t="n">
        <v>0.1035725325</v>
      </c>
      <c r="AC187" s="159" t="n">
        <v>0.2009481724</v>
      </c>
      <c r="AD187" s="159" t="n">
        <v>107.6665834</v>
      </c>
      <c r="AE187" s="159" t="n">
        <v>105.91</v>
      </c>
      <c r="AF187" s="159" t="n">
        <v>-1.00053</v>
      </c>
      <c r="AG187" s="159" t="n">
        <v>-1.65789</v>
      </c>
      <c r="AH187" s="159" t="n">
        <v>0.131053</v>
      </c>
      <c r="AI187" s="159" t="n">
        <v>1.08105</v>
      </c>
      <c r="AJ187" s="159" t="n">
        <v>0.95</v>
      </c>
      <c r="AK187" s="159" t="n">
        <v>2.10316</v>
      </c>
      <c r="AL187" s="159" t="n">
        <v>2.08158</v>
      </c>
      <c r="AM187" s="159" t="n">
        <v>269.409</v>
      </c>
      <c r="AN187" s="159" t="n">
        <v>-0.44338</v>
      </c>
      <c r="AO187" s="159" t="n">
        <v>-0.6198</v>
      </c>
      <c r="AP187" s="159" t="n">
        <v>-0.5976</v>
      </c>
      <c r="AQ187" s="159" t="n">
        <v>6.39334</v>
      </c>
      <c r="AR187" s="159" t="n"/>
      <c r="AS187" s="159" t="n">
        <v>0.138421</v>
      </c>
      <c r="AT187" s="159" t="n">
        <v>6.4</v>
      </c>
      <c r="AU187" s="159" t="n">
        <v>99.09999999999999</v>
      </c>
      <c r="AV187" s="159" t="n"/>
      <c r="AW187" s="159" t="n">
        <v>103.352</v>
      </c>
      <c r="AX187" s="159" t="n">
        <v>112.55</v>
      </c>
      <c r="AY187" s="159" t="n">
        <v>4.003215629</v>
      </c>
      <c r="AZ187" s="159" t="n">
        <v>4.919703515</v>
      </c>
      <c r="BA187" s="159" t="n">
        <v>9.404425796</v>
      </c>
      <c r="BB187" s="159" t="n">
        <v>4.593929243</v>
      </c>
      <c r="BC187" s="159" t="n">
        <v>4.91338991</v>
      </c>
    </row>
    <row r="188">
      <c r="A188" s="83" t="inlineStr">
        <is>
          <t>2021-02</t>
        </is>
      </c>
      <c r="B188" s="155" t="n">
        <v>3554.504286</v>
      </c>
      <c r="C188" s="155" t="n">
        <v>133.22</v>
      </c>
      <c r="D188" s="155" t="n">
        <v>606.02</v>
      </c>
      <c r="E188" s="155" t="n">
        <v>6988.19</v>
      </c>
      <c r="F188" s="152" t="n">
        <v>1.75</v>
      </c>
      <c r="G188" s="152" t="n">
        <v>0.08</v>
      </c>
      <c r="H188" s="152" t="n">
        <v>1.67</v>
      </c>
      <c r="I188" s="156" t="n">
        <v>-11153.51896</v>
      </c>
      <c r="J188" s="152" t="n">
        <v>7.68803314</v>
      </c>
      <c r="K188" s="152" t="n">
        <v>112.0170526</v>
      </c>
      <c r="L188" s="152" t="n">
        <v>23.14052632</v>
      </c>
      <c r="M188" s="157" t="n">
        <v>0</v>
      </c>
      <c r="N188" s="155" t="n">
        <v>58975.17</v>
      </c>
      <c r="O188" s="152" t="n">
        <v>213.8</v>
      </c>
      <c r="P188" s="152" t="n">
        <v>2.138</v>
      </c>
      <c r="Q188" s="156" t="n">
        <v>-29.58</v>
      </c>
      <c r="R188" s="156" t="n">
        <v>-1103.72</v>
      </c>
      <c r="S188" s="152" t="n">
        <v>4.339</v>
      </c>
      <c r="T188" s="152" t="n">
        <v>0.9025</v>
      </c>
      <c r="U188" s="152" t="n">
        <v>3.4365</v>
      </c>
      <c r="V188" s="152" t="n">
        <v>2.294578954</v>
      </c>
      <c r="W188" s="152" t="n">
        <v>1.141921046</v>
      </c>
      <c r="X188" s="158" t="n">
        <v>5.412695</v>
      </c>
      <c r="Y188" s="158" t="n">
        <v>722.353985</v>
      </c>
      <c r="Z188" s="158" t="n">
        <v>20.2356995</v>
      </c>
      <c r="AA188" s="158" t="n">
        <v>3.64569</v>
      </c>
      <c r="AB188" s="159" t="n">
        <v>0.2169412801</v>
      </c>
      <c r="AC188" s="159" t="n">
        <v>0.2799184808</v>
      </c>
      <c r="AD188" s="159" t="n">
        <v>109.9085107</v>
      </c>
      <c r="AE188" s="159" t="n">
        <v>106.58</v>
      </c>
      <c r="AF188" s="159" t="n">
        <v>-0.922105</v>
      </c>
      <c r="AG188" s="159" t="n">
        <v>-1.76895</v>
      </c>
      <c r="AH188" s="159" t="n">
        <v>0.115263</v>
      </c>
      <c r="AI188" s="159" t="n">
        <v>1.25789</v>
      </c>
      <c r="AJ188" s="159" t="n">
        <v>1.14263</v>
      </c>
      <c r="AK188" s="159" t="n">
        <v>2.31158</v>
      </c>
      <c r="AL188" s="159" t="n">
        <v>2.18</v>
      </c>
      <c r="AM188" s="159" t="n">
        <v>193.001</v>
      </c>
      <c r="AN188" s="159" t="n">
        <v>-0.59965</v>
      </c>
      <c r="AO188" s="159" t="n">
        <v>-0.62825</v>
      </c>
      <c r="AP188" s="159" t="n">
        <v>-0.6435</v>
      </c>
      <c r="AQ188" s="159" t="n">
        <v>6.26459</v>
      </c>
      <c r="AR188" s="159" t="n"/>
      <c r="AS188" s="159" t="n">
        <v>0.148421</v>
      </c>
      <c r="AT188" s="159" t="n">
        <v>6.2</v>
      </c>
      <c r="AU188" s="159" t="n">
        <v>99.40000000000001</v>
      </c>
      <c r="AV188" s="159" t="n"/>
      <c r="AW188" s="159" t="n">
        <v>103.34</v>
      </c>
      <c r="AX188" s="159" t="n">
        <v>113.219</v>
      </c>
      <c r="AY188" s="159" t="n">
        <v>4.131584148</v>
      </c>
      <c r="AZ188" s="159" t="n">
        <v>4.927072509</v>
      </c>
      <c r="BA188" s="159" t="n">
        <v>9.406893511</v>
      </c>
      <c r="BB188" s="159" t="n">
        <v>4.560328666</v>
      </c>
      <c r="BC188" s="159" t="n">
        <v>4.880526609</v>
      </c>
    </row>
    <row r="189">
      <c r="A189" s="83" t="inlineStr">
        <is>
          <t>2021-03</t>
        </is>
      </c>
      <c r="B189" s="155" t="n">
        <v>3612.768387</v>
      </c>
      <c r="C189" s="155" t="n">
        <v>137.51</v>
      </c>
      <c r="D189" s="155" t="n">
        <v>795.37</v>
      </c>
      <c r="E189" s="155" t="n">
        <v>7064.92</v>
      </c>
      <c r="F189" s="152" t="n">
        <v>1.75</v>
      </c>
      <c r="G189" s="152" t="n">
        <v>0.07000000000000001</v>
      </c>
      <c r="H189" s="152" t="n">
        <v>1.68</v>
      </c>
      <c r="I189" s="156" t="n">
        <v>261.5796268</v>
      </c>
      <c r="J189" s="152" t="n">
        <v>7.560001257</v>
      </c>
      <c r="K189" s="152" t="n">
        <v>113.3366435</v>
      </c>
      <c r="L189" s="152" t="n">
        <v>21.84304348</v>
      </c>
      <c r="M189" s="157" t="n">
        <v>0</v>
      </c>
      <c r="N189" s="155" t="n">
        <v>58900.51</v>
      </c>
      <c r="O189" s="152" t="n">
        <v>223.3043478</v>
      </c>
      <c r="P189" s="152" t="n">
        <v>2.233043478</v>
      </c>
      <c r="Q189" s="156" t="n">
        <v>81.45</v>
      </c>
      <c r="R189" s="156" t="n">
        <v>-1495.67</v>
      </c>
      <c r="S189" s="152" t="n">
        <v>5.273636364</v>
      </c>
      <c r="T189" s="152" t="n">
        <v>1.634545455</v>
      </c>
      <c r="U189" s="152" t="n">
        <v>3.639090909</v>
      </c>
      <c r="V189" s="152" t="n">
        <v>2.455391314</v>
      </c>
      <c r="W189" s="152" t="n">
        <v>1.183699595</v>
      </c>
      <c r="X189" s="158" t="n">
        <v>5.645847826</v>
      </c>
      <c r="Y189" s="158" t="n">
        <v>726.1030261</v>
      </c>
      <c r="Z189" s="158" t="n">
        <v>20.68165391</v>
      </c>
      <c r="AA189" s="158" t="n">
        <v>3.709178261</v>
      </c>
      <c r="AB189" s="159" t="n">
        <v>0.606028151</v>
      </c>
      <c r="AC189" s="159" t="n">
        <v>0.804233131</v>
      </c>
      <c r="AD189" s="159" t="n">
        <v>111.9189495</v>
      </c>
      <c r="AE189" s="159" t="n">
        <v>107.12</v>
      </c>
      <c r="AF189" s="159" t="n">
        <v>-0.664348</v>
      </c>
      <c r="AG189" s="159" t="n">
        <v>-1.67391</v>
      </c>
      <c r="AH189" s="159" t="n">
        <v>0.146957</v>
      </c>
      <c r="AI189" s="159" t="n">
        <v>1.61087</v>
      </c>
      <c r="AJ189" s="159" t="n">
        <v>1.46391</v>
      </c>
      <c r="AK189" s="159" t="n">
        <v>2.49696</v>
      </c>
      <c r="AL189" s="159" t="n">
        <v>2.27522</v>
      </c>
      <c r="AM189" s="159" t="n">
        <v>210.052</v>
      </c>
      <c r="AN189" s="159" t="n">
        <v>-0.507525</v>
      </c>
      <c r="AO189" s="159" t="n">
        <v>-0.64325</v>
      </c>
      <c r="AP189" s="159" t="n">
        <v>-0.6527500000000001</v>
      </c>
      <c r="AQ189" s="159" t="n">
        <v>6.15132</v>
      </c>
      <c r="AR189" s="159" t="n"/>
      <c r="AS189" s="159" t="n">
        <v>0.157826</v>
      </c>
      <c r="AT189" s="159" t="n">
        <v>6.1</v>
      </c>
      <c r="AU189" s="159" t="n">
        <v>99.8</v>
      </c>
      <c r="AV189" s="159" t="n">
        <v>114.1</v>
      </c>
      <c r="AW189" s="159" t="n">
        <v>103.274</v>
      </c>
      <c r="AX189" s="159" t="n">
        <v>112.662</v>
      </c>
      <c r="AY189" s="159" t="n">
        <v>4.180675152</v>
      </c>
      <c r="AZ189" s="159" t="n">
        <v>4.948873359</v>
      </c>
      <c r="BA189" s="159" t="n">
        <v>9.411565459</v>
      </c>
      <c r="BB189" s="159" t="n">
        <v>4.588894452</v>
      </c>
      <c r="BC189" s="159" t="n">
        <v>4.902307417</v>
      </c>
    </row>
    <row r="190">
      <c r="A190" s="83" t="inlineStr">
        <is>
          <t>2021-04</t>
        </is>
      </c>
      <c r="B190" s="155" t="n">
        <v>3650.776</v>
      </c>
      <c r="C190" s="155" t="n">
        <v>129.87</v>
      </c>
      <c r="D190" s="155" t="n">
        <v>709.16</v>
      </c>
      <c r="E190" s="155" t="n">
        <v>7424.56</v>
      </c>
      <c r="F190" s="152" t="n">
        <v>1.75</v>
      </c>
      <c r="G190" s="152" t="n">
        <v>0.07000000000000001</v>
      </c>
      <c r="H190" s="152" t="n">
        <v>1.68</v>
      </c>
      <c r="I190" s="156" t="n">
        <v>-5640.34754</v>
      </c>
      <c r="J190" s="152" t="n">
        <v>7.325164892</v>
      </c>
      <c r="K190" s="152" t="n">
        <v>112.6322864</v>
      </c>
      <c r="L190" s="152" t="n">
        <v>17.41619048</v>
      </c>
      <c r="M190" s="157" t="n">
        <v>0</v>
      </c>
      <c r="N190" s="155" t="n">
        <v>59085.22</v>
      </c>
      <c r="O190" s="152" t="n">
        <v>220.1363636</v>
      </c>
      <c r="P190" s="152" t="n">
        <v>2.201363636</v>
      </c>
      <c r="Q190" s="156" t="n">
        <v>47.14</v>
      </c>
      <c r="R190" s="156" t="n">
        <v>-879.1799999999999</v>
      </c>
      <c r="S190" s="152" t="n">
        <v>5.4805</v>
      </c>
      <c r="T190" s="152" t="n">
        <v>1.948</v>
      </c>
      <c r="U190" s="152" t="n">
        <v>3.5325</v>
      </c>
      <c r="V190" s="152" t="n">
        <v>2.536877275</v>
      </c>
      <c r="W190" s="152" t="n">
        <v>0.9956227255</v>
      </c>
      <c r="X190" s="158" t="n">
        <v>5.5658</v>
      </c>
      <c r="Y190" s="158" t="n">
        <v>707.7875136</v>
      </c>
      <c r="Z190" s="158" t="n">
        <v>20.02527364</v>
      </c>
      <c r="AA190" s="158" t="n">
        <v>3.699525</v>
      </c>
      <c r="AB190" s="159" t="n">
        <v>-0.9377845485</v>
      </c>
      <c r="AC190" s="159" t="n">
        <v>-0.7532881313999999</v>
      </c>
      <c r="AD190" s="159" t="n">
        <v>108.6807066</v>
      </c>
      <c r="AE190" s="159" t="n">
        <v>107.76</v>
      </c>
      <c r="AF190" s="159" t="n">
        <v>-0.714545</v>
      </c>
      <c r="AG190" s="159" t="n">
        <v>-1.66773</v>
      </c>
      <c r="AH190" s="159" t="n">
        <v>0.163182</v>
      </c>
      <c r="AI190" s="159" t="n">
        <v>1.635</v>
      </c>
      <c r="AJ190" s="159" t="n">
        <v>1.47182</v>
      </c>
      <c r="AK190" s="159" t="n">
        <v>2.52955</v>
      </c>
      <c r="AL190" s="159" t="n">
        <v>2.34955</v>
      </c>
      <c r="AM190" s="159" t="n">
        <v>192.086</v>
      </c>
      <c r="AN190" s="159" t="n">
        <v>-0.7527199999999999</v>
      </c>
      <c r="AO190" s="159" t="n">
        <v>-0.6738</v>
      </c>
      <c r="AP190" s="159" t="n">
        <v>-0.6647999999999999</v>
      </c>
      <c r="AQ190" s="159" t="n">
        <v>6.31571</v>
      </c>
      <c r="AR190" s="159" t="n"/>
      <c r="AS190" s="159" t="n">
        <v>0.165</v>
      </c>
      <c r="AT190" s="159" t="n">
        <v>6.1</v>
      </c>
      <c r="AU190" s="159" t="n">
        <v>100.2</v>
      </c>
      <c r="AV190" s="159" t="n">
        <v>109.8</v>
      </c>
      <c r="AW190" s="159" t="n">
        <v>103.159</v>
      </c>
      <c r="AX190" s="159" t="n">
        <v>112.327</v>
      </c>
      <c r="AY190" s="159" t="n">
        <v>4.171405907</v>
      </c>
      <c r="AZ190" s="159" t="n">
        <v>4.978242948</v>
      </c>
      <c r="BA190" s="159" t="n">
        <v>9.408617295999999</v>
      </c>
      <c r="BB190" s="159" t="n">
        <v>4.59065231</v>
      </c>
      <c r="BC190" s="159" t="n">
        <v>4.914124394</v>
      </c>
    </row>
    <row r="191">
      <c r="A191" s="83" t="inlineStr">
        <is>
          <t>2021-05</t>
        </is>
      </c>
      <c r="B191" s="155" t="n">
        <v>3735.666129</v>
      </c>
      <c r="C191" s="155" t="n">
        <v>131.94</v>
      </c>
      <c r="D191" s="155" t="n">
        <v>759.17</v>
      </c>
      <c r="E191" s="155" t="n">
        <v>7735.16</v>
      </c>
      <c r="F191" s="152" t="n">
        <v>1.75</v>
      </c>
      <c r="G191" s="152" t="n">
        <v>0.06</v>
      </c>
      <c r="H191" s="152" t="n">
        <v>1.69</v>
      </c>
      <c r="I191" s="156" t="n">
        <v>-4145.044419</v>
      </c>
      <c r="J191" s="152" t="n">
        <v>7.053505991</v>
      </c>
      <c r="K191" s="152" t="n">
        <v>111.21227</v>
      </c>
      <c r="L191" s="152" t="n">
        <v>19.7605</v>
      </c>
      <c r="M191" s="157" t="n">
        <v>0</v>
      </c>
      <c r="N191" s="155" t="n">
        <v>59143.96</v>
      </c>
      <c r="O191" s="152" t="n">
        <v>236.8571429</v>
      </c>
      <c r="P191" s="152" t="n">
        <v>2.368571429</v>
      </c>
      <c r="Q191" s="156" t="n">
        <v>-16.48</v>
      </c>
      <c r="R191" s="156" t="n">
        <v>-947.0599999999999</v>
      </c>
      <c r="S191" s="152" t="n">
        <v>6.035</v>
      </c>
      <c r="T191" s="152" t="n">
        <v>2.1225</v>
      </c>
      <c r="U191" s="152" t="n">
        <v>3.9125</v>
      </c>
      <c r="V191" s="152" t="n">
        <v>2.690989995</v>
      </c>
      <c r="W191" s="152" t="n">
        <v>1.221510005</v>
      </c>
      <c r="X191" s="158" t="n">
        <v>5.290752381</v>
      </c>
      <c r="Y191" s="158" t="n">
        <v>713.4066571</v>
      </c>
      <c r="Z191" s="158" t="n">
        <v>19.91764238</v>
      </c>
      <c r="AA191" s="158" t="n">
        <v>3.774757143</v>
      </c>
      <c r="AB191" s="159" t="n">
        <v>-0.5295735298000001</v>
      </c>
      <c r="AC191" s="159" t="n">
        <v>0.01019442144</v>
      </c>
      <c r="AD191" s="159" t="n">
        <v>102.8308958</v>
      </c>
      <c r="AE191" s="159" t="n">
        <v>108.84</v>
      </c>
      <c r="AF191" s="159" t="n">
        <v>-0.847</v>
      </c>
      <c r="AG191" s="159" t="n">
        <v>-1.83</v>
      </c>
      <c r="AH191" s="159" t="n">
        <v>0.155</v>
      </c>
      <c r="AI191" s="159" t="n">
        <v>1.621</v>
      </c>
      <c r="AJ191" s="159" t="n">
        <v>1.466</v>
      </c>
      <c r="AK191" s="159" t="n">
        <v>2.6495</v>
      </c>
      <c r="AL191" s="159" t="n">
        <v>2.468</v>
      </c>
      <c r="AM191" s="159" t="n">
        <v>171.942</v>
      </c>
      <c r="AN191" s="159" t="n">
        <v>-0.758325</v>
      </c>
      <c r="AO191" s="159" t="n">
        <v>-0.69475</v>
      </c>
      <c r="AP191" s="159" t="n">
        <v>-0.6665</v>
      </c>
      <c r="AQ191" s="159" t="n">
        <v>5.84563</v>
      </c>
      <c r="AR191" s="159" t="n"/>
      <c r="AS191" s="159" t="n">
        <v>0.136316</v>
      </c>
      <c r="AT191" s="159" t="n">
        <v>5.8</v>
      </c>
      <c r="AU191" s="159" t="n">
        <v>100.6</v>
      </c>
      <c r="AV191" s="159" t="n">
        <v>108.8</v>
      </c>
      <c r="AW191" s="159" t="n">
        <v>103</v>
      </c>
      <c r="AX191" s="159" t="n">
        <v>112.215</v>
      </c>
      <c r="AY191" s="159" t="n">
        <v>4.227332891</v>
      </c>
      <c r="AZ191" s="159" t="n">
        <v>5.044624397</v>
      </c>
      <c r="BA191" s="159" t="n">
        <v>9.410501847000001</v>
      </c>
      <c r="BB191" s="159" t="n">
        <v>4.599487068</v>
      </c>
      <c r="BC191" s="159" t="n">
        <v>4.906755164</v>
      </c>
    </row>
    <row r="192">
      <c r="A192" s="83" t="inlineStr">
        <is>
          <t>2021-06</t>
        </is>
      </c>
      <c r="B192" s="155" t="n">
        <v>3685.042667</v>
      </c>
      <c r="C192" s="155" t="n">
        <v>138.18</v>
      </c>
      <c r="D192" s="155" t="n">
        <v>699.01</v>
      </c>
      <c r="E192" s="155" t="n">
        <v>7907.75</v>
      </c>
      <c r="F192" s="152" t="n">
        <v>1.75</v>
      </c>
      <c r="G192" s="152" t="n">
        <v>0.08</v>
      </c>
      <c r="H192" s="152" t="n">
        <v>1.67</v>
      </c>
      <c r="I192" s="156" t="n">
        <v>-10505.66582</v>
      </c>
      <c r="J192" s="152" t="n">
        <v>6.902005515</v>
      </c>
      <c r="K192" s="152" t="n">
        <v>111.5776955</v>
      </c>
      <c r="L192" s="152" t="n">
        <v>16.95681818</v>
      </c>
      <c r="M192" s="157" t="n">
        <v>0</v>
      </c>
      <c r="N192" s="155" t="n">
        <v>58917.31</v>
      </c>
      <c r="O192" s="152" t="n">
        <v>243.5454545</v>
      </c>
      <c r="P192" s="152" t="n">
        <v>2.435454545</v>
      </c>
      <c r="Q192" s="156" t="n">
        <v>61.27</v>
      </c>
      <c r="R192" s="156" t="n">
        <v>-1051.93</v>
      </c>
      <c r="S192" s="152" t="n">
        <v>5.9495</v>
      </c>
      <c r="T192" s="152" t="n">
        <v>2.0255</v>
      </c>
      <c r="U192" s="152" t="n">
        <v>3.924</v>
      </c>
      <c r="V192" s="152" t="n">
        <v>2.502268195</v>
      </c>
      <c r="W192" s="152" t="n">
        <v>1.421731805</v>
      </c>
      <c r="X192" s="158" t="n">
        <v>5.035368182</v>
      </c>
      <c r="Y192" s="158" t="n">
        <v>728.6411136</v>
      </c>
      <c r="Z192" s="158" t="n">
        <v>19.94855</v>
      </c>
      <c r="AA192" s="158" t="n">
        <v>3.911604762</v>
      </c>
      <c r="AB192" s="159" t="n">
        <v>-0.2704856867</v>
      </c>
      <c r="AC192" s="159" t="n">
        <v>0.5158634174</v>
      </c>
      <c r="AD192" s="159" t="n">
        <v>110.6233511</v>
      </c>
      <c r="AE192" s="159" t="n">
        <v>108.78</v>
      </c>
      <c r="AF192" s="159" t="n">
        <v>-0.823636</v>
      </c>
      <c r="AG192" s="159" t="n">
        <v>-1.62591</v>
      </c>
      <c r="AH192" s="159" t="n">
        <v>0.202727</v>
      </c>
      <c r="AI192" s="159" t="n">
        <v>1.51909</v>
      </c>
      <c r="AJ192" s="159" t="n">
        <v>1.31636</v>
      </c>
      <c r="AK192" s="159" t="n">
        <v>2.46455</v>
      </c>
      <c r="AL192" s="159" t="n">
        <v>2.34273</v>
      </c>
      <c r="AM192" s="159" t="n">
        <v>169.205</v>
      </c>
      <c r="AN192" s="159" t="n">
        <v>-0.793275</v>
      </c>
      <c r="AO192" s="159" t="n">
        <v>-0.696</v>
      </c>
      <c r="AP192" s="159" t="n">
        <v>-0.69425</v>
      </c>
      <c r="AQ192" s="159" t="n">
        <v>5.79184</v>
      </c>
      <c r="AR192" s="159" t="n"/>
      <c r="AS192" s="159" t="n">
        <v>0.09636359999999999</v>
      </c>
      <c r="AT192" s="159" t="n">
        <v>5.9</v>
      </c>
      <c r="AU192" s="159" t="n">
        <v>101</v>
      </c>
      <c r="AV192" s="159" t="n">
        <v>108.3</v>
      </c>
      <c r="AW192" s="159" t="n">
        <v>102.803</v>
      </c>
      <c r="AX192" s="159" t="n">
        <v>111.769</v>
      </c>
      <c r="AY192" s="159" t="n">
        <v>4.292704864</v>
      </c>
      <c r="AZ192" s="159" t="n">
        <v>5.080036971</v>
      </c>
      <c r="BA192" s="159" t="n">
        <v>9.413036288000001</v>
      </c>
      <c r="BB192" s="159" t="n">
        <v>4.603155157</v>
      </c>
      <c r="BC192" s="159" t="n">
        <v>4.8978398</v>
      </c>
    </row>
    <row r="193">
      <c r="A193" s="83" t="inlineStr">
        <is>
          <t>2021-07</t>
        </is>
      </c>
      <c r="B193" s="155" t="n">
        <v>3829.418065</v>
      </c>
      <c r="C193" s="155" t="n">
        <v>136.71</v>
      </c>
      <c r="D193" s="155" t="n">
        <v>741.6</v>
      </c>
      <c r="E193" s="155" t="n">
        <v>8064.71</v>
      </c>
      <c r="F193" s="152" t="n">
        <v>1.75</v>
      </c>
      <c r="G193" s="152" t="n">
        <v>0.1</v>
      </c>
      <c r="H193" s="152" t="n">
        <v>1.65</v>
      </c>
      <c r="I193" s="156" t="n">
        <v>-8204.341235</v>
      </c>
      <c r="J193" s="152" t="n">
        <v>6.627304432</v>
      </c>
      <c r="K193" s="152" t="n">
        <v>113.063319</v>
      </c>
      <c r="L193" s="152" t="n">
        <v>17.60333333</v>
      </c>
      <c r="M193" s="157" t="n">
        <v>0</v>
      </c>
      <c r="N193" s="155" t="n">
        <v>58878.39</v>
      </c>
      <c r="O193" s="152" t="n">
        <v>267.3181818</v>
      </c>
      <c r="P193" s="152" t="n">
        <v>2.673181818</v>
      </c>
      <c r="Q193" s="156" t="n">
        <v>143.13</v>
      </c>
      <c r="R193" s="156" t="n">
        <v>-1224.69</v>
      </c>
      <c r="S193" s="152" t="n">
        <v>6.127</v>
      </c>
      <c r="T193" s="152" t="n">
        <v>2.547</v>
      </c>
      <c r="U193" s="152" t="n">
        <v>3.58</v>
      </c>
      <c r="V193" s="152" t="n">
        <v>2.556014299</v>
      </c>
      <c r="W193" s="152" t="n">
        <v>1.023985701</v>
      </c>
      <c r="X193" s="158" t="n">
        <v>5.156363636</v>
      </c>
      <c r="Y193" s="158" t="n">
        <v>752.0147682</v>
      </c>
      <c r="Z193" s="158" t="n">
        <v>19.92552318</v>
      </c>
      <c r="AA193" s="158" t="n">
        <v>3.942455</v>
      </c>
      <c r="AB193" s="159" t="n">
        <v>0.4932260639</v>
      </c>
      <c r="AC193" s="159" t="n">
        <v>0.5303906559</v>
      </c>
      <c r="AD193" s="159" t="n">
        <v>111.9622438</v>
      </c>
      <c r="AE193" s="159" t="n">
        <v>109.14</v>
      </c>
      <c r="AF193" s="159" t="n">
        <v>-1.00905</v>
      </c>
      <c r="AG193" s="159" t="n">
        <v>-1.73238</v>
      </c>
      <c r="AH193" s="159" t="n">
        <v>0.219524</v>
      </c>
      <c r="AI193" s="159" t="n">
        <v>1.31857</v>
      </c>
      <c r="AJ193" s="159" t="n">
        <v>1.09905</v>
      </c>
      <c r="AK193" s="159" t="n">
        <v>2.49667</v>
      </c>
      <c r="AL193" s="159" t="n">
        <v>2.32762</v>
      </c>
      <c r="AM193" s="159" t="n">
        <v>187.236</v>
      </c>
      <c r="AN193" s="159" t="n">
        <v>-0.72684</v>
      </c>
      <c r="AO193" s="159" t="n">
        <v>-0.6724</v>
      </c>
      <c r="AP193" s="159" t="n">
        <v>-0.699</v>
      </c>
      <c r="AQ193" s="159" t="n">
        <v>5.30849</v>
      </c>
      <c r="AR193" s="159" t="n"/>
      <c r="AS193" s="159" t="n">
        <v>0.0780952</v>
      </c>
      <c r="AT193" s="159" t="n">
        <v>5.4</v>
      </c>
      <c r="AU193" s="159" t="n">
        <v>101.7</v>
      </c>
      <c r="AV193" s="159" t="n">
        <v>106.4</v>
      </c>
      <c r="AW193" s="159" t="n">
        <v>102.576</v>
      </c>
      <c r="AX193" s="159" t="n">
        <v>112.104</v>
      </c>
      <c r="AY193" s="159" t="n">
        <v>4.319697671</v>
      </c>
      <c r="AZ193" s="159" t="n">
        <v>5.10491464</v>
      </c>
      <c r="BA193" s="159" t="n">
        <v>9.417760962999999</v>
      </c>
      <c r="BB193" s="159" t="n">
        <v>4.607687016</v>
      </c>
      <c r="BC193" s="159" t="n">
        <v>4.889596966</v>
      </c>
    </row>
    <row r="194">
      <c r="A194" s="83" t="inlineStr">
        <is>
          <t>2021-08</t>
        </is>
      </c>
      <c r="B194" s="155" t="n">
        <v>3881.183548</v>
      </c>
      <c r="C194" s="155" t="n">
        <v>136.74</v>
      </c>
      <c r="D194" s="155" t="n">
        <v>744.4299999999999</v>
      </c>
      <c r="E194" s="155" t="n">
        <v>8173.26</v>
      </c>
      <c r="F194" s="152" t="n">
        <v>1.75</v>
      </c>
      <c r="G194" s="152" t="n">
        <v>0.09</v>
      </c>
      <c r="H194" s="152" t="n">
        <v>1.66</v>
      </c>
      <c r="I194" s="156" t="n">
        <v>4852.144199</v>
      </c>
      <c r="J194" s="152" t="n">
        <v>5.280166034</v>
      </c>
      <c r="K194" s="152" t="n">
        <v>113.4025364</v>
      </c>
      <c r="L194" s="152" t="n">
        <v>17.47272727</v>
      </c>
      <c r="M194" s="157" t="n">
        <v>0</v>
      </c>
      <c r="N194" s="155" t="n">
        <v>58846.51</v>
      </c>
      <c r="O194" s="152" t="n">
        <v>277.4090909</v>
      </c>
      <c r="P194" s="152" t="n">
        <v>2.774090909</v>
      </c>
      <c r="Q194" s="156" t="n">
        <v>-186.24</v>
      </c>
      <c r="R194" s="156" t="n">
        <v>-923.8</v>
      </c>
      <c r="S194" s="152" t="n">
        <v>6.207142857</v>
      </c>
      <c r="T194" s="152" t="n">
        <v>2.474761905</v>
      </c>
      <c r="U194" s="152" t="n">
        <v>3.732380952</v>
      </c>
      <c r="V194" s="152" t="n">
        <v>2.578799996</v>
      </c>
      <c r="W194" s="152" t="n">
        <v>1.153580957</v>
      </c>
      <c r="X194" s="158" t="n">
        <v>5.251418182</v>
      </c>
      <c r="Y194" s="158" t="n">
        <v>780.8318227</v>
      </c>
      <c r="Z194" s="158" t="n">
        <v>20.02157</v>
      </c>
      <c r="AA194" s="158" t="n">
        <v>4.087252381</v>
      </c>
      <c r="AB194" s="159" t="n">
        <v>0.5900634574</v>
      </c>
      <c r="AC194" s="159" t="n">
        <v>1.170480312</v>
      </c>
      <c r="AD194" s="159" t="n">
        <v>110.9134054</v>
      </c>
      <c r="AE194" s="159" t="n">
        <v>109.62</v>
      </c>
      <c r="AF194" s="159" t="n">
        <v>-1.06545</v>
      </c>
      <c r="AG194" s="159" t="n">
        <v>-1.72136</v>
      </c>
      <c r="AH194" s="159" t="n">
        <v>0.217273</v>
      </c>
      <c r="AI194" s="159" t="n">
        <v>1.28318</v>
      </c>
      <c r="AJ194" s="159" t="n">
        <v>1.06591</v>
      </c>
      <c r="AK194" s="159" t="n">
        <v>2.49364</v>
      </c>
      <c r="AL194" s="159" t="n">
        <v>2.34864</v>
      </c>
      <c r="AM194" s="159" t="n">
        <v>198.876</v>
      </c>
      <c r="AN194" s="159" t="n">
        <v>-0.721975</v>
      </c>
      <c r="AO194" s="159" t="n">
        <v>-0.6525</v>
      </c>
      <c r="AP194" s="159" t="n">
        <v>-0.6875</v>
      </c>
      <c r="AQ194" s="159" t="n">
        <v>5.10596</v>
      </c>
      <c r="AR194" s="159" t="n"/>
      <c r="AS194" s="159" t="n">
        <v>0.0690476</v>
      </c>
      <c r="AT194" s="159" t="n">
        <v>5.1</v>
      </c>
      <c r="AU194" s="159" t="n">
        <v>102</v>
      </c>
      <c r="AV194" s="159" t="n">
        <v>105.3</v>
      </c>
      <c r="AW194" s="159" t="n">
        <v>102.33</v>
      </c>
      <c r="AX194" s="159" t="n">
        <v>112.215</v>
      </c>
      <c r="AY194" s="159" t="n">
        <v>4.259111546</v>
      </c>
      <c r="AZ194" s="159" t="n">
        <v>5.094909038</v>
      </c>
      <c r="BA194" s="159" t="n">
        <v>9.421654228</v>
      </c>
      <c r="BB194" s="159" t="n">
        <v>4.605610089</v>
      </c>
      <c r="BC194" s="159" t="n">
        <v>4.880526609</v>
      </c>
    </row>
    <row r="195">
      <c r="A195" s="83" t="inlineStr">
        <is>
          <t>2021-09</t>
        </is>
      </c>
      <c r="B195" s="155" t="n">
        <v>3821.537667</v>
      </c>
      <c r="C195" s="155" t="n">
        <v>146.87</v>
      </c>
      <c r="D195" s="155" t="n">
        <v>682.84</v>
      </c>
      <c r="E195" s="155" t="n">
        <v>8203.1</v>
      </c>
      <c r="F195" s="152" t="n">
        <v>1.75</v>
      </c>
      <c r="G195" s="152" t="n">
        <v>0.08</v>
      </c>
      <c r="H195" s="152" t="n">
        <v>1.67</v>
      </c>
      <c r="I195" s="156" t="n">
        <v>-1203.703056</v>
      </c>
      <c r="J195" s="152" t="n">
        <v>4.840944881</v>
      </c>
      <c r="K195" s="152" t="n">
        <v>113.4437476</v>
      </c>
      <c r="L195" s="152" t="n">
        <v>19.8247619</v>
      </c>
      <c r="M195" s="157" t="n">
        <v>0</v>
      </c>
      <c r="N195" s="155" t="n">
        <v>58721.07</v>
      </c>
      <c r="O195" s="152" t="n">
        <v>281.7727273</v>
      </c>
      <c r="P195" s="152" t="n">
        <v>2.817727273</v>
      </c>
      <c r="Q195" s="156" t="n">
        <v>-12.78</v>
      </c>
      <c r="R195" s="156" t="n">
        <v>-1105.8</v>
      </c>
      <c r="S195" s="152" t="n">
        <v>6.493636364</v>
      </c>
      <c r="T195" s="152" t="n">
        <v>2.434545455</v>
      </c>
      <c r="U195" s="152" t="n">
        <v>4.059090909</v>
      </c>
      <c r="V195" s="152" t="n">
        <v>2.5629381</v>
      </c>
      <c r="W195" s="152" t="n">
        <v>1.496152809</v>
      </c>
      <c r="X195" s="158" t="n">
        <v>5.274736364</v>
      </c>
      <c r="Y195" s="158" t="n">
        <v>785.3691227</v>
      </c>
      <c r="Z195" s="158" t="n">
        <v>20.00172864</v>
      </c>
      <c r="AA195" s="158" t="n">
        <v>4.108054545</v>
      </c>
      <c r="AB195" s="159" t="n">
        <v>-0.002236865068</v>
      </c>
      <c r="AC195" s="159" t="n">
        <v>0.1028929765</v>
      </c>
      <c r="AD195" s="159" t="n">
        <v>116.7071305</v>
      </c>
      <c r="AE195" s="159" t="n">
        <v>110.04</v>
      </c>
      <c r="AF195" s="159" t="n">
        <v>-0.9695240000000001</v>
      </c>
      <c r="AG195" s="159" t="n">
        <v>-1.63286</v>
      </c>
      <c r="AH195" s="159" t="n">
        <v>0.240952</v>
      </c>
      <c r="AI195" s="159" t="n">
        <v>1.37476</v>
      </c>
      <c r="AJ195" s="159" t="n">
        <v>1.13381</v>
      </c>
      <c r="AK195" s="159" t="n">
        <v>2.49667</v>
      </c>
      <c r="AL195" s="159" t="n">
        <v>2.34429</v>
      </c>
      <c r="AM195" s="159" t="n">
        <v>209.316</v>
      </c>
      <c r="AN195" s="159" t="n">
        <v>-0.6646</v>
      </c>
      <c r="AO195" s="159" t="n">
        <v>-0.6557500000000001</v>
      </c>
      <c r="AP195" s="159" t="n">
        <v>-0.72275</v>
      </c>
      <c r="AQ195" s="159" t="n">
        <v>4.83379</v>
      </c>
      <c r="AR195" s="159" t="n"/>
      <c r="AS195" s="159" t="n">
        <v>0.0819048</v>
      </c>
      <c r="AT195" s="159" t="n">
        <v>4.7</v>
      </c>
      <c r="AU195" s="159" t="n">
        <v>102.2</v>
      </c>
      <c r="AV195" s="159" t="n">
        <v>103.1</v>
      </c>
      <c r="AW195" s="159" t="n">
        <v>102.075</v>
      </c>
      <c r="AX195" s="159" t="n">
        <v>112.215</v>
      </c>
      <c r="AY195" s="159" t="n">
        <v>4.310646094</v>
      </c>
      <c r="AZ195" s="159" t="n">
        <v>5.14504963</v>
      </c>
      <c r="BA195" s="159" t="n">
        <v>9.424887075999999</v>
      </c>
      <c r="BB195" s="159" t="n">
        <v>4.593683465</v>
      </c>
      <c r="BC195" s="159" t="n">
        <v>4.888844237</v>
      </c>
    </row>
    <row r="196">
      <c r="A196" s="83" t="inlineStr">
        <is>
          <t>2021-10</t>
        </is>
      </c>
      <c r="B196" s="155" t="n">
        <v>3773.384194</v>
      </c>
      <c r="C196" s="155" t="n">
        <v>149.87</v>
      </c>
      <c r="D196" s="155" t="n">
        <v>664.02</v>
      </c>
      <c r="E196" s="155" t="n">
        <v>8220.530000000001</v>
      </c>
      <c r="F196" s="152" t="n">
        <v>2</v>
      </c>
      <c r="G196" s="152" t="n">
        <v>0.08</v>
      </c>
      <c r="H196" s="152" t="n">
        <v>1.92</v>
      </c>
      <c r="I196" s="156" t="n">
        <v>-14353.43524</v>
      </c>
      <c r="J196" s="152" t="n">
        <v>6.25218226</v>
      </c>
      <c r="K196" s="152" t="n">
        <v>114.063485</v>
      </c>
      <c r="L196" s="152" t="n">
        <v>17.87142857</v>
      </c>
      <c r="M196" s="157" t="n">
        <v>0</v>
      </c>
      <c r="N196" s="155" t="n">
        <v>58792</v>
      </c>
      <c r="O196" s="152" t="n">
        <v>290.6190476</v>
      </c>
      <c r="P196" s="152" t="n">
        <v>2.906190476</v>
      </c>
      <c r="Q196" s="156" t="n">
        <v>-62.97</v>
      </c>
      <c r="R196" s="156" t="n">
        <v>-659.72</v>
      </c>
      <c r="S196" s="152" t="n">
        <v>6.8985</v>
      </c>
      <c r="T196" s="152" t="n">
        <v>2.5105</v>
      </c>
      <c r="U196" s="152" t="n">
        <v>4.388</v>
      </c>
      <c r="V196" s="152" t="n">
        <v>2.769164991</v>
      </c>
      <c r="W196" s="152" t="n">
        <v>1.618835009</v>
      </c>
      <c r="X196" s="158" t="n">
        <v>5.538542857</v>
      </c>
      <c r="Y196" s="158" t="n">
        <v>814.2059286</v>
      </c>
      <c r="Z196" s="158" t="n">
        <v>20.45407095</v>
      </c>
      <c r="AA196" s="158" t="n">
        <v>4.01368</v>
      </c>
      <c r="AB196" s="159" t="n">
        <v>1.058561938</v>
      </c>
      <c r="AC196" s="159" t="n">
        <v>0.3289338611</v>
      </c>
      <c r="AD196" s="159" t="n">
        <v>115.797216</v>
      </c>
      <c r="AE196" s="159" t="n">
        <v>110.06</v>
      </c>
      <c r="AF196" s="159" t="n">
        <v>-0.9525</v>
      </c>
      <c r="AG196" s="159" t="n">
        <v>-1.639</v>
      </c>
      <c r="AH196" s="159" t="n">
        <v>0.3925</v>
      </c>
      <c r="AI196" s="159" t="n">
        <v>1.5825</v>
      </c>
      <c r="AJ196" s="159" t="n">
        <v>1.19</v>
      </c>
      <c r="AK196" s="159" t="n">
        <v>2.745</v>
      </c>
      <c r="AL196" s="159" t="n">
        <v>2.535</v>
      </c>
      <c r="AM196" s="159" t="n">
        <v>185.617</v>
      </c>
      <c r="AN196" s="159" t="n">
        <v>-0.7357</v>
      </c>
      <c r="AO196" s="159" t="n">
        <v>-0.6458</v>
      </c>
      <c r="AP196" s="159" t="n">
        <v>-0.6898</v>
      </c>
      <c r="AQ196" s="159" t="n">
        <v>4.52554</v>
      </c>
      <c r="AR196" s="159" t="n"/>
      <c r="AS196" s="159" t="n">
        <v>0.074</v>
      </c>
      <c r="AT196" s="159" t="n">
        <v>4.5</v>
      </c>
      <c r="AU196" s="159" t="n">
        <v>102.5</v>
      </c>
      <c r="AV196" s="159" t="n">
        <v>103.5</v>
      </c>
      <c r="AW196" s="159" t="n">
        <v>101.824</v>
      </c>
      <c r="AX196" s="159" t="n">
        <v>112.996</v>
      </c>
      <c r="AY196" s="159" t="n">
        <v>4.425302815</v>
      </c>
      <c r="AZ196" s="159" t="n">
        <v>5.254877365</v>
      </c>
      <c r="BA196" s="159" t="n">
        <v>9.429716837000001</v>
      </c>
      <c r="BB196" s="159" t="n">
        <v>4.607028458</v>
      </c>
      <c r="BC196" s="159" t="n">
        <v>4.901564199</v>
      </c>
    </row>
    <row r="197">
      <c r="A197" s="83" t="inlineStr">
        <is>
          <t>2021-11</t>
        </is>
      </c>
      <c r="B197" s="155" t="n">
        <v>3902.901</v>
      </c>
      <c r="C197" s="155" t="n">
        <v>151.22</v>
      </c>
      <c r="D197" s="155" t="n">
        <v>817.1900000000001</v>
      </c>
      <c r="E197" s="155" t="n">
        <v>8435.129999999999</v>
      </c>
      <c r="F197" s="152" t="n">
        <v>2.483333333</v>
      </c>
      <c r="G197" s="152" t="n">
        <v>0.08</v>
      </c>
      <c r="H197" s="152" t="n">
        <v>2.403333333</v>
      </c>
      <c r="I197" s="156" t="n">
        <v>-13322.33323</v>
      </c>
      <c r="J197" s="152" t="n">
        <v>6.64429459</v>
      </c>
      <c r="K197" s="152" t="n">
        <v>114.989795</v>
      </c>
      <c r="L197" s="152" t="n">
        <v>18.50047619</v>
      </c>
      <c r="M197" s="157" t="n">
        <v>0</v>
      </c>
      <c r="N197" s="155" t="n">
        <v>58532.09</v>
      </c>
      <c r="O197" s="152" t="n">
        <v>318.1818182</v>
      </c>
      <c r="P197" s="152" t="n">
        <v>3.181818182</v>
      </c>
      <c r="Q197" s="156" t="n">
        <v>139.73</v>
      </c>
      <c r="R197" s="156" t="n">
        <v>-1689.24</v>
      </c>
      <c r="S197" s="152" t="n">
        <v>7.5145</v>
      </c>
      <c r="T197" s="152" t="n">
        <v>2.927</v>
      </c>
      <c r="U197" s="152" t="n">
        <v>4.5875</v>
      </c>
      <c r="V197" s="152" t="n">
        <v>2.96401999</v>
      </c>
      <c r="W197" s="152" t="n">
        <v>1.62348001</v>
      </c>
      <c r="X197" s="158" t="n">
        <v>5.55545</v>
      </c>
      <c r="Y197" s="158" t="n">
        <v>813.5070773</v>
      </c>
      <c r="Z197" s="158" t="n">
        <v>20.79524909</v>
      </c>
      <c r="AA197" s="158" t="n">
        <v>4.020495238</v>
      </c>
      <c r="AB197" s="159" t="n">
        <v>0.112040498</v>
      </c>
      <c r="AC197" s="159" t="n">
        <v>0.1206173851</v>
      </c>
      <c r="AD197" s="159" t="n">
        <v>117.1842571</v>
      </c>
      <c r="AE197" s="159" t="n">
        <v>110.6</v>
      </c>
      <c r="AF197" s="159" t="n">
        <v>-1.0565</v>
      </c>
      <c r="AG197" s="159" t="n">
        <v>-1.78</v>
      </c>
      <c r="AH197" s="159" t="n">
        <v>0.508</v>
      </c>
      <c r="AI197" s="159" t="n">
        <v>1.5595</v>
      </c>
      <c r="AJ197" s="159" t="n">
        <v>1.0515</v>
      </c>
      <c r="AK197" s="159" t="n">
        <v>2.9825</v>
      </c>
      <c r="AL197" s="159" t="n">
        <v>2.616</v>
      </c>
      <c r="AM197" s="159" t="n">
        <v>227.151</v>
      </c>
      <c r="AN197" s="159" t="n">
        <v>-0.653975</v>
      </c>
      <c r="AO197" s="159" t="n">
        <v>-0.57975</v>
      </c>
      <c r="AP197" s="159" t="n">
        <v>-0.58675</v>
      </c>
      <c r="AQ197" s="159" t="n">
        <v>4.2268</v>
      </c>
      <c r="AR197" s="159" t="n"/>
      <c r="AS197" s="159" t="n">
        <v>0.107</v>
      </c>
      <c r="AT197" s="159" t="n">
        <v>4.1</v>
      </c>
      <c r="AU197" s="159" t="n">
        <v>102.7</v>
      </c>
      <c r="AV197" s="159" t="n">
        <v>103.8</v>
      </c>
      <c r="AW197" s="159" t="n">
        <v>101.584</v>
      </c>
      <c r="AX197" s="159" t="n">
        <v>113.442</v>
      </c>
      <c r="AY197" s="159" t="n">
        <v>4.395066248</v>
      </c>
      <c r="AZ197" s="159" t="n">
        <v>5.210059759</v>
      </c>
      <c r="BA197" s="159" t="n">
        <v>9.43332391</v>
      </c>
      <c r="BB197" s="159" t="n">
        <v>4.613782989</v>
      </c>
      <c r="BC197" s="159" t="n">
        <v>4.90897164</v>
      </c>
    </row>
    <row r="198">
      <c r="A198" s="83" t="inlineStr">
        <is>
          <t>2021-12</t>
        </is>
      </c>
      <c r="B198" s="155" t="n">
        <v>3963.133548</v>
      </c>
      <c r="C198" s="155" t="n">
        <v>150.03</v>
      </c>
      <c r="D198" s="155" t="n">
        <v>830.8099999999999</v>
      </c>
      <c r="E198" s="155" t="n">
        <v>8597.24</v>
      </c>
      <c r="F198" s="152" t="n">
        <v>2.693548387</v>
      </c>
      <c r="G198" s="152" t="n">
        <v>0.08</v>
      </c>
      <c r="H198" s="152" t="n">
        <v>2.613548387</v>
      </c>
      <c r="I198" s="156" t="n">
        <v>-15758.37634</v>
      </c>
      <c r="J198" s="152" t="n">
        <v>6.97187551</v>
      </c>
      <c r="K198" s="152" t="n">
        <v>115.8045381</v>
      </c>
      <c r="L198" s="152" t="n">
        <v>21.35454545</v>
      </c>
      <c r="M198" s="157" t="n">
        <v>0</v>
      </c>
      <c r="N198" s="155" t="n">
        <v>58579.2</v>
      </c>
      <c r="O198" s="152" t="n">
        <v>346.5217391</v>
      </c>
      <c r="P198" s="152" t="n">
        <v>3.465217391</v>
      </c>
      <c r="Q198" s="156" t="n">
        <v>-112.93</v>
      </c>
      <c r="R198" s="156" t="n">
        <v>-1059.29</v>
      </c>
      <c r="S198" s="152" t="n">
        <v>7.582</v>
      </c>
      <c r="T198" s="152" t="n">
        <v>2.798421053</v>
      </c>
      <c r="U198" s="152" t="n">
        <v>4.783578947</v>
      </c>
      <c r="V198" s="152" t="n">
        <v>2.734327284</v>
      </c>
      <c r="W198" s="152" t="n">
        <v>2.049251664</v>
      </c>
      <c r="X198" s="158" t="n">
        <v>5.650995652</v>
      </c>
      <c r="Y198" s="158" t="n">
        <v>849.818913</v>
      </c>
      <c r="Z198" s="158" t="n">
        <v>20.83254478</v>
      </c>
      <c r="AA198" s="158" t="n">
        <v>4.036868182</v>
      </c>
      <c r="AB198" s="159" t="n">
        <v>0.6186153737</v>
      </c>
      <c r="AC198" s="159" t="n">
        <v>0.5481672612</v>
      </c>
      <c r="AD198" s="159" t="n">
        <v>119.0525276</v>
      </c>
      <c r="AE198" s="159" t="n">
        <v>111.41</v>
      </c>
      <c r="AF198" s="159" t="n">
        <v>-0.993182</v>
      </c>
      <c r="AG198" s="159" t="n">
        <v>-1.51955</v>
      </c>
      <c r="AH198" s="159" t="n">
        <v>0.68</v>
      </c>
      <c r="AI198" s="159" t="n">
        <v>1.465</v>
      </c>
      <c r="AJ198" s="159" t="n">
        <v>0.785</v>
      </c>
      <c r="AK198" s="159" t="n">
        <v>2.74909</v>
      </c>
      <c r="AL198" s="159" t="n">
        <v>2.45818</v>
      </c>
      <c r="AM198" s="159" t="n">
        <v>255.118</v>
      </c>
      <c r="AN198" s="159" t="n">
        <v>-0.53666</v>
      </c>
      <c r="AO198" s="159" t="n">
        <v>-0.5472</v>
      </c>
      <c r="AP198" s="159" t="n">
        <v>-0.5298</v>
      </c>
      <c r="AQ198" s="159" t="n">
        <v>4.02473</v>
      </c>
      <c r="AR198" s="159" t="n"/>
      <c r="AS198" s="159" t="n">
        <v>0.144</v>
      </c>
      <c r="AT198" s="159" t="n">
        <v>3.9</v>
      </c>
      <c r="AU198" s="159" t="n">
        <v>103.4</v>
      </c>
      <c r="AV198" s="159" t="n">
        <v>104.3</v>
      </c>
      <c r="AW198" s="159" t="n">
        <v>101.36</v>
      </c>
      <c r="AX198" s="159" t="n">
        <v>113.108</v>
      </c>
      <c r="AY198" s="159" t="n">
        <v>4.306366497</v>
      </c>
      <c r="AZ198" s="159" t="n">
        <v>5.229465557</v>
      </c>
      <c r="BA198" s="159" t="n">
        <v>9.436439550999999</v>
      </c>
      <c r="BB198" s="159" t="n">
        <v>4.610883832</v>
      </c>
      <c r="BC198" s="159" t="n">
        <v>4.91338991</v>
      </c>
    </row>
    <row r="199">
      <c r="A199" s="83" t="inlineStr">
        <is>
          <t>2022-01</t>
        </is>
      </c>
      <c r="B199" s="155" t="n">
        <v>3999.616129</v>
      </c>
      <c r="C199" s="155" t="n">
        <v>161.25</v>
      </c>
      <c r="D199" s="155" t="n">
        <v>664.45</v>
      </c>
      <c r="E199" s="155" t="n">
        <v>8714.07</v>
      </c>
      <c r="F199" s="152" t="n">
        <v>3.032258065</v>
      </c>
      <c r="G199" s="152" t="n">
        <v>0.08</v>
      </c>
      <c r="H199" s="152" t="n">
        <v>2.952258065</v>
      </c>
      <c r="I199" s="156" t="n">
        <v>2448.449004</v>
      </c>
      <c r="J199" s="152" t="n">
        <v>5.215531798</v>
      </c>
      <c r="K199" s="152" t="n">
        <v>115.03728</v>
      </c>
      <c r="L199" s="152" t="n">
        <v>23.181</v>
      </c>
      <c r="M199" s="157" t="n">
        <v>0</v>
      </c>
      <c r="N199" s="155" t="n">
        <v>58264.14</v>
      </c>
      <c r="O199" s="152" t="n">
        <v>355.0952381</v>
      </c>
      <c r="P199" s="152" t="n">
        <v>3.550952381</v>
      </c>
      <c r="Q199" s="156" t="n">
        <v>-32.31</v>
      </c>
      <c r="R199" s="156" t="n">
        <v>-1107.06</v>
      </c>
      <c r="S199" s="152" t="n">
        <v>8.372999999999999</v>
      </c>
      <c r="T199" s="152" t="n">
        <v>2.943</v>
      </c>
      <c r="U199" s="152" t="n">
        <v>5.43</v>
      </c>
      <c r="V199" s="152" t="n">
        <v>2.776670003</v>
      </c>
      <c r="W199" s="152" t="n">
        <v>2.653329997</v>
      </c>
      <c r="X199" s="158" t="n">
        <v>5.533804762</v>
      </c>
      <c r="Y199" s="158" t="n">
        <v>819.8269238</v>
      </c>
      <c r="Z199" s="158" t="n">
        <v>20.45195333</v>
      </c>
      <c r="AA199" s="158" t="n">
        <v>3.888342857</v>
      </c>
      <c r="AB199" s="159" t="n">
        <v>-0.9627257422</v>
      </c>
      <c r="AC199" s="159" t="n">
        <v>-1.473545765</v>
      </c>
      <c r="AD199" s="159" t="n">
        <v>115.8645563</v>
      </c>
      <c r="AE199" s="159" t="n">
        <v>113.26</v>
      </c>
      <c r="AF199" s="159" t="n">
        <v>-0.6855</v>
      </c>
      <c r="AG199" s="159" t="n">
        <v>-1.2585</v>
      </c>
      <c r="AH199" s="159" t="n">
        <v>0.9805</v>
      </c>
      <c r="AI199" s="159" t="n">
        <v>1.764</v>
      </c>
      <c r="AJ199" s="159" t="n">
        <v>0.7835</v>
      </c>
      <c r="AK199" s="159" t="n">
        <v>2.797</v>
      </c>
      <c r="AL199" s="159" t="n">
        <v>2.4495</v>
      </c>
      <c r="AM199" s="159" t="n">
        <v>219.446</v>
      </c>
      <c r="AN199" s="159" t="n">
        <v>-0.481325</v>
      </c>
      <c r="AO199" s="159" t="n">
        <v>-0.5570000000000001</v>
      </c>
      <c r="AP199" s="159" t="n">
        <v>-0.55525</v>
      </c>
      <c r="AQ199" s="159" t="n">
        <v>4.15473</v>
      </c>
      <c r="AR199" s="159" t="n"/>
      <c r="AS199" s="159" t="n">
        <v>0.113077</v>
      </c>
      <c r="AT199" s="159" t="n">
        <v>4</v>
      </c>
      <c r="AU199" s="159" t="n">
        <v>103.9</v>
      </c>
      <c r="AV199" s="159" t="n"/>
      <c r="AW199" s="159" t="n">
        <v>101.155</v>
      </c>
      <c r="AX199" s="159" t="n">
        <v>113.665</v>
      </c>
      <c r="AY199" s="159" t="n">
        <v>4.460204528</v>
      </c>
      <c r="AZ199" s="159" t="n">
        <v>5.2587706</v>
      </c>
      <c r="BA199" s="159" t="n">
        <v>9.438590861</v>
      </c>
      <c r="BB199" s="159" t="n">
        <v>4.607028458</v>
      </c>
      <c r="BC199" s="159" t="n">
        <v>4.922168313</v>
      </c>
    </row>
    <row r="200">
      <c r="A200" s="83" t="inlineStr">
        <is>
          <t>2022-02</t>
        </is>
      </c>
      <c r="B200" s="155" t="n">
        <v>3935.835714</v>
      </c>
      <c r="C200" s="155" t="n">
        <v>159.72</v>
      </c>
      <c r="D200" s="155" t="n">
        <v>647.26</v>
      </c>
      <c r="E200" s="155" t="n">
        <v>8755.309999999999</v>
      </c>
      <c r="F200" s="152" t="n">
        <v>4</v>
      </c>
      <c r="G200" s="152" t="n">
        <v>0.08</v>
      </c>
      <c r="H200" s="152" t="n">
        <v>3.92</v>
      </c>
      <c r="I200" s="156" t="n">
        <v>-9751.783475</v>
      </c>
      <c r="J200" s="152" t="n">
        <v>5.120245584</v>
      </c>
      <c r="K200" s="152" t="n">
        <v>114.9977421</v>
      </c>
      <c r="L200" s="152" t="n">
        <v>25.74842105</v>
      </c>
      <c r="M200" s="157" t="n">
        <v>0</v>
      </c>
      <c r="N200" s="155" t="n">
        <v>58284.44</v>
      </c>
      <c r="O200" s="152" t="n">
        <v>371.45</v>
      </c>
      <c r="P200" s="152" t="n">
        <v>3.7145</v>
      </c>
      <c r="Q200" s="156" t="n">
        <v>1.95</v>
      </c>
      <c r="R200" s="156" t="n">
        <v>-796.34</v>
      </c>
      <c r="S200" s="152" t="n">
        <v>8.753</v>
      </c>
      <c r="T200" s="152" t="n">
        <v>2.8775</v>
      </c>
      <c r="U200" s="152" t="n">
        <v>5.8755</v>
      </c>
      <c r="V200" s="152" t="n">
        <v>2.824347396</v>
      </c>
      <c r="W200" s="152" t="n">
        <v>3.051152604</v>
      </c>
      <c r="X200" s="158" t="n">
        <v>5.19342</v>
      </c>
      <c r="Y200" s="158" t="n">
        <v>806.89199</v>
      </c>
      <c r="Z200" s="158" t="n">
        <v>20.4117995</v>
      </c>
      <c r="AA200" s="158" t="n">
        <v>3.790945</v>
      </c>
      <c r="AB200" s="159" t="n">
        <v>-0.9022178561999999</v>
      </c>
      <c r="AC200" s="159" t="n">
        <v>-1.18442557</v>
      </c>
      <c r="AD200" s="159" t="n">
        <v>117.4300408</v>
      </c>
      <c r="AE200" s="159" t="n">
        <v>115.11</v>
      </c>
      <c r="AF200" s="159" t="n">
        <v>-0.523684</v>
      </c>
      <c r="AG200" s="159" t="n">
        <v>-1.05895</v>
      </c>
      <c r="AH200" s="159" t="n">
        <v>1.43526</v>
      </c>
      <c r="AI200" s="159" t="n">
        <v>1.93421</v>
      </c>
      <c r="AJ200" s="159" t="n">
        <v>0.498947</v>
      </c>
      <c r="AK200" s="159" t="n">
        <v>2.87053</v>
      </c>
      <c r="AL200" s="159" t="n">
        <v>2.45789</v>
      </c>
      <c r="AM200" s="159" t="n">
        <v>174.491</v>
      </c>
      <c r="AN200" s="159" t="n">
        <v>-0.3125</v>
      </c>
      <c r="AO200" s="159" t="n">
        <v>-0.481</v>
      </c>
      <c r="AP200" s="159" t="n">
        <v>-0.47675</v>
      </c>
      <c r="AQ200" s="159" t="n">
        <v>3.94586</v>
      </c>
      <c r="AR200" s="159" t="n"/>
      <c r="AS200" s="159" t="n"/>
      <c r="AT200" s="159" t="n">
        <v>3.9</v>
      </c>
      <c r="AU200" s="159" t="n">
        <v>104.2</v>
      </c>
      <c r="AV200" s="159" t="n"/>
      <c r="AW200" s="159" t="n">
        <v>100.972</v>
      </c>
      <c r="AX200" s="159" t="n">
        <v>114.335</v>
      </c>
      <c r="AY200" s="159" t="n">
        <v>4.576039992</v>
      </c>
      <c r="AZ200" s="159" t="n">
        <v>5.315626692</v>
      </c>
      <c r="BA200" s="159" t="n">
        <v>9.441531455</v>
      </c>
      <c r="BB200" s="159" t="n">
        <v>4.613197878</v>
      </c>
      <c r="BC200" s="159" t="n">
        <v>4.922168313</v>
      </c>
    </row>
    <row r="201">
      <c r="A201" s="83" t="inlineStr">
        <is>
          <t>2022-03</t>
        </is>
      </c>
      <c r="B201" s="155" t="n">
        <v>3807.170968</v>
      </c>
      <c r="C201" s="155" t="n">
        <v>168.92</v>
      </c>
      <c r="D201" s="155" t="n">
        <v>733.95</v>
      </c>
      <c r="E201" s="155" t="n">
        <v>8693.889999999999</v>
      </c>
      <c r="F201" s="152" t="n">
        <v>4</v>
      </c>
      <c r="G201" s="152" t="n">
        <v>0.2</v>
      </c>
      <c r="H201" s="152" t="n">
        <v>3.8</v>
      </c>
      <c r="I201" s="156" t="n">
        <v>-9535.658323</v>
      </c>
      <c r="J201" s="152" t="n">
        <v>5.78623551</v>
      </c>
      <c r="K201" s="152" t="n">
        <v>116.2908391</v>
      </c>
      <c r="L201" s="152" t="n">
        <v>26.96869565</v>
      </c>
      <c r="M201" s="157" t="n">
        <v>0</v>
      </c>
      <c r="N201" s="155" t="n">
        <v>58003.92</v>
      </c>
      <c r="O201" s="152" t="n">
        <v>364.4782609</v>
      </c>
      <c r="P201" s="152" t="n">
        <v>3.644782609</v>
      </c>
      <c r="Q201" s="156" t="n">
        <v>31.09</v>
      </c>
      <c r="R201" s="156" t="n">
        <v>-1198.99</v>
      </c>
      <c r="S201" s="152" t="n">
        <v>9.442272727000001</v>
      </c>
      <c r="T201" s="152" t="n">
        <v>3.193636364</v>
      </c>
      <c r="U201" s="152" t="n">
        <v>6.248636364</v>
      </c>
      <c r="V201" s="152" t="n">
        <v>3.342730429</v>
      </c>
      <c r="W201" s="152" t="n">
        <v>2.905905935</v>
      </c>
      <c r="X201" s="158" t="n">
        <v>4.975517391</v>
      </c>
      <c r="Y201" s="158" t="n">
        <v>798.4104435</v>
      </c>
      <c r="Z201" s="158" t="n">
        <v>20.49295391</v>
      </c>
      <c r="AA201" s="158" t="n">
        <v>3.738621739</v>
      </c>
      <c r="AB201" s="159" t="n">
        <v>-0.5771004569</v>
      </c>
      <c r="AC201" s="159" t="n">
        <v>-0.7099007107</v>
      </c>
      <c r="AD201" s="159" t="n">
        <v>119.5237611</v>
      </c>
      <c r="AE201" s="159" t="n">
        <v>116.26</v>
      </c>
      <c r="AF201" s="159" t="n">
        <v>-0.718696</v>
      </c>
      <c r="AG201" s="159" t="n">
        <v>-1.30174</v>
      </c>
      <c r="AH201" s="159" t="n">
        <v>1.90957</v>
      </c>
      <c r="AI201" s="159" t="n">
        <v>2.12783</v>
      </c>
      <c r="AJ201" s="159" t="n">
        <v>0.218261</v>
      </c>
      <c r="AK201" s="159" t="n">
        <v>3.41087</v>
      </c>
      <c r="AL201" s="159" t="n">
        <v>2.84652</v>
      </c>
      <c r="AM201" s="159" t="n">
        <v>294.549</v>
      </c>
      <c r="AN201" s="159" t="n">
        <v>-0.114125</v>
      </c>
      <c r="AO201" s="159" t="n">
        <v>-0.386</v>
      </c>
      <c r="AP201" s="159" t="n">
        <v>-0.306</v>
      </c>
      <c r="AQ201" s="159" t="n">
        <v>3.75746</v>
      </c>
      <c r="AR201" s="159" t="n"/>
      <c r="AS201" s="159" t="n"/>
      <c r="AT201" s="159" t="n">
        <v>3.7</v>
      </c>
      <c r="AU201" s="159" t="n">
        <v>104.7</v>
      </c>
      <c r="AV201" s="159" t="n">
        <v>105</v>
      </c>
      <c r="AW201" s="159" t="n">
        <v>100.811</v>
      </c>
      <c r="AX201" s="159" t="n">
        <v>114.335</v>
      </c>
      <c r="AY201" s="159" t="n">
        <v>4.764265762</v>
      </c>
      <c r="AZ201" s="159" t="n">
        <v>5.480113785</v>
      </c>
      <c r="BA201" s="159" t="n">
        <v>9.447307929999999</v>
      </c>
      <c r="BB201" s="159" t="n">
        <v>4.61898433</v>
      </c>
      <c r="BC201" s="159" t="n">
        <v>4.935193099</v>
      </c>
    </row>
    <row r="202">
      <c r="A202" s="83" t="inlineStr">
        <is>
          <t>2022-04</t>
        </is>
      </c>
      <c r="B202" s="155" t="n">
        <v>3792.982</v>
      </c>
      <c r="C202" s="155" t="n">
        <v>174.49</v>
      </c>
      <c r="D202" s="155" t="n">
        <v>754.84</v>
      </c>
      <c r="E202" s="155" t="n">
        <v>8739.57</v>
      </c>
      <c r="F202" s="152" t="n">
        <v>5</v>
      </c>
      <c r="G202" s="152" t="n">
        <v>0.33</v>
      </c>
      <c r="H202" s="152" t="n">
        <v>4.67</v>
      </c>
      <c r="I202" s="156" t="n">
        <v>222.4787016</v>
      </c>
      <c r="J202" s="152" t="n">
        <v>5.387696326</v>
      </c>
      <c r="K202" s="152" t="n">
        <v>117.1687952</v>
      </c>
      <c r="L202" s="152" t="n">
        <v>24.3735</v>
      </c>
      <c r="M202" s="157" t="n">
        <v>0</v>
      </c>
      <c r="N202" s="155" t="n">
        <v>57473.73</v>
      </c>
      <c r="O202" s="152" t="n">
        <v>344.4761905</v>
      </c>
      <c r="P202" s="152" t="n">
        <v>3.444761905</v>
      </c>
      <c r="Q202" s="156" t="n">
        <v>323.79</v>
      </c>
      <c r="R202" s="156" t="n">
        <v>-1836.83</v>
      </c>
      <c r="S202" s="152" t="n">
        <v>9.471052631999999</v>
      </c>
      <c r="T202" s="152" t="n">
        <v>3.439473684</v>
      </c>
      <c r="U202" s="152" t="n">
        <v>6.031578947</v>
      </c>
      <c r="V202" s="152" t="n">
        <v>3.266240025</v>
      </c>
      <c r="W202" s="152" t="n">
        <v>2.765338923</v>
      </c>
      <c r="X202" s="158" t="n">
        <v>4.750071429</v>
      </c>
      <c r="Y202" s="158" t="n">
        <v>818.9242857</v>
      </c>
      <c r="Z202" s="158" t="n">
        <v>20.0125719</v>
      </c>
      <c r="AA202" s="158" t="n">
        <v>3.741005263</v>
      </c>
      <c r="AB202" s="159" t="n">
        <v>-0.4918526605</v>
      </c>
      <c r="AC202" s="159" t="n">
        <v>-0.3536068624</v>
      </c>
      <c r="AD202" s="159" t="n">
        <v>119.6593199</v>
      </c>
      <c r="AE202" s="159" t="n">
        <v>117.71</v>
      </c>
      <c r="AF202" s="159" t="n">
        <v>-0.1365</v>
      </c>
      <c r="AG202" s="159" t="n">
        <v>-0.538</v>
      </c>
      <c r="AH202" s="159" t="n">
        <v>2.538</v>
      </c>
      <c r="AI202" s="159" t="n">
        <v>2.7475</v>
      </c>
      <c r="AJ202" s="159" t="n">
        <v>0.2095</v>
      </c>
      <c r="AK202" s="159" t="n">
        <v>3.3155</v>
      </c>
      <c r="AL202" s="159" t="n">
        <v>2.884</v>
      </c>
      <c r="AM202" s="159" t="n">
        <v>266.729</v>
      </c>
      <c r="AN202" s="159" t="n">
        <v>-0.26106</v>
      </c>
      <c r="AO202" s="159" t="n">
        <v>-0.3538</v>
      </c>
      <c r="AP202" s="159" t="n">
        <v>-0.3012</v>
      </c>
      <c r="AQ202" s="159" t="n">
        <v>3.68354</v>
      </c>
      <c r="AR202" s="159" t="n"/>
      <c r="AS202" s="159" t="n"/>
      <c r="AT202" s="159" t="n">
        <v>3.7</v>
      </c>
      <c r="AU202" s="159" t="n">
        <v>104.8</v>
      </c>
      <c r="AV202" s="159" t="n">
        <v>97.09999999999999</v>
      </c>
      <c r="AW202" s="159" t="n">
        <v>100.669</v>
      </c>
      <c r="AX202" s="159" t="n">
        <v>114.781</v>
      </c>
      <c r="AY202" s="159" t="n">
        <v>4.649904517</v>
      </c>
      <c r="AZ202" s="159" t="n">
        <v>5.43060799</v>
      </c>
      <c r="BA202" s="159" t="n">
        <v>9.451402423999999</v>
      </c>
      <c r="BB202" s="159" t="n">
        <v>4.619467491</v>
      </c>
      <c r="BC202" s="159" t="n">
        <v>4.930148043</v>
      </c>
    </row>
    <row r="203">
      <c r="A203" s="83" t="inlineStr">
        <is>
          <t>2022-05</t>
        </is>
      </c>
      <c r="B203" s="155" t="n">
        <v>4019.079355</v>
      </c>
      <c r="C203" s="155" t="n">
        <v>164.26</v>
      </c>
      <c r="D203" s="155" t="n">
        <v>841.09</v>
      </c>
      <c r="E203" s="155" t="n">
        <v>8821.49</v>
      </c>
      <c r="F203" s="152" t="n">
        <v>5.967741935</v>
      </c>
      <c r="G203" s="152" t="n">
        <v>0.77</v>
      </c>
      <c r="H203" s="152" t="n">
        <v>5.197741935</v>
      </c>
      <c r="I203" s="156" t="n">
        <v>-2825.785652</v>
      </c>
      <c r="J203" s="152" t="n">
        <v>5.298016658</v>
      </c>
      <c r="K203" s="152" t="n">
        <v>119.6961905</v>
      </c>
      <c r="L203" s="152" t="n">
        <v>29.31363636</v>
      </c>
      <c r="M203" s="157" t="n">
        <v>0</v>
      </c>
      <c r="N203" s="155" t="n">
        <v>57628.59</v>
      </c>
      <c r="O203" s="152" t="n">
        <v>383.0454545</v>
      </c>
      <c r="P203" s="152" t="n">
        <v>3.830454545</v>
      </c>
      <c r="Q203" s="156" t="n">
        <v>80.43000000000001</v>
      </c>
      <c r="R203" s="156" t="n">
        <v>-1121.92</v>
      </c>
      <c r="S203" s="152" t="n">
        <v>10.70428571</v>
      </c>
      <c r="T203" s="152" t="n">
        <v>3.927619048</v>
      </c>
      <c r="U203" s="152" t="n">
        <v>6.776666667</v>
      </c>
      <c r="V203" s="152" t="n">
        <v>3.010319063</v>
      </c>
      <c r="W203" s="152" t="n">
        <v>3.766347604</v>
      </c>
      <c r="X203" s="158" t="n">
        <v>4.95475</v>
      </c>
      <c r="Y203" s="158" t="n">
        <v>848.2588545</v>
      </c>
      <c r="Z203" s="158" t="n">
        <v>19.97522409</v>
      </c>
      <c r="AA203" s="158" t="n">
        <v>3.757277273</v>
      </c>
      <c r="AB203" s="159" t="n">
        <v>0.6975517018</v>
      </c>
      <c r="AC203" s="159" t="n">
        <v>0.6129228175</v>
      </c>
      <c r="AD203" s="159" t="n">
        <v>119.8368187</v>
      </c>
      <c r="AE203" s="159" t="n">
        <v>118.7</v>
      </c>
      <c r="AF203" s="159" t="n">
        <v>0.209524</v>
      </c>
      <c r="AG203" s="159" t="n">
        <v>-0.152857</v>
      </c>
      <c r="AH203" s="159" t="n">
        <v>2.61667</v>
      </c>
      <c r="AI203" s="159" t="n">
        <v>2.8981</v>
      </c>
      <c r="AJ203" s="159" t="n">
        <v>0.281429</v>
      </c>
      <c r="AK203" s="159" t="n">
        <v>3.02714</v>
      </c>
      <c r="AL203" s="159" t="n">
        <v>2.68857</v>
      </c>
      <c r="AM203" s="159" t="n">
        <v>272.077</v>
      </c>
      <c r="AN203" s="159" t="n">
        <v>0.346875</v>
      </c>
      <c r="AO203" s="159" t="n">
        <v>-0.28375</v>
      </c>
      <c r="AP203" s="159" t="n">
        <v>-0.16725</v>
      </c>
      <c r="AQ203" s="159" t="n">
        <v>3.626</v>
      </c>
      <c r="AR203" s="159" t="n"/>
      <c r="AS203" s="159" t="n"/>
      <c r="AT203" s="159" t="n">
        <v>3.6</v>
      </c>
      <c r="AU203" s="159" t="n">
        <v>104.6</v>
      </c>
      <c r="AV203" s="159" t="n">
        <v>100.7</v>
      </c>
      <c r="AW203" s="159" t="n">
        <v>100.541</v>
      </c>
      <c r="AX203" s="159" t="n">
        <v>114.558</v>
      </c>
      <c r="AY203" s="159" t="n">
        <v>4.730374505</v>
      </c>
      <c r="AZ203" s="159" t="n">
        <v>5.421994111</v>
      </c>
      <c r="BA203" s="159" t="n">
        <v>9.452109387</v>
      </c>
      <c r="BB203" s="159" t="n">
        <v>4.618421992</v>
      </c>
      <c r="BC203" s="159" t="n">
        <v>4.92797806</v>
      </c>
    </row>
    <row r="204">
      <c r="A204" s="83" t="inlineStr">
        <is>
          <t>2022-06</t>
        </is>
      </c>
      <c r="B204" s="155" t="n">
        <v>3930.766667</v>
      </c>
      <c r="C204" s="155" t="n">
        <v>194.14</v>
      </c>
      <c r="D204" s="155" t="n">
        <v>821.59</v>
      </c>
      <c r="E204" s="155" t="n">
        <v>8944.07</v>
      </c>
      <c r="F204" s="152" t="n">
        <v>6</v>
      </c>
      <c r="G204" s="152" t="n">
        <v>1.21</v>
      </c>
      <c r="H204" s="152" t="n">
        <v>4.79</v>
      </c>
      <c r="I204" s="156" t="n">
        <v>-13728.02858</v>
      </c>
      <c r="J204" s="152" t="n">
        <v>5.517064225</v>
      </c>
      <c r="K204" s="152" t="n">
        <v>120.0257095</v>
      </c>
      <c r="L204" s="152" t="n">
        <v>28.23318182</v>
      </c>
      <c r="M204" s="157" t="n">
        <v>0</v>
      </c>
      <c r="N204" s="155" t="n">
        <v>57164.46</v>
      </c>
      <c r="O204" s="152" t="n">
        <v>388.7272727</v>
      </c>
      <c r="P204" s="152" t="n">
        <v>3.887272727</v>
      </c>
      <c r="Q204" s="156" t="n">
        <v>140.01</v>
      </c>
      <c r="R204" s="156" t="n">
        <v>-1425.48</v>
      </c>
      <c r="S204" s="152" t="n">
        <v>11.0575</v>
      </c>
      <c r="T204" s="152" t="n">
        <v>4.6795</v>
      </c>
      <c r="U204" s="152" t="n">
        <v>6.378</v>
      </c>
      <c r="V204" s="152" t="n">
        <v>2.863523813</v>
      </c>
      <c r="W204" s="152" t="n">
        <v>3.514476187</v>
      </c>
      <c r="X204" s="158" t="n">
        <v>5.051759091</v>
      </c>
      <c r="Y204" s="158" t="n">
        <v>867.3395318</v>
      </c>
      <c r="Z204" s="158" t="n">
        <v>19.95293318</v>
      </c>
      <c r="AA204" s="158" t="n">
        <v>3.748438095</v>
      </c>
      <c r="AB204" s="159" t="n">
        <v>0.3376256081</v>
      </c>
      <c r="AC204" s="159" t="n">
        <v>0.2083099663</v>
      </c>
      <c r="AD204" s="159" t="n">
        <v>119.4564891</v>
      </c>
      <c r="AE204" s="159" t="n">
        <v>119.31</v>
      </c>
      <c r="AF204" s="159" t="n">
        <v>0.525714</v>
      </c>
      <c r="AG204" s="159" t="n">
        <v>0.296667</v>
      </c>
      <c r="AH204" s="159" t="n">
        <v>2.9981</v>
      </c>
      <c r="AI204" s="159" t="n">
        <v>3.14333</v>
      </c>
      <c r="AJ204" s="159" t="n">
        <v>0.145238</v>
      </c>
      <c r="AK204" s="159" t="n">
        <v>2.89333</v>
      </c>
      <c r="AL204" s="159" t="n">
        <v>2.61762</v>
      </c>
      <c r="AM204" s="159" t="n">
        <v>244.38</v>
      </c>
      <c r="AN204" s="159" t="n">
        <v>0.054975</v>
      </c>
      <c r="AO204" s="159" t="n">
        <v>-0.1935</v>
      </c>
      <c r="AP204" s="159" t="n">
        <v>-0.06625</v>
      </c>
      <c r="AQ204" s="159" t="n">
        <v>3.67399</v>
      </c>
      <c r="AR204" s="159" t="n"/>
      <c r="AS204" s="159" t="n"/>
      <c r="AT204" s="159" t="n">
        <v>3.6</v>
      </c>
      <c r="AU204" s="159" t="n">
        <v>104.3</v>
      </c>
      <c r="AV204" s="159" t="n">
        <v>103.9</v>
      </c>
      <c r="AW204" s="159" t="n">
        <v>100.419</v>
      </c>
      <c r="AX204" s="159" t="n">
        <v>114.558</v>
      </c>
      <c r="AY204" s="159" t="n">
        <v>4.809831997</v>
      </c>
      <c r="AZ204" s="159" t="n">
        <v>5.445067875</v>
      </c>
      <c r="BA204" s="159" t="n">
        <v>9.454618996000001</v>
      </c>
      <c r="BB204" s="159" t="n">
        <v>4.615298719</v>
      </c>
      <c r="BC204" s="159" t="n">
        <v>4.929425239</v>
      </c>
    </row>
    <row r="205">
      <c r="A205" s="83" t="inlineStr">
        <is>
          <t>2022-07</t>
        </is>
      </c>
      <c r="B205" s="155" t="n">
        <v>4367.805806</v>
      </c>
      <c r="C205" s="155" t="n">
        <v>189.5</v>
      </c>
      <c r="D205" s="155" t="n">
        <v>889.45</v>
      </c>
      <c r="E205" s="155" t="n">
        <v>9091.92</v>
      </c>
      <c r="F205" s="152" t="n">
        <v>7.5</v>
      </c>
      <c r="G205" s="152" t="n">
        <v>1.68</v>
      </c>
      <c r="H205" s="152" t="n">
        <v>5.82</v>
      </c>
      <c r="I205" s="156" t="n">
        <v>-6723.770522</v>
      </c>
      <c r="J205" s="152" t="n">
        <v>5.416419004</v>
      </c>
      <c r="K205" s="152" t="n">
        <v>122.7512</v>
      </c>
      <c r="L205" s="152" t="n">
        <v>24.9952381</v>
      </c>
      <c r="M205" s="157" t="n">
        <v>0</v>
      </c>
      <c r="N205" s="155" t="n">
        <v>57349.41</v>
      </c>
      <c r="O205" s="152" t="n">
        <v>437.8571429</v>
      </c>
      <c r="P205" s="152" t="n">
        <v>4.378571429</v>
      </c>
      <c r="Q205" s="156" t="n">
        <v>141.22</v>
      </c>
      <c r="R205" s="156" t="n">
        <v>-1271.19</v>
      </c>
      <c r="S205" s="152" t="n">
        <v>12.09105263</v>
      </c>
      <c r="T205" s="152" t="n">
        <v>5.413684211</v>
      </c>
      <c r="U205" s="152" t="n">
        <v>6.677368421</v>
      </c>
      <c r="V205" s="152" t="n">
        <v>2.532545006</v>
      </c>
      <c r="W205" s="152" t="n">
        <v>4.144823415</v>
      </c>
      <c r="X205" s="158" t="n">
        <v>5.367771429</v>
      </c>
      <c r="Y205" s="158" t="n">
        <v>951.3871381</v>
      </c>
      <c r="Z205" s="158" t="n">
        <v>20.47002476</v>
      </c>
      <c r="AA205" s="158" t="n">
        <v>3.903436842</v>
      </c>
      <c r="AB205" s="159" t="n">
        <v>1.909497503</v>
      </c>
      <c r="AC205" s="159" t="n">
        <v>2.249536018</v>
      </c>
      <c r="AD205" s="159" t="n">
        <v>118.5344917</v>
      </c>
      <c r="AE205" s="159" t="n">
        <v>120.27</v>
      </c>
      <c r="AF205" s="159" t="n">
        <v>0.534</v>
      </c>
      <c r="AG205" s="159" t="n">
        <v>0.38</v>
      </c>
      <c r="AH205" s="159" t="n">
        <v>3.036</v>
      </c>
      <c r="AI205" s="159" t="n">
        <v>2.896</v>
      </c>
      <c r="AJ205" s="159" t="n">
        <v>-0.14</v>
      </c>
      <c r="AK205" s="159" t="n">
        <v>2.5835</v>
      </c>
      <c r="AL205" s="159" t="n">
        <v>2.362</v>
      </c>
      <c r="AM205" s="159" t="n">
        <v>289.096</v>
      </c>
      <c r="AN205" s="159" t="n">
        <v>0.13718</v>
      </c>
      <c r="AO205" s="159" t="n">
        <v>-0.1794</v>
      </c>
      <c r="AP205" s="159" t="n">
        <v>-0.0998</v>
      </c>
      <c r="AQ205" s="159" t="n">
        <v>3.53305</v>
      </c>
      <c r="AR205" s="159" t="n"/>
      <c r="AS205" s="159" t="n"/>
      <c r="AT205" s="159" t="n">
        <v>3.5</v>
      </c>
      <c r="AU205" s="159" t="n">
        <v>104.2</v>
      </c>
      <c r="AV205" s="159" t="n">
        <v>103.8</v>
      </c>
      <c r="AW205" s="159" t="n">
        <v>100.291</v>
      </c>
      <c r="AX205" s="159" t="n">
        <v>115.116</v>
      </c>
      <c r="AY205" s="159" t="n">
        <v>4.717837939</v>
      </c>
      <c r="AZ205" s="159" t="n">
        <v>5.435781018</v>
      </c>
      <c r="BA205" s="159" t="n">
        <v>9.45720045</v>
      </c>
      <c r="BB205" s="159" t="n">
        <v>4.617326004</v>
      </c>
      <c r="BC205" s="159" t="n">
        <v>4.920710587</v>
      </c>
    </row>
    <row r="206">
      <c r="A206" s="83" t="inlineStr">
        <is>
          <t>2022-08</t>
        </is>
      </c>
      <c r="B206" s="155" t="n">
        <v>4322.469355</v>
      </c>
      <c r="C206" s="155" t="n">
        <v>161.64</v>
      </c>
      <c r="D206" s="155" t="n">
        <v>769.4400000000001</v>
      </c>
      <c r="E206" s="155" t="n">
        <v>9116.93</v>
      </c>
      <c r="F206" s="152" t="n">
        <v>9</v>
      </c>
      <c r="G206" s="152" t="n">
        <v>2.33</v>
      </c>
      <c r="H206" s="152" t="n">
        <v>6.67</v>
      </c>
      <c r="I206" s="156" t="n">
        <v>-9665.237655999999</v>
      </c>
      <c r="J206" s="152" t="n">
        <v>6.403271638</v>
      </c>
      <c r="K206" s="152" t="n">
        <v>122.3177522</v>
      </c>
      <c r="L206" s="152" t="n">
        <v>22.16956522</v>
      </c>
      <c r="M206" s="157" t="n">
        <v>0</v>
      </c>
      <c r="N206" s="155" t="n">
        <v>56982.62</v>
      </c>
      <c r="O206" s="152" t="n">
        <v>400.2608696</v>
      </c>
      <c r="P206" s="152" t="n">
        <v>4.002608696</v>
      </c>
      <c r="Q206" s="156" t="n">
        <v>69.19</v>
      </c>
      <c r="R206" s="156" t="n">
        <v>-1667.9</v>
      </c>
      <c r="S206" s="152" t="n">
        <v>11.66636364</v>
      </c>
      <c r="T206" s="152" t="n">
        <v>5.264545455</v>
      </c>
      <c r="U206" s="152" t="n">
        <v>6.401818182</v>
      </c>
      <c r="V206" s="152" t="n">
        <v>2.704795651</v>
      </c>
      <c r="W206" s="152" t="n">
        <v>3.697022531</v>
      </c>
      <c r="X206" s="158" t="n">
        <v>5.142995652</v>
      </c>
      <c r="Y206" s="158" t="n">
        <v>902.2732696</v>
      </c>
      <c r="Z206" s="158" t="n">
        <v>20.07445652</v>
      </c>
      <c r="AA206" s="158" t="n">
        <v>3.873559091</v>
      </c>
      <c r="AB206" s="159" t="n">
        <v>-1.387121965</v>
      </c>
      <c r="AC206" s="159" t="n">
        <v>-1.19242059</v>
      </c>
      <c r="AD206" s="159" t="n">
        <v>120.3709746</v>
      </c>
      <c r="AE206" s="159" t="n">
        <v>121.5</v>
      </c>
      <c r="AF206" s="159" t="n">
        <v>0.389565</v>
      </c>
      <c r="AG206" s="159" t="n">
        <v>0.343478</v>
      </c>
      <c r="AH206" s="159" t="n">
        <v>3.25</v>
      </c>
      <c r="AI206" s="159" t="n">
        <v>2.89783</v>
      </c>
      <c r="AJ206" s="159" t="n">
        <v>-0.352174</v>
      </c>
      <c r="AK206" s="159" t="n">
        <v>2.68391</v>
      </c>
      <c r="AL206" s="159" t="n">
        <v>2.50826</v>
      </c>
      <c r="AM206" s="159" t="n">
        <v>233.461</v>
      </c>
      <c r="AN206" s="159" t="n">
        <v>-0.360525</v>
      </c>
      <c r="AO206" s="159" t="n">
        <v>-0.22775</v>
      </c>
      <c r="AP206" s="159" t="n">
        <v>-0.20925</v>
      </c>
      <c r="AQ206" s="159" t="n">
        <v>3.6465</v>
      </c>
      <c r="AR206" s="159" t="n"/>
      <c r="AS206" s="159" t="n"/>
      <c r="AT206" s="159" t="n">
        <v>3.6</v>
      </c>
      <c r="AU206" s="159" t="n">
        <v>104.1</v>
      </c>
      <c r="AV206" s="159" t="n">
        <v>104.2</v>
      </c>
      <c r="AW206" s="159" t="n">
        <v>100.151</v>
      </c>
      <c r="AX206" s="159" t="n">
        <v>115.004</v>
      </c>
      <c r="AY206" s="159" t="n">
        <v>4.60962027</v>
      </c>
      <c r="AZ206" s="159" t="n">
        <v>5.488669095</v>
      </c>
      <c r="BA206" s="159" t="n">
        <v>9.459697329999999</v>
      </c>
      <c r="BB206" s="159" t="n">
        <v>4.61607056</v>
      </c>
      <c r="BC206" s="159" t="n">
        <v>4.925803359</v>
      </c>
    </row>
    <row r="207">
      <c r="A207" s="83" t="inlineStr">
        <is>
          <t>2022-09</t>
        </is>
      </c>
      <c r="B207" s="155" t="n">
        <v>4433.651</v>
      </c>
      <c r="C207" s="155" t="n">
        <v>171.86</v>
      </c>
      <c r="D207" s="155" t="n">
        <v>750.95</v>
      </c>
      <c r="E207" s="155" t="n">
        <v>9185.040000000001</v>
      </c>
      <c r="F207" s="152" t="n">
        <v>9.033333333</v>
      </c>
      <c r="G207" s="152" t="n">
        <v>2.56</v>
      </c>
      <c r="H207" s="152" t="n">
        <v>6.473333333</v>
      </c>
      <c r="I207" s="156" t="n">
        <v>775.7208097</v>
      </c>
      <c r="J207" s="152" t="n">
        <v>6.268715719</v>
      </c>
      <c r="K207" s="152" t="n">
        <v>125.5946</v>
      </c>
      <c r="L207" s="152" t="n">
        <v>27.34181818</v>
      </c>
      <c r="M207" s="157" t="n">
        <v>0</v>
      </c>
      <c r="N207" s="155" t="n">
        <v>56326.34</v>
      </c>
      <c r="O207" s="152" t="n">
        <v>423.8181818</v>
      </c>
      <c r="P207" s="152" t="n">
        <v>4.238181818</v>
      </c>
      <c r="Q207" s="156" t="n">
        <v>33.19</v>
      </c>
      <c r="R207" s="156" t="n">
        <v>-1808.56</v>
      </c>
      <c r="S207" s="152" t="n">
        <v>12.31909091</v>
      </c>
      <c r="T207" s="152" t="n">
        <v>4.841363636</v>
      </c>
      <c r="U207" s="152" t="n">
        <v>7.477727273</v>
      </c>
      <c r="V207" s="152" t="n">
        <v>2.470857143</v>
      </c>
      <c r="W207" s="152" t="n">
        <v>5.006870129</v>
      </c>
      <c r="X207" s="158" t="n">
        <v>5.236013636</v>
      </c>
      <c r="Y207" s="158" t="n">
        <v>924.6438682</v>
      </c>
      <c r="Z207" s="158" t="n">
        <v>20.01561273</v>
      </c>
      <c r="AA207" s="158" t="n">
        <v>3.898959091</v>
      </c>
      <c r="AB207" s="159" t="n">
        <v>0.3305730855</v>
      </c>
      <c r="AC207" s="159" t="n">
        <v>0.3818507321</v>
      </c>
      <c r="AD207" s="159" t="n">
        <v>121.6379485</v>
      </c>
      <c r="AE207" s="159" t="n">
        <v>122.63</v>
      </c>
      <c r="AF207" s="159" t="n">
        <v>1.13667</v>
      </c>
      <c r="AG207" s="159" t="n">
        <v>1.24619</v>
      </c>
      <c r="AH207" s="159" t="n">
        <v>3.85667</v>
      </c>
      <c r="AI207" s="159" t="n">
        <v>3.51905</v>
      </c>
      <c r="AJ207" s="159" t="n">
        <v>-0.337619</v>
      </c>
      <c r="AK207" s="159" t="n">
        <v>2.45048</v>
      </c>
      <c r="AL207" s="159" t="n">
        <v>2.38238</v>
      </c>
      <c r="AM207" s="159" t="n">
        <v>246.583</v>
      </c>
      <c r="AN207" s="159" t="n">
        <v>-0.04338</v>
      </c>
      <c r="AO207" s="159" t="n">
        <v>-0.1446</v>
      </c>
      <c r="AP207" s="159" t="n">
        <v>-0.1278</v>
      </c>
      <c r="AQ207" s="159" t="n">
        <v>3.52616</v>
      </c>
      <c r="AR207" s="159" t="n"/>
      <c r="AS207" s="159" t="n"/>
      <c r="AT207" s="159" t="n">
        <v>3.5</v>
      </c>
      <c r="AU207" s="159" t="n">
        <v>104.1</v>
      </c>
      <c r="AV207" s="159" t="n">
        <v>106.3</v>
      </c>
      <c r="AW207" s="159" t="n">
        <v>99.997</v>
      </c>
      <c r="AX207" s="159" t="n">
        <v>115.339</v>
      </c>
      <c r="AY207" s="159" t="n">
        <v>4.497192916</v>
      </c>
      <c r="AZ207" s="159" t="n">
        <v>5.393722996</v>
      </c>
      <c r="BA207" s="159" t="n">
        <v>9.461021265999999</v>
      </c>
      <c r="BB207" s="159" t="n">
        <v>4.618007435</v>
      </c>
      <c r="BC207" s="159" t="n">
        <v>4.929425239</v>
      </c>
    </row>
    <row r="208">
      <c r="A208" s="83" t="inlineStr">
        <is>
          <t>2022-10</t>
        </is>
      </c>
      <c r="B208" s="155" t="n">
        <v>4711.830323</v>
      </c>
      <c r="C208" s="155" t="n">
        <v>169.15</v>
      </c>
      <c r="D208" s="155" t="n">
        <v>894.34</v>
      </c>
      <c r="E208" s="155" t="n">
        <v>9415.360000000001</v>
      </c>
      <c r="F208" s="152" t="n">
        <v>10.03225806</v>
      </c>
      <c r="G208" s="152" t="n">
        <v>3.08</v>
      </c>
      <c r="H208" s="152" t="n">
        <v>6.952258065</v>
      </c>
      <c r="I208" s="156" t="n">
        <v>-7519.731175</v>
      </c>
      <c r="J208" s="152" t="n">
        <v>5.804178868</v>
      </c>
      <c r="K208" s="152" t="n">
        <v>127.480605</v>
      </c>
      <c r="L208" s="152" t="n">
        <v>30.00571429</v>
      </c>
      <c r="M208" s="157" t="n">
        <v>0</v>
      </c>
      <c r="N208" s="155" t="n">
        <v>56380.08</v>
      </c>
      <c r="O208" s="152" t="n">
        <v>470.8571429</v>
      </c>
      <c r="P208" s="152" t="n">
        <v>4.708571429</v>
      </c>
      <c r="Q208" s="156" t="n">
        <v>169.15</v>
      </c>
      <c r="R208" s="156" t="n">
        <v>-1293</v>
      </c>
      <c r="S208" s="152" t="n">
        <v>13.5135</v>
      </c>
      <c r="T208" s="152" t="n">
        <v>5.5105</v>
      </c>
      <c r="U208" s="152" t="n">
        <v>8.003</v>
      </c>
      <c r="V208" s="152" t="n">
        <v>2.443115032</v>
      </c>
      <c r="W208" s="152" t="n">
        <v>5.559884968</v>
      </c>
      <c r="X208" s="158" t="n">
        <v>5.247928571</v>
      </c>
      <c r="Y208" s="158" t="n">
        <v>953.295719</v>
      </c>
      <c r="Z208" s="158" t="n">
        <v>19.95526238</v>
      </c>
      <c r="AA208" s="158" t="n">
        <v>3.979347619</v>
      </c>
      <c r="AB208" s="159" t="n">
        <v>0.2624688373</v>
      </c>
      <c r="AC208" s="159" t="n">
        <v>0.6097906839</v>
      </c>
      <c r="AD208" s="159" t="n">
        <v>120.2795933</v>
      </c>
      <c r="AE208" s="159" t="n">
        <v>123.51</v>
      </c>
      <c r="AF208" s="159" t="n">
        <v>1.59</v>
      </c>
      <c r="AG208" s="159" t="n">
        <v>1.7075</v>
      </c>
      <c r="AH208" s="159" t="n">
        <v>4.375</v>
      </c>
      <c r="AI208" s="159" t="n">
        <v>3.9835</v>
      </c>
      <c r="AJ208" s="159" t="n">
        <v>-0.3915</v>
      </c>
      <c r="AK208" s="159" t="n">
        <v>2.4705</v>
      </c>
      <c r="AL208" s="159" t="n">
        <v>2.3935</v>
      </c>
      <c r="AM208" s="159" t="n">
        <v>262.009</v>
      </c>
      <c r="AN208" s="159" t="n">
        <v>0.00805</v>
      </c>
      <c r="AO208" s="159" t="n">
        <v>-0.09925</v>
      </c>
      <c r="AP208" s="159" t="n">
        <v>-0.036</v>
      </c>
      <c r="AQ208" s="159" t="n">
        <v>3.65498</v>
      </c>
      <c r="AR208" s="159" t="n"/>
      <c r="AS208" s="159" t="n"/>
      <c r="AT208" s="159" t="n">
        <v>3.6</v>
      </c>
      <c r="AU208" s="159" t="n">
        <v>104.5</v>
      </c>
      <c r="AV208" s="159" t="n">
        <v>105</v>
      </c>
      <c r="AW208" s="159" t="n">
        <v>99.8291</v>
      </c>
      <c r="AX208" s="159" t="n">
        <v>115.45</v>
      </c>
      <c r="AY208" s="159" t="n">
        <v>4.536161957</v>
      </c>
      <c r="AZ208" s="159" t="n">
        <v>5.254166922</v>
      </c>
      <c r="BA208" s="159" t="n">
        <v>9.463663892</v>
      </c>
      <c r="BB208" s="159" t="n">
        <v>4.617622335</v>
      </c>
      <c r="BC208" s="159" t="n">
        <v>4.919980926</v>
      </c>
    </row>
    <row r="209">
      <c r="A209" s="83" t="inlineStr">
        <is>
          <t>2022-11</t>
        </is>
      </c>
      <c r="B209" s="155" t="n">
        <v>4926.660667</v>
      </c>
      <c r="C209" s="155" t="n">
        <v>168.11</v>
      </c>
      <c r="D209" s="155" t="n">
        <v>812.59</v>
      </c>
      <c r="E209" s="155" t="n">
        <v>9410.76</v>
      </c>
      <c r="F209" s="152" t="n">
        <v>11</v>
      </c>
      <c r="G209" s="152" t="n">
        <v>3.78</v>
      </c>
      <c r="H209" s="152" t="n">
        <v>7.22</v>
      </c>
      <c r="I209" s="156" t="n">
        <v>-5467.725894</v>
      </c>
      <c r="J209" s="152" t="n">
        <v>5.270243754</v>
      </c>
      <c r="K209" s="152" t="n">
        <v>124.85272</v>
      </c>
      <c r="L209" s="152" t="n">
        <v>23.29909091</v>
      </c>
      <c r="M209" s="157" t="n">
        <v>0</v>
      </c>
      <c r="N209" s="155" t="n">
        <v>56981.59</v>
      </c>
      <c r="O209" s="152" t="n">
        <v>416.7272727</v>
      </c>
      <c r="P209" s="152" t="n">
        <v>4.167272727</v>
      </c>
      <c r="Q209" s="156" t="n">
        <v>65.38</v>
      </c>
      <c r="R209" s="156" t="n">
        <v>-775.86</v>
      </c>
      <c r="S209" s="152" t="n">
        <v>13.391</v>
      </c>
      <c r="T209" s="152" t="n">
        <v>5.74</v>
      </c>
      <c r="U209" s="152" t="n">
        <v>7.651</v>
      </c>
      <c r="V209" s="152" t="n">
        <v>2.372730017</v>
      </c>
      <c r="W209" s="152" t="n">
        <v>5.278269983</v>
      </c>
      <c r="X209" s="158" t="n">
        <v>5.269895455</v>
      </c>
      <c r="Y209" s="158" t="n">
        <v>915.3527227</v>
      </c>
      <c r="Z209" s="158" t="n">
        <v>19.42906727</v>
      </c>
      <c r="AA209" s="158" t="n">
        <v>3.87657619</v>
      </c>
      <c r="AB209" s="159" t="n">
        <v>-0.8918695705</v>
      </c>
      <c r="AC209" s="159" t="n">
        <v>-1.192710941</v>
      </c>
      <c r="AD209" s="159" t="n">
        <v>117.2708313</v>
      </c>
      <c r="AE209" s="159" t="n">
        <v>124.46</v>
      </c>
      <c r="AF209" s="159" t="n">
        <v>1.52</v>
      </c>
      <c r="AG209" s="159" t="n">
        <v>1.611</v>
      </c>
      <c r="AH209" s="159" t="n">
        <v>4.5035</v>
      </c>
      <c r="AI209" s="159" t="n">
        <v>3.891</v>
      </c>
      <c r="AJ209" s="159" t="n">
        <v>-0.6125</v>
      </c>
      <c r="AK209" s="159" t="n">
        <v>2.4445</v>
      </c>
      <c r="AL209" s="159" t="n">
        <v>2.371</v>
      </c>
      <c r="AM209" s="159" t="n">
        <v>306.971</v>
      </c>
      <c r="AN209" s="159" t="n">
        <v>-0.281325</v>
      </c>
      <c r="AO209" s="159" t="n">
        <v>-0.158</v>
      </c>
      <c r="AP209" s="159" t="n">
        <v>-0.14725</v>
      </c>
      <c r="AQ209" s="159" t="n">
        <v>3.61526</v>
      </c>
      <c r="AR209" s="159" t="n"/>
      <c r="AS209" s="159" t="n"/>
      <c r="AT209" s="159" t="n">
        <v>3.6</v>
      </c>
      <c r="AU209" s="159" t="n">
        <v>104.4</v>
      </c>
      <c r="AV209" s="159" t="n">
        <v>102.2</v>
      </c>
      <c r="AW209" s="159" t="n">
        <v>99.654</v>
      </c>
      <c r="AX209" s="159" t="n">
        <v>115.227</v>
      </c>
      <c r="AY209" s="159" t="n">
        <v>4.515415048</v>
      </c>
      <c r="AZ209" s="159" t="n">
        <v>5.257693269</v>
      </c>
      <c r="BA209" s="159" t="n">
        <v>9.464672465</v>
      </c>
      <c r="BB209" s="159" t="n">
        <v>4.614674873</v>
      </c>
      <c r="BC209" s="159" t="n">
        <v>4.903050083</v>
      </c>
    </row>
    <row r="210">
      <c r="A210" s="83" t="inlineStr">
        <is>
          <t>2022-12</t>
        </is>
      </c>
      <c r="B210" s="155" t="n">
        <v>4788.490645</v>
      </c>
      <c r="C210" s="155" t="n">
        <v>161.8</v>
      </c>
      <c r="D210" s="155" t="n">
        <v>848.88</v>
      </c>
      <c r="E210" s="155" t="n">
        <v>9428.83</v>
      </c>
      <c r="F210" s="152" t="n">
        <v>11.41935484</v>
      </c>
      <c r="G210" s="152" t="n">
        <v>4.1</v>
      </c>
      <c r="H210" s="152" t="n">
        <v>7.319354839</v>
      </c>
      <c r="I210" s="156" t="n">
        <v>-15808.39626</v>
      </c>
      <c r="J210" s="152" t="n">
        <v>5.273643973</v>
      </c>
      <c r="K210" s="152" t="n">
        <v>122.2343286</v>
      </c>
      <c r="L210" s="152" t="n">
        <v>21.78428571</v>
      </c>
      <c r="M210" s="157" t="n">
        <v>0</v>
      </c>
      <c r="N210" s="155" t="n">
        <v>57269.16</v>
      </c>
      <c r="O210" s="152" t="n">
        <v>381.7727273</v>
      </c>
      <c r="P210" s="152" t="n">
        <v>3.817727273</v>
      </c>
      <c r="Q210" s="156" t="n">
        <v>-64.23999999999999</v>
      </c>
      <c r="R210" s="156" t="n">
        <v>-750.34</v>
      </c>
      <c r="S210" s="152" t="n">
        <v>12.722</v>
      </c>
      <c r="T210" s="152" t="n">
        <v>5.3615</v>
      </c>
      <c r="U210" s="152" t="n">
        <v>7.3605</v>
      </c>
      <c r="V210" s="152" t="n">
        <v>2.242285717</v>
      </c>
      <c r="W210" s="152" t="n">
        <v>5.118214283</v>
      </c>
      <c r="X210" s="158" t="n">
        <v>5.242127273</v>
      </c>
      <c r="Y210" s="158" t="n">
        <v>872.4404636</v>
      </c>
      <c r="Z210" s="158" t="n">
        <v>19.54254636</v>
      </c>
      <c r="AA210" s="158" t="n">
        <v>3.828975</v>
      </c>
      <c r="AB210" s="159" t="n">
        <v>-0.6806531827</v>
      </c>
      <c r="AC210" s="159" t="n">
        <v>-0.7565284383999999</v>
      </c>
      <c r="AD210" s="159" t="n">
        <v>119.5573991</v>
      </c>
      <c r="AE210" s="159" t="n">
        <v>126.03</v>
      </c>
      <c r="AF210" s="159" t="n">
        <v>1.35667</v>
      </c>
      <c r="AG210" s="159" t="n">
        <v>1.44762</v>
      </c>
      <c r="AH210" s="159" t="n">
        <v>4.28857</v>
      </c>
      <c r="AI210" s="159" t="n">
        <v>3.61619</v>
      </c>
      <c r="AJ210" s="159" t="n">
        <v>-0.672381</v>
      </c>
      <c r="AK210" s="159" t="n">
        <v>2.31667</v>
      </c>
      <c r="AL210" s="159" t="n">
        <v>2.25952</v>
      </c>
      <c r="AM210" s="159" t="n">
        <v>236.689</v>
      </c>
      <c r="AN210" s="159" t="n">
        <v>0.00632</v>
      </c>
      <c r="AO210" s="159" t="n">
        <v>-0.1948</v>
      </c>
      <c r="AP210" s="159" t="n">
        <v>-0.1864</v>
      </c>
      <c r="AQ210" s="159" t="n">
        <v>3.52048</v>
      </c>
      <c r="AR210" s="159" t="n"/>
      <c r="AS210" s="159" t="n"/>
      <c r="AT210" s="159" t="n">
        <v>3.5</v>
      </c>
      <c r="AU210" s="159" t="n">
        <v>104.2</v>
      </c>
      <c r="AV210" s="159" t="n">
        <v>101.3</v>
      </c>
      <c r="AW210" s="159" t="n">
        <v>99.48309999999999</v>
      </c>
      <c r="AX210" s="159" t="n">
        <v>115.116</v>
      </c>
      <c r="AY210" s="159" t="n">
        <v>4.393510443</v>
      </c>
      <c r="AZ210" s="159" t="n">
        <v>5.269583474</v>
      </c>
      <c r="BA210" s="159" t="n">
        <v>9.464594918</v>
      </c>
      <c r="BB210" s="159" t="n">
        <v>4.602831453</v>
      </c>
      <c r="BC210" s="159" t="n">
        <v>4.907494535</v>
      </c>
    </row>
    <row r="211">
      <c r="A211" s="83" t="inlineStr">
        <is>
          <t>2023-01</t>
        </is>
      </c>
      <c r="B211" s="155" t="n">
        <v>4715.203871</v>
      </c>
      <c r="C211" s="155" t="n">
        <v>160.16</v>
      </c>
      <c r="D211" s="155" t="n">
        <v>785.02</v>
      </c>
      <c r="E211" s="155" t="n">
        <v>9549.4</v>
      </c>
      <c r="F211" s="152" t="n">
        <v>12.0483871</v>
      </c>
      <c r="G211" s="152" t="n">
        <v>4.33</v>
      </c>
      <c r="H211" s="152" t="n">
        <v>7.718387097</v>
      </c>
      <c r="I211" s="156" t="n">
        <v>3235.982625</v>
      </c>
      <c r="J211" s="152" t="n">
        <v>4.838201575</v>
      </c>
      <c r="K211" s="152" t="n">
        <v>119.810065</v>
      </c>
      <c r="L211" s="152" t="n">
        <v>20.16904762</v>
      </c>
      <c r="M211" s="157" t="n">
        <v>0</v>
      </c>
      <c r="N211" s="155" t="n">
        <v>57772.25</v>
      </c>
      <c r="O211" s="152" t="n">
        <v>370.1818182</v>
      </c>
      <c r="P211" s="152" t="n">
        <v>3.701818182</v>
      </c>
      <c r="Q211" s="156" t="n">
        <v>24.05</v>
      </c>
      <c r="R211" s="156" t="n">
        <v>-863.3</v>
      </c>
      <c r="S211" s="152" t="n">
        <v>12.48047619</v>
      </c>
      <c r="T211" s="152" t="n">
        <v>4.881904762</v>
      </c>
      <c r="U211" s="152" t="n">
        <v>7.598571429</v>
      </c>
      <c r="V211" s="152" t="n">
        <v>2.148364985</v>
      </c>
      <c r="W211" s="152" t="n">
        <v>5.450206444</v>
      </c>
      <c r="X211" s="158" t="n">
        <v>5.200381818</v>
      </c>
      <c r="Y211" s="158" t="n">
        <v>825.0718136</v>
      </c>
      <c r="Z211" s="158" t="n">
        <v>18.94156545</v>
      </c>
      <c r="AA211" s="158" t="n">
        <v>3.833804762</v>
      </c>
      <c r="AB211" s="159" t="n">
        <v>-1.246400617</v>
      </c>
      <c r="AC211" s="159" t="n">
        <v>-0.9069825013</v>
      </c>
      <c r="AD211" s="159" t="n">
        <v>120.5275037</v>
      </c>
      <c r="AE211" s="159" t="n">
        <v>128.27</v>
      </c>
      <c r="AF211" s="159" t="n">
        <v>1.2945</v>
      </c>
      <c r="AG211" s="159" t="n">
        <v>1.409</v>
      </c>
      <c r="AH211" s="159" t="n">
        <v>4.2075</v>
      </c>
      <c r="AI211" s="159" t="n">
        <v>3.5315</v>
      </c>
      <c r="AJ211" s="159" t="n">
        <v>-0.676</v>
      </c>
      <c r="AK211" s="159" t="n">
        <v>2.234</v>
      </c>
      <c r="AL211" s="159" t="n">
        <v>2.237</v>
      </c>
      <c r="AM211" s="159" t="n">
        <v>215.843</v>
      </c>
      <c r="AN211" s="159" t="n">
        <v>-0.36375</v>
      </c>
      <c r="AO211" s="159" t="n">
        <v>-0.2745</v>
      </c>
      <c r="AP211" s="159" t="n">
        <v>-0.28325</v>
      </c>
      <c r="AQ211" s="159" t="n">
        <v>3.63858</v>
      </c>
      <c r="AR211" s="159" t="n"/>
      <c r="AS211" s="159" t="n"/>
      <c r="AT211" s="159" t="n">
        <v>3.5</v>
      </c>
      <c r="AU211" s="159" t="n">
        <v>103.7</v>
      </c>
      <c r="AV211" s="159" t="n"/>
      <c r="AW211" s="159" t="n">
        <v>99.32340000000001</v>
      </c>
      <c r="AX211" s="159" t="n">
        <v>116.008</v>
      </c>
      <c r="AY211" s="159" t="n">
        <v>4.412815263</v>
      </c>
      <c r="AZ211" s="159" t="n">
        <v>5.207429394</v>
      </c>
      <c r="BA211" s="159" t="n">
        <v>9.465215121</v>
      </c>
      <c r="BB211" s="159" t="n">
        <v>4.610207478</v>
      </c>
      <c r="BC211" s="159" t="n">
        <v>4.926528785</v>
      </c>
    </row>
    <row r="212">
      <c r="A212" s="83" t="inlineStr">
        <is>
          <t>2023-02</t>
        </is>
      </c>
      <c r="B212" s="155" t="n">
        <v>4803.1125</v>
      </c>
      <c r="C212" s="155" t="n">
        <v>162.34</v>
      </c>
      <c r="D212" s="155" t="n">
        <v>832.7</v>
      </c>
      <c r="E212" s="155" t="n">
        <v>9734.84</v>
      </c>
      <c r="F212" s="152" t="n">
        <v>12.75</v>
      </c>
      <c r="G212" s="152" t="n">
        <v>4.57</v>
      </c>
      <c r="H212" s="152" t="n">
        <v>8.18</v>
      </c>
      <c r="I212" s="156" t="n">
        <v>-10208.45713</v>
      </c>
      <c r="J212" s="152" t="n">
        <v>4.866973857</v>
      </c>
      <c r="K212" s="152" t="n">
        <v>120.3083737</v>
      </c>
      <c r="L212" s="152" t="n">
        <v>20.1205</v>
      </c>
      <c r="M212" s="157" t="n">
        <v>0</v>
      </c>
      <c r="N212" s="155" t="n">
        <v>57374.45</v>
      </c>
      <c r="O212" s="152" t="n">
        <v>384.35</v>
      </c>
      <c r="P212" s="152" t="n">
        <v>3.8435</v>
      </c>
      <c r="Q212" s="156" t="n">
        <v>233.94</v>
      </c>
      <c r="R212" s="156" t="n">
        <v>-2243.14</v>
      </c>
      <c r="S212" s="152" t="n">
        <v>12.276</v>
      </c>
      <c r="T212" s="152" t="n">
        <v>4.7675</v>
      </c>
      <c r="U212" s="152" t="n">
        <v>7.5085</v>
      </c>
      <c r="V212" s="152" t="n">
        <v>2.356010537</v>
      </c>
      <c r="W212" s="152" t="n">
        <v>5.152489463</v>
      </c>
      <c r="X212" s="158" t="n">
        <v>5.17434</v>
      </c>
      <c r="Y212" s="158" t="n">
        <v>801.34175</v>
      </c>
      <c r="Z212" s="158" t="n">
        <v>18.553871</v>
      </c>
      <c r="AA212" s="158" t="n">
        <v>3.84146</v>
      </c>
      <c r="AB212" s="159" t="n">
        <v>-0.7604530505</v>
      </c>
      <c r="AC212" s="159" t="n">
        <v>-0.5277546275</v>
      </c>
      <c r="AD212" s="159" t="n">
        <v>120.615105</v>
      </c>
      <c r="AE212" s="159" t="n">
        <v>130.4</v>
      </c>
      <c r="AF212" s="159" t="n">
        <v>1.41316</v>
      </c>
      <c r="AG212" s="159" t="n">
        <v>1.49526</v>
      </c>
      <c r="AH212" s="159" t="n">
        <v>4.53368</v>
      </c>
      <c r="AI212" s="159" t="n">
        <v>3.74684</v>
      </c>
      <c r="AJ212" s="159" t="n">
        <v>-0.786842</v>
      </c>
      <c r="AK212" s="159" t="n">
        <v>2.44684</v>
      </c>
      <c r="AL212" s="159" t="n">
        <v>2.33368</v>
      </c>
      <c r="AM212" s="159" t="n">
        <v>238.646</v>
      </c>
      <c r="AN212" s="159" t="n">
        <v>-0.463575</v>
      </c>
      <c r="AO212" s="159" t="n">
        <v>-0.295</v>
      </c>
      <c r="AP212" s="159" t="n">
        <v>-0.31125</v>
      </c>
      <c r="AQ212" s="159" t="n">
        <v>3.71704</v>
      </c>
      <c r="AR212" s="159" t="n"/>
      <c r="AS212" s="159" t="n"/>
      <c r="AT212" s="159" t="n">
        <v>3.6</v>
      </c>
      <c r="AU212" s="159" t="n">
        <v>103.6</v>
      </c>
      <c r="AV212" s="159" t="n"/>
      <c r="AW212" s="159" t="n">
        <v>99.17789999999999</v>
      </c>
      <c r="AX212" s="159" t="n">
        <v>115.45</v>
      </c>
      <c r="AY212" s="159" t="n">
        <v>4.413828066</v>
      </c>
      <c r="AZ212" s="159" t="n">
        <v>5.162383089</v>
      </c>
      <c r="BA212" s="159" t="n">
        <v>9.46482754</v>
      </c>
      <c r="BB212" s="159" t="n">
        <v>4.611569666</v>
      </c>
      <c r="BC212" s="159" t="n">
        <v>4.934473933</v>
      </c>
    </row>
    <row r="213">
      <c r="A213" s="83" t="inlineStr">
        <is>
          <t>2023-03</t>
        </is>
      </c>
      <c r="B213" s="155" t="n">
        <v>4766.305806</v>
      </c>
      <c r="C213" s="155" t="n">
        <v>153.95</v>
      </c>
      <c r="D213" s="155" t="n">
        <v>858.26</v>
      </c>
      <c r="E213" s="155" t="n">
        <v>9859.15</v>
      </c>
      <c r="F213" s="152" t="n">
        <v>12.75806452</v>
      </c>
      <c r="G213" s="152" t="n">
        <v>4.65</v>
      </c>
      <c r="H213" s="152" t="n">
        <v>8.108064516000001</v>
      </c>
      <c r="I213" s="156" t="n">
        <v>-6830.854038</v>
      </c>
      <c r="J213" s="152" t="n">
        <v>4.69656028</v>
      </c>
      <c r="K213" s="152" t="n">
        <v>120.745013</v>
      </c>
      <c r="L213" s="152" t="n">
        <v>21.64434783</v>
      </c>
      <c r="M213" s="157" t="n">
        <v>0</v>
      </c>
      <c r="N213" s="155" t="n">
        <v>57965.68</v>
      </c>
      <c r="O213" s="152" t="n">
        <v>411.6086957</v>
      </c>
      <c r="P213" s="152" t="n">
        <v>4.116086957</v>
      </c>
      <c r="Q213" s="156" t="n">
        <v>190.55</v>
      </c>
      <c r="R213" s="156" t="n">
        <v>-1189.17</v>
      </c>
      <c r="S213" s="152" t="n">
        <v>12.01681818</v>
      </c>
      <c r="T213" s="152" t="n">
        <v>4.716363636</v>
      </c>
      <c r="U213" s="152" t="n">
        <v>7.300454545</v>
      </c>
      <c r="V213" s="152" t="n">
        <v>2.337921733</v>
      </c>
      <c r="W213" s="152" t="n">
        <v>4.962532812</v>
      </c>
      <c r="X213" s="158" t="n">
        <v>5.21116087</v>
      </c>
      <c r="Y213" s="158" t="n">
        <v>807.3986695999999</v>
      </c>
      <c r="Z213" s="158" t="n">
        <v>18.32991217</v>
      </c>
      <c r="AA213" s="158" t="n">
        <v>3.77916087</v>
      </c>
      <c r="AB213" s="159" t="n">
        <v>-0.08988140565</v>
      </c>
      <c r="AC213" s="159" t="n">
        <v>-0.3938080883</v>
      </c>
      <c r="AD213" s="159" t="n">
        <v>121.0524971</v>
      </c>
      <c r="AE213" s="159" t="n">
        <v>131.77</v>
      </c>
      <c r="AF213" s="159" t="n">
        <v>1.36087</v>
      </c>
      <c r="AG213" s="159" t="n">
        <v>1.44565</v>
      </c>
      <c r="AH213" s="159" t="n">
        <v>4.30261</v>
      </c>
      <c r="AI213" s="159" t="n">
        <v>3.66304</v>
      </c>
      <c r="AJ213" s="159" t="n">
        <v>-0.6395650000000001</v>
      </c>
      <c r="AK213" s="159" t="n">
        <v>2.37783</v>
      </c>
      <c r="AL213" s="159" t="n">
        <v>2.30217</v>
      </c>
      <c r="AM213" s="159" t="n">
        <v>309.598</v>
      </c>
      <c r="AN213" s="159" t="n">
        <v>0.12068</v>
      </c>
      <c r="AO213" s="159" t="n">
        <v>-0.181</v>
      </c>
      <c r="AP213" s="159" t="n">
        <v>-0.1446</v>
      </c>
      <c r="AQ213" s="159" t="n">
        <v>3.64104</v>
      </c>
      <c r="AR213" s="159" t="n"/>
      <c r="AS213" s="159" t="n"/>
      <c r="AT213" s="159" t="n">
        <v>3.5</v>
      </c>
      <c r="AU213" s="159" t="n">
        <v>103.1</v>
      </c>
      <c r="AV213" s="159" t="n">
        <v>103.9</v>
      </c>
      <c r="AW213" s="159" t="n">
        <v>99.04900000000001</v>
      </c>
      <c r="AX213" s="159" t="n">
        <v>115.116</v>
      </c>
      <c r="AY213" s="159" t="n">
        <v>4.362261332</v>
      </c>
      <c r="AZ213" s="159" t="n">
        <v>5.12571245</v>
      </c>
      <c r="BA213" s="159" t="n">
        <v>9.464051925</v>
      </c>
      <c r="BB213" s="159" t="n">
        <v>4.615318517</v>
      </c>
      <c r="BC213" s="159" t="n">
        <v>4.925077406</v>
      </c>
    </row>
    <row r="214">
      <c r="A214" s="83" t="inlineStr">
        <is>
          <t>2023-04</t>
        </is>
      </c>
      <c r="B214" s="155" t="n">
        <v>4542.674333</v>
      </c>
      <c r="C214" s="155" t="n">
        <v>155.74</v>
      </c>
      <c r="D214" s="155" t="n">
        <v>736.74</v>
      </c>
      <c r="E214" s="155" t="n">
        <v>9841.049999999999</v>
      </c>
      <c r="F214" s="152" t="n">
        <v>13</v>
      </c>
      <c r="G214" s="152" t="n">
        <v>4.83</v>
      </c>
      <c r="H214" s="152" t="n">
        <v>8.17</v>
      </c>
      <c r="I214" s="156" t="n">
        <v>6253.650288</v>
      </c>
      <c r="J214" s="152" t="n">
        <v>4.316572151</v>
      </c>
      <c r="K214" s="152" t="n">
        <v>119.245145</v>
      </c>
      <c r="L214" s="152" t="n">
        <v>17.81789474</v>
      </c>
      <c r="M214" s="157" t="n">
        <v>0</v>
      </c>
      <c r="N214" s="155" t="n">
        <v>58022.63</v>
      </c>
      <c r="O214" s="152" t="n">
        <v>402.15</v>
      </c>
      <c r="P214" s="152" t="n">
        <v>4.0215</v>
      </c>
      <c r="Q214" s="156" t="n">
        <v>178.75</v>
      </c>
      <c r="R214" s="156" t="n">
        <v>-1248.04</v>
      </c>
      <c r="S214" s="152" t="n">
        <v>11.25</v>
      </c>
      <c r="T214" s="152" t="n">
        <v>4.388888889</v>
      </c>
      <c r="U214" s="152" t="n">
        <v>6.861111111</v>
      </c>
      <c r="V214" s="152" t="n">
        <v>2.276825011</v>
      </c>
      <c r="W214" s="152" t="n">
        <v>4.5842861</v>
      </c>
      <c r="X214" s="158" t="n">
        <v>5.02336</v>
      </c>
      <c r="Y214" s="158" t="n">
        <v>804.97701</v>
      </c>
      <c r="Z214" s="158" t="n">
        <v>18.057974</v>
      </c>
      <c r="AA214" s="158" t="n">
        <v>3.76545</v>
      </c>
      <c r="AB214" s="159" t="n">
        <v>-0.6531090346</v>
      </c>
      <c r="AC214" s="159" t="n">
        <v>-0.5604717403</v>
      </c>
      <c r="AD214" s="159" t="n">
        <v>118.5222345</v>
      </c>
      <c r="AE214" s="159" t="n">
        <v>132.8</v>
      </c>
      <c r="AF214" s="159" t="n">
        <v>1.1935</v>
      </c>
      <c r="AG214" s="159" t="n">
        <v>1.229</v>
      </c>
      <c r="AH214" s="159" t="n">
        <v>4.016</v>
      </c>
      <c r="AI214" s="159" t="n">
        <v>3.46</v>
      </c>
      <c r="AJ214" s="159" t="n">
        <v>-0.556</v>
      </c>
      <c r="AK214" s="159" t="n">
        <v>2.308</v>
      </c>
      <c r="AL214" s="159" t="n">
        <v>2.2665</v>
      </c>
      <c r="AM214" s="159" t="n">
        <v>252.683</v>
      </c>
      <c r="AN214" s="159" t="n">
        <v>-0.376175</v>
      </c>
      <c r="AO214" s="159" t="n">
        <v>-0.16825</v>
      </c>
      <c r="AP214" s="159" t="n">
        <v>-0.20375</v>
      </c>
      <c r="AQ214" s="159" t="n">
        <v>3.47316</v>
      </c>
      <c r="AR214" s="159" t="n"/>
      <c r="AS214" s="159" t="n"/>
      <c r="AT214" s="159" t="n">
        <v>3.4</v>
      </c>
      <c r="AU214" s="159" t="n">
        <v>102.7</v>
      </c>
      <c r="AV214" s="159" t="n">
        <v>105.6</v>
      </c>
      <c r="AW214" s="159" t="n">
        <v>98.9389</v>
      </c>
      <c r="AX214" s="159" t="n">
        <v>114.892</v>
      </c>
      <c r="AY214" s="159" t="n">
        <v>4.438386883</v>
      </c>
      <c r="AZ214" s="159" t="n">
        <v>5.140223924</v>
      </c>
      <c r="BA214" s="159" t="n">
        <v>9.46374151</v>
      </c>
      <c r="BB214" s="159" t="n">
        <v>4.617622335</v>
      </c>
      <c r="BC214" s="159" t="n">
        <v>4.919980926</v>
      </c>
    </row>
    <row r="215">
      <c r="A215" s="83" t="inlineStr">
        <is>
          <t>2023-05</t>
        </is>
      </c>
      <c r="B215" s="155" t="n">
        <v>4540.089032</v>
      </c>
      <c r="C215" s="155" t="n">
        <v>152.75</v>
      </c>
      <c r="D215" s="155" t="n">
        <v>877.1799999999999</v>
      </c>
      <c r="E215" s="155" t="n">
        <v>9877.139999999999</v>
      </c>
      <c r="F215" s="152" t="n">
        <v>13.24193548</v>
      </c>
      <c r="G215" s="152" t="n">
        <v>5.06</v>
      </c>
      <c r="H215" s="152" t="n">
        <v>8.181935484</v>
      </c>
      <c r="I215" s="156" t="n">
        <v>358.2410622</v>
      </c>
      <c r="J215" s="152" t="n">
        <v>4.115965629</v>
      </c>
      <c r="K215" s="152" t="n">
        <v>119.6292545</v>
      </c>
      <c r="L215" s="152" t="n">
        <v>17.63608696</v>
      </c>
      <c r="M215" s="157" t="n">
        <v>0</v>
      </c>
      <c r="N215" s="155" t="n">
        <v>57705.75</v>
      </c>
      <c r="O215" s="152" t="n">
        <v>412.7391304</v>
      </c>
      <c r="P215" s="152" t="n">
        <v>4.127391304</v>
      </c>
      <c r="Q215" s="156" t="n">
        <v>158.92</v>
      </c>
      <c r="R215" s="156" t="n">
        <v>-1985.55</v>
      </c>
      <c r="S215" s="152" t="n">
        <v>11.05095238</v>
      </c>
      <c r="T215" s="152" t="n">
        <v>4.444285714</v>
      </c>
      <c r="U215" s="152" t="n">
        <v>6.606666667</v>
      </c>
      <c r="V215" s="152" t="n">
        <v>2.15348636</v>
      </c>
      <c r="W215" s="152" t="n">
        <v>4.453180306</v>
      </c>
      <c r="X215" s="158" t="n">
        <v>4.983313043</v>
      </c>
      <c r="Y215" s="158" t="n">
        <v>799.3510783</v>
      </c>
      <c r="Z215" s="158" t="n">
        <v>17.70276217</v>
      </c>
      <c r="AA215" s="158" t="n">
        <v>3.688668182</v>
      </c>
      <c r="AB215" s="159" t="n">
        <v>-0.5011104434</v>
      </c>
      <c r="AC215" s="159" t="n">
        <v>-0.7877390397</v>
      </c>
      <c r="AD215" s="159" t="n">
        <v>120.0586905</v>
      </c>
      <c r="AE215" s="159" t="n">
        <v>133.38</v>
      </c>
      <c r="AF215" s="159" t="n">
        <v>1.36</v>
      </c>
      <c r="AG215" s="159" t="n">
        <v>1.43591</v>
      </c>
      <c r="AH215" s="159" t="n">
        <v>4.13182</v>
      </c>
      <c r="AI215" s="159" t="n">
        <v>3.57364</v>
      </c>
      <c r="AJ215" s="159" t="n">
        <v>-0.558182</v>
      </c>
      <c r="AK215" s="159" t="n">
        <v>2.15545</v>
      </c>
      <c r="AL215" s="159" t="n">
        <v>2.21364</v>
      </c>
      <c r="AM215" s="159" t="n">
        <v>208.397</v>
      </c>
      <c r="AN215" s="159" t="n">
        <v>-0.40025</v>
      </c>
      <c r="AO215" s="159" t="n">
        <v>-0.20525</v>
      </c>
      <c r="AP215" s="159" t="n">
        <v>-0.26525</v>
      </c>
      <c r="AQ215" s="159" t="n">
        <v>3.66348</v>
      </c>
      <c r="AR215" s="159" t="n"/>
      <c r="AS215" s="159" t="n"/>
      <c r="AT215" s="159" t="n">
        <v>3.6</v>
      </c>
      <c r="AU215" s="159" t="n">
        <v>102.4</v>
      </c>
      <c r="AV215" s="159" t="n">
        <v>103.5</v>
      </c>
      <c r="AW215" s="159" t="n">
        <v>98.8527</v>
      </c>
      <c r="AX215" s="159" t="n">
        <v>114.781</v>
      </c>
      <c r="AY215" s="159" t="n">
        <v>4.323682224</v>
      </c>
      <c r="AZ215" s="159" t="n">
        <v>5.057156219</v>
      </c>
      <c r="BA215" s="159" t="n">
        <v>9.462576597</v>
      </c>
      <c r="BB215" s="159" t="n">
        <v>4.614417299</v>
      </c>
      <c r="BC215" s="159" t="n">
        <v>4.919250732</v>
      </c>
    </row>
    <row r="216">
      <c r="A216" s="83" t="inlineStr">
        <is>
          <t>2023-06</t>
        </is>
      </c>
      <c r="B216" s="155" t="n">
        <v>4209.268</v>
      </c>
      <c r="C216" s="155" t="n">
        <v>149</v>
      </c>
      <c r="D216" s="155" t="n">
        <v>783.48</v>
      </c>
      <c r="E216" s="155" t="n">
        <v>9839.030000000001</v>
      </c>
      <c r="F216" s="152" t="n">
        <v>13.25</v>
      </c>
      <c r="G216" s="152" t="n">
        <v>5.08</v>
      </c>
      <c r="H216" s="152" t="n">
        <v>8.17</v>
      </c>
      <c r="I216" s="156" t="n">
        <v>-6250.657965</v>
      </c>
      <c r="J216" s="152" t="n">
        <v>3.64486113</v>
      </c>
      <c r="K216" s="152" t="n">
        <v>119.2969524</v>
      </c>
      <c r="L216" s="152" t="n">
        <v>14.00318182</v>
      </c>
      <c r="M216" s="157" t="n">
        <v>0</v>
      </c>
      <c r="N216" s="155" t="n">
        <v>57838.77</v>
      </c>
      <c r="O216" s="152" t="n">
        <v>366.5909091</v>
      </c>
      <c r="P216" s="152" t="n">
        <v>3.665909091</v>
      </c>
      <c r="Q216" s="156" t="n">
        <v>148.37</v>
      </c>
      <c r="R216" s="156" t="n">
        <v>-1489.36</v>
      </c>
      <c r="S216" s="152" t="n">
        <v>10.3245</v>
      </c>
      <c r="T216" s="152" t="n">
        <v>4.235</v>
      </c>
      <c r="U216" s="152" t="n">
        <v>6.0895</v>
      </c>
      <c r="V216" s="152" t="n">
        <v>2.138395241</v>
      </c>
      <c r="W216" s="152" t="n">
        <v>3.951104759</v>
      </c>
      <c r="X216" s="158" t="n">
        <v>4.854009091</v>
      </c>
      <c r="Y216" s="158" t="n">
        <v>799.5101955</v>
      </c>
      <c r="Z216" s="158" t="n">
        <v>17.20136636</v>
      </c>
      <c r="AA216" s="158" t="n">
        <v>3.650419048</v>
      </c>
      <c r="AB216" s="159" t="n">
        <v>-0.6834579742</v>
      </c>
      <c r="AC216" s="159" t="n">
        <v>-0.7197794472</v>
      </c>
      <c r="AD216" s="159" t="n">
        <v>122.7822404</v>
      </c>
      <c r="AE216" s="159" t="n">
        <v>133.78</v>
      </c>
      <c r="AF216" s="159" t="n">
        <v>1.54762</v>
      </c>
      <c r="AG216" s="159" t="n">
        <v>1.81</v>
      </c>
      <c r="AH216" s="159" t="n">
        <v>4.63952</v>
      </c>
      <c r="AI216" s="159" t="n">
        <v>3.7481</v>
      </c>
      <c r="AJ216" s="159" t="n">
        <v>-0.891429</v>
      </c>
      <c r="AK216" s="159" t="n">
        <v>2.13952</v>
      </c>
      <c r="AL216" s="159" t="n">
        <v>2.20048</v>
      </c>
      <c r="AM216" s="159" t="n">
        <v>219.395</v>
      </c>
      <c r="AN216" s="159" t="n">
        <v>-0.60824</v>
      </c>
      <c r="AO216" s="159" t="n">
        <v>-0.219</v>
      </c>
      <c r="AP216" s="159" t="n">
        <v>-0.264</v>
      </c>
      <c r="AQ216" s="159" t="n">
        <v>3.63027</v>
      </c>
      <c r="AR216" s="159" t="n"/>
      <c r="AS216" s="159" t="n"/>
      <c r="AT216" s="159" t="n">
        <v>3.6</v>
      </c>
      <c r="AU216" s="159" t="n">
        <v>102</v>
      </c>
      <c r="AV216" s="159" t="n">
        <v>104.4</v>
      </c>
      <c r="AW216" s="159" t="n">
        <v>98.7907</v>
      </c>
      <c r="AX216" s="159" t="n">
        <v>114.558</v>
      </c>
      <c r="AY216" s="159" t="n">
        <v>4.315340476</v>
      </c>
      <c r="AZ216" s="159" t="n">
        <v>5.037316173</v>
      </c>
      <c r="BA216" s="159" t="n">
        <v>9.463042725999999</v>
      </c>
      <c r="BB216" s="159" t="n">
        <v>4.606369467</v>
      </c>
      <c r="BC216" s="159" t="n">
        <v>4.919980926</v>
      </c>
    </row>
    <row r="217">
      <c r="A217" s="83" t="inlineStr">
        <is>
          <t>2023-07</t>
        </is>
      </c>
      <c r="B217" s="155" t="n">
        <v>4069.233548</v>
      </c>
      <c r="C217" s="155" t="n">
        <v>148.93</v>
      </c>
      <c r="D217" s="155" t="n">
        <v>761.61</v>
      </c>
      <c r="E217" s="155" t="n">
        <v>9711.190000000001</v>
      </c>
      <c r="F217" s="152" t="n">
        <v>13.25</v>
      </c>
      <c r="G217" s="152" t="n">
        <v>5.12</v>
      </c>
      <c r="H217" s="152" t="n">
        <v>8.130000000000001</v>
      </c>
      <c r="I217" s="156" t="n">
        <v>-926.8154562</v>
      </c>
      <c r="J217" s="152" t="n">
        <v>3.279629586</v>
      </c>
      <c r="K217" s="152" t="n">
        <v>118.049165</v>
      </c>
      <c r="L217" s="152" t="n">
        <v>13.93238095</v>
      </c>
      <c r="M217" s="157" t="n">
        <v>0</v>
      </c>
      <c r="N217" s="155" t="n">
        <v>58111.93</v>
      </c>
      <c r="O217" s="152" t="n">
        <v>340</v>
      </c>
      <c r="P217" s="152" t="n">
        <v>3.4</v>
      </c>
      <c r="Q217" s="156" t="n">
        <v>83.7</v>
      </c>
      <c r="R217" s="156" t="n">
        <v>-1407.5</v>
      </c>
      <c r="S217" s="152" t="n">
        <v>9.929473684</v>
      </c>
      <c r="T217" s="152" t="n">
        <v>4.093157895</v>
      </c>
      <c r="U217" s="152" t="n">
        <v>5.836315789</v>
      </c>
      <c r="V217" s="152" t="n">
        <v>2.202724981</v>
      </c>
      <c r="W217" s="152" t="n">
        <v>3.633590808</v>
      </c>
      <c r="X217" s="158" t="n">
        <v>4.800533333</v>
      </c>
      <c r="Y217" s="158" t="n">
        <v>815.0168905</v>
      </c>
      <c r="Z217" s="158" t="n">
        <v>16.86173762</v>
      </c>
      <c r="AA217" s="158" t="n">
        <v>3.601255</v>
      </c>
      <c r="AB217" s="159" t="n">
        <v>-0.202625797</v>
      </c>
      <c r="AC217" s="159" t="n">
        <v>-0.4222317561</v>
      </c>
      <c r="AD217" s="159" t="n">
        <v>119.2194346</v>
      </c>
      <c r="AE217" s="159" t="n">
        <v>134.45</v>
      </c>
      <c r="AF217" s="159" t="n">
        <v>1.603</v>
      </c>
      <c r="AG217" s="159" t="n">
        <v>1.934</v>
      </c>
      <c r="AH217" s="159" t="n">
        <v>4.8285</v>
      </c>
      <c r="AI217" s="159" t="n">
        <v>3.8995</v>
      </c>
      <c r="AJ217" s="159" t="n">
        <v>-0.929</v>
      </c>
      <c r="AK217" s="159" t="n">
        <v>2.2075</v>
      </c>
      <c r="AL217" s="159" t="n">
        <v>2.2965</v>
      </c>
      <c r="AM217" s="159" t="n">
        <v>189.573</v>
      </c>
      <c r="AN217" s="159" t="n">
        <v>-0.731</v>
      </c>
      <c r="AO217" s="159" t="n">
        <v>-0.25725</v>
      </c>
      <c r="AP217" s="159" t="n">
        <v>-0.29425</v>
      </c>
      <c r="AQ217" s="159" t="n">
        <v>3.59938</v>
      </c>
      <c r="AR217" s="159" t="n"/>
      <c r="AS217" s="159" t="n"/>
      <c r="AT217" s="159" t="n">
        <v>3.5</v>
      </c>
      <c r="AU217" s="159" t="n">
        <v>101.7</v>
      </c>
      <c r="AV217" s="159" t="n">
        <v>103.7</v>
      </c>
      <c r="AW217" s="159" t="n">
        <v>98.75230000000001</v>
      </c>
      <c r="AX217" s="159" t="n">
        <v>114.781</v>
      </c>
      <c r="AY217" s="159" t="n">
        <v>4.383376973</v>
      </c>
      <c r="AZ217" s="159" t="n">
        <v>5.061898588</v>
      </c>
      <c r="BA217" s="159" t="n">
        <v>9.462032507</v>
      </c>
      <c r="BB217" s="159" t="n">
        <v>4.614199301</v>
      </c>
      <c r="BC217" s="159" t="n">
        <v>4.925077406</v>
      </c>
    </row>
    <row r="218">
      <c r="A218" s="83" t="inlineStr">
        <is>
          <t>2023-08</t>
        </is>
      </c>
      <c r="B218" s="155" t="n">
        <v>4070.725161</v>
      </c>
      <c r="C218" s="155" t="n">
        <v>158.2</v>
      </c>
      <c r="D218" s="155" t="n">
        <v>887.76</v>
      </c>
      <c r="E218" s="155" t="n">
        <v>9829.51</v>
      </c>
      <c r="F218" s="152" t="n">
        <v>13.25</v>
      </c>
      <c r="G218" s="152" t="n">
        <v>5.33</v>
      </c>
      <c r="H218" s="152" t="n">
        <v>7.92</v>
      </c>
      <c r="I218" s="156" t="n">
        <v>-4986.281174</v>
      </c>
      <c r="J218" s="152" t="n">
        <v>2.984836461</v>
      </c>
      <c r="K218" s="152" t="n">
        <v>119.8563478</v>
      </c>
      <c r="L218" s="152" t="n">
        <v>15.85391304</v>
      </c>
      <c r="M218" s="157" t="n">
        <v>0</v>
      </c>
      <c r="N218" s="155" t="n">
        <v>57944.58</v>
      </c>
      <c r="O218" s="152" t="n">
        <v>323.7826087</v>
      </c>
      <c r="P218" s="152" t="n">
        <v>3.237826087</v>
      </c>
      <c r="Q218" s="156" t="n">
        <v>86.16</v>
      </c>
      <c r="R218" s="156" t="n">
        <v>-2102.61</v>
      </c>
      <c r="S218" s="152" t="n">
        <v>10.26809524</v>
      </c>
      <c r="T218" s="152" t="n">
        <v>4.414761905</v>
      </c>
      <c r="U218" s="152" t="n">
        <v>5.853333333</v>
      </c>
      <c r="V218" s="152" t="n">
        <v>2.23587825</v>
      </c>
      <c r="W218" s="152" t="n">
        <v>3.617455083</v>
      </c>
      <c r="X218" s="158" t="n">
        <v>4.90323913</v>
      </c>
      <c r="Y218" s="158" t="n">
        <v>856.5443609</v>
      </c>
      <c r="Z218" s="158" t="n">
        <v>16.93789391</v>
      </c>
      <c r="AA218" s="158" t="n">
        <v>3.697768182</v>
      </c>
      <c r="AB218" s="159" t="n">
        <v>0.7637915181</v>
      </c>
      <c r="AC218" s="159" t="n">
        <v>1.107241663</v>
      </c>
      <c r="AD218" s="159" t="n">
        <v>121.0303599</v>
      </c>
      <c r="AE218" s="159" t="n">
        <v>135.39</v>
      </c>
      <c r="AF218" s="159" t="n">
        <v>1.83261</v>
      </c>
      <c r="AG218" s="159" t="n">
        <v>2.06696</v>
      </c>
      <c r="AH218" s="159" t="n">
        <v>4.90174</v>
      </c>
      <c r="AI218" s="159" t="n">
        <v>4.16783</v>
      </c>
      <c r="AJ218" s="159" t="n">
        <v>-0.733913</v>
      </c>
      <c r="AK218" s="159" t="n">
        <v>2.23957</v>
      </c>
      <c r="AL218" s="159" t="n">
        <v>2.33522</v>
      </c>
      <c r="AM218" s="159" t="n">
        <v>172.969</v>
      </c>
      <c r="AN218" s="159" t="n">
        <v>-0.6668500000000001</v>
      </c>
      <c r="AO218" s="159" t="n">
        <v>-0.317</v>
      </c>
      <c r="AP218" s="159" t="n">
        <v>-0.323</v>
      </c>
      <c r="AQ218" s="159" t="n">
        <v>3.76676</v>
      </c>
      <c r="AR218" s="159" t="n"/>
      <c r="AS218" s="159" t="n"/>
      <c r="AT218" s="159" t="n">
        <v>3.7</v>
      </c>
      <c r="AU218" s="159" t="n">
        <v>101.7</v>
      </c>
      <c r="AV218" s="159" t="n">
        <v>104.5</v>
      </c>
      <c r="AW218" s="159" t="n">
        <v>98.74039999999999</v>
      </c>
      <c r="AX218" s="159" t="n">
        <v>115.116</v>
      </c>
      <c r="AY218" s="159" t="n">
        <v>4.456063265</v>
      </c>
      <c r="AZ218" s="159" t="n">
        <v>5.083123384</v>
      </c>
      <c r="BA218" s="159" t="n">
        <v>9.461954755000001</v>
      </c>
      <c r="BB218" s="159" t="n">
        <v>4.613525186</v>
      </c>
      <c r="BC218" s="159" t="n">
        <v>4.920710587</v>
      </c>
    </row>
    <row r="219">
      <c r="A219" s="83" t="inlineStr">
        <is>
          <t>2023-09</t>
        </is>
      </c>
      <c r="B219" s="155" t="n">
        <v>4004.520667</v>
      </c>
      <c r="C219" s="155" t="n">
        <v>158.88</v>
      </c>
      <c r="D219" s="155" t="n">
        <v>881.47</v>
      </c>
      <c r="E219" s="155" t="n">
        <v>9960.030000000001</v>
      </c>
      <c r="F219" s="152" t="n">
        <v>13.25</v>
      </c>
      <c r="G219" s="152" t="n">
        <v>5.33</v>
      </c>
      <c r="H219" s="152" t="n">
        <v>7.92</v>
      </c>
      <c r="I219" s="156" t="n">
        <v>-4435.154069</v>
      </c>
      <c r="J219" s="152" t="n">
        <v>3.31314259</v>
      </c>
      <c r="K219" s="152" t="n">
        <v>121.64553</v>
      </c>
      <c r="L219" s="152" t="n">
        <v>15.17333333</v>
      </c>
      <c r="M219" s="157" t="n">
        <v>0</v>
      </c>
      <c r="N219" s="155" t="n">
        <v>57566.19</v>
      </c>
      <c r="O219" s="152" t="n">
        <v>329.8571429</v>
      </c>
      <c r="P219" s="152" t="n">
        <v>3.298571429</v>
      </c>
      <c r="Q219" s="156" t="n">
        <v>50.06</v>
      </c>
      <c r="R219" s="156" t="n">
        <v>-2013.26</v>
      </c>
      <c r="S219" s="152" t="n">
        <v>10.80095238</v>
      </c>
      <c r="T219" s="152" t="n">
        <v>4.553333333</v>
      </c>
      <c r="U219" s="152" t="n">
        <v>6.247619048</v>
      </c>
      <c r="V219" s="152" t="n">
        <v>2.266419995</v>
      </c>
      <c r="W219" s="152" t="n">
        <v>3.981199053</v>
      </c>
      <c r="X219" s="158" t="n">
        <v>4.938557143</v>
      </c>
      <c r="Y219" s="158" t="n">
        <v>886.6047619</v>
      </c>
      <c r="Z219" s="158" t="n">
        <v>17.25992476</v>
      </c>
      <c r="AA219" s="158" t="n">
        <v>3.730995238</v>
      </c>
      <c r="AB219" s="159" t="n">
        <v>0.6182965181</v>
      </c>
      <c r="AC219" s="159" t="n">
        <v>0.6461100967</v>
      </c>
      <c r="AD219" s="159" t="n">
        <v>121.1469623</v>
      </c>
      <c r="AE219" s="159" t="n">
        <v>136.11</v>
      </c>
      <c r="AF219" s="159" t="n">
        <v>2.037</v>
      </c>
      <c r="AG219" s="159" t="n">
        <v>2.2335</v>
      </c>
      <c r="AH219" s="159" t="n">
        <v>5.022</v>
      </c>
      <c r="AI219" s="159" t="n">
        <v>4.379</v>
      </c>
      <c r="AJ219" s="159" t="n">
        <v>-0.643</v>
      </c>
      <c r="AK219" s="159" t="n">
        <v>2.2535</v>
      </c>
      <c r="AL219" s="159" t="n">
        <v>2.342</v>
      </c>
      <c r="AM219" s="159" t="n">
        <v>198.009</v>
      </c>
      <c r="AN219" s="159" t="n">
        <v>-0.6639</v>
      </c>
      <c r="AO219" s="159" t="n">
        <v>-0.3286</v>
      </c>
      <c r="AP219" s="159" t="n">
        <v>-0.3054</v>
      </c>
      <c r="AQ219" s="159" t="n">
        <v>3.82385</v>
      </c>
      <c r="AR219" s="159" t="n"/>
      <c r="AS219" s="159" t="n"/>
      <c r="AT219" s="159" t="n">
        <v>3.7</v>
      </c>
      <c r="AU219" s="159" t="n">
        <v>101.5</v>
      </c>
      <c r="AV219" s="159" t="n">
        <v>104.5</v>
      </c>
      <c r="AW219" s="159" t="n">
        <v>98.7561</v>
      </c>
      <c r="AX219" s="159" t="n">
        <v>115.339</v>
      </c>
      <c r="AY219" s="159" t="n">
        <v>4.540337222</v>
      </c>
      <c r="AZ219" s="159" t="n">
        <v>5.127641732</v>
      </c>
      <c r="BA219" s="159" t="n">
        <v>9.462809689</v>
      </c>
      <c r="BB219" s="159" t="n">
        <v>4.615328416</v>
      </c>
      <c r="BC219" s="159" t="n">
        <v>4.923623917</v>
      </c>
    </row>
    <row r="220">
      <c r="A220" s="83" t="inlineStr">
        <is>
          <t>2023-10</t>
        </is>
      </c>
      <c r="B220" s="155" t="n">
        <v>4222.433226</v>
      </c>
      <c r="C220" s="155" t="n">
        <v>157.26</v>
      </c>
      <c r="D220" s="155" t="n">
        <v>885.75</v>
      </c>
      <c r="E220" s="155" t="n">
        <v>9951.440000000001</v>
      </c>
      <c r="F220" s="152" t="n">
        <v>13.25</v>
      </c>
      <c r="G220" s="152" t="n">
        <v>5.33</v>
      </c>
      <c r="H220" s="152" t="n">
        <v>7.92</v>
      </c>
      <c r="I220" s="156" t="n">
        <v>-13240.80264</v>
      </c>
      <c r="J220" s="152" t="n">
        <v>3.673593161</v>
      </c>
      <c r="K220" s="152" t="n">
        <v>123.4971476</v>
      </c>
      <c r="L220" s="152" t="n">
        <v>18.88772727</v>
      </c>
      <c r="M220" s="157" t="n">
        <v>0</v>
      </c>
      <c r="N220" s="155" t="n">
        <v>57447.16</v>
      </c>
      <c r="O220" s="152" t="n">
        <v>346.0909091</v>
      </c>
      <c r="P220" s="152" t="n">
        <v>3.460909091</v>
      </c>
      <c r="Q220" s="156" t="n">
        <v>241.67</v>
      </c>
      <c r="R220" s="156" t="n">
        <v>-2383.93</v>
      </c>
      <c r="S220" s="152" t="n">
        <v>11.50904762</v>
      </c>
      <c r="T220" s="152" t="n">
        <v>4.767142857</v>
      </c>
      <c r="U220" s="152" t="n">
        <v>6.741904762</v>
      </c>
      <c r="V220" s="152" t="n">
        <v>2.271980933</v>
      </c>
      <c r="W220" s="152" t="n">
        <v>4.469923829</v>
      </c>
      <c r="X220" s="158" t="n">
        <v>5.06385</v>
      </c>
      <c r="Y220" s="158" t="n">
        <v>925.0958909</v>
      </c>
      <c r="Z220" s="158" t="n">
        <v>17.99809364</v>
      </c>
      <c r="AA220" s="158" t="n">
        <v>3.845759091</v>
      </c>
      <c r="AB220" s="159" t="n">
        <v>1.15661039</v>
      </c>
      <c r="AC220" s="159" t="n">
        <v>1.479270261</v>
      </c>
      <c r="AD220" s="159" t="n">
        <v>119.3900253</v>
      </c>
      <c r="AE220" s="159" t="n">
        <v>136.45</v>
      </c>
      <c r="AF220" s="159" t="n">
        <v>2.4119</v>
      </c>
      <c r="AG220" s="159" t="n">
        <v>2.46238</v>
      </c>
      <c r="AH220" s="159" t="n">
        <v>5.06762</v>
      </c>
      <c r="AI220" s="159" t="n">
        <v>4.7981</v>
      </c>
      <c r="AJ220" s="159" t="n">
        <v>-0.269524</v>
      </c>
      <c r="AK220" s="159" t="n">
        <v>2.31</v>
      </c>
      <c r="AL220" s="159" t="n">
        <v>2.38619</v>
      </c>
      <c r="AM220" s="159" t="n">
        <v>188.281</v>
      </c>
      <c r="AN220" s="159" t="n">
        <v>-0.406775</v>
      </c>
      <c r="AO220" s="159" t="n">
        <v>-0.289</v>
      </c>
      <c r="AP220" s="159" t="n">
        <v>-0.272</v>
      </c>
      <c r="AQ220" s="159" t="n">
        <v>3.8746</v>
      </c>
      <c r="AR220" s="159" t="n"/>
      <c r="AS220" s="159" t="n"/>
      <c r="AT220" s="159" t="n">
        <v>3.9</v>
      </c>
      <c r="AU220" s="159" t="n">
        <v>101.4</v>
      </c>
      <c r="AV220" s="159" t="n">
        <v>104.6</v>
      </c>
      <c r="AW220" s="159" t="n">
        <v>98.79989999999999</v>
      </c>
      <c r="AX220" s="159" t="n">
        <v>115.227</v>
      </c>
      <c r="AY220" s="159" t="n">
        <v>4.506408958</v>
      </c>
      <c r="AZ220" s="159" t="n">
        <v>5.123368564</v>
      </c>
      <c r="BA220" s="159" t="n">
        <v>9.460086905000001</v>
      </c>
      <c r="BB220" s="159" t="n">
        <v>4.609849222</v>
      </c>
      <c r="BC220" s="159" t="n">
        <v>4.925077406</v>
      </c>
    </row>
    <row r="221">
      <c r="A221" s="83" t="inlineStr">
        <is>
          <t>2023-11</t>
        </is>
      </c>
      <c r="B221" s="155" t="n">
        <v>4038.804667</v>
      </c>
      <c r="C221" s="155" t="n">
        <v>143.02</v>
      </c>
      <c r="D221" s="155" t="n">
        <v>886.9</v>
      </c>
      <c r="E221" s="155" t="n">
        <v>10025.75</v>
      </c>
      <c r="F221" s="152" t="n">
        <v>13.25</v>
      </c>
      <c r="G221" s="152" t="n">
        <v>5.33</v>
      </c>
      <c r="H221" s="152" t="n">
        <v>7.92</v>
      </c>
      <c r="I221" s="156" t="n">
        <v>-13022.02769</v>
      </c>
      <c r="J221" s="152" t="n">
        <v>4.149544635</v>
      </c>
      <c r="K221" s="152" t="n">
        <v>121.22212</v>
      </c>
      <c r="L221" s="152" t="n">
        <v>14.01909091</v>
      </c>
      <c r="M221" s="157" t="n">
        <v>0</v>
      </c>
      <c r="N221" s="155" t="n">
        <v>58592.27</v>
      </c>
      <c r="O221" s="152" t="n">
        <v>312.4545455</v>
      </c>
      <c r="P221" s="152" t="n">
        <v>3.124545455</v>
      </c>
      <c r="Q221" s="156" t="n">
        <v>158.26</v>
      </c>
      <c r="R221" s="156" t="n">
        <v>-407.12</v>
      </c>
      <c r="S221" s="152" t="n">
        <v>10.501</v>
      </c>
      <c r="T221" s="152" t="n">
        <v>4.4805</v>
      </c>
      <c r="U221" s="152" t="n">
        <v>6.0205</v>
      </c>
      <c r="V221" s="152" t="n">
        <v>2.179876169</v>
      </c>
      <c r="W221" s="152" t="n">
        <v>3.840623831</v>
      </c>
      <c r="X221" s="158" t="n">
        <v>4.902168182</v>
      </c>
      <c r="Y221" s="158" t="n">
        <v>885.2386182</v>
      </c>
      <c r="Z221" s="158" t="n">
        <v>17.34034182</v>
      </c>
      <c r="AA221" s="158" t="n">
        <v>3.760795238</v>
      </c>
      <c r="AB221" s="159" t="n">
        <v>-1.393411098</v>
      </c>
      <c r="AC221" s="159" t="n">
        <v>-1.491934563</v>
      </c>
      <c r="AD221" s="159" t="n">
        <v>121.8556314</v>
      </c>
      <c r="AE221" s="159" t="n">
        <v>137.09</v>
      </c>
      <c r="AF221" s="159" t="n">
        <v>2.19857</v>
      </c>
      <c r="AG221" s="159" t="n">
        <v>2.23905</v>
      </c>
      <c r="AH221" s="159" t="n">
        <v>4.88238</v>
      </c>
      <c r="AI221" s="159" t="n">
        <v>4.50286</v>
      </c>
      <c r="AJ221" s="159" t="n">
        <v>-0.379524</v>
      </c>
      <c r="AK221" s="159" t="n">
        <v>2.24714</v>
      </c>
      <c r="AL221" s="159" t="n">
        <v>2.30429</v>
      </c>
      <c r="AM221" s="159" t="n">
        <v>205.634</v>
      </c>
      <c r="AN221" s="159" t="n">
        <v>-0.6647999999999999</v>
      </c>
      <c r="AO221" s="159" t="n">
        <v>-0.30325</v>
      </c>
      <c r="AP221" s="159" t="n">
        <v>-0.328</v>
      </c>
      <c r="AQ221" s="159" t="n">
        <v>3.73106</v>
      </c>
      <c r="AR221" s="159" t="n"/>
      <c r="AS221" s="159" t="n"/>
      <c r="AT221" s="159" t="n">
        <v>3.7</v>
      </c>
      <c r="AU221" s="159" t="n">
        <v>101.1</v>
      </c>
      <c r="AV221" s="159" t="n">
        <v>106.6</v>
      </c>
      <c r="AW221" s="159" t="n">
        <v>98.8703</v>
      </c>
      <c r="AX221" s="159" t="n">
        <v>114.669</v>
      </c>
      <c r="AY221" s="159" t="n">
        <v>4.418117455</v>
      </c>
      <c r="AZ221" s="159" t="n">
        <v>5.106605862</v>
      </c>
      <c r="BA221" s="159" t="n">
        <v>9.461799234000001</v>
      </c>
      <c r="BB221" s="159" t="n">
        <v>4.613773075</v>
      </c>
      <c r="BC221" s="159" t="n">
        <v>4.92289638</v>
      </c>
    </row>
    <row r="222">
      <c r="A222" s="83" t="inlineStr">
        <is>
          <t>2023-12</t>
        </is>
      </c>
      <c r="B222" s="155" t="n">
        <v>3948.206774</v>
      </c>
      <c r="C222" s="155" t="n">
        <v>148.74</v>
      </c>
      <c r="D222" s="155" t="n">
        <v>914.21</v>
      </c>
      <c r="E222" s="155" t="n">
        <v>10091.08</v>
      </c>
      <c r="F222" s="152" t="n">
        <v>13.15322581</v>
      </c>
      <c r="G222" s="152" t="n">
        <v>5.33</v>
      </c>
      <c r="H222" s="152" t="n">
        <v>7.823225806</v>
      </c>
      <c r="I222" s="156" t="n">
        <v>-16863.47586</v>
      </c>
      <c r="J222" s="152" t="n">
        <v>4.216018904</v>
      </c>
      <c r="K222" s="152" t="n">
        <v>119.83314</v>
      </c>
      <c r="L222" s="152" t="n">
        <v>12.7185</v>
      </c>
      <c r="M222" s="157" t="n">
        <v>0</v>
      </c>
      <c r="N222" s="155" t="n">
        <v>59608.32</v>
      </c>
      <c r="O222" s="152" t="n">
        <v>289.2380952</v>
      </c>
      <c r="P222" s="152" t="n">
        <v>2.892380952</v>
      </c>
      <c r="Q222" s="156" t="n">
        <v>81.25</v>
      </c>
      <c r="R222" s="156" t="n">
        <v>-731.25</v>
      </c>
      <c r="S222" s="152" t="n">
        <v>9.975</v>
      </c>
      <c r="T222" s="152" t="n">
        <v>4.119444444</v>
      </c>
      <c r="U222" s="152" t="n">
        <v>5.855555556</v>
      </c>
      <c r="V222" s="152" t="n">
        <v>2.079309988</v>
      </c>
      <c r="W222" s="152" t="n">
        <v>3.776245568</v>
      </c>
      <c r="X222" s="158" t="n">
        <v>4.895261905</v>
      </c>
      <c r="Y222" s="158" t="n">
        <v>875.7559143</v>
      </c>
      <c r="Z222" s="158" t="n">
        <v>17.1358319</v>
      </c>
      <c r="AA222" s="158" t="n">
        <v>3.733942105</v>
      </c>
      <c r="AB222" s="159" t="n">
        <v>-0.3922472592</v>
      </c>
      <c r="AC222" s="159" t="n">
        <v>-0.4358506351</v>
      </c>
      <c r="AD222" s="159" t="n">
        <v>120.6660979</v>
      </c>
      <c r="AE222" s="159" t="n">
        <v>137.72</v>
      </c>
      <c r="AF222" s="159" t="n">
        <v>1.8355</v>
      </c>
      <c r="AG222" s="159" t="n">
        <v>1.877</v>
      </c>
      <c r="AH222" s="159" t="n">
        <v>4.457</v>
      </c>
      <c r="AI222" s="159" t="n">
        <v>4.02</v>
      </c>
      <c r="AJ222" s="159" t="n">
        <v>-0.437</v>
      </c>
      <c r="AK222" s="159" t="n">
        <v>2.1275</v>
      </c>
      <c r="AL222" s="159" t="n">
        <v>2.1845</v>
      </c>
      <c r="AM222" s="159" t="n">
        <v>219.841</v>
      </c>
      <c r="AN222" s="159" t="n">
        <v>-0.49022</v>
      </c>
      <c r="AO222" s="159" t="n">
        <v>-0.3492</v>
      </c>
      <c r="AP222" s="159" t="n">
        <v>-0.382</v>
      </c>
      <c r="AQ222" s="159" t="n">
        <v>3.8465</v>
      </c>
      <c r="AR222" s="159" t="n"/>
      <c r="AS222" s="159" t="n"/>
      <c r="AT222" s="159" t="n">
        <v>3.8</v>
      </c>
      <c r="AU222" s="159" t="n">
        <v>101</v>
      </c>
      <c r="AV222" s="159" t="n"/>
      <c r="AW222" s="159" t="n">
        <v>98.96129999999999</v>
      </c>
      <c r="AX222" s="159" t="n">
        <v>114.781</v>
      </c>
      <c r="AY222" s="159" t="n">
        <v>4.35196812</v>
      </c>
      <c r="AZ222" s="159" t="n">
        <v>5.072250797</v>
      </c>
      <c r="BA222" s="159" t="n">
        <v>9.462809689</v>
      </c>
      <c r="BB222" s="159" t="n">
        <v>4.611182078</v>
      </c>
      <c r="BC222" s="159" t="n">
        <v>4.930870326</v>
      </c>
    </row>
    <row r="223">
      <c r="A223" s="83" t="inlineStr">
        <is>
          <t>2024-01</t>
        </is>
      </c>
      <c r="B223" s="155" t="n">
        <v>3915.19871</v>
      </c>
      <c r="C223" s="155" t="n">
        <v>151.86</v>
      </c>
      <c r="D223" s="155" t="n">
        <v>912.79</v>
      </c>
      <c r="E223" s="155" t="n">
        <v>10218.85</v>
      </c>
      <c r="F223" s="152" t="n">
        <v>13</v>
      </c>
      <c r="G223" s="152" t="n">
        <v>5.33</v>
      </c>
      <c r="H223" s="152" t="n">
        <v>7.67</v>
      </c>
      <c r="I223" s="156" t="n">
        <v>-1386.781896</v>
      </c>
      <c r="J223" s="152" t="n">
        <v>4.175494571</v>
      </c>
      <c r="K223" s="152" t="n">
        <v>120.2273571</v>
      </c>
      <c r="L223" s="152" t="n">
        <v>13.38863636</v>
      </c>
      <c r="M223" s="157" t="n">
        <v>0</v>
      </c>
      <c r="N223" s="155" t="n">
        <v>59653.73</v>
      </c>
      <c r="O223" s="152" t="n">
        <v>302.6956522</v>
      </c>
      <c r="P223" s="152" t="n">
        <v>3.026956522</v>
      </c>
      <c r="Q223" s="156" t="n">
        <v>212.29</v>
      </c>
      <c r="R223" s="156" t="n">
        <v>-2148.5</v>
      </c>
      <c r="S223" s="152" t="n">
        <v>9.345238094999999</v>
      </c>
      <c r="T223" s="152" t="n">
        <v>3.871904762</v>
      </c>
      <c r="U223" s="152" t="n">
        <v>5.473333333</v>
      </c>
      <c r="V223" s="152" t="n">
        <v>2.171176195</v>
      </c>
      <c r="W223" s="152" t="n">
        <v>3.302157138</v>
      </c>
      <c r="X223" s="158" t="n">
        <v>4.910917391</v>
      </c>
      <c r="Y223" s="158" t="n">
        <v>910.1408478</v>
      </c>
      <c r="Z223" s="158" t="n">
        <v>17.04017522</v>
      </c>
      <c r="AA223" s="158" t="n">
        <v>3.740742857</v>
      </c>
      <c r="AB223" s="159" t="n">
        <v>0.3397757829</v>
      </c>
      <c r="AC223" s="159" t="n">
        <v>0.2938950627</v>
      </c>
      <c r="AD223" s="159" t="n">
        <v>122.5328917</v>
      </c>
      <c r="AE223" s="159" t="n">
        <v>138.98</v>
      </c>
      <c r="AF223" s="159" t="n">
        <v>1.7919</v>
      </c>
      <c r="AG223" s="159" t="n">
        <v>1.75905</v>
      </c>
      <c r="AH223" s="159" t="n">
        <v>4.32286</v>
      </c>
      <c r="AI223" s="159" t="n">
        <v>4.0581</v>
      </c>
      <c r="AJ223" s="159" t="n">
        <v>-0.264762</v>
      </c>
      <c r="AK223" s="159" t="n">
        <v>2.22476</v>
      </c>
      <c r="AL223" s="159" t="n">
        <v>2.26619</v>
      </c>
      <c r="AM223" s="159" t="n">
        <v>236.305</v>
      </c>
      <c r="AN223" s="159" t="n">
        <v>-0.7242</v>
      </c>
      <c r="AO223" s="159" t="n">
        <v>-0.386</v>
      </c>
      <c r="AP223" s="159" t="n">
        <v>-0.4255</v>
      </c>
      <c r="AQ223" s="159" t="n">
        <v>3.78777</v>
      </c>
      <c r="AR223" s="159" t="n"/>
      <c r="AS223" s="159" t="n"/>
      <c r="AT223" s="159" t="n">
        <v>3.7</v>
      </c>
      <c r="AU223" s="159" t="n">
        <v>100.6</v>
      </c>
      <c r="AV223" s="159" t="n"/>
      <c r="AW223" s="159" t="n">
        <v>99.0663</v>
      </c>
      <c r="AX223" s="159" t="n">
        <v>115.004</v>
      </c>
      <c r="AY223" s="159" t="n">
        <v>4.383576683</v>
      </c>
      <c r="AZ223" s="159" t="n">
        <v>5.07096497</v>
      </c>
      <c r="BA223" s="159" t="n">
        <v>9.463042725999999</v>
      </c>
      <c r="BB223" s="159" t="n">
        <v>4.597362787</v>
      </c>
      <c r="BC223" s="159" t="n">
        <v>4.905274778</v>
      </c>
    </row>
    <row r="224">
      <c r="A224" s="83" t="inlineStr">
        <is>
          <t>2024-02</t>
        </is>
      </c>
      <c r="B224" s="155" t="n">
        <v>3931.438621</v>
      </c>
      <c r="C224" s="155" t="n">
        <v>151.07</v>
      </c>
      <c r="D224" s="155" t="n">
        <v>913.9299999999999</v>
      </c>
      <c r="E224" s="155" t="n">
        <v>10300.08</v>
      </c>
      <c r="F224" s="152" t="n">
        <v>12.75</v>
      </c>
      <c r="G224" s="152" t="n">
        <v>5.33</v>
      </c>
      <c r="H224" s="152" t="n">
        <v>7.42</v>
      </c>
      <c r="I224" s="156" t="n">
        <v>-12856.69828</v>
      </c>
      <c r="J224" s="152" t="n">
        <v>4.330062739</v>
      </c>
      <c r="K224" s="152" t="n">
        <v>121.06594</v>
      </c>
      <c r="L224" s="152" t="n">
        <v>13.98047619</v>
      </c>
      <c r="M224" s="157" t="n">
        <v>0</v>
      </c>
      <c r="N224" s="155" t="n">
        <v>59463.56</v>
      </c>
      <c r="O224" s="152" t="n">
        <v>309.0952381</v>
      </c>
      <c r="P224" s="152" t="n">
        <v>3.090952381</v>
      </c>
      <c r="Q224" s="156" t="n">
        <v>238.64</v>
      </c>
      <c r="R224" s="156" t="n">
        <v>-2663.26</v>
      </c>
      <c r="S224" s="152" t="n">
        <v>9.27</v>
      </c>
      <c r="T224" s="152" t="n">
        <v>3.984761905</v>
      </c>
      <c r="U224" s="152" t="n">
        <v>5.285238095</v>
      </c>
      <c r="V224" s="152" t="n">
        <v>2.264555013</v>
      </c>
      <c r="W224" s="152" t="n">
        <v>3.020683082</v>
      </c>
      <c r="X224" s="158" t="n">
        <v>4.964785714</v>
      </c>
      <c r="Y224" s="158" t="n">
        <v>965.8012095</v>
      </c>
      <c r="Z224" s="158" t="n">
        <v>17.07062048</v>
      </c>
      <c r="AA224" s="158" t="n">
        <v>3.827938095</v>
      </c>
      <c r="AB224" s="159" t="n">
        <v>0.7585337697</v>
      </c>
      <c r="AC224" s="159" t="n">
        <v>1.034813723</v>
      </c>
      <c r="AD224" s="159" t="n">
        <v>122.1308349</v>
      </c>
      <c r="AE224" s="159" t="n">
        <v>140.49</v>
      </c>
      <c r="AF224" s="159" t="n">
        <v>1.925</v>
      </c>
      <c r="AG224" s="159" t="n">
        <v>1.871</v>
      </c>
      <c r="AH224" s="159" t="n">
        <v>4.544</v>
      </c>
      <c r="AI224" s="159" t="n">
        <v>4.2075</v>
      </c>
      <c r="AJ224" s="159" t="n">
        <v>-0.3365</v>
      </c>
      <c r="AK224" s="159" t="n">
        <v>2.317</v>
      </c>
      <c r="AL224" s="159" t="n">
        <v>2.2825</v>
      </c>
      <c r="AM224" s="159" t="n">
        <v>165.063</v>
      </c>
      <c r="AN224" s="159" t="n">
        <v>-0.66465</v>
      </c>
      <c r="AO224" s="159" t="n">
        <v>-0.41525</v>
      </c>
      <c r="AP224" s="159" t="n">
        <v>-0.44775</v>
      </c>
      <c r="AQ224" s="159" t="n">
        <v>3.95896</v>
      </c>
      <c r="AR224" s="159" t="n"/>
      <c r="AS224" s="159" t="n"/>
      <c r="AT224" s="159" t="n">
        <v>3.9</v>
      </c>
      <c r="AU224" s="159" t="n">
        <v>100.5</v>
      </c>
      <c r="AV224" s="159" t="n"/>
      <c r="AW224" s="159" t="n">
        <v>99.17659999999999</v>
      </c>
      <c r="AX224" s="159" t="n">
        <v>116.231</v>
      </c>
      <c r="AY224" s="159" t="n">
        <v>4.424584322</v>
      </c>
      <c r="AZ224" s="159" t="n">
        <v>5.06661227</v>
      </c>
      <c r="BA224" s="159" t="n">
        <v>9.461254719999999</v>
      </c>
      <c r="BB224" s="159" t="n">
        <v>4.608016132</v>
      </c>
      <c r="BC224" s="159" t="n">
        <v>4.917056947</v>
      </c>
    </row>
    <row r="225">
      <c r="A225" s="83" t="inlineStr">
        <is>
          <t>2024-03</t>
        </is>
      </c>
      <c r="B225" s="155" t="n">
        <v>3899.34129</v>
      </c>
      <c r="C225" s="155" t="n">
        <v>152.47</v>
      </c>
      <c r="D225" s="155" t="n">
        <v>894.05</v>
      </c>
      <c r="E225" s="155" t="n">
        <v>10335.87</v>
      </c>
      <c r="F225" s="152" t="n">
        <v>12.65322581</v>
      </c>
      <c r="G225" s="152" t="n">
        <v>5.33</v>
      </c>
      <c r="H225" s="152" t="n">
        <v>7.323225806</v>
      </c>
      <c r="I225" s="156" t="n">
        <v>-2100.702934</v>
      </c>
      <c r="J225" s="152" t="n">
        <v>4.053981088</v>
      </c>
      <c r="K225" s="152" t="n">
        <v>120.6588333</v>
      </c>
      <c r="L225" s="152" t="n">
        <v>13.7875</v>
      </c>
      <c r="M225" s="157" t="n">
        <v>0</v>
      </c>
      <c r="N225" s="155" t="n">
        <v>59994.63</v>
      </c>
      <c r="O225" s="152" t="n">
        <v>295.5714286</v>
      </c>
      <c r="P225" s="152" t="n">
        <v>2.955714286</v>
      </c>
      <c r="Q225" s="156" t="n">
        <v>106.99</v>
      </c>
      <c r="R225" s="156" t="n">
        <v>-1353.85</v>
      </c>
      <c r="S225" s="152" t="n">
        <v>9.515555556000001</v>
      </c>
      <c r="T225" s="152" t="n">
        <v>4.392222222</v>
      </c>
      <c r="U225" s="152" t="n">
        <v>5.123333333</v>
      </c>
      <c r="V225" s="152" t="n">
        <v>2.317689991</v>
      </c>
      <c r="W225" s="152" t="n">
        <v>2.805643342</v>
      </c>
      <c r="X225" s="158" t="n">
        <v>4.9806</v>
      </c>
      <c r="Y225" s="158" t="n">
        <v>969.6888</v>
      </c>
      <c r="Z225" s="158" t="n">
        <v>16.73718857</v>
      </c>
      <c r="AA225" s="158" t="n">
        <v>3.708989474</v>
      </c>
      <c r="AB225" s="159" t="n">
        <v>-0.2600426789</v>
      </c>
      <c r="AC225" s="159" t="n">
        <v>-0.827477887</v>
      </c>
      <c r="AD225" s="159" t="n">
        <v>120.3110184</v>
      </c>
      <c r="AE225" s="159" t="n">
        <v>141.48</v>
      </c>
      <c r="AF225" s="159" t="n">
        <v>1.897</v>
      </c>
      <c r="AG225" s="159" t="n">
        <v>1.82</v>
      </c>
      <c r="AH225" s="159" t="n">
        <v>4.588</v>
      </c>
      <c r="AI225" s="159" t="n">
        <v>4.2085</v>
      </c>
      <c r="AJ225" s="159" t="n">
        <v>-0.3795</v>
      </c>
      <c r="AK225" s="159" t="n">
        <v>2.381</v>
      </c>
      <c r="AL225" s="159" t="n">
        <v>2.3115</v>
      </c>
      <c r="AM225" s="159" t="n">
        <v>176.222</v>
      </c>
      <c r="AN225" s="159" t="n">
        <v>-0.87132</v>
      </c>
      <c r="AO225" s="159" t="n">
        <v>-0.4366</v>
      </c>
      <c r="AP225" s="159" t="n">
        <v>-0.4926</v>
      </c>
      <c r="AQ225" s="159" t="n">
        <v>3.96757</v>
      </c>
      <c r="AR225" s="159" t="n"/>
      <c r="AS225" s="159" t="n"/>
      <c r="AT225" s="159" t="n">
        <v>3.9</v>
      </c>
      <c r="AU225" s="159" t="n">
        <v>100.5</v>
      </c>
      <c r="AV225" s="159" t="n"/>
      <c r="AW225" s="159" t="n"/>
      <c r="AX225" s="159" t="n">
        <v>115.227</v>
      </c>
      <c r="AY225" s="159" t="n">
        <v>4.447445627</v>
      </c>
      <c r="AZ225" s="159" t="n">
        <v>5.094179556</v>
      </c>
      <c r="BA225" s="159" t="n">
        <v>9.460009002</v>
      </c>
      <c r="BB225" s="159" t="n">
        <v>4.609729775</v>
      </c>
      <c r="BC225" s="159" t="n">
        <v>4.917788744</v>
      </c>
    </row>
    <row r="226">
      <c r="A226" s="83" t="inlineStr">
        <is>
          <t>2024-04</t>
        </is>
      </c>
      <c r="B226" s="155" t="n">
        <v>3867.975333</v>
      </c>
      <c r="C226" s="155" t="n">
        <v>156.2</v>
      </c>
      <c r="D226" s="155" t="n">
        <v>929.39</v>
      </c>
      <c r="E226" s="155" t="n">
        <v>10528.52</v>
      </c>
      <c r="F226" s="152" t="n">
        <v>12.25</v>
      </c>
      <c r="G226" s="152" t="n">
        <v>5.33</v>
      </c>
      <c r="H226" s="152" t="n">
        <v>6.92</v>
      </c>
      <c r="I226" s="156" t="n">
        <v>-18621.39771</v>
      </c>
      <c r="J226" s="152" t="n">
        <v>5.505846826</v>
      </c>
      <c r="K226" s="152" t="n">
        <v>122.1428136</v>
      </c>
      <c r="L226" s="152" t="n">
        <v>16.13772727</v>
      </c>
      <c r="M226" s="157" t="n">
        <v>0</v>
      </c>
      <c r="N226" s="155" t="n">
        <v>59806.04</v>
      </c>
      <c r="O226" s="152" t="n">
        <v>291.4090909</v>
      </c>
      <c r="P226" s="152" t="n">
        <v>2.914090909</v>
      </c>
      <c r="Q226" s="156" t="n">
        <v>322.53</v>
      </c>
      <c r="R226" s="156" t="n">
        <v>-2794.2</v>
      </c>
      <c r="S226" s="152" t="n">
        <v>10.28454545</v>
      </c>
      <c r="T226" s="152" t="n">
        <v>5.046363636</v>
      </c>
      <c r="U226" s="152" t="n">
        <v>5.238181818</v>
      </c>
      <c r="V226" s="152" t="n">
        <v>2.395227281</v>
      </c>
      <c r="W226" s="152" t="n">
        <v>2.842954538</v>
      </c>
      <c r="X226" s="158" t="n">
        <v>5.128790909</v>
      </c>
      <c r="Y226" s="158" t="n">
        <v>958.6875045</v>
      </c>
      <c r="Z226" s="158" t="n">
        <v>16.76438591</v>
      </c>
      <c r="AA226" s="158" t="n">
        <v>3.715031818</v>
      </c>
      <c r="AB226" s="159" t="n">
        <v>0.04061121811</v>
      </c>
      <c r="AC226" s="159" t="n">
        <v>0.06566204225</v>
      </c>
      <c r="AD226" s="159" t="n">
        <v>123.1111091</v>
      </c>
      <c r="AE226" s="159" t="n">
        <v>142.32</v>
      </c>
      <c r="AF226" s="159" t="n">
        <v>2.145</v>
      </c>
      <c r="AG226" s="159" t="n">
        <v>2.10545</v>
      </c>
      <c r="AH226" s="159" t="n">
        <v>4.87318</v>
      </c>
      <c r="AI226" s="159" t="n">
        <v>4.53909</v>
      </c>
      <c r="AJ226" s="159" t="n">
        <v>-0.334091</v>
      </c>
      <c r="AK226" s="159" t="n">
        <v>2.45136</v>
      </c>
      <c r="AL226" s="159" t="n">
        <v>2.39409</v>
      </c>
      <c r="AM226" s="159" t="n">
        <v>168.607</v>
      </c>
      <c r="AN226" s="159" t="n">
        <v>-0.72245</v>
      </c>
      <c r="AO226" s="159" t="n">
        <v>-0.42</v>
      </c>
      <c r="AP226" s="159" t="n">
        <v>-0.483</v>
      </c>
      <c r="AQ226" s="159" t="n">
        <v>3.92689</v>
      </c>
      <c r="AR226" s="159" t="n"/>
      <c r="AS226" s="159" t="n"/>
      <c r="AT226" s="159" t="n">
        <v>3.9</v>
      </c>
      <c r="AU226" s="159" t="n">
        <v>100.5</v>
      </c>
      <c r="AV226" s="159" t="n"/>
      <c r="AW226" s="159" t="n"/>
      <c r="AX226" s="159" t="n">
        <v>115.116</v>
      </c>
      <c r="AY226" s="159" t="n">
        <v>4.499121656</v>
      </c>
      <c r="AZ226" s="159" t="n">
        <v>5.138131009</v>
      </c>
      <c r="BA226" s="159" t="n">
        <v>9.459775257</v>
      </c>
      <c r="BB226" s="159" t="n">
        <v>4.607597238</v>
      </c>
      <c r="BC226" s="159" t="n">
        <v>4.90823336</v>
      </c>
    </row>
    <row r="227">
      <c r="A227" s="83" t="inlineStr">
        <is>
          <t>2024-05</t>
        </is>
      </c>
      <c r="B227" s="155" t="n">
        <v>3869.100645</v>
      </c>
      <c r="C227" s="155" t="n">
        <v>149.8</v>
      </c>
      <c r="D227" s="155" t="n">
        <v>960.09</v>
      </c>
      <c r="E227" s="155" t="n">
        <v>10611.43</v>
      </c>
      <c r="F227" s="152" t="n">
        <v>11.76612903</v>
      </c>
      <c r="G227" s="152" t="n">
        <v>5.33</v>
      </c>
      <c r="H227" s="152" t="n">
        <v>6.436129032</v>
      </c>
      <c r="I227" s="156" t="n">
        <v>-4474.015612</v>
      </c>
      <c r="J227" s="152" t="n">
        <v>5.787888007</v>
      </c>
      <c r="K227" s="152" t="n">
        <v>121.8583409</v>
      </c>
      <c r="L227" s="152" t="n">
        <v>13.05869565</v>
      </c>
      <c r="M227" s="157" t="n">
        <v>0</v>
      </c>
      <c r="N227" s="155" t="n">
        <v>60582.47</v>
      </c>
      <c r="O227" s="152" t="n">
        <v>297.3478261</v>
      </c>
      <c r="P227" s="152" t="n">
        <v>2.973478261</v>
      </c>
      <c r="Q227" s="156" t="n">
        <v>225.76</v>
      </c>
      <c r="R227" s="156" t="n">
        <v>-900.16</v>
      </c>
      <c r="S227" s="152" t="n">
        <v>10.24380952</v>
      </c>
      <c r="T227" s="152" t="n">
        <v>5.379047619</v>
      </c>
      <c r="U227" s="152" t="n">
        <v>4.864761905</v>
      </c>
      <c r="V227" s="152" t="n">
        <v>2.308363644</v>
      </c>
      <c r="W227" s="152" t="n">
        <v>2.556398261</v>
      </c>
      <c r="X227" s="158" t="n">
        <v>5.137221739</v>
      </c>
      <c r="Y227" s="158" t="n">
        <v>916.884113</v>
      </c>
      <c r="Z227" s="158" t="n">
        <v>16.76932696</v>
      </c>
      <c r="AA227" s="158" t="n">
        <v>3.731727273</v>
      </c>
      <c r="AB227" s="159" t="n">
        <v>-0.6410412244</v>
      </c>
      <c r="AC227" s="159" t="n">
        <v>-0.3881304846</v>
      </c>
      <c r="AD227" s="159" t="n">
        <v>122.63718</v>
      </c>
      <c r="AE227" s="159" t="n">
        <v>142.92</v>
      </c>
      <c r="AF227" s="159" t="n">
        <v>2.14818</v>
      </c>
      <c r="AG227" s="159" t="n">
        <v>2.16591</v>
      </c>
      <c r="AH227" s="159" t="n">
        <v>4.85636</v>
      </c>
      <c r="AI227" s="159" t="n">
        <v>4.48227</v>
      </c>
      <c r="AJ227" s="159" t="n">
        <v>-0.374091</v>
      </c>
      <c r="AK227" s="159" t="n">
        <v>2.33318</v>
      </c>
      <c r="AL227" s="159" t="n">
        <v>2.33409</v>
      </c>
      <c r="AM227" s="159" t="n">
        <v>180.929</v>
      </c>
      <c r="AN227" s="159" t="n">
        <v>-0.88906</v>
      </c>
      <c r="AO227" s="159" t="n">
        <v>-0.4128</v>
      </c>
      <c r="AP227" s="159" t="n">
        <v>-0.484</v>
      </c>
      <c r="AQ227" s="159" t="n">
        <v>4.02929</v>
      </c>
      <c r="AR227" s="159" t="n"/>
      <c r="AS227" s="159" t="n"/>
      <c r="AT227" s="159" t="n">
        <v>3.9</v>
      </c>
      <c r="AU227" s="159" t="n">
        <v>100.5</v>
      </c>
      <c r="AV227" s="159" t="n"/>
      <c r="AW227" s="159" t="n"/>
      <c r="AX227" s="159" t="n">
        <v>115.116</v>
      </c>
      <c r="AY227" s="159" t="n">
        <v>4.403619326</v>
      </c>
      <c r="AZ227" s="159" t="n">
        <v>5.127979715</v>
      </c>
      <c r="BA227" s="159" t="n">
        <v>9.459151670000001</v>
      </c>
      <c r="BB227" s="159" t="n">
        <v>4.61376316</v>
      </c>
      <c r="BC227" s="159" t="n">
        <v>4.932313327</v>
      </c>
    </row>
    <row r="228">
      <c r="A228" s="83" t="inlineStr">
        <is>
          <t>2024-06</t>
        </is>
      </c>
      <c r="B228" s="155" t="n">
        <v>4042.797</v>
      </c>
      <c r="C228" s="155" t="n">
        <v>157.16</v>
      </c>
      <c r="D228" s="155" t="n">
        <v>1017.28</v>
      </c>
      <c r="E228" s="155" t="n">
        <v>10845.23</v>
      </c>
      <c r="F228" s="152" t="n">
        <v>11.75</v>
      </c>
      <c r="G228" s="152" t="n">
        <v>5.33</v>
      </c>
      <c r="H228" s="152" t="n">
        <v>6.42</v>
      </c>
      <c r="I228" s="156" t="n">
        <v>-15576.83121</v>
      </c>
      <c r="J228" s="152" t="n">
        <v>6.332222692</v>
      </c>
      <c r="K228" s="152" t="n">
        <v>123.7094789</v>
      </c>
      <c r="L228" s="152" t="n">
        <v>12.667</v>
      </c>
      <c r="M228" s="157" t="n">
        <v>0</v>
      </c>
      <c r="N228" s="155" t="n">
        <v>60901.42</v>
      </c>
      <c r="O228" s="152" t="n">
        <v>313.05</v>
      </c>
      <c r="P228" s="152" t="n">
        <v>3.1305</v>
      </c>
      <c r="Q228" s="156" t="n">
        <v>407.34</v>
      </c>
      <c r="R228" s="156" t="n">
        <v>-2003.2</v>
      </c>
      <c r="S228" s="152" t="n">
        <v>10.25777778</v>
      </c>
      <c r="T228" s="152" t="n">
        <v>5.384444444</v>
      </c>
      <c r="U228" s="152" t="n">
        <v>4.873333333</v>
      </c>
      <c r="V228" s="152" t="n">
        <v>2.21875788</v>
      </c>
      <c r="W228" s="152" t="n">
        <v>2.654575453</v>
      </c>
      <c r="X228" s="158" t="n">
        <v>5.38867</v>
      </c>
      <c r="Y228" s="158" t="n">
        <v>927.894005</v>
      </c>
      <c r="Z228" s="158" t="n">
        <v>18.13341225</v>
      </c>
      <c r="AA228" s="158" t="n">
        <v>3.786705263</v>
      </c>
      <c r="AB228" s="159" t="n">
        <v>1.416648456</v>
      </c>
      <c r="AC228" s="159" t="n">
        <v>1.359107684</v>
      </c>
      <c r="AD228" s="159" t="n">
        <v>120.5987001</v>
      </c>
      <c r="AE228" s="159" t="n">
        <v>143.38</v>
      </c>
      <c r="AF228" s="159" t="n">
        <v>2.05</v>
      </c>
      <c r="AG228" s="159" t="n">
        <v>2.10263</v>
      </c>
      <c r="AH228" s="159" t="n">
        <v>4.73684</v>
      </c>
      <c r="AI228" s="159" t="n">
        <v>4.30526</v>
      </c>
      <c r="AJ228" s="159" t="n">
        <v>-0.431579</v>
      </c>
      <c r="AK228" s="159" t="n">
        <v>2.21421</v>
      </c>
      <c r="AL228" s="159" t="n">
        <v>2.25526</v>
      </c>
      <c r="AM228" s="159" t="n">
        <v>171.668</v>
      </c>
      <c r="AN228" s="159" t="n">
        <v>-0.8382500000000001</v>
      </c>
      <c r="AO228" s="159" t="n">
        <v>-0.392</v>
      </c>
      <c r="AP228" s="159" t="n">
        <v>-0.43875</v>
      </c>
      <c r="AQ228" s="159" t="n">
        <v>4.15946</v>
      </c>
      <c r="AR228" s="159" t="n"/>
      <c r="AS228" s="159" t="n"/>
      <c r="AT228" s="159" t="n">
        <v>4.1</v>
      </c>
      <c r="AU228" s="159" t="n">
        <v>100.5</v>
      </c>
      <c r="AV228" s="159" t="n"/>
      <c r="AW228" s="159" t="n"/>
      <c r="AX228" s="159" t="n">
        <v>114.781</v>
      </c>
      <c r="AY228" s="159" t="n">
        <v>4.409714756</v>
      </c>
      <c r="AZ228" s="159" t="n">
        <v>5.116477694</v>
      </c>
      <c r="BA228" s="159" t="n">
        <v>9.458293601999999</v>
      </c>
      <c r="BB228" s="159" t="n">
        <v>4.614070461</v>
      </c>
      <c r="BC228" s="159" t="n">
        <v>4.926528785</v>
      </c>
    </row>
    <row r="229">
      <c r="A229" s="83" t="inlineStr">
        <is>
          <t>2024-07</t>
        </is>
      </c>
      <c r="B229" s="155" t="n">
        <v>4036.921935</v>
      </c>
      <c r="C229" s="155" t="n">
        <v>156.3</v>
      </c>
      <c r="D229" s="155" t="n">
        <v>1006.44</v>
      </c>
      <c r="E229" s="155" t="n">
        <v>11090.06</v>
      </c>
      <c r="F229" s="152" t="n">
        <v>11.26612903</v>
      </c>
      <c r="G229" s="152" t="n">
        <v>5.33</v>
      </c>
      <c r="H229" s="152" t="n">
        <v>5.936129032</v>
      </c>
      <c r="I229" s="156" t="n">
        <v>-2836.833987</v>
      </c>
      <c r="J229" s="152" t="n">
        <v>6.443703501</v>
      </c>
      <c r="K229" s="152" t="n">
        <v>123.3824364</v>
      </c>
      <c r="L229" s="152" t="n">
        <v>14.37391304</v>
      </c>
      <c r="M229" s="157" t="n">
        <v>0</v>
      </c>
      <c r="N229" s="155" t="n">
        <v>61868.46</v>
      </c>
      <c r="O229" s="152" t="n">
        <v>308.5652174</v>
      </c>
      <c r="P229" s="152" t="n">
        <v>3.085652174</v>
      </c>
      <c r="Q229" s="156" t="n">
        <v>195.45</v>
      </c>
      <c r="R229" s="156" t="n">
        <v>-1168.91</v>
      </c>
      <c r="S229" s="152" t="n">
        <v>10.19727273</v>
      </c>
      <c r="T229" s="152" t="n">
        <v>5.494545455</v>
      </c>
      <c r="U229" s="152" t="n">
        <v>4.702727273</v>
      </c>
      <c r="V229" s="152" t="n">
        <v>2.206277273</v>
      </c>
      <c r="W229" s="152" t="n">
        <v>2.49645</v>
      </c>
      <c r="X229" s="158" t="n">
        <v>5.541747826</v>
      </c>
      <c r="Y229" s="158" t="n">
        <v>935.9515348</v>
      </c>
      <c r="Z229" s="158" t="n">
        <v>18.06171826</v>
      </c>
      <c r="AA229" s="158" t="n">
        <v>3.764135</v>
      </c>
      <c r="AB229" s="159" t="n">
        <v>0.2122136521</v>
      </c>
      <c r="AC229" s="159" t="n">
        <v>0.04138275339</v>
      </c>
      <c r="AD229" s="159" t="n">
        <v>122.8048816</v>
      </c>
      <c r="AE229" s="159" t="n">
        <v>143.67</v>
      </c>
      <c r="AF229" s="159" t="n">
        <v>1.97409</v>
      </c>
      <c r="AG229" s="159" t="n">
        <v>1.97727</v>
      </c>
      <c r="AH229" s="159" t="n">
        <v>4.49591</v>
      </c>
      <c r="AI229" s="159" t="n">
        <v>4.24864</v>
      </c>
      <c r="AJ229" s="159" t="n">
        <v>-0.247273</v>
      </c>
      <c r="AK229" s="159" t="n">
        <v>2.18455</v>
      </c>
      <c r="AL229" s="159" t="n">
        <v>2.27455</v>
      </c>
      <c r="AM229" s="159" t="n">
        <v>224.187</v>
      </c>
      <c r="AN229" s="159" t="n">
        <v>-0.731025</v>
      </c>
      <c r="AO229" s="159" t="n">
        <v>-0.36725</v>
      </c>
      <c r="AP229" s="159" t="n">
        <v>-0.40825</v>
      </c>
      <c r="AQ229" s="159" t="n">
        <v>4.25757</v>
      </c>
      <c r="AR229" s="159" t="n"/>
      <c r="AS229" s="159" t="n"/>
      <c r="AT229" s="159" t="n">
        <v>4.2</v>
      </c>
      <c r="AU229" s="159" t="n">
        <v>100.4</v>
      </c>
      <c r="AV229" s="159" t="n"/>
      <c r="AW229" s="159" t="n"/>
      <c r="AX229" s="159" t="n">
        <v>115.339</v>
      </c>
      <c r="AY229" s="159" t="n">
        <v>4.444449638</v>
      </c>
      <c r="AZ229" s="159" t="n">
        <v>5.112728478</v>
      </c>
      <c r="BA229" s="159" t="n">
        <v>9.45766909</v>
      </c>
      <c r="BB229" s="159" t="n">
        <v>4.604927156</v>
      </c>
      <c r="BC229" s="159" t="n">
        <v>4.92289638</v>
      </c>
    </row>
    <row r="230">
      <c r="A230" s="83" t="inlineStr">
        <is>
          <t>2024-08</t>
        </is>
      </c>
      <c r="B230" s="155" t="n">
        <v>4065.546452</v>
      </c>
      <c r="C230" s="155" t="n">
        <v>157.21</v>
      </c>
      <c r="D230" s="155" t="n">
        <v>1008.94</v>
      </c>
      <c r="E230" s="155" t="n">
        <v>11211.24</v>
      </c>
      <c r="F230" s="152" t="n">
        <v>10.75</v>
      </c>
      <c r="G230" s="152" t="n">
        <v>5.33</v>
      </c>
      <c r="H230" s="152" t="n">
        <v>5.42</v>
      </c>
      <c r="I230" s="156" t="n">
        <v>-10928.00282</v>
      </c>
      <c r="J230" s="152" t="n">
        <v>6.790500101</v>
      </c>
      <c r="K230" s="152" t="n">
        <v>122.6137409</v>
      </c>
      <c r="L230" s="152" t="n">
        <v>19.31227273</v>
      </c>
      <c r="M230" s="157" t="n">
        <v>0</v>
      </c>
      <c r="N230" s="155" t="n">
        <v>62778.49</v>
      </c>
      <c r="O230" s="152" t="n">
        <v>322.1363636</v>
      </c>
      <c r="P230" s="152" t="n">
        <v>3.221363636</v>
      </c>
      <c r="Q230" s="156" t="n">
        <v>185.67</v>
      </c>
      <c r="R230" s="156" t="n">
        <v>-1451.07</v>
      </c>
      <c r="S230" s="152" t="n">
        <v>9.582000000000001</v>
      </c>
      <c r="T230" s="152" t="n">
        <v>5.0475</v>
      </c>
      <c r="U230" s="152" t="n">
        <v>4.5345</v>
      </c>
      <c r="V230" s="152" t="n">
        <v>2.027113627</v>
      </c>
      <c r="W230" s="152" t="n">
        <v>2.507386373</v>
      </c>
      <c r="X230" s="158" t="n">
        <v>5.552313636</v>
      </c>
      <c r="Y230" s="158" t="n">
        <v>927.7602182000001</v>
      </c>
      <c r="Z230" s="158" t="n">
        <v>19.07088545</v>
      </c>
      <c r="AA230" s="158" t="n">
        <v>3.74185</v>
      </c>
      <c r="AB230" s="159" t="n">
        <v>0.4554266835</v>
      </c>
      <c r="AC230" s="159" t="n">
        <v>0.2246027761</v>
      </c>
      <c r="AD230" s="159" t="n">
        <v>122.4661119</v>
      </c>
      <c r="AE230" s="159" t="n">
        <v>143.67</v>
      </c>
      <c r="AF230" s="159" t="n">
        <v>1.76091</v>
      </c>
      <c r="AG230" s="159" t="n">
        <v>1.73909</v>
      </c>
      <c r="AH230" s="159" t="n">
        <v>3.96545</v>
      </c>
      <c r="AI230" s="159" t="n">
        <v>3.87091</v>
      </c>
      <c r="AJ230" s="159" t="n">
        <v>-0.0945455</v>
      </c>
      <c r="AK230" s="159" t="n">
        <v>1.97318</v>
      </c>
      <c r="AL230" s="159" t="n">
        <v>2.11</v>
      </c>
      <c r="AM230" s="159" t="n">
        <v>189.159</v>
      </c>
      <c r="AN230" s="159" t="n">
        <v>-0.49952</v>
      </c>
      <c r="AO230" s="159" t="n">
        <v>-0.3718</v>
      </c>
      <c r="AP230" s="159" t="n">
        <v>-0.4146</v>
      </c>
      <c r="AQ230" s="159" t="n">
        <v>4.25934</v>
      </c>
      <c r="AR230" s="159" t="n"/>
      <c r="AS230" s="159" t="n"/>
      <c r="AT230" s="159" t="n">
        <v>4.2</v>
      </c>
      <c r="AU230" s="159" t="n">
        <v>100.4</v>
      </c>
      <c r="AV230" s="159" t="n"/>
      <c r="AW230" s="159" t="n"/>
      <c r="AX230" s="159" t="n">
        <v>115.785</v>
      </c>
      <c r="AY230" s="159" t="n">
        <v>4.386456807</v>
      </c>
      <c r="AZ230" s="159" t="n">
        <v>5.100805012</v>
      </c>
      <c r="BA230" s="159" t="n">
        <v>9.455010553999999</v>
      </c>
      <c r="BB230" s="159" t="n">
        <v>4.609470925</v>
      </c>
      <c r="BC230" s="159" t="n">
        <v>4.933034048</v>
      </c>
    </row>
    <row r="231">
      <c r="A231" s="83" t="inlineStr">
        <is>
          <t>2024-09</t>
        </is>
      </c>
      <c r="B231" s="155" t="n">
        <v>4182.512333</v>
      </c>
      <c r="C231" s="155" t="n">
        <v>153.43</v>
      </c>
      <c r="D231" s="155" t="n">
        <v>1037.32</v>
      </c>
      <c r="E231" s="155" t="n">
        <v>11367.09</v>
      </c>
      <c r="F231" s="152" t="n">
        <v>10.75</v>
      </c>
      <c r="G231" s="152" t="n">
        <v>5.13</v>
      </c>
      <c r="H231" s="152" t="n">
        <v>5.62</v>
      </c>
      <c r="I231" s="156" t="n">
        <v>-1961.057506</v>
      </c>
      <c r="J231" s="152" t="n">
        <v>6.646096117</v>
      </c>
      <c r="K231" s="152" t="n">
        <v>121.884855</v>
      </c>
      <c r="L231" s="152" t="n">
        <v>17.66333333</v>
      </c>
      <c r="M231" s="157" t="n">
        <v>0</v>
      </c>
      <c r="N231" s="155" t="n">
        <v>63581.9</v>
      </c>
      <c r="O231" s="152" t="n">
        <v>323.6190476</v>
      </c>
      <c r="P231" s="152" t="n">
        <v>3.236190476</v>
      </c>
      <c r="Q231" s="156" t="n">
        <v>317.91</v>
      </c>
      <c r="R231" s="156" t="n">
        <v>-1670.42</v>
      </c>
      <c r="S231" s="152" t="n">
        <v>9.359999999999999</v>
      </c>
      <c r="T231" s="152" t="n">
        <v>4.953333333</v>
      </c>
      <c r="U231" s="152" t="n">
        <v>4.406666667</v>
      </c>
      <c r="V231" s="152" t="n">
        <v>2.036079991</v>
      </c>
      <c r="W231" s="152" t="n">
        <v>2.370586676</v>
      </c>
      <c r="X231" s="158" t="n">
        <v>5.541266667</v>
      </c>
      <c r="Y231" s="158" t="n">
        <v>925.8795476</v>
      </c>
      <c r="Z231" s="158" t="n">
        <v>19.52721143</v>
      </c>
      <c r="AA231" s="158" t="n">
        <v>3.768961905</v>
      </c>
      <c r="AB231" s="159" t="n">
        <v>0.1366409956</v>
      </c>
      <c r="AC231" s="159" t="n">
        <v>0.2501509067</v>
      </c>
      <c r="AD231" s="159" t="n">
        <v>122.0767819</v>
      </c>
      <c r="AE231" s="159" t="n">
        <v>144.02</v>
      </c>
      <c r="AF231" s="159" t="n">
        <v>1.616</v>
      </c>
      <c r="AG231" s="159" t="n">
        <v>1.53</v>
      </c>
      <c r="AH231" s="159" t="n">
        <v>3.6225</v>
      </c>
      <c r="AI231" s="159" t="n">
        <v>3.7235</v>
      </c>
      <c r="AJ231" s="159" t="n">
        <v>0.101</v>
      </c>
      <c r="AK231" s="159" t="n">
        <v>1.967</v>
      </c>
      <c r="AL231" s="159" t="n">
        <v>2.1075</v>
      </c>
      <c r="AM231" s="159" t="n">
        <v>199.996</v>
      </c>
      <c r="AN231" s="159" t="n">
        <v>-0.34855</v>
      </c>
      <c r="AO231" s="159" t="n">
        <v>-0.41625</v>
      </c>
      <c r="AP231" s="159" t="n">
        <v>-0.48575</v>
      </c>
      <c r="AQ231" s="159" t="n">
        <v>4.10999</v>
      </c>
      <c r="AR231" s="159" t="n"/>
      <c r="AS231" s="159" t="n"/>
      <c r="AT231" s="159" t="n">
        <v>4.1</v>
      </c>
      <c r="AU231" s="159" t="n">
        <v>100.4</v>
      </c>
      <c r="AV231" s="159" t="n"/>
      <c r="AW231" s="159" t="n"/>
      <c r="AX231" s="159" t="n">
        <v>115.785</v>
      </c>
      <c r="AY231" s="159" t="n">
        <v>4.304290743</v>
      </c>
      <c r="AZ231" s="159" t="n">
        <v>5.083265985</v>
      </c>
      <c r="BA231" s="159" t="n">
        <v>9.453913804999999</v>
      </c>
      <c r="BB231" s="159" t="n">
        <v>4.603252348</v>
      </c>
      <c r="BC231" s="159" t="n">
        <v>4.922168313</v>
      </c>
    </row>
    <row r="232">
      <c r="A232" s="83" t="inlineStr">
        <is>
          <t>2024-10</t>
        </is>
      </c>
      <c r="B232" s="155" t="n">
        <v>4249.47</v>
      </c>
      <c r="C232" s="155" t="n">
        <v>157.45</v>
      </c>
      <c r="D232" s="155" t="n">
        <v>1036.4</v>
      </c>
      <c r="E232" s="155" t="n">
        <v>11517.74</v>
      </c>
      <c r="F232" s="152" t="n">
        <v>10.25</v>
      </c>
      <c r="G232" s="152" t="n">
        <v>4.83</v>
      </c>
      <c r="H232" s="152" t="n">
        <v>5.42</v>
      </c>
      <c r="I232" s="156" t="n">
        <v>-13343.67814</v>
      </c>
      <c r="J232" s="152" t="n">
        <v>6.652100585</v>
      </c>
      <c r="K232" s="152" t="n">
        <v>123.5952909</v>
      </c>
      <c r="L232" s="152" t="n">
        <v>19.96086957</v>
      </c>
      <c r="M232" s="157" t="n">
        <v>0</v>
      </c>
      <c r="N232" s="155" t="n">
        <v>62771.57</v>
      </c>
      <c r="O232" s="152" t="n">
        <v>312.0869565</v>
      </c>
      <c r="P232" s="152" t="n">
        <v>3.120869565</v>
      </c>
      <c r="Q232" s="156" t="n">
        <v>383.15</v>
      </c>
      <c r="R232" s="156" t="n">
        <v>-3459.65</v>
      </c>
      <c r="S232" s="152" t="n">
        <v>9.719545455</v>
      </c>
      <c r="T232" s="152" t="n">
        <v>5.191363636</v>
      </c>
      <c r="U232" s="152" t="n">
        <v>4.528181818</v>
      </c>
      <c r="V232" s="152" t="n">
        <v>2.255495462</v>
      </c>
      <c r="W232" s="152" t="n">
        <v>2.272686357</v>
      </c>
      <c r="X232" s="158" t="n">
        <v>5.623808696</v>
      </c>
      <c r="Y232" s="158" t="n">
        <v>938.5641261</v>
      </c>
      <c r="Z232" s="158" t="n">
        <v>19.64228217</v>
      </c>
      <c r="AA232" s="158" t="n">
        <v>3.754363636</v>
      </c>
      <c r="AB232" s="159" t="n">
        <v>0.2716453405</v>
      </c>
      <c r="AC232" s="159" t="n">
        <v>0.1281423752</v>
      </c>
      <c r="AD232" s="159" t="n">
        <v>123.7297977</v>
      </c>
      <c r="AE232" s="159" t="n">
        <v>143.83</v>
      </c>
      <c r="AF232" s="159" t="n">
        <v>1.80955</v>
      </c>
      <c r="AG232" s="159" t="n">
        <v>1.67909</v>
      </c>
      <c r="AH232" s="159" t="n">
        <v>3.97227</v>
      </c>
      <c r="AI232" s="159" t="n">
        <v>4.09545</v>
      </c>
      <c r="AJ232" s="159" t="n">
        <v>0.123182</v>
      </c>
      <c r="AK232" s="159" t="n">
        <v>2.23136</v>
      </c>
      <c r="AL232" s="159" t="n">
        <v>2.28591</v>
      </c>
      <c r="AM232" s="159" t="n">
        <v>202.389</v>
      </c>
      <c r="AN232" s="159" t="n">
        <v>-0.5271</v>
      </c>
      <c r="AO232" s="159" t="n">
        <v>-0.43875</v>
      </c>
      <c r="AP232" s="159" t="n">
        <v>-0.522</v>
      </c>
      <c r="AQ232" s="159" t="n">
        <v>4.18008</v>
      </c>
      <c r="AR232" s="159" t="n"/>
      <c r="AS232" s="159" t="n"/>
      <c r="AT232" s="159" t="n">
        <v>4.1</v>
      </c>
      <c r="AU232" s="159" t="n">
        <v>100.4</v>
      </c>
      <c r="AV232" s="159" t="n"/>
      <c r="AW232" s="159" t="n"/>
      <c r="AX232" s="159" t="n">
        <v>115.562</v>
      </c>
      <c r="AY232" s="159" t="n">
        <v>4.325887407</v>
      </c>
      <c r="AZ232" s="159" t="n">
        <v>5.115127433</v>
      </c>
      <c r="BA232" s="159" t="n">
        <v>9.449121024</v>
      </c>
      <c r="BB232" s="159" t="n">
        <v>4.599851065</v>
      </c>
      <c r="BC232" s="159" t="n">
        <v>4.929425239</v>
      </c>
    </row>
    <row r="233">
      <c r="A233" s="83" t="inlineStr">
        <is>
          <t>2024-11</t>
        </is>
      </c>
      <c r="B233" s="155" t="n">
        <v>4408.652333</v>
      </c>
      <c r="C233" s="155" t="n">
        <v>157.35</v>
      </c>
      <c r="D233" s="155" t="n">
        <v>1033.19</v>
      </c>
      <c r="E233" s="155" t="n">
        <v>11664.03</v>
      </c>
      <c r="F233" s="152" t="n">
        <v>9.75</v>
      </c>
      <c r="G233" s="152" t="n">
        <v>4.64</v>
      </c>
      <c r="H233" s="152" t="n">
        <v>5.11</v>
      </c>
      <c r="I233" s="156" t="n">
        <v>-18186.62878</v>
      </c>
      <c r="J233" s="152" t="n">
        <v>6.953539496</v>
      </c>
      <c r="K233" s="152" t="n">
        <v>126.3113368</v>
      </c>
      <c r="L233" s="152" t="n">
        <v>16.0152381</v>
      </c>
      <c r="M233" s="157" t="n">
        <v>0</v>
      </c>
      <c r="N233" s="155" t="n">
        <v>62957.73</v>
      </c>
      <c r="O233" s="152" t="n">
        <v>323.952381</v>
      </c>
      <c r="P233" s="152" t="n">
        <v>3.23952381</v>
      </c>
      <c r="Q233" s="156" t="n">
        <v>210.39</v>
      </c>
      <c r="R233" s="156" t="n">
        <v>-1826.94</v>
      </c>
      <c r="S233" s="152" t="n">
        <v>10.02210526</v>
      </c>
      <c r="T233" s="152" t="n">
        <v>5.334736842</v>
      </c>
      <c r="U233" s="152" t="n">
        <v>4.687368421</v>
      </c>
      <c r="V233" s="152" t="n">
        <v>2.331473652</v>
      </c>
      <c r="W233" s="152" t="n">
        <v>2.355894769</v>
      </c>
      <c r="X233" s="158" t="n">
        <v>5.804314286</v>
      </c>
      <c r="Y233" s="158" t="n">
        <v>971.6471381</v>
      </c>
      <c r="Z233" s="158" t="n">
        <v>20.25711857</v>
      </c>
      <c r="AA233" s="158" t="n">
        <v>3.779135</v>
      </c>
      <c r="AB233" s="159" t="n">
        <v>0.9856346216</v>
      </c>
      <c r="AC233" s="159" t="n">
        <v>0.8739609857</v>
      </c>
      <c r="AD233" s="159" t="n">
        <v>122.5354155</v>
      </c>
      <c r="AE233" s="159" t="n">
        <v>144.22</v>
      </c>
      <c r="AF233" s="159" t="n">
        <v>2.03474</v>
      </c>
      <c r="AG233" s="159" t="n">
        <v>1.84053</v>
      </c>
      <c r="AH233" s="159" t="n">
        <v>4.25737</v>
      </c>
      <c r="AI233" s="159" t="n">
        <v>4.35579</v>
      </c>
      <c r="AJ233" s="159" t="n">
        <v>0.0984211</v>
      </c>
      <c r="AK233" s="159" t="n">
        <v>2.38789</v>
      </c>
      <c r="AL233" s="159" t="n">
        <v>2.32105</v>
      </c>
      <c r="AM233" s="159" t="n">
        <v>279.043</v>
      </c>
      <c r="AN233" s="159" t="n">
        <v>-0.57236</v>
      </c>
      <c r="AO233" s="159" t="n">
        <v>-0.466</v>
      </c>
      <c r="AP233" s="159" t="n">
        <v>-0.5578</v>
      </c>
      <c r="AQ233" s="159" t="n">
        <v>4.29553</v>
      </c>
      <c r="AR233" s="159" t="n"/>
      <c r="AS233" s="159" t="n"/>
      <c r="AT233" s="159" t="n">
        <v>4.2</v>
      </c>
      <c r="AU233" s="159" t="n">
        <v>100.4</v>
      </c>
      <c r="AV233" s="159" t="n"/>
      <c r="AW233" s="159" t="n"/>
      <c r="AX233" s="159" t="n">
        <v>114.892</v>
      </c>
      <c r="AY233" s="159" t="n">
        <v>4.308719111</v>
      </c>
      <c r="AZ233" s="159" t="n">
        <v>5.11333026</v>
      </c>
      <c r="BA233" s="159" t="n">
        <v>9.450223039000001</v>
      </c>
      <c r="BB233" s="159" t="n">
        <v>4.598070039</v>
      </c>
      <c r="BC233" s="159" t="n">
        <v>4.920710587</v>
      </c>
    </row>
    <row r="234">
      <c r="A234" s="83" t="inlineStr">
        <is>
          <t>2024-12</t>
        </is>
      </c>
      <c r="B234" s="155" t="n">
        <v>4385.14871</v>
      </c>
      <c r="C234" s="155" t="n">
        <v>161.4</v>
      </c>
      <c r="D234" s="155" t="n">
        <v>1098.4</v>
      </c>
      <c r="E234" s="155" t="n">
        <v>11848.22</v>
      </c>
      <c r="F234" s="152" t="n">
        <v>9.677419355</v>
      </c>
      <c r="G234" s="152" t="n">
        <v>4.48</v>
      </c>
      <c r="H234" s="152" t="n">
        <v>5.197419355</v>
      </c>
      <c r="I234" s="156" t="n">
        <v>-12238.24063</v>
      </c>
      <c r="J234" s="152" t="n">
        <v>6.683581401</v>
      </c>
      <c r="K234" s="152" t="n">
        <v>127.575781</v>
      </c>
      <c r="L234" s="152" t="n">
        <v>15.86619048</v>
      </c>
      <c r="M234" s="157" t="n">
        <v>0</v>
      </c>
      <c r="N234" s="155" t="n">
        <v>62481.18</v>
      </c>
      <c r="O234" s="152" t="n">
        <v>323</v>
      </c>
      <c r="P234" s="152" t="n">
        <v>3.23</v>
      </c>
      <c r="Q234" s="156" t="n">
        <v>54.57</v>
      </c>
      <c r="R234" s="156" t="n">
        <v>-2952.47</v>
      </c>
      <c r="S234" s="152" t="n">
        <v>10.371</v>
      </c>
      <c r="T234" s="152" t="n">
        <v>5.261</v>
      </c>
      <c r="U234" s="152" t="n">
        <v>5.11</v>
      </c>
      <c r="V234" s="152" t="n">
        <v>2.296300014</v>
      </c>
      <c r="W234" s="152" t="n">
        <v>2.813699986</v>
      </c>
      <c r="X234" s="158" t="n">
        <v>6.099286364</v>
      </c>
      <c r="Y234" s="158" t="n">
        <v>984.5883773</v>
      </c>
      <c r="Z234" s="158" t="n">
        <v>20.20261636</v>
      </c>
      <c r="AA234" s="158" t="n">
        <v>3.735536842</v>
      </c>
      <c r="AB234" s="159" t="n">
        <v>0.4806324555</v>
      </c>
      <c r="AC234" s="159" t="n">
        <v>0.1295526405</v>
      </c>
      <c r="AD234" s="159" t="n">
        <v>125.0896289</v>
      </c>
      <c r="AE234" s="159" t="n">
        <v>144.88</v>
      </c>
      <c r="AF234" s="159" t="n">
        <v>2.0881</v>
      </c>
      <c r="AG234" s="159" t="n">
        <v>1.88762</v>
      </c>
      <c r="AH234" s="159" t="n">
        <v>4.22571</v>
      </c>
      <c r="AI234" s="159" t="n">
        <v>4.39143</v>
      </c>
      <c r="AJ234" s="159" t="n">
        <v>0.165714</v>
      </c>
      <c r="AK234" s="159" t="n">
        <v>2.36381</v>
      </c>
      <c r="AL234" s="159" t="n">
        <v>2.30333</v>
      </c>
      <c r="AM234" s="159" t="n">
        <v>322.977</v>
      </c>
      <c r="AN234" s="159" t="n">
        <v>-0.553375</v>
      </c>
      <c r="AO234" s="159" t="n">
        <v>-0.482</v>
      </c>
      <c r="AP234" s="159" t="n">
        <v>-0.55025</v>
      </c>
      <c r="AQ234" s="159" t="n">
        <v>4.16166</v>
      </c>
      <c r="AR234" s="159" t="n"/>
      <c r="AS234" s="159" t="n"/>
      <c r="AT234" s="159" t="n">
        <v>4.1</v>
      </c>
      <c r="AU234" s="159" t="n">
        <v>100.3</v>
      </c>
      <c r="AV234" s="159" t="n"/>
      <c r="AW234" s="159" t="n"/>
      <c r="AX234" s="159" t="n">
        <v>114.892</v>
      </c>
      <c r="AY234" s="159" t="n">
        <v>4.30216464</v>
      </c>
      <c r="AZ234" s="159" t="n">
        <v>5.116165795</v>
      </c>
      <c r="BA234" s="159" t="n">
        <v>9.448805939</v>
      </c>
      <c r="BB234" s="159" t="n">
        <v>4.608434851</v>
      </c>
      <c r="BC234" s="159" t="n">
        <v>4.922168313</v>
      </c>
    </row>
    <row r="235">
      <c r="A235" s="83" t="inlineStr">
        <is>
          <t>2025-01</t>
        </is>
      </c>
      <c r="B235" s="155" t="n">
        <v>4307.567419</v>
      </c>
      <c r="C235" s="155" t="n">
        <v>165.69</v>
      </c>
      <c r="D235" s="155" t="n">
        <v>1009.66</v>
      </c>
      <c r="E235" s="155" t="n">
        <v>11945.09</v>
      </c>
      <c r="F235" s="152" t="n">
        <v>9.5</v>
      </c>
      <c r="G235" s="152" t="n">
        <v>4.33</v>
      </c>
      <c r="H235" s="152" t="n">
        <v>5.17</v>
      </c>
      <c r="I235" s="156" t="n">
        <v>-12491.39631</v>
      </c>
      <c r="J235" s="152" t="n">
        <v>6.775576693</v>
      </c>
      <c r="K235" s="152" t="n">
        <v>128.8369524</v>
      </c>
      <c r="L235" s="152" t="n">
        <v>16.76363636</v>
      </c>
      <c r="M235" s="157" t="n">
        <v>0</v>
      </c>
      <c r="N235" s="155" t="n">
        <v>62798.75</v>
      </c>
      <c r="O235" s="152" t="n">
        <v>321.9130435</v>
      </c>
      <c r="P235" s="152" t="n">
        <v>3.219130435</v>
      </c>
      <c r="Q235" s="156" t="n">
        <v>-17.34</v>
      </c>
      <c r="R235" s="156" t="n">
        <v>-1410.34</v>
      </c>
      <c r="S235" s="152" t="n">
        <v>10.70285714</v>
      </c>
      <c r="T235" s="152" t="n">
        <v>5.271428571</v>
      </c>
      <c r="U235" s="152" t="n">
        <v>5.431428571</v>
      </c>
      <c r="V235" s="152" t="n">
        <v>2.418833313</v>
      </c>
      <c r="W235" s="152" t="n">
        <v>3.012595259</v>
      </c>
      <c r="X235" s="158" t="n">
        <v>6.028886957</v>
      </c>
      <c r="Y235" s="158" t="n">
        <v>1000.168683</v>
      </c>
      <c r="Z235" s="158" t="n">
        <v>20.49089043</v>
      </c>
      <c r="AA235" s="158" t="n">
        <v>3.746922727</v>
      </c>
      <c r="AB235" s="159" t="n">
        <v>0.1570510632</v>
      </c>
      <c r="AC235" s="159" t="n">
        <v>0.1814636132</v>
      </c>
      <c r="AD235" s="159" t="n">
        <v>124.9810273</v>
      </c>
      <c r="AE235" s="159" t="n">
        <v>146.24</v>
      </c>
      <c r="AF235" s="159" t="n">
        <v>2.22857</v>
      </c>
      <c r="AG235" s="159" t="n">
        <v>1.93857</v>
      </c>
      <c r="AH235" s="159" t="n">
        <v>4.2719</v>
      </c>
      <c r="AI235" s="159" t="n">
        <v>4.62905</v>
      </c>
      <c r="AJ235" s="159" t="n">
        <v>0.357143</v>
      </c>
      <c r="AK235" s="159" t="n">
        <v>2.49048</v>
      </c>
      <c r="AL235" s="159" t="n">
        <v>2.40048</v>
      </c>
      <c r="AM235" s="159" t="n">
        <v>306.563</v>
      </c>
      <c r="AN235" s="159" t="n">
        <v>-0.79016</v>
      </c>
      <c r="AO235" s="159" t="n">
        <v>-0.5004</v>
      </c>
      <c r="AP235" s="159" t="n">
        <v>-0.5532</v>
      </c>
      <c r="AQ235" s="159" t="n">
        <v>4.153</v>
      </c>
      <c r="AR235" s="159" t="n"/>
      <c r="AS235" s="159" t="n"/>
      <c r="AT235" s="159" t="n">
        <v>4</v>
      </c>
      <c r="AU235" s="159" t="n">
        <v>99.90000000000001</v>
      </c>
      <c r="AV235" s="159" t="n"/>
      <c r="AW235" s="159" t="n"/>
      <c r="AX235" s="159" t="n">
        <v>115.562</v>
      </c>
      <c r="AY235" s="159" t="n">
        <v>4.372866054</v>
      </c>
      <c r="AZ235" s="159" t="n">
        <v>5.152620849</v>
      </c>
      <c r="BA235" s="159" t="n">
        <v>9.447229025</v>
      </c>
      <c r="BB235" s="159" t="n">
        <v>4.605819975</v>
      </c>
      <c r="BC235" s="159" t="n">
        <v>4.924350925</v>
      </c>
    </row>
    <row r="236">
      <c r="A236" s="83" t="inlineStr">
        <is>
          <t>2025-02</t>
        </is>
      </c>
      <c r="B236" s="155" t="n">
        <v>4127.953929</v>
      </c>
      <c r="C236" s="155" t="n">
        <v>164.54</v>
      </c>
      <c r="D236" s="155" t="n">
        <v>1031.63</v>
      </c>
      <c r="E236" s="155" t="n">
        <v>12062.79</v>
      </c>
      <c r="F236" s="152" t="n">
        <v>9.5</v>
      </c>
      <c r="G236" s="152" t="n">
        <v>4.33</v>
      </c>
      <c r="H236" s="152" t="n">
        <v>5.17</v>
      </c>
      <c r="I236" s="156" t="n">
        <v>-17409.86142</v>
      </c>
      <c r="J236" s="152" t="n">
        <v>7.021169873</v>
      </c>
      <c r="K236" s="152" t="n">
        <v>127.8758316</v>
      </c>
      <c r="L236" s="152" t="n">
        <v>16.968</v>
      </c>
      <c r="M236" s="157" t="n">
        <v>0</v>
      </c>
      <c r="N236" s="155" t="n">
        <v>63450.61</v>
      </c>
      <c r="O236" s="152" t="n">
        <v>325.35</v>
      </c>
      <c r="P236" s="152" t="n">
        <v>3.2535</v>
      </c>
      <c r="Q236" s="156" t="n">
        <v>222.91</v>
      </c>
      <c r="R236" s="156" t="n">
        <v>-1741.78</v>
      </c>
      <c r="S236" s="152" t="n">
        <v>10.711</v>
      </c>
      <c r="T236" s="152" t="n">
        <v>5.3385</v>
      </c>
      <c r="U236" s="152" t="n">
        <v>5.3725</v>
      </c>
      <c r="V236" s="152" t="n">
        <v>2.524678958</v>
      </c>
      <c r="W236" s="152" t="n">
        <v>2.847821042</v>
      </c>
      <c r="X236" s="158" t="n">
        <v>5.765345</v>
      </c>
      <c r="Y236" s="158" t="n">
        <v>954.782765</v>
      </c>
      <c r="Z236" s="158" t="n">
        <v>20.4073</v>
      </c>
      <c r="AA236" s="158" t="n">
        <v>3.69685</v>
      </c>
      <c r="AB236" s="159" t="n">
        <v>-1.137999396</v>
      </c>
      <c r="AC236" s="159" t="n">
        <v>-1.121634355</v>
      </c>
      <c r="AD236" s="159" t="n">
        <v>125.3177943</v>
      </c>
      <c r="AE236" s="159" t="n">
        <v>147.9</v>
      </c>
      <c r="AF236" s="159" t="n">
        <v>2.02684</v>
      </c>
      <c r="AG236" s="159" t="n">
        <v>1.67316</v>
      </c>
      <c r="AH236" s="159" t="n">
        <v>4.21</v>
      </c>
      <c r="AI236" s="159" t="n">
        <v>4.45105</v>
      </c>
      <c r="AJ236" s="159" t="n">
        <v>0.241053</v>
      </c>
      <c r="AK236" s="159" t="n">
        <v>2.60737</v>
      </c>
      <c r="AL236" s="159" t="n">
        <v>2.42421</v>
      </c>
      <c r="AM236" s="159" t="n">
        <v>328.774</v>
      </c>
      <c r="AN236" s="159" t="n">
        <v>-0.699</v>
      </c>
      <c r="AO236" s="159" t="n">
        <v>-0.4965</v>
      </c>
      <c r="AP236" s="159" t="n">
        <v>-0.5075</v>
      </c>
      <c r="AQ236" s="159" t="n">
        <v>4.21378</v>
      </c>
      <c r="AR236" s="159" t="n"/>
      <c r="AS236" s="159" t="n"/>
      <c r="AT236" s="159" t="n">
        <v>4.2</v>
      </c>
      <c r="AU236" s="159" t="n">
        <v>99.8</v>
      </c>
      <c r="AV236" s="159" t="n"/>
      <c r="AW236" s="159" t="n"/>
      <c r="AX236" s="159" t="n">
        <v>115.339</v>
      </c>
      <c r="AY236" s="159" t="n">
        <v>4.323311127</v>
      </c>
      <c r="AZ236" s="159" t="n">
        <v>5.14912106</v>
      </c>
      <c r="BA236" s="159" t="n">
        <v>9.447071197</v>
      </c>
      <c r="BB236" s="159" t="n">
        <v>4.616100235</v>
      </c>
      <c r="BC236" s="159" t="n">
        <v>4.918520005</v>
      </c>
    </row>
    <row r="237">
      <c r="A237" s="83" t="inlineStr">
        <is>
          <t>2025-03</t>
        </is>
      </c>
      <c r="B237" s="155" t="n">
        <v>4137.684516</v>
      </c>
      <c r="C237" s="155" t="n">
        <v>163.87</v>
      </c>
      <c r="D237" s="155" t="n">
        <v>1089.33</v>
      </c>
      <c r="E237" s="155" t="n">
        <v>12258.07</v>
      </c>
      <c r="F237" s="152" t="n">
        <v>9.5</v>
      </c>
      <c r="G237" s="152" t="n">
        <v>4.33</v>
      </c>
      <c r="H237" s="152" t="n">
        <v>5.17</v>
      </c>
      <c r="I237" s="156" t="n">
        <v>-7588.630465</v>
      </c>
      <c r="J237" s="152" t="n">
        <v>7.317183331</v>
      </c>
      <c r="K237" s="152" t="n">
        <v>126.2430429</v>
      </c>
      <c r="L237" s="152" t="n">
        <v>21.84142857</v>
      </c>
      <c r="M237" s="157" t="n">
        <v>0</v>
      </c>
      <c r="N237" s="155" t="n">
        <v>63854</v>
      </c>
      <c r="O237" s="152" t="n">
        <v>336.4761905</v>
      </c>
      <c r="P237" s="152" t="n">
        <v>3.364761905</v>
      </c>
      <c r="Q237" s="156" t="n">
        <v>206.63</v>
      </c>
      <c r="R237" s="156" t="n">
        <v>-2292.08</v>
      </c>
      <c r="S237" s="152" t="n">
        <v>10.9955</v>
      </c>
      <c r="T237" s="152" t="n">
        <v>5.6365</v>
      </c>
      <c r="U237" s="152" t="n">
        <v>5.359</v>
      </c>
      <c r="V237" s="152" t="n">
        <v>2.447190489</v>
      </c>
      <c r="W237" s="152" t="n">
        <v>2.911809511</v>
      </c>
      <c r="X237" s="158" t="n">
        <v>5.75622381</v>
      </c>
      <c r="Y237" s="158" t="n">
        <v>932.3276238</v>
      </c>
      <c r="Z237" s="158" t="n">
        <v>20.17183524</v>
      </c>
      <c r="AA237" s="158" t="n">
        <v>3.652485714</v>
      </c>
      <c r="AB237" s="159" t="n">
        <v>-0.5533742554</v>
      </c>
      <c r="AC237" s="159" t="n">
        <v>-0.6553964546</v>
      </c>
      <c r="AD237" s="159" t="n">
        <v>123.5812894</v>
      </c>
      <c r="AE237" s="159" t="n">
        <v>148.68</v>
      </c>
      <c r="AF237" s="159" t="n">
        <v>1.94619</v>
      </c>
      <c r="AG237" s="159" t="n">
        <v>1.51095</v>
      </c>
      <c r="AH237" s="159" t="n">
        <v>3.97</v>
      </c>
      <c r="AI237" s="159" t="n">
        <v>4.28048</v>
      </c>
      <c r="AJ237" s="159" t="n">
        <v>0.310476</v>
      </c>
      <c r="AK237" s="159" t="n">
        <v>2.53238</v>
      </c>
      <c r="AL237" s="159" t="n">
        <v>2.33429</v>
      </c>
      <c r="AM237" s="159" t="n">
        <v>469.379</v>
      </c>
      <c r="AN237" s="159" t="n">
        <v>-0.452225</v>
      </c>
      <c r="AO237" s="159" t="n">
        <v>-0.43575</v>
      </c>
      <c r="AP237" s="159" t="n">
        <v>-0.4625</v>
      </c>
      <c r="AQ237" s="159" t="n">
        <v>4.28762</v>
      </c>
      <c r="AR237" s="159" t="n"/>
      <c r="AS237" s="159" t="n"/>
      <c r="AT237" s="159" t="n">
        <v>4.2</v>
      </c>
      <c r="AU237" s="159" t="n">
        <v>99.3</v>
      </c>
      <c r="AV237" s="159" t="n"/>
      <c r="AW237" s="159" t="n"/>
      <c r="AX237" s="159" t="n">
        <v>115.116</v>
      </c>
      <c r="AY237" s="159" t="n">
        <v>4.286793827</v>
      </c>
      <c r="AZ237" s="159" t="n">
        <v>5.121848648</v>
      </c>
      <c r="BA237" s="159" t="n">
        <v>9.446676517</v>
      </c>
      <c r="BB237" s="159" t="n">
        <v>4.615516478</v>
      </c>
      <c r="BC237" s="159" t="n">
        <v>4.924350925</v>
      </c>
    </row>
    <row r="238">
      <c r="A238" s="83" t="inlineStr">
        <is>
          <t>2025-04</t>
        </is>
      </c>
      <c r="B238" s="155" t="n">
        <v>4280.258</v>
      </c>
      <c r="C238" s="155" t="n">
        <v>162.39</v>
      </c>
      <c r="D238" s="155" t="n">
        <v>1097.41</v>
      </c>
      <c r="E238" s="155" t="n">
        <v>12426.09</v>
      </c>
      <c r="F238" s="152" t="n">
        <v>9.5</v>
      </c>
      <c r="G238" s="152" t="n">
        <v>4.33</v>
      </c>
      <c r="H238" s="152" t="n">
        <v>5.17</v>
      </c>
      <c r="I238" s="156" t="n">
        <v>-13594.17391</v>
      </c>
      <c r="J238" s="152" t="n">
        <v>7.046019782</v>
      </c>
      <c r="K238" s="152" t="n">
        <v>124.1402</v>
      </c>
      <c r="L238" s="152" t="n">
        <v>31.96619048</v>
      </c>
      <c r="M238" s="157" t="n">
        <v>0</v>
      </c>
      <c r="N238" s="155" t="n">
        <v>64630.58</v>
      </c>
      <c r="O238" s="152" t="n">
        <v>385.3181818</v>
      </c>
      <c r="P238" s="152" t="n">
        <v>3.853181818</v>
      </c>
      <c r="Q238" s="156" t="n">
        <v>135.08</v>
      </c>
      <c r="R238" s="156" t="n">
        <v>-1524.99</v>
      </c>
      <c r="S238" s="152" t="n">
        <v>11.3175</v>
      </c>
      <c r="T238" s="152" t="n">
        <v>6.126315789</v>
      </c>
      <c r="U238" s="152" t="n">
        <v>5.191184211</v>
      </c>
      <c r="V238" s="152" t="n">
        <v>2.314747617</v>
      </c>
      <c r="W238" s="152" t="n">
        <v>2.876436593</v>
      </c>
      <c r="X238" s="158" t="n">
        <v>5.789945455</v>
      </c>
      <c r="Y238" s="158" t="n">
        <v>962.8508909</v>
      </c>
      <c r="Z238" s="158" t="n">
        <v>19.96541045</v>
      </c>
      <c r="AA238" s="158" t="n">
        <v>3.70003</v>
      </c>
      <c r="AB238" s="159" t="n">
        <v>0.22912326</v>
      </c>
      <c r="AC238" s="159" t="n">
        <v>0.4344294529</v>
      </c>
      <c r="AD238" s="159" t="n">
        <v>124.780464</v>
      </c>
      <c r="AE238" s="159" t="n">
        <v>149.66</v>
      </c>
      <c r="AF238" s="159" t="n">
        <v>2.0381</v>
      </c>
      <c r="AG238" s="159" t="n">
        <v>1.56524</v>
      </c>
      <c r="AH238" s="159" t="n">
        <v>3.77762</v>
      </c>
      <c r="AI238" s="159" t="n">
        <v>4.27905</v>
      </c>
      <c r="AJ238" s="159" t="n">
        <v>0.501429</v>
      </c>
      <c r="AK238" s="159" t="n">
        <v>2.3481</v>
      </c>
      <c r="AL238" s="159" t="n">
        <v>2.24095</v>
      </c>
      <c r="AM238" s="159" t="n">
        <v>620.883</v>
      </c>
      <c r="AN238" s="159" t="n">
        <v>0.062275</v>
      </c>
      <c r="AO238" s="159" t="n">
        <v>-0.387</v>
      </c>
      <c r="AP238" s="159" t="n">
        <v>-0.4235</v>
      </c>
      <c r="AQ238" s="159" t="n">
        <v>4.2901</v>
      </c>
      <c r="AR238" s="159" t="n"/>
      <c r="AS238" s="159" t="n"/>
      <c r="AT238" s="159" t="n">
        <v>4.2</v>
      </c>
      <c r="AU238" s="159" t="n">
        <v>98.5</v>
      </c>
      <c r="AV238" s="159" t="n"/>
      <c r="AW238" s="159" t="n"/>
      <c r="AX238" s="159" t="n">
        <v>115.03</v>
      </c>
      <c r="AY238" s="159" t="n">
        <v>4.221483693</v>
      </c>
      <c r="AZ238" s="159" t="n">
        <v>5.092215281</v>
      </c>
      <c r="BA238" s="159" t="n">
        <v>9.446360661</v>
      </c>
      <c r="BB238" s="159" t="n">
        <v>4.616387041</v>
      </c>
      <c r="BC238" s="159" t="n">
        <v>4.925077406</v>
      </c>
    </row>
    <row r="239">
      <c r="A239" s="83" t="inlineStr">
        <is>
          <t>2025-05</t>
        </is>
      </c>
      <c r="B239" s="155" t="n">
        <v>4203.377097</v>
      </c>
      <c r="C239" s="155" t="n">
        <v>157.92</v>
      </c>
      <c r="D239" s="155" t="n">
        <v>1095.91</v>
      </c>
      <c r="E239" s="155" t="n">
        <v>12561.91</v>
      </c>
      <c r="F239" s="152" t="n">
        <v>9.258064515999999</v>
      </c>
      <c r="G239" s="152" t="n">
        <v>4.33</v>
      </c>
      <c r="H239" s="152" t="n">
        <v>4.928064516</v>
      </c>
      <c r="I239" s="156" t="n">
        <v>-5976.691931</v>
      </c>
      <c r="J239" s="152" t="n">
        <v>7.127072678</v>
      </c>
      <c r="K239" s="152" t="n">
        <v>122.3421619</v>
      </c>
      <c r="L239" s="152" t="n">
        <v>20.46227273</v>
      </c>
      <c r="M239" s="157" t="n">
        <v>0</v>
      </c>
      <c r="N239" s="155" t="n">
        <v>64592.1</v>
      </c>
      <c r="O239" s="152" t="n">
        <v>356.6363636</v>
      </c>
      <c r="P239" s="152" t="n">
        <v>3.566363636</v>
      </c>
      <c r="Q239" s="156" t="n">
        <v>22.75</v>
      </c>
      <c r="R239" s="156" t="n">
        <v>-2132.77</v>
      </c>
      <c r="S239" s="152" t="n">
        <v>11.37190476</v>
      </c>
      <c r="T239" s="152" t="n">
        <v>6.160952381</v>
      </c>
      <c r="U239" s="152" t="n">
        <v>5.210952381</v>
      </c>
      <c r="V239" s="152" t="n">
        <v>2.397971448</v>
      </c>
      <c r="W239" s="152" t="n">
        <v>2.812980933</v>
      </c>
      <c r="X239" s="158" t="n">
        <v>5.666786364</v>
      </c>
      <c r="Y239" s="158" t="n">
        <v>940.4631955</v>
      </c>
      <c r="Z239" s="158" t="n">
        <v>19.40206773</v>
      </c>
      <c r="AA239" s="158" t="n">
        <v>3.659914286</v>
      </c>
      <c r="AB239" s="159" t="n">
        <v>-0.9347451919999999</v>
      </c>
      <c r="AC239" s="159" t="n">
        <v>-0.9178529637</v>
      </c>
      <c r="AD239" s="159" t="n">
        <v>125.0289791</v>
      </c>
      <c r="AE239" s="159" t="n">
        <v>150.14</v>
      </c>
      <c r="AF239" s="159" t="n">
        <v>2.11048</v>
      </c>
      <c r="AG239" s="159" t="n">
        <v>1.63952</v>
      </c>
      <c r="AH239" s="159" t="n">
        <v>3.92</v>
      </c>
      <c r="AI239" s="159" t="n">
        <v>4.42381</v>
      </c>
      <c r="AJ239" s="159" t="n">
        <v>0.50381</v>
      </c>
      <c r="AK239" s="159" t="n">
        <v>2.38381</v>
      </c>
      <c r="AL239" s="159" t="n">
        <v>2.31333</v>
      </c>
      <c r="AM239" s="159" t="n">
        <v>505.168</v>
      </c>
      <c r="AN239" s="159" t="n">
        <v>-0.5424</v>
      </c>
      <c r="AO239" s="159" t="n">
        <v>-0.4366</v>
      </c>
      <c r="AP239" s="159" t="n">
        <v>-0.4906</v>
      </c>
      <c r="AQ239" s="159" t="n">
        <v>4.32813</v>
      </c>
      <c r="AR239" s="159" t="n"/>
      <c r="AS239" s="159" t="n"/>
      <c r="AT239" s="159" t="n">
        <v>4.3</v>
      </c>
      <c r="AU239" s="159" t="n">
        <v>97.7</v>
      </c>
      <c r="AV239" s="159" t="n"/>
      <c r="AW239" s="159" t="n"/>
      <c r="AX239" s="159" t="n"/>
      <c r="AY239" s="159" t="n">
        <v>4.165936276</v>
      </c>
      <c r="AZ239" s="159" t="n">
        <v>5.082602405</v>
      </c>
      <c r="BA239" s="159" t="n">
        <v>9.445491541999999</v>
      </c>
      <c r="BB239" s="159" t="n">
        <v>4.614783827</v>
      </c>
      <c r="BC239" s="159" t="n">
        <v>4.920710587</v>
      </c>
    </row>
    <row r="240">
      <c r="A240" s="83" t="inlineStr">
        <is>
          <t>2025-06</t>
        </is>
      </c>
      <c r="B240" s="155" t="n">
        <v>4113.485</v>
      </c>
      <c r="C240" s="155" t="n">
        <v>164.6</v>
      </c>
      <c r="D240" s="155" t="n">
        <v>1084.15</v>
      </c>
      <c r="E240" s="155" t="n">
        <v>12628.78</v>
      </c>
      <c r="F240" s="152" t="n">
        <v>9.25</v>
      </c>
      <c r="G240" s="152" t="n">
        <v>4.33</v>
      </c>
      <c r="H240" s="152" t="n">
        <v>4.92</v>
      </c>
      <c r="I240" s="156" t="n">
        <v>-11405.85686</v>
      </c>
      <c r="J240" s="152" t="n">
        <v>6.902094389</v>
      </c>
      <c r="K240" s="152" t="n">
        <v>120.59387</v>
      </c>
      <c r="L240" s="152" t="n">
        <v>18.40333333</v>
      </c>
      <c r="M240" s="157" t="n">
        <v>0</v>
      </c>
      <c r="N240" s="155" t="n">
        <v>65163.18</v>
      </c>
      <c r="O240" s="152" t="n">
        <v>347.047619</v>
      </c>
      <c r="P240" s="152" t="n">
        <v>3.47047619</v>
      </c>
      <c r="Q240" s="156" t="n">
        <v>82.95999999999999</v>
      </c>
      <c r="R240" s="156" t="n">
        <v>-1562.48</v>
      </c>
      <c r="S240" s="152" t="n">
        <v>11.79</v>
      </c>
      <c r="T240" s="152" t="n">
        <v>6.345555556</v>
      </c>
      <c r="U240" s="152" t="n">
        <v>5.444444444</v>
      </c>
      <c r="V240" s="152" t="n">
        <v>2.336609995</v>
      </c>
      <c r="W240" s="152" t="n">
        <v>3.107834449</v>
      </c>
      <c r="X240" s="158" t="n">
        <v>5.543938095</v>
      </c>
      <c r="Y240" s="158" t="n">
        <v>937.3952429</v>
      </c>
      <c r="Z240" s="158" t="n">
        <v>18.99023762</v>
      </c>
      <c r="AA240" s="158" t="n">
        <v>3.602195238</v>
      </c>
      <c r="AB240" s="159" t="n">
        <v>-0.5998585254</v>
      </c>
      <c r="AC240" s="159" t="n">
        <v>-0.7671549194</v>
      </c>
      <c r="AD240" s="159" t="n">
        <v>124.6718794</v>
      </c>
      <c r="AE240" s="159" t="n">
        <v>150.3</v>
      </c>
      <c r="AF240" s="159" t="n">
        <v>2.0865</v>
      </c>
      <c r="AG240" s="159" t="n">
        <v>1.6375</v>
      </c>
      <c r="AH240" s="159" t="n">
        <v>3.889</v>
      </c>
      <c r="AI240" s="159" t="n">
        <v>4.3835</v>
      </c>
      <c r="AJ240" s="159" t="n">
        <v>0.4945</v>
      </c>
      <c r="AK240" s="159" t="n">
        <v>2.3255</v>
      </c>
      <c r="AL240" s="159" t="n">
        <v>2.297</v>
      </c>
      <c r="AM240" s="159" t="n">
        <v>365.626</v>
      </c>
      <c r="AN240" s="159" t="n">
        <v>-0.7292</v>
      </c>
      <c r="AO240" s="159" t="n">
        <v>-0.48675</v>
      </c>
      <c r="AP240" s="159" t="n">
        <v>-0.52725</v>
      </c>
      <c r="AQ240" s="159" t="n">
        <v>4.19996</v>
      </c>
      <c r="AR240" s="159" t="n"/>
      <c r="AS240" s="159" t="n"/>
      <c r="AT240" s="159" t="n">
        <v>4.1</v>
      </c>
      <c r="AU240" s="159" t="n">
        <v>97.59999999999999</v>
      </c>
      <c r="AV240" s="159" t="n"/>
      <c r="AW240" s="159" t="n"/>
      <c r="AX240" s="159" t="n"/>
      <c r="AY240" s="159" t="n">
        <v>4.268925124</v>
      </c>
      <c r="AZ240" s="159" t="n">
        <v>5.113089591</v>
      </c>
      <c r="BA240" s="159" t="n">
        <v>9.444305161999999</v>
      </c>
      <c r="BB240" s="159" t="n">
        <v>4.619842026</v>
      </c>
      <c r="BC240" s="159" t="n">
        <v>4.919250732</v>
      </c>
    </row>
    <row r="241">
      <c r="A241" s="83" t="inlineStr">
        <is>
          <t>2025-07</t>
        </is>
      </c>
      <c r="B241" s="155" t="n">
        <v>4040.848387</v>
      </c>
      <c r="C241" s="155" t="n">
        <v>164.94</v>
      </c>
      <c r="D241" s="155" t="n">
        <v>1158.36</v>
      </c>
      <c r="E241" s="155" t="n">
        <v>12780.7</v>
      </c>
      <c r="F241" s="152" t="n">
        <v>9.25</v>
      </c>
      <c r="G241" s="152" t="n">
        <v>4.33</v>
      </c>
      <c r="H241" s="152" t="n">
        <v>4.92</v>
      </c>
      <c r="I241" s="156" t="n">
        <v>-1995.450946</v>
      </c>
      <c r="J241" s="152" t="n">
        <v>6.856711008</v>
      </c>
      <c r="K241" s="152" t="n">
        <v>120.1126909</v>
      </c>
      <c r="L241" s="152" t="n">
        <v>16.38130435</v>
      </c>
      <c r="M241" s="157" t="n">
        <v>0</v>
      </c>
      <c r="N241" s="155" t="n">
        <v>64881.34</v>
      </c>
      <c r="O241" s="152" t="n">
        <v>318.7826087</v>
      </c>
      <c r="P241" s="152" t="n">
        <v>3.187826087</v>
      </c>
      <c r="Q241" s="156" t="n">
        <v>42.15</v>
      </c>
      <c r="R241" s="156" t="n">
        <v>-2680.62</v>
      </c>
      <c r="S241" s="152" t="n">
        <v>11.55347826</v>
      </c>
      <c r="T241" s="152" t="n">
        <v>6.287391304</v>
      </c>
      <c r="U241" s="152" t="n">
        <v>5.266086957</v>
      </c>
      <c r="V241" s="152" t="n">
        <v>2.462836363</v>
      </c>
      <c r="W241" s="152" t="n">
        <v>2.803250593</v>
      </c>
      <c r="X241" s="158" t="n">
        <v>5.528191304</v>
      </c>
      <c r="Y241" s="158" t="n">
        <v>954.1915304</v>
      </c>
      <c r="Z241" s="158" t="n">
        <v>18.65645435</v>
      </c>
      <c r="AA241" s="158" t="n">
        <v>3.556945</v>
      </c>
      <c r="AB241" s="159" t="n">
        <v>-0.1194245278</v>
      </c>
      <c r="AC241" s="159" t="n">
        <v>-0.3413637827</v>
      </c>
      <c r="AD241" s="159" t="n">
        <v>128.3764282</v>
      </c>
      <c r="AE241" s="159" t="n">
        <v>150.71</v>
      </c>
      <c r="AF241" s="159" t="n">
        <v>2.00818</v>
      </c>
      <c r="AG241" s="159" t="n">
        <v>1.50591</v>
      </c>
      <c r="AH241" s="159" t="n">
        <v>3.88227</v>
      </c>
      <c r="AI241" s="159" t="n">
        <v>4.39182</v>
      </c>
      <c r="AJ241" s="159" t="n">
        <v>0.509545</v>
      </c>
      <c r="AK241" s="159" t="n">
        <v>2.44273</v>
      </c>
      <c r="AL241" s="159" t="n">
        <v>2.38364</v>
      </c>
      <c r="AM241" s="159" t="n">
        <v>401.524</v>
      </c>
      <c r="AN241" s="159" t="n">
        <v>-0.78245</v>
      </c>
      <c r="AO241" s="159" t="n">
        <v>-0.51175</v>
      </c>
      <c r="AP241" s="159" t="n">
        <v>-0.5595</v>
      </c>
      <c r="AQ241" s="159" t="n">
        <v>4.37594</v>
      </c>
      <c r="AR241" s="159" t="n"/>
      <c r="AS241" s="159" t="n"/>
      <c r="AT241" s="159" t="n">
        <v>4.3</v>
      </c>
      <c r="AU241" s="159" t="n">
        <v>96.90000000000001</v>
      </c>
      <c r="AV241" s="159" t="n"/>
      <c r="AW241" s="159" t="n"/>
      <c r="AX241" s="159" t="n"/>
      <c r="AY241" s="159" t="n">
        <v>4.263261398</v>
      </c>
      <c r="AZ241" s="159" t="n">
        <v>5.110540959</v>
      </c>
      <c r="BA241" s="159" t="n">
        <v>9.443434254</v>
      </c>
      <c r="BB241" s="159" t="n">
        <v>4.623933057</v>
      </c>
      <c r="BC241" s="159" t="n">
        <v>4.931592087</v>
      </c>
    </row>
    <row r="242">
      <c r="A242" s="83" t="inlineStr">
        <is>
          <t>2025-08</t>
        </is>
      </c>
      <c r="B242" s="155" t="n">
        <v>4047.411613</v>
      </c>
      <c r="C242" s="155" t="n">
        <v>167.7</v>
      </c>
      <c r="D242" s="155" t="n">
        <v>1095.38</v>
      </c>
      <c r="E242" s="155" t="n">
        <v>12867.14</v>
      </c>
      <c r="F242" s="152" t="n">
        <v>9.25</v>
      </c>
      <c r="G242" s="152" t="n">
        <v>4.33</v>
      </c>
      <c r="H242" s="152" t="n">
        <v>4.92</v>
      </c>
      <c r="I242" s="156" t="n">
        <v>-5824.707711</v>
      </c>
      <c r="J242" s="152" t="n">
        <v>6.581444247</v>
      </c>
      <c r="K242" s="152" t="n">
        <v>120.5758429</v>
      </c>
      <c r="L242" s="152" t="n">
        <v>15.75</v>
      </c>
      <c r="M242" s="157" t="n">
        <v>0</v>
      </c>
      <c r="N242" s="155" t="n">
        <v>65466.99</v>
      </c>
      <c r="O242" s="152" t="n">
        <v>297</v>
      </c>
      <c r="P242" s="152" t="n">
        <v>2.97</v>
      </c>
      <c r="Q242" s="156" t="n">
        <v>-106.63</v>
      </c>
      <c r="R242" s="156" t="n">
        <v>-1400.87</v>
      </c>
      <c r="S242" s="152" t="n">
        <v>11.40684211</v>
      </c>
      <c r="T242" s="152" t="n">
        <v>6.273684211</v>
      </c>
      <c r="U242" s="152" t="n">
        <v>5.133157895</v>
      </c>
      <c r="V242" s="152" t="n">
        <v>2.466047628</v>
      </c>
      <c r="W242" s="152" t="n">
        <v>2.667110267</v>
      </c>
      <c r="X242" s="158" t="n">
        <v>5.44662381</v>
      </c>
      <c r="Y242" s="158" t="n">
        <v>965.2635762</v>
      </c>
      <c r="Z242" s="158" t="n">
        <v>18.67054714</v>
      </c>
      <c r="AA242" s="158" t="n">
        <v>3.542385</v>
      </c>
      <c r="AB242" s="159" t="n">
        <v>-0.08508103132</v>
      </c>
      <c r="AC242" s="159" t="n">
        <v>-0.1438473044</v>
      </c>
      <c r="AD242" s="159" t="n">
        <v>125.7102583</v>
      </c>
      <c r="AE242" s="159" t="n">
        <v>150.99</v>
      </c>
      <c r="AF242" s="159" t="n">
        <v>1.88286</v>
      </c>
      <c r="AG242" s="159" t="n">
        <v>1.34762</v>
      </c>
      <c r="AH242" s="159" t="n">
        <v>3.70381</v>
      </c>
      <c r="AI242" s="159" t="n">
        <v>4.26476</v>
      </c>
      <c r="AJ242" s="159" t="n">
        <v>0.560952</v>
      </c>
      <c r="AK242" s="159" t="n">
        <v>2.43857</v>
      </c>
      <c r="AL242" s="159" t="n">
        <v>2.3819</v>
      </c>
      <c r="AM242" s="159" t="n">
        <v>338.507</v>
      </c>
      <c r="AN242" s="159" t="n">
        <v>-0.68182</v>
      </c>
      <c r="AO242" s="159" t="n">
        <v>-0.5254</v>
      </c>
      <c r="AP242" s="159" t="n">
        <v>-0.576</v>
      </c>
      <c r="AQ242" s="159" t="n">
        <v>4.34266</v>
      </c>
      <c r="AR242" s="159" t="n"/>
      <c r="AS242" s="159" t="n"/>
      <c r="AT242" s="159" t="n">
        <v>4.3</v>
      </c>
      <c r="AU242" s="159" t="n">
        <v>97</v>
      </c>
      <c r="AV242" s="159" t="n"/>
      <c r="AW242" s="159" t="n"/>
      <c r="AX242" s="159" t="n"/>
      <c r="AY242" s="159" t="n">
        <v>4.217594111</v>
      </c>
      <c r="AZ242" s="159" t="n">
        <v>5.095882894</v>
      </c>
      <c r="BA242" s="159" t="n">
        <v>9.442641861</v>
      </c>
      <c r="BB242" s="159" t="n">
        <v>4.621289568</v>
      </c>
      <c r="BC242" s="159" t="n">
        <v>4.934473933</v>
      </c>
    </row>
    <row r="243">
      <c r="A243" s="83" t="inlineStr">
        <is>
          <t>2025-09</t>
        </is>
      </c>
      <c r="B243" s="155" t="n">
        <v>3922.212</v>
      </c>
      <c r="C243" s="155" t="n">
        <v>169.72</v>
      </c>
      <c r="D243" s="155" t="n">
        <v>1100.26</v>
      </c>
      <c r="E243" s="155" t="n">
        <v>12930.08</v>
      </c>
      <c r="F243" s="152" t="n">
        <v>9.25</v>
      </c>
      <c r="G243" s="152" t="n">
        <v>4.22</v>
      </c>
      <c r="H243" s="152" t="n">
        <v>5.03</v>
      </c>
      <c r="I243" s="156" t="n">
        <v>1570.725831</v>
      </c>
      <c r="J243" s="152" t="n">
        <v>6.390943298</v>
      </c>
      <c r="K243" s="152" t="n">
        <v>120.0290619</v>
      </c>
      <c r="L243" s="152" t="n">
        <v>15.78909091</v>
      </c>
      <c r="M243" s="157" t="n">
        <v>0</v>
      </c>
      <c r="N243" s="155" t="n">
        <v>65823.14</v>
      </c>
      <c r="O243" s="152" t="n">
        <v>257.1363636</v>
      </c>
      <c r="P243" s="152" t="n">
        <v>2.571363636</v>
      </c>
      <c r="Q243" s="156" t="n">
        <v>-141.77</v>
      </c>
      <c r="R243" s="156" t="n">
        <v>-1620.01</v>
      </c>
      <c r="S243" s="152" t="n">
        <v>11.13409091</v>
      </c>
      <c r="T243" s="152" t="n">
        <v>6.084545455</v>
      </c>
      <c r="U243" s="152" t="n">
        <v>5.049545455</v>
      </c>
      <c r="V243" s="152" t="n">
        <v>2.447723786</v>
      </c>
      <c r="W243" s="152" t="n">
        <v>2.601821669</v>
      </c>
      <c r="X243" s="158" t="n">
        <v>5.367109091</v>
      </c>
      <c r="Y243" s="158" t="n">
        <v>959.7174818</v>
      </c>
      <c r="Z243" s="158" t="n">
        <v>18.45806682</v>
      </c>
      <c r="AA243" s="158" t="n">
        <v>3.501804545</v>
      </c>
      <c r="AB243" s="159" t="n">
        <v>-0.4456293328</v>
      </c>
      <c r="AC243" s="159" t="n">
        <v>-0.5634984964</v>
      </c>
      <c r="AD243" s="159" t="n">
        <v>126.8002543</v>
      </c>
      <c r="AE243" s="159" t="n">
        <v>151.48</v>
      </c>
      <c r="AF243" s="159" t="n">
        <v>1.74905</v>
      </c>
      <c r="AG243" s="159" t="n">
        <v>1.23667</v>
      </c>
      <c r="AH243" s="159" t="n">
        <v>3.56857</v>
      </c>
      <c r="AI243" s="159" t="n">
        <v>4.12048</v>
      </c>
      <c r="AJ243" s="159" t="n">
        <v>0.551905</v>
      </c>
      <c r="AK243" s="159" t="n">
        <v>2.42571</v>
      </c>
      <c r="AL243" s="159" t="n">
        <v>2.37143</v>
      </c>
      <c r="AM243" s="159" t="n">
        <v>304.985</v>
      </c>
      <c r="AN243" s="159" t="n">
        <v>-0.525475</v>
      </c>
      <c r="AO243" s="159" t="n">
        <v>-0.528</v>
      </c>
      <c r="AP243" s="159" t="n">
        <v>-0.5815</v>
      </c>
      <c r="AQ243" s="159" t="n">
        <v>4.5018</v>
      </c>
      <c r="AR243" s="159" t="n"/>
      <c r="AS243" s="159" t="n"/>
      <c r="AT243" s="159" t="n">
        <v>4.4</v>
      </c>
      <c r="AU243" s="159" t="n">
        <v>97.09999999999999</v>
      </c>
      <c r="AV243" s="159" t="n"/>
      <c r="AW243" s="159" t="n"/>
      <c r="AX243" s="159" t="n"/>
      <c r="AY243" s="159" t="n">
        <v>4.219294447</v>
      </c>
      <c r="AZ243" s="159" t="n">
        <v>5.120768403</v>
      </c>
      <c r="BA243" s="159" t="n">
        <v>9.442404021</v>
      </c>
      <c r="BB243" s="159" t="n">
        <v>4.621712603</v>
      </c>
      <c r="BC243" s="159" t="n">
        <v>4.927253685</v>
      </c>
    </row>
    <row r="244">
      <c r="A244" s="83" t="inlineStr">
        <is>
          <t>2025-10</t>
        </is>
      </c>
      <c r="B244" s="155" t="n">
        <v>3877.844839</v>
      </c>
      <c r="C244" s="155" t="n">
        <v>163</v>
      </c>
      <c r="D244" s="155" t="n">
        <v>1092.1</v>
      </c>
      <c r="E244" s="155" t="n">
        <v>12985.78</v>
      </c>
      <c r="F244" s="152" t="n">
        <v>9.25</v>
      </c>
      <c r="G244" s="152" t="n">
        <v>4.09</v>
      </c>
      <c r="H244" s="152" t="n">
        <v>5.16</v>
      </c>
      <c r="I244" s="156" t="n">
        <v>-9455.491072999999</v>
      </c>
      <c r="J244" s="152" t="n">
        <v>6.18121828</v>
      </c>
      <c r="K244" s="152" t="n">
        <v>120.7618</v>
      </c>
      <c r="L244" s="152" t="n">
        <v>18.08652174</v>
      </c>
      <c r="M244" s="157" t="n">
        <v>0</v>
      </c>
      <c r="N244" s="155" t="n">
        <v>65924.60000000001</v>
      </c>
      <c r="O244" s="152" t="n">
        <v>262.2173913</v>
      </c>
      <c r="P244" s="152" t="n">
        <v>2.622173913</v>
      </c>
      <c r="Q244" s="156" t="n">
        <v>-347.83</v>
      </c>
      <c r="R244" s="156" t="n">
        <v>-1488.35</v>
      </c>
      <c r="S244" s="152" t="n">
        <v>11.27545455</v>
      </c>
      <c r="T244" s="152" t="n">
        <v>5.770454545</v>
      </c>
      <c r="U244" s="152" t="n">
        <v>5.505</v>
      </c>
      <c r="V244" s="152" t="n">
        <v>2.354418202</v>
      </c>
      <c r="W244" s="152" t="n">
        <v>3.150581798</v>
      </c>
      <c r="X244" s="158" t="n">
        <v>5.385226087</v>
      </c>
      <c r="Y244" s="158" t="n">
        <v>952.6674087</v>
      </c>
      <c r="Z244" s="158" t="n">
        <v>18.39539043</v>
      </c>
      <c r="AA244" s="158" t="n">
        <v>3.413227273</v>
      </c>
      <c r="AB244" s="159" t="n">
        <v>-0.2050885162</v>
      </c>
      <c r="AC244" s="159" t="n">
        <v>-0.6666556207</v>
      </c>
      <c r="AD244" s="159" t="n">
        <v>127.3027433</v>
      </c>
      <c r="AE244" s="159" t="n">
        <v>151.76</v>
      </c>
      <c r="AF244" s="159" t="n">
        <v>1.75682</v>
      </c>
      <c r="AG244" s="159" t="n">
        <v>1.29045</v>
      </c>
      <c r="AH244" s="159" t="n">
        <v>3.52136</v>
      </c>
      <c r="AI244" s="159" t="n">
        <v>4.06182</v>
      </c>
      <c r="AJ244" s="159" t="n">
        <v>0.540455</v>
      </c>
      <c r="AK244" s="159" t="n">
        <v>2.35818</v>
      </c>
      <c r="AL244" s="159" t="n">
        <v>2.305</v>
      </c>
      <c r="AM244" s="159" t="n">
        <v>397.6</v>
      </c>
      <c r="AN244" s="159" t="n">
        <v>-0.46008</v>
      </c>
      <c r="AO244" s="159" t="n">
        <v>-0.5208</v>
      </c>
      <c r="AP244" s="159" t="n">
        <v>-0.5886</v>
      </c>
      <c r="AQ244" s="159" t="n">
        <v>4.53034</v>
      </c>
      <c r="AR244" s="159" t="n"/>
      <c r="AS244" s="159" t="n"/>
      <c r="AT244" s="159" t="n"/>
      <c r="AU244" s="159" t="n"/>
      <c r="AV244" s="159" t="n"/>
      <c r="AW244" s="159" t="n"/>
      <c r="AX244" s="159" t="n"/>
      <c r="AY244" s="159" t="n">
        <v>4.167339415</v>
      </c>
      <c r="AZ244" s="159" t="n">
        <v>5.122844305</v>
      </c>
      <c r="BA244" s="159" t="n">
        <v>9.44169016</v>
      </c>
      <c r="BB244" s="159" t="n">
        <v>4.617286486</v>
      </c>
      <c r="BC244" s="159" t="n">
        <v>4.917788744</v>
      </c>
    </row>
    <row r="245">
      <c r="A245" s="83" t="inlineStr">
        <is>
          <t>2025-11</t>
        </is>
      </c>
      <c r="B245" s="155" t="n">
        <v>3786.183333</v>
      </c>
      <c r="C245" s="155" t="n">
        <v>162.01</v>
      </c>
      <c r="D245" s="155" t="n">
        <v>1070.69</v>
      </c>
      <c r="E245" s="155" t="n">
        <v>13023.28</v>
      </c>
      <c r="F245" s="152" t="n">
        <v>9.25</v>
      </c>
      <c r="G245" s="152" t="n">
        <v>3.88</v>
      </c>
      <c r="H245" s="152" t="n">
        <v>5.37</v>
      </c>
      <c r="I245" s="156" t="n">
        <v>-25812.60589</v>
      </c>
      <c r="J245" s="152" t="n">
        <v>6.592556047</v>
      </c>
      <c r="K245" s="152" t="n">
        <v>121.4177167</v>
      </c>
      <c r="L245" s="152" t="n">
        <v>19.7695</v>
      </c>
      <c r="M245" s="157" t="n">
        <v>0</v>
      </c>
      <c r="N245" s="155" t="n">
        <v>66123.64999999999</v>
      </c>
      <c r="O245" s="152" t="n">
        <v>254.75</v>
      </c>
      <c r="P245" s="152" t="n">
        <v>2.5475</v>
      </c>
      <c r="Q245" s="156" t="n">
        <v>-95.90000000000001</v>
      </c>
      <c r="R245" s="156" t="n">
        <v>-1071.79</v>
      </c>
      <c r="S245" s="152" t="n">
        <v>11.90166667</v>
      </c>
      <c r="T245" s="152" t="n">
        <v>5.955</v>
      </c>
      <c r="U245" s="152" t="n">
        <v>5.946666667</v>
      </c>
      <c r="V245" s="152" t="n">
        <v>2.281516671</v>
      </c>
      <c r="W245" s="152" t="n">
        <v>3.665149995</v>
      </c>
      <c r="X245" s="158" t="n">
        <v>5.34024</v>
      </c>
      <c r="Y245" s="158" t="n">
        <v>934.79846</v>
      </c>
      <c r="Z245" s="158" t="n">
        <v>18.386701</v>
      </c>
      <c r="AA245" s="158" t="n">
        <v>3.37263</v>
      </c>
      <c r="AB245" s="159" t="n">
        <v>-0.4212607073</v>
      </c>
      <c r="AC245" s="159" t="n">
        <v>-0.5541441045</v>
      </c>
      <c r="AD245" s="159" t="n">
        <v>125.4875284</v>
      </c>
      <c r="AE245" s="159" t="n">
        <v>151.87</v>
      </c>
      <c r="AF245" s="159" t="n">
        <v>1.82778</v>
      </c>
      <c r="AG245" s="159" t="n">
        <v>1.32278</v>
      </c>
      <c r="AH245" s="159" t="n">
        <v>3.55</v>
      </c>
      <c r="AI245" s="159" t="n">
        <v>4.09389</v>
      </c>
      <c r="AJ245" s="159" t="n">
        <v>0.543889</v>
      </c>
      <c r="AK245" s="159" t="n">
        <v>2.35056</v>
      </c>
      <c r="AL245" s="159" t="n">
        <v>2.26611</v>
      </c>
      <c r="AM245" s="159" t="n">
        <v>364.975</v>
      </c>
      <c r="AN245" s="159" t="n">
        <v>-0.332275</v>
      </c>
      <c r="AO245" s="159" t="n">
        <v>-0.5105</v>
      </c>
      <c r="AP245" s="159" t="n">
        <v>-0.57175</v>
      </c>
      <c r="AQ245" s="159" t="n">
        <v>4.63422</v>
      </c>
      <c r="AR245" s="159" t="n"/>
      <c r="AS245" s="159" t="n"/>
      <c r="AT245" s="159" t="n">
        <v>4.5</v>
      </c>
      <c r="AU245" s="159" t="n">
        <v>97.09999999999999</v>
      </c>
      <c r="AV245" s="159" t="n"/>
      <c r="AW245" s="159" t="n"/>
      <c r="AX245" s="159" t="n"/>
      <c r="AY245" s="159" t="n">
        <v>4.155706167</v>
      </c>
      <c r="AZ245" s="159" t="n">
        <v>5.127789984</v>
      </c>
      <c r="BA245" s="159" t="n">
        <v>9.440896383</v>
      </c>
      <c r="BB245" s="159" t="n">
        <v>4.615457094</v>
      </c>
      <c r="BC245" s="159" t="n">
        <v>4.921439715</v>
      </c>
    </row>
    <row r="246">
      <c r="A246" s="83" t="inlineStr">
        <is>
          <t>2025-12</t>
        </is>
      </c>
      <c r="B246" s="155" t="n">
        <v>3791.471935</v>
      </c>
      <c r="C246" s="155" t="n">
        <v>163.76</v>
      </c>
      <c r="D246" s="155" t="n">
        <v>1173.39</v>
      </c>
      <c r="E246" s="155" t="n">
        <v>13098.27</v>
      </c>
      <c r="F246" s="152" t="n">
        <v>9.25</v>
      </c>
      <c r="G246" s="152" t="n">
        <v>3.72</v>
      </c>
      <c r="H246" s="152" t="n">
        <v>5.53</v>
      </c>
      <c r="I246" s="156" t="n">
        <v>-7822.991807</v>
      </c>
      <c r="J246" s="152" t="n">
        <v>6.354401832</v>
      </c>
      <c r="K246" s="152" t="n">
        <v>120.1883227</v>
      </c>
      <c r="L246" s="152" t="n">
        <v>15.54818182</v>
      </c>
      <c r="M246" s="157" t="n">
        <v>0</v>
      </c>
      <c r="N246" s="155" t="n">
        <v>66352.3</v>
      </c>
      <c r="O246" s="152" t="n">
        <v>273.6956522</v>
      </c>
      <c r="P246" s="152" t="n">
        <v>2.736956522</v>
      </c>
      <c r="Q246" s="156" t="n">
        <v>172.27</v>
      </c>
      <c r="R246" s="156" t="n">
        <v>-2432.35</v>
      </c>
      <c r="S246" s="152" t="n">
        <v>12.3415</v>
      </c>
      <c r="T246" s="152" t="n">
        <v>6.241052632</v>
      </c>
      <c r="U246" s="152" t="n">
        <v>6.100447368</v>
      </c>
      <c r="V246" s="152" t="n">
        <v>2.215050025</v>
      </c>
      <c r="W246" s="152" t="n">
        <v>3.885397343</v>
      </c>
      <c r="X246" s="158" t="n">
        <v>5.456343478</v>
      </c>
      <c r="Y246" s="158" t="n">
        <v>913.9449913</v>
      </c>
      <c r="Z246" s="158" t="n">
        <v>18.04282565</v>
      </c>
      <c r="AA246" s="158" t="n">
        <v>3.366863158</v>
      </c>
      <c r="AB246" s="159" t="n">
        <v>-0.4150303452</v>
      </c>
      <c r="AC246" s="159" t="n">
        <v>-0.343229874</v>
      </c>
      <c r="AD246" s="159" t="n">
        <v>125.9195641</v>
      </c>
      <c r="AE246" s="159" t="n">
        <v>152.27</v>
      </c>
      <c r="AF246" s="159" t="n">
        <v>1.89909</v>
      </c>
      <c r="AG246" s="159" t="n">
        <v>1.42045</v>
      </c>
      <c r="AH246" s="159" t="n">
        <v>3.50091</v>
      </c>
      <c r="AI246" s="159" t="n">
        <v>4.14318</v>
      </c>
      <c r="AJ246" s="159" t="n">
        <v>0.642273</v>
      </c>
      <c r="AK246" s="159" t="n">
        <v>2.28136</v>
      </c>
      <c r="AL246" s="159" t="n">
        <v>2.24409</v>
      </c>
      <c r="AM246" s="159" t="n">
        <v>332.425</v>
      </c>
      <c r="AN246" s="159" t="n">
        <v>-0.42095</v>
      </c>
      <c r="AO246" s="159" t="n">
        <v>-0.52525</v>
      </c>
      <c r="AP246" s="159" t="n">
        <v>-0.55825</v>
      </c>
      <c r="AQ246" s="159" t="n">
        <v>4.50022</v>
      </c>
      <c r="AR246" s="159" t="n"/>
      <c r="AS246" s="159" t="n"/>
      <c r="AT246" s="159" t="n">
        <v>4.4</v>
      </c>
      <c r="AU246" s="159" t="n">
        <v>97.2</v>
      </c>
      <c r="AV246" s="159" t="n"/>
      <c r="AW246" s="159" t="n"/>
      <c r="AX246" s="159" t="n"/>
      <c r="AY246" s="159" t="n">
        <v>4.135875106</v>
      </c>
      <c r="AZ246" s="159" t="n">
        <v>5.140358612</v>
      </c>
      <c r="BA246" s="159" t="n">
        <v>9.43986353</v>
      </c>
      <c r="BB246" s="159" t="n">
        <v>4.619999683</v>
      </c>
      <c r="BC246" s="159" t="n">
        <v>4.919250732</v>
      </c>
    </row>
    <row r="247">
      <c r="A247" s="83" t="inlineStr">
        <is>
          <t>2026-01</t>
        </is>
      </c>
      <c r="B247" s="155" t="n">
        <v>3702.999032</v>
      </c>
      <c r="C247" s="155" t="n">
        <v>164.09</v>
      </c>
      <c r="D247" s="155" t="n">
        <v>1020.11</v>
      </c>
      <c r="E247" s="155" t="n">
        <v>13108.72</v>
      </c>
      <c r="F247" s="152" t="n">
        <v>9.25</v>
      </c>
      <c r="G247" s="152" t="n">
        <v>3.64</v>
      </c>
      <c r="H247" s="152" t="n">
        <v>5.61</v>
      </c>
      <c r="I247" s="156" t="n">
        <v>-5666.100052</v>
      </c>
      <c r="J247" s="152" t="n">
        <v>5.496041161</v>
      </c>
      <c r="K247" s="152" t="n">
        <v>119.22981</v>
      </c>
      <c r="L247" s="152" t="n">
        <v>16.17904762</v>
      </c>
      <c r="M247" s="157" t="n">
        <v>0</v>
      </c>
      <c r="N247" s="155" t="n">
        <v>66929.82000000001</v>
      </c>
      <c r="O247" s="152" t="n">
        <v>268.0909091</v>
      </c>
      <c r="P247" s="152" t="n">
        <v>2.680909091</v>
      </c>
      <c r="Q247" s="156" t="n">
        <v>79.91</v>
      </c>
      <c r="R247" s="156" t="n">
        <v>-1672.63</v>
      </c>
      <c r="S247" s="152" t="n">
        <v>12.5805</v>
      </c>
      <c r="T247" s="152" t="n">
        <v>5.8795</v>
      </c>
      <c r="U247" s="152" t="n">
        <v>6.701</v>
      </c>
      <c r="V247" s="152" t="n">
        <v>2.336664999</v>
      </c>
      <c r="W247" s="152" t="n">
        <v>4.364335001</v>
      </c>
      <c r="X247" s="158" t="n">
        <v>5.345190909</v>
      </c>
      <c r="Y247" s="158" t="n">
        <v>882.6829682</v>
      </c>
      <c r="Z247" s="158" t="n">
        <v>17.62665955</v>
      </c>
      <c r="AA247" s="158" t="n">
        <v>3.356115</v>
      </c>
      <c r="AB247" s="159" t="n">
        <v>-1.003894719</v>
      </c>
      <c r="AC247" s="159" t="n">
        <v>-0.8147680318</v>
      </c>
      <c r="AD247" s="159" t="n">
        <v>126.166606</v>
      </c>
      <c r="AE247" s="159" t="n">
        <v>154.07</v>
      </c>
      <c r="AF247" s="159" t="n">
        <v>1.907</v>
      </c>
      <c r="AG247" s="159" t="n">
        <v>1.3905</v>
      </c>
      <c r="AH247" s="159" t="n">
        <v>3.537</v>
      </c>
      <c r="AI247" s="159" t="n">
        <v>4.2135</v>
      </c>
      <c r="AJ247" s="159" t="n">
        <v>0.6765</v>
      </c>
      <c r="AK247" s="159" t="n">
        <v>2.3905</v>
      </c>
      <c r="AL247" s="159" t="n">
        <v>2.3065</v>
      </c>
      <c r="AM247" s="159" t="n">
        <v>375.63</v>
      </c>
      <c r="AN247" s="159" t="n">
        <v>-0.64714</v>
      </c>
      <c r="AO247" s="159" t="n">
        <v>-0.5639999999999999</v>
      </c>
      <c r="AP247" s="159" t="n">
        <v>-0.5862000000000001</v>
      </c>
      <c r="AQ247" s="159" t="n">
        <v>4.47982</v>
      </c>
      <c r="AR247" s="159" t="n"/>
      <c r="AS247" s="159" t="n"/>
      <c r="AT247" s="159" t="n">
        <v>4.3</v>
      </c>
      <c r="AU247" s="159" t="n">
        <v>97.3</v>
      </c>
      <c r="AV247" s="159" t="n"/>
      <c r="AW247" s="159" t="n"/>
      <c r="AX247" s="159" t="n"/>
      <c r="AY247" s="159" t="n">
        <v>4.198740613</v>
      </c>
      <c r="AZ247" s="159" t="n">
        <v>5.195237581</v>
      </c>
      <c r="BA247" s="159" t="n">
        <v>9.4400225</v>
      </c>
      <c r="BB247" s="159" t="n">
        <v>4.615506581</v>
      </c>
      <c r="BC247" s="159" t="n">
        <v>4.91338991</v>
      </c>
    </row>
    <row r="248">
      <c r="A248" s="83" t="inlineStr">
        <is>
          <t>2026-02</t>
        </is>
      </c>
      <c r="B248" s="155" t="n">
        <v>3675.641429</v>
      </c>
      <c r="C248" s="155" t="n">
        <v>165.05</v>
      </c>
      <c r="D248" s="155" t="n">
        <v>1101.16</v>
      </c>
      <c r="E248" s="155" t="n">
        <v>13178.25</v>
      </c>
      <c r="F248" s="152" t="n">
        <v>10.21428571</v>
      </c>
      <c r="G248" s="152" t="n">
        <v>3.64</v>
      </c>
      <c r="H248" s="152" t="n">
        <v>6.574285714</v>
      </c>
      <c r="I248" s="156" t="n">
        <v>-28017.28184</v>
      </c>
      <c r="J248" s="152" t="n">
        <v>6.021341708</v>
      </c>
      <c r="K248" s="152" t="n">
        <v>117.9060211</v>
      </c>
      <c r="L248" s="152" t="n">
        <v>19.207</v>
      </c>
      <c r="M248" s="157" t="n">
        <v>0</v>
      </c>
      <c r="N248" s="155" t="n">
        <v>67424.11</v>
      </c>
      <c r="O248" s="152" t="n">
        <v>262.5</v>
      </c>
      <c r="P248" s="152" t="n">
        <v>2.625</v>
      </c>
      <c r="Q248" s="156" t="n">
        <v>446.75</v>
      </c>
      <c r="R248" s="156" t="n">
        <v>-2646.36</v>
      </c>
      <c r="S248" s="152" t="n">
        <v>13.1775</v>
      </c>
      <c r="T248" s="152" t="n">
        <v>6.146</v>
      </c>
      <c r="U248" s="152" t="n">
        <v>7.0315</v>
      </c>
      <c r="V248" s="152" t="n">
        <v>2.399415794</v>
      </c>
      <c r="W248" s="152" t="n">
        <v>4.632084206</v>
      </c>
      <c r="X248" s="158" t="n">
        <v>5.203135</v>
      </c>
      <c r="Y248" s="158" t="n">
        <v>862.716485</v>
      </c>
      <c r="Z248" s="158" t="n">
        <v>17.187973</v>
      </c>
      <c r="AA248" s="158" t="n">
        <v>3.35664</v>
      </c>
      <c r="AB248" s="159" t="n">
        <v>-0.9351712405</v>
      </c>
      <c r="AC248" s="159" t="n">
        <v>-0.6957686099</v>
      </c>
      <c r="AD248" s="159" t="n">
        <v>126.9628128</v>
      </c>
      <c r="AE248" s="159" t="n">
        <v>155.73</v>
      </c>
      <c r="AF248" s="159" t="n">
        <v>1.82474</v>
      </c>
      <c r="AG248" s="159" t="n">
        <v>1.22895</v>
      </c>
      <c r="AH248" s="159" t="n">
        <v>3.47158</v>
      </c>
      <c r="AI248" s="159" t="n">
        <v>4.12579</v>
      </c>
      <c r="AJ248" s="159" t="n">
        <v>0.654211</v>
      </c>
      <c r="AK248" s="159" t="n">
        <v>2.45263</v>
      </c>
      <c r="AL248" s="159" t="n">
        <v>2.30105</v>
      </c>
      <c r="AM248" s="159" t="n">
        <v>350.906</v>
      </c>
      <c r="AN248" s="159" t="n">
        <v>-0.54365</v>
      </c>
      <c r="AO248" s="159" t="n">
        <v>-0.53525</v>
      </c>
      <c r="AP248" s="159" t="n">
        <v>-0.54525</v>
      </c>
      <c r="AQ248" s="159" t="n">
        <v>4.48997</v>
      </c>
      <c r="AR248" s="159" t="n"/>
      <c r="AS248" s="159" t="n"/>
      <c r="AT248" s="159" t="n">
        <v>4.4</v>
      </c>
      <c r="AU248" s="159" t="n">
        <v>97.5</v>
      </c>
      <c r="AV248" s="159" t="n"/>
      <c r="AW248" s="159" t="n"/>
      <c r="AX248" s="159" t="n"/>
      <c r="AY248" s="159" t="n">
        <v>4.26108706</v>
      </c>
      <c r="AZ248" s="159" t="n">
        <v>5.216342377</v>
      </c>
      <c r="BA248" s="159" t="n">
        <v>9.440101975999999</v>
      </c>
      <c r="BB248" s="159" t="n">
        <v>4.624041007</v>
      </c>
      <c r="BC248" s="159" t="n">
        <v>4.929425239</v>
      </c>
    </row>
    <row r="249">
      <c r="A249" s="83" t="inlineStr">
        <is>
          <t>2026-03</t>
        </is>
      </c>
      <c r="B249" s="155" t="n">
        <v>3717.557419</v>
      </c>
      <c r="C249" s="155" t="n">
        <v>180.04</v>
      </c>
      <c r="D249" s="155" t="n">
        <v>1225.69</v>
      </c>
      <c r="E249" s="155" t="n">
        <v>13314.61</v>
      </c>
      <c r="F249" s="152" t="n">
        <v>10.25</v>
      </c>
      <c r="G249" s="152" t="n">
        <v>3.64</v>
      </c>
      <c r="H249" s="152" t="n">
        <v>6.61</v>
      </c>
      <c r="I249" s="156" t="n">
        <v>-2351.738572</v>
      </c>
      <c r="J249" s="152" t="n">
        <v>5.76200041</v>
      </c>
      <c r="K249" s="152" t="n">
        <v>119.9198545</v>
      </c>
      <c r="L249" s="152" t="n">
        <v>25.59681818</v>
      </c>
      <c r="M249" s="157" t="n">
        <v>0</v>
      </c>
      <c r="N249" s="155" t="n">
        <v>66611.03</v>
      </c>
      <c r="O249" s="152" t="n">
        <v>280.3181818</v>
      </c>
      <c r="P249" s="152" t="n">
        <v>2.803181818</v>
      </c>
      <c r="Q249" s="156" t="n">
        <v>231.61</v>
      </c>
      <c r="R249" s="156" t="n">
        <v>-3652.38</v>
      </c>
      <c r="S249" s="152" t="n">
        <v>13.75428571</v>
      </c>
      <c r="T249" s="152" t="n">
        <v>7.04</v>
      </c>
      <c r="U249" s="152" t="n">
        <v>6.714285714</v>
      </c>
      <c r="V249" s="152" t="n">
        <v>2.510727265</v>
      </c>
      <c r="W249" s="152" t="n">
        <v>4.20355845</v>
      </c>
      <c r="X249" s="158" t="n">
        <v>5.231281818</v>
      </c>
      <c r="Y249" s="158" t="n">
        <v>912.7447773</v>
      </c>
      <c r="Z249" s="158" t="n">
        <v>17.69336409</v>
      </c>
      <c r="AA249" s="158" t="n">
        <v>3.448359091</v>
      </c>
      <c r="AB249" s="159" t="n">
        <v>0.9966247935</v>
      </c>
      <c r="AC249" s="159" t="n">
        <v>1.292143866</v>
      </c>
      <c r="AD249" s="159" t="n">
        <v>128.4515266</v>
      </c>
      <c r="AE249" s="159" t="n">
        <v>156.94</v>
      </c>
      <c r="AF249" s="159" t="n">
        <v>1.90909</v>
      </c>
      <c r="AG249" s="159" t="n">
        <v>1.29</v>
      </c>
      <c r="AH249" s="159" t="n">
        <v>3.71455</v>
      </c>
      <c r="AI249" s="159" t="n">
        <v>4.24591</v>
      </c>
      <c r="AJ249" s="159" t="n">
        <v>0.5313639999999999</v>
      </c>
      <c r="AK249" s="159" t="n">
        <v>2.55818</v>
      </c>
      <c r="AL249" s="159" t="n">
        <v>2.33682</v>
      </c>
      <c r="AM249" s="159" t="n">
        <v>445.854</v>
      </c>
      <c r="AN249" s="159" t="n">
        <v>-0.3157</v>
      </c>
      <c r="AO249" s="159" t="n">
        <v>-0.47175</v>
      </c>
      <c r="AP249" s="159" t="n">
        <v>-0.46725</v>
      </c>
      <c r="AQ249" s="159" t="n">
        <v>4.30227</v>
      </c>
      <c r="AR249" s="159" t="n"/>
      <c r="AS249" s="159" t="n"/>
      <c r="AT249" s="159" t="n">
        <v>4.3</v>
      </c>
      <c r="AU249" s="159" t="n">
        <v>97.90000000000001</v>
      </c>
      <c r="AV249" s="159" t="n"/>
      <c r="AW249" s="159" t="n"/>
      <c r="AX249" s="159" t="n"/>
      <c r="AY249" s="159" t="n">
        <v>4.63603881</v>
      </c>
      <c r="AZ249" s="159" t="n">
        <v>5.388016379</v>
      </c>
      <c r="BA249" s="159" t="n">
        <v>9.44129335</v>
      </c>
      <c r="BB249" s="159" t="n">
        <v>4.622558136</v>
      </c>
      <c r="BC249" s="159" t="n">
        <v>4.936629881</v>
      </c>
    </row>
    <row r="250">
      <c r="A250" s="83" t="inlineStr">
        <is>
          <t>2026-04</t>
        </is>
      </c>
      <c r="B250" s="155" t="n">
        <v>3617.518667</v>
      </c>
      <c r="C250" s="155" t="n">
        <v>185.04</v>
      </c>
      <c r="D250" s="155" t="n">
        <v>1102.86</v>
      </c>
      <c r="E250" s="155" t="n">
        <v>13320.06</v>
      </c>
      <c r="F250" s="152" t="n">
        <v>11.25</v>
      </c>
      <c r="G250" s="152" t="n">
        <v>3.64</v>
      </c>
      <c r="H250" s="152" t="n">
        <v>7.61</v>
      </c>
      <c r="I250" s="156" t="n">
        <v>-9092.641521</v>
      </c>
      <c r="J250" s="152" t="n">
        <v>5.539075577</v>
      </c>
      <c r="K250" s="152" t="n">
        <v>119.0363182</v>
      </c>
      <c r="L250" s="152" t="n">
        <v>19.81190476</v>
      </c>
      <c r="M250" s="157" t="n">
        <v>0</v>
      </c>
      <c r="N250" s="155" t="n">
        <v>67153.55</v>
      </c>
      <c r="O250" s="152" t="n">
        <v>244.7727273</v>
      </c>
      <c r="P250" s="152" t="n">
        <v>2.447727273</v>
      </c>
      <c r="Q250" s="156" t="n">
        <v>-29.74</v>
      </c>
      <c r="R250" s="156" t="n">
        <v>-1565.95</v>
      </c>
      <c r="S250" s="152" t="n">
        <v>13.4405</v>
      </c>
      <c r="T250" s="152" t="n">
        <v>6.8625</v>
      </c>
      <c r="U250" s="152" t="n">
        <v>6.578</v>
      </c>
      <c r="V250" s="152" t="n">
        <v>2.576072736</v>
      </c>
      <c r="W250" s="152" t="n">
        <v>4.001927264</v>
      </c>
      <c r="X250" s="158" t="n">
        <v>5.036581818</v>
      </c>
      <c r="Y250" s="158" t="n">
        <v>898.3015682</v>
      </c>
      <c r="Z250" s="158" t="n">
        <v>17.426435</v>
      </c>
      <c r="AA250" s="158" t="n">
        <v>3.44349</v>
      </c>
      <c r="AB250" s="159" t="n">
        <v>-0.8289013011</v>
      </c>
      <c r="AC250" s="159" t="n">
        <v>-0.6476321597</v>
      </c>
      <c r="AD250" s="159" t="n">
        <v>128.7788861</v>
      </c>
      <c r="AE250" s="159" t="n">
        <v>158.17</v>
      </c>
      <c r="AF250" s="159" t="n">
        <v>1.93682</v>
      </c>
      <c r="AG250" s="159" t="n">
        <v>1.33682</v>
      </c>
      <c r="AH250" s="159" t="n">
        <v>3.79909</v>
      </c>
      <c r="AI250" s="159" t="n">
        <v>4.31909</v>
      </c>
      <c r="AJ250" s="159" t="n">
        <v>0.52</v>
      </c>
      <c r="AK250" s="159" t="n">
        <v>2.59864</v>
      </c>
      <c r="AL250" s="159" t="n">
        <v>2.38227</v>
      </c>
      <c r="AM250" s="159" t="n">
        <v>342.433</v>
      </c>
      <c r="AN250" s="159" t="n">
        <v>-0.573525</v>
      </c>
      <c r="AO250" s="159" t="n">
        <v>-0.48125</v>
      </c>
      <c r="AP250" s="159" t="n">
        <v>-0.492</v>
      </c>
      <c r="AQ250" s="159" t="n">
        <v>4.44183</v>
      </c>
      <c r="AR250" s="159" t="n"/>
      <c r="AS250" s="159" t="n"/>
      <c r="AT250" s="159" t="n">
        <v>4.3</v>
      </c>
      <c r="AU250" s="159" t="n">
        <v>97.7</v>
      </c>
      <c r="AV250" s="159" t="n"/>
      <c r="AW250" s="159" t="n"/>
      <c r="AX250" s="159" t="n"/>
      <c r="AY250" s="159" t="n">
        <v>4.764623923</v>
      </c>
      <c r="AZ250" s="159" t="n">
        <v>5.367334904</v>
      </c>
      <c r="BA250" s="159" t="n">
        <v>9.441213969</v>
      </c>
      <c r="BB250" s="159" t="n">
        <v>4.630057901</v>
      </c>
      <c r="BC250" s="159" t="n">
        <v>4.930870326</v>
      </c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C1"/>
    <mergeCell ref="A2:AC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 ht="30" customHeight="1">
      <c r="A1" s="4" t="inlineStr">
        <is>
          <t>Transformaciones auditables, incluidas las variables internas</t>
        </is>
      </c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Todas las columnas se enlazan a Datos_fuente. ISE total DANE e IPC Colombia se transforman con ln(x) y primera diferencia; los faltantes permanecen vacíos y no se interpolan ni se extrapolan.</t>
        </is>
      </c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8" customHeight="1">
      <c r="A5" s="62" t="inlineStr">
        <is>
          <t>Mes</t>
        </is>
      </c>
      <c r="B5" s="62" t="inlineStr">
        <is>
          <t>ln TRM</t>
        </is>
      </c>
      <c r="C5" s="62" t="inlineStr">
        <is>
          <t>Δln TRM</t>
        </is>
      </c>
      <c r="D5" s="62" t="inlineStr">
        <is>
          <t>ln términos de intercambio</t>
        </is>
      </c>
      <c r="E5" s="62" t="inlineStr">
        <is>
          <t>Δln términos de intercambio</t>
        </is>
      </c>
      <c r="F5" s="62" t="inlineStr">
        <is>
          <t>ln remesas 12m</t>
        </is>
      </c>
      <c r="G5" s="62" t="inlineStr">
        <is>
          <t>Δln remesas 12m</t>
        </is>
      </c>
      <c r="H5" s="62" t="inlineStr">
        <is>
          <t>Diferencial tasas</t>
        </is>
      </c>
      <c r="I5" s="62" t="inlineStr">
        <is>
          <t>Δ diferencial</t>
        </is>
      </c>
      <c r="J5" s="62" t="inlineStr">
        <is>
          <t>Déficit 12m/PIB</t>
        </is>
      </c>
      <c r="K5" s="62" t="inlineStr">
        <is>
          <t>Δ déficit</t>
        </is>
      </c>
      <c r="L5" s="62" t="inlineStr">
        <is>
          <t>ln dólar amplio</t>
        </is>
      </c>
      <c r="M5" s="62" t="inlineStr">
        <is>
          <t>Δln dólar amplio</t>
        </is>
      </c>
      <c r="N5" s="62" t="inlineStr">
        <is>
          <t>ln VIX</t>
        </is>
      </c>
      <c r="O5" s="62" t="inlineStr">
        <is>
          <t>Δln VIX</t>
        </is>
      </c>
      <c r="P5" s="62" t="inlineStr">
        <is>
          <t>Pandemia</t>
        </is>
      </c>
      <c r="Q5" s="62" t="inlineStr">
        <is>
          <t>ln reservas netas sin FLAR</t>
        </is>
      </c>
      <c r="R5" s="62" t="inlineStr">
        <is>
          <t>Δln reservas</t>
        </is>
      </c>
      <c r="S5" s="62" t="inlineStr">
        <is>
          <t>EMBIG Colombia (pp)</t>
        </is>
      </c>
      <c r="T5" s="62" t="inlineStr">
        <is>
          <t>Δ EMBIG Colombia</t>
        </is>
      </c>
      <c r="U5" s="62" t="inlineStr">
        <is>
          <t>asinh balanza (USD miles de millones)</t>
        </is>
      </c>
      <c r="V5" s="62" t="inlineStr">
        <is>
          <t>Δ asinh balanza</t>
        </is>
      </c>
      <c r="W5" s="62" t="inlineStr">
        <is>
          <t>asinh flujos (USD miles de millones)</t>
        </is>
      </c>
      <c r="X5" s="62" t="inlineStr">
        <is>
          <t>Δ asinh flujos</t>
        </is>
      </c>
      <c r="Y5" s="62" t="inlineStr">
        <is>
          <t>Diferencial BEI 5 años</t>
        </is>
      </c>
      <c r="Z5" s="62" t="inlineStr">
        <is>
          <t>Δ diferencial BEI</t>
        </is>
      </c>
      <c r="AA5" s="62" t="inlineStr">
        <is>
          <t>Factor regional 3 monedas</t>
        </is>
      </c>
      <c r="AB5" s="62" t="inlineStr">
        <is>
          <t>Factor regional 4 monedas</t>
        </is>
      </c>
      <c r="AC5" s="62" t="inlineStr">
        <is>
          <t>ln ISE total DANE</t>
        </is>
      </c>
      <c r="AD5" s="62" t="inlineStr">
        <is>
          <t>Δln ISE total DANE</t>
        </is>
      </c>
      <c r="AE5" s="62" t="inlineStr">
        <is>
          <t>ln IPC Colombia</t>
        </is>
      </c>
      <c r="AF5" s="62" t="inlineStr">
        <is>
          <t>Δln IPC Colombia</t>
        </is>
      </c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1">
        <f>'Datos_fuente'!A6</f>
        <v/>
      </c>
      <c r="B6" s="160">
        <f>IF('Datos_fuente'!B6="","",LN('Datos_fuente'!B6))</f>
        <v/>
      </c>
      <c r="C6" s="160" t="n"/>
      <c r="D6" s="160">
        <f>IF('Datos_fuente'!C6="","",LN('Datos_fuente'!C6))</f>
        <v/>
      </c>
      <c r="E6" s="160" t="n"/>
      <c r="F6" s="160">
        <f>IF('Datos_fuente'!E6="","",LN('Datos_fuente'!E6))</f>
        <v/>
      </c>
      <c r="G6" s="160" t="n"/>
      <c r="H6" s="161">
        <f>'Datos_fuente'!H6</f>
        <v/>
      </c>
      <c r="I6" s="161" t="n"/>
      <c r="J6" s="161">
        <f>'Datos_fuente'!J6</f>
        <v/>
      </c>
      <c r="K6" s="161" t="n"/>
      <c r="L6" s="160">
        <f>IF('Datos_fuente'!K6="","",LN('Datos_fuente'!K6))</f>
        <v/>
      </c>
      <c r="M6" s="160" t="n"/>
      <c r="N6" s="160">
        <f>IF('Datos_fuente'!L6="","",LN('Datos_fuente'!L6))</f>
        <v/>
      </c>
      <c r="O6" s="160" t="n"/>
      <c r="P6" s="162">
        <f>'Datos_fuente'!M6</f>
        <v/>
      </c>
      <c r="Q6" s="160">
        <f>IF('Datos_fuente'!N6="","",LN('Datos_fuente'!N6))</f>
        <v/>
      </c>
      <c r="R6" s="160" t="n"/>
      <c r="S6" s="161">
        <f>'Datos_fuente'!P6</f>
        <v/>
      </c>
      <c r="T6" s="161" t="n"/>
      <c r="U6" s="160">
        <f>IF('Datos_fuente'!Q6="","",ASINH('Datos_fuente'!Q6/1000))</f>
        <v/>
      </c>
      <c r="V6" s="160" t="n"/>
      <c r="W6" s="160">
        <f>IF('Datos_fuente'!R6="","",ASINH('Datos_fuente'!R6/1000))</f>
        <v/>
      </c>
      <c r="X6" s="160" t="n"/>
      <c r="Y6" s="161">
        <f>'Datos_fuente'!W6</f>
        <v/>
      </c>
      <c r="Z6" s="161" t="n"/>
      <c r="AA6" s="160">
        <f>'Datos_fuente'!AB6</f>
        <v/>
      </c>
      <c r="AB6" s="160">
        <f>'Datos_fuente'!AC6</f>
        <v/>
      </c>
      <c r="AC6" s="160">
        <f>IF('Datos_fuente'!AD6="","",LN('Datos_fuente'!AD6))</f>
        <v/>
      </c>
      <c r="AD6" s="160" t="n"/>
      <c r="AE6" s="160">
        <f>IF('Datos_fuente'!AE6="","",LN('Datos_fuente'!AE6))</f>
        <v/>
      </c>
      <c r="AF6" s="160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">
        <f>'Datos_fuente'!A7</f>
        <v/>
      </c>
      <c r="B7" s="160">
        <f>IF('Datos_fuente'!B7="","",LN('Datos_fuente'!B7))</f>
        <v/>
      </c>
      <c r="C7" s="160">
        <f>IF(OR(B7="",B6=""),"",B7-B6)</f>
        <v/>
      </c>
      <c r="D7" s="160">
        <f>IF('Datos_fuente'!C7="","",LN('Datos_fuente'!C7))</f>
        <v/>
      </c>
      <c r="E7" s="160">
        <f>IF(OR(D7="",D6=""),"",D7-D6)</f>
        <v/>
      </c>
      <c r="F7" s="160">
        <f>IF('Datos_fuente'!E7="","",LN('Datos_fuente'!E7))</f>
        <v/>
      </c>
      <c r="G7" s="160">
        <f>IF(OR(F7="",F6=""),"",F7-F6)</f>
        <v/>
      </c>
      <c r="H7" s="161">
        <f>'Datos_fuente'!H7</f>
        <v/>
      </c>
      <c r="I7" s="161">
        <f>IF(OR(H7="",H6=""),"",H7-H6)</f>
        <v/>
      </c>
      <c r="J7" s="161">
        <f>'Datos_fuente'!J7</f>
        <v/>
      </c>
      <c r="K7" s="161">
        <f>IF(OR(J7="",J6=""),"",J7-J6)</f>
        <v/>
      </c>
      <c r="L7" s="160">
        <f>IF('Datos_fuente'!K7="","",LN('Datos_fuente'!K7))</f>
        <v/>
      </c>
      <c r="M7" s="160">
        <f>IF(OR(L7="",L6=""),"",L7-L6)</f>
        <v/>
      </c>
      <c r="N7" s="160">
        <f>IF('Datos_fuente'!L7="","",LN('Datos_fuente'!L7))</f>
        <v/>
      </c>
      <c r="O7" s="160">
        <f>IF(OR(N7="",N6=""),"",N7-N6)</f>
        <v/>
      </c>
      <c r="P7" s="162">
        <f>'Datos_fuente'!M7</f>
        <v/>
      </c>
      <c r="Q7" s="160">
        <f>IF('Datos_fuente'!N7="","",LN('Datos_fuente'!N7))</f>
        <v/>
      </c>
      <c r="R7" s="160">
        <f>IF(OR(Q7="",Q6=""),"",Q7-Q6)</f>
        <v/>
      </c>
      <c r="S7" s="161">
        <f>'Datos_fuente'!P7</f>
        <v/>
      </c>
      <c r="T7" s="161">
        <f>IF(OR(S7="",S6=""),"",S7-S6)</f>
        <v/>
      </c>
      <c r="U7" s="160">
        <f>IF('Datos_fuente'!Q7="","",ASINH('Datos_fuente'!Q7/1000))</f>
        <v/>
      </c>
      <c r="V7" s="160">
        <f>IF(OR(U7="",U6=""),"",U7-U6)</f>
        <v/>
      </c>
      <c r="W7" s="160">
        <f>IF('Datos_fuente'!R7="","",ASINH('Datos_fuente'!R7/1000))</f>
        <v/>
      </c>
      <c r="X7" s="160">
        <f>IF(OR(W7="",W6=""),"",W7-W6)</f>
        <v/>
      </c>
      <c r="Y7" s="161">
        <f>'Datos_fuente'!W7</f>
        <v/>
      </c>
      <c r="Z7" s="161">
        <f>IF(OR(Y7="",Y6=""),"",Y7-Y6)</f>
        <v/>
      </c>
      <c r="AA7" s="160">
        <f>'Datos_fuente'!AB7</f>
        <v/>
      </c>
      <c r="AB7" s="160">
        <f>'Datos_fuente'!AC7</f>
        <v/>
      </c>
      <c r="AC7" s="160">
        <f>IF('Datos_fuente'!AD7="","",LN('Datos_fuente'!AD7))</f>
        <v/>
      </c>
      <c r="AD7" s="160">
        <f>IF(OR(AC7="",AC6=""),"",AC7-AC6)</f>
        <v/>
      </c>
      <c r="AE7" s="160">
        <f>IF('Datos_fuente'!AE7="","",LN('Datos_fuente'!AE7))</f>
        <v/>
      </c>
      <c r="AF7" s="160">
        <f>IF(OR(AE7="",AE6=""),"",AE7-AE6)</f>
        <v/>
      </c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>
        <f>'Datos_fuente'!A8</f>
        <v/>
      </c>
      <c r="B8" s="160">
        <f>IF('Datos_fuente'!B8="","",LN('Datos_fuente'!B8))</f>
        <v/>
      </c>
      <c r="C8" s="160">
        <f>IF(OR(B8="",B7=""),"",B8-B7)</f>
        <v/>
      </c>
      <c r="D8" s="160">
        <f>IF('Datos_fuente'!C8="","",LN('Datos_fuente'!C8))</f>
        <v/>
      </c>
      <c r="E8" s="160">
        <f>IF(OR(D8="",D7=""),"",D8-D7)</f>
        <v/>
      </c>
      <c r="F8" s="160">
        <f>IF('Datos_fuente'!E8="","",LN('Datos_fuente'!E8))</f>
        <v/>
      </c>
      <c r="G8" s="160">
        <f>IF(OR(F8="",F7=""),"",F8-F7)</f>
        <v/>
      </c>
      <c r="H8" s="161">
        <f>'Datos_fuente'!H8</f>
        <v/>
      </c>
      <c r="I8" s="161">
        <f>IF(OR(H8="",H7=""),"",H8-H7)</f>
        <v/>
      </c>
      <c r="J8" s="161">
        <f>'Datos_fuente'!J8</f>
        <v/>
      </c>
      <c r="K8" s="161">
        <f>IF(OR(J8="",J7=""),"",J8-J7)</f>
        <v/>
      </c>
      <c r="L8" s="160">
        <f>IF('Datos_fuente'!K8="","",LN('Datos_fuente'!K8))</f>
        <v/>
      </c>
      <c r="M8" s="160">
        <f>IF(OR(L8="",L7=""),"",L8-L7)</f>
        <v/>
      </c>
      <c r="N8" s="160">
        <f>IF('Datos_fuente'!L8="","",LN('Datos_fuente'!L8))</f>
        <v/>
      </c>
      <c r="O8" s="160">
        <f>IF(OR(N8="",N7=""),"",N8-N7)</f>
        <v/>
      </c>
      <c r="P8" s="162">
        <f>'Datos_fuente'!M8</f>
        <v/>
      </c>
      <c r="Q8" s="160">
        <f>IF('Datos_fuente'!N8="","",LN('Datos_fuente'!N8))</f>
        <v/>
      </c>
      <c r="R8" s="160">
        <f>IF(OR(Q8="",Q7=""),"",Q8-Q7)</f>
        <v/>
      </c>
      <c r="S8" s="161">
        <f>'Datos_fuente'!P8</f>
        <v/>
      </c>
      <c r="T8" s="161">
        <f>IF(OR(S8="",S7=""),"",S8-S7)</f>
        <v/>
      </c>
      <c r="U8" s="160">
        <f>IF('Datos_fuente'!Q8="","",ASINH('Datos_fuente'!Q8/1000))</f>
        <v/>
      </c>
      <c r="V8" s="160">
        <f>IF(OR(U8="",U7=""),"",U8-U7)</f>
        <v/>
      </c>
      <c r="W8" s="160">
        <f>IF('Datos_fuente'!R8="","",ASINH('Datos_fuente'!R8/1000))</f>
        <v/>
      </c>
      <c r="X8" s="160">
        <f>IF(OR(W8="",W7=""),"",W8-W7)</f>
        <v/>
      </c>
      <c r="Y8" s="161">
        <f>'Datos_fuente'!W8</f>
        <v/>
      </c>
      <c r="Z8" s="161">
        <f>IF(OR(Y8="",Y7=""),"",Y8-Y7)</f>
        <v/>
      </c>
      <c r="AA8" s="160">
        <f>'Datos_fuente'!AB8</f>
        <v/>
      </c>
      <c r="AB8" s="160">
        <f>'Datos_fuente'!AC8</f>
        <v/>
      </c>
      <c r="AC8" s="160">
        <f>IF('Datos_fuente'!AD8="","",LN('Datos_fuente'!AD8))</f>
        <v/>
      </c>
      <c r="AD8" s="160">
        <f>IF(OR(AC8="",AC7=""),"",AC8-AC7)</f>
        <v/>
      </c>
      <c r="AE8" s="160">
        <f>IF('Datos_fuente'!AE8="","",LN('Datos_fuente'!AE8))</f>
        <v/>
      </c>
      <c r="AF8" s="160">
        <f>IF(OR(AE8="",AE7=""),"",AE8-AE7)</f>
        <v/>
      </c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>
        <f>'Datos_fuente'!A9</f>
        <v/>
      </c>
      <c r="B9" s="160">
        <f>IF('Datos_fuente'!B9="","",LN('Datos_fuente'!B9))</f>
        <v/>
      </c>
      <c r="C9" s="160">
        <f>IF(OR(B9="",B8=""),"",B9-B8)</f>
        <v/>
      </c>
      <c r="D9" s="160">
        <f>IF('Datos_fuente'!C9="","",LN('Datos_fuente'!C9))</f>
        <v/>
      </c>
      <c r="E9" s="160">
        <f>IF(OR(D9="",D8=""),"",D9-D8)</f>
        <v/>
      </c>
      <c r="F9" s="160">
        <f>IF('Datos_fuente'!E9="","",LN('Datos_fuente'!E9))</f>
        <v/>
      </c>
      <c r="G9" s="160">
        <f>IF(OR(F9="",F8=""),"",F9-F8)</f>
        <v/>
      </c>
      <c r="H9" s="161">
        <f>'Datos_fuente'!H9</f>
        <v/>
      </c>
      <c r="I9" s="161">
        <f>IF(OR(H9="",H8=""),"",H9-H8)</f>
        <v/>
      </c>
      <c r="J9" s="161">
        <f>'Datos_fuente'!J9</f>
        <v/>
      </c>
      <c r="K9" s="161">
        <f>IF(OR(J9="",J8=""),"",J9-J8)</f>
        <v/>
      </c>
      <c r="L9" s="160">
        <f>IF('Datos_fuente'!K9="","",LN('Datos_fuente'!K9))</f>
        <v/>
      </c>
      <c r="M9" s="160">
        <f>IF(OR(L9="",L8=""),"",L9-L8)</f>
        <v/>
      </c>
      <c r="N9" s="160">
        <f>IF('Datos_fuente'!L9="","",LN('Datos_fuente'!L9))</f>
        <v/>
      </c>
      <c r="O9" s="160">
        <f>IF(OR(N9="",N8=""),"",N9-N8)</f>
        <v/>
      </c>
      <c r="P9" s="162">
        <f>'Datos_fuente'!M9</f>
        <v/>
      </c>
      <c r="Q9" s="160">
        <f>IF('Datos_fuente'!N9="","",LN('Datos_fuente'!N9))</f>
        <v/>
      </c>
      <c r="R9" s="160">
        <f>IF(OR(Q9="",Q8=""),"",Q9-Q8)</f>
        <v/>
      </c>
      <c r="S9" s="161">
        <f>'Datos_fuente'!P9</f>
        <v/>
      </c>
      <c r="T9" s="161">
        <f>IF(OR(S9="",S8=""),"",S9-S8)</f>
        <v/>
      </c>
      <c r="U9" s="160">
        <f>IF('Datos_fuente'!Q9="","",ASINH('Datos_fuente'!Q9/1000))</f>
        <v/>
      </c>
      <c r="V9" s="160">
        <f>IF(OR(U9="",U8=""),"",U9-U8)</f>
        <v/>
      </c>
      <c r="W9" s="160">
        <f>IF('Datos_fuente'!R9="","",ASINH('Datos_fuente'!R9/1000))</f>
        <v/>
      </c>
      <c r="X9" s="160">
        <f>IF(OR(W9="",W8=""),"",W9-W8)</f>
        <v/>
      </c>
      <c r="Y9" s="161">
        <f>'Datos_fuente'!W9</f>
        <v/>
      </c>
      <c r="Z9" s="161">
        <f>IF(OR(Y9="",Y8=""),"",Y9-Y8)</f>
        <v/>
      </c>
      <c r="AA9" s="160">
        <f>'Datos_fuente'!AB9</f>
        <v/>
      </c>
      <c r="AB9" s="160">
        <f>'Datos_fuente'!AC9</f>
        <v/>
      </c>
      <c r="AC9" s="160">
        <f>IF('Datos_fuente'!AD9="","",LN('Datos_fuente'!AD9))</f>
        <v/>
      </c>
      <c r="AD9" s="160">
        <f>IF(OR(AC9="",AC8=""),"",AC9-AC8)</f>
        <v/>
      </c>
      <c r="AE9" s="160">
        <f>IF('Datos_fuente'!AE9="","",LN('Datos_fuente'!AE9))</f>
        <v/>
      </c>
      <c r="AF9" s="160">
        <f>IF(OR(AE9="",AE8=""),"",AE9-AE8)</f>
        <v/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>
        <f>'Datos_fuente'!A10</f>
        <v/>
      </c>
      <c r="B10" s="160">
        <f>IF('Datos_fuente'!B10="","",LN('Datos_fuente'!B10))</f>
        <v/>
      </c>
      <c r="C10" s="160">
        <f>IF(OR(B10="",B9=""),"",B10-B9)</f>
        <v/>
      </c>
      <c r="D10" s="160">
        <f>IF('Datos_fuente'!C10="","",LN('Datos_fuente'!C10))</f>
        <v/>
      </c>
      <c r="E10" s="160">
        <f>IF(OR(D10="",D9=""),"",D10-D9)</f>
        <v/>
      </c>
      <c r="F10" s="160">
        <f>IF('Datos_fuente'!E10="","",LN('Datos_fuente'!E10))</f>
        <v/>
      </c>
      <c r="G10" s="160">
        <f>IF(OR(F10="",F9=""),"",F10-F9)</f>
        <v/>
      </c>
      <c r="H10" s="161">
        <f>'Datos_fuente'!H10</f>
        <v/>
      </c>
      <c r="I10" s="161">
        <f>IF(OR(H10="",H9=""),"",H10-H9)</f>
        <v/>
      </c>
      <c r="J10" s="161">
        <f>'Datos_fuente'!J10</f>
        <v/>
      </c>
      <c r="K10" s="161">
        <f>IF(OR(J10="",J9=""),"",J10-J9)</f>
        <v/>
      </c>
      <c r="L10" s="160">
        <f>IF('Datos_fuente'!K10="","",LN('Datos_fuente'!K10))</f>
        <v/>
      </c>
      <c r="M10" s="160">
        <f>IF(OR(L10="",L9=""),"",L10-L9)</f>
        <v/>
      </c>
      <c r="N10" s="160">
        <f>IF('Datos_fuente'!L10="","",LN('Datos_fuente'!L10))</f>
        <v/>
      </c>
      <c r="O10" s="160">
        <f>IF(OR(N10="",N9=""),"",N10-N9)</f>
        <v/>
      </c>
      <c r="P10" s="162">
        <f>'Datos_fuente'!M10</f>
        <v/>
      </c>
      <c r="Q10" s="160">
        <f>IF('Datos_fuente'!N10="","",LN('Datos_fuente'!N10))</f>
        <v/>
      </c>
      <c r="R10" s="160">
        <f>IF(OR(Q10="",Q9=""),"",Q10-Q9)</f>
        <v/>
      </c>
      <c r="S10" s="161">
        <f>'Datos_fuente'!P10</f>
        <v/>
      </c>
      <c r="T10" s="161">
        <f>IF(OR(S10="",S9=""),"",S10-S9)</f>
        <v/>
      </c>
      <c r="U10" s="160">
        <f>IF('Datos_fuente'!Q10="","",ASINH('Datos_fuente'!Q10/1000))</f>
        <v/>
      </c>
      <c r="V10" s="160">
        <f>IF(OR(U10="",U9=""),"",U10-U9)</f>
        <v/>
      </c>
      <c r="W10" s="160">
        <f>IF('Datos_fuente'!R10="","",ASINH('Datos_fuente'!R10/1000))</f>
        <v/>
      </c>
      <c r="X10" s="160">
        <f>IF(OR(W10="",W9=""),"",W10-W9)</f>
        <v/>
      </c>
      <c r="Y10" s="161">
        <f>'Datos_fuente'!W10</f>
        <v/>
      </c>
      <c r="Z10" s="161">
        <f>IF(OR(Y10="",Y9=""),"",Y10-Y9)</f>
        <v/>
      </c>
      <c r="AA10" s="160">
        <f>'Datos_fuente'!AB10</f>
        <v/>
      </c>
      <c r="AB10" s="160">
        <f>'Datos_fuente'!AC10</f>
        <v/>
      </c>
      <c r="AC10" s="160">
        <f>IF('Datos_fuente'!AD10="","",LN('Datos_fuente'!AD10))</f>
        <v/>
      </c>
      <c r="AD10" s="160">
        <f>IF(OR(AC10="",AC9=""),"",AC10-AC9)</f>
        <v/>
      </c>
      <c r="AE10" s="160">
        <f>IF('Datos_fuente'!AE10="","",LN('Datos_fuente'!AE10))</f>
        <v/>
      </c>
      <c r="AF10" s="160">
        <f>IF(OR(AE10="",AE9=""),"",AE10-AE9)</f>
        <v/>
      </c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1">
        <f>'Datos_fuente'!A11</f>
        <v/>
      </c>
      <c r="B11" s="160">
        <f>IF('Datos_fuente'!B11="","",LN('Datos_fuente'!B11))</f>
        <v/>
      </c>
      <c r="C11" s="160">
        <f>IF(OR(B11="",B10=""),"",B11-B10)</f>
        <v/>
      </c>
      <c r="D11" s="160">
        <f>IF('Datos_fuente'!C11="","",LN('Datos_fuente'!C11))</f>
        <v/>
      </c>
      <c r="E11" s="160">
        <f>IF(OR(D11="",D10=""),"",D11-D10)</f>
        <v/>
      </c>
      <c r="F11" s="160">
        <f>IF('Datos_fuente'!E11="","",LN('Datos_fuente'!E11))</f>
        <v/>
      </c>
      <c r="G11" s="160">
        <f>IF(OR(F11="",F10=""),"",F11-F10)</f>
        <v/>
      </c>
      <c r="H11" s="161">
        <f>'Datos_fuente'!H11</f>
        <v/>
      </c>
      <c r="I11" s="161">
        <f>IF(OR(H11="",H10=""),"",H11-H10)</f>
        <v/>
      </c>
      <c r="J11" s="161">
        <f>'Datos_fuente'!J11</f>
        <v/>
      </c>
      <c r="K11" s="161">
        <f>IF(OR(J11="",J10=""),"",J11-J10)</f>
        <v/>
      </c>
      <c r="L11" s="160">
        <f>IF('Datos_fuente'!K11="","",LN('Datos_fuente'!K11))</f>
        <v/>
      </c>
      <c r="M11" s="160">
        <f>IF(OR(L11="",L10=""),"",L11-L10)</f>
        <v/>
      </c>
      <c r="N11" s="160">
        <f>IF('Datos_fuente'!L11="","",LN('Datos_fuente'!L11))</f>
        <v/>
      </c>
      <c r="O11" s="160">
        <f>IF(OR(N11="",N10=""),"",N11-N10)</f>
        <v/>
      </c>
      <c r="P11" s="162">
        <f>'Datos_fuente'!M11</f>
        <v/>
      </c>
      <c r="Q11" s="160">
        <f>IF('Datos_fuente'!N11="","",LN('Datos_fuente'!N11))</f>
        <v/>
      </c>
      <c r="R11" s="160">
        <f>IF(OR(Q11="",Q10=""),"",Q11-Q10)</f>
        <v/>
      </c>
      <c r="S11" s="161">
        <f>'Datos_fuente'!P11</f>
        <v/>
      </c>
      <c r="T11" s="161">
        <f>IF(OR(S11="",S10=""),"",S11-S10)</f>
        <v/>
      </c>
      <c r="U11" s="160">
        <f>IF('Datos_fuente'!Q11="","",ASINH('Datos_fuente'!Q11/1000))</f>
        <v/>
      </c>
      <c r="V11" s="160">
        <f>IF(OR(U11="",U10=""),"",U11-U10)</f>
        <v/>
      </c>
      <c r="W11" s="160">
        <f>IF('Datos_fuente'!R11="","",ASINH('Datos_fuente'!R11/1000))</f>
        <v/>
      </c>
      <c r="X11" s="160">
        <f>IF(OR(W11="",W10=""),"",W11-W10)</f>
        <v/>
      </c>
      <c r="Y11" s="161">
        <f>'Datos_fuente'!W11</f>
        <v/>
      </c>
      <c r="Z11" s="161">
        <f>IF(OR(Y11="",Y10=""),"",Y11-Y10)</f>
        <v/>
      </c>
      <c r="AA11" s="160">
        <f>'Datos_fuente'!AB11</f>
        <v/>
      </c>
      <c r="AB11" s="160">
        <f>'Datos_fuente'!AC11</f>
        <v/>
      </c>
      <c r="AC11" s="160">
        <f>IF('Datos_fuente'!AD11="","",LN('Datos_fuente'!AD11))</f>
        <v/>
      </c>
      <c r="AD11" s="160">
        <f>IF(OR(AC11="",AC10=""),"",AC11-AC10)</f>
        <v/>
      </c>
      <c r="AE11" s="160">
        <f>IF('Datos_fuente'!AE11="","",LN('Datos_fuente'!AE11))</f>
        <v/>
      </c>
      <c r="AF11" s="160">
        <f>IF(OR(AE11="",AE10=""),"",AE11-AE10)</f>
        <v/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>
        <f>'Datos_fuente'!A12</f>
        <v/>
      </c>
      <c r="B12" s="160">
        <f>IF('Datos_fuente'!B12="","",LN('Datos_fuente'!B12))</f>
        <v/>
      </c>
      <c r="C12" s="160">
        <f>IF(OR(B12="",B11=""),"",B12-B11)</f>
        <v/>
      </c>
      <c r="D12" s="160">
        <f>IF('Datos_fuente'!C12="","",LN('Datos_fuente'!C12))</f>
        <v/>
      </c>
      <c r="E12" s="160">
        <f>IF(OR(D12="",D11=""),"",D12-D11)</f>
        <v/>
      </c>
      <c r="F12" s="160">
        <f>IF('Datos_fuente'!E12="","",LN('Datos_fuente'!E12))</f>
        <v/>
      </c>
      <c r="G12" s="160">
        <f>IF(OR(F12="",F11=""),"",F12-F11)</f>
        <v/>
      </c>
      <c r="H12" s="161">
        <f>'Datos_fuente'!H12</f>
        <v/>
      </c>
      <c r="I12" s="161">
        <f>IF(OR(H12="",H11=""),"",H12-H11)</f>
        <v/>
      </c>
      <c r="J12" s="161">
        <f>'Datos_fuente'!J12</f>
        <v/>
      </c>
      <c r="K12" s="161">
        <f>IF(OR(J12="",J11=""),"",J12-J11)</f>
        <v/>
      </c>
      <c r="L12" s="160">
        <f>IF('Datos_fuente'!K12="","",LN('Datos_fuente'!K12))</f>
        <v/>
      </c>
      <c r="M12" s="160">
        <f>IF(OR(L12="",L11=""),"",L12-L11)</f>
        <v/>
      </c>
      <c r="N12" s="160">
        <f>IF('Datos_fuente'!L12="","",LN('Datos_fuente'!L12))</f>
        <v/>
      </c>
      <c r="O12" s="160">
        <f>IF(OR(N12="",N11=""),"",N12-N11)</f>
        <v/>
      </c>
      <c r="P12" s="162">
        <f>'Datos_fuente'!M12</f>
        <v/>
      </c>
      <c r="Q12" s="160">
        <f>IF('Datos_fuente'!N12="","",LN('Datos_fuente'!N12))</f>
        <v/>
      </c>
      <c r="R12" s="160">
        <f>IF(OR(Q12="",Q11=""),"",Q12-Q11)</f>
        <v/>
      </c>
      <c r="S12" s="161">
        <f>'Datos_fuente'!P12</f>
        <v/>
      </c>
      <c r="T12" s="161">
        <f>IF(OR(S12="",S11=""),"",S12-S11)</f>
        <v/>
      </c>
      <c r="U12" s="160">
        <f>IF('Datos_fuente'!Q12="","",ASINH('Datos_fuente'!Q12/1000))</f>
        <v/>
      </c>
      <c r="V12" s="160">
        <f>IF(OR(U12="",U11=""),"",U12-U11)</f>
        <v/>
      </c>
      <c r="W12" s="160">
        <f>IF('Datos_fuente'!R12="","",ASINH('Datos_fuente'!R12/1000))</f>
        <v/>
      </c>
      <c r="X12" s="160">
        <f>IF(OR(W12="",W11=""),"",W12-W11)</f>
        <v/>
      </c>
      <c r="Y12" s="161">
        <f>'Datos_fuente'!W12</f>
        <v/>
      </c>
      <c r="Z12" s="161">
        <f>IF(OR(Y12="",Y11=""),"",Y12-Y11)</f>
        <v/>
      </c>
      <c r="AA12" s="160">
        <f>'Datos_fuente'!AB12</f>
        <v/>
      </c>
      <c r="AB12" s="160">
        <f>'Datos_fuente'!AC12</f>
        <v/>
      </c>
      <c r="AC12" s="160">
        <f>IF('Datos_fuente'!AD12="","",LN('Datos_fuente'!AD12))</f>
        <v/>
      </c>
      <c r="AD12" s="160">
        <f>IF(OR(AC12="",AC11=""),"",AC12-AC11)</f>
        <v/>
      </c>
      <c r="AE12" s="160">
        <f>IF('Datos_fuente'!AE12="","",LN('Datos_fuente'!AE12))</f>
        <v/>
      </c>
      <c r="AF12" s="160">
        <f>IF(OR(AE12="",AE11=""),"",AE12-AE11)</f>
        <v/>
      </c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>
        <f>'Datos_fuente'!A13</f>
        <v/>
      </c>
      <c r="B13" s="160">
        <f>IF('Datos_fuente'!B13="","",LN('Datos_fuente'!B13))</f>
        <v/>
      </c>
      <c r="C13" s="160">
        <f>IF(OR(B13="",B12=""),"",B13-B12)</f>
        <v/>
      </c>
      <c r="D13" s="160">
        <f>IF('Datos_fuente'!C13="","",LN('Datos_fuente'!C13))</f>
        <v/>
      </c>
      <c r="E13" s="160">
        <f>IF(OR(D13="",D12=""),"",D13-D12)</f>
        <v/>
      </c>
      <c r="F13" s="160">
        <f>IF('Datos_fuente'!E13="","",LN('Datos_fuente'!E13))</f>
        <v/>
      </c>
      <c r="G13" s="160">
        <f>IF(OR(F13="",F12=""),"",F13-F12)</f>
        <v/>
      </c>
      <c r="H13" s="161">
        <f>'Datos_fuente'!H13</f>
        <v/>
      </c>
      <c r="I13" s="161">
        <f>IF(OR(H13="",H12=""),"",H13-H12)</f>
        <v/>
      </c>
      <c r="J13" s="161">
        <f>'Datos_fuente'!J13</f>
        <v/>
      </c>
      <c r="K13" s="161">
        <f>IF(OR(J13="",J12=""),"",J13-J12)</f>
        <v/>
      </c>
      <c r="L13" s="160">
        <f>IF('Datos_fuente'!K13="","",LN('Datos_fuente'!K13))</f>
        <v/>
      </c>
      <c r="M13" s="160">
        <f>IF(OR(L13="",L12=""),"",L13-L12)</f>
        <v/>
      </c>
      <c r="N13" s="160">
        <f>IF('Datos_fuente'!L13="","",LN('Datos_fuente'!L13))</f>
        <v/>
      </c>
      <c r="O13" s="160">
        <f>IF(OR(N13="",N12=""),"",N13-N12)</f>
        <v/>
      </c>
      <c r="P13" s="162">
        <f>'Datos_fuente'!M13</f>
        <v/>
      </c>
      <c r="Q13" s="160">
        <f>IF('Datos_fuente'!N13="","",LN('Datos_fuente'!N13))</f>
        <v/>
      </c>
      <c r="R13" s="160">
        <f>IF(OR(Q13="",Q12=""),"",Q13-Q12)</f>
        <v/>
      </c>
      <c r="S13" s="161">
        <f>'Datos_fuente'!P13</f>
        <v/>
      </c>
      <c r="T13" s="161">
        <f>IF(OR(S13="",S12=""),"",S13-S12)</f>
        <v/>
      </c>
      <c r="U13" s="160">
        <f>IF('Datos_fuente'!Q13="","",ASINH('Datos_fuente'!Q13/1000))</f>
        <v/>
      </c>
      <c r="V13" s="160">
        <f>IF(OR(U13="",U12=""),"",U13-U12)</f>
        <v/>
      </c>
      <c r="W13" s="160">
        <f>IF('Datos_fuente'!R13="","",ASINH('Datos_fuente'!R13/1000))</f>
        <v/>
      </c>
      <c r="X13" s="160">
        <f>IF(OR(W13="",W12=""),"",W13-W12)</f>
        <v/>
      </c>
      <c r="Y13" s="161">
        <f>'Datos_fuente'!W13</f>
        <v/>
      </c>
      <c r="Z13" s="161">
        <f>IF(OR(Y13="",Y12=""),"",Y13-Y12)</f>
        <v/>
      </c>
      <c r="AA13" s="160">
        <f>'Datos_fuente'!AB13</f>
        <v/>
      </c>
      <c r="AB13" s="160">
        <f>'Datos_fuente'!AC13</f>
        <v/>
      </c>
      <c r="AC13" s="160">
        <f>IF('Datos_fuente'!AD13="","",LN('Datos_fuente'!AD13))</f>
        <v/>
      </c>
      <c r="AD13" s="160">
        <f>IF(OR(AC13="",AC12=""),"",AC13-AC12)</f>
        <v/>
      </c>
      <c r="AE13" s="160">
        <f>IF('Datos_fuente'!AE13="","",LN('Datos_fuente'!AE13))</f>
        <v/>
      </c>
      <c r="AF13" s="160">
        <f>IF(OR(AE13="",AE12=""),"",AE13-AE12)</f>
        <v/>
      </c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>
        <f>'Datos_fuente'!A14</f>
        <v/>
      </c>
      <c r="B14" s="160">
        <f>IF('Datos_fuente'!B14="","",LN('Datos_fuente'!B14))</f>
        <v/>
      </c>
      <c r="C14" s="160">
        <f>IF(OR(B14="",B13=""),"",B14-B13)</f>
        <v/>
      </c>
      <c r="D14" s="160">
        <f>IF('Datos_fuente'!C14="","",LN('Datos_fuente'!C14))</f>
        <v/>
      </c>
      <c r="E14" s="160">
        <f>IF(OR(D14="",D13=""),"",D14-D13)</f>
        <v/>
      </c>
      <c r="F14" s="160">
        <f>IF('Datos_fuente'!E14="","",LN('Datos_fuente'!E14))</f>
        <v/>
      </c>
      <c r="G14" s="160">
        <f>IF(OR(F14="",F13=""),"",F14-F13)</f>
        <v/>
      </c>
      <c r="H14" s="161">
        <f>'Datos_fuente'!H14</f>
        <v/>
      </c>
      <c r="I14" s="161">
        <f>IF(OR(H14="",H13=""),"",H14-H13)</f>
        <v/>
      </c>
      <c r="J14" s="161">
        <f>'Datos_fuente'!J14</f>
        <v/>
      </c>
      <c r="K14" s="161">
        <f>IF(OR(J14="",J13=""),"",J14-J13)</f>
        <v/>
      </c>
      <c r="L14" s="160">
        <f>IF('Datos_fuente'!K14="","",LN('Datos_fuente'!K14))</f>
        <v/>
      </c>
      <c r="M14" s="160">
        <f>IF(OR(L14="",L13=""),"",L14-L13)</f>
        <v/>
      </c>
      <c r="N14" s="160">
        <f>IF('Datos_fuente'!L14="","",LN('Datos_fuente'!L14))</f>
        <v/>
      </c>
      <c r="O14" s="160">
        <f>IF(OR(N14="",N13=""),"",N14-N13)</f>
        <v/>
      </c>
      <c r="P14" s="162">
        <f>'Datos_fuente'!M14</f>
        <v/>
      </c>
      <c r="Q14" s="160">
        <f>IF('Datos_fuente'!N14="","",LN('Datos_fuente'!N14))</f>
        <v/>
      </c>
      <c r="R14" s="160">
        <f>IF(OR(Q14="",Q13=""),"",Q14-Q13)</f>
        <v/>
      </c>
      <c r="S14" s="161">
        <f>'Datos_fuente'!P14</f>
        <v/>
      </c>
      <c r="T14" s="161">
        <f>IF(OR(S14="",S13=""),"",S14-S13)</f>
        <v/>
      </c>
      <c r="U14" s="160">
        <f>IF('Datos_fuente'!Q14="","",ASINH('Datos_fuente'!Q14/1000))</f>
        <v/>
      </c>
      <c r="V14" s="160">
        <f>IF(OR(U14="",U13=""),"",U14-U13)</f>
        <v/>
      </c>
      <c r="W14" s="160">
        <f>IF('Datos_fuente'!R14="","",ASINH('Datos_fuente'!R14/1000))</f>
        <v/>
      </c>
      <c r="X14" s="160">
        <f>IF(OR(W14="",W13=""),"",W14-W13)</f>
        <v/>
      </c>
      <c r="Y14" s="161">
        <f>'Datos_fuente'!W14</f>
        <v/>
      </c>
      <c r="Z14" s="161">
        <f>IF(OR(Y14="",Y13=""),"",Y14-Y13)</f>
        <v/>
      </c>
      <c r="AA14" s="160">
        <f>'Datos_fuente'!AB14</f>
        <v/>
      </c>
      <c r="AB14" s="160">
        <f>'Datos_fuente'!AC14</f>
        <v/>
      </c>
      <c r="AC14" s="160">
        <f>IF('Datos_fuente'!AD14="","",LN('Datos_fuente'!AD14))</f>
        <v/>
      </c>
      <c r="AD14" s="160">
        <f>IF(OR(AC14="",AC13=""),"",AC14-AC13)</f>
        <v/>
      </c>
      <c r="AE14" s="160">
        <f>IF('Datos_fuente'!AE14="","",LN('Datos_fuente'!AE14))</f>
        <v/>
      </c>
      <c r="AF14" s="160">
        <f>IF(OR(AE14="",AE13=""),"",AE14-AE13)</f>
        <v/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>
        <f>'Datos_fuente'!A15</f>
        <v/>
      </c>
      <c r="B15" s="160">
        <f>IF('Datos_fuente'!B15="","",LN('Datos_fuente'!B15))</f>
        <v/>
      </c>
      <c r="C15" s="160">
        <f>IF(OR(B15="",B14=""),"",B15-B14)</f>
        <v/>
      </c>
      <c r="D15" s="160">
        <f>IF('Datos_fuente'!C15="","",LN('Datos_fuente'!C15))</f>
        <v/>
      </c>
      <c r="E15" s="160">
        <f>IF(OR(D15="",D14=""),"",D15-D14)</f>
        <v/>
      </c>
      <c r="F15" s="160">
        <f>IF('Datos_fuente'!E15="","",LN('Datos_fuente'!E15))</f>
        <v/>
      </c>
      <c r="G15" s="160">
        <f>IF(OR(F15="",F14=""),"",F15-F14)</f>
        <v/>
      </c>
      <c r="H15" s="161">
        <f>'Datos_fuente'!H15</f>
        <v/>
      </c>
      <c r="I15" s="161">
        <f>IF(OR(H15="",H14=""),"",H15-H14)</f>
        <v/>
      </c>
      <c r="J15" s="161">
        <f>'Datos_fuente'!J15</f>
        <v/>
      </c>
      <c r="K15" s="161">
        <f>IF(OR(J15="",J14=""),"",J15-J14)</f>
        <v/>
      </c>
      <c r="L15" s="160">
        <f>IF('Datos_fuente'!K15="","",LN('Datos_fuente'!K15))</f>
        <v/>
      </c>
      <c r="M15" s="160">
        <f>IF(OR(L15="",L14=""),"",L15-L14)</f>
        <v/>
      </c>
      <c r="N15" s="160">
        <f>IF('Datos_fuente'!L15="","",LN('Datos_fuente'!L15))</f>
        <v/>
      </c>
      <c r="O15" s="160">
        <f>IF(OR(N15="",N14=""),"",N15-N14)</f>
        <v/>
      </c>
      <c r="P15" s="162">
        <f>'Datos_fuente'!M15</f>
        <v/>
      </c>
      <c r="Q15" s="160">
        <f>IF('Datos_fuente'!N15="","",LN('Datos_fuente'!N15))</f>
        <v/>
      </c>
      <c r="R15" s="160">
        <f>IF(OR(Q15="",Q14=""),"",Q15-Q14)</f>
        <v/>
      </c>
      <c r="S15" s="161">
        <f>'Datos_fuente'!P15</f>
        <v/>
      </c>
      <c r="T15" s="161">
        <f>IF(OR(S15="",S14=""),"",S15-S14)</f>
        <v/>
      </c>
      <c r="U15" s="160">
        <f>IF('Datos_fuente'!Q15="","",ASINH('Datos_fuente'!Q15/1000))</f>
        <v/>
      </c>
      <c r="V15" s="160">
        <f>IF(OR(U15="",U14=""),"",U15-U14)</f>
        <v/>
      </c>
      <c r="W15" s="160">
        <f>IF('Datos_fuente'!R15="","",ASINH('Datos_fuente'!R15/1000))</f>
        <v/>
      </c>
      <c r="X15" s="160">
        <f>IF(OR(W15="",W14=""),"",W15-W14)</f>
        <v/>
      </c>
      <c r="Y15" s="161">
        <f>'Datos_fuente'!W15</f>
        <v/>
      </c>
      <c r="Z15" s="161">
        <f>IF(OR(Y15="",Y14=""),"",Y15-Y14)</f>
        <v/>
      </c>
      <c r="AA15" s="160">
        <f>'Datos_fuente'!AB15</f>
        <v/>
      </c>
      <c r="AB15" s="160">
        <f>'Datos_fuente'!AC15</f>
        <v/>
      </c>
      <c r="AC15" s="160">
        <f>IF('Datos_fuente'!AD15="","",LN('Datos_fuente'!AD15))</f>
        <v/>
      </c>
      <c r="AD15" s="160">
        <f>IF(OR(AC15="",AC14=""),"",AC15-AC14)</f>
        <v/>
      </c>
      <c r="AE15" s="160">
        <f>IF('Datos_fuente'!AE15="","",LN('Datos_fuente'!AE15))</f>
        <v/>
      </c>
      <c r="AF15" s="160">
        <f>IF(OR(AE15="",AE14=""),"",AE15-AE14)</f>
        <v/>
      </c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>
        <f>'Datos_fuente'!A16</f>
        <v/>
      </c>
      <c r="B16" s="160">
        <f>IF('Datos_fuente'!B16="","",LN('Datos_fuente'!B16))</f>
        <v/>
      </c>
      <c r="C16" s="160">
        <f>IF(OR(B16="",B15=""),"",B16-B15)</f>
        <v/>
      </c>
      <c r="D16" s="160">
        <f>IF('Datos_fuente'!C16="","",LN('Datos_fuente'!C16))</f>
        <v/>
      </c>
      <c r="E16" s="160">
        <f>IF(OR(D16="",D15=""),"",D16-D15)</f>
        <v/>
      </c>
      <c r="F16" s="160">
        <f>IF('Datos_fuente'!E16="","",LN('Datos_fuente'!E16))</f>
        <v/>
      </c>
      <c r="G16" s="160">
        <f>IF(OR(F16="",F15=""),"",F16-F15)</f>
        <v/>
      </c>
      <c r="H16" s="161">
        <f>'Datos_fuente'!H16</f>
        <v/>
      </c>
      <c r="I16" s="161">
        <f>IF(OR(H16="",H15=""),"",H16-H15)</f>
        <v/>
      </c>
      <c r="J16" s="161">
        <f>'Datos_fuente'!J16</f>
        <v/>
      </c>
      <c r="K16" s="161">
        <f>IF(OR(J16="",J15=""),"",J16-J15)</f>
        <v/>
      </c>
      <c r="L16" s="160">
        <f>IF('Datos_fuente'!K16="","",LN('Datos_fuente'!K16))</f>
        <v/>
      </c>
      <c r="M16" s="160">
        <f>IF(OR(L16="",L15=""),"",L16-L15)</f>
        <v/>
      </c>
      <c r="N16" s="160">
        <f>IF('Datos_fuente'!L16="","",LN('Datos_fuente'!L16))</f>
        <v/>
      </c>
      <c r="O16" s="160">
        <f>IF(OR(N16="",N15=""),"",N16-N15)</f>
        <v/>
      </c>
      <c r="P16" s="162">
        <f>'Datos_fuente'!M16</f>
        <v/>
      </c>
      <c r="Q16" s="160">
        <f>IF('Datos_fuente'!N16="","",LN('Datos_fuente'!N16))</f>
        <v/>
      </c>
      <c r="R16" s="160">
        <f>IF(OR(Q16="",Q15=""),"",Q16-Q15)</f>
        <v/>
      </c>
      <c r="S16" s="161">
        <f>'Datos_fuente'!P16</f>
        <v/>
      </c>
      <c r="T16" s="161">
        <f>IF(OR(S16="",S15=""),"",S16-S15)</f>
        <v/>
      </c>
      <c r="U16" s="160">
        <f>IF('Datos_fuente'!Q16="","",ASINH('Datos_fuente'!Q16/1000))</f>
        <v/>
      </c>
      <c r="V16" s="160">
        <f>IF(OR(U16="",U15=""),"",U16-U15)</f>
        <v/>
      </c>
      <c r="W16" s="160">
        <f>IF('Datos_fuente'!R16="","",ASINH('Datos_fuente'!R16/1000))</f>
        <v/>
      </c>
      <c r="X16" s="160">
        <f>IF(OR(W16="",W15=""),"",W16-W15)</f>
        <v/>
      </c>
      <c r="Y16" s="161">
        <f>'Datos_fuente'!W16</f>
        <v/>
      </c>
      <c r="Z16" s="161">
        <f>IF(OR(Y16="",Y15=""),"",Y16-Y15)</f>
        <v/>
      </c>
      <c r="AA16" s="160">
        <f>'Datos_fuente'!AB16</f>
        <v/>
      </c>
      <c r="AB16" s="160">
        <f>'Datos_fuente'!AC16</f>
        <v/>
      </c>
      <c r="AC16" s="160">
        <f>IF('Datos_fuente'!AD16="","",LN('Datos_fuente'!AD16))</f>
        <v/>
      </c>
      <c r="AD16" s="160">
        <f>IF(OR(AC16="",AC15=""),"",AC16-AC15)</f>
        <v/>
      </c>
      <c r="AE16" s="160">
        <f>IF('Datos_fuente'!AE16="","",LN('Datos_fuente'!AE16))</f>
        <v/>
      </c>
      <c r="AF16" s="160">
        <f>IF(OR(AE16="",AE15=""),"",AE16-AE15)</f>
        <v/>
      </c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>
        <f>'Datos_fuente'!A17</f>
        <v/>
      </c>
      <c r="B17" s="160">
        <f>IF('Datos_fuente'!B17="","",LN('Datos_fuente'!B17))</f>
        <v/>
      </c>
      <c r="C17" s="160">
        <f>IF(OR(B17="",B16=""),"",B17-B16)</f>
        <v/>
      </c>
      <c r="D17" s="160">
        <f>IF('Datos_fuente'!C17="","",LN('Datos_fuente'!C17))</f>
        <v/>
      </c>
      <c r="E17" s="160">
        <f>IF(OR(D17="",D16=""),"",D17-D16)</f>
        <v/>
      </c>
      <c r="F17" s="160">
        <f>IF('Datos_fuente'!E17="","",LN('Datos_fuente'!E17))</f>
        <v/>
      </c>
      <c r="G17" s="160">
        <f>IF(OR(F17="",F16=""),"",F17-F16)</f>
        <v/>
      </c>
      <c r="H17" s="161">
        <f>'Datos_fuente'!H17</f>
        <v/>
      </c>
      <c r="I17" s="161">
        <f>IF(OR(H17="",H16=""),"",H17-H16)</f>
        <v/>
      </c>
      <c r="J17" s="161">
        <f>'Datos_fuente'!J17</f>
        <v/>
      </c>
      <c r="K17" s="161">
        <f>IF(OR(J17="",J16=""),"",J17-J16)</f>
        <v/>
      </c>
      <c r="L17" s="160">
        <f>IF('Datos_fuente'!K17="","",LN('Datos_fuente'!K17))</f>
        <v/>
      </c>
      <c r="M17" s="160">
        <f>IF(OR(L17="",L16=""),"",L17-L16)</f>
        <v/>
      </c>
      <c r="N17" s="160">
        <f>IF('Datos_fuente'!L17="","",LN('Datos_fuente'!L17))</f>
        <v/>
      </c>
      <c r="O17" s="160">
        <f>IF(OR(N17="",N16=""),"",N17-N16)</f>
        <v/>
      </c>
      <c r="P17" s="162">
        <f>'Datos_fuente'!M17</f>
        <v/>
      </c>
      <c r="Q17" s="160">
        <f>IF('Datos_fuente'!N17="","",LN('Datos_fuente'!N17))</f>
        <v/>
      </c>
      <c r="R17" s="160">
        <f>IF(OR(Q17="",Q16=""),"",Q17-Q16)</f>
        <v/>
      </c>
      <c r="S17" s="161">
        <f>'Datos_fuente'!P17</f>
        <v/>
      </c>
      <c r="T17" s="161">
        <f>IF(OR(S17="",S16=""),"",S17-S16)</f>
        <v/>
      </c>
      <c r="U17" s="160">
        <f>IF('Datos_fuente'!Q17="","",ASINH('Datos_fuente'!Q17/1000))</f>
        <v/>
      </c>
      <c r="V17" s="160">
        <f>IF(OR(U17="",U16=""),"",U17-U16)</f>
        <v/>
      </c>
      <c r="W17" s="160">
        <f>IF('Datos_fuente'!R17="","",ASINH('Datos_fuente'!R17/1000))</f>
        <v/>
      </c>
      <c r="X17" s="160">
        <f>IF(OR(W17="",W16=""),"",W17-W16)</f>
        <v/>
      </c>
      <c r="Y17" s="161">
        <f>'Datos_fuente'!W17</f>
        <v/>
      </c>
      <c r="Z17" s="161">
        <f>IF(OR(Y17="",Y16=""),"",Y17-Y16)</f>
        <v/>
      </c>
      <c r="AA17" s="160">
        <f>'Datos_fuente'!AB17</f>
        <v/>
      </c>
      <c r="AB17" s="160">
        <f>'Datos_fuente'!AC17</f>
        <v/>
      </c>
      <c r="AC17" s="160">
        <f>IF('Datos_fuente'!AD17="","",LN('Datos_fuente'!AD17))</f>
        <v/>
      </c>
      <c r="AD17" s="160">
        <f>IF(OR(AC17="",AC16=""),"",AC17-AC16)</f>
        <v/>
      </c>
      <c r="AE17" s="160">
        <f>IF('Datos_fuente'!AE17="","",LN('Datos_fuente'!AE17))</f>
        <v/>
      </c>
      <c r="AF17" s="160">
        <f>IF(OR(AE17="",AE16=""),"",AE17-AE16)</f>
        <v/>
      </c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'Datos_fuente'!A18</f>
        <v/>
      </c>
      <c r="B18" s="160">
        <f>IF('Datos_fuente'!B18="","",LN('Datos_fuente'!B18))</f>
        <v/>
      </c>
      <c r="C18" s="160">
        <f>IF(OR(B18="",B17=""),"",B18-B17)</f>
        <v/>
      </c>
      <c r="D18" s="160">
        <f>IF('Datos_fuente'!C18="","",LN('Datos_fuente'!C18))</f>
        <v/>
      </c>
      <c r="E18" s="160">
        <f>IF(OR(D18="",D17=""),"",D18-D17)</f>
        <v/>
      </c>
      <c r="F18" s="160">
        <f>IF('Datos_fuente'!E18="","",LN('Datos_fuente'!E18))</f>
        <v/>
      </c>
      <c r="G18" s="160">
        <f>IF(OR(F18="",F17=""),"",F18-F17)</f>
        <v/>
      </c>
      <c r="H18" s="161">
        <f>'Datos_fuente'!H18</f>
        <v/>
      </c>
      <c r="I18" s="161">
        <f>IF(OR(H18="",H17=""),"",H18-H17)</f>
        <v/>
      </c>
      <c r="J18" s="161">
        <f>'Datos_fuente'!J18</f>
        <v/>
      </c>
      <c r="K18" s="161">
        <f>IF(OR(J18="",J17=""),"",J18-J17)</f>
        <v/>
      </c>
      <c r="L18" s="160">
        <f>IF('Datos_fuente'!K18="","",LN('Datos_fuente'!K18))</f>
        <v/>
      </c>
      <c r="M18" s="160">
        <f>IF(OR(L18="",L17=""),"",L18-L17)</f>
        <v/>
      </c>
      <c r="N18" s="160">
        <f>IF('Datos_fuente'!L18="","",LN('Datos_fuente'!L18))</f>
        <v/>
      </c>
      <c r="O18" s="160">
        <f>IF(OR(N18="",N17=""),"",N18-N17)</f>
        <v/>
      </c>
      <c r="P18" s="162">
        <f>'Datos_fuente'!M18</f>
        <v/>
      </c>
      <c r="Q18" s="160">
        <f>IF('Datos_fuente'!N18="","",LN('Datos_fuente'!N18))</f>
        <v/>
      </c>
      <c r="R18" s="160">
        <f>IF(OR(Q18="",Q17=""),"",Q18-Q17)</f>
        <v/>
      </c>
      <c r="S18" s="161">
        <f>'Datos_fuente'!P18</f>
        <v/>
      </c>
      <c r="T18" s="161">
        <f>IF(OR(S18="",S17=""),"",S18-S17)</f>
        <v/>
      </c>
      <c r="U18" s="160">
        <f>IF('Datos_fuente'!Q18="","",ASINH('Datos_fuente'!Q18/1000))</f>
        <v/>
      </c>
      <c r="V18" s="160">
        <f>IF(OR(U18="",U17=""),"",U18-U17)</f>
        <v/>
      </c>
      <c r="W18" s="160">
        <f>IF('Datos_fuente'!R18="","",ASINH('Datos_fuente'!R18/1000))</f>
        <v/>
      </c>
      <c r="X18" s="160">
        <f>IF(OR(W18="",W17=""),"",W18-W17)</f>
        <v/>
      </c>
      <c r="Y18" s="161">
        <f>'Datos_fuente'!W18</f>
        <v/>
      </c>
      <c r="Z18" s="161">
        <f>IF(OR(Y18="",Y17=""),"",Y18-Y17)</f>
        <v/>
      </c>
      <c r="AA18" s="160">
        <f>'Datos_fuente'!AB18</f>
        <v/>
      </c>
      <c r="AB18" s="160">
        <f>'Datos_fuente'!AC18</f>
        <v/>
      </c>
      <c r="AC18" s="160">
        <f>IF('Datos_fuente'!AD18="","",LN('Datos_fuente'!AD18))</f>
        <v/>
      </c>
      <c r="AD18" s="160">
        <f>IF(OR(AC18="",AC17=""),"",AC18-AC17)</f>
        <v/>
      </c>
      <c r="AE18" s="160">
        <f>IF('Datos_fuente'!AE18="","",LN('Datos_fuente'!AE18))</f>
        <v/>
      </c>
      <c r="AF18" s="160">
        <f>IF(OR(AE18="",AE17=""),"",AE18-AE17)</f>
        <v/>
      </c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'Datos_fuente'!A19</f>
        <v/>
      </c>
      <c r="B19" s="160">
        <f>IF('Datos_fuente'!B19="","",LN('Datos_fuente'!B19))</f>
        <v/>
      </c>
      <c r="C19" s="160">
        <f>IF(OR(B19="",B18=""),"",B19-B18)</f>
        <v/>
      </c>
      <c r="D19" s="160">
        <f>IF('Datos_fuente'!C19="","",LN('Datos_fuente'!C19))</f>
        <v/>
      </c>
      <c r="E19" s="160">
        <f>IF(OR(D19="",D18=""),"",D19-D18)</f>
        <v/>
      </c>
      <c r="F19" s="160">
        <f>IF('Datos_fuente'!E19="","",LN('Datos_fuente'!E19))</f>
        <v/>
      </c>
      <c r="G19" s="160">
        <f>IF(OR(F19="",F18=""),"",F19-F18)</f>
        <v/>
      </c>
      <c r="H19" s="161">
        <f>'Datos_fuente'!H19</f>
        <v/>
      </c>
      <c r="I19" s="161">
        <f>IF(OR(H19="",H18=""),"",H19-H18)</f>
        <v/>
      </c>
      <c r="J19" s="161">
        <f>'Datos_fuente'!J19</f>
        <v/>
      </c>
      <c r="K19" s="161">
        <f>IF(OR(J19="",J18=""),"",J19-J18)</f>
        <v/>
      </c>
      <c r="L19" s="160">
        <f>IF('Datos_fuente'!K19="","",LN('Datos_fuente'!K19))</f>
        <v/>
      </c>
      <c r="M19" s="160">
        <f>IF(OR(L19="",L18=""),"",L19-L18)</f>
        <v/>
      </c>
      <c r="N19" s="160">
        <f>IF('Datos_fuente'!L19="","",LN('Datos_fuente'!L19))</f>
        <v/>
      </c>
      <c r="O19" s="160">
        <f>IF(OR(N19="",N18=""),"",N19-N18)</f>
        <v/>
      </c>
      <c r="P19" s="162">
        <f>'Datos_fuente'!M19</f>
        <v/>
      </c>
      <c r="Q19" s="160">
        <f>IF('Datos_fuente'!N19="","",LN('Datos_fuente'!N19))</f>
        <v/>
      </c>
      <c r="R19" s="160">
        <f>IF(OR(Q19="",Q18=""),"",Q19-Q18)</f>
        <v/>
      </c>
      <c r="S19" s="161">
        <f>'Datos_fuente'!P19</f>
        <v/>
      </c>
      <c r="T19" s="161">
        <f>IF(OR(S19="",S18=""),"",S19-S18)</f>
        <v/>
      </c>
      <c r="U19" s="160">
        <f>IF('Datos_fuente'!Q19="","",ASINH('Datos_fuente'!Q19/1000))</f>
        <v/>
      </c>
      <c r="V19" s="160">
        <f>IF(OR(U19="",U18=""),"",U19-U18)</f>
        <v/>
      </c>
      <c r="W19" s="160">
        <f>IF('Datos_fuente'!R19="","",ASINH('Datos_fuente'!R19/1000))</f>
        <v/>
      </c>
      <c r="X19" s="160">
        <f>IF(OR(W19="",W18=""),"",W19-W18)</f>
        <v/>
      </c>
      <c r="Y19" s="161">
        <f>'Datos_fuente'!W19</f>
        <v/>
      </c>
      <c r="Z19" s="161">
        <f>IF(OR(Y19="",Y18=""),"",Y19-Y18)</f>
        <v/>
      </c>
      <c r="AA19" s="160">
        <f>'Datos_fuente'!AB19</f>
        <v/>
      </c>
      <c r="AB19" s="160">
        <f>'Datos_fuente'!AC19</f>
        <v/>
      </c>
      <c r="AC19" s="160">
        <f>IF('Datos_fuente'!AD19="","",LN('Datos_fuente'!AD19))</f>
        <v/>
      </c>
      <c r="AD19" s="160">
        <f>IF(OR(AC19="",AC18=""),"",AC19-AC18)</f>
        <v/>
      </c>
      <c r="AE19" s="160">
        <f>IF('Datos_fuente'!AE19="","",LN('Datos_fuente'!AE19))</f>
        <v/>
      </c>
      <c r="AF19" s="160">
        <f>IF(OR(AE19="",AE18=""),"",AE19-AE18)</f>
        <v/>
      </c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'Datos_fuente'!A20</f>
        <v/>
      </c>
      <c r="B20" s="160">
        <f>IF('Datos_fuente'!B20="","",LN('Datos_fuente'!B20))</f>
        <v/>
      </c>
      <c r="C20" s="160">
        <f>IF(OR(B20="",B19=""),"",B20-B19)</f>
        <v/>
      </c>
      <c r="D20" s="160">
        <f>IF('Datos_fuente'!C20="","",LN('Datos_fuente'!C20))</f>
        <v/>
      </c>
      <c r="E20" s="160">
        <f>IF(OR(D20="",D19=""),"",D20-D19)</f>
        <v/>
      </c>
      <c r="F20" s="160">
        <f>IF('Datos_fuente'!E20="","",LN('Datos_fuente'!E20))</f>
        <v/>
      </c>
      <c r="G20" s="160">
        <f>IF(OR(F20="",F19=""),"",F20-F19)</f>
        <v/>
      </c>
      <c r="H20" s="161">
        <f>'Datos_fuente'!H20</f>
        <v/>
      </c>
      <c r="I20" s="161">
        <f>IF(OR(H20="",H19=""),"",H20-H19)</f>
        <v/>
      </c>
      <c r="J20" s="161">
        <f>'Datos_fuente'!J20</f>
        <v/>
      </c>
      <c r="K20" s="161">
        <f>IF(OR(J20="",J19=""),"",J20-J19)</f>
        <v/>
      </c>
      <c r="L20" s="160">
        <f>IF('Datos_fuente'!K20="","",LN('Datos_fuente'!K20))</f>
        <v/>
      </c>
      <c r="M20" s="160">
        <f>IF(OR(L20="",L19=""),"",L20-L19)</f>
        <v/>
      </c>
      <c r="N20" s="160">
        <f>IF('Datos_fuente'!L20="","",LN('Datos_fuente'!L20))</f>
        <v/>
      </c>
      <c r="O20" s="160">
        <f>IF(OR(N20="",N19=""),"",N20-N19)</f>
        <v/>
      </c>
      <c r="P20" s="162">
        <f>'Datos_fuente'!M20</f>
        <v/>
      </c>
      <c r="Q20" s="160">
        <f>IF('Datos_fuente'!N20="","",LN('Datos_fuente'!N20))</f>
        <v/>
      </c>
      <c r="R20" s="160">
        <f>IF(OR(Q20="",Q19=""),"",Q20-Q19)</f>
        <v/>
      </c>
      <c r="S20" s="161">
        <f>'Datos_fuente'!P20</f>
        <v/>
      </c>
      <c r="T20" s="161">
        <f>IF(OR(S20="",S19=""),"",S20-S19)</f>
        <v/>
      </c>
      <c r="U20" s="160">
        <f>IF('Datos_fuente'!Q20="","",ASINH('Datos_fuente'!Q20/1000))</f>
        <v/>
      </c>
      <c r="V20" s="160">
        <f>IF(OR(U20="",U19=""),"",U20-U19)</f>
        <v/>
      </c>
      <c r="W20" s="160">
        <f>IF('Datos_fuente'!R20="","",ASINH('Datos_fuente'!R20/1000))</f>
        <v/>
      </c>
      <c r="X20" s="160">
        <f>IF(OR(W20="",W19=""),"",W20-W19)</f>
        <v/>
      </c>
      <c r="Y20" s="161">
        <f>'Datos_fuente'!W20</f>
        <v/>
      </c>
      <c r="Z20" s="161">
        <f>IF(OR(Y20="",Y19=""),"",Y20-Y19)</f>
        <v/>
      </c>
      <c r="AA20" s="160">
        <f>'Datos_fuente'!AB20</f>
        <v/>
      </c>
      <c r="AB20" s="160">
        <f>'Datos_fuente'!AC20</f>
        <v/>
      </c>
      <c r="AC20" s="160">
        <f>IF('Datos_fuente'!AD20="","",LN('Datos_fuente'!AD20))</f>
        <v/>
      </c>
      <c r="AD20" s="160">
        <f>IF(OR(AC20="",AC19=""),"",AC20-AC19)</f>
        <v/>
      </c>
      <c r="AE20" s="160">
        <f>IF('Datos_fuente'!AE20="","",LN('Datos_fuente'!AE20))</f>
        <v/>
      </c>
      <c r="AF20" s="160">
        <f>IF(OR(AE20="",AE19=""),"",AE20-AE19)</f>
        <v/>
      </c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'Datos_fuente'!A21</f>
        <v/>
      </c>
      <c r="B21" s="160">
        <f>IF('Datos_fuente'!B21="","",LN('Datos_fuente'!B21))</f>
        <v/>
      </c>
      <c r="C21" s="160">
        <f>IF(OR(B21="",B20=""),"",B21-B20)</f>
        <v/>
      </c>
      <c r="D21" s="160">
        <f>IF('Datos_fuente'!C21="","",LN('Datos_fuente'!C21))</f>
        <v/>
      </c>
      <c r="E21" s="160">
        <f>IF(OR(D21="",D20=""),"",D21-D20)</f>
        <v/>
      </c>
      <c r="F21" s="160">
        <f>IF('Datos_fuente'!E21="","",LN('Datos_fuente'!E21))</f>
        <v/>
      </c>
      <c r="G21" s="160">
        <f>IF(OR(F21="",F20=""),"",F21-F20)</f>
        <v/>
      </c>
      <c r="H21" s="161">
        <f>'Datos_fuente'!H21</f>
        <v/>
      </c>
      <c r="I21" s="161">
        <f>IF(OR(H21="",H20=""),"",H21-H20)</f>
        <v/>
      </c>
      <c r="J21" s="161">
        <f>'Datos_fuente'!J21</f>
        <v/>
      </c>
      <c r="K21" s="161">
        <f>IF(OR(J21="",J20=""),"",J21-J20)</f>
        <v/>
      </c>
      <c r="L21" s="160">
        <f>IF('Datos_fuente'!K21="","",LN('Datos_fuente'!K21))</f>
        <v/>
      </c>
      <c r="M21" s="160">
        <f>IF(OR(L21="",L20=""),"",L21-L20)</f>
        <v/>
      </c>
      <c r="N21" s="160">
        <f>IF('Datos_fuente'!L21="","",LN('Datos_fuente'!L21))</f>
        <v/>
      </c>
      <c r="O21" s="160">
        <f>IF(OR(N21="",N20=""),"",N21-N20)</f>
        <v/>
      </c>
      <c r="P21" s="162">
        <f>'Datos_fuente'!M21</f>
        <v/>
      </c>
      <c r="Q21" s="160">
        <f>IF('Datos_fuente'!N21="","",LN('Datos_fuente'!N21))</f>
        <v/>
      </c>
      <c r="R21" s="160">
        <f>IF(OR(Q21="",Q20=""),"",Q21-Q20)</f>
        <v/>
      </c>
      <c r="S21" s="161">
        <f>'Datos_fuente'!P21</f>
        <v/>
      </c>
      <c r="T21" s="161">
        <f>IF(OR(S21="",S20=""),"",S21-S20)</f>
        <v/>
      </c>
      <c r="U21" s="160">
        <f>IF('Datos_fuente'!Q21="","",ASINH('Datos_fuente'!Q21/1000))</f>
        <v/>
      </c>
      <c r="V21" s="160">
        <f>IF(OR(U21="",U20=""),"",U21-U20)</f>
        <v/>
      </c>
      <c r="W21" s="160">
        <f>IF('Datos_fuente'!R21="","",ASINH('Datos_fuente'!R21/1000))</f>
        <v/>
      </c>
      <c r="X21" s="160">
        <f>IF(OR(W21="",W20=""),"",W21-W20)</f>
        <v/>
      </c>
      <c r="Y21" s="161">
        <f>'Datos_fuente'!W21</f>
        <v/>
      </c>
      <c r="Z21" s="161">
        <f>IF(OR(Y21="",Y20=""),"",Y21-Y20)</f>
        <v/>
      </c>
      <c r="AA21" s="160">
        <f>'Datos_fuente'!AB21</f>
        <v/>
      </c>
      <c r="AB21" s="160">
        <f>'Datos_fuente'!AC21</f>
        <v/>
      </c>
      <c r="AC21" s="160">
        <f>IF('Datos_fuente'!AD21="","",LN('Datos_fuente'!AD21))</f>
        <v/>
      </c>
      <c r="AD21" s="160">
        <f>IF(OR(AC21="",AC20=""),"",AC21-AC20)</f>
        <v/>
      </c>
      <c r="AE21" s="160">
        <f>IF('Datos_fuente'!AE21="","",LN('Datos_fuente'!AE21))</f>
        <v/>
      </c>
      <c r="AF21" s="160">
        <f>IF(OR(AE21="",AE20=""),"",AE21-AE20)</f>
        <v/>
      </c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'Datos_fuente'!A22</f>
        <v/>
      </c>
      <c r="B22" s="160">
        <f>IF('Datos_fuente'!B22="","",LN('Datos_fuente'!B22))</f>
        <v/>
      </c>
      <c r="C22" s="160">
        <f>IF(OR(B22="",B21=""),"",B22-B21)</f>
        <v/>
      </c>
      <c r="D22" s="160">
        <f>IF('Datos_fuente'!C22="","",LN('Datos_fuente'!C22))</f>
        <v/>
      </c>
      <c r="E22" s="160">
        <f>IF(OR(D22="",D21=""),"",D22-D21)</f>
        <v/>
      </c>
      <c r="F22" s="160">
        <f>IF('Datos_fuente'!E22="","",LN('Datos_fuente'!E22))</f>
        <v/>
      </c>
      <c r="G22" s="160">
        <f>IF(OR(F22="",F21=""),"",F22-F21)</f>
        <v/>
      </c>
      <c r="H22" s="161">
        <f>'Datos_fuente'!H22</f>
        <v/>
      </c>
      <c r="I22" s="161">
        <f>IF(OR(H22="",H21=""),"",H22-H21)</f>
        <v/>
      </c>
      <c r="J22" s="161">
        <f>'Datos_fuente'!J22</f>
        <v/>
      </c>
      <c r="K22" s="161">
        <f>IF(OR(J22="",J21=""),"",J22-J21)</f>
        <v/>
      </c>
      <c r="L22" s="160">
        <f>IF('Datos_fuente'!K22="","",LN('Datos_fuente'!K22))</f>
        <v/>
      </c>
      <c r="M22" s="160">
        <f>IF(OR(L22="",L21=""),"",L22-L21)</f>
        <v/>
      </c>
      <c r="N22" s="160">
        <f>IF('Datos_fuente'!L22="","",LN('Datos_fuente'!L22))</f>
        <v/>
      </c>
      <c r="O22" s="160">
        <f>IF(OR(N22="",N21=""),"",N22-N21)</f>
        <v/>
      </c>
      <c r="P22" s="162">
        <f>'Datos_fuente'!M22</f>
        <v/>
      </c>
      <c r="Q22" s="160">
        <f>IF('Datos_fuente'!N22="","",LN('Datos_fuente'!N22))</f>
        <v/>
      </c>
      <c r="R22" s="160">
        <f>IF(OR(Q22="",Q21=""),"",Q22-Q21)</f>
        <v/>
      </c>
      <c r="S22" s="161">
        <f>'Datos_fuente'!P22</f>
        <v/>
      </c>
      <c r="T22" s="161">
        <f>IF(OR(S22="",S21=""),"",S22-S21)</f>
        <v/>
      </c>
      <c r="U22" s="160">
        <f>IF('Datos_fuente'!Q22="","",ASINH('Datos_fuente'!Q22/1000))</f>
        <v/>
      </c>
      <c r="V22" s="160">
        <f>IF(OR(U22="",U21=""),"",U22-U21)</f>
        <v/>
      </c>
      <c r="W22" s="160">
        <f>IF('Datos_fuente'!R22="","",ASINH('Datos_fuente'!R22/1000))</f>
        <v/>
      </c>
      <c r="X22" s="160">
        <f>IF(OR(W22="",W21=""),"",W22-W21)</f>
        <v/>
      </c>
      <c r="Y22" s="161">
        <f>'Datos_fuente'!W22</f>
        <v/>
      </c>
      <c r="Z22" s="161">
        <f>IF(OR(Y22="",Y21=""),"",Y22-Y21)</f>
        <v/>
      </c>
      <c r="AA22" s="160">
        <f>'Datos_fuente'!AB22</f>
        <v/>
      </c>
      <c r="AB22" s="160">
        <f>'Datos_fuente'!AC22</f>
        <v/>
      </c>
      <c r="AC22" s="160">
        <f>IF('Datos_fuente'!AD22="","",LN('Datos_fuente'!AD22))</f>
        <v/>
      </c>
      <c r="AD22" s="160">
        <f>IF(OR(AC22="",AC21=""),"",AC22-AC21)</f>
        <v/>
      </c>
      <c r="AE22" s="160">
        <f>IF('Datos_fuente'!AE22="","",LN('Datos_fuente'!AE22))</f>
        <v/>
      </c>
      <c r="AF22" s="160">
        <f>IF(OR(AE22="",AE21=""),"",AE22-AE21)</f>
        <v/>
      </c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'Datos_fuente'!A23</f>
        <v/>
      </c>
      <c r="B23" s="160">
        <f>IF('Datos_fuente'!B23="","",LN('Datos_fuente'!B23))</f>
        <v/>
      </c>
      <c r="C23" s="160">
        <f>IF(OR(B23="",B22=""),"",B23-B22)</f>
        <v/>
      </c>
      <c r="D23" s="160">
        <f>IF('Datos_fuente'!C23="","",LN('Datos_fuente'!C23))</f>
        <v/>
      </c>
      <c r="E23" s="160">
        <f>IF(OR(D23="",D22=""),"",D23-D22)</f>
        <v/>
      </c>
      <c r="F23" s="160">
        <f>IF('Datos_fuente'!E23="","",LN('Datos_fuente'!E23))</f>
        <v/>
      </c>
      <c r="G23" s="160">
        <f>IF(OR(F23="",F22=""),"",F23-F22)</f>
        <v/>
      </c>
      <c r="H23" s="161">
        <f>'Datos_fuente'!H23</f>
        <v/>
      </c>
      <c r="I23" s="161">
        <f>IF(OR(H23="",H22=""),"",H23-H22)</f>
        <v/>
      </c>
      <c r="J23" s="161">
        <f>'Datos_fuente'!J23</f>
        <v/>
      </c>
      <c r="K23" s="161">
        <f>IF(OR(J23="",J22=""),"",J23-J22)</f>
        <v/>
      </c>
      <c r="L23" s="160">
        <f>IF('Datos_fuente'!K23="","",LN('Datos_fuente'!K23))</f>
        <v/>
      </c>
      <c r="M23" s="160">
        <f>IF(OR(L23="",L22=""),"",L23-L22)</f>
        <v/>
      </c>
      <c r="N23" s="160">
        <f>IF('Datos_fuente'!L23="","",LN('Datos_fuente'!L23))</f>
        <v/>
      </c>
      <c r="O23" s="160">
        <f>IF(OR(N23="",N22=""),"",N23-N22)</f>
        <v/>
      </c>
      <c r="P23" s="162">
        <f>'Datos_fuente'!M23</f>
        <v/>
      </c>
      <c r="Q23" s="160">
        <f>IF('Datos_fuente'!N23="","",LN('Datos_fuente'!N23))</f>
        <v/>
      </c>
      <c r="R23" s="160">
        <f>IF(OR(Q23="",Q22=""),"",Q23-Q22)</f>
        <v/>
      </c>
      <c r="S23" s="161">
        <f>'Datos_fuente'!P23</f>
        <v/>
      </c>
      <c r="T23" s="161">
        <f>IF(OR(S23="",S22=""),"",S23-S22)</f>
        <v/>
      </c>
      <c r="U23" s="160">
        <f>IF('Datos_fuente'!Q23="","",ASINH('Datos_fuente'!Q23/1000))</f>
        <v/>
      </c>
      <c r="V23" s="160">
        <f>IF(OR(U23="",U22=""),"",U23-U22)</f>
        <v/>
      </c>
      <c r="W23" s="160">
        <f>IF('Datos_fuente'!R23="","",ASINH('Datos_fuente'!R23/1000))</f>
        <v/>
      </c>
      <c r="X23" s="160">
        <f>IF(OR(W23="",W22=""),"",W23-W22)</f>
        <v/>
      </c>
      <c r="Y23" s="161">
        <f>'Datos_fuente'!W23</f>
        <v/>
      </c>
      <c r="Z23" s="161">
        <f>IF(OR(Y23="",Y22=""),"",Y23-Y22)</f>
        <v/>
      </c>
      <c r="AA23" s="160">
        <f>'Datos_fuente'!AB23</f>
        <v/>
      </c>
      <c r="AB23" s="160">
        <f>'Datos_fuente'!AC23</f>
        <v/>
      </c>
      <c r="AC23" s="160">
        <f>IF('Datos_fuente'!AD23="","",LN('Datos_fuente'!AD23))</f>
        <v/>
      </c>
      <c r="AD23" s="160">
        <f>IF(OR(AC23="",AC22=""),"",AC23-AC22)</f>
        <v/>
      </c>
      <c r="AE23" s="160">
        <f>IF('Datos_fuente'!AE23="","",LN('Datos_fuente'!AE23))</f>
        <v/>
      </c>
      <c r="AF23" s="160">
        <f>IF(OR(AE23="",AE22=""),"",AE23-AE22)</f>
        <v/>
      </c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'Datos_fuente'!A24</f>
        <v/>
      </c>
      <c r="B24" s="160">
        <f>IF('Datos_fuente'!B24="","",LN('Datos_fuente'!B24))</f>
        <v/>
      </c>
      <c r="C24" s="160">
        <f>IF(OR(B24="",B23=""),"",B24-B23)</f>
        <v/>
      </c>
      <c r="D24" s="160">
        <f>IF('Datos_fuente'!C24="","",LN('Datos_fuente'!C24))</f>
        <v/>
      </c>
      <c r="E24" s="160">
        <f>IF(OR(D24="",D23=""),"",D24-D23)</f>
        <v/>
      </c>
      <c r="F24" s="160">
        <f>IF('Datos_fuente'!E24="","",LN('Datos_fuente'!E24))</f>
        <v/>
      </c>
      <c r="G24" s="160">
        <f>IF(OR(F24="",F23=""),"",F24-F23)</f>
        <v/>
      </c>
      <c r="H24" s="161">
        <f>'Datos_fuente'!H24</f>
        <v/>
      </c>
      <c r="I24" s="161">
        <f>IF(OR(H24="",H23=""),"",H24-H23)</f>
        <v/>
      </c>
      <c r="J24" s="161">
        <f>'Datos_fuente'!J24</f>
        <v/>
      </c>
      <c r="K24" s="161">
        <f>IF(OR(J24="",J23=""),"",J24-J23)</f>
        <v/>
      </c>
      <c r="L24" s="160">
        <f>IF('Datos_fuente'!K24="","",LN('Datos_fuente'!K24))</f>
        <v/>
      </c>
      <c r="M24" s="160">
        <f>IF(OR(L24="",L23=""),"",L24-L23)</f>
        <v/>
      </c>
      <c r="N24" s="160">
        <f>IF('Datos_fuente'!L24="","",LN('Datos_fuente'!L24))</f>
        <v/>
      </c>
      <c r="O24" s="160">
        <f>IF(OR(N24="",N23=""),"",N24-N23)</f>
        <v/>
      </c>
      <c r="P24" s="162">
        <f>'Datos_fuente'!M24</f>
        <v/>
      </c>
      <c r="Q24" s="160">
        <f>IF('Datos_fuente'!N24="","",LN('Datos_fuente'!N24))</f>
        <v/>
      </c>
      <c r="R24" s="160">
        <f>IF(OR(Q24="",Q23=""),"",Q24-Q23)</f>
        <v/>
      </c>
      <c r="S24" s="161">
        <f>'Datos_fuente'!P24</f>
        <v/>
      </c>
      <c r="T24" s="161">
        <f>IF(OR(S24="",S23=""),"",S24-S23)</f>
        <v/>
      </c>
      <c r="U24" s="160">
        <f>IF('Datos_fuente'!Q24="","",ASINH('Datos_fuente'!Q24/1000))</f>
        <v/>
      </c>
      <c r="V24" s="160">
        <f>IF(OR(U24="",U23=""),"",U24-U23)</f>
        <v/>
      </c>
      <c r="W24" s="160">
        <f>IF('Datos_fuente'!R24="","",ASINH('Datos_fuente'!R24/1000))</f>
        <v/>
      </c>
      <c r="X24" s="160">
        <f>IF(OR(W24="",W23=""),"",W24-W23)</f>
        <v/>
      </c>
      <c r="Y24" s="161">
        <f>'Datos_fuente'!W24</f>
        <v/>
      </c>
      <c r="Z24" s="161">
        <f>IF(OR(Y24="",Y23=""),"",Y24-Y23)</f>
        <v/>
      </c>
      <c r="AA24" s="160">
        <f>'Datos_fuente'!AB24</f>
        <v/>
      </c>
      <c r="AB24" s="160">
        <f>'Datos_fuente'!AC24</f>
        <v/>
      </c>
      <c r="AC24" s="160">
        <f>IF('Datos_fuente'!AD24="","",LN('Datos_fuente'!AD24))</f>
        <v/>
      </c>
      <c r="AD24" s="160">
        <f>IF(OR(AC24="",AC23=""),"",AC24-AC23)</f>
        <v/>
      </c>
      <c r="AE24" s="160">
        <f>IF('Datos_fuente'!AE24="","",LN('Datos_fuente'!AE24))</f>
        <v/>
      </c>
      <c r="AF24" s="160">
        <f>IF(OR(AE24="",AE23=""),"",AE24-AE23)</f>
        <v/>
      </c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'Datos_fuente'!A25</f>
        <v/>
      </c>
      <c r="B25" s="160">
        <f>IF('Datos_fuente'!B25="","",LN('Datos_fuente'!B25))</f>
        <v/>
      </c>
      <c r="C25" s="160">
        <f>IF(OR(B25="",B24=""),"",B25-B24)</f>
        <v/>
      </c>
      <c r="D25" s="160">
        <f>IF('Datos_fuente'!C25="","",LN('Datos_fuente'!C25))</f>
        <v/>
      </c>
      <c r="E25" s="160">
        <f>IF(OR(D25="",D24=""),"",D25-D24)</f>
        <v/>
      </c>
      <c r="F25" s="160">
        <f>IF('Datos_fuente'!E25="","",LN('Datos_fuente'!E25))</f>
        <v/>
      </c>
      <c r="G25" s="160">
        <f>IF(OR(F25="",F24=""),"",F25-F24)</f>
        <v/>
      </c>
      <c r="H25" s="161">
        <f>'Datos_fuente'!H25</f>
        <v/>
      </c>
      <c r="I25" s="161">
        <f>IF(OR(H25="",H24=""),"",H25-H24)</f>
        <v/>
      </c>
      <c r="J25" s="161">
        <f>'Datos_fuente'!J25</f>
        <v/>
      </c>
      <c r="K25" s="161">
        <f>IF(OR(J25="",J24=""),"",J25-J24)</f>
        <v/>
      </c>
      <c r="L25" s="160">
        <f>IF('Datos_fuente'!K25="","",LN('Datos_fuente'!K25))</f>
        <v/>
      </c>
      <c r="M25" s="160">
        <f>IF(OR(L25="",L24=""),"",L25-L24)</f>
        <v/>
      </c>
      <c r="N25" s="160">
        <f>IF('Datos_fuente'!L25="","",LN('Datos_fuente'!L25))</f>
        <v/>
      </c>
      <c r="O25" s="160">
        <f>IF(OR(N25="",N24=""),"",N25-N24)</f>
        <v/>
      </c>
      <c r="P25" s="162">
        <f>'Datos_fuente'!M25</f>
        <v/>
      </c>
      <c r="Q25" s="160">
        <f>IF('Datos_fuente'!N25="","",LN('Datos_fuente'!N25))</f>
        <v/>
      </c>
      <c r="R25" s="160">
        <f>IF(OR(Q25="",Q24=""),"",Q25-Q24)</f>
        <v/>
      </c>
      <c r="S25" s="161">
        <f>'Datos_fuente'!P25</f>
        <v/>
      </c>
      <c r="T25" s="161">
        <f>IF(OR(S25="",S24=""),"",S25-S24)</f>
        <v/>
      </c>
      <c r="U25" s="160">
        <f>IF('Datos_fuente'!Q25="","",ASINH('Datos_fuente'!Q25/1000))</f>
        <v/>
      </c>
      <c r="V25" s="160">
        <f>IF(OR(U25="",U24=""),"",U25-U24)</f>
        <v/>
      </c>
      <c r="W25" s="160">
        <f>IF('Datos_fuente'!R25="","",ASINH('Datos_fuente'!R25/1000))</f>
        <v/>
      </c>
      <c r="X25" s="160">
        <f>IF(OR(W25="",W24=""),"",W25-W24)</f>
        <v/>
      </c>
      <c r="Y25" s="161">
        <f>'Datos_fuente'!W25</f>
        <v/>
      </c>
      <c r="Z25" s="161">
        <f>IF(OR(Y25="",Y24=""),"",Y25-Y24)</f>
        <v/>
      </c>
      <c r="AA25" s="160">
        <f>'Datos_fuente'!AB25</f>
        <v/>
      </c>
      <c r="AB25" s="160">
        <f>'Datos_fuente'!AC25</f>
        <v/>
      </c>
      <c r="AC25" s="160">
        <f>IF('Datos_fuente'!AD25="","",LN('Datos_fuente'!AD25))</f>
        <v/>
      </c>
      <c r="AD25" s="160">
        <f>IF(OR(AC25="",AC24=""),"",AC25-AC24)</f>
        <v/>
      </c>
      <c r="AE25" s="160">
        <f>IF('Datos_fuente'!AE25="","",LN('Datos_fuente'!AE25))</f>
        <v/>
      </c>
      <c r="AF25" s="160">
        <f>IF(OR(AE25="",AE24=""),"",AE25-AE24)</f>
        <v/>
      </c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'Datos_fuente'!A26</f>
        <v/>
      </c>
      <c r="B26" s="160">
        <f>IF('Datos_fuente'!B26="","",LN('Datos_fuente'!B26))</f>
        <v/>
      </c>
      <c r="C26" s="160">
        <f>IF(OR(B26="",B25=""),"",B26-B25)</f>
        <v/>
      </c>
      <c r="D26" s="160">
        <f>IF('Datos_fuente'!C26="","",LN('Datos_fuente'!C26))</f>
        <v/>
      </c>
      <c r="E26" s="160">
        <f>IF(OR(D26="",D25=""),"",D26-D25)</f>
        <v/>
      </c>
      <c r="F26" s="160">
        <f>IF('Datos_fuente'!E26="","",LN('Datos_fuente'!E26))</f>
        <v/>
      </c>
      <c r="G26" s="160">
        <f>IF(OR(F26="",F25=""),"",F26-F25)</f>
        <v/>
      </c>
      <c r="H26" s="161">
        <f>'Datos_fuente'!H26</f>
        <v/>
      </c>
      <c r="I26" s="161">
        <f>IF(OR(H26="",H25=""),"",H26-H25)</f>
        <v/>
      </c>
      <c r="J26" s="161">
        <f>'Datos_fuente'!J26</f>
        <v/>
      </c>
      <c r="K26" s="161">
        <f>IF(OR(J26="",J25=""),"",J26-J25)</f>
        <v/>
      </c>
      <c r="L26" s="160">
        <f>IF('Datos_fuente'!K26="","",LN('Datos_fuente'!K26))</f>
        <v/>
      </c>
      <c r="M26" s="160">
        <f>IF(OR(L26="",L25=""),"",L26-L25)</f>
        <v/>
      </c>
      <c r="N26" s="160">
        <f>IF('Datos_fuente'!L26="","",LN('Datos_fuente'!L26))</f>
        <v/>
      </c>
      <c r="O26" s="160">
        <f>IF(OR(N26="",N25=""),"",N26-N25)</f>
        <v/>
      </c>
      <c r="P26" s="162">
        <f>'Datos_fuente'!M26</f>
        <v/>
      </c>
      <c r="Q26" s="160">
        <f>IF('Datos_fuente'!N26="","",LN('Datos_fuente'!N26))</f>
        <v/>
      </c>
      <c r="R26" s="160">
        <f>IF(OR(Q26="",Q25=""),"",Q26-Q25)</f>
        <v/>
      </c>
      <c r="S26" s="161">
        <f>'Datos_fuente'!P26</f>
        <v/>
      </c>
      <c r="T26" s="161">
        <f>IF(OR(S26="",S25=""),"",S26-S25)</f>
        <v/>
      </c>
      <c r="U26" s="160">
        <f>IF('Datos_fuente'!Q26="","",ASINH('Datos_fuente'!Q26/1000))</f>
        <v/>
      </c>
      <c r="V26" s="160">
        <f>IF(OR(U26="",U25=""),"",U26-U25)</f>
        <v/>
      </c>
      <c r="W26" s="160">
        <f>IF('Datos_fuente'!R26="","",ASINH('Datos_fuente'!R26/1000))</f>
        <v/>
      </c>
      <c r="X26" s="160">
        <f>IF(OR(W26="",W25=""),"",W26-W25)</f>
        <v/>
      </c>
      <c r="Y26" s="161">
        <f>'Datos_fuente'!W26</f>
        <v/>
      </c>
      <c r="Z26" s="161">
        <f>IF(OR(Y26="",Y25=""),"",Y26-Y25)</f>
        <v/>
      </c>
      <c r="AA26" s="160">
        <f>'Datos_fuente'!AB26</f>
        <v/>
      </c>
      <c r="AB26" s="160">
        <f>'Datos_fuente'!AC26</f>
        <v/>
      </c>
      <c r="AC26" s="160">
        <f>IF('Datos_fuente'!AD26="","",LN('Datos_fuente'!AD26))</f>
        <v/>
      </c>
      <c r="AD26" s="160">
        <f>IF(OR(AC26="",AC25=""),"",AC26-AC25)</f>
        <v/>
      </c>
      <c r="AE26" s="160">
        <f>IF('Datos_fuente'!AE26="","",LN('Datos_fuente'!AE26))</f>
        <v/>
      </c>
      <c r="AF26" s="160">
        <f>IF(OR(AE26="",AE25=""),"",AE26-AE25)</f>
        <v/>
      </c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'Datos_fuente'!A27</f>
        <v/>
      </c>
      <c r="B27" s="160">
        <f>IF('Datos_fuente'!B27="","",LN('Datos_fuente'!B27))</f>
        <v/>
      </c>
      <c r="C27" s="160">
        <f>IF(OR(B27="",B26=""),"",B27-B26)</f>
        <v/>
      </c>
      <c r="D27" s="160">
        <f>IF('Datos_fuente'!C27="","",LN('Datos_fuente'!C27))</f>
        <v/>
      </c>
      <c r="E27" s="160">
        <f>IF(OR(D27="",D26=""),"",D27-D26)</f>
        <v/>
      </c>
      <c r="F27" s="160">
        <f>IF('Datos_fuente'!E27="","",LN('Datos_fuente'!E27))</f>
        <v/>
      </c>
      <c r="G27" s="160">
        <f>IF(OR(F27="",F26=""),"",F27-F26)</f>
        <v/>
      </c>
      <c r="H27" s="161">
        <f>'Datos_fuente'!H27</f>
        <v/>
      </c>
      <c r="I27" s="161">
        <f>IF(OR(H27="",H26=""),"",H27-H26)</f>
        <v/>
      </c>
      <c r="J27" s="161">
        <f>'Datos_fuente'!J27</f>
        <v/>
      </c>
      <c r="K27" s="161">
        <f>IF(OR(J27="",J26=""),"",J27-J26)</f>
        <v/>
      </c>
      <c r="L27" s="160">
        <f>IF('Datos_fuente'!K27="","",LN('Datos_fuente'!K27))</f>
        <v/>
      </c>
      <c r="M27" s="160">
        <f>IF(OR(L27="",L26=""),"",L27-L26)</f>
        <v/>
      </c>
      <c r="N27" s="160">
        <f>IF('Datos_fuente'!L27="","",LN('Datos_fuente'!L27))</f>
        <v/>
      </c>
      <c r="O27" s="160">
        <f>IF(OR(N27="",N26=""),"",N27-N26)</f>
        <v/>
      </c>
      <c r="P27" s="162">
        <f>'Datos_fuente'!M27</f>
        <v/>
      </c>
      <c r="Q27" s="160">
        <f>IF('Datos_fuente'!N27="","",LN('Datos_fuente'!N27))</f>
        <v/>
      </c>
      <c r="R27" s="160">
        <f>IF(OR(Q27="",Q26=""),"",Q27-Q26)</f>
        <v/>
      </c>
      <c r="S27" s="161">
        <f>'Datos_fuente'!P27</f>
        <v/>
      </c>
      <c r="T27" s="161">
        <f>IF(OR(S27="",S26=""),"",S27-S26)</f>
        <v/>
      </c>
      <c r="U27" s="160">
        <f>IF('Datos_fuente'!Q27="","",ASINH('Datos_fuente'!Q27/1000))</f>
        <v/>
      </c>
      <c r="V27" s="160">
        <f>IF(OR(U27="",U26=""),"",U27-U26)</f>
        <v/>
      </c>
      <c r="W27" s="160">
        <f>IF('Datos_fuente'!R27="","",ASINH('Datos_fuente'!R27/1000))</f>
        <v/>
      </c>
      <c r="X27" s="160">
        <f>IF(OR(W27="",W26=""),"",W27-W26)</f>
        <v/>
      </c>
      <c r="Y27" s="161">
        <f>'Datos_fuente'!W27</f>
        <v/>
      </c>
      <c r="Z27" s="161">
        <f>IF(OR(Y27="",Y26=""),"",Y27-Y26)</f>
        <v/>
      </c>
      <c r="AA27" s="160">
        <f>'Datos_fuente'!AB27</f>
        <v/>
      </c>
      <c r="AB27" s="160">
        <f>'Datos_fuente'!AC27</f>
        <v/>
      </c>
      <c r="AC27" s="160">
        <f>IF('Datos_fuente'!AD27="","",LN('Datos_fuente'!AD27))</f>
        <v/>
      </c>
      <c r="AD27" s="160">
        <f>IF(OR(AC27="",AC26=""),"",AC27-AC26)</f>
        <v/>
      </c>
      <c r="AE27" s="160">
        <f>IF('Datos_fuente'!AE27="","",LN('Datos_fuente'!AE27))</f>
        <v/>
      </c>
      <c r="AF27" s="160">
        <f>IF(OR(AE27="",AE26=""),"",AE27-AE26)</f>
        <v/>
      </c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'Datos_fuente'!A28</f>
        <v/>
      </c>
      <c r="B28" s="160">
        <f>IF('Datos_fuente'!B28="","",LN('Datos_fuente'!B28))</f>
        <v/>
      </c>
      <c r="C28" s="160">
        <f>IF(OR(B28="",B27=""),"",B28-B27)</f>
        <v/>
      </c>
      <c r="D28" s="160">
        <f>IF('Datos_fuente'!C28="","",LN('Datos_fuente'!C28))</f>
        <v/>
      </c>
      <c r="E28" s="160">
        <f>IF(OR(D28="",D27=""),"",D28-D27)</f>
        <v/>
      </c>
      <c r="F28" s="160">
        <f>IF('Datos_fuente'!E28="","",LN('Datos_fuente'!E28))</f>
        <v/>
      </c>
      <c r="G28" s="160">
        <f>IF(OR(F28="",F27=""),"",F28-F27)</f>
        <v/>
      </c>
      <c r="H28" s="161">
        <f>'Datos_fuente'!H28</f>
        <v/>
      </c>
      <c r="I28" s="161">
        <f>IF(OR(H28="",H27=""),"",H28-H27)</f>
        <v/>
      </c>
      <c r="J28" s="161">
        <f>'Datos_fuente'!J28</f>
        <v/>
      </c>
      <c r="K28" s="161">
        <f>IF(OR(J28="",J27=""),"",J28-J27)</f>
        <v/>
      </c>
      <c r="L28" s="160">
        <f>IF('Datos_fuente'!K28="","",LN('Datos_fuente'!K28))</f>
        <v/>
      </c>
      <c r="M28" s="160">
        <f>IF(OR(L28="",L27=""),"",L28-L27)</f>
        <v/>
      </c>
      <c r="N28" s="160">
        <f>IF('Datos_fuente'!L28="","",LN('Datos_fuente'!L28))</f>
        <v/>
      </c>
      <c r="O28" s="160">
        <f>IF(OR(N28="",N27=""),"",N28-N27)</f>
        <v/>
      </c>
      <c r="P28" s="162">
        <f>'Datos_fuente'!M28</f>
        <v/>
      </c>
      <c r="Q28" s="160">
        <f>IF('Datos_fuente'!N28="","",LN('Datos_fuente'!N28))</f>
        <v/>
      </c>
      <c r="R28" s="160">
        <f>IF(OR(Q28="",Q27=""),"",Q28-Q27)</f>
        <v/>
      </c>
      <c r="S28" s="161">
        <f>'Datos_fuente'!P28</f>
        <v/>
      </c>
      <c r="T28" s="161">
        <f>IF(OR(S28="",S27=""),"",S28-S27)</f>
        <v/>
      </c>
      <c r="U28" s="160">
        <f>IF('Datos_fuente'!Q28="","",ASINH('Datos_fuente'!Q28/1000))</f>
        <v/>
      </c>
      <c r="V28" s="160">
        <f>IF(OR(U28="",U27=""),"",U28-U27)</f>
        <v/>
      </c>
      <c r="W28" s="160">
        <f>IF('Datos_fuente'!R28="","",ASINH('Datos_fuente'!R28/1000))</f>
        <v/>
      </c>
      <c r="X28" s="160">
        <f>IF(OR(W28="",W27=""),"",W28-W27)</f>
        <v/>
      </c>
      <c r="Y28" s="161">
        <f>'Datos_fuente'!W28</f>
        <v/>
      </c>
      <c r="Z28" s="161">
        <f>IF(OR(Y28="",Y27=""),"",Y28-Y27)</f>
        <v/>
      </c>
      <c r="AA28" s="160">
        <f>'Datos_fuente'!AB28</f>
        <v/>
      </c>
      <c r="AB28" s="160">
        <f>'Datos_fuente'!AC28</f>
        <v/>
      </c>
      <c r="AC28" s="160">
        <f>IF('Datos_fuente'!AD28="","",LN('Datos_fuente'!AD28))</f>
        <v/>
      </c>
      <c r="AD28" s="160">
        <f>IF(OR(AC28="",AC27=""),"",AC28-AC27)</f>
        <v/>
      </c>
      <c r="AE28" s="160">
        <f>IF('Datos_fuente'!AE28="","",LN('Datos_fuente'!AE28))</f>
        <v/>
      </c>
      <c r="AF28" s="160">
        <f>IF(OR(AE28="",AE27=""),"",AE28-AE27)</f>
        <v/>
      </c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'Datos_fuente'!A29</f>
        <v/>
      </c>
      <c r="B29" s="160">
        <f>IF('Datos_fuente'!B29="","",LN('Datos_fuente'!B29))</f>
        <v/>
      </c>
      <c r="C29" s="160">
        <f>IF(OR(B29="",B28=""),"",B29-B28)</f>
        <v/>
      </c>
      <c r="D29" s="160">
        <f>IF('Datos_fuente'!C29="","",LN('Datos_fuente'!C29))</f>
        <v/>
      </c>
      <c r="E29" s="160">
        <f>IF(OR(D29="",D28=""),"",D29-D28)</f>
        <v/>
      </c>
      <c r="F29" s="160">
        <f>IF('Datos_fuente'!E29="","",LN('Datos_fuente'!E29))</f>
        <v/>
      </c>
      <c r="G29" s="160">
        <f>IF(OR(F29="",F28=""),"",F29-F28)</f>
        <v/>
      </c>
      <c r="H29" s="161">
        <f>'Datos_fuente'!H29</f>
        <v/>
      </c>
      <c r="I29" s="161">
        <f>IF(OR(H29="",H28=""),"",H29-H28)</f>
        <v/>
      </c>
      <c r="J29" s="161">
        <f>'Datos_fuente'!J29</f>
        <v/>
      </c>
      <c r="K29" s="161">
        <f>IF(OR(J29="",J28=""),"",J29-J28)</f>
        <v/>
      </c>
      <c r="L29" s="160">
        <f>IF('Datos_fuente'!K29="","",LN('Datos_fuente'!K29))</f>
        <v/>
      </c>
      <c r="M29" s="160">
        <f>IF(OR(L29="",L28=""),"",L29-L28)</f>
        <v/>
      </c>
      <c r="N29" s="160">
        <f>IF('Datos_fuente'!L29="","",LN('Datos_fuente'!L29))</f>
        <v/>
      </c>
      <c r="O29" s="160">
        <f>IF(OR(N29="",N28=""),"",N29-N28)</f>
        <v/>
      </c>
      <c r="P29" s="162">
        <f>'Datos_fuente'!M29</f>
        <v/>
      </c>
      <c r="Q29" s="160">
        <f>IF('Datos_fuente'!N29="","",LN('Datos_fuente'!N29))</f>
        <v/>
      </c>
      <c r="R29" s="160">
        <f>IF(OR(Q29="",Q28=""),"",Q29-Q28)</f>
        <v/>
      </c>
      <c r="S29" s="161">
        <f>'Datos_fuente'!P29</f>
        <v/>
      </c>
      <c r="T29" s="161">
        <f>IF(OR(S29="",S28=""),"",S29-S28)</f>
        <v/>
      </c>
      <c r="U29" s="160">
        <f>IF('Datos_fuente'!Q29="","",ASINH('Datos_fuente'!Q29/1000))</f>
        <v/>
      </c>
      <c r="V29" s="160">
        <f>IF(OR(U29="",U28=""),"",U29-U28)</f>
        <v/>
      </c>
      <c r="W29" s="160">
        <f>IF('Datos_fuente'!R29="","",ASINH('Datos_fuente'!R29/1000))</f>
        <v/>
      </c>
      <c r="X29" s="160">
        <f>IF(OR(W29="",W28=""),"",W29-W28)</f>
        <v/>
      </c>
      <c r="Y29" s="161">
        <f>'Datos_fuente'!W29</f>
        <v/>
      </c>
      <c r="Z29" s="161">
        <f>IF(OR(Y29="",Y28=""),"",Y29-Y28)</f>
        <v/>
      </c>
      <c r="AA29" s="160">
        <f>'Datos_fuente'!AB29</f>
        <v/>
      </c>
      <c r="AB29" s="160">
        <f>'Datos_fuente'!AC29</f>
        <v/>
      </c>
      <c r="AC29" s="160">
        <f>IF('Datos_fuente'!AD29="","",LN('Datos_fuente'!AD29))</f>
        <v/>
      </c>
      <c r="AD29" s="160">
        <f>IF(OR(AC29="",AC28=""),"",AC29-AC28)</f>
        <v/>
      </c>
      <c r="AE29" s="160">
        <f>IF('Datos_fuente'!AE29="","",LN('Datos_fuente'!AE29))</f>
        <v/>
      </c>
      <c r="AF29" s="160">
        <f>IF(OR(AE29="",AE28=""),"",AE29-AE28)</f>
        <v/>
      </c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'Datos_fuente'!A30</f>
        <v/>
      </c>
      <c r="B30" s="160">
        <f>IF('Datos_fuente'!B30="","",LN('Datos_fuente'!B30))</f>
        <v/>
      </c>
      <c r="C30" s="160">
        <f>IF(OR(B30="",B29=""),"",B30-B29)</f>
        <v/>
      </c>
      <c r="D30" s="160">
        <f>IF('Datos_fuente'!C30="","",LN('Datos_fuente'!C30))</f>
        <v/>
      </c>
      <c r="E30" s="160">
        <f>IF(OR(D30="",D29=""),"",D30-D29)</f>
        <v/>
      </c>
      <c r="F30" s="160">
        <f>IF('Datos_fuente'!E30="","",LN('Datos_fuente'!E30))</f>
        <v/>
      </c>
      <c r="G30" s="160">
        <f>IF(OR(F30="",F29=""),"",F30-F29)</f>
        <v/>
      </c>
      <c r="H30" s="161">
        <f>'Datos_fuente'!H30</f>
        <v/>
      </c>
      <c r="I30" s="161">
        <f>IF(OR(H30="",H29=""),"",H30-H29)</f>
        <v/>
      </c>
      <c r="J30" s="161">
        <f>'Datos_fuente'!J30</f>
        <v/>
      </c>
      <c r="K30" s="161">
        <f>IF(OR(J30="",J29=""),"",J30-J29)</f>
        <v/>
      </c>
      <c r="L30" s="160">
        <f>IF('Datos_fuente'!K30="","",LN('Datos_fuente'!K30))</f>
        <v/>
      </c>
      <c r="M30" s="160">
        <f>IF(OR(L30="",L29=""),"",L30-L29)</f>
        <v/>
      </c>
      <c r="N30" s="160">
        <f>IF('Datos_fuente'!L30="","",LN('Datos_fuente'!L30))</f>
        <v/>
      </c>
      <c r="O30" s="160">
        <f>IF(OR(N30="",N29=""),"",N30-N29)</f>
        <v/>
      </c>
      <c r="P30" s="162">
        <f>'Datos_fuente'!M30</f>
        <v/>
      </c>
      <c r="Q30" s="160">
        <f>IF('Datos_fuente'!N30="","",LN('Datos_fuente'!N30))</f>
        <v/>
      </c>
      <c r="R30" s="160">
        <f>IF(OR(Q30="",Q29=""),"",Q30-Q29)</f>
        <v/>
      </c>
      <c r="S30" s="161">
        <f>'Datos_fuente'!P30</f>
        <v/>
      </c>
      <c r="T30" s="161">
        <f>IF(OR(S30="",S29=""),"",S30-S29)</f>
        <v/>
      </c>
      <c r="U30" s="160">
        <f>IF('Datos_fuente'!Q30="","",ASINH('Datos_fuente'!Q30/1000))</f>
        <v/>
      </c>
      <c r="V30" s="160">
        <f>IF(OR(U30="",U29=""),"",U30-U29)</f>
        <v/>
      </c>
      <c r="W30" s="160">
        <f>IF('Datos_fuente'!R30="","",ASINH('Datos_fuente'!R30/1000))</f>
        <v/>
      </c>
      <c r="X30" s="160">
        <f>IF(OR(W30="",W29=""),"",W30-W29)</f>
        <v/>
      </c>
      <c r="Y30" s="161">
        <f>'Datos_fuente'!W30</f>
        <v/>
      </c>
      <c r="Z30" s="161">
        <f>IF(OR(Y30="",Y29=""),"",Y30-Y29)</f>
        <v/>
      </c>
      <c r="AA30" s="160">
        <f>'Datos_fuente'!AB30</f>
        <v/>
      </c>
      <c r="AB30" s="160">
        <f>'Datos_fuente'!AC30</f>
        <v/>
      </c>
      <c r="AC30" s="160">
        <f>IF('Datos_fuente'!AD30="","",LN('Datos_fuente'!AD30))</f>
        <v/>
      </c>
      <c r="AD30" s="160">
        <f>IF(OR(AC30="",AC29=""),"",AC30-AC29)</f>
        <v/>
      </c>
      <c r="AE30" s="160">
        <f>IF('Datos_fuente'!AE30="","",LN('Datos_fuente'!AE30))</f>
        <v/>
      </c>
      <c r="AF30" s="160">
        <f>IF(OR(AE30="",AE29=""),"",AE30-AE29)</f>
        <v/>
      </c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'Datos_fuente'!A31</f>
        <v/>
      </c>
      <c r="B31" s="160">
        <f>IF('Datos_fuente'!B31="","",LN('Datos_fuente'!B31))</f>
        <v/>
      </c>
      <c r="C31" s="160">
        <f>IF(OR(B31="",B30=""),"",B31-B30)</f>
        <v/>
      </c>
      <c r="D31" s="160">
        <f>IF('Datos_fuente'!C31="","",LN('Datos_fuente'!C31))</f>
        <v/>
      </c>
      <c r="E31" s="160">
        <f>IF(OR(D31="",D30=""),"",D31-D30)</f>
        <v/>
      </c>
      <c r="F31" s="160">
        <f>IF('Datos_fuente'!E31="","",LN('Datos_fuente'!E31))</f>
        <v/>
      </c>
      <c r="G31" s="160">
        <f>IF(OR(F31="",F30=""),"",F31-F30)</f>
        <v/>
      </c>
      <c r="H31" s="161">
        <f>'Datos_fuente'!H31</f>
        <v/>
      </c>
      <c r="I31" s="161">
        <f>IF(OR(H31="",H30=""),"",H31-H30)</f>
        <v/>
      </c>
      <c r="J31" s="161">
        <f>'Datos_fuente'!J31</f>
        <v/>
      </c>
      <c r="K31" s="161">
        <f>IF(OR(J31="",J30=""),"",J31-J30)</f>
        <v/>
      </c>
      <c r="L31" s="160">
        <f>IF('Datos_fuente'!K31="","",LN('Datos_fuente'!K31))</f>
        <v/>
      </c>
      <c r="M31" s="160">
        <f>IF(OR(L31="",L30=""),"",L31-L30)</f>
        <v/>
      </c>
      <c r="N31" s="160">
        <f>IF('Datos_fuente'!L31="","",LN('Datos_fuente'!L31))</f>
        <v/>
      </c>
      <c r="O31" s="160">
        <f>IF(OR(N31="",N30=""),"",N31-N30)</f>
        <v/>
      </c>
      <c r="P31" s="162">
        <f>'Datos_fuente'!M31</f>
        <v/>
      </c>
      <c r="Q31" s="160">
        <f>IF('Datos_fuente'!N31="","",LN('Datos_fuente'!N31))</f>
        <v/>
      </c>
      <c r="R31" s="160">
        <f>IF(OR(Q31="",Q30=""),"",Q31-Q30)</f>
        <v/>
      </c>
      <c r="S31" s="161">
        <f>'Datos_fuente'!P31</f>
        <v/>
      </c>
      <c r="T31" s="161">
        <f>IF(OR(S31="",S30=""),"",S31-S30)</f>
        <v/>
      </c>
      <c r="U31" s="160">
        <f>IF('Datos_fuente'!Q31="","",ASINH('Datos_fuente'!Q31/1000))</f>
        <v/>
      </c>
      <c r="V31" s="160">
        <f>IF(OR(U31="",U30=""),"",U31-U30)</f>
        <v/>
      </c>
      <c r="W31" s="160">
        <f>IF('Datos_fuente'!R31="","",ASINH('Datos_fuente'!R31/1000))</f>
        <v/>
      </c>
      <c r="X31" s="160">
        <f>IF(OR(W31="",W30=""),"",W31-W30)</f>
        <v/>
      </c>
      <c r="Y31" s="161">
        <f>'Datos_fuente'!W31</f>
        <v/>
      </c>
      <c r="Z31" s="161">
        <f>IF(OR(Y31="",Y30=""),"",Y31-Y30)</f>
        <v/>
      </c>
      <c r="AA31" s="160">
        <f>'Datos_fuente'!AB31</f>
        <v/>
      </c>
      <c r="AB31" s="160">
        <f>'Datos_fuente'!AC31</f>
        <v/>
      </c>
      <c r="AC31" s="160">
        <f>IF('Datos_fuente'!AD31="","",LN('Datos_fuente'!AD31))</f>
        <v/>
      </c>
      <c r="AD31" s="160">
        <f>IF(OR(AC31="",AC30=""),"",AC31-AC30)</f>
        <v/>
      </c>
      <c r="AE31" s="160">
        <f>IF('Datos_fuente'!AE31="","",LN('Datos_fuente'!AE31))</f>
        <v/>
      </c>
      <c r="AF31" s="160">
        <f>IF(OR(AE31="",AE30=""),"",AE31-AE30)</f>
        <v/>
      </c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'Datos_fuente'!A32</f>
        <v/>
      </c>
      <c r="B32" s="160">
        <f>IF('Datos_fuente'!B32="","",LN('Datos_fuente'!B32))</f>
        <v/>
      </c>
      <c r="C32" s="160">
        <f>IF(OR(B32="",B31=""),"",B32-B31)</f>
        <v/>
      </c>
      <c r="D32" s="160">
        <f>IF('Datos_fuente'!C32="","",LN('Datos_fuente'!C32))</f>
        <v/>
      </c>
      <c r="E32" s="160">
        <f>IF(OR(D32="",D31=""),"",D32-D31)</f>
        <v/>
      </c>
      <c r="F32" s="160">
        <f>IF('Datos_fuente'!E32="","",LN('Datos_fuente'!E32))</f>
        <v/>
      </c>
      <c r="G32" s="160">
        <f>IF(OR(F32="",F31=""),"",F32-F31)</f>
        <v/>
      </c>
      <c r="H32" s="161">
        <f>'Datos_fuente'!H32</f>
        <v/>
      </c>
      <c r="I32" s="161">
        <f>IF(OR(H32="",H31=""),"",H32-H31)</f>
        <v/>
      </c>
      <c r="J32" s="161">
        <f>'Datos_fuente'!J32</f>
        <v/>
      </c>
      <c r="K32" s="161">
        <f>IF(OR(J32="",J31=""),"",J32-J31)</f>
        <v/>
      </c>
      <c r="L32" s="160">
        <f>IF('Datos_fuente'!K32="","",LN('Datos_fuente'!K32))</f>
        <v/>
      </c>
      <c r="M32" s="160">
        <f>IF(OR(L32="",L31=""),"",L32-L31)</f>
        <v/>
      </c>
      <c r="N32" s="160">
        <f>IF('Datos_fuente'!L32="","",LN('Datos_fuente'!L32))</f>
        <v/>
      </c>
      <c r="O32" s="160">
        <f>IF(OR(N32="",N31=""),"",N32-N31)</f>
        <v/>
      </c>
      <c r="P32" s="162">
        <f>'Datos_fuente'!M32</f>
        <v/>
      </c>
      <c r="Q32" s="160">
        <f>IF('Datos_fuente'!N32="","",LN('Datos_fuente'!N32))</f>
        <v/>
      </c>
      <c r="R32" s="160">
        <f>IF(OR(Q32="",Q31=""),"",Q32-Q31)</f>
        <v/>
      </c>
      <c r="S32" s="161">
        <f>'Datos_fuente'!P32</f>
        <v/>
      </c>
      <c r="T32" s="161">
        <f>IF(OR(S32="",S31=""),"",S32-S31)</f>
        <v/>
      </c>
      <c r="U32" s="160">
        <f>IF('Datos_fuente'!Q32="","",ASINH('Datos_fuente'!Q32/1000))</f>
        <v/>
      </c>
      <c r="V32" s="160">
        <f>IF(OR(U32="",U31=""),"",U32-U31)</f>
        <v/>
      </c>
      <c r="W32" s="160">
        <f>IF('Datos_fuente'!R32="","",ASINH('Datos_fuente'!R32/1000))</f>
        <v/>
      </c>
      <c r="X32" s="160">
        <f>IF(OR(W32="",W31=""),"",W32-W31)</f>
        <v/>
      </c>
      <c r="Y32" s="161">
        <f>'Datos_fuente'!W32</f>
        <v/>
      </c>
      <c r="Z32" s="161">
        <f>IF(OR(Y32="",Y31=""),"",Y32-Y31)</f>
        <v/>
      </c>
      <c r="AA32" s="160">
        <f>'Datos_fuente'!AB32</f>
        <v/>
      </c>
      <c r="AB32" s="160">
        <f>'Datos_fuente'!AC32</f>
        <v/>
      </c>
      <c r="AC32" s="160">
        <f>IF('Datos_fuente'!AD32="","",LN('Datos_fuente'!AD32))</f>
        <v/>
      </c>
      <c r="AD32" s="160">
        <f>IF(OR(AC32="",AC31=""),"",AC32-AC31)</f>
        <v/>
      </c>
      <c r="AE32" s="160">
        <f>IF('Datos_fuente'!AE32="","",LN('Datos_fuente'!AE32))</f>
        <v/>
      </c>
      <c r="AF32" s="160">
        <f>IF(OR(AE32="",AE31=""),"",AE32-AE31)</f>
        <v/>
      </c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'Datos_fuente'!A33</f>
        <v/>
      </c>
      <c r="B33" s="160">
        <f>IF('Datos_fuente'!B33="","",LN('Datos_fuente'!B33))</f>
        <v/>
      </c>
      <c r="C33" s="160">
        <f>IF(OR(B33="",B32=""),"",B33-B32)</f>
        <v/>
      </c>
      <c r="D33" s="160">
        <f>IF('Datos_fuente'!C33="","",LN('Datos_fuente'!C33))</f>
        <v/>
      </c>
      <c r="E33" s="160">
        <f>IF(OR(D33="",D32=""),"",D33-D32)</f>
        <v/>
      </c>
      <c r="F33" s="160">
        <f>IF('Datos_fuente'!E33="","",LN('Datos_fuente'!E33))</f>
        <v/>
      </c>
      <c r="G33" s="160">
        <f>IF(OR(F33="",F32=""),"",F33-F32)</f>
        <v/>
      </c>
      <c r="H33" s="161">
        <f>'Datos_fuente'!H33</f>
        <v/>
      </c>
      <c r="I33" s="161">
        <f>IF(OR(H33="",H32=""),"",H33-H32)</f>
        <v/>
      </c>
      <c r="J33" s="161">
        <f>'Datos_fuente'!J33</f>
        <v/>
      </c>
      <c r="K33" s="161">
        <f>IF(OR(J33="",J32=""),"",J33-J32)</f>
        <v/>
      </c>
      <c r="L33" s="160">
        <f>IF('Datos_fuente'!K33="","",LN('Datos_fuente'!K33))</f>
        <v/>
      </c>
      <c r="M33" s="160">
        <f>IF(OR(L33="",L32=""),"",L33-L32)</f>
        <v/>
      </c>
      <c r="N33" s="160">
        <f>IF('Datos_fuente'!L33="","",LN('Datos_fuente'!L33))</f>
        <v/>
      </c>
      <c r="O33" s="160">
        <f>IF(OR(N33="",N32=""),"",N33-N32)</f>
        <v/>
      </c>
      <c r="P33" s="162">
        <f>'Datos_fuente'!M33</f>
        <v/>
      </c>
      <c r="Q33" s="160">
        <f>IF('Datos_fuente'!N33="","",LN('Datos_fuente'!N33))</f>
        <v/>
      </c>
      <c r="R33" s="160">
        <f>IF(OR(Q33="",Q32=""),"",Q33-Q32)</f>
        <v/>
      </c>
      <c r="S33" s="161">
        <f>'Datos_fuente'!P33</f>
        <v/>
      </c>
      <c r="T33" s="161">
        <f>IF(OR(S33="",S32=""),"",S33-S32)</f>
        <v/>
      </c>
      <c r="U33" s="160">
        <f>IF('Datos_fuente'!Q33="","",ASINH('Datos_fuente'!Q33/1000))</f>
        <v/>
      </c>
      <c r="V33" s="160">
        <f>IF(OR(U33="",U32=""),"",U33-U32)</f>
        <v/>
      </c>
      <c r="W33" s="160">
        <f>IF('Datos_fuente'!R33="","",ASINH('Datos_fuente'!R33/1000))</f>
        <v/>
      </c>
      <c r="X33" s="160">
        <f>IF(OR(W33="",W32=""),"",W33-W32)</f>
        <v/>
      </c>
      <c r="Y33" s="161">
        <f>'Datos_fuente'!W33</f>
        <v/>
      </c>
      <c r="Z33" s="161">
        <f>IF(OR(Y33="",Y32=""),"",Y33-Y32)</f>
        <v/>
      </c>
      <c r="AA33" s="160">
        <f>'Datos_fuente'!AB33</f>
        <v/>
      </c>
      <c r="AB33" s="160">
        <f>'Datos_fuente'!AC33</f>
        <v/>
      </c>
      <c r="AC33" s="160">
        <f>IF('Datos_fuente'!AD33="","",LN('Datos_fuente'!AD33))</f>
        <v/>
      </c>
      <c r="AD33" s="160">
        <f>IF(OR(AC33="",AC32=""),"",AC33-AC32)</f>
        <v/>
      </c>
      <c r="AE33" s="160">
        <f>IF('Datos_fuente'!AE33="","",LN('Datos_fuente'!AE33))</f>
        <v/>
      </c>
      <c r="AF33" s="160">
        <f>IF(OR(AE33="",AE32=""),"",AE33-AE32)</f>
        <v/>
      </c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'Datos_fuente'!A34</f>
        <v/>
      </c>
      <c r="B34" s="160">
        <f>IF('Datos_fuente'!B34="","",LN('Datos_fuente'!B34))</f>
        <v/>
      </c>
      <c r="C34" s="160">
        <f>IF(OR(B34="",B33=""),"",B34-B33)</f>
        <v/>
      </c>
      <c r="D34" s="160">
        <f>IF('Datos_fuente'!C34="","",LN('Datos_fuente'!C34))</f>
        <v/>
      </c>
      <c r="E34" s="160">
        <f>IF(OR(D34="",D33=""),"",D34-D33)</f>
        <v/>
      </c>
      <c r="F34" s="160">
        <f>IF('Datos_fuente'!E34="","",LN('Datos_fuente'!E34))</f>
        <v/>
      </c>
      <c r="G34" s="160">
        <f>IF(OR(F34="",F33=""),"",F34-F33)</f>
        <v/>
      </c>
      <c r="H34" s="161">
        <f>'Datos_fuente'!H34</f>
        <v/>
      </c>
      <c r="I34" s="161">
        <f>IF(OR(H34="",H33=""),"",H34-H33)</f>
        <v/>
      </c>
      <c r="J34" s="161">
        <f>'Datos_fuente'!J34</f>
        <v/>
      </c>
      <c r="K34" s="161">
        <f>IF(OR(J34="",J33=""),"",J34-J33)</f>
        <v/>
      </c>
      <c r="L34" s="160">
        <f>IF('Datos_fuente'!K34="","",LN('Datos_fuente'!K34))</f>
        <v/>
      </c>
      <c r="M34" s="160">
        <f>IF(OR(L34="",L33=""),"",L34-L33)</f>
        <v/>
      </c>
      <c r="N34" s="160">
        <f>IF('Datos_fuente'!L34="","",LN('Datos_fuente'!L34))</f>
        <v/>
      </c>
      <c r="O34" s="160">
        <f>IF(OR(N34="",N33=""),"",N34-N33)</f>
        <v/>
      </c>
      <c r="P34" s="162">
        <f>'Datos_fuente'!M34</f>
        <v/>
      </c>
      <c r="Q34" s="160">
        <f>IF('Datos_fuente'!N34="","",LN('Datos_fuente'!N34))</f>
        <v/>
      </c>
      <c r="R34" s="160">
        <f>IF(OR(Q34="",Q33=""),"",Q34-Q33)</f>
        <v/>
      </c>
      <c r="S34" s="161">
        <f>'Datos_fuente'!P34</f>
        <v/>
      </c>
      <c r="T34" s="161">
        <f>IF(OR(S34="",S33=""),"",S34-S33)</f>
        <v/>
      </c>
      <c r="U34" s="160">
        <f>IF('Datos_fuente'!Q34="","",ASINH('Datos_fuente'!Q34/1000))</f>
        <v/>
      </c>
      <c r="V34" s="160">
        <f>IF(OR(U34="",U33=""),"",U34-U33)</f>
        <v/>
      </c>
      <c r="W34" s="160">
        <f>IF('Datos_fuente'!R34="","",ASINH('Datos_fuente'!R34/1000))</f>
        <v/>
      </c>
      <c r="X34" s="160">
        <f>IF(OR(W34="",W33=""),"",W34-W33)</f>
        <v/>
      </c>
      <c r="Y34" s="161">
        <f>'Datos_fuente'!W34</f>
        <v/>
      </c>
      <c r="Z34" s="161">
        <f>IF(OR(Y34="",Y33=""),"",Y34-Y33)</f>
        <v/>
      </c>
      <c r="AA34" s="160">
        <f>'Datos_fuente'!AB34</f>
        <v/>
      </c>
      <c r="AB34" s="160">
        <f>'Datos_fuente'!AC34</f>
        <v/>
      </c>
      <c r="AC34" s="160">
        <f>IF('Datos_fuente'!AD34="","",LN('Datos_fuente'!AD34))</f>
        <v/>
      </c>
      <c r="AD34" s="160">
        <f>IF(OR(AC34="",AC33=""),"",AC34-AC33)</f>
        <v/>
      </c>
      <c r="AE34" s="160">
        <f>IF('Datos_fuente'!AE34="","",LN('Datos_fuente'!AE34))</f>
        <v/>
      </c>
      <c r="AF34" s="160">
        <f>IF(OR(AE34="",AE33=""),"",AE34-AE33)</f>
        <v/>
      </c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'Datos_fuente'!A35</f>
        <v/>
      </c>
      <c r="B35" s="160">
        <f>IF('Datos_fuente'!B35="","",LN('Datos_fuente'!B35))</f>
        <v/>
      </c>
      <c r="C35" s="160">
        <f>IF(OR(B35="",B34=""),"",B35-B34)</f>
        <v/>
      </c>
      <c r="D35" s="160">
        <f>IF('Datos_fuente'!C35="","",LN('Datos_fuente'!C35))</f>
        <v/>
      </c>
      <c r="E35" s="160">
        <f>IF(OR(D35="",D34=""),"",D35-D34)</f>
        <v/>
      </c>
      <c r="F35" s="160">
        <f>IF('Datos_fuente'!E35="","",LN('Datos_fuente'!E35))</f>
        <v/>
      </c>
      <c r="G35" s="160">
        <f>IF(OR(F35="",F34=""),"",F35-F34)</f>
        <v/>
      </c>
      <c r="H35" s="161">
        <f>'Datos_fuente'!H35</f>
        <v/>
      </c>
      <c r="I35" s="161">
        <f>IF(OR(H35="",H34=""),"",H35-H34)</f>
        <v/>
      </c>
      <c r="J35" s="161">
        <f>'Datos_fuente'!J35</f>
        <v/>
      </c>
      <c r="K35" s="161">
        <f>IF(OR(J35="",J34=""),"",J35-J34)</f>
        <v/>
      </c>
      <c r="L35" s="160">
        <f>IF('Datos_fuente'!K35="","",LN('Datos_fuente'!K35))</f>
        <v/>
      </c>
      <c r="M35" s="160">
        <f>IF(OR(L35="",L34=""),"",L35-L34)</f>
        <v/>
      </c>
      <c r="N35" s="160">
        <f>IF('Datos_fuente'!L35="","",LN('Datos_fuente'!L35))</f>
        <v/>
      </c>
      <c r="O35" s="160">
        <f>IF(OR(N35="",N34=""),"",N35-N34)</f>
        <v/>
      </c>
      <c r="P35" s="162">
        <f>'Datos_fuente'!M35</f>
        <v/>
      </c>
      <c r="Q35" s="160">
        <f>IF('Datos_fuente'!N35="","",LN('Datos_fuente'!N35))</f>
        <v/>
      </c>
      <c r="R35" s="160">
        <f>IF(OR(Q35="",Q34=""),"",Q35-Q34)</f>
        <v/>
      </c>
      <c r="S35" s="161">
        <f>'Datos_fuente'!P35</f>
        <v/>
      </c>
      <c r="T35" s="161">
        <f>IF(OR(S35="",S34=""),"",S35-S34)</f>
        <v/>
      </c>
      <c r="U35" s="160">
        <f>IF('Datos_fuente'!Q35="","",ASINH('Datos_fuente'!Q35/1000))</f>
        <v/>
      </c>
      <c r="V35" s="160">
        <f>IF(OR(U35="",U34=""),"",U35-U34)</f>
        <v/>
      </c>
      <c r="W35" s="160">
        <f>IF('Datos_fuente'!R35="","",ASINH('Datos_fuente'!R35/1000))</f>
        <v/>
      </c>
      <c r="X35" s="160">
        <f>IF(OR(W35="",W34=""),"",W35-W34)</f>
        <v/>
      </c>
      <c r="Y35" s="161">
        <f>'Datos_fuente'!W35</f>
        <v/>
      </c>
      <c r="Z35" s="161">
        <f>IF(OR(Y35="",Y34=""),"",Y35-Y34)</f>
        <v/>
      </c>
      <c r="AA35" s="160">
        <f>'Datos_fuente'!AB35</f>
        <v/>
      </c>
      <c r="AB35" s="160">
        <f>'Datos_fuente'!AC35</f>
        <v/>
      </c>
      <c r="AC35" s="160">
        <f>IF('Datos_fuente'!AD35="","",LN('Datos_fuente'!AD35))</f>
        <v/>
      </c>
      <c r="AD35" s="160">
        <f>IF(OR(AC35="",AC34=""),"",AC35-AC34)</f>
        <v/>
      </c>
      <c r="AE35" s="160">
        <f>IF('Datos_fuente'!AE35="","",LN('Datos_fuente'!AE35))</f>
        <v/>
      </c>
      <c r="AF35" s="160">
        <f>IF(OR(AE35="",AE34=""),"",AE35-AE34)</f>
        <v/>
      </c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'Datos_fuente'!A36</f>
        <v/>
      </c>
      <c r="B36" s="160">
        <f>IF('Datos_fuente'!B36="","",LN('Datos_fuente'!B36))</f>
        <v/>
      </c>
      <c r="C36" s="160">
        <f>IF(OR(B36="",B35=""),"",B36-B35)</f>
        <v/>
      </c>
      <c r="D36" s="160">
        <f>IF('Datos_fuente'!C36="","",LN('Datos_fuente'!C36))</f>
        <v/>
      </c>
      <c r="E36" s="160">
        <f>IF(OR(D36="",D35=""),"",D36-D35)</f>
        <v/>
      </c>
      <c r="F36" s="160">
        <f>IF('Datos_fuente'!E36="","",LN('Datos_fuente'!E36))</f>
        <v/>
      </c>
      <c r="G36" s="160">
        <f>IF(OR(F36="",F35=""),"",F36-F35)</f>
        <v/>
      </c>
      <c r="H36" s="161">
        <f>'Datos_fuente'!H36</f>
        <v/>
      </c>
      <c r="I36" s="161">
        <f>IF(OR(H36="",H35=""),"",H36-H35)</f>
        <v/>
      </c>
      <c r="J36" s="161">
        <f>'Datos_fuente'!J36</f>
        <v/>
      </c>
      <c r="K36" s="161">
        <f>IF(OR(J36="",J35=""),"",J36-J35)</f>
        <v/>
      </c>
      <c r="L36" s="160">
        <f>IF('Datos_fuente'!K36="","",LN('Datos_fuente'!K36))</f>
        <v/>
      </c>
      <c r="M36" s="160">
        <f>IF(OR(L36="",L35=""),"",L36-L35)</f>
        <v/>
      </c>
      <c r="N36" s="160">
        <f>IF('Datos_fuente'!L36="","",LN('Datos_fuente'!L36))</f>
        <v/>
      </c>
      <c r="O36" s="160">
        <f>IF(OR(N36="",N35=""),"",N36-N35)</f>
        <v/>
      </c>
      <c r="P36" s="162">
        <f>'Datos_fuente'!M36</f>
        <v/>
      </c>
      <c r="Q36" s="160">
        <f>IF('Datos_fuente'!N36="","",LN('Datos_fuente'!N36))</f>
        <v/>
      </c>
      <c r="R36" s="160">
        <f>IF(OR(Q36="",Q35=""),"",Q36-Q35)</f>
        <v/>
      </c>
      <c r="S36" s="161">
        <f>'Datos_fuente'!P36</f>
        <v/>
      </c>
      <c r="T36" s="161">
        <f>IF(OR(S36="",S35=""),"",S36-S35)</f>
        <v/>
      </c>
      <c r="U36" s="160">
        <f>IF('Datos_fuente'!Q36="","",ASINH('Datos_fuente'!Q36/1000))</f>
        <v/>
      </c>
      <c r="V36" s="160">
        <f>IF(OR(U36="",U35=""),"",U36-U35)</f>
        <v/>
      </c>
      <c r="W36" s="160">
        <f>IF('Datos_fuente'!R36="","",ASINH('Datos_fuente'!R36/1000))</f>
        <v/>
      </c>
      <c r="X36" s="160">
        <f>IF(OR(W36="",W35=""),"",W36-W35)</f>
        <v/>
      </c>
      <c r="Y36" s="161">
        <f>'Datos_fuente'!W36</f>
        <v/>
      </c>
      <c r="Z36" s="161">
        <f>IF(OR(Y36="",Y35=""),"",Y36-Y35)</f>
        <v/>
      </c>
      <c r="AA36" s="160">
        <f>'Datos_fuente'!AB36</f>
        <v/>
      </c>
      <c r="AB36" s="160">
        <f>'Datos_fuente'!AC36</f>
        <v/>
      </c>
      <c r="AC36" s="160">
        <f>IF('Datos_fuente'!AD36="","",LN('Datos_fuente'!AD36))</f>
        <v/>
      </c>
      <c r="AD36" s="160">
        <f>IF(OR(AC36="",AC35=""),"",AC36-AC35)</f>
        <v/>
      </c>
      <c r="AE36" s="160">
        <f>IF('Datos_fuente'!AE36="","",LN('Datos_fuente'!AE36))</f>
        <v/>
      </c>
      <c r="AF36" s="160">
        <f>IF(OR(AE36="",AE35=""),"",AE36-AE35)</f>
        <v/>
      </c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'Datos_fuente'!A37</f>
        <v/>
      </c>
      <c r="B37" s="160">
        <f>IF('Datos_fuente'!B37="","",LN('Datos_fuente'!B37))</f>
        <v/>
      </c>
      <c r="C37" s="160">
        <f>IF(OR(B37="",B36=""),"",B37-B36)</f>
        <v/>
      </c>
      <c r="D37" s="160">
        <f>IF('Datos_fuente'!C37="","",LN('Datos_fuente'!C37))</f>
        <v/>
      </c>
      <c r="E37" s="160">
        <f>IF(OR(D37="",D36=""),"",D37-D36)</f>
        <v/>
      </c>
      <c r="F37" s="160">
        <f>IF('Datos_fuente'!E37="","",LN('Datos_fuente'!E37))</f>
        <v/>
      </c>
      <c r="G37" s="160">
        <f>IF(OR(F37="",F36=""),"",F37-F36)</f>
        <v/>
      </c>
      <c r="H37" s="161">
        <f>'Datos_fuente'!H37</f>
        <v/>
      </c>
      <c r="I37" s="161">
        <f>IF(OR(H37="",H36=""),"",H37-H36)</f>
        <v/>
      </c>
      <c r="J37" s="161">
        <f>'Datos_fuente'!J37</f>
        <v/>
      </c>
      <c r="K37" s="161">
        <f>IF(OR(J37="",J36=""),"",J37-J36)</f>
        <v/>
      </c>
      <c r="L37" s="160">
        <f>IF('Datos_fuente'!K37="","",LN('Datos_fuente'!K37))</f>
        <v/>
      </c>
      <c r="M37" s="160">
        <f>IF(OR(L37="",L36=""),"",L37-L36)</f>
        <v/>
      </c>
      <c r="N37" s="160">
        <f>IF('Datos_fuente'!L37="","",LN('Datos_fuente'!L37))</f>
        <v/>
      </c>
      <c r="O37" s="160">
        <f>IF(OR(N37="",N36=""),"",N37-N36)</f>
        <v/>
      </c>
      <c r="P37" s="162">
        <f>'Datos_fuente'!M37</f>
        <v/>
      </c>
      <c r="Q37" s="160">
        <f>IF('Datos_fuente'!N37="","",LN('Datos_fuente'!N37))</f>
        <v/>
      </c>
      <c r="R37" s="160">
        <f>IF(OR(Q37="",Q36=""),"",Q37-Q36)</f>
        <v/>
      </c>
      <c r="S37" s="161">
        <f>'Datos_fuente'!P37</f>
        <v/>
      </c>
      <c r="T37" s="161">
        <f>IF(OR(S37="",S36=""),"",S37-S36)</f>
        <v/>
      </c>
      <c r="U37" s="160">
        <f>IF('Datos_fuente'!Q37="","",ASINH('Datos_fuente'!Q37/1000))</f>
        <v/>
      </c>
      <c r="V37" s="160">
        <f>IF(OR(U37="",U36=""),"",U37-U36)</f>
        <v/>
      </c>
      <c r="W37" s="160">
        <f>IF('Datos_fuente'!R37="","",ASINH('Datos_fuente'!R37/1000))</f>
        <v/>
      </c>
      <c r="X37" s="160">
        <f>IF(OR(W37="",W36=""),"",W37-W36)</f>
        <v/>
      </c>
      <c r="Y37" s="161">
        <f>'Datos_fuente'!W37</f>
        <v/>
      </c>
      <c r="Z37" s="161">
        <f>IF(OR(Y37="",Y36=""),"",Y37-Y36)</f>
        <v/>
      </c>
      <c r="AA37" s="160">
        <f>'Datos_fuente'!AB37</f>
        <v/>
      </c>
      <c r="AB37" s="160">
        <f>'Datos_fuente'!AC37</f>
        <v/>
      </c>
      <c r="AC37" s="160">
        <f>IF('Datos_fuente'!AD37="","",LN('Datos_fuente'!AD37))</f>
        <v/>
      </c>
      <c r="AD37" s="160">
        <f>IF(OR(AC37="",AC36=""),"",AC37-AC36)</f>
        <v/>
      </c>
      <c r="AE37" s="160">
        <f>IF('Datos_fuente'!AE37="","",LN('Datos_fuente'!AE37))</f>
        <v/>
      </c>
      <c r="AF37" s="160">
        <f>IF(OR(AE37="",AE36=""),"",AE37-AE36)</f>
        <v/>
      </c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'Datos_fuente'!A38</f>
        <v/>
      </c>
      <c r="B38" s="160">
        <f>IF('Datos_fuente'!B38="","",LN('Datos_fuente'!B38))</f>
        <v/>
      </c>
      <c r="C38" s="160">
        <f>IF(OR(B38="",B37=""),"",B38-B37)</f>
        <v/>
      </c>
      <c r="D38" s="160">
        <f>IF('Datos_fuente'!C38="","",LN('Datos_fuente'!C38))</f>
        <v/>
      </c>
      <c r="E38" s="160">
        <f>IF(OR(D38="",D37=""),"",D38-D37)</f>
        <v/>
      </c>
      <c r="F38" s="160">
        <f>IF('Datos_fuente'!E38="","",LN('Datos_fuente'!E38))</f>
        <v/>
      </c>
      <c r="G38" s="160">
        <f>IF(OR(F38="",F37=""),"",F38-F37)</f>
        <v/>
      </c>
      <c r="H38" s="161">
        <f>'Datos_fuente'!H38</f>
        <v/>
      </c>
      <c r="I38" s="161">
        <f>IF(OR(H38="",H37=""),"",H38-H37)</f>
        <v/>
      </c>
      <c r="J38" s="161">
        <f>'Datos_fuente'!J38</f>
        <v/>
      </c>
      <c r="K38" s="161">
        <f>IF(OR(J38="",J37=""),"",J38-J37)</f>
        <v/>
      </c>
      <c r="L38" s="160">
        <f>IF('Datos_fuente'!K38="","",LN('Datos_fuente'!K38))</f>
        <v/>
      </c>
      <c r="M38" s="160">
        <f>IF(OR(L38="",L37=""),"",L38-L37)</f>
        <v/>
      </c>
      <c r="N38" s="160">
        <f>IF('Datos_fuente'!L38="","",LN('Datos_fuente'!L38))</f>
        <v/>
      </c>
      <c r="O38" s="160">
        <f>IF(OR(N38="",N37=""),"",N38-N37)</f>
        <v/>
      </c>
      <c r="P38" s="162">
        <f>'Datos_fuente'!M38</f>
        <v/>
      </c>
      <c r="Q38" s="160">
        <f>IF('Datos_fuente'!N38="","",LN('Datos_fuente'!N38))</f>
        <v/>
      </c>
      <c r="R38" s="160">
        <f>IF(OR(Q38="",Q37=""),"",Q38-Q37)</f>
        <v/>
      </c>
      <c r="S38" s="161">
        <f>'Datos_fuente'!P38</f>
        <v/>
      </c>
      <c r="T38" s="161">
        <f>IF(OR(S38="",S37=""),"",S38-S37)</f>
        <v/>
      </c>
      <c r="U38" s="160">
        <f>IF('Datos_fuente'!Q38="","",ASINH('Datos_fuente'!Q38/1000))</f>
        <v/>
      </c>
      <c r="V38" s="160">
        <f>IF(OR(U38="",U37=""),"",U38-U37)</f>
        <v/>
      </c>
      <c r="W38" s="160">
        <f>IF('Datos_fuente'!R38="","",ASINH('Datos_fuente'!R38/1000))</f>
        <v/>
      </c>
      <c r="X38" s="160">
        <f>IF(OR(W38="",W37=""),"",W38-W37)</f>
        <v/>
      </c>
      <c r="Y38" s="161">
        <f>'Datos_fuente'!W38</f>
        <v/>
      </c>
      <c r="Z38" s="161">
        <f>IF(OR(Y38="",Y37=""),"",Y38-Y37)</f>
        <v/>
      </c>
      <c r="AA38" s="160">
        <f>'Datos_fuente'!AB38</f>
        <v/>
      </c>
      <c r="AB38" s="160">
        <f>'Datos_fuente'!AC38</f>
        <v/>
      </c>
      <c r="AC38" s="160">
        <f>IF('Datos_fuente'!AD38="","",LN('Datos_fuente'!AD38))</f>
        <v/>
      </c>
      <c r="AD38" s="160">
        <f>IF(OR(AC38="",AC37=""),"",AC38-AC37)</f>
        <v/>
      </c>
      <c r="AE38" s="160">
        <f>IF('Datos_fuente'!AE38="","",LN('Datos_fuente'!AE38))</f>
        <v/>
      </c>
      <c r="AF38" s="160">
        <f>IF(OR(AE38="",AE37=""),"",AE38-AE37)</f>
        <v/>
      </c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'Datos_fuente'!A39</f>
        <v/>
      </c>
      <c r="B39" s="160">
        <f>IF('Datos_fuente'!B39="","",LN('Datos_fuente'!B39))</f>
        <v/>
      </c>
      <c r="C39" s="160">
        <f>IF(OR(B39="",B38=""),"",B39-B38)</f>
        <v/>
      </c>
      <c r="D39" s="160">
        <f>IF('Datos_fuente'!C39="","",LN('Datos_fuente'!C39))</f>
        <v/>
      </c>
      <c r="E39" s="160">
        <f>IF(OR(D39="",D38=""),"",D39-D38)</f>
        <v/>
      </c>
      <c r="F39" s="160">
        <f>IF('Datos_fuente'!E39="","",LN('Datos_fuente'!E39))</f>
        <v/>
      </c>
      <c r="G39" s="160">
        <f>IF(OR(F39="",F38=""),"",F39-F38)</f>
        <v/>
      </c>
      <c r="H39" s="161">
        <f>'Datos_fuente'!H39</f>
        <v/>
      </c>
      <c r="I39" s="161">
        <f>IF(OR(H39="",H38=""),"",H39-H38)</f>
        <v/>
      </c>
      <c r="J39" s="161">
        <f>'Datos_fuente'!J39</f>
        <v/>
      </c>
      <c r="K39" s="161">
        <f>IF(OR(J39="",J38=""),"",J39-J38)</f>
        <v/>
      </c>
      <c r="L39" s="160">
        <f>IF('Datos_fuente'!K39="","",LN('Datos_fuente'!K39))</f>
        <v/>
      </c>
      <c r="M39" s="160">
        <f>IF(OR(L39="",L38=""),"",L39-L38)</f>
        <v/>
      </c>
      <c r="N39" s="160">
        <f>IF('Datos_fuente'!L39="","",LN('Datos_fuente'!L39))</f>
        <v/>
      </c>
      <c r="O39" s="160">
        <f>IF(OR(N39="",N38=""),"",N39-N38)</f>
        <v/>
      </c>
      <c r="P39" s="162">
        <f>'Datos_fuente'!M39</f>
        <v/>
      </c>
      <c r="Q39" s="160">
        <f>IF('Datos_fuente'!N39="","",LN('Datos_fuente'!N39))</f>
        <v/>
      </c>
      <c r="R39" s="160">
        <f>IF(OR(Q39="",Q38=""),"",Q39-Q38)</f>
        <v/>
      </c>
      <c r="S39" s="161">
        <f>'Datos_fuente'!P39</f>
        <v/>
      </c>
      <c r="T39" s="161">
        <f>IF(OR(S39="",S38=""),"",S39-S38)</f>
        <v/>
      </c>
      <c r="U39" s="160">
        <f>IF('Datos_fuente'!Q39="","",ASINH('Datos_fuente'!Q39/1000))</f>
        <v/>
      </c>
      <c r="V39" s="160">
        <f>IF(OR(U39="",U38=""),"",U39-U38)</f>
        <v/>
      </c>
      <c r="W39" s="160">
        <f>IF('Datos_fuente'!R39="","",ASINH('Datos_fuente'!R39/1000))</f>
        <v/>
      </c>
      <c r="X39" s="160">
        <f>IF(OR(W39="",W38=""),"",W39-W38)</f>
        <v/>
      </c>
      <c r="Y39" s="161">
        <f>'Datos_fuente'!W39</f>
        <v/>
      </c>
      <c r="Z39" s="161">
        <f>IF(OR(Y39="",Y38=""),"",Y39-Y38)</f>
        <v/>
      </c>
      <c r="AA39" s="160">
        <f>'Datos_fuente'!AB39</f>
        <v/>
      </c>
      <c r="AB39" s="160">
        <f>'Datos_fuente'!AC39</f>
        <v/>
      </c>
      <c r="AC39" s="160">
        <f>IF('Datos_fuente'!AD39="","",LN('Datos_fuente'!AD39))</f>
        <v/>
      </c>
      <c r="AD39" s="160">
        <f>IF(OR(AC39="",AC38=""),"",AC39-AC38)</f>
        <v/>
      </c>
      <c r="AE39" s="160">
        <f>IF('Datos_fuente'!AE39="","",LN('Datos_fuente'!AE39))</f>
        <v/>
      </c>
      <c r="AF39" s="160">
        <f>IF(OR(AE39="",AE38=""),"",AE39-AE38)</f>
        <v/>
      </c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'Datos_fuente'!A40</f>
        <v/>
      </c>
      <c r="B40" s="160">
        <f>IF('Datos_fuente'!B40="","",LN('Datos_fuente'!B40))</f>
        <v/>
      </c>
      <c r="C40" s="160">
        <f>IF(OR(B40="",B39=""),"",B40-B39)</f>
        <v/>
      </c>
      <c r="D40" s="160">
        <f>IF('Datos_fuente'!C40="","",LN('Datos_fuente'!C40))</f>
        <v/>
      </c>
      <c r="E40" s="160">
        <f>IF(OR(D40="",D39=""),"",D40-D39)</f>
        <v/>
      </c>
      <c r="F40" s="160">
        <f>IF('Datos_fuente'!E40="","",LN('Datos_fuente'!E40))</f>
        <v/>
      </c>
      <c r="G40" s="160">
        <f>IF(OR(F40="",F39=""),"",F40-F39)</f>
        <v/>
      </c>
      <c r="H40" s="161">
        <f>'Datos_fuente'!H40</f>
        <v/>
      </c>
      <c r="I40" s="161">
        <f>IF(OR(H40="",H39=""),"",H40-H39)</f>
        <v/>
      </c>
      <c r="J40" s="161">
        <f>'Datos_fuente'!J40</f>
        <v/>
      </c>
      <c r="K40" s="161">
        <f>IF(OR(J40="",J39=""),"",J40-J39)</f>
        <v/>
      </c>
      <c r="L40" s="160">
        <f>IF('Datos_fuente'!K40="","",LN('Datos_fuente'!K40))</f>
        <v/>
      </c>
      <c r="M40" s="160">
        <f>IF(OR(L40="",L39=""),"",L40-L39)</f>
        <v/>
      </c>
      <c r="N40" s="160">
        <f>IF('Datos_fuente'!L40="","",LN('Datos_fuente'!L40))</f>
        <v/>
      </c>
      <c r="O40" s="160">
        <f>IF(OR(N40="",N39=""),"",N40-N39)</f>
        <v/>
      </c>
      <c r="P40" s="162">
        <f>'Datos_fuente'!M40</f>
        <v/>
      </c>
      <c r="Q40" s="160">
        <f>IF('Datos_fuente'!N40="","",LN('Datos_fuente'!N40))</f>
        <v/>
      </c>
      <c r="R40" s="160">
        <f>IF(OR(Q40="",Q39=""),"",Q40-Q39)</f>
        <v/>
      </c>
      <c r="S40" s="161">
        <f>'Datos_fuente'!P40</f>
        <v/>
      </c>
      <c r="T40" s="161">
        <f>IF(OR(S40="",S39=""),"",S40-S39)</f>
        <v/>
      </c>
      <c r="U40" s="160">
        <f>IF('Datos_fuente'!Q40="","",ASINH('Datos_fuente'!Q40/1000))</f>
        <v/>
      </c>
      <c r="V40" s="160">
        <f>IF(OR(U40="",U39=""),"",U40-U39)</f>
        <v/>
      </c>
      <c r="W40" s="160">
        <f>IF('Datos_fuente'!R40="","",ASINH('Datos_fuente'!R40/1000))</f>
        <v/>
      </c>
      <c r="X40" s="160">
        <f>IF(OR(W40="",W39=""),"",W40-W39)</f>
        <v/>
      </c>
      <c r="Y40" s="161">
        <f>'Datos_fuente'!W40</f>
        <v/>
      </c>
      <c r="Z40" s="161">
        <f>IF(OR(Y40="",Y39=""),"",Y40-Y39)</f>
        <v/>
      </c>
      <c r="AA40" s="160">
        <f>'Datos_fuente'!AB40</f>
        <v/>
      </c>
      <c r="AB40" s="160">
        <f>'Datos_fuente'!AC40</f>
        <v/>
      </c>
      <c r="AC40" s="160">
        <f>IF('Datos_fuente'!AD40="","",LN('Datos_fuente'!AD40))</f>
        <v/>
      </c>
      <c r="AD40" s="160">
        <f>IF(OR(AC40="",AC39=""),"",AC40-AC39)</f>
        <v/>
      </c>
      <c r="AE40" s="160">
        <f>IF('Datos_fuente'!AE40="","",LN('Datos_fuente'!AE40))</f>
        <v/>
      </c>
      <c r="AF40" s="160">
        <f>IF(OR(AE40="",AE39=""),"",AE40-AE39)</f>
        <v/>
      </c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'Datos_fuente'!A41</f>
        <v/>
      </c>
      <c r="B41" s="160">
        <f>IF('Datos_fuente'!B41="","",LN('Datos_fuente'!B41))</f>
        <v/>
      </c>
      <c r="C41" s="160">
        <f>IF(OR(B41="",B40=""),"",B41-B40)</f>
        <v/>
      </c>
      <c r="D41" s="160">
        <f>IF('Datos_fuente'!C41="","",LN('Datos_fuente'!C41))</f>
        <v/>
      </c>
      <c r="E41" s="160">
        <f>IF(OR(D41="",D40=""),"",D41-D40)</f>
        <v/>
      </c>
      <c r="F41" s="160">
        <f>IF('Datos_fuente'!E41="","",LN('Datos_fuente'!E41))</f>
        <v/>
      </c>
      <c r="G41" s="160">
        <f>IF(OR(F41="",F40=""),"",F41-F40)</f>
        <v/>
      </c>
      <c r="H41" s="161">
        <f>'Datos_fuente'!H41</f>
        <v/>
      </c>
      <c r="I41" s="161">
        <f>IF(OR(H41="",H40=""),"",H41-H40)</f>
        <v/>
      </c>
      <c r="J41" s="161">
        <f>'Datos_fuente'!J41</f>
        <v/>
      </c>
      <c r="K41" s="161">
        <f>IF(OR(J41="",J40=""),"",J41-J40)</f>
        <v/>
      </c>
      <c r="L41" s="160">
        <f>IF('Datos_fuente'!K41="","",LN('Datos_fuente'!K41))</f>
        <v/>
      </c>
      <c r="M41" s="160">
        <f>IF(OR(L41="",L40=""),"",L41-L40)</f>
        <v/>
      </c>
      <c r="N41" s="160">
        <f>IF('Datos_fuente'!L41="","",LN('Datos_fuente'!L41))</f>
        <v/>
      </c>
      <c r="O41" s="160">
        <f>IF(OR(N41="",N40=""),"",N41-N40)</f>
        <v/>
      </c>
      <c r="P41" s="162">
        <f>'Datos_fuente'!M41</f>
        <v/>
      </c>
      <c r="Q41" s="160">
        <f>IF('Datos_fuente'!N41="","",LN('Datos_fuente'!N41))</f>
        <v/>
      </c>
      <c r="R41" s="160">
        <f>IF(OR(Q41="",Q40=""),"",Q41-Q40)</f>
        <v/>
      </c>
      <c r="S41" s="161">
        <f>'Datos_fuente'!P41</f>
        <v/>
      </c>
      <c r="T41" s="161">
        <f>IF(OR(S41="",S40=""),"",S41-S40)</f>
        <v/>
      </c>
      <c r="U41" s="160">
        <f>IF('Datos_fuente'!Q41="","",ASINH('Datos_fuente'!Q41/1000))</f>
        <v/>
      </c>
      <c r="V41" s="160">
        <f>IF(OR(U41="",U40=""),"",U41-U40)</f>
        <v/>
      </c>
      <c r="W41" s="160">
        <f>IF('Datos_fuente'!R41="","",ASINH('Datos_fuente'!R41/1000))</f>
        <v/>
      </c>
      <c r="X41" s="160">
        <f>IF(OR(W41="",W40=""),"",W41-W40)</f>
        <v/>
      </c>
      <c r="Y41" s="161">
        <f>'Datos_fuente'!W41</f>
        <v/>
      </c>
      <c r="Z41" s="161">
        <f>IF(OR(Y41="",Y40=""),"",Y41-Y40)</f>
        <v/>
      </c>
      <c r="AA41" s="160">
        <f>'Datos_fuente'!AB41</f>
        <v/>
      </c>
      <c r="AB41" s="160">
        <f>'Datos_fuente'!AC41</f>
        <v/>
      </c>
      <c r="AC41" s="160">
        <f>IF('Datos_fuente'!AD41="","",LN('Datos_fuente'!AD41))</f>
        <v/>
      </c>
      <c r="AD41" s="160">
        <f>IF(OR(AC41="",AC40=""),"",AC41-AC40)</f>
        <v/>
      </c>
      <c r="AE41" s="160">
        <f>IF('Datos_fuente'!AE41="","",LN('Datos_fuente'!AE41))</f>
        <v/>
      </c>
      <c r="AF41" s="160">
        <f>IF(OR(AE41="",AE40=""),"",AE41-AE40)</f>
        <v/>
      </c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'Datos_fuente'!A42</f>
        <v/>
      </c>
      <c r="B42" s="160">
        <f>IF('Datos_fuente'!B42="","",LN('Datos_fuente'!B42))</f>
        <v/>
      </c>
      <c r="C42" s="160">
        <f>IF(OR(B42="",B41=""),"",B42-B41)</f>
        <v/>
      </c>
      <c r="D42" s="160">
        <f>IF('Datos_fuente'!C42="","",LN('Datos_fuente'!C42))</f>
        <v/>
      </c>
      <c r="E42" s="160">
        <f>IF(OR(D42="",D41=""),"",D42-D41)</f>
        <v/>
      </c>
      <c r="F42" s="160">
        <f>IF('Datos_fuente'!E42="","",LN('Datos_fuente'!E42))</f>
        <v/>
      </c>
      <c r="G42" s="160">
        <f>IF(OR(F42="",F41=""),"",F42-F41)</f>
        <v/>
      </c>
      <c r="H42" s="161">
        <f>'Datos_fuente'!H42</f>
        <v/>
      </c>
      <c r="I42" s="161">
        <f>IF(OR(H42="",H41=""),"",H42-H41)</f>
        <v/>
      </c>
      <c r="J42" s="161">
        <f>'Datos_fuente'!J42</f>
        <v/>
      </c>
      <c r="K42" s="161">
        <f>IF(OR(J42="",J41=""),"",J42-J41)</f>
        <v/>
      </c>
      <c r="L42" s="160">
        <f>IF('Datos_fuente'!K42="","",LN('Datos_fuente'!K42))</f>
        <v/>
      </c>
      <c r="M42" s="160">
        <f>IF(OR(L42="",L41=""),"",L42-L41)</f>
        <v/>
      </c>
      <c r="N42" s="160">
        <f>IF('Datos_fuente'!L42="","",LN('Datos_fuente'!L42))</f>
        <v/>
      </c>
      <c r="O42" s="160">
        <f>IF(OR(N42="",N41=""),"",N42-N41)</f>
        <v/>
      </c>
      <c r="P42" s="162">
        <f>'Datos_fuente'!M42</f>
        <v/>
      </c>
      <c r="Q42" s="160">
        <f>IF('Datos_fuente'!N42="","",LN('Datos_fuente'!N42))</f>
        <v/>
      </c>
      <c r="R42" s="160">
        <f>IF(OR(Q42="",Q41=""),"",Q42-Q41)</f>
        <v/>
      </c>
      <c r="S42" s="161">
        <f>'Datos_fuente'!P42</f>
        <v/>
      </c>
      <c r="T42" s="161">
        <f>IF(OR(S42="",S41=""),"",S42-S41)</f>
        <v/>
      </c>
      <c r="U42" s="160">
        <f>IF('Datos_fuente'!Q42="","",ASINH('Datos_fuente'!Q42/1000))</f>
        <v/>
      </c>
      <c r="V42" s="160">
        <f>IF(OR(U42="",U41=""),"",U42-U41)</f>
        <v/>
      </c>
      <c r="W42" s="160">
        <f>IF('Datos_fuente'!R42="","",ASINH('Datos_fuente'!R42/1000))</f>
        <v/>
      </c>
      <c r="X42" s="160">
        <f>IF(OR(W42="",W41=""),"",W42-W41)</f>
        <v/>
      </c>
      <c r="Y42" s="161">
        <f>'Datos_fuente'!W42</f>
        <v/>
      </c>
      <c r="Z42" s="161">
        <f>IF(OR(Y42="",Y41=""),"",Y42-Y41)</f>
        <v/>
      </c>
      <c r="AA42" s="160">
        <f>'Datos_fuente'!AB42</f>
        <v/>
      </c>
      <c r="AB42" s="160">
        <f>'Datos_fuente'!AC42</f>
        <v/>
      </c>
      <c r="AC42" s="160">
        <f>IF('Datos_fuente'!AD42="","",LN('Datos_fuente'!AD42))</f>
        <v/>
      </c>
      <c r="AD42" s="160">
        <f>IF(OR(AC42="",AC41=""),"",AC42-AC41)</f>
        <v/>
      </c>
      <c r="AE42" s="160">
        <f>IF('Datos_fuente'!AE42="","",LN('Datos_fuente'!AE42))</f>
        <v/>
      </c>
      <c r="AF42" s="160">
        <f>IF(OR(AE42="",AE41=""),"",AE42-AE41)</f>
        <v/>
      </c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'Datos_fuente'!A43</f>
        <v/>
      </c>
      <c r="B43" s="160">
        <f>IF('Datos_fuente'!B43="","",LN('Datos_fuente'!B43))</f>
        <v/>
      </c>
      <c r="C43" s="160">
        <f>IF(OR(B43="",B42=""),"",B43-B42)</f>
        <v/>
      </c>
      <c r="D43" s="160">
        <f>IF('Datos_fuente'!C43="","",LN('Datos_fuente'!C43))</f>
        <v/>
      </c>
      <c r="E43" s="160">
        <f>IF(OR(D43="",D42=""),"",D43-D42)</f>
        <v/>
      </c>
      <c r="F43" s="160">
        <f>IF('Datos_fuente'!E43="","",LN('Datos_fuente'!E43))</f>
        <v/>
      </c>
      <c r="G43" s="160">
        <f>IF(OR(F43="",F42=""),"",F43-F42)</f>
        <v/>
      </c>
      <c r="H43" s="161">
        <f>'Datos_fuente'!H43</f>
        <v/>
      </c>
      <c r="I43" s="161">
        <f>IF(OR(H43="",H42=""),"",H43-H42)</f>
        <v/>
      </c>
      <c r="J43" s="161">
        <f>'Datos_fuente'!J43</f>
        <v/>
      </c>
      <c r="K43" s="161">
        <f>IF(OR(J43="",J42=""),"",J43-J42)</f>
        <v/>
      </c>
      <c r="L43" s="160">
        <f>IF('Datos_fuente'!K43="","",LN('Datos_fuente'!K43))</f>
        <v/>
      </c>
      <c r="M43" s="160">
        <f>IF(OR(L43="",L42=""),"",L43-L42)</f>
        <v/>
      </c>
      <c r="N43" s="160">
        <f>IF('Datos_fuente'!L43="","",LN('Datos_fuente'!L43))</f>
        <v/>
      </c>
      <c r="O43" s="160">
        <f>IF(OR(N43="",N42=""),"",N43-N42)</f>
        <v/>
      </c>
      <c r="P43" s="162">
        <f>'Datos_fuente'!M43</f>
        <v/>
      </c>
      <c r="Q43" s="160">
        <f>IF('Datos_fuente'!N43="","",LN('Datos_fuente'!N43))</f>
        <v/>
      </c>
      <c r="R43" s="160">
        <f>IF(OR(Q43="",Q42=""),"",Q43-Q42)</f>
        <v/>
      </c>
      <c r="S43" s="161">
        <f>'Datos_fuente'!P43</f>
        <v/>
      </c>
      <c r="T43" s="161">
        <f>IF(OR(S43="",S42=""),"",S43-S42)</f>
        <v/>
      </c>
      <c r="U43" s="160">
        <f>IF('Datos_fuente'!Q43="","",ASINH('Datos_fuente'!Q43/1000))</f>
        <v/>
      </c>
      <c r="V43" s="160">
        <f>IF(OR(U43="",U42=""),"",U43-U42)</f>
        <v/>
      </c>
      <c r="W43" s="160">
        <f>IF('Datos_fuente'!R43="","",ASINH('Datos_fuente'!R43/1000))</f>
        <v/>
      </c>
      <c r="X43" s="160">
        <f>IF(OR(W43="",W42=""),"",W43-W42)</f>
        <v/>
      </c>
      <c r="Y43" s="161">
        <f>'Datos_fuente'!W43</f>
        <v/>
      </c>
      <c r="Z43" s="161">
        <f>IF(OR(Y43="",Y42=""),"",Y43-Y42)</f>
        <v/>
      </c>
      <c r="AA43" s="160">
        <f>'Datos_fuente'!AB43</f>
        <v/>
      </c>
      <c r="AB43" s="160">
        <f>'Datos_fuente'!AC43</f>
        <v/>
      </c>
      <c r="AC43" s="160">
        <f>IF('Datos_fuente'!AD43="","",LN('Datos_fuente'!AD43))</f>
        <v/>
      </c>
      <c r="AD43" s="160">
        <f>IF(OR(AC43="",AC42=""),"",AC43-AC42)</f>
        <v/>
      </c>
      <c r="AE43" s="160">
        <f>IF('Datos_fuente'!AE43="","",LN('Datos_fuente'!AE43))</f>
        <v/>
      </c>
      <c r="AF43" s="160">
        <f>IF(OR(AE43="",AE42=""),"",AE43-AE42)</f>
        <v/>
      </c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'Datos_fuente'!A44</f>
        <v/>
      </c>
      <c r="B44" s="160">
        <f>IF('Datos_fuente'!B44="","",LN('Datos_fuente'!B44))</f>
        <v/>
      </c>
      <c r="C44" s="160">
        <f>IF(OR(B44="",B43=""),"",B44-B43)</f>
        <v/>
      </c>
      <c r="D44" s="160">
        <f>IF('Datos_fuente'!C44="","",LN('Datos_fuente'!C44))</f>
        <v/>
      </c>
      <c r="E44" s="160">
        <f>IF(OR(D44="",D43=""),"",D44-D43)</f>
        <v/>
      </c>
      <c r="F44" s="160">
        <f>IF('Datos_fuente'!E44="","",LN('Datos_fuente'!E44))</f>
        <v/>
      </c>
      <c r="G44" s="160">
        <f>IF(OR(F44="",F43=""),"",F44-F43)</f>
        <v/>
      </c>
      <c r="H44" s="161">
        <f>'Datos_fuente'!H44</f>
        <v/>
      </c>
      <c r="I44" s="161">
        <f>IF(OR(H44="",H43=""),"",H44-H43)</f>
        <v/>
      </c>
      <c r="J44" s="161">
        <f>'Datos_fuente'!J44</f>
        <v/>
      </c>
      <c r="K44" s="161">
        <f>IF(OR(J44="",J43=""),"",J44-J43)</f>
        <v/>
      </c>
      <c r="L44" s="160">
        <f>IF('Datos_fuente'!K44="","",LN('Datos_fuente'!K44))</f>
        <v/>
      </c>
      <c r="M44" s="160">
        <f>IF(OR(L44="",L43=""),"",L44-L43)</f>
        <v/>
      </c>
      <c r="N44" s="160">
        <f>IF('Datos_fuente'!L44="","",LN('Datos_fuente'!L44))</f>
        <v/>
      </c>
      <c r="O44" s="160">
        <f>IF(OR(N44="",N43=""),"",N44-N43)</f>
        <v/>
      </c>
      <c r="P44" s="162">
        <f>'Datos_fuente'!M44</f>
        <v/>
      </c>
      <c r="Q44" s="160">
        <f>IF('Datos_fuente'!N44="","",LN('Datos_fuente'!N44))</f>
        <v/>
      </c>
      <c r="R44" s="160">
        <f>IF(OR(Q44="",Q43=""),"",Q44-Q43)</f>
        <v/>
      </c>
      <c r="S44" s="161">
        <f>'Datos_fuente'!P44</f>
        <v/>
      </c>
      <c r="T44" s="161">
        <f>IF(OR(S44="",S43=""),"",S44-S43)</f>
        <v/>
      </c>
      <c r="U44" s="160">
        <f>IF('Datos_fuente'!Q44="","",ASINH('Datos_fuente'!Q44/1000))</f>
        <v/>
      </c>
      <c r="V44" s="160">
        <f>IF(OR(U44="",U43=""),"",U44-U43)</f>
        <v/>
      </c>
      <c r="W44" s="160">
        <f>IF('Datos_fuente'!R44="","",ASINH('Datos_fuente'!R44/1000))</f>
        <v/>
      </c>
      <c r="X44" s="160">
        <f>IF(OR(W44="",W43=""),"",W44-W43)</f>
        <v/>
      </c>
      <c r="Y44" s="161">
        <f>'Datos_fuente'!W44</f>
        <v/>
      </c>
      <c r="Z44" s="161">
        <f>IF(OR(Y44="",Y43=""),"",Y44-Y43)</f>
        <v/>
      </c>
      <c r="AA44" s="160">
        <f>'Datos_fuente'!AB44</f>
        <v/>
      </c>
      <c r="AB44" s="160">
        <f>'Datos_fuente'!AC44</f>
        <v/>
      </c>
      <c r="AC44" s="160">
        <f>IF('Datos_fuente'!AD44="","",LN('Datos_fuente'!AD44))</f>
        <v/>
      </c>
      <c r="AD44" s="160">
        <f>IF(OR(AC44="",AC43=""),"",AC44-AC43)</f>
        <v/>
      </c>
      <c r="AE44" s="160">
        <f>IF('Datos_fuente'!AE44="","",LN('Datos_fuente'!AE44))</f>
        <v/>
      </c>
      <c r="AF44" s="160">
        <f>IF(OR(AE44="",AE43=""),"",AE44-AE43)</f>
        <v/>
      </c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'Datos_fuente'!A45</f>
        <v/>
      </c>
      <c r="B45" s="160">
        <f>IF('Datos_fuente'!B45="","",LN('Datos_fuente'!B45))</f>
        <v/>
      </c>
      <c r="C45" s="160">
        <f>IF(OR(B45="",B44=""),"",B45-B44)</f>
        <v/>
      </c>
      <c r="D45" s="160">
        <f>IF('Datos_fuente'!C45="","",LN('Datos_fuente'!C45))</f>
        <v/>
      </c>
      <c r="E45" s="160">
        <f>IF(OR(D45="",D44=""),"",D45-D44)</f>
        <v/>
      </c>
      <c r="F45" s="160">
        <f>IF('Datos_fuente'!E45="","",LN('Datos_fuente'!E45))</f>
        <v/>
      </c>
      <c r="G45" s="160">
        <f>IF(OR(F45="",F44=""),"",F45-F44)</f>
        <v/>
      </c>
      <c r="H45" s="161">
        <f>'Datos_fuente'!H45</f>
        <v/>
      </c>
      <c r="I45" s="161">
        <f>IF(OR(H45="",H44=""),"",H45-H44)</f>
        <v/>
      </c>
      <c r="J45" s="161">
        <f>'Datos_fuente'!J45</f>
        <v/>
      </c>
      <c r="K45" s="161">
        <f>IF(OR(J45="",J44=""),"",J45-J44)</f>
        <v/>
      </c>
      <c r="L45" s="160">
        <f>IF('Datos_fuente'!K45="","",LN('Datos_fuente'!K45))</f>
        <v/>
      </c>
      <c r="M45" s="160">
        <f>IF(OR(L45="",L44=""),"",L45-L44)</f>
        <v/>
      </c>
      <c r="N45" s="160">
        <f>IF('Datos_fuente'!L45="","",LN('Datos_fuente'!L45))</f>
        <v/>
      </c>
      <c r="O45" s="160">
        <f>IF(OR(N45="",N44=""),"",N45-N44)</f>
        <v/>
      </c>
      <c r="P45" s="162">
        <f>'Datos_fuente'!M45</f>
        <v/>
      </c>
      <c r="Q45" s="160">
        <f>IF('Datos_fuente'!N45="","",LN('Datos_fuente'!N45))</f>
        <v/>
      </c>
      <c r="R45" s="160">
        <f>IF(OR(Q45="",Q44=""),"",Q45-Q44)</f>
        <v/>
      </c>
      <c r="S45" s="161">
        <f>'Datos_fuente'!P45</f>
        <v/>
      </c>
      <c r="T45" s="161">
        <f>IF(OR(S45="",S44=""),"",S45-S44)</f>
        <v/>
      </c>
      <c r="U45" s="160">
        <f>IF('Datos_fuente'!Q45="","",ASINH('Datos_fuente'!Q45/1000))</f>
        <v/>
      </c>
      <c r="V45" s="160">
        <f>IF(OR(U45="",U44=""),"",U45-U44)</f>
        <v/>
      </c>
      <c r="W45" s="160">
        <f>IF('Datos_fuente'!R45="","",ASINH('Datos_fuente'!R45/1000))</f>
        <v/>
      </c>
      <c r="X45" s="160">
        <f>IF(OR(W45="",W44=""),"",W45-W44)</f>
        <v/>
      </c>
      <c r="Y45" s="161">
        <f>'Datos_fuente'!W45</f>
        <v/>
      </c>
      <c r="Z45" s="161">
        <f>IF(OR(Y45="",Y44=""),"",Y45-Y44)</f>
        <v/>
      </c>
      <c r="AA45" s="160">
        <f>'Datos_fuente'!AB45</f>
        <v/>
      </c>
      <c r="AB45" s="160">
        <f>'Datos_fuente'!AC45</f>
        <v/>
      </c>
      <c r="AC45" s="160">
        <f>IF('Datos_fuente'!AD45="","",LN('Datos_fuente'!AD45))</f>
        <v/>
      </c>
      <c r="AD45" s="160">
        <f>IF(OR(AC45="",AC44=""),"",AC45-AC44)</f>
        <v/>
      </c>
      <c r="AE45" s="160">
        <f>IF('Datos_fuente'!AE45="","",LN('Datos_fuente'!AE45))</f>
        <v/>
      </c>
      <c r="AF45" s="160">
        <f>IF(OR(AE45="",AE44=""),"",AE45-AE44)</f>
        <v/>
      </c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'Datos_fuente'!A46</f>
        <v/>
      </c>
      <c r="B46" s="160">
        <f>IF('Datos_fuente'!B46="","",LN('Datos_fuente'!B46))</f>
        <v/>
      </c>
      <c r="C46" s="160">
        <f>IF(OR(B46="",B45=""),"",B46-B45)</f>
        <v/>
      </c>
      <c r="D46" s="160">
        <f>IF('Datos_fuente'!C46="","",LN('Datos_fuente'!C46))</f>
        <v/>
      </c>
      <c r="E46" s="160">
        <f>IF(OR(D46="",D45=""),"",D46-D45)</f>
        <v/>
      </c>
      <c r="F46" s="160">
        <f>IF('Datos_fuente'!E46="","",LN('Datos_fuente'!E46))</f>
        <v/>
      </c>
      <c r="G46" s="160">
        <f>IF(OR(F46="",F45=""),"",F46-F45)</f>
        <v/>
      </c>
      <c r="H46" s="161">
        <f>'Datos_fuente'!H46</f>
        <v/>
      </c>
      <c r="I46" s="161">
        <f>IF(OR(H46="",H45=""),"",H46-H45)</f>
        <v/>
      </c>
      <c r="J46" s="161">
        <f>'Datos_fuente'!J46</f>
        <v/>
      </c>
      <c r="K46" s="161">
        <f>IF(OR(J46="",J45=""),"",J46-J45)</f>
        <v/>
      </c>
      <c r="L46" s="160">
        <f>IF('Datos_fuente'!K46="","",LN('Datos_fuente'!K46))</f>
        <v/>
      </c>
      <c r="M46" s="160">
        <f>IF(OR(L46="",L45=""),"",L46-L45)</f>
        <v/>
      </c>
      <c r="N46" s="160">
        <f>IF('Datos_fuente'!L46="","",LN('Datos_fuente'!L46))</f>
        <v/>
      </c>
      <c r="O46" s="160">
        <f>IF(OR(N46="",N45=""),"",N46-N45)</f>
        <v/>
      </c>
      <c r="P46" s="162">
        <f>'Datos_fuente'!M46</f>
        <v/>
      </c>
      <c r="Q46" s="160">
        <f>IF('Datos_fuente'!N46="","",LN('Datos_fuente'!N46))</f>
        <v/>
      </c>
      <c r="R46" s="160">
        <f>IF(OR(Q46="",Q45=""),"",Q46-Q45)</f>
        <v/>
      </c>
      <c r="S46" s="161">
        <f>'Datos_fuente'!P46</f>
        <v/>
      </c>
      <c r="T46" s="161">
        <f>IF(OR(S46="",S45=""),"",S46-S45)</f>
        <v/>
      </c>
      <c r="U46" s="160">
        <f>IF('Datos_fuente'!Q46="","",ASINH('Datos_fuente'!Q46/1000))</f>
        <v/>
      </c>
      <c r="V46" s="160">
        <f>IF(OR(U46="",U45=""),"",U46-U45)</f>
        <v/>
      </c>
      <c r="W46" s="160">
        <f>IF('Datos_fuente'!R46="","",ASINH('Datos_fuente'!R46/1000))</f>
        <v/>
      </c>
      <c r="X46" s="160">
        <f>IF(OR(W46="",W45=""),"",W46-W45)</f>
        <v/>
      </c>
      <c r="Y46" s="161">
        <f>'Datos_fuente'!W46</f>
        <v/>
      </c>
      <c r="Z46" s="161">
        <f>IF(OR(Y46="",Y45=""),"",Y46-Y45)</f>
        <v/>
      </c>
      <c r="AA46" s="160">
        <f>'Datos_fuente'!AB46</f>
        <v/>
      </c>
      <c r="AB46" s="160">
        <f>'Datos_fuente'!AC46</f>
        <v/>
      </c>
      <c r="AC46" s="160">
        <f>IF('Datos_fuente'!AD46="","",LN('Datos_fuente'!AD46))</f>
        <v/>
      </c>
      <c r="AD46" s="160">
        <f>IF(OR(AC46="",AC45=""),"",AC46-AC45)</f>
        <v/>
      </c>
      <c r="AE46" s="160">
        <f>IF('Datos_fuente'!AE46="","",LN('Datos_fuente'!AE46))</f>
        <v/>
      </c>
      <c r="AF46" s="160">
        <f>IF(OR(AE46="",AE45=""),"",AE46-AE45)</f>
        <v/>
      </c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'Datos_fuente'!A47</f>
        <v/>
      </c>
      <c r="B47" s="160">
        <f>IF('Datos_fuente'!B47="","",LN('Datos_fuente'!B47))</f>
        <v/>
      </c>
      <c r="C47" s="160">
        <f>IF(OR(B47="",B46=""),"",B47-B46)</f>
        <v/>
      </c>
      <c r="D47" s="160">
        <f>IF('Datos_fuente'!C47="","",LN('Datos_fuente'!C47))</f>
        <v/>
      </c>
      <c r="E47" s="160">
        <f>IF(OR(D47="",D46=""),"",D47-D46)</f>
        <v/>
      </c>
      <c r="F47" s="160">
        <f>IF('Datos_fuente'!E47="","",LN('Datos_fuente'!E47))</f>
        <v/>
      </c>
      <c r="G47" s="160">
        <f>IF(OR(F47="",F46=""),"",F47-F46)</f>
        <v/>
      </c>
      <c r="H47" s="161">
        <f>'Datos_fuente'!H47</f>
        <v/>
      </c>
      <c r="I47" s="161">
        <f>IF(OR(H47="",H46=""),"",H47-H46)</f>
        <v/>
      </c>
      <c r="J47" s="161">
        <f>'Datos_fuente'!J47</f>
        <v/>
      </c>
      <c r="K47" s="161">
        <f>IF(OR(J47="",J46=""),"",J47-J46)</f>
        <v/>
      </c>
      <c r="L47" s="160">
        <f>IF('Datos_fuente'!K47="","",LN('Datos_fuente'!K47))</f>
        <v/>
      </c>
      <c r="M47" s="160">
        <f>IF(OR(L47="",L46=""),"",L47-L46)</f>
        <v/>
      </c>
      <c r="N47" s="160">
        <f>IF('Datos_fuente'!L47="","",LN('Datos_fuente'!L47))</f>
        <v/>
      </c>
      <c r="O47" s="160">
        <f>IF(OR(N47="",N46=""),"",N47-N46)</f>
        <v/>
      </c>
      <c r="P47" s="162">
        <f>'Datos_fuente'!M47</f>
        <v/>
      </c>
      <c r="Q47" s="160">
        <f>IF('Datos_fuente'!N47="","",LN('Datos_fuente'!N47))</f>
        <v/>
      </c>
      <c r="R47" s="160">
        <f>IF(OR(Q47="",Q46=""),"",Q47-Q46)</f>
        <v/>
      </c>
      <c r="S47" s="161">
        <f>'Datos_fuente'!P47</f>
        <v/>
      </c>
      <c r="T47" s="161">
        <f>IF(OR(S47="",S46=""),"",S47-S46)</f>
        <v/>
      </c>
      <c r="U47" s="160">
        <f>IF('Datos_fuente'!Q47="","",ASINH('Datos_fuente'!Q47/1000))</f>
        <v/>
      </c>
      <c r="V47" s="160">
        <f>IF(OR(U47="",U46=""),"",U47-U46)</f>
        <v/>
      </c>
      <c r="W47" s="160">
        <f>IF('Datos_fuente'!R47="","",ASINH('Datos_fuente'!R47/1000))</f>
        <v/>
      </c>
      <c r="X47" s="160">
        <f>IF(OR(W47="",W46=""),"",W47-W46)</f>
        <v/>
      </c>
      <c r="Y47" s="161">
        <f>'Datos_fuente'!W47</f>
        <v/>
      </c>
      <c r="Z47" s="161">
        <f>IF(OR(Y47="",Y46=""),"",Y47-Y46)</f>
        <v/>
      </c>
      <c r="AA47" s="160">
        <f>'Datos_fuente'!AB47</f>
        <v/>
      </c>
      <c r="AB47" s="160">
        <f>'Datos_fuente'!AC47</f>
        <v/>
      </c>
      <c r="AC47" s="160">
        <f>IF('Datos_fuente'!AD47="","",LN('Datos_fuente'!AD47))</f>
        <v/>
      </c>
      <c r="AD47" s="160">
        <f>IF(OR(AC47="",AC46=""),"",AC47-AC46)</f>
        <v/>
      </c>
      <c r="AE47" s="160">
        <f>IF('Datos_fuente'!AE47="","",LN('Datos_fuente'!AE47))</f>
        <v/>
      </c>
      <c r="AF47" s="160">
        <f>IF(OR(AE47="",AE46=""),"",AE47-AE46)</f>
        <v/>
      </c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'Datos_fuente'!A48</f>
        <v/>
      </c>
      <c r="B48" s="160">
        <f>IF('Datos_fuente'!B48="","",LN('Datos_fuente'!B48))</f>
        <v/>
      </c>
      <c r="C48" s="160">
        <f>IF(OR(B48="",B47=""),"",B48-B47)</f>
        <v/>
      </c>
      <c r="D48" s="160">
        <f>IF('Datos_fuente'!C48="","",LN('Datos_fuente'!C48))</f>
        <v/>
      </c>
      <c r="E48" s="160">
        <f>IF(OR(D48="",D47=""),"",D48-D47)</f>
        <v/>
      </c>
      <c r="F48" s="160">
        <f>IF('Datos_fuente'!E48="","",LN('Datos_fuente'!E48))</f>
        <v/>
      </c>
      <c r="G48" s="160">
        <f>IF(OR(F48="",F47=""),"",F48-F47)</f>
        <v/>
      </c>
      <c r="H48" s="161">
        <f>'Datos_fuente'!H48</f>
        <v/>
      </c>
      <c r="I48" s="161">
        <f>IF(OR(H48="",H47=""),"",H48-H47)</f>
        <v/>
      </c>
      <c r="J48" s="161">
        <f>'Datos_fuente'!J48</f>
        <v/>
      </c>
      <c r="K48" s="161">
        <f>IF(OR(J48="",J47=""),"",J48-J47)</f>
        <v/>
      </c>
      <c r="L48" s="160">
        <f>IF('Datos_fuente'!K48="","",LN('Datos_fuente'!K48))</f>
        <v/>
      </c>
      <c r="M48" s="160">
        <f>IF(OR(L48="",L47=""),"",L48-L47)</f>
        <v/>
      </c>
      <c r="N48" s="160">
        <f>IF('Datos_fuente'!L48="","",LN('Datos_fuente'!L48))</f>
        <v/>
      </c>
      <c r="O48" s="160">
        <f>IF(OR(N48="",N47=""),"",N48-N47)</f>
        <v/>
      </c>
      <c r="P48" s="162">
        <f>'Datos_fuente'!M48</f>
        <v/>
      </c>
      <c r="Q48" s="160">
        <f>IF('Datos_fuente'!N48="","",LN('Datos_fuente'!N48))</f>
        <v/>
      </c>
      <c r="R48" s="160">
        <f>IF(OR(Q48="",Q47=""),"",Q48-Q47)</f>
        <v/>
      </c>
      <c r="S48" s="161">
        <f>'Datos_fuente'!P48</f>
        <v/>
      </c>
      <c r="T48" s="161">
        <f>IF(OR(S48="",S47=""),"",S48-S47)</f>
        <v/>
      </c>
      <c r="U48" s="160">
        <f>IF('Datos_fuente'!Q48="","",ASINH('Datos_fuente'!Q48/1000))</f>
        <v/>
      </c>
      <c r="V48" s="160">
        <f>IF(OR(U48="",U47=""),"",U48-U47)</f>
        <v/>
      </c>
      <c r="W48" s="160">
        <f>IF('Datos_fuente'!R48="","",ASINH('Datos_fuente'!R48/1000))</f>
        <v/>
      </c>
      <c r="X48" s="160">
        <f>IF(OR(W48="",W47=""),"",W48-W47)</f>
        <v/>
      </c>
      <c r="Y48" s="161">
        <f>'Datos_fuente'!W48</f>
        <v/>
      </c>
      <c r="Z48" s="161">
        <f>IF(OR(Y48="",Y47=""),"",Y48-Y47)</f>
        <v/>
      </c>
      <c r="AA48" s="160">
        <f>'Datos_fuente'!AB48</f>
        <v/>
      </c>
      <c r="AB48" s="160">
        <f>'Datos_fuente'!AC48</f>
        <v/>
      </c>
      <c r="AC48" s="160">
        <f>IF('Datos_fuente'!AD48="","",LN('Datos_fuente'!AD48))</f>
        <v/>
      </c>
      <c r="AD48" s="160">
        <f>IF(OR(AC48="",AC47=""),"",AC48-AC47)</f>
        <v/>
      </c>
      <c r="AE48" s="160">
        <f>IF('Datos_fuente'!AE48="","",LN('Datos_fuente'!AE48))</f>
        <v/>
      </c>
      <c r="AF48" s="160">
        <f>IF(OR(AE48="",AE47=""),"",AE48-AE47)</f>
        <v/>
      </c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'Datos_fuente'!A49</f>
        <v/>
      </c>
      <c r="B49" s="160">
        <f>IF('Datos_fuente'!B49="","",LN('Datos_fuente'!B49))</f>
        <v/>
      </c>
      <c r="C49" s="160">
        <f>IF(OR(B49="",B48=""),"",B49-B48)</f>
        <v/>
      </c>
      <c r="D49" s="160">
        <f>IF('Datos_fuente'!C49="","",LN('Datos_fuente'!C49))</f>
        <v/>
      </c>
      <c r="E49" s="160">
        <f>IF(OR(D49="",D48=""),"",D49-D48)</f>
        <v/>
      </c>
      <c r="F49" s="160">
        <f>IF('Datos_fuente'!E49="","",LN('Datos_fuente'!E49))</f>
        <v/>
      </c>
      <c r="G49" s="160">
        <f>IF(OR(F49="",F48=""),"",F49-F48)</f>
        <v/>
      </c>
      <c r="H49" s="161">
        <f>'Datos_fuente'!H49</f>
        <v/>
      </c>
      <c r="I49" s="161">
        <f>IF(OR(H49="",H48=""),"",H49-H48)</f>
        <v/>
      </c>
      <c r="J49" s="161">
        <f>'Datos_fuente'!J49</f>
        <v/>
      </c>
      <c r="K49" s="161">
        <f>IF(OR(J49="",J48=""),"",J49-J48)</f>
        <v/>
      </c>
      <c r="L49" s="160">
        <f>IF('Datos_fuente'!K49="","",LN('Datos_fuente'!K49))</f>
        <v/>
      </c>
      <c r="M49" s="160">
        <f>IF(OR(L49="",L48=""),"",L49-L48)</f>
        <v/>
      </c>
      <c r="N49" s="160">
        <f>IF('Datos_fuente'!L49="","",LN('Datos_fuente'!L49))</f>
        <v/>
      </c>
      <c r="O49" s="160">
        <f>IF(OR(N49="",N48=""),"",N49-N48)</f>
        <v/>
      </c>
      <c r="P49" s="162">
        <f>'Datos_fuente'!M49</f>
        <v/>
      </c>
      <c r="Q49" s="160">
        <f>IF('Datos_fuente'!N49="","",LN('Datos_fuente'!N49))</f>
        <v/>
      </c>
      <c r="R49" s="160">
        <f>IF(OR(Q49="",Q48=""),"",Q49-Q48)</f>
        <v/>
      </c>
      <c r="S49" s="161">
        <f>'Datos_fuente'!P49</f>
        <v/>
      </c>
      <c r="T49" s="161">
        <f>IF(OR(S49="",S48=""),"",S49-S48)</f>
        <v/>
      </c>
      <c r="U49" s="160">
        <f>IF('Datos_fuente'!Q49="","",ASINH('Datos_fuente'!Q49/1000))</f>
        <v/>
      </c>
      <c r="V49" s="160">
        <f>IF(OR(U49="",U48=""),"",U49-U48)</f>
        <v/>
      </c>
      <c r="W49" s="160">
        <f>IF('Datos_fuente'!R49="","",ASINH('Datos_fuente'!R49/1000))</f>
        <v/>
      </c>
      <c r="X49" s="160">
        <f>IF(OR(W49="",W48=""),"",W49-W48)</f>
        <v/>
      </c>
      <c r="Y49" s="161">
        <f>'Datos_fuente'!W49</f>
        <v/>
      </c>
      <c r="Z49" s="161">
        <f>IF(OR(Y49="",Y48=""),"",Y49-Y48)</f>
        <v/>
      </c>
      <c r="AA49" s="160">
        <f>'Datos_fuente'!AB49</f>
        <v/>
      </c>
      <c r="AB49" s="160">
        <f>'Datos_fuente'!AC49</f>
        <v/>
      </c>
      <c r="AC49" s="160">
        <f>IF('Datos_fuente'!AD49="","",LN('Datos_fuente'!AD49))</f>
        <v/>
      </c>
      <c r="AD49" s="160">
        <f>IF(OR(AC49="",AC48=""),"",AC49-AC48)</f>
        <v/>
      </c>
      <c r="AE49" s="160">
        <f>IF('Datos_fuente'!AE49="","",LN('Datos_fuente'!AE49))</f>
        <v/>
      </c>
      <c r="AF49" s="160">
        <f>IF(OR(AE49="",AE48=""),"",AE49-AE48)</f>
        <v/>
      </c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'Datos_fuente'!A50</f>
        <v/>
      </c>
      <c r="B50" s="160">
        <f>IF('Datos_fuente'!B50="","",LN('Datos_fuente'!B50))</f>
        <v/>
      </c>
      <c r="C50" s="160">
        <f>IF(OR(B50="",B49=""),"",B50-B49)</f>
        <v/>
      </c>
      <c r="D50" s="160">
        <f>IF('Datos_fuente'!C50="","",LN('Datos_fuente'!C50))</f>
        <v/>
      </c>
      <c r="E50" s="160">
        <f>IF(OR(D50="",D49=""),"",D50-D49)</f>
        <v/>
      </c>
      <c r="F50" s="160">
        <f>IF('Datos_fuente'!E50="","",LN('Datos_fuente'!E50))</f>
        <v/>
      </c>
      <c r="G50" s="160">
        <f>IF(OR(F50="",F49=""),"",F50-F49)</f>
        <v/>
      </c>
      <c r="H50" s="161">
        <f>'Datos_fuente'!H50</f>
        <v/>
      </c>
      <c r="I50" s="161">
        <f>IF(OR(H50="",H49=""),"",H50-H49)</f>
        <v/>
      </c>
      <c r="J50" s="161">
        <f>'Datos_fuente'!J50</f>
        <v/>
      </c>
      <c r="K50" s="161">
        <f>IF(OR(J50="",J49=""),"",J50-J49)</f>
        <v/>
      </c>
      <c r="L50" s="160">
        <f>IF('Datos_fuente'!K50="","",LN('Datos_fuente'!K50))</f>
        <v/>
      </c>
      <c r="M50" s="160">
        <f>IF(OR(L50="",L49=""),"",L50-L49)</f>
        <v/>
      </c>
      <c r="N50" s="160">
        <f>IF('Datos_fuente'!L50="","",LN('Datos_fuente'!L50))</f>
        <v/>
      </c>
      <c r="O50" s="160">
        <f>IF(OR(N50="",N49=""),"",N50-N49)</f>
        <v/>
      </c>
      <c r="P50" s="162">
        <f>'Datos_fuente'!M50</f>
        <v/>
      </c>
      <c r="Q50" s="160">
        <f>IF('Datos_fuente'!N50="","",LN('Datos_fuente'!N50))</f>
        <v/>
      </c>
      <c r="R50" s="160">
        <f>IF(OR(Q50="",Q49=""),"",Q50-Q49)</f>
        <v/>
      </c>
      <c r="S50" s="161">
        <f>'Datos_fuente'!P50</f>
        <v/>
      </c>
      <c r="T50" s="161">
        <f>IF(OR(S50="",S49=""),"",S50-S49)</f>
        <v/>
      </c>
      <c r="U50" s="160">
        <f>IF('Datos_fuente'!Q50="","",ASINH('Datos_fuente'!Q50/1000))</f>
        <v/>
      </c>
      <c r="V50" s="160">
        <f>IF(OR(U50="",U49=""),"",U50-U49)</f>
        <v/>
      </c>
      <c r="W50" s="160">
        <f>IF('Datos_fuente'!R50="","",ASINH('Datos_fuente'!R50/1000))</f>
        <v/>
      </c>
      <c r="X50" s="160">
        <f>IF(OR(W50="",W49=""),"",W50-W49)</f>
        <v/>
      </c>
      <c r="Y50" s="161">
        <f>'Datos_fuente'!W50</f>
        <v/>
      </c>
      <c r="Z50" s="161">
        <f>IF(OR(Y50="",Y49=""),"",Y50-Y49)</f>
        <v/>
      </c>
      <c r="AA50" s="160">
        <f>'Datos_fuente'!AB50</f>
        <v/>
      </c>
      <c r="AB50" s="160">
        <f>'Datos_fuente'!AC50</f>
        <v/>
      </c>
      <c r="AC50" s="160">
        <f>IF('Datos_fuente'!AD50="","",LN('Datos_fuente'!AD50))</f>
        <v/>
      </c>
      <c r="AD50" s="160">
        <f>IF(OR(AC50="",AC49=""),"",AC50-AC49)</f>
        <v/>
      </c>
      <c r="AE50" s="160">
        <f>IF('Datos_fuente'!AE50="","",LN('Datos_fuente'!AE50))</f>
        <v/>
      </c>
      <c r="AF50" s="160">
        <f>IF(OR(AE50="",AE49=""),"",AE50-AE49)</f>
        <v/>
      </c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'Datos_fuente'!A51</f>
        <v/>
      </c>
      <c r="B51" s="160">
        <f>IF('Datos_fuente'!B51="","",LN('Datos_fuente'!B51))</f>
        <v/>
      </c>
      <c r="C51" s="160">
        <f>IF(OR(B51="",B50=""),"",B51-B50)</f>
        <v/>
      </c>
      <c r="D51" s="160">
        <f>IF('Datos_fuente'!C51="","",LN('Datos_fuente'!C51))</f>
        <v/>
      </c>
      <c r="E51" s="160">
        <f>IF(OR(D51="",D50=""),"",D51-D50)</f>
        <v/>
      </c>
      <c r="F51" s="160">
        <f>IF('Datos_fuente'!E51="","",LN('Datos_fuente'!E51))</f>
        <v/>
      </c>
      <c r="G51" s="160">
        <f>IF(OR(F51="",F50=""),"",F51-F50)</f>
        <v/>
      </c>
      <c r="H51" s="161">
        <f>'Datos_fuente'!H51</f>
        <v/>
      </c>
      <c r="I51" s="161">
        <f>IF(OR(H51="",H50=""),"",H51-H50)</f>
        <v/>
      </c>
      <c r="J51" s="161">
        <f>'Datos_fuente'!J51</f>
        <v/>
      </c>
      <c r="K51" s="161">
        <f>IF(OR(J51="",J50=""),"",J51-J50)</f>
        <v/>
      </c>
      <c r="L51" s="160">
        <f>IF('Datos_fuente'!K51="","",LN('Datos_fuente'!K51))</f>
        <v/>
      </c>
      <c r="M51" s="160">
        <f>IF(OR(L51="",L50=""),"",L51-L50)</f>
        <v/>
      </c>
      <c r="N51" s="160">
        <f>IF('Datos_fuente'!L51="","",LN('Datos_fuente'!L51))</f>
        <v/>
      </c>
      <c r="O51" s="160">
        <f>IF(OR(N51="",N50=""),"",N51-N50)</f>
        <v/>
      </c>
      <c r="P51" s="162">
        <f>'Datos_fuente'!M51</f>
        <v/>
      </c>
      <c r="Q51" s="160">
        <f>IF('Datos_fuente'!N51="","",LN('Datos_fuente'!N51))</f>
        <v/>
      </c>
      <c r="R51" s="160">
        <f>IF(OR(Q51="",Q50=""),"",Q51-Q50)</f>
        <v/>
      </c>
      <c r="S51" s="161">
        <f>'Datos_fuente'!P51</f>
        <v/>
      </c>
      <c r="T51" s="161">
        <f>IF(OR(S51="",S50=""),"",S51-S50)</f>
        <v/>
      </c>
      <c r="U51" s="160">
        <f>IF('Datos_fuente'!Q51="","",ASINH('Datos_fuente'!Q51/1000))</f>
        <v/>
      </c>
      <c r="V51" s="160">
        <f>IF(OR(U51="",U50=""),"",U51-U50)</f>
        <v/>
      </c>
      <c r="W51" s="160">
        <f>IF('Datos_fuente'!R51="","",ASINH('Datos_fuente'!R51/1000))</f>
        <v/>
      </c>
      <c r="X51" s="160">
        <f>IF(OR(W51="",W50=""),"",W51-W50)</f>
        <v/>
      </c>
      <c r="Y51" s="161">
        <f>'Datos_fuente'!W51</f>
        <v/>
      </c>
      <c r="Z51" s="161">
        <f>IF(OR(Y51="",Y50=""),"",Y51-Y50)</f>
        <v/>
      </c>
      <c r="AA51" s="160">
        <f>'Datos_fuente'!AB51</f>
        <v/>
      </c>
      <c r="AB51" s="160">
        <f>'Datos_fuente'!AC51</f>
        <v/>
      </c>
      <c r="AC51" s="160">
        <f>IF('Datos_fuente'!AD51="","",LN('Datos_fuente'!AD51))</f>
        <v/>
      </c>
      <c r="AD51" s="160">
        <f>IF(OR(AC51="",AC50=""),"",AC51-AC50)</f>
        <v/>
      </c>
      <c r="AE51" s="160">
        <f>IF('Datos_fuente'!AE51="","",LN('Datos_fuente'!AE51))</f>
        <v/>
      </c>
      <c r="AF51" s="160">
        <f>IF(OR(AE51="",AE50=""),"",AE51-AE50)</f>
        <v/>
      </c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'Datos_fuente'!A52</f>
        <v/>
      </c>
      <c r="B52" s="160">
        <f>IF('Datos_fuente'!B52="","",LN('Datos_fuente'!B52))</f>
        <v/>
      </c>
      <c r="C52" s="160">
        <f>IF(OR(B52="",B51=""),"",B52-B51)</f>
        <v/>
      </c>
      <c r="D52" s="160">
        <f>IF('Datos_fuente'!C52="","",LN('Datos_fuente'!C52))</f>
        <v/>
      </c>
      <c r="E52" s="160">
        <f>IF(OR(D52="",D51=""),"",D52-D51)</f>
        <v/>
      </c>
      <c r="F52" s="160">
        <f>IF('Datos_fuente'!E52="","",LN('Datos_fuente'!E52))</f>
        <v/>
      </c>
      <c r="G52" s="160">
        <f>IF(OR(F52="",F51=""),"",F52-F51)</f>
        <v/>
      </c>
      <c r="H52" s="161">
        <f>'Datos_fuente'!H52</f>
        <v/>
      </c>
      <c r="I52" s="161">
        <f>IF(OR(H52="",H51=""),"",H52-H51)</f>
        <v/>
      </c>
      <c r="J52" s="161">
        <f>'Datos_fuente'!J52</f>
        <v/>
      </c>
      <c r="K52" s="161">
        <f>IF(OR(J52="",J51=""),"",J52-J51)</f>
        <v/>
      </c>
      <c r="L52" s="160">
        <f>IF('Datos_fuente'!K52="","",LN('Datos_fuente'!K52))</f>
        <v/>
      </c>
      <c r="M52" s="160">
        <f>IF(OR(L52="",L51=""),"",L52-L51)</f>
        <v/>
      </c>
      <c r="N52" s="160">
        <f>IF('Datos_fuente'!L52="","",LN('Datos_fuente'!L52))</f>
        <v/>
      </c>
      <c r="O52" s="160">
        <f>IF(OR(N52="",N51=""),"",N52-N51)</f>
        <v/>
      </c>
      <c r="P52" s="162">
        <f>'Datos_fuente'!M52</f>
        <v/>
      </c>
      <c r="Q52" s="160">
        <f>IF('Datos_fuente'!N52="","",LN('Datos_fuente'!N52))</f>
        <v/>
      </c>
      <c r="R52" s="160">
        <f>IF(OR(Q52="",Q51=""),"",Q52-Q51)</f>
        <v/>
      </c>
      <c r="S52" s="161">
        <f>'Datos_fuente'!P52</f>
        <v/>
      </c>
      <c r="T52" s="161">
        <f>IF(OR(S52="",S51=""),"",S52-S51)</f>
        <v/>
      </c>
      <c r="U52" s="160">
        <f>IF('Datos_fuente'!Q52="","",ASINH('Datos_fuente'!Q52/1000))</f>
        <v/>
      </c>
      <c r="V52" s="160">
        <f>IF(OR(U52="",U51=""),"",U52-U51)</f>
        <v/>
      </c>
      <c r="W52" s="160">
        <f>IF('Datos_fuente'!R52="","",ASINH('Datos_fuente'!R52/1000))</f>
        <v/>
      </c>
      <c r="X52" s="160">
        <f>IF(OR(W52="",W51=""),"",W52-W51)</f>
        <v/>
      </c>
      <c r="Y52" s="161">
        <f>'Datos_fuente'!W52</f>
        <v/>
      </c>
      <c r="Z52" s="161">
        <f>IF(OR(Y52="",Y51=""),"",Y52-Y51)</f>
        <v/>
      </c>
      <c r="AA52" s="160">
        <f>'Datos_fuente'!AB52</f>
        <v/>
      </c>
      <c r="AB52" s="160">
        <f>'Datos_fuente'!AC52</f>
        <v/>
      </c>
      <c r="AC52" s="160">
        <f>IF('Datos_fuente'!AD52="","",LN('Datos_fuente'!AD52))</f>
        <v/>
      </c>
      <c r="AD52" s="160">
        <f>IF(OR(AC52="",AC51=""),"",AC52-AC51)</f>
        <v/>
      </c>
      <c r="AE52" s="160">
        <f>IF('Datos_fuente'!AE52="","",LN('Datos_fuente'!AE52))</f>
        <v/>
      </c>
      <c r="AF52" s="160">
        <f>IF(OR(AE52="",AE51=""),"",AE52-AE51)</f>
        <v/>
      </c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'Datos_fuente'!A53</f>
        <v/>
      </c>
      <c r="B53" s="160">
        <f>IF('Datos_fuente'!B53="","",LN('Datos_fuente'!B53))</f>
        <v/>
      </c>
      <c r="C53" s="160">
        <f>IF(OR(B53="",B52=""),"",B53-B52)</f>
        <v/>
      </c>
      <c r="D53" s="160">
        <f>IF('Datos_fuente'!C53="","",LN('Datos_fuente'!C53))</f>
        <v/>
      </c>
      <c r="E53" s="160">
        <f>IF(OR(D53="",D52=""),"",D53-D52)</f>
        <v/>
      </c>
      <c r="F53" s="160">
        <f>IF('Datos_fuente'!E53="","",LN('Datos_fuente'!E53))</f>
        <v/>
      </c>
      <c r="G53" s="160">
        <f>IF(OR(F53="",F52=""),"",F53-F52)</f>
        <v/>
      </c>
      <c r="H53" s="161">
        <f>'Datos_fuente'!H53</f>
        <v/>
      </c>
      <c r="I53" s="161">
        <f>IF(OR(H53="",H52=""),"",H53-H52)</f>
        <v/>
      </c>
      <c r="J53" s="161">
        <f>'Datos_fuente'!J53</f>
        <v/>
      </c>
      <c r="K53" s="161">
        <f>IF(OR(J53="",J52=""),"",J53-J52)</f>
        <v/>
      </c>
      <c r="L53" s="160">
        <f>IF('Datos_fuente'!K53="","",LN('Datos_fuente'!K53))</f>
        <v/>
      </c>
      <c r="M53" s="160">
        <f>IF(OR(L53="",L52=""),"",L53-L52)</f>
        <v/>
      </c>
      <c r="N53" s="160">
        <f>IF('Datos_fuente'!L53="","",LN('Datos_fuente'!L53))</f>
        <v/>
      </c>
      <c r="O53" s="160">
        <f>IF(OR(N53="",N52=""),"",N53-N52)</f>
        <v/>
      </c>
      <c r="P53" s="162">
        <f>'Datos_fuente'!M53</f>
        <v/>
      </c>
      <c r="Q53" s="160">
        <f>IF('Datos_fuente'!N53="","",LN('Datos_fuente'!N53))</f>
        <v/>
      </c>
      <c r="R53" s="160">
        <f>IF(OR(Q53="",Q52=""),"",Q53-Q52)</f>
        <v/>
      </c>
      <c r="S53" s="161">
        <f>'Datos_fuente'!P53</f>
        <v/>
      </c>
      <c r="T53" s="161">
        <f>IF(OR(S53="",S52=""),"",S53-S52)</f>
        <v/>
      </c>
      <c r="U53" s="160">
        <f>IF('Datos_fuente'!Q53="","",ASINH('Datos_fuente'!Q53/1000))</f>
        <v/>
      </c>
      <c r="V53" s="160">
        <f>IF(OR(U53="",U52=""),"",U53-U52)</f>
        <v/>
      </c>
      <c r="W53" s="160">
        <f>IF('Datos_fuente'!R53="","",ASINH('Datos_fuente'!R53/1000))</f>
        <v/>
      </c>
      <c r="X53" s="160">
        <f>IF(OR(W53="",W52=""),"",W53-W52)</f>
        <v/>
      </c>
      <c r="Y53" s="161">
        <f>'Datos_fuente'!W53</f>
        <v/>
      </c>
      <c r="Z53" s="161">
        <f>IF(OR(Y53="",Y52=""),"",Y53-Y52)</f>
        <v/>
      </c>
      <c r="AA53" s="160">
        <f>'Datos_fuente'!AB53</f>
        <v/>
      </c>
      <c r="AB53" s="160">
        <f>'Datos_fuente'!AC53</f>
        <v/>
      </c>
      <c r="AC53" s="160">
        <f>IF('Datos_fuente'!AD53="","",LN('Datos_fuente'!AD53))</f>
        <v/>
      </c>
      <c r="AD53" s="160">
        <f>IF(OR(AC53="",AC52=""),"",AC53-AC52)</f>
        <v/>
      </c>
      <c r="AE53" s="160">
        <f>IF('Datos_fuente'!AE53="","",LN('Datos_fuente'!AE53))</f>
        <v/>
      </c>
      <c r="AF53" s="160">
        <f>IF(OR(AE53="",AE52=""),"",AE53-AE52)</f>
        <v/>
      </c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'Datos_fuente'!A54</f>
        <v/>
      </c>
      <c r="B54" s="160">
        <f>IF('Datos_fuente'!B54="","",LN('Datos_fuente'!B54))</f>
        <v/>
      </c>
      <c r="C54" s="160">
        <f>IF(OR(B54="",B53=""),"",B54-B53)</f>
        <v/>
      </c>
      <c r="D54" s="160">
        <f>IF('Datos_fuente'!C54="","",LN('Datos_fuente'!C54))</f>
        <v/>
      </c>
      <c r="E54" s="160">
        <f>IF(OR(D54="",D53=""),"",D54-D53)</f>
        <v/>
      </c>
      <c r="F54" s="160">
        <f>IF('Datos_fuente'!E54="","",LN('Datos_fuente'!E54))</f>
        <v/>
      </c>
      <c r="G54" s="160">
        <f>IF(OR(F54="",F53=""),"",F54-F53)</f>
        <v/>
      </c>
      <c r="H54" s="161">
        <f>'Datos_fuente'!H54</f>
        <v/>
      </c>
      <c r="I54" s="161">
        <f>IF(OR(H54="",H53=""),"",H54-H53)</f>
        <v/>
      </c>
      <c r="J54" s="161">
        <f>'Datos_fuente'!J54</f>
        <v/>
      </c>
      <c r="K54" s="161">
        <f>IF(OR(J54="",J53=""),"",J54-J53)</f>
        <v/>
      </c>
      <c r="L54" s="160">
        <f>IF('Datos_fuente'!K54="","",LN('Datos_fuente'!K54))</f>
        <v/>
      </c>
      <c r="M54" s="160">
        <f>IF(OR(L54="",L53=""),"",L54-L53)</f>
        <v/>
      </c>
      <c r="N54" s="160">
        <f>IF('Datos_fuente'!L54="","",LN('Datos_fuente'!L54))</f>
        <v/>
      </c>
      <c r="O54" s="160">
        <f>IF(OR(N54="",N53=""),"",N54-N53)</f>
        <v/>
      </c>
      <c r="P54" s="162">
        <f>'Datos_fuente'!M54</f>
        <v/>
      </c>
      <c r="Q54" s="160">
        <f>IF('Datos_fuente'!N54="","",LN('Datos_fuente'!N54))</f>
        <v/>
      </c>
      <c r="R54" s="160">
        <f>IF(OR(Q54="",Q53=""),"",Q54-Q53)</f>
        <v/>
      </c>
      <c r="S54" s="161">
        <f>'Datos_fuente'!P54</f>
        <v/>
      </c>
      <c r="T54" s="161">
        <f>IF(OR(S54="",S53=""),"",S54-S53)</f>
        <v/>
      </c>
      <c r="U54" s="160">
        <f>IF('Datos_fuente'!Q54="","",ASINH('Datos_fuente'!Q54/1000))</f>
        <v/>
      </c>
      <c r="V54" s="160">
        <f>IF(OR(U54="",U53=""),"",U54-U53)</f>
        <v/>
      </c>
      <c r="W54" s="160">
        <f>IF('Datos_fuente'!R54="","",ASINH('Datos_fuente'!R54/1000))</f>
        <v/>
      </c>
      <c r="X54" s="160">
        <f>IF(OR(W54="",W53=""),"",W54-W53)</f>
        <v/>
      </c>
      <c r="Y54" s="161">
        <f>'Datos_fuente'!W54</f>
        <v/>
      </c>
      <c r="Z54" s="161">
        <f>IF(OR(Y54="",Y53=""),"",Y54-Y53)</f>
        <v/>
      </c>
      <c r="AA54" s="160">
        <f>'Datos_fuente'!AB54</f>
        <v/>
      </c>
      <c r="AB54" s="160">
        <f>'Datos_fuente'!AC54</f>
        <v/>
      </c>
      <c r="AC54" s="160">
        <f>IF('Datos_fuente'!AD54="","",LN('Datos_fuente'!AD54))</f>
        <v/>
      </c>
      <c r="AD54" s="160">
        <f>IF(OR(AC54="",AC53=""),"",AC54-AC53)</f>
        <v/>
      </c>
      <c r="AE54" s="160">
        <f>IF('Datos_fuente'!AE54="","",LN('Datos_fuente'!AE54))</f>
        <v/>
      </c>
      <c r="AF54" s="160">
        <f>IF(OR(AE54="",AE53=""),"",AE54-AE53)</f>
        <v/>
      </c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'Datos_fuente'!A55</f>
        <v/>
      </c>
      <c r="B55" s="160">
        <f>IF('Datos_fuente'!B55="","",LN('Datos_fuente'!B55))</f>
        <v/>
      </c>
      <c r="C55" s="160">
        <f>IF(OR(B55="",B54=""),"",B55-B54)</f>
        <v/>
      </c>
      <c r="D55" s="160">
        <f>IF('Datos_fuente'!C55="","",LN('Datos_fuente'!C55))</f>
        <v/>
      </c>
      <c r="E55" s="160">
        <f>IF(OR(D55="",D54=""),"",D55-D54)</f>
        <v/>
      </c>
      <c r="F55" s="160">
        <f>IF('Datos_fuente'!E55="","",LN('Datos_fuente'!E55))</f>
        <v/>
      </c>
      <c r="G55" s="160">
        <f>IF(OR(F55="",F54=""),"",F55-F54)</f>
        <v/>
      </c>
      <c r="H55" s="161">
        <f>'Datos_fuente'!H55</f>
        <v/>
      </c>
      <c r="I55" s="161">
        <f>IF(OR(H55="",H54=""),"",H55-H54)</f>
        <v/>
      </c>
      <c r="J55" s="161">
        <f>'Datos_fuente'!J55</f>
        <v/>
      </c>
      <c r="K55" s="161">
        <f>IF(OR(J55="",J54=""),"",J55-J54)</f>
        <v/>
      </c>
      <c r="L55" s="160">
        <f>IF('Datos_fuente'!K55="","",LN('Datos_fuente'!K55))</f>
        <v/>
      </c>
      <c r="M55" s="160">
        <f>IF(OR(L55="",L54=""),"",L55-L54)</f>
        <v/>
      </c>
      <c r="N55" s="160">
        <f>IF('Datos_fuente'!L55="","",LN('Datos_fuente'!L55))</f>
        <v/>
      </c>
      <c r="O55" s="160">
        <f>IF(OR(N55="",N54=""),"",N55-N54)</f>
        <v/>
      </c>
      <c r="P55" s="162">
        <f>'Datos_fuente'!M55</f>
        <v/>
      </c>
      <c r="Q55" s="160">
        <f>IF('Datos_fuente'!N55="","",LN('Datos_fuente'!N55))</f>
        <v/>
      </c>
      <c r="R55" s="160">
        <f>IF(OR(Q55="",Q54=""),"",Q55-Q54)</f>
        <v/>
      </c>
      <c r="S55" s="161">
        <f>'Datos_fuente'!P55</f>
        <v/>
      </c>
      <c r="T55" s="161">
        <f>IF(OR(S55="",S54=""),"",S55-S54)</f>
        <v/>
      </c>
      <c r="U55" s="160">
        <f>IF('Datos_fuente'!Q55="","",ASINH('Datos_fuente'!Q55/1000))</f>
        <v/>
      </c>
      <c r="V55" s="160">
        <f>IF(OR(U55="",U54=""),"",U55-U54)</f>
        <v/>
      </c>
      <c r="W55" s="160">
        <f>IF('Datos_fuente'!R55="","",ASINH('Datos_fuente'!R55/1000))</f>
        <v/>
      </c>
      <c r="X55" s="160">
        <f>IF(OR(W55="",W54=""),"",W55-W54)</f>
        <v/>
      </c>
      <c r="Y55" s="161">
        <f>'Datos_fuente'!W55</f>
        <v/>
      </c>
      <c r="Z55" s="161">
        <f>IF(OR(Y55="",Y54=""),"",Y55-Y54)</f>
        <v/>
      </c>
      <c r="AA55" s="160">
        <f>'Datos_fuente'!AB55</f>
        <v/>
      </c>
      <c r="AB55" s="160">
        <f>'Datos_fuente'!AC55</f>
        <v/>
      </c>
      <c r="AC55" s="160">
        <f>IF('Datos_fuente'!AD55="","",LN('Datos_fuente'!AD55))</f>
        <v/>
      </c>
      <c r="AD55" s="160">
        <f>IF(OR(AC55="",AC54=""),"",AC55-AC54)</f>
        <v/>
      </c>
      <c r="AE55" s="160">
        <f>IF('Datos_fuente'!AE55="","",LN('Datos_fuente'!AE55))</f>
        <v/>
      </c>
      <c r="AF55" s="160">
        <f>IF(OR(AE55="",AE54=""),"",AE55-AE54)</f>
        <v/>
      </c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'Datos_fuente'!A56</f>
        <v/>
      </c>
      <c r="B56" s="160">
        <f>IF('Datos_fuente'!B56="","",LN('Datos_fuente'!B56))</f>
        <v/>
      </c>
      <c r="C56" s="160">
        <f>IF(OR(B56="",B55=""),"",B56-B55)</f>
        <v/>
      </c>
      <c r="D56" s="160">
        <f>IF('Datos_fuente'!C56="","",LN('Datos_fuente'!C56))</f>
        <v/>
      </c>
      <c r="E56" s="160">
        <f>IF(OR(D56="",D55=""),"",D56-D55)</f>
        <v/>
      </c>
      <c r="F56" s="160">
        <f>IF('Datos_fuente'!E56="","",LN('Datos_fuente'!E56))</f>
        <v/>
      </c>
      <c r="G56" s="160">
        <f>IF(OR(F56="",F55=""),"",F56-F55)</f>
        <v/>
      </c>
      <c r="H56" s="161">
        <f>'Datos_fuente'!H56</f>
        <v/>
      </c>
      <c r="I56" s="161">
        <f>IF(OR(H56="",H55=""),"",H56-H55)</f>
        <v/>
      </c>
      <c r="J56" s="161">
        <f>'Datos_fuente'!J56</f>
        <v/>
      </c>
      <c r="K56" s="161">
        <f>IF(OR(J56="",J55=""),"",J56-J55)</f>
        <v/>
      </c>
      <c r="L56" s="160">
        <f>IF('Datos_fuente'!K56="","",LN('Datos_fuente'!K56))</f>
        <v/>
      </c>
      <c r="M56" s="160">
        <f>IF(OR(L56="",L55=""),"",L56-L55)</f>
        <v/>
      </c>
      <c r="N56" s="160">
        <f>IF('Datos_fuente'!L56="","",LN('Datos_fuente'!L56))</f>
        <v/>
      </c>
      <c r="O56" s="160">
        <f>IF(OR(N56="",N55=""),"",N56-N55)</f>
        <v/>
      </c>
      <c r="P56" s="162">
        <f>'Datos_fuente'!M56</f>
        <v/>
      </c>
      <c r="Q56" s="160">
        <f>IF('Datos_fuente'!N56="","",LN('Datos_fuente'!N56))</f>
        <v/>
      </c>
      <c r="R56" s="160">
        <f>IF(OR(Q56="",Q55=""),"",Q56-Q55)</f>
        <v/>
      </c>
      <c r="S56" s="161">
        <f>'Datos_fuente'!P56</f>
        <v/>
      </c>
      <c r="T56" s="161">
        <f>IF(OR(S56="",S55=""),"",S56-S55)</f>
        <v/>
      </c>
      <c r="U56" s="160">
        <f>IF('Datos_fuente'!Q56="","",ASINH('Datos_fuente'!Q56/1000))</f>
        <v/>
      </c>
      <c r="V56" s="160">
        <f>IF(OR(U56="",U55=""),"",U56-U55)</f>
        <v/>
      </c>
      <c r="W56" s="160">
        <f>IF('Datos_fuente'!R56="","",ASINH('Datos_fuente'!R56/1000))</f>
        <v/>
      </c>
      <c r="X56" s="160">
        <f>IF(OR(W56="",W55=""),"",W56-W55)</f>
        <v/>
      </c>
      <c r="Y56" s="161">
        <f>'Datos_fuente'!W56</f>
        <v/>
      </c>
      <c r="Z56" s="161">
        <f>IF(OR(Y56="",Y55=""),"",Y56-Y55)</f>
        <v/>
      </c>
      <c r="AA56" s="160">
        <f>'Datos_fuente'!AB56</f>
        <v/>
      </c>
      <c r="AB56" s="160">
        <f>'Datos_fuente'!AC56</f>
        <v/>
      </c>
      <c r="AC56" s="160">
        <f>IF('Datos_fuente'!AD56="","",LN('Datos_fuente'!AD56))</f>
        <v/>
      </c>
      <c r="AD56" s="160">
        <f>IF(OR(AC56="",AC55=""),"",AC56-AC55)</f>
        <v/>
      </c>
      <c r="AE56" s="160">
        <f>IF('Datos_fuente'!AE56="","",LN('Datos_fuente'!AE56))</f>
        <v/>
      </c>
      <c r="AF56" s="160">
        <f>IF(OR(AE56="",AE55=""),"",AE56-AE55)</f>
        <v/>
      </c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'Datos_fuente'!A57</f>
        <v/>
      </c>
      <c r="B57" s="160">
        <f>IF('Datos_fuente'!B57="","",LN('Datos_fuente'!B57))</f>
        <v/>
      </c>
      <c r="C57" s="160">
        <f>IF(OR(B57="",B56=""),"",B57-B56)</f>
        <v/>
      </c>
      <c r="D57" s="160">
        <f>IF('Datos_fuente'!C57="","",LN('Datos_fuente'!C57))</f>
        <v/>
      </c>
      <c r="E57" s="160">
        <f>IF(OR(D57="",D56=""),"",D57-D56)</f>
        <v/>
      </c>
      <c r="F57" s="160">
        <f>IF('Datos_fuente'!E57="","",LN('Datos_fuente'!E57))</f>
        <v/>
      </c>
      <c r="G57" s="160">
        <f>IF(OR(F57="",F56=""),"",F57-F56)</f>
        <v/>
      </c>
      <c r="H57" s="161">
        <f>'Datos_fuente'!H57</f>
        <v/>
      </c>
      <c r="I57" s="161">
        <f>IF(OR(H57="",H56=""),"",H57-H56)</f>
        <v/>
      </c>
      <c r="J57" s="161">
        <f>'Datos_fuente'!J57</f>
        <v/>
      </c>
      <c r="K57" s="161">
        <f>IF(OR(J57="",J56=""),"",J57-J56)</f>
        <v/>
      </c>
      <c r="L57" s="160">
        <f>IF('Datos_fuente'!K57="","",LN('Datos_fuente'!K57))</f>
        <v/>
      </c>
      <c r="M57" s="160">
        <f>IF(OR(L57="",L56=""),"",L57-L56)</f>
        <v/>
      </c>
      <c r="N57" s="160">
        <f>IF('Datos_fuente'!L57="","",LN('Datos_fuente'!L57))</f>
        <v/>
      </c>
      <c r="O57" s="160">
        <f>IF(OR(N57="",N56=""),"",N57-N56)</f>
        <v/>
      </c>
      <c r="P57" s="162">
        <f>'Datos_fuente'!M57</f>
        <v/>
      </c>
      <c r="Q57" s="160">
        <f>IF('Datos_fuente'!N57="","",LN('Datos_fuente'!N57))</f>
        <v/>
      </c>
      <c r="R57" s="160">
        <f>IF(OR(Q57="",Q56=""),"",Q57-Q56)</f>
        <v/>
      </c>
      <c r="S57" s="161">
        <f>'Datos_fuente'!P57</f>
        <v/>
      </c>
      <c r="T57" s="161">
        <f>IF(OR(S57="",S56=""),"",S57-S56)</f>
        <v/>
      </c>
      <c r="U57" s="160">
        <f>IF('Datos_fuente'!Q57="","",ASINH('Datos_fuente'!Q57/1000))</f>
        <v/>
      </c>
      <c r="V57" s="160">
        <f>IF(OR(U57="",U56=""),"",U57-U56)</f>
        <v/>
      </c>
      <c r="W57" s="160">
        <f>IF('Datos_fuente'!R57="","",ASINH('Datos_fuente'!R57/1000))</f>
        <v/>
      </c>
      <c r="X57" s="160">
        <f>IF(OR(W57="",W56=""),"",W57-W56)</f>
        <v/>
      </c>
      <c r="Y57" s="161">
        <f>'Datos_fuente'!W57</f>
        <v/>
      </c>
      <c r="Z57" s="161">
        <f>IF(OR(Y57="",Y56=""),"",Y57-Y56)</f>
        <v/>
      </c>
      <c r="AA57" s="160">
        <f>'Datos_fuente'!AB57</f>
        <v/>
      </c>
      <c r="AB57" s="160">
        <f>'Datos_fuente'!AC57</f>
        <v/>
      </c>
      <c r="AC57" s="160">
        <f>IF('Datos_fuente'!AD57="","",LN('Datos_fuente'!AD57))</f>
        <v/>
      </c>
      <c r="AD57" s="160">
        <f>IF(OR(AC57="",AC56=""),"",AC57-AC56)</f>
        <v/>
      </c>
      <c r="AE57" s="160">
        <f>IF('Datos_fuente'!AE57="","",LN('Datos_fuente'!AE57))</f>
        <v/>
      </c>
      <c r="AF57" s="160">
        <f>IF(OR(AE57="",AE56=""),"",AE57-AE56)</f>
        <v/>
      </c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'Datos_fuente'!A58</f>
        <v/>
      </c>
      <c r="B58" s="160">
        <f>IF('Datos_fuente'!B58="","",LN('Datos_fuente'!B58))</f>
        <v/>
      </c>
      <c r="C58" s="160">
        <f>IF(OR(B58="",B57=""),"",B58-B57)</f>
        <v/>
      </c>
      <c r="D58" s="160">
        <f>IF('Datos_fuente'!C58="","",LN('Datos_fuente'!C58))</f>
        <v/>
      </c>
      <c r="E58" s="160">
        <f>IF(OR(D58="",D57=""),"",D58-D57)</f>
        <v/>
      </c>
      <c r="F58" s="160">
        <f>IF('Datos_fuente'!E58="","",LN('Datos_fuente'!E58))</f>
        <v/>
      </c>
      <c r="G58" s="160">
        <f>IF(OR(F58="",F57=""),"",F58-F57)</f>
        <v/>
      </c>
      <c r="H58" s="161">
        <f>'Datos_fuente'!H58</f>
        <v/>
      </c>
      <c r="I58" s="161">
        <f>IF(OR(H58="",H57=""),"",H58-H57)</f>
        <v/>
      </c>
      <c r="J58" s="161">
        <f>'Datos_fuente'!J58</f>
        <v/>
      </c>
      <c r="K58" s="161">
        <f>IF(OR(J58="",J57=""),"",J58-J57)</f>
        <v/>
      </c>
      <c r="L58" s="160">
        <f>IF('Datos_fuente'!K58="","",LN('Datos_fuente'!K58))</f>
        <v/>
      </c>
      <c r="M58" s="160">
        <f>IF(OR(L58="",L57=""),"",L58-L57)</f>
        <v/>
      </c>
      <c r="N58" s="160">
        <f>IF('Datos_fuente'!L58="","",LN('Datos_fuente'!L58))</f>
        <v/>
      </c>
      <c r="O58" s="160">
        <f>IF(OR(N58="",N57=""),"",N58-N57)</f>
        <v/>
      </c>
      <c r="P58" s="162">
        <f>'Datos_fuente'!M58</f>
        <v/>
      </c>
      <c r="Q58" s="160">
        <f>IF('Datos_fuente'!N58="","",LN('Datos_fuente'!N58))</f>
        <v/>
      </c>
      <c r="R58" s="160">
        <f>IF(OR(Q58="",Q57=""),"",Q58-Q57)</f>
        <v/>
      </c>
      <c r="S58" s="161">
        <f>'Datos_fuente'!P58</f>
        <v/>
      </c>
      <c r="T58" s="161">
        <f>IF(OR(S58="",S57=""),"",S58-S57)</f>
        <v/>
      </c>
      <c r="U58" s="160">
        <f>IF('Datos_fuente'!Q58="","",ASINH('Datos_fuente'!Q58/1000))</f>
        <v/>
      </c>
      <c r="V58" s="160">
        <f>IF(OR(U58="",U57=""),"",U58-U57)</f>
        <v/>
      </c>
      <c r="W58" s="160">
        <f>IF('Datos_fuente'!R58="","",ASINH('Datos_fuente'!R58/1000))</f>
        <v/>
      </c>
      <c r="X58" s="160">
        <f>IF(OR(W58="",W57=""),"",W58-W57)</f>
        <v/>
      </c>
      <c r="Y58" s="161">
        <f>'Datos_fuente'!W58</f>
        <v/>
      </c>
      <c r="Z58" s="161">
        <f>IF(OR(Y58="",Y57=""),"",Y58-Y57)</f>
        <v/>
      </c>
      <c r="AA58" s="160">
        <f>'Datos_fuente'!AB58</f>
        <v/>
      </c>
      <c r="AB58" s="160">
        <f>'Datos_fuente'!AC58</f>
        <v/>
      </c>
      <c r="AC58" s="160">
        <f>IF('Datos_fuente'!AD58="","",LN('Datos_fuente'!AD58))</f>
        <v/>
      </c>
      <c r="AD58" s="160">
        <f>IF(OR(AC58="",AC57=""),"",AC58-AC57)</f>
        <v/>
      </c>
      <c r="AE58" s="160">
        <f>IF('Datos_fuente'!AE58="","",LN('Datos_fuente'!AE58))</f>
        <v/>
      </c>
      <c r="AF58" s="160">
        <f>IF(OR(AE58="",AE57=""),"",AE58-AE57)</f>
        <v/>
      </c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'Datos_fuente'!A59</f>
        <v/>
      </c>
      <c r="B59" s="160">
        <f>IF('Datos_fuente'!B59="","",LN('Datos_fuente'!B59))</f>
        <v/>
      </c>
      <c r="C59" s="160">
        <f>IF(OR(B59="",B58=""),"",B59-B58)</f>
        <v/>
      </c>
      <c r="D59" s="160">
        <f>IF('Datos_fuente'!C59="","",LN('Datos_fuente'!C59))</f>
        <v/>
      </c>
      <c r="E59" s="160">
        <f>IF(OR(D59="",D58=""),"",D59-D58)</f>
        <v/>
      </c>
      <c r="F59" s="160">
        <f>IF('Datos_fuente'!E59="","",LN('Datos_fuente'!E59))</f>
        <v/>
      </c>
      <c r="G59" s="160">
        <f>IF(OR(F59="",F58=""),"",F59-F58)</f>
        <v/>
      </c>
      <c r="H59" s="161">
        <f>'Datos_fuente'!H59</f>
        <v/>
      </c>
      <c r="I59" s="161">
        <f>IF(OR(H59="",H58=""),"",H59-H58)</f>
        <v/>
      </c>
      <c r="J59" s="161">
        <f>'Datos_fuente'!J59</f>
        <v/>
      </c>
      <c r="K59" s="161">
        <f>IF(OR(J59="",J58=""),"",J59-J58)</f>
        <v/>
      </c>
      <c r="L59" s="160">
        <f>IF('Datos_fuente'!K59="","",LN('Datos_fuente'!K59))</f>
        <v/>
      </c>
      <c r="M59" s="160">
        <f>IF(OR(L59="",L58=""),"",L59-L58)</f>
        <v/>
      </c>
      <c r="N59" s="160">
        <f>IF('Datos_fuente'!L59="","",LN('Datos_fuente'!L59))</f>
        <v/>
      </c>
      <c r="O59" s="160">
        <f>IF(OR(N59="",N58=""),"",N59-N58)</f>
        <v/>
      </c>
      <c r="P59" s="162">
        <f>'Datos_fuente'!M59</f>
        <v/>
      </c>
      <c r="Q59" s="160">
        <f>IF('Datos_fuente'!N59="","",LN('Datos_fuente'!N59))</f>
        <v/>
      </c>
      <c r="R59" s="160">
        <f>IF(OR(Q59="",Q58=""),"",Q59-Q58)</f>
        <v/>
      </c>
      <c r="S59" s="161">
        <f>'Datos_fuente'!P59</f>
        <v/>
      </c>
      <c r="T59" s="161">
        <f>IF(OR(S59="",S58=""),"",S59-S58)</f>
        <v/>
      </c>
      <c r="U59" s="160">
        <f>IF('Datos_fuente'!Q59="","",ASINH('Datos_fuente'!Q59/1000))</f>
        <v/>
      </c>
      <c r="V59" s="160">
        <f>IF(OR(U59="",U58=""),"",U59-U58)</f>
        <v/>
      </c>
      <c r="W59" s="160">
        <f>IF('Datos_fuente'!R59="","",ASINH('Datos_fuente'!R59/1000))</f>
        <v/>
      </c>
      <c r="X59" s="160">
        <f>IF(OR(W59="",W58=""),"",W59-W58)</f>
        <v/>
      </c>
      <c r="Y59" s="161">
        <f>'Datos_fuente'!W59</f>
        <v/>
      </c>
      <c r="Z59" s="161">
        <f>IF(OR(Y59="",Y58=""),"",Y59-Y58)</f>
        <v/>
      </c>
      <c r="AA59" s="160">
        <f>'Datos_fuente'!AB59</f>
        <v/>
      </c>
      <c r="AB59" s="160">
        <f>'Datos_fuente'!AC59</f>
        <v/>
      </c>
      <c r="AC59" s="160">
        <f>IF('Datos_fuente'!AD59="","",LN('Datos_fuente'!AD59))</f>
        <v/>
      </c>
      <c r="AD59" s="160">
        <f>IF(OR(AC59="",AC58=""),"",AC59-AC58)</f>
        <v/>
      </c>
      <c r="AE59" s="160">
        <f>IF('Datos_fuente'!AE59="","",LN('Datos_fuente'!AE59))</f>
        <v/>
      </c>
      <c r="AF59" s="160">
        <f>IF(OR(AE59="",AE58=""),"",AE59-AE58)</f>
        <v/>
      </c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'Datos_fuente'!A60</f>
        <v/>
      </c>
      <c r="B60" s="160">
        <f>IF('Datos_fuente'!B60="","",LN('Datos_fuente'!B60))</f>
        <v/>
      </c>
      <c r="C60" s="160">
        <f>IF(OR(B60="",B59=""),"",B60-B59)</f>
        <v/>
      </c>
      <c r="D60" s="160">
        <f>IF('Datos_fuente'!C60="","",LN('Datos_fuente'!C60))</f>
        <v/>
      </c>
      <c r="E60" s="160">
        <f>IF(OR(D60="",D59=""),"",D60-D59)</f>
        <v/>
      </c>
      <c r="F60" s="160">
        <f>IF('Datos_fuente'!E60="","",LN('Datos_fuente'!E60))</f>
        <v/>
      </c>
      <c r="G60" s="160">
        <f>IF(OR(F60="",F59=""),"",F60-F59)</f>
        <v/>
      </c>
      <c r="H60" s="161">
        <f>'Datos_fuente'!H60</f>
        <v/>
      </c>
      <c r="I60" s="161">
        <f>IF(OR(H60="",H59=""),"",H60-H59)</f>
        <v/>
      </c>
      <c r="J60" s="161">
        <f>'Datos_fuente'!J60</f>
        <v/>
      </c>
      <c r="K60" s="161">
        <f>IF(OR(J60="",J59=""),"",J60-J59)</f>
        <v/>
      </c>
      <c r="L60" s="160">
        <f>IF('Datos_fuente'!K60="","",LN('Datos_fuente'!K60))</f>
        <v/>
      </c>
      <c r="M60" s="160">
        <f>IF(OR(L60="",L59=""),"",L60-L59)</f>
        <v/>
      </c>
      <c r="N60" s="160">
        <f>IF('Datos_fuente'!L60="","",LN('Datos_fuente'!L60))</f>
        <v/>
      </c>
      <c r="O60" s="160">
        <f>IF(OR(N60="",N59=""),"",N60-N59)</f>
        <v/>
      </c>
      <c r="P60" s="162">
        <f>'Datos_fuente'!M60</f>
        <v/>
      </c>
      <c r="Q60" s="160">
        <f>IF('Datos_fuente'!N60="","",LN('Datos_fuente'!N60))</f>
        <v/>
      </c>
      <c r="R60" s="160">
        <f>IF(OR(Q60="",Q59=""),"",Q60-Q59)</f>
        <v/>
      </c>
      <c r="S60" s="161">
        <f>'Datos_fuente'!P60</f>
        <v/>
      </c>
      <c r="T60" s="161">
        <f>IF(OR(S60="",S59=""),"",S60-S59)</f>
        <v/>
      </c>
      <c r="U60" s="160">
        <f>IF('Datos_fuente'!Q60="","",ASINH('Datos_fuente'!Q60/1000))</f>
        <v/>
      </c>
      <c r="V60" s="160">
        <f>IF(OR(U60="",U59=""),"",U60-U59)</f>
        <v/>
      </c>
      <c r="W60" s="160">
        <f>IF('Datos_fuente'!R60="","",ASINH('Datos_fuente'!R60/1000))</f>
        <v/>
      </c>
      <c r="X60" s="160">
        <f>IF(OR(W60="",W59=""),"",W60-W59)</f>
        <v/>
      </c>
      <c r="Y60" s="161">
        <f>'Datos_fuente'!W60</f>
        <v/>
      </c>
      <c r="Z60" s="161">
        <f>IF(OR(Y60="",Y59=""),"",Y60-Y59)</f>
        <v/>
      </c>
      <c r="AA60" s="160">
        <f>'Datos_fuente'!AB60</f>
        <v/>
      </c>
      <c r="AB60" s="160">
        <f>'Datos_fuente'!AC60</f>
        <v/>
      </c>
      <c r="AC60" s="160">
        <f>IF('Datos_fuente'!AD60="","",LN('Datos_fuente'!AD60))</f>
        <v/>
      </c>
      <c r="AD60" s="160">
        <f>IF(OR(AC60="",AC59=""),"",AC60-AC59)</f>
        <v/>
      </c>
      <c r="AE60" s="160">
        <f>IF('Datos_fuente'!AE60="","",LN('Datos_fuente'!AE60))</f>
        <v/>
      </c>
      <c r="AF60" s="160">
        <f>IF(OR(AE60="",AE59=""),"",AE60-AE59)</f>
        <v/>
      </c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'Datos_fuente'!A61</f>
        <v/>
      </c>
      <c r="B61" s="160">
        <f>IF('Datos_fuente'!B61="","",LN('Datos_fuente'!B61))</f>
        <v/>
      </c>
      <c r="C61" s="160">
        <f>IF(OR(B61="",B60=""),"",B61-B60)</f>
        <v/>
      </c>
      <c r="D61" s="160">
        <f>IF('Datos_fuente'!C61="","",LN('Datos_fuente'!C61))</f>
        <v/>
      </c>
      <c r="E61" s="160">
        <f>IF(OR(D61="",D60=""),"",D61-D60)</f>
        <v/>
      </c>
      <c r="F61" s="160">
        <f>IF('Datos_fuente'!E61="","",LN('Datos_fuente'!E61))</f>
        <v/>
      </c>
      <c r="G61" s="160">
        <f>IF(OR(F61="",F60=""),"",F61-F60)</f>
        <v/>
      </c>
      <c r="H61" s="161">
        <f>'Datos_fuente'!H61</f>
        <v/>
      </c>
      <c r="I61" s="161">
        <f>IF(OR(H61="",H60=""),"",H61-H60)</f>
        <v/>
      </c>
      <c r="J61" s="161">
        <f>'Datos_fuente'!J61</f>
        <v/>
      </c>
      <c r="K61" s="161">
        <f>IF(OR(J61="",J60=""),"",J61-J60)</f>
        <v/>
      </c>
      <c r="L61" s="160">
        <f>IF('Datos_fuente'!K61="","",LN('Datos_fuente'!K61))</f>
        <v/>
      </c>
      <c r="M61" s="160">
        <f>IF(OR(L61="",L60=""),"",L61-L60)</f>
        <v/>
      </c>
      <c r="N61" s="160">
        <f>IF('Datos_fuente'!L61="","",LN('Datos_fuente'!L61))</f>
        <v/>
      </c>
      <c r="O61" s="160">
        <f>IF(OR(N61="",N60=""),"",N61-N60)</f>
        <v/>
      </c>
      <c r="P61" s="162">
        <f>'Datos_fuente'!M61</f>
        <v/>
      </c>
      <c r="Q61" s="160">
        <f>IF('Datos_fuente'!N61="","",LN('Datos_fuente'!N61))</f>
        <v/>
      </c>
      <c r="R61" s="160">
        <f>IF(OR(Q61="",Q60=""),"",Q61-Q60)</f>
        <v/>
      </c>
      <c r="S61" s="161">
        <f>'Datos_fuente'!P61</f>
        <v/>
      </c>
      <c r="T61" s="161">
        <f>IF(OR(S61="",S60=""),"",S61-S60)</f>
        <v/>
      </c>
      <c r="U61" s="160">
        <f>IF('Datos_fuente'!Q61="","",ASINH('Datos_fuente'!Q61/1000))</f>
        <v/>
      </c>
      <c r="V61" s="160">
        <f>IF(OR(U61="",U60=""),"",U61-U60)</f>
        <v/>
      </c>
      <c r="W61" s="160">
        <f>IF('Datos_fuente'!R61="","",ASINH('Datos_fuente'!R61/1000))</f>
        <v/>
      </c>
      <c r="X61" s="160">
        <f>IF(OR(W61="",W60=""),"",W61-W60)</f>
        <v/>
      </c>
      <c r="Y61" s="161">
        <f>'Datos_fuente'!W61</f>
        <v/>
      </c>
      <c r="Z61" s="161">
        <f>IF(OR(Y61="",Y60=""),"",Y61-Y60)</f>
        <v/>
      </c>
      <c r="AA61" s="160">
        <f>'Datos_fuente'!AB61</f>
        <v/>
      </c>
      <c r="AB61" s="160">
        <f>'Datos_fuente'!AC61</f>
        <v/>
      </c>
      <c r="AC61" s="160">
        <f>IF('Datos_fuente'!AD61="","",LN('Datos_fuente'!AD61))</f>
        <v/>
      </c>
      <c r="AD61" s="160">
        <f>IF(OR(AC61="",AC60=""),"",AC61-AC60)</f>
        <v/>
      </c>
      <c r="AE61" s="160">
        <f>IF('Datos_fuente'!AE61="","",LN('Datos_fuente'!AE61))</f>
        <v/>
      </c>
      <c r="AF61" s="160">
        <f>IF(OR(AE61="",AE60=""),"",AE61-AE60)</f>
        <v/>
      </c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'Datos_fuente'!A62</f>
        <v/>
      </c>
      <c r="B62" s="160">
        <f>IF('Datos_fuente'!B62="","",LN('Datos_fuente'!B62))</f>
        <v/>
      </c>
      <c r="C62" s="160">
        <f>IF(OR(B62="",B61=""),"",B62-B61)</f>
        <v/>
      </c>
      <c r="D62" s="160">
        <f>IF('Datos_fuente'!C62="","",LN('Datos_fuente'!C62))</f>
        <v/>
      </c>
      <c r="E62" s="160">
        <f>IF(OR(D62="",D61=""),"",D62-D61)</f>
        <v/>
      </c>
      <c r="F62" s="160">
        <f>IF('Datos_fuente'!E62="","",LN('Datos_fuente'!E62))</f>
        <v/>
      </c>
      <c r="G62" s="160">
        <f>IF(OR(F62="",F61=""),"",F62-F61)</f>
        <v/>
      </c>
      <c r="H62" s="161">
        <f>'Datos_fuente'!H62</f>
        <v/>
      </c>
      <c r="I62" s="161">
        <f>IF(OR(H62="",H61=""),"",H62-H61)</f>
        <v/>
      </c>
      <c r="J62" s="161">
        <f>'Datos_fuente'!J62</f>
        <v/>
      </c>
      <c r="K62" s="161">
        <f>IF(OR(J62="",J61=""),"",J62-J61)</f>
        <v/>
      </c>
      <c r="L62" s="160">
        <f>IF('Datos_fuente'!K62="","",LN('Datos_fuente'!K62))</f>
        <v/>
      </c>
      <c r="M62" s="160">
        <f>IF(OR(L62="",L61=""),"",L62-L61)</f>
        <v/>
      </c>
      <c r="N62" s="160">
        <f>IF('Datos_fuente'!L62="","",LN('Datos_fuente'!L62))</f>
        <v/>
      </c>
      <c r="O62" s="160">
        <f>IF(OR(N62="",N61=""),"",N62-N61)</f>
        <v/>
      </c>
      <c r="P62" s="162">
        <f>'Datos_fuente'!M62</f>
        <v/>
      </c>
      <c r="Q62" s="160">
        <f>IF('Datos_fuente'!N62="","",LN('Datos_fuente'!N62))</f>
        <v/>
      </c>
      <c r="R62" s="160">
        <f>IF(OR(Q62="",Q61=""),"",Q62-Q61)</f>
        <v/>
      </c>
      <c r="S62" s="161">
        <f>'Datos_fuente'!P62</f>
        <v/>
      </c>
      <c r="T62" s="161">
        <f>IF(OR(S62="",S61=""),"",S62-S61)</f>
        <v/>
      </c>
      <c r="U62" s="160">
        <f>IF('Datos_fuente'!Q62="","",ASINH('Datos_fuente'!Q62/1000))</f>
        <v/>
      </c>
      <c r="V62" s="160">
        <f>IF(OR(U62="",U61=""),"",U62-U61)</f>
        <v/>
      </c>
      <c r="W62" s="160">
        <f>IF('Datos_fuente'!R62="","",ASINH('Datos_fuente'!R62/1000))</f>
        <v/>
      </c>
      <c r="X62" s="160">
        <f>IF(OR(W62="",W61=""),"",W62-W61)</f>
        <v/>
      </c>
      <c r="Y62" s="161">
        <f>'Datos_fuente'!W62</f>
        <v/>
      </c>
      <c r="Z62" s="161">
        <f>IF(OR(Y62="",Y61=""),"",Y62-Y61)</f>
        <v/>
      </c>
      <c r="AA62" s="160">
        <f>'Datos_fuente'!AB62</f>
        <v/>
      </c>
      <c r="AB62" s="160">
        <f>'Datos_fuente'!AC62</f>
        <v/>
      </c>
      <c r="AC62" s="160">
        <f>IF('Datos_fuente'!AD62="","",LN('Datos_fuente'!AD62))</f>
        <v/>
      </c>
      <c r="AD62" s="160">
        <f>IF(OR(AC62="",AC61=""),"",AC62-AC61)</f>
        <v/>
      </c>
      <c r="AE62" s="160">
        <f>IF('Datos_fuente'!AE62="","",LN('Datos_fuente'!AE62))</f>
        <v/>
      </c>
      <c r="AF62" s="160">
        <f>IF(OR(AE62="",AE61=""),"",AE62-AE61)</f>
        <v/>
      </c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'Datos_fuente'!A63</f>
        <v/>
      </c>
      <c r="B63" s="160">
        <f>IF('Datos_fuente'!B63="","",LN('Datos_fuente'!B63))</f>
        <v/>
      </c>
      <c r="C63" s="160">
        <f>IF(OR(B63="",B62=""),"",B63-B62)</f>
        <v/>
      </c>
      <c r="D63" s="160">
        <f>IF('Datos_fuente'!C63="","",LN('Datos_fuente'!C63))</f>
        <v/>
      </c>
      <c r="E63" s="160">
        <f>IF(OR(D63="",D62=""),"",D63-D62)</f>
        <v/>
      </c>
      <c r="F63" s="160">
        <f>IF('Datos_fuente'!E63="","",LN('Datos_fuente'!E63))</f>
        <v/>
      </c>
      <c r="G63" s="160">
        <f>IF(OR(F63="",F62=""),"",F63-F62)</f>
        <v/>
      </c>
      <c r="H63" s="161">
        <f>'Datos_fuente'!H63</f>
        <v/>
      </c>
      <c r="I63" s="161">
        <f>IF(OR(H63="",H62=""),"",H63-H62)</f>
        <v/>
      </c>
      <c r="J63" s="161">
        <f>'Datos_fuente'!J63</f>
        <v/>
      </c>
      <c r="K63" s="161">
        <f>IF(OR(J63="",J62=""),"",J63-J62)</f>
        <v/>
      </c>
      <c r="L63" s="160">
        <f>IF('Datos_fuente'!K63="","",LN('Datos_fuente'!K63))</f>
        <v/>
      </c>
      <c r="M63" s="160">
        <f>IF(OR(L63="",L62=""),"",L63-L62)</f>
        <v/>
      </c>
      <c r="N63" s="160">
        <f>IF('Datos_fuente'!L63="","",LN('Datos_fuente'!L63))</f>
        <v/>
      </c>
      <c r="O63" s="160">
        <f>IF(OR(N63="",N62=""),"",N63-N62)</f>
        <v/>
      </c>
      <c r="P63" s="162">
        <f>'Datos_fuente'!M63</f>
        <v/>
      </c>
      <c r="Q63" s="160">
        <f>IF('Datos_fuente'!N63="","",LN('Datos_fuente'!N63))</f>
        <v/>
      </c>
      <c r="R63" s="160">
        <f>IF(OR(Q63="",Q62=""),"",Q63-Q62)</f>
        <v/>
      </c>
      <c r="S63" s="161">
        <f>'Datos_fuente'!P63</f>
        <v/>
      </c>
      <c r="T63" s="161">
        <f>IF(OR(S63="",S62=""),"",S63-S62)</f>
        <v/>
      </c>
      <c r="U63" s="160">
        <f>IF('Datos_fuente'!Q63="","",ASINH('Datos_fuente'!Q63/1000))</f>
        <v/>
      </c>
      <c r="V63" s="160">
        <f>IF(OR(U63="",U62=""),"",U63-U62)</f>
        <v/>
      </c>
      <c r="W63" s="160">
        <f>IF('Datos_fuente'!R63="","",ASINH('Datos_fuente'!R63/1000))</f>
        <v/>
      </c>
      <c r="X63" s="160">
        <f>IF(OR(W63="",W62=""),"",W63-W62)</f>
        <v/>
      </c>
      <c r="Y63" s="161">
        <f>'Datos_fuente'!W63</f>
        <v/>
      </c>
      <c r="Z63" s="161">
        <f>IF(OR(Y63="",Y62=""),"",Y63-Y62)</f>
        <v/>
      </c>
      <c r="AA63" s="160">
        <f>'Datos_fuente'!AB63</f>
        <v/>
      </c>
      <c r="AB63" s="160">
        <f>'Datos_fuente'!AC63</f>
        <v/>
      </c>
      <c r="AC63" s="160">
        <f>IF('Datos_fuente'!AD63="","",LN('Datos_fuente'!AD63))</f>
        <v/>
      </c>
      <c r="AD63" s="160">
        <f>IF(OR(AC63="",AC62=""),"",AC63-AC62)</f>
        <v/>
      </c>
      <c r="AE63" s="160">
        <f>IF('Datos_fuente'!AE63="","",LN('Datos_fuente'!AE63))</f>
        <v/>
      </c>
      <c r="AF63" s="160">
        <f>IF(OR(AE63="",AE62=""),"",AE63-AE62)</f>
        <v/>
      </c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'Datos_fuente'!A64</f>
        <v/>
      </c>
      <c r="B64" s="160">
        <f>IF('Datos_fuente'!B64="","",LN('Datos_fuente'!B64))</f>
        <v/>
      </c>
      <c r="C64" s="160">
        <f>IF(OR(B64="",B63=""),"",B64-B63)</f>
        <v/>
      </c>
      <c r="D64" s="160">
        <f>IF('Datos_fuente'!C64="","",LN('Datos_fuente'!C64))</f>
        <v/>
      </c>
      <c r="E64" s="160">
        <f>IF(OR(D64="",D63=""),"",D64-D63)</f>
        <v/>
      </c>
      <c r="F64" s="160">
        <f>IF('Datos_fuente'!E64="","",LN('Datos_fuente'!E64))</f>
        <v/>
      </c>
      <c r="G64" s="160">
        <f>IF(OR(F64="",F63=""),"",F64-F63)</f>
        <v/>
      </c>
      <c r="H64" s="161">
        <f>'Datos_fuente'!H64</f>
        <v/>
      </c>
      <c r="I64" s="161">
        <f>IF(OR(H64="",H63=""),"",H64-H63)</f>
        <v/>
      </c>
      <c r="J64" s="161">
        <f>'Datos_fuente'!J64</f>
        <v/>
      </c>
      <c r="K64" s="161">
        <f>IF(OR(J64="",J63=""),"",J64-J63)</f>
        <v/>
      </c>
      <c r="L64" s="160">
        <f>IF('Datos_fuente'!K64="","",LN('Datos_fuente'!K64))</f>
        <v/>
      </c>
      <c r="M64" s="160">
        <f>IF(OR(L64="",L63=""),"",L64-L63)</f>
        <v/>
      </c>
      <c r="N64" s="160">
        <f>IF('Datos_fuente'!L64="","",LN('Datos_fuente'!L64))</f>
        <v/>
      </c>
      <c r="O64" s="160">
        <f>IF(OR(N64="",N63=""),"",N64-N63)</f>
        <v/>
      </c>
      <c r="P64" s="162">
        <f>'Datos_fuente'!M64</f>
        <v/>
      </c>
      <c r="Q64" s="160">
        <f>IF('Datos_fuente'!N64="","",LN('Datos_fuente'!N64))</f>
        <v/>
      </c>
      <c r="R64" s="160">
        <f>IF(OR(Q64="",Q63=""),"",Q64-Q63)</f>
        <v/>
      </c>
      <c r="S64" s="161">
        <f>'Datos_fuente'!P64</f>
        <v/>
      </c>
      <c r="T64" s="161">
        <f>IF(OR(S64="",S63=""),"",S64-S63)</f>
        <v/>
      </c>
      <c r="U64" s="160">
        <f>IF('Datos_fuente'!Q64="","",ASINH('Datos_fuente'!Q64/1000))</f>
        <v/>
      </c>
      <c r="V64" s="160">
        <f>IF(OR(U64="",U63=""),"",U64-U63)</f>
        <v/>
      </c>
      <c r="W64" s="160">
        <f>IF('Datos_fuente'!R64="","",ASINH('Datos_fuente'!R64/1000))</f>
        <v/>
      </c>
      <c r="X64" s="160">
        <f>IF(OR(W64="",W63=""),"",W64-W63)</f>
        <v/>
      </c>
      <c r="Y64" s="161">
        <f>'Datos_fuente'!W64</f>
        <v/>
      </c>
      <c r="Z64" s="161">
        <f>IF(OR(Y64="",Y63=""),"",Y64-Y63)</f>
        <v/>
      </c>
      <c r="AA64" s="160">
        <f>'Datos_fuente'!AB64</f>
        <v/>
      </c>
      <c r="AB64" s="160">
        <f>'Datos_fuente'!AC64</f>
        <v/>
      </c>
      <c r="AC64" s="160">
        <f>IF('Datos_fuente'!AD64="","",LN('Datos_fuente'!AD64))</f>
        <v/>
      </c>
      <c r="AD64" s="160">
        <f>IF(OR(AC64="",AC63=""),"",AC64-AC63)</f>
        <v/>
      </c>
      <c r="AE64" s="160">
        <f>IF('Datos_fuente'!AE64="","",LN('Datos_fuente'!AE64))</f>
        <v/>
      </c>
      <c r="AF64" s="160">
        <f>IF(OR(AE64="",AE63=""),"",AE64-AE63)</f>
        <v/>
      </c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'Datos_fuente'!A65</f>
        <v/>
      </c>
      <c r="B65" s="160">
        <f>IF('Datos_fuente'!B65="","",LN('Datos_fuente'!B65))</f>
        <v/>
      </c>
      <c r="C65" s="160">
        <f>IF(OR(B65="",B64=""),"",B65-B64)</f>
        <v/>
      </c>
      <c r="D65" s="160">
        <f>IF('Datos_fuente'!C65="","",LN('Datos_fuente'!C65))</f>
        <v/>
      </c>
      <c r="E65" s="160">
        <f>IF(OR(D65="",D64=""),"",D65-D64)</f>
        <v/>
      </c>
      <c r="F65" s="160">
        <f>IF('Datos_fuente'!E65="","",LN('Datos_fuente'!E65))</f>
        <v/>
      </c>
      <c r="G65" s="160">
        <f>IF(OR(F65="",F64=""),"",F65-F64)</f>
        <v/>
      </c>
      <c r="H65" s="161">
        <f>'Datos_fuente'!H65</f>
        <v/>
      </c>
      <c r="I65" s="161">
        <f>IF(OR(H65="",H64=""),"",H65-H64)</f>
        <v/>
      </c>
      <c r="J65" s="161">
        <f>'Datos_fuente'!J65</f>
        <v/>
      </c>
      <c r="K65" s="161">
        <f>IF(OR(J65="",J64=""),"",J65-J64)</f>
        <v/>
      </c>
      <c r="L65" s="160">
        <f>IF('Datos_fuente'!K65="","",LN('Datos_fuente'!K65))</f>
        <v/>
      </c>
      <c r="M65" s="160">
        <f>IF(OR(L65="",L64=""),"",L65-L64)</f>
        <v/>
      </c>
      <c r="N65" s="160">
        <f>IF('Datos_fuente'!L65="","",LN('Datos_fuente'!L65))</f>
        <v/>
      </c>
      <c r="O65" s="160">
        <f>IF(OR(N65="",N64=""),"",N65-N64)</f>
        <v/>
      </c>
      <c r="P65" s="162">
        <f>'Datos_fuente'!M65</f>
        <v/>
      </c>
      <c r="Q65" s="160">
        <f>IF('Datos_fuente'!N65="","",LN('Datos_fuente'!N65))</f>
        <v/>
      </c>
      <c r="R65" s="160">
        <f>IF(OR(Q65="",Q64=""),"",Q65-Q64)</f>
        <v/>
      </c>
      <c r="S65" s="161">
        <f>'Datos_fuente'!P65</f>
        <v/>
      </c>
      <c r="T65" s="161">
        <f>IF(OR(S65="",S64=""),"",S65-S64)</f>
        <v/>
      </c>
      <c r="U65" s="160">
        <f>IF('Datos_fuente'!Q65="","",ASINH('Datos_fuente'!Q65/1000))</f>
        <v/>
      </c>
      <c r="V65" s="160">
        <f>IF(OR(U65="",U64=""),"",U65-U64)</f>
        <v/>
      </c>
      <c r="W65" s="160">
        <f>IF('Datos_fuente'!R65="","",ASINH('Datos_fuente'!R65/1000))</f>
        <v/>
      </c>
      <c r="X65" s="160">
        <f>IF(OR(W65="",W64=""),"",W65-W64)</f>
        <v/>
      </c>
      <c r="Y65" s="161">
        <f>'Datos_fuente'!W65</f>
        <v/>
      </c>
      <c r="Z65" s="161">
        <f>IF(OR(Y65="",Y64=""),"",Y65-Y64)</f>
        <v/>
      </c>
      <c r="AA65" s="160">
        <f>'Datos_fuente'!AB65</f>
        <v/>
      </c>
      <c r="AB65" s="160">
        <f>'Datos_fuente'!AC65</f>
        <v/>
      </c>
      <c r="AC65" s="160">
        <f>IF('Datos_fuente'!AD65="","",LN('Datos_fuente'!AD65))</f>
        <v/>
      </c>
      <c r="AD65" s="160">
        <f>IF(OR(AC65="",AC64=""),"",AC65-AC64)</f>
        <v/>
      </c>
      <c r="AE65" s="160">
        <f>IF('Datos_fuente'!AE65="","",LN('Datos_fuente'!AE65))</f>
        <v/>
      </c>
      <c r="AF65" s="160">
        <f>IF(OR(AE65="",AE64=""),"",AE65-AE64)</f>
        <v/>
      </c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'Datos_fuente'!A66</f>
        <v/>
      </c>
      <c r="B66" s="160">
        <f>IF('Datos_fuente'!B66="","",LN('Datos_fuente'!B66))</f>
        <v/>
      </c>
      <c r="C66" s="160">
        <f>IF(OR(B66="",B65=""),"",B66-B65)</f>
        <v/>
      </c>
      <c r="D66" s="160">
        <f>IF('Datos_fuente'!C66="","",LN('Datos_fuente'!C66))</f>
        <v/>
      </c>
      <c r="E66" s="160">
        <f>IF(OR(D66="",D65=""),"",D66-D65)</f>
        <v/>
      </c>
      <c r="F66" s="160">
        <f>IF('Datos_fuente'!E66="","",LN('Datos_fuente'!E66))</f>
        <v/>
      </c>
      <c r="G66" s="160">
        <f>IF(OR(F66="",F65=""),"",F66-F65)</f>
        <v/>
      </c>
      <c r="H66" s="161">
        <f>'Datos_fuente'!H66</f>
        <v/>
      </c>
      <c r="I66" s="161">
        <f>IF(OR(H66="",H65=""),"",H66-H65)</f>
        <v/>
      </c>
      <c r="J66" s="161">
        <f>'Datos_fuente'!J66</f>
        <v/>
      </c>
      <c r="K66" s="161">
        <f>IF(OR(J66="",J65=""),"",J66-J65)</f>
        <v/>
      </c>
      <c r="L66" s="160">
        <f>IF('Datos_fuente'!K66="","",LN('Datos_fuente'!K66))</f>
        <v/>
      </c>
      <c r="M66" s="160">
        <f>IF(OR(L66="",L65=""),"",L66-L65)</f>
        <v/>
      </c>
      <c r="N66" s="160">
        <f>IF('Datos_fuente'!L66="","",LN('Datos_fuente'!L66))</f>
        <v/>
      </c>
      <c r="O66" s="160">
        <f>IF(OR(N66="",N65=""),"",N66-N65)</f>
        <v/>
      </c>
      <c r="P66" s="162">
        <f>'Datos_fuente'!M66</f>
        <v/>
      </c>
      <c r="Q66" s="160">
        <f>IF('Datos_fuente'!N66="","",LN('Datos_fuente'!N66))</f>
        <v/>
      </c>
      <c r="R66" s="160">
        <f>IF(OR(Q66="",Q65=""),"",Q66-Q65)</f>
        <v/>
      </c>
      <c r="S66" s="161">
        <f>'Datos_fuente'!P66</f>
        <v/>
      </c>
      <c r="T66" s="161">
        <f>IF(OR(S66="",S65=""),"",S66-S65)</f>
        <v/>
      </c>
      <c r="U66" s="160">
        <f>IF('Datos_fuente'!Q66="","",ASINH('Datos_fuente'!Q66/1000))</f>
        <v/>
      </c>
      <c r="V66" s="160">
        <f>IF(OR(U66="",U65=""),"",U66-U65)</f>
        <v/>
      </c>
      <c r="W66" s="160">
        <f>IF('Datos_fuente'!R66="","",ASINH('Datos_fuente'!R66/1000))</f>
        <v/>
      </c>
      <c r="X66" s="160">
        <f>IF(OR(W66="",W65=""),"",W66-W65)</f>
        <v/>
      </c>
      <c r="Y66" s="161">
        <f>'Datos_fuente'!W66</f>
        <v/>
      </c>
      <c r="Z66" s="161">
        <f>IF(OR(Y66="",Y65=""),"",Y66-Y65)</f>
        <v/>
      </c>
      <c r="AA66" s="160">
        <f>'Datos_fuente'!AB66</f>
        <v/>
      </c>
      <c r="AB66" s="160">
        <f>'Datos_fuente'!AC66</f>
        <v/>
      </c>
      <c r="AC66" s="160">
        <f>IF('Datos_fuente'!AD66="","",LN('Datos_fuente'!AD66))</f>
        <v/>
      </c>
      <c r="AD66" s="160">
        <f>IF(OR(AC66="",AC65=""),"",AC66-AC65)</f>
        <v/>
      </c>
      <c r="AE66" s="160">
        <f>IF('Datos_fuente'!AE66="","",LN('Datos_fuente'!AE66))</f>
        <v/>
      </c>
      <c r="AF66" s="160">
        <f>IF(OR(AE66="",AE65=""),"",AE66-AE65)</f>
        <v/>
      </c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'Datos_fuente'!A67</f>
        <v/>
      </c>
      <c r="B67" s="160">
        <f>IF('Datos_fuente'!B67="","",LN('Datos_fuente'!B67))</f>
        <v/>
      </c>
      <c r="C67" s="160">
        <f>IF(OR(B67="",B66=""),"",B67-B66)</f>
        <v/>
      </c>
      <c r="D67" s="160">
        <f>IF('Datos_fuente'!C67="","",LN('Datos_fuente'!C67))</f>
        <v/>
      </c>
      <c r="E67" s="160">
        <f>IF(OR(D67="",D66=""),"",D67-D66)</f>
        <v/>
      </c>
      <c r="F67" s="160">
        <f>IF('Datos_fuente'!E67="","",LN('Datos_fuente'!E67))</f>
        <v/>
      </c>
      <c r="G67" s="160">
        <f>IF(OR(F67="",F66=""),"",F67-F66)</f>
        <v/>
      </c>
      <c r="H67" s="161">
        <f>'Datos_fuente'!H67</f>
        <v/>
      </c>
      <c r="I67" s="161">
        <f>IF(OR(H67="",H66=""),"",H67-H66)</f>
        <v/>
      </c>
      <c r="J67" s="161">
        <f>'Datos_fuente'!J67</f>
        <v/>
      </c>
      <c r="K67" s="161">
        <f>IF(OR(J67="",J66=""),"",J67-J66)</f>
        <v/>
      </c>
      <c r="L67" s="160">
        <f>IF('Datos_fuente'!K67="","",LN('Datos_fuente'!K67))</f>
        <v/>
      </c>
      <c r="M67" s="160">
        <f>IF(OR(L67="",L66=""),"",L67-L66)</f>
        <v/>
      </c>
      <c r="N67" s="160">
        <f>IF('Datos_fuente'!L67="","",LN('Datos_fuente'!L67))</f>
        <v/>
      </c>
      <c r="O67" s="160">
        <f>IF(OR(N67="",N66=""),"",N67-N66)</f>
        <v/>
      </c>
      <c r="P67" s="162">
        <f>'Datos_fuente'!M67</f>
        <v/>
      </c>
      <c r="Q67" s="160">
        <f>IF('Datos_fuente'!N67="","",LN('Datos_fuente'!N67))</f>
        <v/>
      </c>
      <c r="R67" s="160">
        <f>IF(OR(Q67="",Q66=""),"",Q67-Q66)</f>
        <v/>
      </c>
      <c r="S67" s="161">
        <f>'Datos_fuente'!P67</f>
        <v/>
      </c>
      <c r="T67" s="161">
        <f>IF(OR(S67="",S66=""),"",S67-S66)</f>
        <v/>
      </c>
      <c r="U67" s="160">
        <f>IF('Datos_fuente'!Q67="","",ASINH('Datos_fuente'!Q67/1000))</f>
        <v/>
      </c>
      <c r="V67" s="160">
        <f>IF(OR(U67="",U66=""),"",U67-U66)</f>
        <v/>
      </c>
      <c r="W67" s="160">
        <f>IF('Datos_fuente'!R67="","",ASINH('Datos_fuente'!R67/1000))</f>
        <v/>
      </c>
      <c r="X67" s="160">
        <f>IF(OR(W67="",W66=""),"",W67-W66)</f>
        <v/>
      </c>
      <c r="Y67" s="161">
        <f>'Datos_fuente'!W67</f>
        <v/>
      </c>
      <c r="Z67" s="161">
        <f>IF(OR(Y67="",Y66=""),"",Y67-Y66)</f>
        <v/>
      </c>
      <c r="AA67" s="160">
        <f>'Datos_fuente'!AB67</f>
        <v/>
      </c>
      <c r="AB67" s="160">
        <f>'Datos_fuente'!AC67</f>
        <v/>
      </c>
      <c r="AC67" s="160">
        <f>IF('Datos_fuente'!AD67="","",LN('Datos_fuente'!AD67))</f>
        <v/>
      </c>
      <c r="AD67" s="160">
        <f>IF(OR(AC67="",AC66=""),"",AC67-AC66)</f>
        <v/>
      </c>
      <c r="AE67" s="160">
        <f>IF('Datos_fuente'!AE67="","",LN('Datos_fuente'!AE67))</f>
        <v/>
      </c>
      <c r="AF67" s="160">
        <f>IF(OR(AE67="",AE66=""),"",AE67-AE66)</f>
        <v/>
      </c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'Datos_fuente'!A68</f>
        <v/>
      </c>
      <c r="B68" s="160">
        <f>IF('Datos_fuente'!B68="","",LN('Datos_fuente'!B68))</f>
        <v/>
      </c>
      <c r="C68" s="160">
        <f>IF(OR(B68="",B67=""),"",B68-B67)</f>
        <v/>
      </c>
      <c r="D68" s="160">
        <f>IF('Datos_fuente'!C68="","",LN('Datos_fuente'!C68))</f>
        <v/>
      </c>
      <c r="E68" s="160">
        <f>IF(OR(D68="",D67=""),"",D68-D67)</f>
        <v/>
      </c>
      <c r="F68" s="160">
        <f>IF('Datos_fuente'!E68="","",LN('Datos_fuente'!E68))</f>
        <v/>
      </c>
      <c r="G68" s="160">
        <f>IF(OR(F68="",F67=""),"",F68-F67)</f>
        <v/>
      </c>
      <c r="H68" s="161">
        <f>'Datos_fuente'!H68</f>
        <v/>
      </c>
      <c r="I68" s="161">
        <f>IF(OR(H68="",H67=""),"",H68-H67)</f>
        <v/>
      </c>
      <c r="J68" s="161">
        <f>'Datos_fuente'!J68</f>
        <v/>
      </c>
      <c r="K68" s="161">
        <f>IF(OR(J68="",J67=""),"",J68-J67)</f>
        <v/>
      </c>
      <c r="L68" s="160">
        <f>IF('Datos_fuente'!K68="","",LN('Datos_fuente'!K68))</f>
        <v/>
      </c>
      <c r="M68" s="160">
        <f>IF(OR(L68="",L67=""),"",L68-L67)</f>
        <v/>
      </c>
      <c r="N68" s="160">
        <f>IF('Datos_fuente'!L68="","",LN('Datos_fuente'!L68))</f>
        <v/>
      </c>
      <c r="O68" s="160">
        <f>IF(OR(N68="",N67=""),"",N68-N67)</f>
        <v/>
      </c>
      <c r="P68" s="162">
        <f>'Datos_fuente'!M68</f>
        <v/>
      </c>
      <c r="Q68" s="160">
        <f>IF('Datos_fuente'!N68="","",LN('Datos_fuente'!N68))</f>
        <v/>
      </c>
      <c r="R68" s="160">
        <f>IF(OR(Q68="",Q67=""),"",Q68-Q67)</f>
        <v/>
      </c>
      <c r="S68" s="161">
        <f>'Datos_fuente'!P68</f>
        <v/>
      </c>
      <c r="T68" s="161">
        <f>IF(OR(S68="",S67=""),"",S68-S67)</f>
        <v/>
      </c>
      <c r="U68" s="160">
        <f>IF('Datos_fuente'!Q68="","",ASINH('Datos_fuente'!Q68/1000))</f>
        <v/>
      </c>
      <c r="V68" s="160">
        <f>IF(OR(U68="",U67=""),"",U68-U67)</f>
        <v/>
      </c>
      <c r="W68" s="160">
        <f>IF('Datos_fuente'!R68="","",ASINH('Datos_fuente'!R68/1000))</f>
        <v/>
      </c>
      <c r="X68" s="160">
        <f>IF(OR(W68="",W67=""),"",W68-W67)</f>
        <v/>
      </c>
      <c r="Y68" s="161">
        <f>'Datos_fuente'!W68</f>
        <v/>
      </c>
      <c r="Z68" s="161">
        <f>IF(OR(Y68="",Y67=""),"",Y68-Y67)</f>
        <v/>
      </c>
      <c r="AA68" s="160">
        <f>'Datos_fuente'!AB68</f>
        <v/>
      </c>
      <c r="AB68" s="160">
        <f>'Datos_fuente'!AC68</f>
        <v/>
      </c>
      <c r="AC68" s="160">
        <f>IF('Datos_fuente'!AD68="","",LN('Datos_fuente'!AD68))</f>
        <v/>
      </c>
      <c r="AD68" s="160">
        <f>IF(OR(AC68="",AC67=""),"",AC68-AC67)</f>
        <v/>
      </c>
      <c r="AE68" s="160">
        <f>IF('Datos_fuente'!AE68="","",LN('Datos_fuente'!AE68))</f>
        <v/>
      </c>
      <c r="AF68" s="160">
        <f>IF(OR(AE68="",AE67=""),"",AE68-AE67)</f>
        <v/>
      </c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'Datos_fuente'!A69</f>
        <v/>
      </c>
      <c r="B69" s="160">
        <f>IF('Datos_fuente'!B69="","",LN('Datos_fuente'!B69))</f>
        <v/>
      </c>
      <c r="C69" s="160">
        <f>IF(OR(B69="",B68=""),"",B69-B68)</f>
        <v/>
      </c>
      <c r="D69" s="160">
        <f>IF('Datos_fuente'!C69="","",LN('Datos_fuente'!C69))</f>
        <v/>
      </c>
      <c r="E69" s="160">
        <f>IF(OR(D69="",D68=""),"",D69-D68)</f>
        <v/>
      </c>
      <c r="F69" s="160">
        <f>IF('Datos_fuente'!E69="","",LN('Datos_fuente'!E69))</f>
        <v/>
      </c>
      <c r="G69" s="160">
        <f>IF(OR(F69="",F68=""),"",F69-F68)</f>
        <v/>
      </c>
      <c r="H69" s="161">
        <f>'Datos_fuente'!H69</f>
        <v/>
      </c>
      <c r="I69" s="161">
        <f>IF(OR(H69="",H68=""),"",H69-H68)</f>
        <v/>
      </c>
      <c r="J69" s="161">
        <f>'Datos_fuente'!J69</f>
        <v/>
      </c>
      <c r="K69" s="161">
        <f>IF(OR(J69="",J68=""),"",J69-J68)</f>
        <v/>
      </c>
      <c r="L69" s="160">
        <f>IF('Datos_fuente'!K69="","",LN('Datos_fuente'!K69))</f>
        <v/>
      </c>
      <c r="M69" s="160">
        <f>IF(OR(L69="",L68=""),"",L69-L68)</f>
        <v/>
      </c>
      <c r="N69" s="160">
        <f>IF('Datos_fuente'!L69="","",LN('Datos_fuente'!L69))</f>
        <v/>
      </c>
      <c r="O69" s="160">
        <f>IF(OR(N69="",N68=""),"",N69-N68)</f>
        <v/>
      </c>
      <c r="P69" s="162">
        <f>'Datos_fuente'!M69</f>
        <v/>
      </c>
      <c r="Q69" s="160">
        <f>IF('Datos_fuente'!N69="","",LN('Datos_fuente'!N69))</f>
        <v/>
      </c>
      <c r="R69" s="160">
        <f>IF(OR(Q69="",Q68=""),"",Q69-Q68)</f>
        <v/>
      </c>
      <c r="S69" s="161">
        <f>'Datos_fuente'!P69</f>
        <v/>
      </c>
      <c r="T69" s="161">
        <f>IF(OR(S69="",S68=""),"",S69-S68)</f>
        <v/>
      </c>
      <c r="U69" s="160">
        <f>IF('Datos_fuente'!Q69="","",ASINH('Datos_fuente'!Q69/1000))</f>
        <v/>
      </c>
      <c r="V69" s="160">
        <f>IF(OR(U69="",U68=""),"",U69-U68)</f>
        <v/>
      </c>
      <c r="W69" s="160">
        <f>IF('Datos_fuente'!R69="","",ASINH('Datos_fuente'!R69/1000))</f>
        <v/>
      </c>
      <c r="X69" s="160">
        <f>IF(OR(W69="",W68=""),"",W69-W68)</f>
        <v/>
      </c>
      <c r="Y69" s="161">
        <f>'Datos_fuente'!W69</f>
        <v/>
      </c>
      <c r="Z69" s="161">
        <f>IF(OR(Y69="",Y68=""),"",Y69-Y68)</f>
        <v/>
      </c>
      <c r="AA69" s="160">
        <f>'Datos_fuente'!AB69</f>
        <v/>
      </c>
      <c r="AB69" s="160">
        <f>'Datos_fuente'!AC69</f>
        <v/>
      </c>
      <c r="AC69" s="160">
        <f>IF('Datos_fuente'!AD69="","",LN('Datos_fuente'!AD69))</f>
        <v/>
      </c>
      <c r="AD69" s="160">
        <f>IF(OR(AC69="",AC68=""),"",AC69-AC68)</f>
        <v/>
      </c>
      <c r="AE69" s="160">
        <f>IF('Datos_fuente'!AE69="","",LN('Datos_fuente'!AE69))</f>
        <v/>
      </c>
      <c r="AF69" s="160">
        <f>IF(OR(AE69="",AE68=""),"",AE69-AE68)</f>
        <v/>
      </c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'Datos_fuente'!A70</f>
        <v/>
      </c>
      <c r="B70" s="160">
        <f>IF('Datos_fuente'!B70="","",LN('Datos_fuente'!B70))</f>
        <v/>
      </c>
      <c r="C70" s="160">
        <f>IF(OR(B70="",B69=""),"",B70-B69)</f>
        <v/>
      </c>
      <c r="D70" s="160">
        <f>IF('Datos_fuente'!C70="","",LN('Datos_fuente'!C70))</f>
        <v/>
      </c>
      <c r="E70" s="160">
        <f>IF(OR(D70="",D69=""),"",D70-D69)</f>
        <v/>
      </c>
      <c r="F70" s="160">
        <f>IF('Datos_fuente'!E70="","",LN('Datos_fuente'!E70))</f>
        <v/>
      </c>
      <c r="G70" s="160">
        <f>IF(OR(F70="",F69=""),"",F70-F69)</f>
        <v/>
      </c>
      <c r="H70" s="161">
        <f>'Datos_fuente'!H70</f>
        <v/>
      </c>
      <c r="I70" s="161">
        <f>IF(OR(H70="",H69=""),"",H70-H69)</f>
        <v/>
      </c>
      <c r="J70" s="161">
        <f>'Datos_fuente'!J70</f>
        <v/>
      </c>
      <c r="K70" s="161">
        <f>IF(OR(J70="",J69=""),"",J70-J69)</f>
        <v/>
      </c>
      <c r="L70" s="160">
        <f>IF('Datos_fuente'!K70="","",LN('Datos_fuente'!K70))</f>
        <v/>
      </c>
      <c r="M70" s="160">
        <f>IF(OR(L70="",L69=""),"",L70-L69)</f>
        <v/>
      </c>
      <c r="N70" s="160">
        <f>IF('Datos_fuente'!L70="","",LN('Datos_fuente'!L70))</f>
        <v/>
      </c>
      <c r="O70" s="160">
        <f>IF(OR(N70="",N69=""),"",N70-N69)</f>
        <v/>
      </c>
      <c r="P70" s="162">
        <f>'Datos_fuente'!M70</f>
        <v/>
      </c>
      <c r="Q70" s="160">
        <f>IF('Datos_fuente'!N70="","",LN('Datos_fuente'!N70))</f>
        <v/>
      </c>
      <c r="R70" s="160">
        <f>IF(OR(Q70="",Q69=""),"",Q70-Q69)</f>
        <v/>
      </c>
      <c r="S70" s="161">
        <f>'Datos_fuente'!P70</f>
        <v/>
      </c>
      <c r="T70" s="161">
        <f>IF(OR(S70="",S69=""),"",S70-S69)</f>
        <v/>
      </c>
      <c r="U70" s="160">
        <f>IF('Datos_fuente'!Q70="","",ASINH('Datos_fuente'!Q70/1000))</f>
        <v/>
      </c>
      <c r="V70" s="160">
        <f>IF(OR(U70="",U69=""),"",U70-U69)</f>
        <v/>
      </c>
      <c r="W70" s="160">
        <f>IF('Datos_fuente'!R70="","",ASINH('Datos_fuente'!R70/1000))</f>
        <v/>
      </c>
      <c r="X70" s="160">
        <f>IF(OR(W70="",W69=""),"",W70-W69)</f>
        <v/>
      </c>
      <c r="Y70" s="161">
        <f>'Datos_fuente'!W70</f>
        <v/>
      </c>
      <c r="Z70" s="161">
        <f>IF(OR(Y70="",Y69=""),"",Y70-Y69)</f>
        <v/>
      </c>
      <c r="AA70" s="160">
        <f>'Datos_fuente'!AB70</f>
        <v/>
      </c>
      <c r="AB70" s="160">
        <f>'Datos_fuente'!AC70</f>
        <v/>
      </c>
      <c r="AC70" s="160">
        <f>IF('Datos_fuente'!AD70="","",LN('Datos_fuente'!AD70))</f>
        <v/>
      </c>
      <c r="AD70" s="160">
        <f>IF(OR(AC70="",AC69=""),"",AC70-AC69)</f>
        <v/>
      </c>
      <c r="AE70" s="160">
        <f>IF('Datos_fuente'!AE70="","",LN('Datos_fuente'!AE70))</f>
        <v/>
      </c>
      <c r="AF70" s="160">
        <f>IF(OR(AE70="",AE69=""),"",AE70-AE69)</f>
        <v/>
      </c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'Datos_fuente'!A71</f>
        <v/>
      </c>
      <c r="B71" s="160">
        <f>IF('Datos_fuente'!B71="","",LN('Datos_fuente'!B71))</f>
        <v/>
      </c>
      <c r="C71" s="160">
        <f>IF(OR(B71="",B70=""),"",B71-B70)</f>
        <v/>
      </c>
      <c r="D71" s="160">
        <f>IF('Datos_fuente'!C71="","",LN('Datos_fuente'!C71))</f>
        <v/>
      </c>
      <c r="E71" s="160">
        <f>IF(OR(D71="",D70=""),"",D71-D70)</f>
        <v/>
      </c>
      <c r="F71" s="160">
        <f>IF('Datos_fuente'!E71="","",LN('Datos_fuente'!E71))</f>
        <v/>
      </c>
      <c r="G71" s="160">
        <f>IF(OR(F71="",F70=""),"",F71-F70)</f>
        <v/>
      </c>
      <c r="H71" s="161">
        <f>'Datos_fuente'!H71</f>
        <v/>
      </c>
      <c r="I71" s="161">
        <f>IF(OR(H71="",H70=""),"",H71-H70)</f>
        <v/>
      </c>
      <c r="J71" s="161">
        <f>'Datos_fuente'!J71</f>
        <v/>
      </c>
      <c r="K71" s="161">
        <f>IF(OR(J71="",J70=""),"",J71-J70)</f>
        <v/>
      </c>
      <c r="L71" s="160">
        <f>IF('Datos_fuente'!K71="","",LN('Datos_fuente'!K71))</f>
        <v/>
      </c>
      <c r="M71" s="160">
        <f>IF(OR(L71="",L70=""),"",L71-L70)</f>
        <v/>
      </c>
      <c r="N71" s="160">
        <f>IF('Datos_fuente'!L71="","",LN('Datos_fuente'!L71))</f>
        <v/>
      </c>
      <c r="O71" s="160">
        <f>IF(OR(N71="",N70=""),"",N71-N70)</f>
        <v/>
      </c>
      <c r="P71" s="162">
        <f>'Datos_fuente'!M71</f>
        <v/>
      </c>
      <c r="Q71" s="160">
        <f>IF('Datos_fuente'!N71="","",LN('Datos_fuente'!N71))</f>
        <v/>
      </c>
      <c r="R71" s="160">
        <f>IF(OR(Q71="",Q70=""),"",Q71-Q70)</f>
        <v/>
      </c>
      <c r="S71" s="161">
        <f>'Datos_fuente'!P71</f>
        <v/>
      </c>
      <c r="T71" s="161">
        <f>IF(OR(S71="",S70=""),"",S71-S70)</f>
        <v/>
      </c>
      <c r="U71" s="160">
        <f>IF('Datos_fuente'!Q71="","",ASINH('Datos_fuente'!Q71/1000))</f>
        <v/>
      </c>
      <c r="V71" s="160">
        <f>IF(OR(U71="",U70=""),"",U71-U70)</f>
        <v/>
      </c>
      <c r="W71" s="160">
        <f>IF('Datos_fuente'!R71="","",ASINH('Datos_fuente'!R71/1000))</f>
        <v/>
      </c>
      <c r="X71" s="160">
        <f>IF(OR(W71="",W70=""),"",W71-W70)</f>
        <v/>
      </c>
      <c r="Y71" s="161">
        <f>'Datos_fuente'!W71</f>
        <v/>
      </c>
      <c r="Z71" s="161">
        <f>IF(OR(Y71="",Y70=""),"",Y71-Y70)</f>
        <v/>
      </c>
      <c r="AA71" s="160">
        <f>'Datos_fuente'!AB71</f>
        <v/>
      </c>
      <c r="AB71" s="160">
        <f>'Datos_fuente'!AC71</f>
        <v/>
      </c>
      <c r="AC71" s="160">
        <f>IF('Datos_fuente'!AD71="","",LN('Datos_fuente'!AD71))</f>
        <v/>
      </c>
      <c r="AD71" s="160">
        <f>IF(OR(AC71="",AC70=""),"",AC71-AC70)</f>
        <v/>
      </c>
      <c r="AE71" s="160">
        <f>IF('Datos_fuente'!AE71="","",LN('Datos_fuente'!AE71))</f>
        <v/>
      </c>
      <c r="AF71" s="160">
        <f>IF(OR(AE71="",AE70=""),"",AE71-AE70)</f>
        <v/>
      </c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'Datos_fuente'!A72</f>
        <v/>
      </c>
      <c r="B72" s="160">
        <f>IF('Datos_fuente'!B72="","",LN('Datos_fuente'!B72))</f>
        <v/>
      </c>
      <c r="C72" s="160">
        <f>IF(OR(B72="",B71=""),"",B72-B71)</f>
        <v/>
      </c>
      <c r="D72" s="160">
        <f>IF('Datos_fuente'!C72="","",LN('Datos_fuente'!C72))</f>
        <v/>
      </c>
      <c r="E72" s="160">
        <f>IF(OR(D72="",D71=""),"",D72-D71)</f>
        <v/>
      </c>
      <c r="F72" s="160">
        <f>IF('Datos_fuente'!E72="","",LN('Datos_fuente'!E72))</f>
        <v/>
      </c>
      <c r="G72" s="160">
        <f>IF(OR(F72="",F71=""),"",F72-F71)</f>
        <v/>
      </c>
      <c r="H72" s="161">
        <f>'Datos_fuente'!H72</f>
        <v/>
      </c>
      <c r="I72" s="161">
        <f>IF(OR(H72="",H71=""),"",H72-H71)</f>
        <v/>
      </c>
      <c r="J72" s="161">
        <f>'Datos_fuente'!J72</f>
        <v/>
      </c>
      <c r="K72" s="161">
        <f>IF(OR(J72="",J71=""),"",J72-J71)</f>
        <v/>
      </c>
      <c r="L72" s="160">
        <f>IF('Datos_fuente'!K72="","",LN('Datos_fuente'!K72))</f>
        <v/>
      </c>
      <c r="M72" s="160">
        <f>IF(OR(L72="",L71=""),"",L72-L71)</f>
        <v/>
      </c>
      <c r="N72" s="160">
        <f>IF('Datos_fuente'!L72="","",LN('Datos_fuente'!L72))</f>
        <v/>
      </c>
      <c r="O72" s="160">
        <f>IF(OR(N72="",N71=""),"",N72-N71)</f>
        <v/>
      </c>
      <c r="P72" s="162">
        <f>'Datos_fuente'!M72</f>
        <v/>
      </c>
      <c r="Q72" s="160">
        <f>IF('Datos_fuente'!N72="","",LN('Datos_fuente'!N72))</f>
        <v/>
      </c>
      <c r="R72" s="160">
        <f>IF(OR(Q72="",Q71=""),"",Q72-Q71)</f>
        <v/>
      </c>
      <c r="S72" s="161">
        <f>'Datos_fuente'!P72</f>
        <v/>
      </c>
      <c r="T72" s="161">
        <f>IF(OR(S72="",S71=""),"",S72-S71)</f>
        <v/>
      </c>
      <c r="U72" s="160">
        <f>IF('Datos_fuente'!Q72="","",ASINH('Datos_fuente'!Q72/1000))</f>
        <v/>
      </c>
      <c r="V72" s="160">
        <f>IF(OR(U72="",U71=""),"",U72-U71)</f>
        <v/>
      </c>
      <c r="W72" s="160">
        <f>IF('Datos_fuente'!R72="","",ASINH('Datos_fuente'!R72/1000))</f>
        <v/>
      </c>
      <c r="X72" s="160">
        <f>IF(OR(W72="",W71=""),"",W72-W71)</f>
        <v/>
      </c>
      <c r="Y72" s="161">
        <f>'Datos_fuente'!W72</f>
        <v/>
      </c>
      <c r="Z72" s="161">
        <f>IF(OR(Y72="",Y71=""),"",Y72-Y71)</f>
        <v/>
      </c>
      <c r="AA72" s="160">
        <f>'Datos_fuente'!AB72</f>
        <v/>
      </c>
      <c r="AB72" s="160">
        <f>'Datos_fuente'!AC72</f>
        <v/>
      </c>
      <c r="AC72" s="160">
        <f>IF('Datos_fuente'!AD72="","",LN('Datos_fuente'!AD72))</f>
        <v/>
      </c>
      <c r="AD72" s="160">
        <f>IF(OR(AC72="",AC71=""),"",AC72-AC71)</f>
        <v/>
      </c>
      <c r="AE72" s="160">
        <f>IF('Datos_fuente'!AE72="","",LN('Datos_fuente'!AE72))</f>
        <v/>
      </c>
      <c r="AF72" s="160">
        <f>IF(OR(AE72="",AE71=""),"",AE72-AE71)</f>
        <v/>
      </c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'Datos_fuente'!A73</f>
        <v/>
      </c>
      <c r="B73" s="160">
        <f>IF('Datos_fuente'!B73="","",LN('Datos_fuente'!B73))</f>
        <v/>
      </c>
      <c r="C73" s="160">
        <f>IF(OR(B73="",B72=""),"",B73-B72)</f>
        <v/>
      </c>
      <c r="D73" s="160">
        <f>IF('Datos_fuente'!C73="","",LN('Datos_fuente'!C73))</f>
        <v/>
      </c>
      <c r="E73" s="160">
        <f>IF(OR(D73="",D72=""),"",D73-D72)</f>
        <v/>
      </c>
      <c r="F73" s="160">
        <f>IF('Datos_fuente'!E73="","",LN('Datos_fuente'!E73))</f>
        <v/>
      </c>
      <c r="G73" s="160">
        <f>IF(OR(F73="",F72=""),"",F73-F72)</f>
        <v/>
      </c>
      <c r="H73" s="161">
        <f>'Datos_fuente'!H73</f>
        <v/>
      </c>
      <c r="I73" s="161">
        <f>IF(OR(H73="",H72=""),"",H73-H72)</f>
        <v/>
      </c>
      <c r="J73" s="161">
        <f>'Datos_fuente'!J73</f>
        <v/>
      </c>
      <c r="K73" s="161">
        <f>IF(OR(J73="",J72=""),"",J73-J72)</f>
        <v/>
      </c>
      <c r="L73" s="160">
        <f>IF('Datos_fuente'!K73="","",LN('Datos_fuente'!K73))</f>
        <v/>
      </c>
      <c r="M73" s="160">
        <f>IF(OR(L73="",L72=""),"",L73-L72)</f>
        <v/>
      </c>
      <c r="N73" s="160">
        <f>IF('Datos_fuente'!L73="","",LN('Datos_fuente'!L73))</f>
        <v/>
      </c>
      <c r="O73" s="160">
        <f>IF(OR(N73="",N72=""),"",N73-N72)</f>
        <v/>
      </c>
      <c r="P73" s="162">
        <f>'Datos_fuente'!M73</f>
        <v/>
      </c>
      <c r="Q73" s="160">
        <f>IF('Datos_fuente'!N73="","",LN('Datos_fuente'!N73))</f>
        <v/>
      </c>
      <c r="R73" s="160">
        <f>IF(OR(Q73="",Q72=""),"",Q73-Q72)</f>
        <v/>
      </c>
      <c r="S73" s="161">
        <f>'Datos_fuente'!P73</f>
        <v/>
      </c>
      <c r="T73" s="161">
        <f>IF(OR(S73="",S72=""),"",S73-S72)</f>
        <v/>
      </c>
      <c r="U73" s="160">
        <f>IF('Datos_fuente'!Q73="","",ASINH('Datos_fuente'!Q73/1000))</f>
        <v/>
      </c>
      <c r="V73" s="160">
        <f>IF(OR(U73="",U72=""),"",U73-U72)</f>
        <v/>
      </c>
      <c r="W73" s="160">
        <f>IF('Datos_fuente'!R73="","",ASINH('Datos_fuente'!R73/1000))</f>
        <v/>
      </c>
      <c r="X73" s="160">
        <f>IF(OR(W73="",W72=""),"",W73-W72)</f>
        <v/>
      </c>
      <c r="Y73" s="161">
        <f>'Datos_fuente'!W73</f>
        <v/>
      </c>
      <c r="Z73" s="161">
        <f>IF(OR(Y73="",Y72=""),"",Y73-Y72)</f>
        <v/>
      </c>
      <c r="AA73" s="160">
        <f>'Datos_fuente'!AB73</f>
        <v/>
      </c>
      <c r="AB73" s="160">
        <f>'Datos_fuente'!AC73</f>
        <v/>
      </c>
      <c r="AC73" s="160">
        <f>IF('Datos_fuente'!AD73="","",LN('Datos_fuente'!AD73))</f>
        <v/>
      </c>
      <c r="AD73" s="160">
        <f>IF(OR(AC73="",AC72=""),"",AC73-AC72)</f>
        <v/>
      </c>
      <c r="AE73" s="160">
        <f>IF('Datos_fuente'!AE73="","",LN('Datos_fuente'!AE73))</f>
        <v/>
      </c>
      <c r="AF73" s="160">
        <f>IF(OR(AE73="",AE72=""),"",AE73-AE72)</f>
        <v/>
      </c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'Datos_fuente'!A74</f>
        <v/>
      </c>
      <c r="B74" s="160">
        <f>IF('Datos_fuente'!B74="","",LN('Datos_fuente'!B74))</f>
        <v/>
      </c>
      <c r="C74" s="160">
        <f>IF(OR(B74="",B73=""),"",B74-B73)</f>
        <v/>
      </c>
      <c r="D74" s="160">
        <f>IF('Datos_fuente'!C74="","",LN('Datos_fuente'!C74))</f>
        <v/>
      </c>
      <c r="E74" s="160">
        <f>IF(OR(D74="",D73=""),"",D74-D73)</f>
        <v/>
      </c>
      <c r="F74" s="160">
        <f>IF('Datos_fuente'!E74="","",LN('Datos_fuente'!E74))</f>
        <v/>
      </c>
      <c r="G74" s="160">
        <f>IF(OR(F74="",F73=""),"",F74-F73)</f>
        <v/>
      </c>
      <c r="H74" s="161">
        <f>'Datos_fuente'!H74</f>
        <v/>
      </c>
      <c r="I74" s="161">
        <f>IF(OR(H74="",H73=""),"",H74-H73)</f>
        <v/>
      </c>
      <c r="J74" s="161">
        <f>'Datos_fuente'!J74</f>
        <v/>
      </c>
      <c r="K74" s="161">
        <f>IF(OR(J74="",J73=""),"",J74-J73)</f>
        <v/>
      </c>
      <c r="L74" s="160">
        <f>IF('Datos_fuente'!K74="","",LN('Datos_fuente'!K74))</f>
        <v/>
      </c>
      <c r="M74" s="160">
        <f>IF(OR(L74="",L73=""),"",L74-L73)</f>
        <v/>
      </c>
      <c r="N74" s="160">
        <f>IF('Datos_fuente'!L74="","",LN('Datos_fuente'!L74))</f>
        <v/>
      </c>
      <c r="O74" s="160">
        <f>IF(OR(N74="",N73=""),"",N74-N73)</f>
        <v/>
      </c>
      <c r="P74" s="162">
        <f>'Datos_fuente'!M74</f>
        <v/>
      </c>
      <c r="Q74" s="160">
        <f>IF('Datos_fuente'!N74="","",LN('Datos_fuente'!N74))</f>
        <v/>
      </c>
      <c r="R74" s="160">
        <f>IF(OR(Q74="",Q73=""),"",Q74-Q73)</f>
        <v/>
      </c>
      <c r="S74" s="161">
        <f>'Datos_fuente'!P74</f>
        <v/>
      </c>
      <c r="T74" s="161">
        <f>IF(OR(S74="",S73=""),"",S74-S73)</f>
        <v/>
      </c>
      <c r="U74" s="160">
        <f>IF('Datos_fuente'!Q74="","",ASINH('Datos_fuente'!Q74/1000))</f>
        <v/>
      </c>
      <c r="V74" s="160">
        <f>IF(OR(U74="",U73=""),"",U74-U73)</f>
        <v/>
      </c>
      <c r="W74" s="160">
        <f>IF('Datos_fuente'!R74="","",ASINH('Datos_fuente'!R74/1000))</f>
        <v/>
      </c>
      <c r="X74" s="160">
        <f>IF(OR(W74="",W73=""),"",W74-W73)</f>
        <v/>
      </c>
      <c r="Y74" s="161">
        <f>'Datos_fuente'!W74</f>
        <v/>
      </c>
      <c r="Z74" s="161">
        <f>IF(OR(Y74="",Y73=""),"",Y74-Y73)</f>
        <v/>
      </c>
      <c r="AA74" s="160">
        <f>'Datos_fuente'!AB74</f>
        <v/>
      </c>
      <c r="AB74" s="160">
        <f>'Datos_fuente'!AC74</f>
        <v/>
      </c>
      <c r="AC74" s="160">
        <f>IF('Datos_fuente'!AD74="","",LN('Datos_fuente'!AD74))</f>
        <v/>
      </c>
      <c r="AD74" s="160">
        <f>IF(OR(AC74="",AC73=""),"",AC74-AC73)</f>
        <v/>
      </c>
      <c r="AE74" s="160">
        <f>IF('Datos_fuente'!AE74="","",LN('Datos_fuente'!AE74))</f>
        <v/>
      </c>
      <c r="AF74" s="160">
        <f>IF(OR(AE74="",AE73=""),"",AE74-AE73)</f>
        <v/>
      </c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'Datos_fuente'!A75</f>
        <v/>
      </c>
      <c r="B75" s="160">
        <f>IF('Datos_fuente'!B75="","",LN('Datos_fuente'!B75))</f>
        <v/>
      </c>
      <c r="C75" s="160">
        <f>IF(OR(B75="",B74=""),"",B75-B74)</f>
        <v/>
      </c>
      <c r="D75" s="160">
        <f>IF('Datos_fuente'!C75="","",LN('Datos_fuente'!C75))</f>
        <v/>
      </c>
      <c r="E75" s="160">
        <f>IF(OR(D75="",D74=""),"",D75-D74)</f>
        <v/>
      </c>
      <c r="F75" s="160">
        <f>IF('Datos_fuente'!E75="","",LN('Datos_fuente'!E75))</f>
        <v/>
      </c>
      <c r="G75" s="160">
        <f>IF(OR(F75="",F74=""),"",F75-F74)</f>
        <v/>
      </c>
      <c r="H75" s="161">
        <f>'Datos_fuente'!H75</f>
        <v/>
      </c>
      <c r="I75" s="161">
        <f>IF(OR(H75="",H74=""),"",H75-H74)</f>
        <v/>
      </c>
      <c r="J75" s="161">
        <f>'Datos_fuente'!J75</f>
        <v/>
      </c>
      <c r="K75" s="161">
        <f>IF(OR(J75="",J74=""),"",J75-J74)</f>
        <v/>
      </c>
      <c r="L75" s="160">
        <f>IF('Datos_fuente'!K75="","",LN('Datos_fuente'!K75))</f>
        <v/>
      </c>
      <c r="M75" s="160">
        <f>IF(OR(L75="",L74=""),"",L75-L74)</f>
        <v/>
      </c>
      <c r="N75" s="160">
        <f>IF('Datos_fuente'!L75="","",LN('Datos_fuente'!L75))</f>
        <v/>
      </c>
      <c r="O75" s="160">
        <f>IF(OR(N75="",N74=""),"",N75-N74)</f>
        <v/>
      </c>
      <c r="P75" s="162">
        <f>'Datos_fuente'!M75</f>
        <v/>
      </c>
      <c r="Q75" s="160">
        <f>IF('Datos_fuente'!N75="","",LN('Datos_fuente'!N75))</f>
        <v/>
      </c>
      <c r="R75" s="160">
        <f>IF(OR(Q75="",Q74=""),"",Q75-Q74)</f>
        <v/>
      </c>
      <c r="S75" s="161">
        <f>'Datos_fuente'!P75</f>
        <v/>
      </c>
      <c r="T75" s="161">
        <f>IF(OR(S75="",S74=""),"",S75-S74)</f>
        <v/>
      </c>
      <c r="U75" s="160">
        <f>IF('Datos_fuente'!Q75="","",ASINH('Datos_fuente'!Q75/1000))</f>
        <v/>
      </c>
      <c r="V75" s="160">
        <f>IF(OR(U75="",U74=""),"",U75-U74)</f>
        <v/>
      </c>
      <c r="W75" s="160">
        <f>IF('Datos_fuente'!R75="","",ASINH('Datos_fuente'!R75/1000))</f>
        <v/>
      </c>
      <c r="X75" s="160">
        <f>IF(OR(W75="",W74=""),"",W75-W74)</f>
        <v/>
      </c>
      <c r="Y75" s="161">
        <f>'Datos_fuente'!W75</f>
        <v/>
      </c>
      <c r="Z75" s="161">
        <f>IF(OR(Y75="",Y74=""),"",Y75-Y74)</f>
        <v/>
      </c>
      <c r="AA75" s="160">
        <f>'Datos_fuente'!AB75</f>
        <v/>
      </c>
      <c r="AB75" s="160">
        <f>'Datos_fuente'!AC75</f>
        <v/>
      </c>
      <c r="AC75" s="160">
        <f>IF('Datos_fuente'!AD75="","",LN('Datos_fuente'!AD75))</f>
        <v/>
      </c>
      <c r="AD75" s="160">
        <f>IF(OR(AC75="",AC74=""),"",AC75-AC74)</f>
        <v/>
      </c>
      <c r="AE75" s="160">
        <f>IF('Datos_fuente'!AE75="","",LN('Datos_fuente'!AE75))</f>
        <v/>
      </c>
      <c r="AF75" s="160">
        <f>IF(OR(AE75="",AE74=""),"",AE75-AE74)</f>
        <v/>
      </c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'Datos_fuente'!A76</f>
        <v/>
      </c>
      <c r="B76" s="160">
        <f>IF('Datos_fuente'!B76="","",LN('Datos_fuente'!B76))</f>
        <v/>
      </c>
      <c r="C76" s="160">
        <f>IF(OR(B76="",B75=""),"",B76-B75)</f>
        <v/>
      </c>
      <c r="D76" s="160">
        <f>IF('Datos_fuente'!C76="","",LN('Datos_fuente'!C76))</f>
        <v/>
      </c>
      <c r="E76" s="160">
        <f>IF(OR(D76="",D75=""),"",D76-D75)</f>
        <v/>
      </c>
      <c r="F76" s="160">
        <f>IF('Datos_fuente'!E76="","",LN('Datos_fuente'!E76))</f>
        <v/>
      </c>
      <c r="G76" s="160">
        <f>IF(OR(F76="",F75=""),"",F76-F75)</f>
        <v/>
      </c>
      <c r="H76" s="161">
        <f>'Datos_fuente'!H76</f>
        <v/>
      </c>
      <c r="I76" s="161">
        <f>IF(OR(H76="",H75=""),"",H76-H75)</f>
        <v/>
      </c>
      <c r="J76" s="161">
        <f>'Datos_fuente'!J76</f>
        <v/>
      </c>
      <c r="K76" s="161">
        <f>IF(OR(J76="",J75=""),"",J76-J75)</f>
        <v/>
      </c>
      <c r="L76" s="160">
        <f>IF('Datos_fuente'!K76="","",LN('Datos_fuente'!K76))</f>
        <v/>
      </c>
      <c r="M76" s="160">
        <f>IF(OR(L76="",L75=""),"",L76-L75)</f>
        <v/>
      </c>
      <c r="N76" s="160">
        <f>IF('Datos_fuente'!L76="","",LN('Datos_fuente'!L76))</f>
        <v/>
      </c>
      <c r="O76" s="160">
        <f>IF(OR(N76="",N75=""),"",N76-N75)</f>
        <v/>
      </c>
      <c r="P76" s="162">
        <f>'Datos_fuente'!M76</f>
        <v/>
      </c>
      <c r="Q76" s="160">
        <f>IF('Datos_fuente'!N76="","",LN('Datos_fuente'!N76))</f>
        <v/>
      </c>
      <c r="R76" s="160">
        <f>IF(OR(Q76="",Q75=""),"",Q76-Q75)</f>
        <v/>
      </c>
      <c r="S76" s="161">
        <f>'Datos_fuente'!P76</f>
        <v/>
      </c>
      <c r="T76" s="161">
        <f>IF(OR(S76="",S75=""),"",S76-S75)</f>
        <v/>
      </c>
      <c r="U76" s="160">
        <f>IF('Datos_fuente'!Q76="","",ASINH('Datos_fuente'!Q76/1000))</f>
        <v/>
      </c>
      <c r="V76" s="160">
        <f>IF(OR(U76="",U75=""),"",U76-U75)</f>
        <v/>
      </c>
      <c r="W76" s="160">
        <f>IF('Datos_fuente'!R76="","",ASINH('Datos_fuente'!R76/1000))</f>
        <v/>
      </c>
      <c r="X76" s="160">
        <f>IF(OR(W76="",W75=""),"",W76-W75)</f>
        <v/>
      </c>
      <c r="Y76" s="161">
        <f>'Datos_fuente'!W76</f>
        <v/>
      </c>
      <c r="Z76" s="161">
        <f>IF(OR(Y76="",Y75=""),"",Y76-Y75)</f>
        <v/>
      </c>
      <c r="AA76" s="160">
        <f>'Datos_fuente'!AB76</f>
        <v/>
      </c>
      <c r="AB76" s="160">
        <f>'Datos_fuente'!AC76</f>
        <v/>
      </c>
      <c r="AC76" s="160">
        <f>IF('Datos_fuente'!AD76="","",LN('Datos_fuente'!AD76))</f>
        <v/>
      </c>
      <c r="AD76" s="160">
        <f>IF(OR(AC76="",AC75=""),"",AC76-AC75)</f>
        <v/>
      </c>
      <c r="AE76" s="160">
        <f>IF('Datos_fuente'!AE76="","",LN('Datos_fuente'!AE76))</f>
        <v/>
      </c>
      <c r="AF76" s="160">
        <f>IF(OR(AE76="",AE75=""),"",AE76-AE75)</f>
        <v/>
      </c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'Datos_fuente'!A77</f>
        <v/>
      </c>
      <c r="B77" s="160">
        <f>IF('Datos_fuente'!B77="","",LN('Datos_fuente'!B77))</f>
        <v/>
      </c>
      <c r="C77" s="160">
        <f>IF(OR(B77="",B76=""),"",B77-B76)</f>
        <v/>
      </c>
      <c r="D77" s="160">
        <f>IF('Datos_fuente'!C77="","",LN('Datos_fuente'!C77))</f>
        <v/>
      </c>
      <c r="E77" s="160">
        <f>IF(OR(D77="",D76=""),"",D77-D76)</f>
        <v/>
      </c>
      <c r="F77" s="160">
        <f>IF('Datos_fuente'!E77="","",LN('Datos_fuente'!E77))</f>
        <v/>
      </c>
      <c r="G77" s="160">
        <f>IF(OR(F77="",F76=""),"",F77-F76)</f>
        <v/>
      </c>
      <c r="H77" s="161">
        <f>'Datos_fuente'!H77</f>
        <v/>
      </c>
      <c r="I77" s="161">
        <f>IF(OR(H77="",H76=""),"",H77-H76)</f>
        <v/>
      </c>
      <c r="J77" s="161">
        <f>'Datos_fuente'!J77</f>
        <v/>
      </c>
      <c r="K77" s="161">
        <f>IF(OR(J77="",J76=""),"",J77-J76)</f>
        <v/>
      </c>
      <c r="L77" s="160">
        <f>IF('Datos_fuente'!K77="","",LN('Datos_fuente'!K77))</f>
        <v/>
      </c>
      <c r="M77" s="160">
        <f>IF(OR(L77="",L76=""),"",L77-L76)</f>
        <v/>
      </c>
      <c r="N77" s="160">
        <f>IF('Datos_fuente'!L77="","",LN('Datos_fuente'!L77))</f>
        <v/>
      </c>
      <c r="O77" s="160">
        <f>IF(OR(N77="",N76=""),"",N77-N76)</f>
        <v/>
      </c>
      <c r="P77" s="162">
        <f>'Datos_fuente'!M77</f>
        <v/>
      </c>
      <c r="Q77" s="160">
        <f>IF('Datos_fuente'!N77="","",LN('Datos_fuente'!N77))</f>
        <v/>
      </c>
      <c r="R77" s="160">
        <f>IF(OR(Q77="",Q76=""),"",Q77-Q76)</f>
        <v/>
      </c>
      <c r="S77" s="161">
        <f>'Datos_fuente'!P77</f>
        <v/>
      </c>
      <c r="T77" s="161">
        <f>IF(OR(S77="",S76=""),"",S77-S76)</f>
        <v/>
      </c>
      <c r="U77" s="160">
        <f>IF('Datos_fuente'!Q77="","",ASINH('Datos_fuente'!Q77/1000))</f>
        <v/>
      </c>
      <c r="V77" s="160">
        <f>IF(OR(U77="",U76=""),"",U77-U76)</f>
        <v/>
      </c>
      <c r="W77" s="160">
        <f>IF('Datos_fuente'!R77="","",ASINH('Datos_fuente'!R77/1000))</f>
        <v/>
      </c>
      <c r="X77" s="160">
        <f>IF(OR(W77="",W76=""),"",W77-W76)</f>
        <v/>
      </c>
      <c r="Y77" s="161">
        <f>'Datos_fuente'!W77</f>
        <v/>
      </c>
      <c r="Z77" s="161">
        <f>IF(OR(Y77="",Y76=""),"",Y77-Y76)</f>
        <v/>
      </c>
      <c r="AA77" s="160">
        <f>'Datos_fuente'!AB77</f>
        <v/>
      </c>
      <c r="AB77" s="160">
        <f>'Datos_fuente'!AC77</f>
        <v/>
      </c>
      <c r="AC77" s="160">
        <f>IF('Datos_fuente'!AD77="","",LN('Datos_fuente'!AD77))</f>
        <v/>
      </c>
      <c r="AD77" s="160">
        <f>IF(OR(AC77="",AC76=""),"",AC77-AC76)</f>
        <v/>
      </c>
      <c r="AE77" s="160">
        <f>IF('Datos_fuente'!AE77="","",LN('Datos_fuente'!AE77))</f>
        <v/>
      </c>
      <c r="AF77" s="160">
        <f>IF(OR(AE77="",AE76=""),"",AE77-AE76)</f>
        <v/>
      </c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'Datos_fuente'!A78</f>
        <v/>
      </c>
      <c r="B78" s="160">
        <f>IF('Datos_fuente'!B78="","",LN('Datos_fuente'!B78))</f>
        <v/>
      </c>
      <c r="C78" s="160">
        <f>IF(OR(B78="",B77=""),"",B78-B77)</f>
        <v/>
      </c>
      <c r="D78" s="160">
        <f>IF('Datos_fuente'!C78="","",LN('Datos_fuente'!C78))</f>
        <v/>
      </c>
      <c r="E78" s="160">
        <f>IF(OR(D78="",D77=""),"",D78-D77)</f>
        <v/>
      </c>
      <c r="F78" s="160">
        <f>IF('Datos_fuente'!E78="","",LN('Datos_fuente'!E78))</f>
        <v/>
      </c>
      <c r="G78" s="160">
        <f>IF(OR(F78="",F77=""),"",F78-F77)</f>
        <v/>
      </c>
      <c r="H78" s="161">
        <f>'Datos_fuente'!H78</f>
        <v/>
      </c>
      <c r="I78" s="161">
        <f>IF(OR(H78="",H77=""),"",H78-H77)</f>
        <v/>
      </c>
      <c r="J78" s="161">
        <f>'Datos_fuente'!J78</f>
        <v/>
      </c>
      <c r="K78" s="161">
        <f>IF(OR(J78="",J77=""),"",J78-J77)</f>
        <v/>
      </c>
      <c r="L78" s="160">
        <f>IF('Datos_fuente'!K78="","",LN('Datos_fuente'!K78))</f>
        <v/>
      </c>
      <c r="M78" s="160">
        <f>IF(OR(L78="",L77=""),"",L78-L77)</f>
        <v/>
      </c>
      <c r="N78" s="160">
        <f>IF('Datos_fuente'!L78="","",LN('Datos_fuente'!L78))</f>
        <v/>
      </c>
      <c r="O78" s="160">
        <f>IF(OR(N78="",N77=""),"",N78-N77)</f>
        <v/>
      </c>
      <c r="P78" s="162">
        <f>'Datos_fuente'!M78</f>
        <v/>
      </c>
      <c r="Q78" s="160">
        <f>IF('Datos_fuente'!N78="","",LN('Datos_fuente'!N78))</f>
        <v/>
      </c>
      <c r="R78" s="160">
        <f>IF(OR(Q78="",Q77=""),"",Q78-Q77)</f>
        <v/>
      </c>
      <c r="S78" s="161">
        <f>'Datos_fuente'!P78</f>
        <v/>
      </c>
      <c r="T78" s="161">
        <f>IF(OR(S78="",S77=""),"",S78-S77)</f>
        <v/>
      </c>
      <c r="U78" s="160">
        <f>IF('Datos_fuente'!Q78="","",ASINH('Datos_fuente'!Q78/1000))</f>
        <v/>
      </c>
      <c r="V78" s="160">
        <f>IF(OR(U78="",U77=""),"",U78-U77)</f>
        <v/>
      </c>
      <c r="W78" s="160">
        <f>IF('Datos_fuente'!R78="","",ASINH('Datos_fuente'!R78/1000))</f>
        <v/>
      </c>
      <c r="X78" s="160">
        <f>IF(OR(W78="",W77=""),"",W78-W77)</f>
        <v/>
      </c>
      <c r="Y78" s="161">
        <f>'Datos_fuente'!W78</f>
        <v/>
      </c>
      <c r="Z78" s="161">
        <f>IF(OR(Y78="",Y77=""),"",Y78-Y77)</f>
        <v/>
      </c>
      <c r="AA78" s="160">
        <f>'Datos_fuente'!AB78</f>
        <v/>
      </c>
      <c r="AB78" s="160">
        <f>'Datos_fuente'!AC78</f>
        <v/>
      </c>
      <c r="AC78" s="160">
        <f>IF('Datos_fuente'!AD78="","",LN('Datos_fuente'!AD78))</f>
        <v/>
      </c>
      <c r="AD78" s="160">
        <f>IF(OR(AC78="",AC77=""),"",AC78-AC77)</f>
        <v/>
      </c>
      <c r="AE78" s="160">
        <f>IF('Datos_fuente'!AE78="","",LN('Datos_fuente'!AE78))</f>
        <v/>
      </c>
      <c r="AF78" s="160">
        <f>IF(OR(AE78="",AE77=""),"",AE78-AE77)</f>
        <v/>
      </c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'Datos_fuente'!A79</f>
        <v/>
      </c>
      <c r="B79" s="160">
        <f>IF('Datos_fuente'!B79="","",LN('Datos_fuente'!B79))</f>
        <v/>
      </c>
      <c r="C79" s="160">
        <f>IF(OR(B79="",B78=""),"",B79-B78)</f>
        <v/>
      </c>
      <c r="D79" s="160">
        <f>IF('Datos_fuente'!C79="","",LN('Datos_fuente'!C79))</f>
        <v/>
      </c>
      <c r="E79" s="160">
        <f>IF(OR(D79="",D78=""),"",D79-D78)</f>
        <v/>
      </c>
      <c r="F79" s="160">
        <f>IF('Datos_fuente'!E79="","",LN('Datos_fuente'!E79))</f>
        <v/>
      </c>
      <c r="G79" s="160">
        <f>IF(OR(F79="",F78=""),"",F79-F78)</f>
        <v/>
      </c>
      <c r="H79" s="161">
        <f>'Datos_fuente'!H79</f>
        <v/>
      </c>
      <c r="I79" s="161">
        <f>IF(OR(H79="",H78=""),"",H79-H78)</f>
        <v/>
      </c>
      <c r="J79" s="161">
        <f>'Datos_fuente'!J79</f>
        <v/>
      </c>
      <c r="K79" s="161">
        <f>IF(OR(J79="",J78=""),"",J79-J78)</f>
        <v/>
      </c>
      <c r="L79" s="160">
        <f>IF('Datos_fuente'!K79="","",LN('Datos_fuente'!K79))</f>
        <v/>
      </c>
      <c r="M79" s="160">
        <f>IF(OR(L79="",L78=""),"",L79-L78)</f>
        <v/>
      </c>
      <c r="N79" s="160">
        <f>IF('Datos_fuente'!L79="","",LN('Datos_fuente'!L79))</f>
        <v/>
      </c>
      <c r="O79" s="160">
        <f>IF(OR(N79="",N78=""),"",N79-N78)</f>
        <v/>
      </c>
      <c r="P79" s="162">
        <f>'Datos_fuente'!M79</f>
        <v/>
      </c>
      <c r="Q79" s="160">
        <f>IF('Datos_fuente'!N79="","",LN('Datos_fuente'!N79))</f>
        <v/>
      </c>
      <c r="R79" s="160">
        <f>IF(OR(Q79="",Q78=""),"",Q79-Q78)</f>
        <v/>
      </c>
      <c r="S79" s="161">
        <f>'Datos_fuente'!P79</f>
        <v/>
      </c>
      <c r="T79" s="161">
        <f>IF(OR(S79="",S78=""),"",S79-S78)</f>
        <v/>
      </c>
      <c r="U79" s="160">
        <f>IF('Datos_fuente'!Q79="","",ASINH('Datos_fuente'!Q79/1000))</f>
        <v/>
      </c>
      <c r="V79" s="160">
        <f>IF(OR(U79="",U78=""),"",U79-U78)</f>
        <v/>
      </c>
      <c r="W79" s="160">
        <f>IF('Datos_fuente'!R79="","",ASINH('Datos_fuente'!R79/1000))</f>
        <v/>
      </c>
      <c r="X79" s="160">
        <f>IF(OR(W79="",W78=""),"",W79-W78)</f>
        <v/>
      </c>
      <c r="Y79" s="161">
        <f>'Datos_fuente'!W79</f>
        <v/>
      </c>
      <c r="Z79" s="161">
        <f>IF(OR(Y79="",Y78=""),"",Y79-Y78)</f>
        <v/>
      </c>
      <c r="AA79" s="160">
        <f>'Datos_fuente'!AB79</f>
        <v/>
      </c>
      <c r="AB79" s="160">
        <f>'Datos_fuente'!AC79</f>
        <v/>
      </c>
      <c r="AC79" s="160">
        <f>IF('Datos_fuente'!AD79="","",LN('Datos_fuente'!AD79))</f>
        <v/>
      </c>
      <c r="AD79" s="160">
        <f>IF(OR(AC79="",AC78=""),"",AC79-AC78)</f>
        <v/>
      </c>
      <c r="AE79" s="160">
        <f>IF('Datos_fuente'!AE79="","",LN('Datos_fuente'!AE79))</f>
        <v/>
      </c>
      <c r="AF79" s="160">
        <f>IF(OR(AE79="",AE78=""),"",AE79-AE78)</f>
        <v/>
      </c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'Datos_fuente'!A80</f>
        <v/>
      </c>
      <c r="B80" s="160">
        <f>IF('Datos_fuente'!B80="","",LN('Datos_fuente'!B80))</f>
        <v/>
      </c>
      <c r="C80" s="160">
        <f>IF(OR(B80="",B79=""),"",B80-B79)</f>
        <v/>
      </c>
      <c r="D80" s="160">
        <f>IF('Datos_fuente'!C80="","",LN('Datos_fuente'!C80))</f>
        <v/>
      </c>
      <c r="E80" s="160">
        <f>IF(OR(D80="",D79=""),"",D80-D79)</f>
        <v/>
      </c>
      <c r="F80" s="160">
        <f>IF('Datos_fuente'!E80="","",LN('Datos_fuente'!E80))</f>
        <v/>
      </c>
      <c r="G80" s="160">
        <f>IF(OR(F80="",F79=""),"",F80-F79)</f>
        <v/>
      </c>
      <c r="H80" s="161">
        <f>'Datos_fuente'!H80</f>
        <v/>
      </c>
      <c r="I80" s="161">
        <f>IF(OR(H80="",H79=""),"",H80-H79)</f>
        <v/>
      </c>
      <c r="J80" s="161">
        <f>'Datos_fuente'!J80</f>
        <v/>
      </c>
      <c r="K80" s="161">
        <f>IF(OR(J80="",J79=""),"",J80-J79)</f>
        <v/>
      </c>
      <c r="L80" s="160">
        <f>IF('Datos_fuente'!K80="","",LN('Datos_fuente'!K80))</f>
        <v/>
      </c>
      <c r="M80" s="160">
        <f>IF(OR(L80="",L79=""),"",L80-L79)</f>
        <v/>
      </c>
      <c r="N80" s="160">
        <f>IF('Datos_fuente'!L80="","",LN('Datos_fuente'!L80))</f>
        <v/>
      </c>
      <c r="O80" s="160">
        <f>IF(OR(N80="",N79=""),"",N80-N79)</f>
        <v/>
      </c>
      <c r="P80" s="162">
        <f>'Datos_fuente'!M80</f>
        <v/>
      </c>
      <c r="Q80" s="160">
        <f>IF('Datos_fuente'!N80="","",LN('Datos_fuente'!N80))</f>
        <v/>
      </c>
      <c r="R80" s="160">
        <f>IF(OR(Q80="",Q79=""),"",Q80-Q79)</f>
        <v/>
      </c>
      <c r="S80" s="161">
        <f>'Datos_fuente'!P80</f>
        <v/>
      </c>
      <c r="T80" s="161">
        <f>IF(OR(S80="",S79=""),"",S80-S79)</f>
        <v/>
      </c>
      <c r="U80" s="160">
        <f>IF('Datos_fuente'!Q80="","",ASINH('Datos_fuente'!Q80/1000))</f>
        <v/>
      </c>
      <c r="V80" s="160">
        <f>IF(OR(U80="",U79=""),"",U80-U79)</f>
        <v/>
      </c>
      <c r="W80" s="160">
        <f>IF('Datos_fuente'!R80="","",ASINH('Datos_fuente'!R80/1000))</f>
        <v/>
      </c>
      <c r="X80" s="160">
        <f>IF(OR(W80="",W79=""),"",W80-W79)</f>
        <v/>
      </c>
      <c r="Y80" s="161">
        <f>'Datos_fuente'!W80</f>
        <v/>
      </c>
      <c r="Z80" s="161">
        <f>IF(OR(Y80="",Y79=""),"",Y80-Y79)</f>
        <v/>
      </c>
      <c r="AA80" s="160">
        <f>'Datos_fuente'!AB80</f>
        <v/>
      </c>
      <c r="AB80" s="160">
        <f>'Datos_fuente'!AC80</f>
        <v/>
      </c>
      <c r="AC80" s="160">
        <f>IF('Datos_fuente'!AD80="","",LN('Datos_fuente'!AD80))</f>
        <v/>
      </c>
      <c r="AD80" s="160">
        <f>IF(OR(AC80="",AC79=""),"",AC80-AC79)</f>
        <v/>
      </c>
      <c r="AE80" s="160">
        <f>IF('Datos_fuente'!AE80="","",LN('Datos_fuente'!AE80))</f>
        <v/>
      </c>
      <c r="AF80" s="160">
        <f>IF(OR(AE80="",AE79=""),"",AE80-AE79)</f>
        <v/>
      </c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'Datos_fuente'!A81</f>
        <v/>
      </c>
      <c r="B81" s="160">
        <f>IF('Datos_fuente'!B81="","",LN('Datos_fuente'!B81))</f>
        <v/>
      </c>
      <c r="C81" s="160">
        <f>IF(OR(B81="",B80=""),"",B81-B80)</f>
        <v/>
      </c>
      <c r="D81" s="160">
        <f>IF('Datos_fuente'!C81="","",LN('Datos_fuente'!C81))</f>
        <v/>
      </c>
      <c r="E81" s="160">
        <f>IF(OR(D81="",D80=""),"",D81-D80)</f>
        <v/>
      </c>
      <c r="F81" s="160">
        <f>IF('Datos_fuente'!E81="","",LN('Datos_fuente'!E81))</f>
        <v/>
      </c>
      <c r="G81" s="160">
        <f>IF(OR(F81="",F80=""),"",F81-F80)</f>
        <v/>
      </c>
      <c r="H81" s="161">
        <f>'Datos_fuente'!H81</f>
        <v/>
      </c>
      <c r="I81" s="161">
        <f>IF(OR(H81="",H80=""),"",H81-H80)</f>
        <v/>
      </c>
      <c r="J81" s="161">
        <f>'Datos_fuente'!J81</f>
        <v/>
      </c>
      <c r="K81" s="161">
        <f>IF(OR(J81="",J80=""),"",J81-J80)</f>
        <v/>
      </c>
      <c r="L81" s="160">
        <f>IF('Datos_fuente'!K81="","",LN('Datos_fuente'!K81))</f>
        <v/>
      </c>
      <c r="M81" s="160">
        <f>IF(OR(L81="",L80=""),"",L81-L80)</f>
        <v/>
      </c>
      <c r="N81" s="160">
        <f>IF('Datos_fuente'!L81="","",LN('Datos_fuente'!L81))</f>
        <v/>
      </c>
      <c r="O81" s="160">
        <f>IF(OR(N81="",N80=""),"",N81-N80)</f>
        <v/>
      </c>
      <c r="P81" s="162">
        <f>'Datos_fuente'!M81</f>
        <v/>
      </c>
      <c r="Q81" s="160">
        <f>IF('Datos_fuente'!N81="","",LN('Datos_fuente'!N81))</f>
        <v/>
      </c>
      <c r="R81" s="160">
        <f>IF(OR(Q81="",Q80=""),"",Q81-Q80)</f>
        <v/>
      </c>
      <c r="S81" s="161">
        <f>'Datos_fuente'!P81</f>
        <v/>
      </c>
      <c r="T81" s="161">
        <f>IF(OR(S81="",S80=""),"",S81-S80)</f>
        <v/>
      </c>
      <c r="U81" s="160">
        <f>IF('Datos_fuente'!Q81="","",ASINH('Datos_fuente'!Q81/1000))</f>
        <v/>
      </c>
      <c r="V81" s="160">
        <f>IF(OR(U81="",U80=""),"",U81-U80)</f>
        <v/>
      </c>
      <c r="W81" s="160">
        <f>IF('Datos_fuente'!R81="","",ASINH('Datos_fuente'!R81/1000))</f>
        <v/>
      </c>
      <c r="X81" s="160">
        <f>IF(OR(W81="",W80=""),"",W81-W80)</f>
        <v/>
      </c>
      <c r="Y81" s="161">
        <f>'Datos_fuente'!W81</f>
        <v/>
      </c>
      <c r="Z81" s="161">
        <f>IF(OR(Y81="",Y80=""),"",Y81-Y80)</f>
        <v/>
      </c>
      <c r="AA81" s="160">
        <f>'Datos_fuente'!AB81</f>
        <v/>
      </c>
      <c r="AB81" s="160">
        <f>'Datos_fuente'!AC81</f>
        <v/>
      </c>
      <c r="AC81" s="160">
        <f>IF('Datos_fuente'!AD81="","",LN('Datos_fuente'!AD81))</f>
        <v/>
      </c>
      <c r="AD81" s="160">
        <f>IF(OR(AC81="",AC80=""),"",AC81-AC80)</f>
        <v/>
      </c>
      <c r="AE81" s="160">
        <f>IF('Datos_fuente'!AE81="","",LN('Datos_fuente'!AE81))</f>
        <v/>
      </c>
      <c r="AF81" s="160">
        <f>IF(OR(AE81="",AE80=""),"",AE81-AE80)</f>
        <v/>
      </c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'Datos_fuente'!A82</f>
        <v/>
      </c>
      <c r="B82" s="160">
        <f>IF('Datos_fuente'!B82="","",LN('Datos_fuente'!B82))</f>
        <v/>
      </c>
      <c r="C82" s="160">
        <f>IF(OR(B82="",B81=""),"",B82-B81)</f>
        <v/>
      </c>
      <c r="D82" s="160">
        <f>IF('Datos_fuente'!C82="","",LN('Datos_fuente'!C82))</f>
        <v/>
      </c>
      <c r="E82" s="160">
        <f>IF(OR(D82="",D81=""),"",D82-D81)</f>
        <v/>
      </c>
      <c r="F82" s="160">
        <f>IF('Datos_fuente'!E82="","",LN('Datos_fuente'!E82))</f>
        <v/>
      </c>
      <c r="G82" s="160">
        <f>IF(OR(F82="",F81=""),"",F82-F81)</f>
        <v/>
      </c>
      <c r="H82" s="161">
        <f>'Datos_fuente'!H82</f>
        <v/>
      </c>
      <c r="I82" s="161">
        <f>IF(OR(H82="",H81=""),"",H82-H81)</f>
        <v/>
      </c>
      <c r="J82" s="161">
        <f>'Datos_fuente'!J82</f>
        <v/>
      </c>
      <c r="K82" s="161">
        <f>IF(OR(J82="",J81=""),"",J82-J81)</f>
        <v/>
      </c>
      <c r="L82" s="160">
        <f>IF('Datos_fuente'!K82="","",LN('Datos_fuente'!K82))</f>
        <v/>
      </c>
      <c r="M82" s="160">
        <f>IF(OR(L82="",L81=""),"",L82-L81)</f>
        <v/>
      </c>
      <c r="N82" s="160">
        <f>IF('Datos_fuente'!L82="","",LN('Datos_fuente'!L82))</f>
        <v/>
      </c>
      <c r="O82" s="160">
        <f>IF(OR(N82="",N81=""),"",N82-N81)</f>
        <v/>
      </c>
      <c r="P82" s="162">
        <f>'Datos_fuente'!M82</f>
        <v/>
      </c>
      <c r="Q82" s="160">
        <f>IF('Datos_fuente'!N82="","",LN('Datos_fuente'!N82))</f>
        <v/>
      </c>
      <c r="R82" s="160">
        <f>IF(OR(Q82="",Q81=""),"",Q82-Q81)</f>
        <v/>
      </c>
      <c r="S82" s="161">
        <f>'Datos_fuente'!P82</f>
        <v/>
      </c>
      <c r="T82" s="161">
        <f>IF(OR(S82="",S81=""),"",S82-S81)</f>
        <v/>
      </c>
      <c r="U82" s="160">
        <f>IF('Datos_fuente'!Q82="","",ASINH('Datos_fuente'!Q82/1000))</f>
        <v/>
      </c>
      <c r="V82" s="160">
        <f>IF(OR(U82="",U81=""),"",U82-U81)</f>
        <v/>
      </c>
      <c r="W82" s="160">
        <f>IF('Datos_fuente'!R82="","",ASINH('Datos_fuente'!R82/1000))</f>
        <v/>
      </c>
      <c r="X82" s="160">
        <f>IF(OR(W82="",W81=""),"",W82-W81)</f>
        <v/>
      </c>
      <c r="Y82" s="161">
        <f>'Datos_fuente'!W82</f>
        <v/>
      </c>
      <c r="Z82" s="161">
        <f>IF(OR(Y82="",Y81=""),"",Y82-Y81)</f>
        <v/>
      </c>
      <c r="AA82" s="160">
        <f>'Datos_fuente'!AB82</f>
        <v/>
      </c>
      <c r="AB82" s="160">
        <f>'Datos_fuente'!AC82</f>
        <v/>
      </c>
      <c r="AC82" s="160">
        <f>IF('Datos_fuente'!AD82="","",LN('Datos_fuente'!AD82))</f>
        <v/>
      </c>
      <c r="AD82" s="160">
        <f>IF(OR(AC82="",AC81=""),"",AC82-AC81)</f>
        <v/>
      </c>
      <c r="AE82" s="160">
        <f>IF('Datos_fuente'!AE82="","",LN('Datos_fuente'!AE82))</f>
        <v/>
      </c>
      <c r="AF82" s="160">
        <f>IF(OR(AE82="",AE81=""),"",AE82-AE81)</f>
        <v/>
      </c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'Datos_fuente'!A83</f>
        <v/>
      </c>
      <c r="B83" s="160">
        <f>IF('Datos_fuente'!B83="","",LN('Datos_fuente'!B83))</f>
        <v/>
      </c>
      <c r="C83" s="160">
        <f>IF(OR(B83="",B82=""),"",B83-B82)</f>
        <v/>
      </c>
      <c r="D83" s="160">
        <f>IF('Datos_fuente'!C83="","",LN('Datos_fuente'!C83))</f>
        <v/>
      </c>
      <c r="E83" s="160">
        <f>IF(OR(D83="",D82=""),"",D83-D82)</f>
        <v/>
      </c>
      <c r="F83" s="160">
        <f>IF('Datos_fuente'!E83="","",LN('Datos_fuente'!E83))</f>
        <v/>
      </c>
      <c r="G83" s="160">
        <f>IF(OR(F83="",F82=""),"",F83-F82)</f>
        <v/>
      </c>
      <c r="H83" s="161">
        <f>'Datos_fuente'!H83</f>
        <v/>
      </c>
      <c r="I83" s="161">
        <f>IF(OR(H83="",H82=""),"",H83-H82)</f>
        <v/>
      </c>
      <c r="J83" s="161">
        <f>'Datos_fuente'!J83</f>
        <v/>
      </c>
      <c r="K83" s="161">
        <f>IF(OR(J83="",J82=""),"",J83-J82)</f>
        <v/>
      </c>
      <c r="L83" s="160">
        <f>IF('Datos_fuente'!K83="","",LN('Datos_fuente'!K83))</f>
        <v/>
      </c>
      <c r="M83" s="160">
        <f>IF(OR(L83="",L82=""),"",L83-L82)</f>
        <v/>
      </c>
      <c r="N83" s="160">
        <f>IF('Datos_fuente'!L83="","",LN('Datos_fuente'!L83))</f>
        <v/>
      </c>
      <c r="O83" s="160">
        <f>IF(OR(N83="",N82=""),"",N83-N82)</f>
        <v/>
      </c>
      <c r="P83" s="162">
        <f>'Datos_fuente'!M83</f>
        <v/>
      </c>
      <c r="Q83" s="160">
        <f>IF('Datos_fuente'!N83="","",LN('Datos_fuente'!N83))</f>
        <v/>
      </c>
      <c r="R83" s="160">
        <f>IF(OR(Q83="",Q82=""),"",Q83-Q82)</f>
        <v/>
      </c>
      <c r="S83" s="161">
        <f>'Datos_fuente'!P83</f>
        <v/>
      </c>
      <c r="T83" s="161">
        <f>IF(OR(S83="",S82=""),"",S83-S82)</f>
        <v/>
      </c>
      <c r="U83" s="160">
        <f>IF('Datos_fuente'!Q83="","",ASINH('Datos_fuente'!Q83/1000))</f>
        <v/>
      </c>
      <c r="V83" s="160">
        <f>IF(OR(U83="",U82=""),"",U83-U82)</f>
        <v/>
      </c>
      <c r="W83" s="160">
        <f>IF('Datos_fuente'!R83="","",ASINH('Datos_fuente'!R83/1000))</f>
        <v/>
      </c>
      <c r="X83" s="160">
        <f>IF(OR(W83="",W82=""),"",W83-W82)</f>
        <v/>
      </c>
      <c r="Y83" s="161">
        <f>'Datos_fuente'!W83</f>
        <v/>
      </c>
      <c r="Z83" s="161">
        <f>IF(OR(Y83="",Y82=""),"",Y83-Y82)</f>
        <v/>
      </c>
      <c r="AA83" s="160">
        <f>'Datos_fuente'!AB83</f>
        <v/>
      </c>
      <c r="AB83" s="160">
        <f>'Datos_fuente'!AC83</f>
        <v/>
      </c>
      <c r="AC83" s="160">
        <f>IF('Datos_fuente'!AD83="","",LN('Datos_fuente'!AD83))</f>
        <v/>
      </c>
      <c r="AD83" s="160">
        <f>IF(OR(AC83="",AC82=""),"",AC83-AC82)</f>
        <v/>
      </c>
      <c r="AE83" s="160">
        <f>IF('Datos_fuente'!AE83="","",LN('Datos_fuente'!AE83))</f>
        <v/>
      </c>
      <c r="AF83" s="160">
        <f>IF(OR(AE83="",AE82=""),"",AE83-AE82)</f>
        <v/>
      </c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'Datos_fuente'!A84</f>
        <v/>
      </c>
      <c r="B84" s="160">
        <f>IF('Datos_fuente'!B84="","",LN('Datos_fuente'!B84))</f>
        <v/>
      </c>
      <c r="C84" s="160">
        <f>IF(OR(B84="",B83=""),"",B84-B83)</f>
        <v/>
      </c>
      <c r="D84" s="160">
        <f>IF('Datos_fuente'!C84="","",LN('Datos_fuente'!C84))</f>
        <v/>
      </c>
      <c r="E84" s="160">
        <f>IF(OR(D84="",D83=""),"",D84-D83)</f>
        <v/>
      </c>
      <c r="F84" s="160">
        <f>IF('Datos_fuente'!E84="","",LN('Datos_fuente'!E84))</f>
        <v/>
      </c>
      <c r="G84" s="160">
        <f>IF(OR(F84="",F83=""),"",F84-F83)</f>
        <v/>
      </c>
      <c r="H84" s="161">
        <f>'Datos_fuente'!H84</f>
        <v/>
      </c>
      <c r="I84" s="161">
        <f>IF(OR(H84="",H83=""),"",H84-H83)</f>
        <v/>
      </c>
      <c r="J84" s="161">
        <f>'Datos_fuente'!J84</f>
        <v/>
      </c>
      <c r="K84" s="161">
        <f>IF(OR(J84="",J83=""),"",J84-J83)</f>
        <v/>
      </c>
      <c r="L84" s="160">
        <f>IF('Datos_fuente'!K84="","",LN('Datos_fuente'!K84))</f>
        <v/>
      </c>
      <c r="M84" s="160">
        <f>IF(OR(L84="",L83=""),"",L84-L83)</f>
        <v/>
      </c>
      <c r="N84" s="160">
        <f>IF('Datos_fuente'!L84="","",LN('Datos_fuente'!L84))</f>
        <v/>
      </c>
      <c r="O84" s="160">
        <f>IF(OR(N84="",N83=""),"",N84-N83)</f>
        <v/>
      </c>
      <c r="P84" s="162">
        <f>'Datos_fuente'!M84</f>
        <v/>
      </c>
      <c r="Q84" s="160">
        <f>IF('Datos_fuente'!N84="","",LN('Datos_fuente'!N84))</f>
        <v/>
      </c>
      <c r="R84" s="160">
        <f>IF(OR(Q84="",Q83=""),"",Q84-Q83)</f>
        <v/>
      </c>
      <c r="S84" s="161">
        <f>'Datos_fuente'!P84</f>
        <v/>
      </c>
      <c r="T84" s="161">
        <f>IF(OR(S84="",S83=""),"",S84-S83)</f>
        <v/>
      </c>
      <c r="U84" s="160">
        <f>IF('Datos_fuente'!Q84="","",ASINH('Datos_fuente'!Q84/1000))</f>
        <v/>
      </c>
      <c r="V84" s="160">
        <f>IF(OR(U84="",U83=""),"",U84-U83)</f>
        <v/>
      </c>
      <c r="W84" s="160">
        <f>IF('Datos_fuente'!R84="","",ASINH('Datos_fuente'!R84/1000))</f>
        <v/>
      </c>
      <c r="X84" s="160">
        <f>IF(OR(W84="",W83=""),"",W84-W83)</f>
        <v/>
      </c>
      <c r="Y84" s="161">
        <f>'Datos_fuente'!W84</f>
        <v/>
      </c>
      <c r="Z84" s="161">
        <f>IF(OR(Y84="",Y83=""),"",Y84-Y83)</f>
        <v/>
      </c>
      <c r="AA84" s="160">
        <f>'Datos_fuente'!AB84</f>
        <v/>
      </c>
      <c r="AB84" s="160">
        <f>'Datos_fuente'!AC84</f>
        <v/>
      </c>
      <c r="AC84" s="160">
        <f>IF('Datos_fuente'!AD84="","",LN('Datos_fuente'!AD84))</f>
        <v/>
      </c>
      <c r="AD84" s="160">
        <f>IF(OR(AC84="",AC83=""),"",AC84-AC83)</f>
        <v/>
      </c>
      <c r="AE84" s="160">
        <f>IF('Datos_fuente'!AE84="","",LN('Datos_fuente'!AE84))</f>
        <v/>
      </c>
      <c r="AF84" s="160">
        <f>IF(OR(AE84="",AE83=""),"",AE84-AE83)</f>
        <v/>
      </c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'Datos_fuente'!A85</f>
        <v/>
      </c>
      <c r="B85" s="160">
        <f>IF('Datos_fuente'!B85="","",LN('Datos_fuente'!B85))</f>
        <v/>
      </c>
      <c r="C85" s="160">
        <f>IF(OR(B85="",B84=""),"",B85-B84)</f>
        <v/>
      </c>
      <c r="D85" s="160">
        <f>IF('Datos_fuente'!C85="","",LN('Datos_fuente'!C85))</f>
        <v/>
      </c>
      <c r="E85" s="160">
        <f>IF(OR(D85="",D84=""),"",D85-D84)</f>
        <v/>
      </c>
      <c r="F85" s="160">
        <f>IF('Datos_fuente'!E85="","",LN('Datos_fuente'!E85))</f>
        <v/>
      </c>
      <c r="G85" s="160">
        <f>IF(OR(F85="",F84=""),"",F85-F84)</f>
        <v/>
      </c>
      <c r="H85" s="161">
        <f>'Datos_fuente'!H85</f>
        <v/>
      </c>
      <c r="I85" s="161">
        <f>IF(OR(H85="",H84=""),"",H85-H84)</f>
        <v/>
      </c>
      <c r="J85" s="161">
        <f>'Datos_fuente'!J85</f>
        <v/>
      </c>
      <c r="K85" s="161">
        <f>IF(OR(J85="",J84=""),"",J85-J84)</f>
        <v/>
      </c>
      <c r="L85" s="160">
        <f>IF('Datos_fuente'!K85="","",LN('Datos_fuente'!K85))</f>
        <v/>
      </c>
      <c r="M85" s="160">
        <f>IF(OR(L85="",L84=""),"",L85-L84)</f>
        <v/>
      </c>
      <c r="N85" s="160">
        <f>IF('Datos_fuente'!L85="","",LN('Datos_fuente'!L85))</f>
        <v/>
      </c>
      <c r="O85" s="160">
        <f>IF(OR(N85="",N84=""),"",N85-N84)</f>
        <v/>
      </c>
      <c r="P85" s="162">
        <f>'Datos_fuente'!M85</f>
        <v/>
      </c>
      <c r="Q85" s="160">
        <f>IF('Datos_fuente'!N85="","",LN('Datos_fuente'!N85))</f>
        <v/>
      </c>
      <c r="R85" s="160">
        <f>IF(OR(Q85="",Q84=""),"",Q85-Q84)</f>
        <v/>
      </c>
      <c r="S85" s="161">
        <f>'Datos_fuente'!P85</f>
        <v/>
      </c>
      <c r="T85" s="161">
        <f>IF(OR(S85="",S84=""),"",S85-S84)</f>
        <v/>
      </c>
      <c r="U85" s="160">
        <f>IF('Datos_fuente'!Q85="","",ASINH('Datos_fuente'!Q85/1000))</f>
        <v/>
      </c>
      <c r="V85" s="160">
        <f>IF(OR(U85="",U84=""),"",U85-U84)</f>
        <v/>
      </c>
      <c r="W85" s="160">
        <f>IF('Datos_fuente'!R85="","",ASINH('Datos_fuente'!R85/1000))</f>
        <v/>
      </c>
      <c r="X85" s="160">
        <f>IF(OR(W85="",W84=""),"",W85-W84)</f>
        <v/>
      </c>
      <c r="Y85" s="161">
        <f>'Datos_fuente'!W85</f>
        <v/>
      </c>
      <c r="Z85" s="161">
        <f>IF(OR(Y85="",Y84=""),"",Y85-Y84)</f>
        <v/>
      </c>
      <c r="AA85" s="160">
        <f>'Datos_fuente'!AB85</f>
        <v/>
      </c>
      <c r="AB85" s="160">
        <f>'Datos_fuente'!AC85</f>
        <v/>
      </c>
      <c r="AC85" s="160">
        <f>IF('Datos_fuente'!AD85="","",LN('Datos_fuente'!AD85))</f>
        <v/>
      </c>
      <c r="AD85" s="160">
        <f>IF(OR(AC85="",AC84=""),"",AC85-AC84)</f>
        <v/>
      </c>
      <c r="AE85" s="160">
        <f>IF('Datos_fuente'!AE85="","",LN('Datos_fuente'!AE85))</f>
        <v/>
      </c>
      <c r="AF85" s="160">
        <f>IF(OR(AE85="",AE84=""),"",AE85-AE84)</f>
        <v/>
      </c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'Datos_fuente'!A86</f>
        <v/>
      </c>
      <c r="B86" s="160">
        <f>IF('Datos_fuente'!B86="","",LN('Datos_fuente'!B86))</f>
        <v/>
      </c>
      <c r="C86" s="160">
        <f>IF(OR(B86="",B85=""),"",B86-B85)</f>
        <v/>
      </c>
      <c r="D86" s="160">
        <f>IF('Datos_fuente'!C86="","",LN('Datos_fuente'!C86))</f>
        <v/>
      </c>
      <c r="E86" s="160">
        <f>IF(OR(D86="",D85=""),"",D86-D85)</f>
        <v/>
      </c>
      <c r="F86" s="160">
        <f>IF('Datos_fuente'!E86="","",LN('Datos_fuente'!E86))</f>
        <v/>
      </c>
      <c r="G86" s="160">
        <f>IF(OR(F86="",F85=""),"",F86-F85)</f>
        <v/>
      </c>
      <c r="H86" s="161">
        <f>'Datos_fuente'!H86</f>
        <v/>
      </c>
      <c r="I86" s="161">
        <f>IF(OR(H86="",H85=""),"",H86-H85)</f>
        <v/>
      </c>
      <c r="J86" s="161">
        <f>'Datos_fuente'!J86</f>
        <v/>
      </c>
      <c r="K86" s="161">
        <f>IF(OR(J86="",J85=""),"",J86-J85)</f>
        <v/>
      </c>
      <c r="L86" s="160">
        <f>IF('Datos_fuente'!K86="","",LN('Datos_fuente'!K86))</f>
        <v/>
      </c>
      <c r="M86" s="160">
        <f>IF(OR(L86="",L85=""),"",L86-L85)</f>
        <v/>
      </c>
      <c r="N86" s="160">
        <f>IF('Datos_fuente'!L86="","",LN('Datos_fuente'!L86))</f>
        <v/>
      </c>
      <c r="O86" s="160">
        <f>IF(OR(N86="",N85=""),"",N86-N85)</f>
        <v/>
      </c>
      <c r="P86" s="162">
        <f>'Datos_fuente'!M86</f>
        <v/>
      </c>
      <c r="Q86" s="160">
        <f>IF('Datos_fuente'!N86="","",LN('Datos_fuente'!N86))</f>
        <v/>
      </c>
      <c r="R86" s="160">
        <f>IF(OR(Q86="",Q85=""),"",Q86-Q85)</f>
        <v/>
      </c>
      <c r="S86" s="161">
        <f>'Datos_fuente'!P86</f>
        <v/>
      </c>
      <c r="T86" s="161">
        <f>IF(OR(S86="",S85=""),"",S86-S85)</f>
        <v/>
      </c>
      <c r="U86" s="160">
        <f>IF('Datos_fuente'!Q86="","",ASINH('Datos_fuente'!Q86/1000))</f>
        <v/>
      </c>
      <c r="V86" s="160">
        <f>IF(OR(U86="",U85=""),"",U86-U85)</f>
        <v/>
      </c>
      <c r="W86" s="160">
        <f>IF('Datos_fuente'!R86="","",ASINH('Datos_fuente'!R86/1000))</f>
        <v/>
      </c>
      <c r="X86" s="160">
        <f>IF(OR(W86="",W85=""),"",W86-W85)</f>
        <v/>
      </c>
      <c r="Y86" s="161">
        <f>'Datos_fuente'!W86</f>
        <v/>
      </c>
      <c r="Z86" s="161">
        <f>IF(OR(Y86="",Y85=""),"",Y86-Y85)</f>
        <v/>
      </c>
      <c r="AA86" s="160">
        <f>'Datos_fuente'!AB86</f>
        <v/>
      </c>
      <c r="AB86" s="160">
        <f>'Datos_fuente'!AC86</f>
        <v/>
      </c>
      <c r="AC86" s="160">
        <f>IF('Datos_fuente'!AD86="","",LN('Datos_fuente'!AD86))</f>
        <v/>
      </c>
      <c r="AD86" s="160">
        <f>IF(OR(AC86="",AC85=""),"",AC86-AC85)</f>
        <v/>
      </c>
      <c r="AE86" s="160">
        <f>IF('Datos_fuente'!AE86="","",LN('Datos_fuente'!AE86))</f>
        <v/>
      </c>
      <c r="AF86" s="160">
        <f>IF(OR(AE86="",AE85=""),"",AE86-AE85)</f>
        <v/>
      </c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'Datos_fuente'!A87</f>
        <v/>
      </c>
      <c r="B87" s="160">
        <f>IF('Datos_fuente'!B87="","",LN('Datos_fuente'!B87))</f>
        <v/>
      </c>
      <c r="C87" s="160">
        <f>IF(OR(B87="",B86=""),"",B87-B86)</f>
        <v/>
      </c>
      <c r="D87" s="160">
        <f>IF('Datos_fuente'!C87="","",LN('Datos_fuente'!C87))</f>
        <v/>
      </c>
      <c r="E87" s="160">
        <f>IF(OR(D87="",D86=""),"",D87-D86)</f>
        <v/>
      </c>
      <c r="F87" s="160">
        <f>IF('Datos_fuente'!E87="","",LN('Datos_fuente'!E87))</f>
        <v/>
      </c>
      <c r="G87" s="160">
        <f>IF(OR(F87="",F86=""),"",F87-F86)</f>
        <v/>
      </c>
      <c r="H87" s="161">
        <f>'Datos_fuente'!H87</f>
        <v/>
      </c>
      <c r="I87" s="161">
        <f>IF(OR(H87="",H86=""),"",H87-H86)</f>
        <v/>
      </c>
      <c r="J87" s="161">
        <f>'Datos_fuente'!J87</f>
        <v/>
      </c>
      <c r="K87" s="161">
        <f>IF(OR(J87="",J86=""),"",J87-J86)</f>
        <v/>
      </c>
      <c r="L87" s="160">
        <f>IF('Datos_fuente'!K87="","",LN('Datos_fuente'!K87))</f>
        <v/>
      </c>
      <c r="M87" s="160">
        <f>IF(OR(L87="",L86=""),"",L87-L86)</f>
        <v/>
      </c>
      <c r="N87" s="160">
        <f>IF('Datos_fuente'!L87="","",LN('Datos_fuente'!L87))</f>
        <v/>
      </c>
      <c r="O87" s="160">
        <f>IF(OR(N87="",N86=""),"",N87-N86)</f>
        <v/>
      </c>
      <c r="P87" s="162">
        <f>'Datos_fuente'!M87</f>
        <v/>
      </c>
      <c r="Q87" s="160">
        <f>IF('Datos_fuente'!N87="","",LN('Datos_fuente'!N87))</f>
        <v/>
      </c>
      <c r="R87" s="160">
        <f>IF(OR(Q87="",Q86=""),"",Q87-Q86)</f>
        <v/>
      </c>
      <c r="S87" s="161">
        <f>'Datos_fuente'!P87</f>
        <v/>
      </c>
      <c r="T87" s="161">
        <f>IF(OR(S87="",S86=""),"",S87-S86)</f>
        <v/>
      </c>
      <c r="U87" s="160">
        <f>IF('Datos_fuente'!Q87="","",ASINH('Datos_fuente'!Q87/1000))</f>
        <v/>
      </c>
      <c r="V87" s="160">
        <f>IF(OR(U87="",U86=""),"",U87-U86)</f>
        <v/>
      </c>
      <c r="W87" s="160">
        <f>IF('Datos_fuente'!R87="","",ASINH('Datos_fuente'!R87/1000))</f>
        <v/>
      </c>
      <c r="X87" s="160">
        <f>IF(OR(W87="",W86=""),"",W87-W86)</f>
        <v/>
      </c>
      <c r="Y87" s="161">
        <f>'Datos_fuente'!W87</f>
        <v/>
      </c>
      <c r="Z87" s="161">
        <f>IF(OR(Y87="",Y86=""),"",Y87-Y86)</f>
        <v/>
      </c>
      <c r="AA87" s="160">
        <f>'Datos_fuente'!AB87</f>
        <v/>
      </c>
      <c r="AB87" s="160">
        <f>'Datos_fuente'!AC87</f>
        <v/>
      </c>
      <c r="AC87" s="160">
        <f>IF('Datos_fuente'!AD87="","",LN('Datos_fuente'!AD87))</f>
        <v/>
      </c>
      <c r="AD87" s="160">
        <f>IF(OR(AC87="",AC86=""),"",AC87-AC86)</f>
        <v/>
      </c>
      <c r="AE87" s="160">
        <f>IF('Datos_fuente'!AE87="","",LN('Datos_fuente'!AE87))</f>
        <v/>
      </c>
      <c r="AF87" s="160">
        <f>IF(OR(AE87="",AE86=""),"",AE87-AE86)</f>
        <v/>
      </c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'Datos_fuente'!A88</f>
        <v/>
      </c>
      <c r="B88" s="160">
        <f>IF('Datos_fuente'!B88="","",LN('Datos_fuente'!B88))</f>
        <v/>
      </c>
      <c r="C88" s="160">
        <f>IF(OR(B88="",B87=""),"",B88-B87)</f>
        <v/>
      </c>
      <c r="D88" s="160">
        <f>IF('Datos_fuente'!C88="","",LN('Datos_fuente'!C88))</f>
        <v/>
      </c>
      <c r="E88" s="160">
        <f>IF(OR(D88="",D87=""),"",D88-D87)</f>
        <v/>
      </c>
      <c r="F88" s="160">
        <f>IF('Datos_fuente'!E88="","",LN('Datos_fuente'!E88))</f>
        <v/>
      </c>
      <c r="G88" s="160">
        <f>IF(OR(F88="",F87=""),"",F88-F87)</f>
        <v/>
      </c>
      <c r="H88" s="161">
        <f>'Datos_fuente'!H88</f>
        <v/>
      </c>
      <c r="I88" s="161">
        <f>IF(OR(H88="",H87=""),"",H88-H87)</f>
        <v/>
      </c>
      <c r="J88" s="161">
        <f>'Datos_fuente'!J88</f>
        <v/>
      </c>
      <c r="K88" s="161">
        <f>IF(OR(J88="",J87=""),"",J88-J87)</f>
        <v/>
      </c>
      <c r="L88" s="160">
        <f>IF('Datos_fuente'!K88="","",LN('Datos_fuente'!K88))</f>
        <v/>
      </c>
      <c r="M88" s="160">
        <f>IF(OR(L88="",L87=""),"",L88-L87)</f>
        <v/>
      </c>
      <c r="N88" s="160">
        <f>IF('Datos_fuente'!L88="","",LN('Datos_fuente'!L88))</f>
        <v/>
      </c>
      <c r="O88" s="160">
        <f>IF(OR(N88="",N87=""),"",N88-N87)</f>
        <v/>
      </c>
      <c r="P88" s="162">
        <f>'Datos_fuente'!M88</f>
        <v/>
      </c>
      <c r="Q88" s="160">
        <f>IF('Datos_fuente'!N88="","",LN('Datos_fuente'!N88))</f>
        <v/>
      </c>
      <c r="R88" s="160">
        <f>IF(OR(Q88="",Q87=""),"",Q88-Q87)</f>
        <v/>
      </c>
      <c r="S88" s="161">
        <f>'Datos_fuente'!P88</f>
        <v/>
      </c>
      <c r="T88" s="161">
        <f>IF(OR(S88="",S87=""),"",S88-S87)</f>
        <v/>
      </c>
      <c r="U88" s="160">
        <f>IF('Datos_fuente'!Q88="","",ASINH('Datos_fuente'!Q88/1000))</f>
        <v/>
      </c>
      <c r="V88" s="160">
        <f>IF(OR(U88="",U87=""),"",U88-U87)</f>
        <v/>
      </c>
      <c r="W88" s="160">
        <f>IF('Datos_fuente'!R88="","",ASINH('Datos_fuente'!R88/1000))</f>
        <v/>
      </c>
      <c r="X88" s="160">
        <f>IF(OR(W88="",W87=""),"",W88-W87)</f>
        <v/>
      </c>
      <c r="Y88" s="161">
        <f>'Datos_fuente'!W88</f>
        <v/>
      </c>
      <c r="Z88" s="161">
        <f>IF(OR(Y88="",Y87=""),"",Y88-Y87)</f>
        <v/>
      </c>
      <c r="AA88" s="160">
        <f>'Datos_fuente'!AB88</f>
        <v/>
      </c>
      <c r="AB88" s="160">
        <f>'Datos_fuente'!AC88</f>
        <v/>
      </c>
      <c r="AC88" s="160">
        <f>IF('Datos_fuente'!AD88="","",LN('Datos_fuente'!AD88))</f>
        <v/>
      </c>
      <c r="AD88" s="160">
        <f>IF(OR(AC88="",AC87=""),"",AC88-AC87)</f>
        <v/>
      </c>
      <c r="AE88" s="160">
        <f>IF('Datos_fuente'!AE88="","",LN('Datos_fuente'!AE88))</f>
        <v/>
      </c>
      <c r="AF88" s="160">
        <f>IF(OR(AE88="",AE87=""),"",AE88-AE87)</f>
        <v/>
      </c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'Datos_fuente'!A89</f>
        <v/>
      </c>
      <c r="B89" s="160">
        <f>IF('Datos_fuente'!B89="","",LN('Datos_fuente'!B89))</f>
        <v/>
      </c>
      <c r="C89" s="160">
        <f>IF(OR(B89="",B88=""),"",B89-B88)</f>
        <v/>
      </c>
      <c r="D89" s="160">
        <f>IF('Datos_fuente'!C89="","",LN('Datos_fuente'!C89))</f>
        <v/>
      </c>
      <c r="E89" s="160">
        <f>IF(OR(D89="",D88=""),"",D89-D88)</f>
        <v/>
      </c>
      <c r="F89" s="160">
        <f>IF('Datos_fuente'!E89="","",LN('Datos_fuente'!E89))</f>
        <v/>
      </c>
      <c r="G89" s="160">
        <f>IF(OR(F89="",F88=""),"",F89-F88)</f>
        <v/>
      </c>
      <c r="H89" s="161">
        <f>'Datos_fuente'!H89</f>
        <v/>
      </c>
      <c r="I89" s="161">
        <f>IF(OR(H89="",H88=""),"",H89-H88)</f>
        <v/>
      </c>
      <c r="J89" s="161">
        <f>'Datos_fuente'!J89</f>
        <v/>
      </c>
      <c r="K89" s="161">
        <f>IF(OR(J89="",J88=""),"",J89-J88)</f>
        <v/>
      </c>
      <c r="L89" s="160">
        <f>IF('Datos_fuente'!K89="","",LN('Datos_fuente'!K89))</f>
        <v/>
      </c>
      <c r="M89" s="160">
        <f>IF(OR(L89="",L88=""),"",L89-L88)</f>
        <v/>
      </c>
      <c r="N89" s="160">
        <f>IF('Datos_fuente'!L89="","",LN('Datos_fuente'!L89))</f>
        <v/>
      </c>
      <c r="O89" s="160">
        <f>IF(OR(N89="",N88=""),"",N89-N88)</f>
        <v/>
      </c>
      <c r="P89" s="162">
        <f>'Datos_fuente'!M89</f>
        <v/>
      </c>
      <c r="Q89" s="160">
        <f>IF('Datos_fuente'!N89="","",LN('Datos_fuente'!N89))</f>
        <v/>
      </c>
      <c r="R89" s="160">
        <f>IF(OR(Q89="",Q88=""),"",Q89-Q88)</f>
        <v/>
      </c>
      <c r="S89" s="161">
        <f>'Datos_fuente'!P89</f>
        <v/>
      </c>
      <c r="T89" s="161">
        <f>IF(OR(S89="",S88=""),"",S89-S88)</f>
        <v/>
      </c>
      <c r="U89" s="160">
        <f>IF('Datos_fuente'!Q89="","",ASINH('Datos_fuente'!Q89/1000))</f>
        <v/>
      </c>
      <c r="V89" s="160">
        <f>IF(OR(U89="",U88=""),"",U89-U88)</f>
        <v/>
      </c>
      <c r="W89" s="160">
        <f>IF('Datos_fuente'!R89="","",ASINH('Datos_fuente'!R89/1000))</f>
        <v/>
      </c>
      <c r="X89" s="160">
        <f>IF(OR(W89="",W88=""),"",W89-W88)</f>
        <v/>
      </c>
      <c r="Y89" s="161">
        <f>'Datos_fuente'!W89</f>
        <v/>
      </c>
      <c r="Z89" s="161">
        <f>IF(OR(Y89="",Y88=""),"",Y89-Y88)</f>
        <v/>
      </c>
      <c r="AA89" s="160">
        <f>'Datos_fuente'!AB89</f>
        <v/>
      </c>
      <c r="AB89" s="160">
        <f>'Datos_fuente'!AC89</f>
        <v/>
      </c>
      <c r="AC89" s="160">
        <f>IF('Datos_fuente'!AD89="","",LN('Datos_fuente'!AD89))</f>
        <v/>
      </c>
      <c r="AD89" s="160">
        <f>IF(OR(AC89="",AC88=""),"",AC89-AC88)</f>
        <v/>
      </c>
      <c r="AE89" s="160">
        <f>IF('Datos_fuente'!AE89="","",LN('Datos_fuente'!AE89))</f>
        <v/>
      </c>
      <c r="AF89" s="160">
        <f>IF(OR(AE89="",AE88=""),"",AE89-AE88)</f>
        <v/>
      </c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'Datos_fuente'!A90</f>
        <v/>
      </c>
      <c r="B90" s="160">
        <f>IF('Datos_fuente'!B90="","",LN('Datos_fuente'!B90))</f>
        <v/>
      </c>
      <c r="C90" s="160">
        <f>IF(OR(B90="",B89=""),"",B90-B89)</f>
        <v/>
      </c>
      <c r="D90" s="160">
        <f>IF('Datos_fuente'!C90="","",LN('Datos_fuente'!C90))</f>
        <v/>
      </c>
      <c r="E90" s="160">
        <f>IF(OR(D90="",D89=""),"",D90-D89)</f>
        <v/>
      </c>
      <c r="F90" s="160">
        <f>IF('Datos_fuente'!E90="","",LN('Datos_fuente'!E90))</f>
        <v/>
      </c>
      <c r="G90" s="160">
        <f>IF(OR(F90="",F89=""),"",F90-F89)</f>
        <v/>
      </c>
      <c r="H90" s="161">
        <f>'Datos_fuente'!H90</f>
        <v/>
      </c>
      <c r="I90" s="161">
        <f>IF(OR(H90="",H89=""),"",H90-H89)</f>
        <v/>
      </c>
      <c r="J90" s="161">
        <f>'Datos_fuente'!J90</f>
        <v/>
      </c>
      <c r="K90" s="161">
        <f>IF(OR(J90="",J89=""),"",J90-J89)</f>
        <v/>
      </c>
      <c r="L90" s="160">
        <f>IF('Datos_fuente'!K90="","",LN('Datos_fuente'!K90))</f>
        <v/>
      </c>
      <c r="M90" s="160">
        <f>IF(OR(L90="",L89=""),"",L90-L89)</f>
        <v/>
      </c>
      <c r="N90" s="160">
        <f>IF('Datos_fuente'!L90="","",LN('Datos_fuente'!L90))</f>
        <v/>
      </c>
      <c r="O90" s="160">
        <f>IF(OR(N90="",N89=""),"",N90-N89)</f>
        <v/>
      </c>
      <c r="P90" s="162">
        <f>'Datos_fuente'!M90</f>
        <v/>
      </c>
      <c r="Q90" s="160">
        <f>IF('Datos_fuente'!N90="","",LN('Datos_fuente'!N90))</f>
        <v/>
      </c>
      <c r="R90" s="160">
        <f>IF(OR(Q90="",Q89=""),"",Q90-Q89)</f>
        <v/>
      </c>
      <c r="S90" s="161">
        <f>'Datos_fuente'!P90</f>
        <v/>
      </c>
      <c r="T90" s="161">
        <f>IF(OR(S90="",S89=""),"",S90-S89)</f>
        <v/>
      </c>
      <c r="U90" s="160">
        <f>IF('Datos_fuente'!Q90="","",ASINH('Datos_fuente'!Q90/1000))</f>
        <v/>
      </c>
      <c r="V90" s="160">
        <f>IF(OR(U90="",U89=""),"",U90-U89)</f>
        <v/>
      </c>
      <c r="W90" s="160">
        <f>IF('Datos_fuente'!R90="","",ASINH('Datos_fuente'!R90/1000))</f>
        <v/>
      </c>
      <c r="X90" s="160">
        <f>IF(OR(W90="",W89=""),"",W90-W89)</f>
        <v/>
      </c>
      <c r="Y90" s="161">
        <f>'Datos_fuente'!W90</f>
        <v/>
      </c>
      <c r="Z90" s="161">
        <f>IF(OR(Y90="",Y89=""),"",Y90-Y89)</f>
        <v/>
      </c>
      <c r="AA90" s="160">
        <f>'Datos_fuente'!AB90</f>
        <v/>
      </c>
      <c r="AB90" s="160">
        <f>'Datos_fuente'!AC90</f>
        <v/>
      </c>
      <c r="AC90" s="160">
        <f>IF('Datos_fuente'!AD90="","",LN('Datos_fuente'!AD90))</f>
        <v/>
      </c>
      <c r="AD90" s="160">
        <f>IF(OR(AC90="",AC89=""),"",AC90-AC89)</f>
        <v/>
      </c>
      <c r="AE90" s="160">
        <f>IF('Datos_fuente'!AE90="","",LN('Datos_fuente'!AE90))</f>
        <v/>
      </c>
      <c r="AF90" s="160">
        <f>IF(OR(AE90="",AE89=""),"",AE90-AE89)</f>
        <v/>
      </c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'Datos_fuente'!A91</f>
        <v/>
      </c>
      <c r="B91" s="160">
        <f>IF('Datos_fuente'!B91="","",LN('Datos_fuente'!B91))</f>
        <v/>
      </c>
      <c r="C91" s="160">
        <f>IF(OR(B91="",B90=""),"",B91-B90)</f>
        <v/>
      </c>
      <c r="D91" s="160">
        <f>IF('Datos_fuente'!C91="","",LN('Datos_fuente'!C91))</f>
        <v/>
      </c>
      <c r="E91" s="160">
        <f>IF(OR(D91="",D90=""),"",D91-D90)</f>
        <v/>
      </c>
      <c r="F91" s="160">
        <f>IF('Datos_fuente'!E91="","",LN('Datos_fuente'!E91))</f>
        <v/>
      </c>
      <c r="G91" s="160">
        <f>IF(OR(F91="",F90=""),"",F91-F90)</f>
        <v/>
      </c>
      <c r="H91" s="161">
        <f>'Datos_fuente'!H91</f>
        <v/>
      </c>
      <c r="I91" s="161">
        <f>IF(OR(H91="",H90=""),"",H91-H90)</f>
        <v/>
      </c>
      <c r="J91" s="161">
        <f>'Datos_fuente'!J91</f>
        <v/>
      </c>
      <c r="K91" s="161">
        <f>IF(OR(J91="",J90=""),"",J91-J90)</f>
        <v/>
      </c>
      <c r="L91" s="160">
        <f>IF('Datos_fuente'!K91="","",LN('Datos_fuente'!K91))</f>
        <v/>
      </c>
      <c r="M91" s="160">
        <f>IF(OR(L91="",L90=""),"",L91-L90)</f>
        <v/>
      </c>
      <c r="N91" s="160">
        <f>IF('Datos_fuente'!L91="","",LN('Datos_fuente'!L91))</f>
        <v/>
      </c>
      <c r="O91" s="160">
        <f>IF(OR(N91="",N90=""),"",N91-N90)</f>
        <v/>
      </c>
      <c r="P91" s="162">
        <f>'Datos_fuente'!M91</f>
        <v/>
      </c>
      <c r="Q91" s="160">
        <f>IF('Datos_fuente'!N91="","",LN('Datos_fuente'!N91))</f>
        <v/>
      </c>
      <c r="R91" s="160">
        <f>IF(OR(Q91="",Q90=""),"",Q91-Q90)</f>
        <v/>
      </c>
      <c r="S91" s="161">
        <f>'Datos_fuente'!P91</f>
        <v/>
      </c>
      <c r="T91" s="161">
        <f>IF(OR(S91="",S90=""),"",S91-S90)</f>
        <v/>
      </c>
      <c r="U91" s="160">
        <f>IF('Datos_fuente'!Q91="","",ASINH('Datos_fuente'!Q91/1000))</f>
        <v/>
      </c>
      <c r="V91" s="160">
        <f>IF(OR(U91="",U90=""),"",U91-U90)</f>
        <v/>
      </c>
      <c r="W91" s="160">
        <f>IF('Datos_fuente'!R91="","",ASINH('Datos_fuente'!R91/1000))</f>
        <v/>
      </c>
      <c r="X91" s="160">
        <f>IF(OR(W91="",W90=""),"",W91-W90)</f>
        <v/>
      </c>
      <c r="Y91" s="161">
        <f>'Datos_fuente'!W91</f>
        <v/>
      </c>
      <c r="Z91" s="161">
        <f>IF(OR(Y91="",Y90=""),"",Y91-Y90)</f>
        <v/>
      </c>
      <c r="AA91" s="160">
        <f>'Datos_fuente'!AB91</f>
        <v/>
      </c>
      <c r="AB91" s="160">
        <f>'Datos_fuente'!AC91</f>
        <v/>
      </c>
      <c r="AC91" s="160">
        <f>IF('Datos_fuente'!AD91="","",LN('Datos_fuente'!AD91))</f>
        <v/>
      </c>
      <c r="AD91" s="160">
        <f>IF(OR(AC91="",AC90=""),"",AC91-AC90)</f>
        <v/>
      </c>
      <c r="AE91" s="160">
        <f>IF('Datos_fuente'!AE91="","",LN('Datos_fuente'!AE91))</f>
        <v/>
      </c>
      <c r="AF91" s="160">
        <f>IF(OR(AE91="",AE90=""),"",AE91-AE90)</f>
        <v/>
      </c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'Datos_fuente'!A92</f>
        <v/>
      </c>
      <c r="B92" s="160">
        <f>IF('Datos_fuente'!B92="","",LN('Datos_fuente'!B92))</f>
        <v/>
      </c>
      <c r="C92" s="160">
        <f>IF(OR(B92="",B91=""),"",B92-B91)</f>
        <v/>
      </c>
      <c r="D92" s="160">
        <f>IF('Datos_fuente'!C92="","",LN('Datos_fuente'!C92))</f>
        <v/>
      </c>
      <c r="E92" s="160">
        <f>IF(OR(D92="",D91=""),"",D92-D91)</f>
        <v/>
      </c>
      <c r="F92" s="160">
        <f>IF('Datos_fuente'!E92="","",LN('Datos_fuente'!E92))</f>
        <v/>
      </c>
      <c r="G92" s="160">
        <f>IF(OR(F92="",F91=""),"",F92-F91)</f>
        <v/>
      </c>
      <c r="H92" s="161">
        <f>'Datos_fuente'!H92</f>
        <v/>
      </c>
      <c r="I92" s="161">
        <f>IF(OR(H92="",H91=""),"",H92-H91)</f>
        <v/>
      </c>
      <c r="J92" s="161">
        <f>'Datos_fuente'!J92</f>
        <v/>
      </c>
      <c r="K92" s="161">
        <f>IF(OR(J92="",J91=""),"",J92-J91)</f>
        <v/>
      </c>
      <c r="L92" s="160">
        <f>IF('Datos_fuente'!K92="","",LN('Datos_fuente'!K92))</f>
        <v/>
      </c>
      <c r="M92" s="160">
        <f>IF(OR(L92="",L91=""),"",L92-L91)</f>
        <v/>
      </c>
      <c r="N92" s="160">
        <f>IF('Datos_fuente'!L92="","",LN('Datos_fuente'!L92))</f>
        <v/>
      </c>
      <c r="O92" s="160">
        <f>IF(OR(N92="",N91=""),"",N92-N91)</f>
        <v/>
      </c>
      <c r="P92" s="162">
        <f>'Datos_fuente'!M92</f>
        <v/>
      </c>
      <c r="Q92" s="160">
        <f>IF('Datos_fuente'!N92="","",LN('Datos_fuente'!N92))</f>
        <v/>
      </c>
      <c r="R92" s="160">
        <f>IF(OR(Q92="",Q91=""),"",Q92-Q91)</f>
        <v/>
      </c>
      <c r="S92" s="161">
        <f>'Datos_fuente'!P92</f>
        <v/>
      </c>
      <c r="T92" s="161">
        <f>IF(OR(S92="",S91=""),"",S92-S91)</f>
        <v/>
      </c>
      <c r="U92" s="160">
        <f>IF('Datos_fuente'!Q92="","",ASINH('Datos_fuente'!Q92/1000))</f>
        <v/>
      </c>
      <c r="V92" s="160">
        <f>IF(OR(U92="",U91=""),"",U92-U91)</f>
        <v/>
      </c>
      <c r="W92" s="160">
        <f>IF('Datos_fuente'!R92="","",ASINH('Datos_fuente'!R92/1000))</f>
        <v/>
      </c>
      <c r="X92" s="160">
        <f>IF(OR(W92="",W91=""),"",W92-W91)</f>
        <v/>
      </c>
      <c r="Y92" s="161">
        <f>'Datos_fuente'!W92</f>
        <v/>
      </c>
      <c r="Z92" s="161">
        <f>IF(OR(Y92="",Y91=""),"",Y92-Y91)</f>
        <v/>
      </c>
      <c r="AA92" s="160">
        <f>'Datos_fuente'!AB92</f>
        <v/>
      </c>
      <c r="AB92" s="160">
        <f>'Datos_fuente'!AC92</f>
        <v/>
      </c>
      <c r="AC92" s="160">
        <f>IF('Datos_fuente'!AD92="","",LN('Datos_fuente'!AD92))</f>
        <v/>
      </c>
      <c r="AD92" s="160">
        <f>IF(OR(AC92="",AC91=""),"",AC92-AC91)</f>
        <v/>
      </c>
      <c r="AE92" s="160">
        <f>IF('Datos_fuente'!AE92="","",LN('Datos_fuente'!AE92))</f>
        <v/>
      </c>
      <c r="AF92" s="160">
        <f>IF(OR(AE92="",AE91=""),"",AE92-AE91)</f>
        <v/>
      </c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'Datos_fuente'!A93</f>
        <v/>
      </c>
      <c r="B93" s="160">
        <f>IF('Datos_fuente'!B93="","",LN('Datos_fuente'!B93))</f>
        <v/>
      </c>
      <c r="C93" s="160">
        <f>IF(OR(B93="",B92=""),"",B93-B92)</f>
        <v/>
      </c>
      <c r="D93" s="160">
        <f>IF('Datos_fuente'!C93="","",LN('Datos_fuente'!C93))</f>
        <v/>
      </c>
      <c r="E93" s="160">
        <f>IF(OR(D93="",D92=""),"",D93-D92)</f>
        <v/>
      </c>
      <c r="F93" s="160">
        <f>IF('Datos_fuente'!E93="","",LN('Datos_fuente'!E93))</f>
        <v/>
      </c>
      <c r="G93" s="160">
        <f>IF(OR(F93="",F92=""),"",F93-F92)</f>
        <v/>
      </c>
      <c r="H93" s="161">
        <f>'Datos_fuente'!H93</f>
        <v/>
      </c>
      <c r="I93" s="161">
        <f>IF(OR(H93="",H92=""),"",H93-H92)</f>
        <v/>
      </c>
      <c r="J93" s="161">
        <f>'Datos_fuente'!J93</f>
        <v/>
      </c>
      <c r="K93" s="161">
        <f>IF(OR(J93="",J92=""),"",J93-J92)</f>
        <v/>
      </c>
      <c r="L93" s="160">
        <f>IF('Datos_fuente'!K93="","",LN('Datos_fuente'!K93))</f>
        <v/>
      </c>
      <c r="M93" s="160">
        <f>IF(OR(L93="",L92=""),"",L93-L92)</f>
        <v/>
      </c>
      <c r="N93" s="160">
        <f>IF('Datos_fuente'!L93="","",LN('Datos_fuente'!L93))</f>
        <v/>
      </c>
      <c r="O93" s="160">
        <f>IF(OR(N93="",N92=""),"",N93-N92)</f>
        <v/>
      </c>
      <c r="P93" s="162">
        <f>'Datos_fuente'!M93</f>
        <v/>
      </c>
      <c r="Q93" s="160">
        <f>IF('Datos_fuente'!N93="","",LN('Datos_fuente'!N93))</f>
        <v/>
      </c>
      <c r="R93" s="160">
        <f>IF(OR(Q93="",Q92=""),"",Q93-Q92)</f>
        <v/>
      </c>
      <c r="S93" s="161">
        <f>'Datos_fuente'!P93</f>
        <v/>
      </c>
      <c r="T93" s="161">
        <f>IF(OR(S93="",S92=""),"",S93-S92)</f>
        <v/>
      </c>
      <c r="U93" s="160">
        <f>IF('Datos_fuente'!Q93="","",ASINH('Datos_fuente'!Q93/1000))</f>
        <v/>
      </c>
      <c r="V93" s="160">
        <f>IF(OR(U93="",U92=""),"",U93-U92)</f>
        <v/>
      </c>
      <c r="W93" s="160">
        <f>IF('Datos_fuente'!R93="","",ASINH('Datos_fuente'!R93/1000))</f>
        <v/>
      </c>
      <c r="X93" s="160">
        <f>IF(OR(W93="",W92=""),"",W93-W92)</f>
        <v/>
      </c>
      <c r="Y93" s="161">
        <f>'Datos_fuente'!W93</f>
        <v/>
      </c>
      <c r="Z93" s="161">
        <f>IF(OR(Y93="",Y92=""),"",Y93-Y92)</f>
        <v/>
      </c>
      <c r="AA93" s="160">
        <f>'Datos_fuente'!AB93</f>
        <v/>
      </c>
      <c r="AB93" s="160">
        <f>'Datos_fuente'!AC93</f>
        <v/>
      </c>
      <c r="AC93" s="160">
        <f>IF('Datos_fuente'!AD93="","",LN('Datos_fuente'!AD93))</f>
        <v/>
      </c>
      <c r="AD93" s="160">
        <f>IF(OR(AC93="",AC92=""),"",AC93-AC92)</f>
        <v/>
      </c>
      <c r="AE93" s="160">
        <f>IF('Datos_fuente'!AE93="","",LN('Datos_fuente'!AE93))</f>
        <v/>
      </c>
      <c r="AF93" s="160">
        <f>IF(OR(AE93="",AE92=""),"",AE93-AE92)</f>
        <v/>
      </c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'Datos_fuente'!A94</f>
        <v/>
      </c>
      <c r="B94" s="160">
        <f>IF('Datos_fuente'!B94="","",LN('Datos_fuente'!B94))</f>
        <v/>
      </c>
      <c r="C94" s="160">
        <f>IF(OR(B94="",B93=""),"",B94-B93)</f>
        <v/>
      </c>
      <c r="D94" s="160">
        <f>IF('Datos_fuente'!C94="","",LN('Datos_fuente'!C94))</f>
        <v/>
      </c>
      <c r="E94" s="160">
        <f>IF(OR(D94="",D93=""),"",D94-D93)</f>
        <v/>
      </c>
      <c r="F94" s="160">
        <f>IF('Datos_fuente'!E94="","",LN('Datos_fuente'!E94))</f>
        <v/>
      </c>
      <c r="G94" s="160">
        <f>IF(OR(F94="",F93=""),"",F94-F93)</f>
        <v/>
      </c>
      <c r="H94" s="161">
        <f>'Datos_fuente'!H94</f>
        <v/>
      </c>
      <c r="I94" s="161">
        <f>IF(OR(H94="",H93=""),"",H94-H93)</f>
        <v/>
      </c>
      <c r="J94" s="161">
        <f>'Datos_fuente'!J94</f>
        <v/>
      </c>
      <c r="K94" s="161">
        <f>IF(OR(J94="",J93=""),"",J94-J93)</f>
        <v/>
      </c>
      <c r="L94" s="160">
        <f>IF('Datos_fuente'!K94="","",LN('Datos_fuente'!K94))</f>
        <v/>
      </c>
      <c r="M94" s="160">
        <f>IF(OR(L94="",L93=""),"",L94-L93)</f>
        <v/>
      </c>
      <c r="N94" s="160">
        <f>IF('Datos_fuente'!L94="","",LN('Datos_fuente'!L94))</f>
        <v/>
      </c>
      <c r="O94" s="160">
        <f>IF(OR(N94="",N93=""),"",N94-N93)</f>
        <v/>
      </c>
      <c r="P94" s="162">
        <f>'Datos_fuente'!M94</f>
        <v/>
      </c>
      <c r="Q94" s="160">
        <f>IF('Datos_fuente'!N94="","",LN('Datos_fuente'!N94))</f>
        <v/>
      </c>
      <c r="R94" s="160">
        <f>IF(OR(Q94="",Q93=""),"",Q94-Q93)</f>
        <v/>
      </c>
      <c r="S94" s="161">
        <f>'Datos_fuente'!P94</f>
        <v/>
      </c>
      <c r="T94" s="161">
        <f>IF(OR(S94="",S93=""),"",S94-S93)</f>
        <v/>
      </c>
      <c r="U94" s="160">
        <f>IF('Datos_fuente'!Q94="","",ASINH('Datos_fuente'!Q94/1000))</f>
        <v/>
      </c>
      <c r="V94" s="160">
        <f>IF(OR(U94="",U93=""),"",U94-U93)</f>
        <v/>
      </c>
      <c r="W94" s="160">
        <f>IF('Datos_fuente'!R94="","",ASINH('Datos_fuente'!R94/1000))</f>
        <v/>
      </c>
      <c r="X94" s="160">
        <f>IF(OR(W94="",W93=""),"",W94-W93)</f>
        <v/>
      </c>
      <c r="Y94" s="161">
        <f>'Datos_fuente'!W94</f>
        <v/>
      </c>
      <c r="Z94" s="161">
        <f>IF(OR(Y94="",Y93=""),"",Y94-Y93)</f>
        <v/>
      </c>
      <c r="AA94" s="160">
        <f>'Datos_fuente'!AB94</f>
        <v/>
      </c>
      <c r="AB94" s="160">
        <f>'Datos_fuente'!AC94</f>
        <v/>
      </c>
      <c r="AC94" s="160">
        <f>IF('Datos_fuente'!AD94="","",LN('Datos_fuente'!AD94))</f>
        <v/>
      </c>
      <c r="AD94" s="160">
        <f>IF(OR(AC94="",AC93=""),"",AC94-AC93)</f>
        <v/>
      </c>
      <c r="AE94" s="160">
        <f>IF('Datos_fuente'!AE94="","",LN('Datos_fuente'!AE94))</f>
        <v/>
      </c>
      <c r="AF94" s="160">
        <f>IF(OR(AE94="",AE93=""),"",AE94-AE93)</f>
        <v/>
      </c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'Datos_fuente'!A95</f>
        <v/>
      </c>
      <c r="B95" s="160">
        <f>IF('Datos_fuente'!B95="","",LN('Datos_fuente'!B95))</f>
        <v/>
      </c>
      <c r="C95" s="160">
        <f>IF(OR(B95="",B94=""),"",B95-B94)</f>
        <v/>
      </c>
      <c r="D95" s="160">
        <f>IF('Datos_fuente'!C95="","",LN('Datos_fuente'!C95))</f>
        <v/>
      </c>
      <c r="E95" s="160">
        <f>IF(OR(D95="",D94=""),"",D95-D94)</f>
        <v/>
      </c>
      <c r="F95" s="160">
        <f>IF('Datos_fuente'!E95="","",LN('Datos_fuente'!E95))</f>
        <v/>
      </c>
      <c r="G95" s="160">
        <f>IF(OR(F95="",F94=""),"",F95-F94)</f>
        <v/>
      </c>
      <c r="H95" s="161">
        <f>'Datos_fuente'!H95</f>
        <v/>
      </c>
      <c r="I95" s="161">
        <f>IF(OR(H95="",H94=""),"",H95-H94)</f>
        <v/>
      </c>
      <c r="J95" s="161">
        <f>'Datos_fuente'!J95</f>
        <v/>
      </c>
      <c r="K95" s="161">
        <f>IF(OR(J95="",J94=""),"",J95-J94)</f>
        <v/>
      </c>
      <c r="L95" s="160">
        <f>IF('Datos_fuente'!K95="","",LN('Datos_fuente'!K95))</f>
        <v/>
      </c>
      <c r="M95" s="160">
        <f>IF(OR(L95="",L94=""),"",L95-L94)</f>
        <v/>
      </c>
      <c r="N95" s="160">
        <f>IF('Datos_fuente'!L95="","",LN('Datos_fuente'!L95))</f>
        <v/>
      </c>
      <c r="O95" s="160">
        <f>IF(OR(N95="",N94=""),"",N95-N94)</f>
        <v/>
      </c>
      <c r="P95" s="162">
        <f>'Datos_fuente'!M95</f>
        <v/>
      </c>
      <c r="Q95" s="160">
        <f>IF('Datos_fuente'!N95="","",LN('Datos_fuente'!N95))</f>
        <v/>
      </c>
      <c r="R95" s="160">
        <f>IF(OR(Q95="",Q94=""),"",Q95-Q94)</f>
        <v/>
      </c>
      <c r="S95" s="161">
        <f>'Datos_fuente'!P95</f>
        <v/>
      </c>
      <c r="T95" s="161">
        <f>IF(OR(S95="",S94=""),"",S95-S94)</f>
        <v/>
      </c>
      <c r="U95" s="160">
        <f>IF('Datos_fuente'!Q95="","",ASINH('Datos_fuente'!Q95/1000))</f>
        <v/>
      </c>
      <c r="V95" s="160">
        <f>IF(OR(U95="",U94=""),"",U95-U94)</f>
        <v/>
      </c>
      <c r="W95" s="160">
        <f>IF('Datos_fuente'!R95="","",ASINH('Datos_fuente'!R95/1000))</f>
        <v/>
      </c>
      <c r="X95" s="160">
        <f>IF(OR(W95="",W94=""),"",W95-W94)</f>
        <v/>
      </c>
      <c r="Y95" s="161">
        <f>'Datos_fuente'!W95</f>
        <v/>
      </c>
      <c r="Z95" s="161">
        <f>IF(OR(Y95="",Y94=""),"",Y95-Y94)</f>
        <v/>
      </c>
      <c r="AA95" s="160">
        <f>'Datos_fuente'!AB95</f>
        <v/>
      </c>
      <c r="AB95" s="160">
        <f>'Datos_fuente'!AC95</f>
        <v/>
      </c>
      <c r="AC95" s="160">
        <f>IF('Datos_fuente'!AD95="","",LN('Datos_fuente'!AD95))</f>
        <v/>
      </c>
      <c r="AD95" s="160">
        <f>IF(OR(AC95="",AC94=""),"",AC95-AC94)</f>
        <v/>
      </c>
      <c r="AE95" s="160">
        <f>IF('Datos_fuente'!AE95="","",LN('Datos_fuente'!AE95))</f>
        <v/>
      </c>
      <c r="AF95" s="160">
        <f>IF(OR(AE95="",AE94=""),"",AE95-AE94)</f>
        <v/>
      </c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'Datos_fuente'!A96</f>
        <v/>
      </c>
      <c r="B96" s="160">
        <f>IF('Datos_fuente'!B96="","",LN('Datos_fuente'!B96))</f>
        <v/>
      </c>
      <c r="C96" s="160">
        <f>IF(OR(B96="",B95=""),"",B96-B95)</f>
        <v/>
      </c>
      <c r="D96" s="160">
        <f>IF('Datos_fuente'!C96="","",LN('Datos_fuente'!C96))</f>
        <v/>
      </c>
      <c r="E96" s="160">
        <f>IF(OR(D96="",D95=""),"",D96-D95)</f>
        <v/>
      </c>
      <c r="F96" s="160">
        <f>IF('Datos_fuente'!E96="","",LN('Datos_fuente'!E96))</f>
        <v/>
      </c>
      <c r="G96" s="160">
        <f>IF(OR(F96="",F95=""),"",F96-F95)</f>
        <v/>
      </c>
      <c r="H96" s="161">
        <f>'Datos_fuente'!H96</f>
        <v/>
      </c>
      <c r="I96" s="161">
        <f>IF(OR(H96="",H95=""),"",H96-H95)</f>
        <v/>
      </c>
      <c r="J96" s="161">
        <f>'Datos_fuente'!J96</f>
        <v/>
      </c>
      <c r="K96" s="161">
        <f>IF(OR(J96="",J95=""),"",J96-J95)</f>
        <v/>
      </c>
      <c r="L96" s="160">
        <f>IF('Datos_fuente'!K96="","",LN('Datos_fuente'!K96))</f>
        <v/>
      </c>
      <c r="M96" s="160">
        <f>IF(OR(L96="",L95=""),"",L96-L95)</f>
        <v/>
      </c>
      <c r="N96" s="160">
        <f>IF('Datos_fuente'!L96="","",LN('Datos_fuente'!L96))</f>
        <v/>
      </c>
      <c r="O96" s="160">
        <f>IF(OR(N96="",N95=""),"",N96-N95)</f>
        <v/>
      </c>
      <c r="P96" s="162">
        <f>'Datos_fuente'!M96</f>
        <v/>
      </c>
      <c r="Q96" s="160">
        <f>IF('Datos_fuente'!N96="","",LN('Datos_fuente'!N96))</f>
        <v/>
      </c>
      <c r="R96" s="160">
        <f>IF(OR(Q96="",Q95=""),"",Q96-Q95)</f>
        <v/>
      </c>
      <c r="S96" s="161">
        <f>'Datos_fuente'!P96</f>
        <v/>
      </c>
      <c r="T96" s="161">
        <f>IF(OR(S96="",S95=""),"",S96-S95)</f>
        <v/>
      </c>
      <c r="U96" s="160">
        <f>IF('Datos_fuente'!Q96="","",ASINH('Datos_fuente'!Q96/1000))</f>
        <v/>
      </c>
      <c r="V96" s="160">
        <f>IF(OR(U96="",U95=""),"",U96-U95)</f>
        <v/>
      </c>
      <c r="W96" s="160">
        <f>IF('Datos_fuente'!R96="","",ASINH('Datos_fuente'!R96/1000))</f>
        <v/>
      </c>
      <c r="X96" s="160">
        <f>IF(OR(W96="",W95=""),"",W96-W95)</f>
        <v/>
      </c>
      <c r="Y96" s="161">
        <f>'Datos_fuente'!W96</f>
        <v/>
      </c>
      <c r="Z96" s="161">
        <f>IF(OR(Y96="",Y95=""),"",Y96-Y95)</f>
        <v/>
      </c>
      <c r="AA96" s="160">
        <f>'Datos_fuente'!AB96</f>
        <v/>
      </c>
      <c r="AB96" s="160">
        <f>'Datos_fuente'!AC96</f>
        <v/>
      </c>
      <c r="AC96" s="160">
        <f>IF('Datos_fuente'!AD96="","",LN('Datos_fuente'!AD96))</f>
        <v/>
      </c>
      <c r="AD96" s="160">
        <f>IF(OR(AC96="",AC95=""),"",AC96-AC95)</f>
        <v/>
      </c>
      <c r="AE96" s="160">
        <f>IF('Datos_fuente'!AE96="","",LN('Datos_fuente'!AE96))</f>
        <v/>
      </c>
      <c r="AF96" s="160">
        <f>IF(OR(AE96="",AE95=""),"",AE96-AE95)</f>
        <v/>
      </c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'Datos_fuente'!A97</f>
        <v/>
      </c>
      <c r="B97" s="160">
        <f>IF('Datos_fuente'!B97="","",LN('Datos_fuente'!B97))</f>
        <v/>
      </c>
      <c r="C97" s="160">
        <f>IF(OR(B97="",B96=""),"",B97-B96)</f>
        <v/>
      </c>
      <c r="D97" s="160">
        <f>IF('Datos_fuente'!C97="","",LN('Datos_fuente'!C97))</f>
        <v/>
      </c>
      <c r="E97" s="160">
        <f>IF(OR(D97="",D96=""),"",D97-D96)</f>
        <v/>
      </c>
      <c r="F97" s="160">
        <f>IF('Datos_fuente'!E97="","",LN('Datos_fuente'!E97))</f>
        <v/>
      </c>
      <c r="G97" s="160">
        <f>IF(OR(F97="",F96=""),"",F97-F96)</f>
        <v/>
      </c>
      <c r="H97" s="161">
        <f>'Datos_fuente'!H97</f>
        <v/>
      </c>
      <c r="I97" s="161">
        <f>IF(OR(H97="",H96=""),"",H97-H96)</f>
        <v/>
      </c>
      <c r="J97" s="161">
        <f>'Datos_fuente'!J97</f>
        <v/>
      </c>
      <c r="K97" s="161">
        <f>IF(OR(J97="",J96=""),"",J97-J96)</f>
        <v/>
      </c>
      <c r="L97" s="160">
        <f>IF('Datos_fuente'!K97="","",LN('Datos_fuente'!K97))</f>
        <v/>
      </c>
      <c r="M97" s="160">
        <f>IF(OR(L97="",L96=""),"",L97-L96)</f>
        <v/>
      </c>
      <c r="N97" s="160">
        <f>IF('Datos_fuente'!L97="","",LN('Datos_fuente'!L97))</f>
        <v/>
      </c>
      <c r="O97" s="160">
        <f>IF(OR(N97="",N96=""),"",N97-N96)</f>
        <v/>
      </c>
      <c r="P97" s="162">
        <f>'Datos_fuente'!M97</f>
        <v/>
      </c>
      <c r="Q97" s="160">
        <f>IF('Datos_fuente'!N97="","",LN('Datos_fuente'!N97))</f>
        <v/>
      </c>
      <c r="R97" s="160">
        <f>IF(OR(Q97="",Q96=""),"",Q97-Q96)</f>
        <v/>
      </c>
      <c r="S97" s="161">
        <f>'Datos_fuente'!P97</f>
        <v/>
      </c>
      <c r="T97" s="161">
        <f>IF(OR(S97="",S96=""),"",S97-S96)</f>
        <v/>
      </c>
      <c r="U97" s="160">
        <f>IF('Datos_fuente'!Q97="","",ASINH('Datos_fuente'!Q97/1000))</f>
        <v/>
      </c>
      <c r="V97" s="160">
        <f>IF(OR(U97="",U96=""),"",U97-U96)</f>
        <v/>
      </c>
      <c r="W97" s="160">
        <f>IF('Datos_fuente'!R97="","",ASINH('Datos_fuente'!R97/1000))</f>
        <v/>
      </c>
      <c r="X97" s="160">
        <f>IF(OR(W97="",W96=""),"",W97-W96)</f>
        <v/>
      </c>
      <c r="Y97" s="161">
        <f>'Datos_fuente'!W97</f>
        <v/>
      </c>
      <c r="Z97" s="161">
        <f>IF(OR(Y97="",Y96=""),"",Y97-Y96)</f>
        <v/>
      </c>
      <c r="AA97" s="160">
        <f>'Datos_fuente'!AB97</f>
        <v/>
      </c>
      <c r="AB97" s="160">
        <f>'Datos_fuente'!AC97</f>
        <v/>
      </c>
      <c r="AC97" s="160">
        <f>IF('Datos_fuente'!AD97="","",LN('Datos_fuente'!AD97))</f>
        <v/>
      </c>
      <c r="AD97" s="160">
        <f>IF(OR(AC97="",AC96=""),"",AC97-AC96)</f>
        <v/>
      </c>
      <c r="AE97" s="160">
        <f>IF('Datos_fuente'!AE97="","",LN('Datos_fuente'!AE97))</f>
        <v/>
      </c>
      <c r="AF97" s="160">
        <f>IF(OR(AE97="",AE96=""),"",AE97-AE96)</f>
        <v/>
      </c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'Datos_fuente'!A98</f>
        <v/>
      </c>
      <c r="B98" s="160">
        <f>IF('Datos_fuente'!B98="","",LN('Datos_fuente'!B98))</f>
        <v/>
      </c>
      <c r="C98" s="160">
        <f>IF(OR(B98="",B97=""),"",B98-B97)</f>
        <v/>
      </c>
      <c r="D98" s="160">
        <f>IF('Datos_fuente'!C98="","",LN('Datos_fuente'!C98))</f>
        <v/>
      </c>
      <c r="E98" s="160">
        <f>IF(OR(D98="",D97=""),"",D98-D97)</f>
        <v/>
      </c>
      <c r="F98" s="160">
        <f>IF('Datos_fuente'!E98="","",LN('Datos_fuente'!E98))</f>
        <v/>
      </c>
      <c r="G98" s="160">
        <f>IF(OR(F98="",F97=""),"",F98-F97)</f>
        <v/>
      </c>
      <c r="H98" s="161">
        <f>'Datos_fuente'!H98</f>
        <v/>
      </c>
      <c r="I98" s="161">
        <f>IF(OR(H98="",H97=""),"",H98-H97)</f>
        <v/>
      </c>
      <c r="J98" s="161">
        <f>'Datos_fuente'!J98</f>
        <v/>
      </c>
      <c r="K98" s="161">
        <f>IF(OR(J98="",J97=""),"",J98-J97)</f>
        <v/>
      </c>
      <c r="L98" s="160">
        <f>IF('Datos_fuente'!K98="","",LN('Datos_fuente'!K98))</f>
        <v/>
      </c>
      <c r="M98" s="160">
        <f>IF(OR(L98="",L97=""),"",L98-L97)</f>
        <v/>
      </c>
      <c r="N98" s="160">
        <f>IF('Datos_fuente'!L98="","",LN('Datos_fuente'!L98))</f>
        <v/>
      </c>
      <c r="O98" s="160">
        <f>IF(OR(N98="",N97=""),"",N98-N97)</f>
        <v/>
      </c>
      <c r="P98" s="162">
        <f>'Datos_fuente'!M98</f>
        <v/>
      </c>
      <c r="Q98" s="160">
        <f>IF('Datos_fuente'!N98="","",LN('Datos_fuente'!N98))</f>
        <v/>
      </c>
      <c r="R98" s="160">
        <f>IF(OR(Q98="",Q97=""),"",Q98-Q97)</f>
        <v/>
      </c>
      <c r="S98" s="161">
        <f>'Datos_fuente'!P98</f>
        <v/>
      </c>
      <c r="T98" s="161">
        <f>IF(OR(S98="",S97=""),"",S98-S97)</f>
        <v/>
      </c>
      <c r="U98" s="160">
        <f>IF('Datos_fuente'!Q98="","",ASINH('Datos_fuente'!Q98/1000))</f>
        <v/>
      </c>
      <c r="V98" s="160">
        <f>IF(OR(U98="",U97=""),"",U98-U97)</f>
        <v/>
      </c>
      <c r="W98" s="160">
        <f>IF('Datos_fuente'!R98="","",ASINH('Datos_fuente'!R98/1000))</f>
        <v/>
      </c>
      <c r="X98" s="160">
        <f>IF(OR(W98="",W97=""),"",W98-W97)</f>
        <v/>
      </c>
      <c r="Y98" s="161">
        <f>'Datos_fuente'!W98</f>
        <v/>
      </c>
      <c r="Z98" s="161">
        <f>IF(OR(Y98="",Y97=""),"",Y98-Y97)</f>
        <v/>
      </c>
      <c r="AA98" s="160">
        <f>'Datos_fuente'!AB98</f>
        <v/>
      </c>
      <c r="AB98" s="160">
        <f>'Datos_fuente'!AC98</f>
        <v/>
      </c>
      <c r="AC98" s="160">
        <f>IF('Datos_fuente'!AD98="","",LN('Datos_fuente'!AD98))</f>
        <v/>
      </c>
      <c r="AD98" s="160">
        <f>IF(OR(AC98="",AC97=""),"",AC98-AC97)</f>
        <v/>
      </c>
      <c r="AE98" s="160">
        <f>IF('Datos_fuente'!AE98="","",LN('Datos_fuente'!AE98))</f>
        <v/>
      </c>
      <c r="AF98" s="160">
        <f>IF(OR(AE98="",AE97=""),"",AE98-AE97)</f>
        <v/>
      </c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'Datos_fuente'!A99</f>
        <v/>
      </c>
      <c r="B99" s="160">
        <f>IF('Datos_fuente'!B99="","",LN('Datos_fuente'!B99))</f>
        <v/>
      </c>
      <c r="C99" s="160">
        <f>IF(OR(B99="",B98=""),"",B99-B98)</f>
        <v/>
      </c>
      <c r="D99" s="160">
        <f>IF('Datos_fuente'!C99="","",LN('Datos_fuente'!C99))</f>
        <v/>
      </c>
      <c r="E99" s="160">
        <f>IF(OR(D99="",D98=""),"",D99-D98)</f>
        <v/>
      </c>
      <c r="F99" s="160">
        <f>IF('Datos_fuente'!E99="","",LN('Datos_fuente'!E99))</f>
        <v/>
      </c>
      <c r="G99" s="160">
        <f>IF(OR(F99="",F98=""),"",F99-F98)</f>
        <v/>
      </c>
      <c r="H99" s="161">
        <f>'Datos_fuente'!H99</f>
        <v/>
      </c>
      <c r="I99" s="161">
        <f>IF(OR(H99="",H98=""),"",H99-H98)</f>
        <v/>
      </c>
      <c r="J99" s="161">
        <f>'Datos_fuente'!J99</f>
        <v/>
      </c>
      <c r="K99" s="161">
        <f>IF(OR(J99="",J98=""),"",J99-J98)</f>
        <v/>
      </c>
      <c r="L99" s="160">
        <f>IF('Datos_fuente'!K99="","",LN('Datos_fuente'!K99))</f>
        <v/>
      </c>
      <c r="M99" s="160">
        <f>IF(OR(L99="",L98=""),"",L99-L98)</f>
        <v/>
      </c>
      <c r="N99" s="160">
        <f>IF('Datos_fuente'!L99="","",LN('Datos_fuente'!L99))</f>
        <v/>
      </c>
      <c r="O99" s="160">
        <f>IF(OR(N99="",N98=""),"",N99-N98)</f>
        <v/>
      </c>
      <c r="P99" s="162">
        <f>'Datos_fuente'!M99</f>
        <v/>
      </c>
      <c r="Q99" s="160">
        <f>IF('Datos_fuente'!N99="","",LN('Datos_fuente'!N99))</f>
        <v/>
      </c>
      <c r="R99" s="160">
        <f>IF(OR(Q99="",Q98=""),"",Q99-Q98)</f>
        <v/>
      </c>
      <c r="S99" s="161">
        <f>'Datos_fuente'!P99</f>
        <v/>
      </c>
      <c r="T99" s="161">
        <f>IF(OR(S99="",S98=""),"",S99-S98)</f>
        <v/>
      </c>
      <c r="U99" s="160">
        <f>IF('Datos_fuente'!Q99="","",ASINH('Datos_fuente'!Q99/1000))</f>
        <v/>
      </c>
      <c r="V99" s="160">
        <f>IF(OR(U99="",U98=""),"",U99-U98)</f>
        <v/>
      </c>
      <c r="W99" s="160">
        <f>IF('Datos_fuente'!R99="","",ASINH('Datos_fuente'!R99/1000))</f>
        <v/>
      </c>
      <c r="X99" s="160">
        <f>IF(OR(W99="",W98=""),"",W99-W98)</f>
        <v/>
      </c>
      <c r="Y99" s="161">
        <f>'Datos_fuente'!W99</f>
        <v/>
      </c>
      <c r="Z99" s="161">
        <f>IF(OR(Y99="",Y98=""),"",Y99-Y98)</f>
        <v/>
      </c>
      <c r="AA99" s="160">
        <f>'Datos_fuente'!AB99</f>
        <v/>
      </c>
      <c r="AB99" s="160">
        <f>'Datos_fuente'!AC99</f>
        <v/>
      </c>
      <c r="AC99" s="160">
        <f>IF('Datos_fuente'!AD99="","",LN('Datos_fuente'!AD99))</f>
        <v/>
      </c>
      <c r="AD99" s="160">
        <f>IF(OR(AC99="",AC98=""),"",AC99-AC98)</f>
        <v/>
      </c>
      <c r="AE99" s="160">
        <f>IF('Datos_fuente'!AE99="","",LN('Datos_fuente'!AE99))</f>
        <v/>
      </c>
      <c r="AF99" s="160">
        <f>IF(OR(AE99="",AE98=""),"",AE99-AE98)</f>
        <v/>
      </c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'Datos_fuente'!A100</f>
        <v/>
      </c>
      <c r="B100" s="160">
        <f>IF('Datos_fuente'!B100="","",LN('Datos_fuente'!B100))</f>
        <v/>
      </c>
      <c r="C100" s="160">
        <f>IF(OR(B100="",B99=""),"",B100-B99)</f>
        <v/>
      </c>
      <c r="D100" s="160">
        <f>IF('Datos_fuente'!C100="","",LN('Datos_fuente'!C100))</f>
        <v/>
      </c>
      <c r="E100" s="160">
        <f>IF(OR(D100="",D99=""),"",D100-D99)</f>
        <v/>
      </c>
      <c r="F100" s="160">
        <f>IF('Datos_fuente'!E100="","",LN('Datos_fuente'!E100))</f>
        <v/>
      </c>
      <c r="G100" s="160">
        <f>IF(OR(F100="",F99=""),"",F100-F99)</f>
        <v/>
      </c>
      <c r="H100" s="161">
        <f>'Datos_fuente'!H100</f>
        <v/>
      </c>
      <c r="I100" s="161">
        <f>IF(OR(H100="",H99=""),"",H100-H99)</f>
        <v/>
      </c>
      <c r="J100" s="161">
        <f>'Datos_fuente'!J100</f>
        <v/>
      </c>
      <c r="K100" s="161">
        <f>IF(OR(J100="",J99=""),"",J100-J99)</f>
        <v/>
      </c>
      <c r="L100" s="160">
        <f>IF('Datos_fuente'!K100="","",LN('Datos_fuente'!K100))</f>
        <v/>
      </c>
      <c r="M100" s="160">
        <f>IF(OR(L100="",L99=""),"",L100-L99)</f>
        <v/>
      </c>
      <c r="N100" s="160">
        <f>IF('Datos_fuente'!L100="","",LN('Datos_fuente'!L100))</f>
        <v/>
      </c>
      <c r="O100" s="160">
        <f>IF(OR(N100="",N99=""),"",N100-N99)</f>
        <v/>
      </c>
      <c r="P100" s="162">
        <f>'Datos_fuente'!M100</f>
        <v/>
      </c>
      <c r="Q100" s="160">
        <f>IF('Datos_fuente'!N100="","",LN('Datos_fuente'!N100))</f>
        <v/>
      </c>
      <c r="R100" s="160">
        <f>IF(OR(Q100="",Q99=""),"",Q100-Q99)</f>
        <v/>
      </c>
      <c r="S100" s="161">
        <f>'Datos_fuente'!P100</f>
        <v/>
      </c>
      <c r="T100" s="161">
        <f>IF(OR(S100="",S99=""),"",S100-S99)</f>
        <v/>
      </c>
      <c r="U100" s="160">
        <f>IF('Datos_fuente'!Q100="","",ASINH('Datos_fuente'!Q100/1000))</f>
        <v/>
      </c>
      <c r="V100" s="160">
        <f>IF(OR(U100="",U99=""),"",U100-U99)</f>
        <v/>
      </c>
      <c r="W100" s="160">
        <f>IF('Datos_fuente'!R100="","",ASINH('Datos_fuente'!R100/1000))</f>
        <v/>
      </c>
      <c r="X100" s="160">
        <f>IF(OR(W100="",W99=""),"",W100-W99)</f>
        <v/>
      </c>
      <c r="Y100" s="161">
        <f>'Datos_fuente'!W100</f>
        <v/>
      </c>
      <c r="Z100" s="161">
        <f>IF(OR(Y100="",Y99=""),"",Y100-Y99)</f>
        <v/>
      </c>
      <c r="AA100" s="160">
        <f>'Datos_fuente'!AB100</f>
        <v/>
      </c>
      <c r="AB100" s="160">
        <f>'Datos_fuente'!AC100</f>
        <v/>
      </c>
      <c r="AC100" s="160">
        <f>IF('Datos_fuente'!AD100="","",LN('Datos_fuente'!AD100))</f>
        <v/>
      </c>
      <c r="AD100" s="160">
        <f>IF(OR(AC100="",AC99=""),"",AC100-AC99)</f>
        <v/>
      </c>
      <c r="AE100" s="160">
        <f>IF('Datos_fuente'!AE100="","",LN('Datos_fuente'!AE100))</f>
        <v/>
      </c>
      <c r="AF100" s="160">
        <f>IF(OR(AE100="",AE99=""),"",AE100-AE99)</f>
        <v/>
      </c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'Datos_fuente'!A101</f>
        <v/>
      </c>
      <c r="B101" s="160">
        <f>IF('Datos_fuente'!B101="","",LN('Datos_fuente'!B101))</f>
        <v/>
      </c>
      <c r="C101" s="160">
        <f>IF(OR(B101="",B100=""),"",B101-B100)</f>
        <v/>
      </c>
      <c r="D101" s="160">
        <f>IF('Datos_fuente'!C101="","",LN('Datos_fuente'!C101))</f>
        <v/>
      </c>
      <c r="E101" s="160">
        <f>IF(OR(D101="",D100=""),"",D101-D100)</f>
        <v/>
      </c>
      <c r="F101" s="160">
        <f>IF('Datos_fuente'!E101="","",LN('Datos_fuente'!E101))</f>
        <v/>
      </c>
      <c r="G101" s="160">
        <f>IF(OR(F101="",F100=""),"",F101-F100)</f>
        <v/>
      </c>
      <c r="H101" s="161">
        <f>'Datos_fuente'!H101</f>
        <v/>
      </c>
      <c r="I101" s="161">
        <f>IF(OR(H101="",H100=""),"",H101-H100)</f>
        <v/>
      </c>
      <c r="J101" s="161">
        <f>'Datos_fuente'!J101</f>
        <v/>
      </c>
      <c r="K101" s="161">
        <f>IF(OR(J101="",J100=""),"",J101-J100)</f>
        <v/>
      </c>
      <c r="L101" s="160">
        <f>IF('Datos_fuente'!K101="","",LN('Datos_fuente'!K101))</f>
        <v/>
      </c>
      <c r="M101" s="160">
        <f>IF(OR(L101="",L100=""),"",L101-L100)</f>
        <v/>
      </c>
      <c r="N101" s="160">
        <f>IF('Datos_fuente'!L101="","",LN('Datos_fuente'!L101))</f>
        <v/>
      </c>
      <c r="O101" s="160">
        <f>IF(OR(N101="",N100=""),"",N101-N100)</f>
        <v/>
      </c>
      <c r="P101" s="162">
        <f>'Datos_fuente'!M101</f>
        <v/>
      </c>
      <c r="Q101" s="160">
        <f>IF('Datos_fuente'!N101="","",LN('Datos_fuente'!N101))</f>
        <v/>
      </c>
      <c r="R101" s="160">
        <f>IF(OR(Q101="",Q100=""),"",Q101-Q100)</f>
        <v/>
      </c>
      <c r="S101" s="161">
        <f>'Datos_fuente'!P101</f>
        <v/>
      </c>
      <c r="T101" s="161">
        <f>IF(OR(S101="",S100=""),"",S101-S100)</f>
        <v/>
      </c>
      <c r="U101" s="160">
        <f>IF('Datos_fuente'!Q101="","",ASINH('Datos_fuente'!Q101/1000))</f>
        <v/>
      </c>
      <c r="V101" s="160">
        <f>IF(OR(U101="",U100=""),"",U101-U100)</f>
        <v/>
      </c>
      <c r="W101" s="160">
        <f>IF('Datos_fuente'!R101="","",ASINH('Datos_fuente'!R101/1000))</f>
        <v/>
      </c>
      <c r="X101" s="160">
        <f>IF(OR(W101="",W100=""),"",W101-W100)</f>
        <v/>
      </c>
      <c r="Y101" s="161">
        <f>'Datos_fuente'!W101</f>
        <v/>
      </c>
      <c r="Z101" s="161">
        <f>IF(OR(Y101="",Y100=""),"",Y101-Y100)</f>
        <v/>
      </c>
      <c r="AA101" s="160">
        <f>'Datos_fuente'!AB101</f>
        <v/>
      </c>
      <c r="AB101" s="160">
        <f>'Datos_fuente'!AC101</f>
        <v/>
      </c>
      <c r="AC101" s="160">
        <f>IF('Datos_fuente'!AD101="","",LN('Datos_fuente'!AD101))</f>
        <v/>
      </c>
      <c r="AD101" s="160">
        <f>IF(OR(AC101="",AC100=""),"",AC101-AC100)</f>
        <v/>
      </c>
      <c r="AE101" s="160">
        <f>IF('Datos_fuente'!AE101="","",LN('Datos_fuente'!AE101))</f>
        <v/>
      </c>
      <c r="AF101" s="160">
        <f>IF(OR(AE101="",AE100=""),"",AE101-AE100)</f>
        <v/>
      </c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'Datos_fuente'!A102</f>
        <v/>
      </c>
      <c r="B102" s="160">
        <f>IF('Datos_fuente'!B102="","",LN('Datos_fuente'!B102))</f>
        <v/>
      </c>
      <c r="C102" s="160">
        <f>IF(OR(B102="",B101=""),"",B102-B101)</f>
        <v/>
      </c>
      <c r="D102" s="160">
        <f>IF('Datos_fuente'!C102="","",LN('Datos_fuente'!C102))</f>
        <v/>
      </c>
      <c r="E102" s="160">
        <f>IF(OR(D102="",D101=""),"",D102-D101)</f>
        <v/>
      </c>
      <c r="F102" s="160">
        <f>IF('Datos_fuente'!E102="","",LN('Datos_fuente'!E102))</f>
        <v/>
      </c>
      <c r="G102" s="160">
        <f>IF(OR(F102="",F101=""),"",F102-F101)</f>
        <v/>
      </c>
      <c r="H102" s="161">
        <f>'Datos_fuente'!H102</f>
        <v/>
      </c>
      <c r="I102" s="161">
        <f>IF(OR(H102="",H101=""),"",H102-H101)</f>
        <v/>
      </c>
      <c r="J102" s="161">
        <f>'Datos_fuente'!J102</f>
        <v/>
      </c>
      <c r="K102" s="161">
        <f>IF(OR(J102="",J101=""),"",J102-J101)</f>
        <v/>
      </c>
      <c r="L102" s="160">
        <f>IF('Datos_fuente'!K102="","",LN('Datos_fuente'!K102))</f>
        <v/>
      </c>
      <c r="M102" s="160">
        <f>IF(OR(L102="",L101=""),"",L102-L101)</f>
        <v/>
      </c>
      <c r="N102" s="160">
        <f>IF('Datos_fuente'!L102="","",LN('Datos_fuente'!L102))</f>
        <v/>
      </c>
      <c r="O102" s="160">
        <f>IF(OR(N102="",N101=""),"",N102-N101)</f>
        <v/>
      </c>
      <c r="P102" s="162">
        <f>'Datos_fuente'!M102</f>
        <v/>
      </c>
      <c r="Q102" s="160">
        <f>IF('Datos_fuente'!N102="","",LN('Datos_fuente'!N102))</f>
        <v/>
      </c>
      <c r="R102" s="160">
        <f>IF(OR(Q102="",Q101=""),"",Q102-Q101)</f>
        <v/>
      </c>
      <c r="S102" s="161">
        <f>'Datos_fuente'!P102</f>
        <v/>
      </c>
      <c r="T102" s="161">
        <f>IF(OR(S102="",S101=""),"",S102-S101)</f>
        <v/>
      </c>
      <c r="U102" s="160">
        <f>IF('Datos_fuente'!Q102="","",ASINH('Datos_fuente'!Q102/1000))</f>
        <v/>
      </c>
      <c r="V102" s="160">
        <f>IF(OR(U102="",U101=""),"",U102-U101)</f>
        <v/>
      </c>
      <c r="W102" s="160">
        <f>IF('Datos_fuente'!R102="","",ASINH('Datos_fuente'!R102/1000))</f>
        <v/>
      </c>
      <c r="X102" s="160">
        <f>IF(OR(W102="",W101=""),"",W102-W101)</f>
        <v/>
      </c>
      <c r="Y102" s="161">
        <f>'Datos_fuente'!W102</f>
        <v/>
      </c>
      <c r="Z102" s="161">
        <f>IF(OR(Y102="",Y101=""),"",Y102-Y101)</f>
        <v/>
      </c>
      <c r="AA102" s="160">
        <f>'Datos_fuente'!AB102</f>
        <v/>
      </c>
      <c r="AB102" s="160">
        <f>'Datos_fuente'!AC102</f>
        <v/>
      </c>
      <c r="AC102" s="160">
        <f>IF('Datos_fuente'!AD102="","",LN('Datos_fuente'!AD102))</f>
        <v/>
      </c>
      <c r="AD102" s="160">
        <f>IF(OR(AC102="",AC101=""),"",AC102-AC101)</f>
        <v/>
      </c>
      <c r="AE102" s="160">
        <f>IF('Datos_fuente'!AE102="","",LN('Datos_fuente'!AE102))</f>
        <v/>
      </c>
      <c r="AF102" s="160">
        <f>IF(OR(AE102="",AE101=""),"",AE102-AE101)</f>
        <v/>
      </c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'Datos_fuente'!A103</f>
        <v/>
      </c>
      <c r="B103" s="160">
        <f>IF('Datos_fuente'!B103="","",LN('Datos_fuente'!B103))</f>
        <v/>
      </c>
      <c r="C103" s="160">
        <f>IF(OR(B103="",B102=""),"",B103-B102)</f>
        <v/>
      </c>
      <c r="D103" s="160">
        <f>IF('Datos_fuente'!C103="","",LN('Datos_fuente'!C103))</f>
        <v/>
      </c>
      <c r="E103" s="160">
        <f>IF(OR(D103="",D102=""),"",D103-D102)</f>
        <v/>
      </c>
      <c r="F103" s="160">
        <f>IF('Datos_fuente'!E103="","",LN('Datos_fuente'!E103))</f>
        <v/>
      </c>
      <c r="G103" s="160">
        <f>IF(OR(F103="",F102=""),"",F103-F102)</f>
        <v/>
      </c>
      <c r="H103" s="161">
        <f>'Datos_fuente'!H103</f>
        <v/>
      </c>
      <c r="I103" s="161">
        <f>IF(OR(H103="",H102=""),"",H103-H102)</f>
        <v/>
      </c>
      <c r="J103" s="161">
        <f>'Datos_fuente'!J103</f>
        <v/>
      </c>
      <c r="K103" s="161">
        <f>IF(OR(J103="",J102=""),"",J103-J102)</f>
        <v/>
      </c>
      <c r="L103" s="160">
        <f>IF('Datos_fuente'!K103="","",LN('Datos_fuente'!K103))</f>
        <v/>
      </c>
      <c r="M103" s="160">
        <f>IF(OR(L103="",L102=""),"",L103-L102)</f>
        <v/>
      </c>
      <c r="N103" s="160">
        <f>IF('Datos_fuente'!L103="","",LN('Datos_fuente'!L103))</f>
        <v/>
      </c>
      <c r="O103" s="160">
        <f>IF(OR(N103="",N102=""),"",N103-N102)</f>
        <v/>
      </c>
      <c r="P103" s="162">
        <f>'Datos_fuente'!M103</f>
        <v/>
      </c>
      <c r="Q103" s="160">
        <f>IF('Datos_fuente'!N103="","",LN('Datos_fuente'!N103))</f>
        <v/>
      </c>
      <c r="R103" s="160">
        <f>IF(OR(Q103="",Q102=""),"",Q103-Q102)</f>
        <v/>
      </c>
      <c r="S103" s="161">
        <f>'Datos_fuente'!P103</f>
        <v/>
      </c>
      <c r="T103" s="161">
        <f>IF(OR(S103="",S102=""),"",S103-S102)</f>
        <v/>
      </c>
      <c r="U103" s="160">
        <f>IF('Datos_fuente'!Q103="","",ASINH('Datos_fuente'!Q103/1000))</f>
        <v/>
      </c>
      <c r="V103" s="160">
        <f>IF(OR(U103="",U102=""),"",U103-U102)</f>
        <v/>
      </c>
      <c r="W103" s="160">
        <f>IF('Datos_fuente'!R103="","",ASINH('Datos_fuente'!R103/1000))</f>
        <v/>
      </c>
      <c r="X103" s="160">
        <f>IF(OR(W103="",W102=""),"",W103-W102)</f>
        <v/>
      </c>
      <c r="Y103" s="161">
        <f>'Datos_fuente'!W103</f>
        <v/>
      </c>
      <c r="Z103" s="161">
        <f>IF(OR(Y103="",Y102=""),"",Y103-Y102)</f>
        <v/>
      </c>
      <c r="AA103" s="160">
        <f>'Datos_fuente'!AB103</f>
        <v/>
      </c>
      <c r="AB103" s="160">
        <f>'Datos_fuente'!AC103</f>
        <v/>
      </c>
      <c r="AC103" s="160">
        <f>IF('Datos_fuente'!AD103="","",LN('Datos_fuente'!AD103))</f>
        <v/>
      </c>
      <c r="AD103" s="160">
        <f>IF(OR(AC103="",AC102=""),"",AC103-AC102)</f>
        <v/>
      </c>
      <c r="AE103" s="160">
        <f>IF('Datos_fuente'!AE103="","",LN('Datos_fuente'!AE103))</f>
        <v/>
      </c>
      <c r="AF103" s="160">
        <f>IF(OR(AE103="",AE102=""),"",AE103-AE102)</f>
        <v/>
      </c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'Datos_fuente'!A104</f>
        <v/>
      </c>
      <c r="B104" s="160">
        <f>IF('Datos_fuente'!B104="","",LN('Datos_fuente'!B104))</f>
        <v/>
      </c>
      <c r="C104" s="160">
        <f>IF(OR(B104="",B103=""),"",B104-B103)</f>
        <v/>
      </c>
      <c r="D104" s="160">
        <f>IF('Datos_fuente'!C104="","",LN('Datos_fuente'!C104))</f>
        <v/>
      </c>
      <c r="E104" s="160">
        <f>IF(OR(D104="",D103=""),"",D104-D103)</f>
        <v/>
      </c>
      <c r="F104" s="160">
        <f>IF('Datos_fuente'!E104="","",LN('Datos_fuente'!E104))</f>
        <v/>
      </c>
      <c r="G104" s="160">
        <f>IF(OR(F104="",F103=""),"",F104-F103)</f>
        <v/>
      </c>
      <c r="H104" s="161">
        <f>'Datos_fuente'!H104</f>
        <v/>
      </c>
      <c r="I104" s="161">
        <f>IF(OR(H104="",H103=""),"",H104-H103)</f>
        <v/>
      </c>
      <c r="J104" s="161">
        <f>'Datos_fuente'!J104</f>
        <v/>
      </c>
      <c r="K104" s="161">
        <f>IF(OR(J104="",J103=""),"",J104-J103)</f>
        <v/>
      </c>
      <c r="L104" s="160">
        <f>IF('Datos_fuente'!K104="","",LN('Datos_fuente'!K104))</f>
        <v/>
      </c>
      <c r="M104" s="160">
        <f>IF(OR(L104="",L103=""),"",L104-L103)</f>
        <v/>
      </c>
      <c r="N104" s="160">
        <f>IF('Datos_fuente'!L104="","",LN('Datos_fuente'!L104))</f>
        <v/>
      </c>
      <c r="O104" s="160">
        <f>IF(OR(N104="",N103=""),"",N104-N103)</f>
        <v/>
      </c>
      <c r="P104" s="162">
        <f>'Datos_fuente'!M104</f>
        <v/>
      </c>
      <c r="Q104" s="160">
        <f>IF('Datos_fuente'!N104="","",LN('Datos_fuente'!N104))</f>
        <v/>
      </c>
      <c r="R104" s="160">
        <f>IF(OR(Q104="",Q103=""),"",Q104-Q103)</f>
        <v/>
      </c>
      <c r="S104" s="161">
        <f>'Datos_fuente'!P104</f>
        <v/>
      </c>
      <c r="T104" s="161">
        <f>IF(OR(S104="",S103=""),"",S104-S103)</f>
        <v/>
      </c>
      <c r="U104" s="160">
        <f>IF('Datos_fuente'!Q104="","",ASINH('Datos_fuente'!Q104/1000))</f>
        <v/>
      </c>
      <c r="V104" s="160">
        <f>IF(OR(U104="",U103=""),"",U104-U103)</f>
        <v/>
      </c>
      <c r="W104" s="160">
        <f>IF('Datos_fuente'!R104="","",ASINH('Datos_fuente'!R104/1000))</f>
        <v/>
      </c>
      <c r="X104" s="160">
        <f>IF(OR(W104="",W103=""),"",W104-W103)</f>
        <v/>
      </c>
      <c r="Y104" s="161">
        <f>'Datos_fuente'!W104</f>
        <v/>
      </c>
      <c r="Z104" s="161">
        <f>IF(OR(Y104="",Y103=""),"",Y104-Y103)</f>
        <v/>
      </c>
      <c r="AA104" s="160">
        <f>'Datos_fuente'!AB104</f>
        <v/>
      </c>
      <c r="AB104" s="160">
        <f>'Datos_fuente'!AC104</f>
        <v/>
      </c>
      <c r="AC104" s="160">
        <f>IF('Datos_fuente'!AD104="","",LN('Datos_fuente'!AD104))</f>
        <v/>
      </c>
      <c r="AD104" s="160">
        <f>IF(OR(AC104="",AC103=""),"",AC104-AC103)</f>
        <v/>
      </c>
      <c r="AE104" s="160">
        <f>IF('Datos_fuente'!AE104="","",LN('Datos_fuente'!AE104))</f>
        <v/>
      </c>
      <c r="AF104" s="160">
        <f>IF(OR(AE104="",AE103=""),"",AE104-AE103)</f>
        <v/>
      </c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'Datos_fuente'!A105</f>
        <v/>
      </c>
      <c r="B105" s="160">
        <f>IF('Datos_fuente'!B105="","",LN('Datos_fuente'!B105))</f>
        <v/>
      </c>
      <c r="C105" s="160">
        <f>IF(OR(B105="",B104=""),"",B105-B104)</f>
        <v/>
      </c>
      <c r="D105" s="160">
        <f>IF('Datos_fuente'!C105="","",LN('Datos_fuente'!C105))</f>
        <v/>
      </c>
      <c r="E105" s="160">
        <f>IF(OR(D105="",D104=""),"",D105-D104)</f>
        <v/>
      </c>
      <c r="F105" s="160">
        <f>IF('Datos_fuente'!E105="","",LN('Datos_fuente'!E105))</f>
        <v/>
      </c>
      <c r="G105" s="160">
        <f>IF(OR(F105="",F104=""),"",F105-F104)</f>
        <v/>
      </c>
      <c r="H105" s="161">
        <f>'Datos_fuente'!H105</f>
        <v/>
      </c>
      <c r="I105" s="161">
        <f>IF(OR(H105="",H104=""),"",H105-H104)</f>
        <v/>
      </c>
      <c r="J105" s="161">
        <f>'Datos_fuente'!J105</f>
        <v/>
      </c>
      <c r="K105" s="161">
        <f>IF(OR(J105="",J104=""),"",J105-J104)</f>
        <v/>
      </c>
      <c r="L105" s="160">
        <f>IF('Datos_fuente'!K105="","",LN('Datos_fuente'!K105))</f>
        <v/>
      </c>
      <c r="M105" s="160">
        <f>IF(OR(L105="",L104=""),"",L105-L104)</f>
        <v/>
      </c>
      <c r="N105" s="160">
        <f>IF('Datos_fuente'!L105="","",LN('Datos_fuente'!L105))</f>
        <v/>
      </c>
      <c r="O105" s="160">
        <f>IF(OR(N105="",N104=""),"",N105-N104)</f>
        <v/>
      </c>
      <c r="P105" s="162">
        <f>'Datos_fuente'!M105</f>
        <v/>
      </c>
      <c r="Q105" s="160">
        <f>IF('Datos_fuente'!N105="","",LN('Datos_fuente'!N105))</f>
        <v/>
      </c>
      <c r="R105" s="160">
        <f>IF(OR(Q105="",Q104=""),"",Q105-Q104)</f>
        <v/>
      </c>
      <c r="S105" s="161">
        <f>'Datos_fuente'!P105</f>
        <v/>
      </c>
      <c r="T105" s="161">
        <f>IF(OR(S105="",S104=""),"",S105-S104)</f>
        <v/>
      </c>
      <c r="U105" s="160">
        <f>IF('Datos_fuente'!Q105="","",ASINH('Datos_fuente'!Q105/1000))</f>
        <v/>
      </c>
      <c r="V105" s="160">
        <f>IF(OR(U105="",U104=""),"",U105-U104)</f>
        <v/>
      </c>
      <c r="W105" s="160">
        <f>IF('Datos_fuente'!R105="","",ASINH('Datos_fuente'!R105/1000))</f>
        <v/>
      </c>
      <c r="X105" s="160">
        <f>IF(OR(W105="",W104=""),"",W105-W104)</f>
        <v/>
      </c>
      <c r="Y105" s="161">
        <f>'Datos_fuente'!W105</f>
        <v/>
      </c>
      <c r="Z105" s="161">
        <f>IF(OR(Y105="",Y104=""),"",Y105-Y104)</f>
        <v/>
      </c>
      <c r="AA105" s="160">
        <f>'Datos_fuente'!AB105</f>
        <v/>
      </c>
      <c r="AB105" s="160">
        <f>'Datos_fuente'!AC105</f>
        <v/>
      </c>
      <c r="AC105" s="160">
        <f>IF('Datos_fuente'!AD105="","",LN('Datos_fuente'!AD105))</f>
        <v/>
      </c>
      <c r="AD105" s="160">
        <f>IF(OR(AC105="",AC104=""),"",AC105-AC104)</f>
        <v/>
      </c>
      <c r="AE105" s="160">
        <f>IF('Datos_fuente'!AE105="","",LN('Datos_fuente'!AE105))</f>
        <v/>
      </c>
      <c r="AF105" s="160">
        <f>IF(OR(AE105="",AE104=""),"",AE105-AE104)</f>
        <v/>
      </c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'Datos_fuente'!A106</f>
        <v/>
      </c>
      <c r="B106" s="160">
        <f>IF('Datos_fuente'!B106="","",LN('Datos_fuente'!B106))</f>
        <v/>
      </c>
      <c r="C106" s="160">
        <f>IF(OR(B106="",B105=""),"",B106-B105)</f>
        <v/>
      </c>
      <c r="D106" s="160">
        <f>IF('Datos_fuente'!C106="","",LN('Datos_fuente'!C106))</f>
        <v/>
      </c>
      <c r="E106" s="160">
        <f>IF(OR(D106="",D105=""),"",D106-D105)</f>
        <v/>
      </c>
      <c r="F106" s="160">
        <f>IF('Datos_fuente'!E106="","",LN('Datos_fuente'!E106))</f>
        <v/>
      </c>
      <c r="G106" s="160">
        <f>IF(OR(F106="",F105=""),"",F106-F105)</f>
        <v/>
      </c>
      <c r="H106" s="161">
        <f>'Datos_fuente'!H106</f>
        <v/>
      </c>
      <c r="I106" s="161">
        <f>IF(OR(H106="",H105=""),"",H106-H105)</f>
        <v/>
      </c>
      <c r="J106" s="161">
        <f>'Datos_fuente'!J106</f>
        <v/>
      </c>
      <c r="K106" s="161">
        <f>IF(OR(J106="",J105=""),"",J106-J105)</f>
        <v/>
      </c>
      <c r="L106" s="160">
        <f>IF('Datos_fuente'!K106="","",LN('Datos_fuente'!K106))</f>
        <v/>
      </c>
      <c r="M106" s="160">
        <f>IF(OR(L106="",L105=""),"",L106-L105)</f>
        <v/>
      </c>
      <c r="N106" s="160">
        <f>IF('Datos_fuente'!L106="","",LN('Datos_fuente'!L106))</f>
        <v/>
      </c>
      <c r="O106" s="160">
        <f>IF(OR(N106="",N105=""),"",N106-N105)</f>
        <v/>
      </c>
      <c r="P106" s="162">
        <f>'Datos_fuente'!M106</f>
        <v/>
      </c>
      <c r="Q106" s="160">
        <f>IF('Datos_fuente'!N106="","",LN('Datos_fuente'!N106))</f>
        <v/>
      </c>
      <c r="R106" s="160">
        <f>IF(OR(Q106="",Q105=""),"",Q106-Q105)</f>
        <v/>
      </c>
      <c r="S106" s="161">
        <f>'Datos_fuente'!P106</f>
        <v/>
      </c>
      <c r="T106" s="161">
        <f>IF(OR(S106="",S105=""),"",S106-S105)</f>
        <v/>
      </c>
      <c r="U106" s="160">
        <f>IF('Datos_fuente'!Q106="","",ASINH('Datos_fuente'!Q106/1000))</f>
        <v/>
      </c>
      <c r="V106" s="160">
        <f>IF(OR(U106="",U105=""),"",U106-U105)</f>
        <v/>
      </c>
      <c r="W106" s="160">
        <f>IF('Datos_fuente'!R106="","",ASINH('Datos_fuente'!R106/1000))</f>
        <v/>
      </c>
      <c r="X106" s="160">
        <f>IF(OR(W106="",W105=""),"",W106-W105)</f>
        <v/>
      </c>
      <c r="Y106" s="161">
        <f>'Datos_fuente'!W106</f>
        <v/>
      </c>
      <c r="Z106" s="161">
        <f>IF(OR(Y106="",Y105=""),"",Y106-Y105)</f>
        <v/>
      </c>
      <c r="AA106" s="160">
        <f>'Datos_fuente'!AB106</f>
        <v/>
      </c>
      <c r="AB106" s="160">
        <f>'Datos_fuente'!AC106</f>
        <v/>
      </c>
      <c r="AC106" s="160">
        <f>IF('Datos_fuente'!AD106="","",LN('Datos_fuente'!AD106))</f>
        <v/>
      </c>
      <c r="AD106" s="160">
        <f>IF(OR(AC106="",AC105=""),"",AC106-AC105)</f>
        <v/>
      </c>
      <c r="AE106" s="160">
        <f>IF('Datos_fuente'!AE106="","",LN('Datos_fuente'!AE106))</f>
        <v/>
      </c>
      <c r="AF106" s="160">
        <f>IF(OR(AE106="",AE105=""),"",AE106-AE105)</f>
        <v/>
      </c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'Datos_fuente'!A107</f>
        <v/>
      </c>
      <c r="B107" s="160">
        <f>IF('Datos_fuente'!B107="","",LN('Datos_fuente'!B107))</f>
        <v/>
      </c>
      <c r="C107" s="160">
        <f>IF(OR(B107="",B106=""),"",B107-B106)</f>
        <v/>
      </c>
      <c r="D107" s="160">
        <f>IF('Datos_fuente'!C107="","",LN('Datos_fuente'!C107))</f>
        <v/>
      </c>
      <c r="E107" s="160">
        <f>IF(OR(D107="",D106=""),"",D107-D106)</f>
        <v/>
      </c>
      <c r="F107" s="160">
        <f>IF('Datos_fuente'!E107="","",LN('Datos_fuente'!E107))</f>
        <v/>
      </c>
      <c r="G107" s="160">
        <f>IF(OR(F107="",F106=""),"",F107-F106)</f>
        <v/>
      </c>
      <c r="H107" s="161">
        <f>'Datos_fuente'!H107</f>
        <v/>
      </c>
      <c r="I107" s="161">
        <f>IF(OR(H107="",H106=""),"",H107-H106)</f>
        <v/>
      </c>
      <c r="J107" s="161">
        <f>'Datos_fuente'!J107</f>
        <v/>
      </c>
      <c r="K107" s="161">
        <f>IF(OR(J107="",J106=""),"",J107-J106)</f>
        <v/>
      </c>
      <c r="L107" s="160">
        <f>IF('Datos_fuente'!K107="","",LN('Datos_fuente'!K107))</f>
        <v/>
      </c>
      <c r="M107" s="160">
        <f>IF(OR(L107="",L106=""),"",L107-L106)</f>
        <v/>
      </c>
      <c r="N107" s="160">
        <f>IF('Datos_fuente'!L107="","",LN('Datos_fuente'!L107))</f>
        <v/>
      </c>
      <c r="O107" s="160">
        <f>IF(OR(N107="",N106=""),"",N107-N106)</f>
        <v/>
      </c>
      <c r="P107" s="162">
        <f>'Datos_fuente'!M107</f>
        <v/>
      </c>
      <c r="Q107" s="160">
        <f>IF('Datos_fuente'!N107="","",LN('Datos_fuente'!N107))</f>
        <v/>
      </c>
      <c r="R107" s="160">
        <f>IF(OR(Q107="",Q106=""),"",Q107-Q106)</f>
        <v/>
      </c>
      <c r="S107" s="161">
        <f>'Datos_fuente'!P107</f>
        <v/>
      </c>
      <c r="T107" s="161">
        <f>IF(OR(S107="",S106=""),"",S107-S106)</f>
        <v/>
      </c>
      <c r="U107" s="160">
        <f>IF('Datos_fuente'!Q107="","",ASINH('Datos_fuente'!Q107/1000))</f>
        <v/>
      </c>
      <c r="V107" s="160">
        <f>IF(OR(U107="",U106=""),"",U107-U106)</f>
        <v/>
      </c>
      <c r="W107" s="160">
        <f>IF('Datos_fuente'!R107="","",ASINH('Datos_fuente'!R107/1000))</f>
        <v/>
      </c>
      <c r="X107" s="160">
        <f>IF(OR(W107="",W106=""),"",W107-W106)</f>
        <v/>
      </c>
      <c r="Y107" s="161">
        <f>'Datos_fuente'!W107</f>
        <v/>
      </c>
      <c r="Z107" s="161">
        <f>IF(OR(Y107="",Y106=""),"",Y107-Y106)</f>
        <v/>
      </c>
      <c r="AA107" s="160">
        <f>'Datos_fuente'!AB107</f>
        <v/>
      </c>
      <c r="AB107" s="160">
        <f>'Datos_fuente'!AC107</f>
        <v/>
      </c>
      <c r="AC107" s="160">
        <f>IF('Datos_fuente'!AD107="","",LN('Datos_fuente'!AD107))</f>
        <v/>
      </c>
      <c r="AD107" s="160">
        <f>IF(OR(AC107="",AC106=""),"",AC107-AC106)</f>
        <v/>
      </c>
      <c r="AE107" s="160">
        <f>IF('Datos_fuente'!AE107="","",LN('Datos_fuente'!AE107))</f>
        <v/>
      </c>
      <c r="AF107" s="160">
        <f>IF(OR(AE107="",AE106=""),"",AE107-AE106)</f>
        <v/>
      </c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'Datos_fuente'!A108</f>
        <v/>
      </c>
      <c r="B108" s="160">
        <f>IF('Datos_fuente'!B108="","",LN('Datos_fuente'!B108))</f>
        <v/>
      </c>
      <c r="C108" s="160">
        <f>IF(OR(B108="",B107=""),"",B108-B107)</f>
        <v/>
      </c>
      <c r="D108" s="160">
        <f>IF('Datos_fuente'!C108="","",LN('Datos_fuente'!C108))</f>
        <v/>
      </c>
      <c r="E108" s="160">
        <f>IF(OR(D108="",D107=""),"",D108-D107)</f>
        <v/>
      </c>
      <c r="F108" s="160">
        <f>IF('Datos_fuente'!E108="","",LN('Datos_fuente'!E108))</f>
        <v/>
      </c>
      <c r="G108" s="160">
        <f>IF(OR(F108="",F107=""),"",F108-F107)</f>
        <v/>
      </c>
      <c r="H108" s="161">
        <f>'Datos_fuente'!H108</f>
        <v/>
      </c>
      <c r="I108" s="161">
        <f>IF(OR(H108="",H107=""),"",H108-H107)</f>
        <v/>
      </c>
      <c r="J108" s="161">
        <f>'Datos_fuente'!J108</f>
        <v/>
      </c>
      <c r="K108" s="161">
        <f>IF(OR(J108="",J107=""),"",J108-J107)</f>
        <v/>
      </c>
      <c r="L108" s="160">
        <f>IF('Datos_fuente'!K108="","",LN('Datos_fuente'!K108))</f>
        <v/>
      </c>
      <c r="M108" s="160">
        <f>IF(OR(L108="",L107=""),"",L108-L107)</f>
        <v/>
      </c>
      <c r="N108" s="160">
        <f>IF('Datos_fuente'!L108="","",LN('Datos_fuente'!L108))</f>
        <v/>
      </c>
      <c r="O108" s="160">
        <f>IF(OR(N108="",N107=""),"",N108-N107)</f>
        <v/>
      </c>
      <c r="P108" s="162">
        <f>'Datos_fuente'!M108</f>
        <v/>
      </c>
      <c r="Q108" s="160">
        <f>IF('Datos_fuente'!N108="","",LN('Datos_fuente'!N108))</f>
        <v/>
      </c>
      <c r="R108" s="160">
        <f>IF(OR(Q108="",Q107=""),"",Q108-Q107)</f>
        <v/>
      </c>
      <c r="S108" s="161">
        <f>'Datos_fuente'!P108</f>
        <v/>
      </c>
      <c r="T108" s="161">
        <f>IF(OR(S108="",S107=""),"",S108-S107)</f>
        <v/>
      </c>
      <c r="U108" s="160">
        <f>IF('Datos_fuente'!Q108="","",ASINH('Datos_fuente'!Q108/1000))</f>
        <v/>
      </c>
      <c r="V108" s="160">
        <f>IF(OR(U108="",U107=""),"",U108-U107)</f>
        <v/>
      </c>
      <c r="W108" s="160">
        <f>IF('Datos_fuente'!R108="","",ASINH('Datos_fuente'!R108/1000))</f>
        <v/>
      </c>
      <c r="X108" s="160">
        <f>IF(OR(W108="",W107=""),"",W108-W107)</f>
        <v/>
      </c>
      <c r="Y108" s="161">
        <f>'Datos_fuente'!W108</f>
        <v/>
      </c>
      <c r="Z108" s="161">
        <f>IF(OR(Y108="",Y107=""),"",Y108-Y107)</f>
        <v/>
      </c>
      <c r="AA108" s="160">
        <f>'Datos_fuente'!AB108</f>
        <v/>
      </c>
      <c r="AB108" s="160">
        <f>'Datos_fuente'!AC108</f>
        <v/>
      </c>
      <c r="AC108" s="160">
        <f>IF('Datos_fuente'!AD108="","",LN('Datos_fuente'!AD108))</f>
        <v/>
      </c>
      <c r="AD108" s="160">
        <f>IF(OR(AC108="",AC107=""),"",AC108-AC107)</f>
        <v/>
      </c>
      <c r="AE108" s="160">
        <f>IF('Datos_fuente'!AE108="","",LN('Datos_fuente'!AE108))</f>
        <v/>
      </c>
      <c r="AF108" s="160">
        <f>IF(OR(AE108="",AE107=""),"",AE108-AE107)</f>
        <v/>
      </c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'Datos_fuente'!A109</f>
        <v/>
      </c>
      <c r="B109" s="160">
        <f>IF('Datos_fuente'!B109="","",LN('Datos_fuente'!B109))</f>
        <v/>
      </c>
      <c r="C109" s="160">
        <f>IF(OR(B109="",B108=""),"",B109-B108)</f>
        <v/>
      </c>
      <c r="D109" s="160">
        <f>IF('Datos_fuente'!C109="","",LN('Datos_fuente'!C109))</f>
        <v/>
      </c>
      <c r="E109" s="160">
        <f>IF(OR(D109="",D108=""),"",D109-D108)</f>
        <v/>
      </c>
      <c r="F109" s="160">
        <f>IF('Datos_fuente'!E109="","",LN('Datos_fuente'!E109))</f>
        <v/>
      </c>
      <c r="G109" s="160">
        <f>IF(OR(F109="",F108=""),"",F109-F108)</f>
        <v/>
      </c>
      <c r="H109" s="161">
        <f>'Datos_fuente'!H109</f>
        <v/>
      </c>
      <c r="I109" s="161">
        <f>IF(OR(H109="",H108=""),"",H109-H108)</f>
        <v/>
      </c>
      <c r="J109" s="161">
        <f>'Datos_fuente'!J109</f>
        <v/>
      </c>
      <c r="K109" s="161">
        <f>IF(OR(J109="",J108=""),"",J109-J108)</f>
        <v/>
      </c>
      <c r="L109" s="160">
        <f>IF('Datos_fuente'!K109="","",LN('Datos_fuente'!K109))</f>
        <v/>
      </c>
      <c r="M109" s="160">
        <f>IF(OR(L109="",L108=""),"",L109-L108)</f>
        <v/>
      </c>
      <c r="N109" s="160">
        <f>IF('Datos_fuente'!L109="","",LN('Datos_fuente'!L109))</f>
        <v/>
      </c>
      <c r="O109" s="160">
        <f>IF(OR(N109="",N108=""),"",N109-N108)</f>
        <v/>
      </c>
      <c r="P109" s="162">
        <f>'Datos_fuente'!M109</f>
        <v/>
      </c>
      <c r="Q109" s="160">
        <f>IF('Datos_fuente'!N109="","",LN('Datos_fuente'!N109))</f>
        <v/>
      </c>
      <c r="R109" s="160">
        <f>IF(OR(Q109="",Q108=""),"",Q109-Q108)</f>
        <v/>
      </c>
      <c r="S109" s="161">
        <f>'Datos_fuente'!P109</f>
        <v/>
      </c>
      <c r="T109" s="161">
        <f>IF(OR(S109="",S108=""),"",S109-S108)</f>
        <v/>
      </c>
      <c r="U109" s="160">
        <f>IF('Datos_fuente'!Q109="","",ASINH('Datos_fuente'!Q109/1000))</f>
        <v/>
      </c>
      <c r="V109" s="160">
        <f>IF(OR(U109="",U108=""),"",U109-U108)</f>
        <v/>
      </c>
      <c r="W109" s="160">
        <f>IF('Datos_fuente'!R109="","",ASINH('Datos_fuente'!R109/1000))</f>
        <v/>
      </c>
      <c r="X109" s="160">
        <f>IF(OR(W109="",W108=""),"",W109-W108)</f>
        <v/>
      </c>
      <c r="Y109" s="161">
        <f>'Datos_fuente'!W109</f>
        <v/>
      </c>
      <c r="Z109" s="161">
        <f>IF(OR(Y109="",Y108=""),"",Y109-Y108)</f>
        <v/>
      </c>
      <c r="AA109" s="160">
        <f>'Datos_fuente'!AB109</f>
        <v/>
      </c>
      <c r="AB109" s="160">
        <f>'Datos_fuente'!AC109</f>
        <v/>
      </c>
      <c r="AC109" s="160">
        <f>IF('Datos_fuente'!AD109="","",LN('Datos_fuente'!AD109))</f>
        <v/>
      </c>
      <c r="AD109" s="160">
        <f>IF(OR(AC109="",AC108=""),"",AC109-AC108)</f>
        <v/>
      </c>
      <c r="AE109" s="160">
        <f>IF('Datos_fuente'!AE109="","",LN('Datos_fuente'!AE109))</f>
        <v/>
      </c>
      <c r="AF109" s="160">
        <f>IF(OR(AE109="",AE108=""),"",AE109-AE108)</f>
        <v/>
      </c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'Datos_fuente'!A110</f>
        <v/>
      </c>
      <c r="B110" s="160">
        <f>IF('Datos_fuente'!B110="","",LN('Datos_fuente'!B110))</f>
        <v/>
      </c>
      <c r="C110" s="160">
        <f>IF(OR(B110="",B109=""),"",B110-B109)</f>
        <v/>
      </c>
      <c r="D110" s="160">
        <f>IF('Datos_fuente'!C110="","",LN('Datos_fuente'!C110))</f>
        <v/>
      </c>
      <c r="E110" s="160">
        <f>IF(OR(D110="",D109=""),"",D110-D109)</f>
        <v/>
      </c>
      <c r="F110" s="160">
        <f>IF('Datos_fuente'!E110="","",LN('Datos_fuente'!E110))</f>
        <v/>
      </c>
      <c r="G110" s="160">
        <f>IF(OR(F110="",F109=""),"",F110-F109)</f>
        <v/>
      </c>
      <c r="H110" s="161">
        <f>'Datos_fuente'!H110</f>
        <v/>
      </c>
      <c r="I110" s="161">
        <f>IF(OR(H110="",H109=""),"",H110-H109)</f>
        <v/>
      </c>
      <c r="J110" s="161">
        <f>'Datos_fuente'!J110</f>
        <v/>
      </c>
      <c r="K110" s="161">
        <f>IF(OR(J110="",J109=""),"",J110-J109)</f>
        <v/>
      </c>
      <c r="L110" s="160">
        <f>IF('Datos_fuente'!K110="","",LN('Datos_fuente'!K110))</f>
        <v/>
      </c>
      <c r="M110" s="160">
        <f>IF(OR(L110="",L109=""),"",L110-L109)</f>
        <v/>
      </c>
      <c r="N110" s="160">
        <f>IF('Datos_fuente'!L110="","",LN('Datos_fuente'!L110))</f>
        <v/>
      </c>
      <c r="O110" s="160">
        <f>IF(OR(N110="",N109=""),"",N110-N109)</f>
        <v/>
      </c>
      <c r="P110" s="162">
        <f>'Datos_fuente'!M110</f>
        <v/>
      </c>
      <c r="Q110" s="160">
        <f>IF('Datos_fuente'!N110="","",LN('Datos_fuente'!N110))</f>
        <v/>
      </c>
      <c r="R110" s="160">
        <f>IF(OR(Q110="",Q109=""),"",Q110-Q109)</f>
        <v/>
      </c>
      <c r="S110" s="161">
        <f>'Datos_fuente'!P110</f>
        <v/>
      </c>
      <c r="T110" s="161">
        <f>IF(OR(S110="",S109=""),"",S110-S109)</f>
        <v/>
      </c>
      <c r="U110" s="160">
        <f>IF('Datos_fuente'!Q110="","",ASINH('Datos_fuente'!Q110/1000))</f>
        <v/>
      </c>
      <c r="V110" s="160">
        <f>IF(OR(U110="",U109=""),"",U110-U109)</f>
        <v/>
      </c>
      <c r="W110" s="160">
        <f>IF('Datos_fuente'!R110="","",ASINH('Datos_fuente'!R110/1000))</f>
        <v/>
      </c>
      <c r="X110" s="160">
        <f>IF(OR(W110="",W109=""),"",W110-W109)</f>
        <v/>
      </c>
      <c r="Y110" s="161">
        <f>'Datos_fuente'!W110</f>
        <v/>
      </c>
      <c r="Z110" s="161">
        <f>IF(OR(Y110="",Y109=""),"",Y110-Y109)</f>
        <v/>
      </c>
      <c r="AA110" s="160">
        <f>'Datos_fuente'!AB110</f>
        <v/>
      </c>
      <c r="AB110" s="160">
        <f>'Datos_fuente'!AC110</f>
        <v/>
      </c>
      <c r="AC110" s="160">
        <f>IF('Datos_fuente'!AD110="","",LN('Datos_fuente'!AD110))</f>
        <v/>
      </c>
      <c r="AD110" s="160">
        <f>IF(OR(AC110="",AC109=""),"",AC110-AC109)</f>
        <v/>
      </c>
      <c r="AE110" s="160">
        <f>IF('Datos_fuente'!AE110="","",LN('Datos_fuente'!AE110))</f>
        <v/>
      </c>
      <c r="AF110" s="160">
        <f>IF(OR(AE110="",AE109=""),"",AE110-AE109)</f>
        <v/>
      </c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'Datos_fuente'!A111</f>
        <v/>
      </c>
      <c r="B111" s="160">
        <f>IF('Datos_fuente'!B111="","",LN('Datos_fuente'!B111))</f>
        <v/>
      </c>
      <c r="C111" s="160">
        <f>IF(OR(B111="",B110=""),"",B111-B110)</f>
        <v/>
      </c>
      <c r="D111" s="160">
        <f>IF('Datos_fuente'!C111="","",LN('Datos_fuente'!C111))</f>
        <v/>
      </c>
      <c r="E111" s="160">
        <f>IF(OR(D111="",D110=""),"",D111-D110)</f>
        <v/>
      </c>
      <c r="F111" s="160">
        <f>IF('Datos_fuente'!E111="","",LN('Datos_fuente'!E111))</f>
        <v/>
      </c>
      <c r="G111" s="160">
        <f>IF(OR(F111="",F110=""),"",F111-F110)</f>
        <v/>
      </c>
      <c r="H111" s="161">
        <f>'Datos_fuente'!H111</f>
        <v/>
      </c>
      <c r="I111" s="161">
        <f>IF(OR(H111="",H110=""),"",H111-H110)</f>
        <v/>
      </c>
      <c r="J111" s="161">
        <f>'Datos_fuente'!J111</f>
        <v/>
      </c>
      <c r="K111" s="161">
        <f>IF(OR(J111="",J110=""),"",J111-J110)</f>
        <v/>
      </c>
      <c r="L111" s="160">
        <f>IF('Datos_fuente'!K111="","",LN('Datos_fuente'!K111))</f>
        <v/>
      </c>
      <c r="M111" s="160">
        <f>IF(OR(L111="",L110=""),"",L111-L110)</f>
        <v/>
      </c>
      <c r="N111" s="160">
        <f>IF('Datos_fuente'!L111="","",LN('Datos_fuente'!L111))</f>
        <v/>
      </c>
      <c r="O111" s="160">
        <f>IF(OR(N111="",N110=""),"",N111-N110)</f>
        <v/>
      </c>
      <c r="P111" s="162">
        <f>'Datos_fuente'!M111</f>
        <v/>
      </c>
      <c r="Q111" s="160">
        <f>IF('Datos_fuente'!N111="","",LN('Datos_fuente'!N111))</f>
        <v/>
      </c>
      <c r="R111" s="160">
        <f>IF(OR(Q111="",Q110=""),"",Q111-Q110)</f>
        <v/>
      </c>
      <c r="S111" s="161">
        <f>'Datos_fuente'!P111</f>
        <v/>
      </c>
      <c r="T111" s="161">
        <f>IF(OR(S111="",S110=""),"",S111-S110)</f>
        <v/>
      </c>
      <c r="U111" s="160">
        <f>IF('Datos_fuente'!Q111="","",ASINH('Datos_fuente'!Q111/1000))</f>
        <v/>
      </c>
      <c r="V111" s="160">
        <f>IF(OR(U111="",U110=""),"",U111-U110)</f>
        <v/>
      </c>
      <c r="W111" s="160">
        <f>IF('Datos_fuente'!R111="","",ASINH('Datos_fuente'!R111/1000))</f>
        <v/>
      </c>
      <c r="X111" s="160">
        <f>IF(OR(W111="",W110=""),"",W111-W110)</f>
        <v/>
      </c>
      <c r="Y111" s="161">
        <f>'Datos_fuente'!W111</f>
        <v/>
      </c>
      <c r="Z111" s="161">
        <f>IF(OR(Y111="",Y110=""),"",Y111-Y110)</f>
        <v/>
      </c>
      <c r="AA111" s="160">
        <f>'Datos_fuente'!AB111</f>
        <v/>
      </c>
      <c r="AB111" s="160">
        <f>'Datos_fuente'!AC111</f>
        <v/>
      </c>
      <c r="AC111" s="160">
        <f>IF('Datos_fuente'!AD111="","",LN('Datos_fuente'!AD111))</f>
        <v/>
      </c>
      <c r="AD111" s="160">
        <f>IF(OR(AC111="",AC110=""),"",AC111-AC110)</f>
        <v/>
      </c>
      <c r="AE111" s="160">
        <f>IF('Datos_fuente'!AE111="","",LN('Datos_fuente'!AE111))</f>
        <v/>
      </c>
      <c r="AF111" s="160">
        <f>IF(OR(AE111="",AE110=""),"",AE111-AE110)</f>
        <v/>
      </c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'Datos_fuente'!A112</f>
        <v/>
      </c>
      <c r="B112" s="160">
        <f>IF('Datos_fuente'!B112="","",LN('Datos_fuente'!B112))</f>
        <v/>
      </c>
      <c r="C112" s="160">
        <f>IF(OR(B112="",B111=""),"",B112-B111)</f>
        <v/>
      </c>
      <c r="D112" s="160">
        <f>IF('Datos_fuente'!C112="","",LN('Datos_fuente'!C112))</f>
        <v/>
      </c>
      <c r="E112" s="160">
        <f>IF(OR(D112="",D111=""),"",D112-D111)</f>
        <v/>
      </c>
      <c r="F112" s="160">
        <f>IF('Datos_fuente'!E112="","",LN('Datos_fuente'!E112))</f>
        <v/>
      </c>
      <c r="G112" s="160">
        <f>IF(OR(F112="",F111=""),"",F112-F111)</f>
        <v/>
      </c>
      <c r="H112" s="161">
        <f>'Datos_fuente'!H112</f>
        <v/>
      </c>
      <c r="I112" s="161">
        <f>IF(OR(H112="",H111=""),"",H112-H111)</f>
        <v/>
      </c>
      <c r="J112" s="161">
        <f>'Datos_fuente'!J112</f>
        <v/>
      </c>
      <c r="K112" s="161">
        <f>IF(OR(J112="",J111=""),"",J112-J111)</f>
        <v/>
      </c>
      <c r="L112" s="160">
        <f>IF('Datos_fuente'!K112="","",LN('Datos_fuente'!K112))</f>
        <v/>
      </c>
      <c r="M112" s="160">
        <f>IF(OR(L112="",L111=""),"",L112-L111)</f>
        <v/>
      </c>
      <c r="N112" s="160">
        <f>IF('Datos_fuente'!L112="","",LN('Datos_fuente'!L112))</f>
        <v/>
      </c>
      <c r="O112" s="160">
        <f>IF(OR(N112="",N111=""),"",N112-N111)</f>
        <v/>
      </c>
      <c r="P112" s="162">
        <f>'Datos_fuente'!M112</f>
        <v/>
      </c>
      <c r="Q112" s="160">
        <f>IF('Datos_fuente'!N112="","",LN('Datos_fuente'!N112))</f>
        <v/>
      </c>
      <c r="R112" s="160">
        <f>IF(OR(Q112="",Q111=""),"",Q112-Q111)</f>
        <v/>
      </c>
      <c r="S112" s="161">
        <f>'Datos_fuente'!P112</f>
        <v/>
      </c>
      <c r="T112" s="161">
        <f>IF(OR(S112="",S111=""),"",S112-S111)</f>
        <v/>
      </c>
      <c r="U112" s="160">
        <f>IF('Datos_fuente'!Q112="","",ASINH('Datos_fuente'!Q112/1000))</f>
        <v/>
      </c>
      <c r="V112" s="160">
        <f>IF(OR(U112="",U111=""),"",U112-U111)</f>
        <v/>
      </c>
      <c r="W112" s="160">
        <f>IF('Datos_fuente'!R112="","",ASINH('Datos_fuente'!R112/1000))</f>
        <v/>
      </c>
      <c r="X112" s="160">
        <f>IF(OR(W112="",W111=""),"",W112-W111)</f>
        <v/>
      </c>
      <c r="Y112" s="161">
        <f>'Datos_fuente'!W112</f>
        <v/>
      </c>
      <c r="Z112" s="161">
        <f>IF(OR(Y112="",Y111=""),"",Y112-Y111)</f>
        <v/>
      </c>
      <c r="AA112" s="160">
        <f>'Datos_fuente'!AB112</f>
        <v/>
      </c>
      <c r="AB112" s="160">
        <f>'Datos_fuente'!AC112</f>
        <v/>
      </c>
      <c r="AC112" s="160">
        <f>IF('Datos_fuente'!AD112="","",LN('Datos_fuente'!AD112))</f>
        <v/>
      </c>
      <c r="AD112" s="160">
        <f>IF(OR(AC112="",AC111=""),"",AC112-AC111)</f>
        <v/>
      </c>
      <c r="AE112" s="160">
        <f>IF('Datos_fuente'!AE112="","",LN('Datos_fuente'!AE112))</f>
        <v/>
      </c>
      <c r="AF112" s="160">
        <f>IF(OR(AE112="",AE111=""),"",AE112-AE111)</f>
        <v/>
      </c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'Datos_fuente'!A113</f>
        <v/>
      </c>
      <c r="B113" s="160">
        <f>IF('Datos_fuente'!B113="","",LN('Datos_fuente'!B113))</f>
        <v/>
      </c>
      <c r="C113" s="160">
        <f>IF(OR(B113="",B112=""),"",B113-B112)</f>
        <v/>
      </c>
      <c r="D113" s="160">
        <f>IF('Datos_fuente'!C113="","",LN('Datos_fuente'!C113))</f>
        <v/>
      </c>
      <c r="E113" s="160">
        <f>IF(OR(D113="",D112=""),"",D113-D112)</f>
        <v/>
      </c>
      <c r="F113" s="160">
        <f>IF('Datos_fuente'!E113="","",LN('Datos_fuente'!E113))</f>
        <v/>
      </c>
      <c r="G113" s="160">
        <f>IF(OR(F113="",F112=""),"",F113-F112)</f>
        <v/>
      </c>
      <c r="H113" s="161">
        <f>'Datos_fuente'!H113</f>
        <v/>
      </c>
      <c r="I113" s="161">
        <f>IF(OR(H113="",H112=""),"",H113-H112)</f>
        <v/>
      </c>
      <c r="J113" s="161">
        <f>'Datos_fuente'!J113</f>
        <v/>
      </c>
      <c r="K113" s="161">
        <f>IF(OR(J113="",J112=""),"",J113-J112)</f>
        <v/>
      </c>
      <c r="L113" s="160">
        <f>IF('Datos_fuente'!K113="","",LN('Datos_fuente'!K113))</f>
        <v/>
      </c>
      <c r="M113" s="160">
        <f>IF(OR(L113="",L112=""),"",L113-L112)</f>
        <v/>
      </c>
      <c r="N113" s="160">
        <f>IF('Datos_fuente'!L113="","",LN('Datos_fuente'!L113))</f>
        <v/>
      </c>
      <c r="O113" s="160">
        <f>IF(OR(N113="",N112=""),"",N113-N112)</f>
        <v/>
      </c>
      <c r="P113" s="162">
        <f>'Datos_fuente'!M113</f>
        <v/>
      </c>
      <c r="Q113" s="160">
        <f>IF('Datos_fuente'!N113="","",LN('Datos_fuente'!N113))</f>
        <v/>
      </c>
      <c r="R113" s="160">
        <f>IF(OR(Q113="",Q112=""),"",Q113-Q112)</f>
        <v/>
      </c>
      <c r="S113" s="161">
        <f>'Datos_fuente'!P113</f>
        <v/>
      </c>
      <c r="T113" s="161">
        <f>IF(OR(S113="",S112=""),"",S113-S112)</f>
        <v/>
      </c>
      <c r="U113" s="160">
        <f>IF('Datos_fuente'!Q113="","",ASINH('Datos_fuente'!Q113/1000))</f>
        <v/>
      </c>
      <c r="V113" s="160">
        <f>IF(OR(U113="",U112=""),"",U113-U112)</f>
        <v/>
      </c>
      <c r="W113" s="160">
        <f>IF('Datos_fuente'!R113="","",ASINH('Datos_fuente'!R113/1000))</f>
        <v/>
      </c>
      <c r="X113" s="160">
        <f>IF(OR(W113="",W112=""),"",W113-W112)</f>
        <v/>
      </c>
      <c r="Y113" s="161">
        <f>'Datos_fuente'!W113</f>
        <v/>
      </c>
      <c r="Z113" s="161">
        <f>IF(OR(Y113="",Y112=""),"",Y113-Y112)</f>
        <v/>
      </c>
      <c r="AA113" s="160">
        <f>'Datos_fuente'!AB113</f>
        <v/>
      </c>
      <c r="AB113" s="160">
        <f>'Datos_fuente'!AC113</f>
        <v/>
      </c>
      <c r="AC113" s="160">
        <f>IF('Datos_fuente'!AD113="","",LN('Datos_fuente'!AD113))</f>
        <v/>
      </c>
      <c r="AD113" s="160">
        <f>IF(OR(AC113="",AC112=""),"",AC113-AC112)</f>
        <v/>
      </c>
      <c r="AE113" s="160">
        <f>IF('Datos_fuente'!AE113="","",LN('Datos_fuente'!AE113))</f>
        <v/>
      </c>
      <c r="AF113" s="160">
        <f>IF(OR(AE113="",AE112=""),"",AE113-AE112)</f>
        <v/>
      </c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'Datos_fuente'!A114</f>
        <v/>
      </c>
      <c r="B114" s="160">
        <f>IF('Datos_fuente'!B114="","",LN('Datos_fuente'!B114))</f>
        <v/>
      </c>
      <c r="C114" s="160">
        <f>IF(OR(B114="",B113=""),"",B114-B113)</f>
        <v/>
      </c>
      <c r="D114" s="160">
        <f>IF('Datos_fuente'!C114="","",LN('Datos_fuente'!C114))</f>
        <v/>
      </c>
      <c r="E114" s="160">
        <f>IF(OR(D114="",D113=""),"",D114-D113)</f>
        <v/>
      </c>
      <c r="F114" s="160">
        <f>IF('Datos_fuente'!E114="","",LN('Datos_fuente'!E114))</f>
        <v/>
      </c>
      <c r="G114" s="160">
        <f>IF(OR(F114="",F113=""),"",F114-F113)</f>
        <v/>
      </c>
      <c r="H114" s="161">
        <f>'Datos_fuente'!H114</f>
        <v/>
      </c>
      <c r="I114" s="161">
        <f>IF(OR(H114="",H113=""),"",H114-H113)</f>
        <v/>
      </c>
      <c r="J114" s="161">
        <f>'Datos_fuente'!J114</f>
        <v/>
      </c>
      <c r="K114" s="161">
        <f>IF(OR(J114="",J113=""),"",J114-J113)</f>
        <v/>
      </c>
      <c r="L114" s="160">
        <f>IF('Datos_fuente'!K114="","",LN('Datos_fuente'!K114))</f>
        <v/>
      </c>
      <c r="M114" s="160">
        <f>IF(OR(L114="",L113=""),"",L114-L113)</f>
        <v/>
      </c>
      <c r="N114" s="160">
        <f>IF('Datos_fuente'!L114="","",LN('Datos_fuente'!L114))</f>
        <v/>
      </c>
      <c r="O114" s="160">
        <f>IF(OR(N114="",N113=""),"",N114-N113)</f>
        <v/>
      </c>
      <c r="P114" s="162">
        <f>'Datos_fuente'!M114</f>
        <v/>
      </c>
      <c r="Q114" s="160">
        <f>IF('Datos_fuente'!N114="","",LN('Datos_fuente'!N114))</f>
        <v/>
      </c>
      <c r="R114" s="160">
        <f>IF(OR(Q114="",Q113=""),"",Q114-Q113)</f>
        <v/>
      </c>
      <c r="S114" s="161">
        <f>'Datos_fuente'!P114</f>
        <v/>
      </c>
      <c r="T114" s="161">
        <f>IF(OR(S114="",S113=""),"",S114-S113)</f>
        <v/>
      </c>
      <c r="U114" s="160">
        <f>IF('Datos_fuente'!Q114="","",ASINH('Datos_fuente'!Q114/1000))</f>
        <v/>
      </c>
      <c r="V114" s="160">
        <f>IF(OR(U114="",U113=""),"",U114-U113)</f>
        <v/>
      </c>
      <c r="W114" s="160">
        <f>IF('Datos_fuente'!R114="","",ASINH('Datos_fuente'!R114/1000))</f>
        <v/>
      </c>
      <c r="X114" s="160">
        <f>IF(OR(W114="",W113=""),"",W114-W113)</f>
        <v/>
      </c>
      <c r="Y114" s="161">
        <f>'Datos_fuente'!W114</f>
        <v/>
      </c>
      <c r="Z114" s="161">
        <f>IF(OR(Y114="",Y113=""),"",Y114-Y113)</f>
        <v/>
      </c>
      <c r="AA114" s="160">
        <f>'Datos_fuente'!AB114</f>
        <v/>
      </c>
      <c r="AB114" s="160">
        <f>'Datos_fuente'!AC114</f>
        <v/>
      </c>
      <c r="AC114" s="160">
        <f>IF('Datos_fuente'!AD114="","",LN('Datos_fuente'!AD114))</f>
        <v/>
      </c>
      <c r="AD114" s="160">
        <f>IF(OR(AC114="",AC113=""),"",AC114-AC113)</f>
        <v/>
      </c>
      <c r="AE114" s="160">
        <f>IF('Datos_fuente'!AE114="","",LN('Datos_fuente'!AE114))</f>
        <v/>
      </c>
      <c r="AF114" s="160">
        <f>IF(OR(AE114="",AE113=""),"",AE114-AE113)</f>
        <v/>
      </c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'Datos_fuente'!A115</f>
        <v/>
      </c>
      <c r="B115" s="160">
        <f>IF('Datos_fuente'!B115="","",LN('Datos_fuente'!B115))</f>
        <v/>
      </c>
      <c r="C115" s="160">
        <f>IF(OR(B115="",B114=""),"",B115-B114)</f>
        <v/>
      </c>
      <c r="D115" s="160">
        <f>IF('Datos_fuente'!C115="","",LN('Datos_fuente'!C115))</f>
        <v/>
      </c>
      <c r="E115" s="160">
        <f>IF(OR(D115="",D114=""),"",D115-D114)</f>
        <v/>
      </c>
      <c r="F115" s="160">
        <f>IF('Datos_fuente'!E115="","",LN('Datos_fuente'!E115))</f>
        <v/>
      </c>
      <c r="G115" s="160">
        <f>IF(OR(F115="",F114=""),"",F115-F114)</f>
        <v/>
      </c>
      <c r="H115" s="161">
        <f>'Datos_fuente'!H115</f>
        <v/>
      </c>
      <c r="I115" s="161">
        <f>IF(OR(H115="",H114=""),"",H115-H114)</f>
        <v/>
      </c>
      <c r="J115" s="161">
        <f>'Datos_fuente'!J115</f>
        <v/>
      </c>
      <c r="K115" s="161">
        <f>IF(OR(J115="",J114=""),"",J115-J114)</f>
        <v/>
      </c>
      <c r="L115" s="160">
        <f>IF('Datos_fuente'!K115="","",LN('Datos_fuente'!K115))</f>
        <v/>
      </c>
      <c r="M115" s="160">
        <f>IF(OR(L115="",L114=""),"",L115-L114)</f>
        <v/>
      </c>
      <c r="N115" s="160">
        <f>IF('Datos_fuente'!L115="","",LN('Datos_fuente'!L115))</f>
        <v/>
      </c>
      <c r="O115" s="160">
        <f>IF(OR(N115="",N114=""),"",N115-N114)</f>
        <v/>
      </c>
      <c r="P115" s="162">
        <f>'Datos_fuente'!M115</f>
        <v/>
      </c>
      <c r="Q115" s="160">
        <f>IF('Datos_fuente'!N115="","",LN('Datos_fuente'!N115))</f>
        <v/>
      </c>
      <c r="R115" s="160">
        <f>IF(OR(Q115="",Q114=""),"",Q115-Q114)</f>
        <v/>
      </c>
      <c r="S115" s="161">
        <f>'Datos_fuente'!P115</f>
        <v/>
      </c>
      <c r="T115" s="161">
        <f>IF(OR(S115="",S114=""),"",S115-S114)</f>
        <v/>
      </c>
      <c r="U115" s="160">
        <f>IF('Datos_fuente'!Q115="","",ASINH('Datos_fuente'!Q115/1000))</f>
        <v/>
      </c>
      <c r="V115" s="160">
        <f>IF(OR(U115="",U114=""),"",U115-U114)</f>
        <v/>
      </c>
      <c r="W115" s="160">
        <f>IF('Datos_fuente'!R115="","",ASINH('Datos_fuente'!R115/1000))</f>
        <v/>
      </c>
      <c r="X115" s="160">
        <f>IF(OR(W115="",W114=""),"",W115-W114)</f>
        <v/>
      </c>
      <c r="Y115" s="161">
        <f>'Datos_fuente'!W115</f>
        <v/>
      </c>
      <c r="Z115" s="161">
        <f>IF(OR(Y115="",Y114=""),"",Y115-Y114)</f>
        <v/>
      </c>
      <c r="AA115" s="160">
        <f>'Datos_fuente'!AB115</f>
        <v/>
      </c>
      <c r="AB115" s="160">
        <f>'Datos_fuente'!AC115</f>
        <v/>
      </c>
      <c r="AC115" s="160">
        <f>IF('Datos_fuente'!AD115="","",LN('Datos_fuente'!AD115))</f>
        <v/>
      </c>
      <c r="AD115" s="160">
        <f>IF(OR(AC115="",AC114=""),"",AC115-AC114)</f>
        <v/>
      </c>
      <c r="AE115" s="160">
        <f>IF('Datos_fuente'!AE115="","",LN('Datos_fuente'!AE115))</f>
        <v/>
      </c>
      <c r="AF115" s="160">
        <f>IF(OR(AE115="",AE114=""),"",AE115-AE114)</f>
        <v/>
      </c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'Datos_fuente'!A116</f>
        <v/>
      </c>
      <c r="B116" s="160">
        <f>IF('Datos_fuente'!B116="","",LN('Datos_fuente'!B116))</f>
        <v/>
      </c>
      <c r="C116" s="160">
        <f>IF(OR(B116="",B115=""),"",B116-B115)</f>
        <v/>
      </c>
      <c r="D116" s="160">
        <f>IF('Datos_fuente'!C116="","",LN('Datos_fuente'!C116))</f>
        <v/>
      </c>
      <c r="E116" s="160">
        <f>IF(OR(D116="",D115=""),"",D116-D115)</f>
        <v/>
      </c>
      <c r="F116" s="160">
        <f>IF('Datos_fuente'!E116="","",LN('Datos_fuente'!E116))</f>
        <v/>
      </c>
      <c r="G116" s="160">
        <f>IF(OR(F116="",F115=""),"",F116-F115)</f>
        <v/>
      </c>
      <c r="H116" s="161">
        <f>'Datos_fuente'!H116</f>
        <v/>
      </c>
      <c r="I116" s="161">
        <f>IF(OR(H116="",H115=""),"",H116-H115)</f>
        <v/>
      </c>
      <c r="J116" s="161">
        <f>'Datos_fuente'!J116</f>
        <v/>
      </c>
      <c r="K116" s="161">
        <f>IF(OR(J116="",J115=""),"",J116-J115)</f>
        <v/>
      </c>
      <c r="L116" s="160">
        <f>IF('Datos_fuente'!K116="","",LN('Datos_fuente'!K116))</f>
        <v/>
      </c>
      <c r="M116" s="160">
        <f>IF(OR(L116="",L115=""),"",L116-L115)</f>
        <v/>
      </c>
      <c r="N116" s="160">
        <f>IF('Datos_fuente'!L116="","",LN('Datos_fuente'!L116))</f>
        <v/>
      </c>
      <c r="O116" s="160">
        <f>IF(OR(N116="",N115=""),"",N116-N115)</f>
        <v/>
      </c>
      <c r="P116" s="162">
        <f>'Datos_fuente'!M116</f>
        <v/>
      </c>
      <c r="Q116" s="160">
        <f>IF('Datos_fuente'!N116="","",LN('Datos_fuente'!N116))</f>
        <v/>
      </c>
      <c r="R116" s="160">
        <f>IF(OR(Q116="",Q115=""),"",Q116-Q115)</f>
        <v/>
      </c>
      <c r="S116" s="161">
        <f>'Datos_fuente'!P116</f>
        <v/>
      </c>
      <c r="T116" s="161">
        <f>IF(OR(S116="",S115=""),"",S116-S115)</f>
        <v/>
      </c>
      <c r="U116" s="160">
        <f>IF('Datos_fuente'!Q116="","",ASINH('Datos_fuente'!Q116/1000))</f>
        <v/>
      </c>
      <c r="V116" s="160">
        <f>IF(OR(U116="",U115=""),"",U116-U115)</f>
        <v/>
      </c>
      <c r="W116" s="160">
        <f>IF('Datos_fuente'!R116="","",ASINH('Datos_fuente'!R116/1000))</f>
        <v/>
      </c>
      <c r="X116" s="160">
        <f>IF(OR(W116="",W115=""),"",W116-W115)</f>
        <v/>
      </c>
      <c r="Y116" s="161">
        <f>'Datos_fuente'!W116</f>
        <v/>
      </c>
      <c r="Z116" s="161">
        <f>IF(OR(Y116="",Y115=""),"",Y116-Y115)</f>
        <v/>
      </c>
      <c r="AA116" s="160">
        <f>'Datos_fuente'!AB116</f>
        <v/>
      </c>
      <c r="AB116" s="160">
        <f>'Datos_fuente'!AC116</f>
        <v/>
      </c>
      <c r="AC116" s="160">
        <f>IF('Datos_fuente'!AD116="","",LN('Datos_fuente'!AD116))</f>
        <v/>
      </c>
      <c r="AD116" s="160">
        <f>IF(OR(AC116="",AC115=""),"",AC116-AC115)</f>
        <v/>
      </c>
      <c r="AE116" s="160">
        <f>IF('Datos_fuente'!AE116="","",LN('Datos_fuente'!AE116))</f>
        <v/>
      </c>
      <c r="AF116" s="160">
        <f>IF(OR(AE116="",AE115=""),"",AE116-AE115)</f>
        <v/>
      </c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'Datos_fuente'!A117</f>
        <v/>
      </c>
      <c r="B117" s="160">
        <f>IF('Datos_fuente'!B117="","",LN('Datos_fuente'!B117))</f>
        <v/>
      </c>
      <c r="C117" s="160">
        <f>IF(OR(B117="",B116=""),"",B117-B116)</f>
        <v/>
      </c>
      <c r="D117" s="160">
        <f>IF('Datos_fuente'!C117="","",LN('Datos_fuente'!C117))</f>
        <v/>
      </c>
      <c r="E117" s="160">
        <f>IF(OR(D117="",D116=""),"",D117-D116)</f>
        <v/>
      </c>
      <c r="F117" s="160">
        <f>IF('Datos_fuente'!E117="","",LN('Datos_fuente'!E117))</f>
        <v/>
      </c>
      <c r="G117" s="160">
        <f>IF(OR(F117="",F116=""),"",F117-F116)</f>
        <v/>
      </c>
      <c r="H117" s="161">
        <f>'Datos_fuente'!H117</f>
        <v/>
      </c>
      <c r="I117" s="161">
        <f>IF(OR(H117="",H116=""),"",H117-H116)</f>
        <v/>
      </c>
      <c r="J117" s="161">
        <f>'Datos_fuente'!J117</f>
        <v/>
      </c>
      <c r="K117" s="161">
        <f>IF(OR(J117="",J116=""),"",J117-J116)</f>
        <v/>
      </c>
      <c r="L117" s="160">
        <f>IF('Datos_fuente'!K117="","",LN('Datos_fuente'!K117))</f>
        <v/>
      </c>
      <c r="M117" s="160">
        <f>IF(OR(L117="",L116=""),"",L117-L116)</f>
        <v/>
      </c>
      <c r="N117" s="160">
        <f>IF('Datos_fuente'!L117="","",LN('Datos_fuente'!L117))</f>
        <v/>
      </c>
      <c r="O117" s="160">
        <f>IF(OR(N117="",N116=""),"",N117-N116)</f>
        <v/>
      </c>
      <c r="P117" s="162">
        <f>'Datos_fuente'!M117</f>
        <v/>
      </c>
      <c r="Q117" s="160">
        <f>IF('Datos_fuente'!N117="","",LN('Datos_fuente'!N117))</f>
        <v/>
      </c>
      <c r="R117" s="160">
        <f>IF(OR(Q117="",Q116=""),"",Q117-Q116)</f>
        <v/>
      </c>
      <c r="S117" s="161">
        <f>'Datos_fuente'!P117</f>
        <v/>
      </c>
      <c r="T117" s="161">
        <f>IF(OR(S117="",S116=""),"",S117-S116)</f>
        <v/>
      </c>
      <c r="U117" s="160">
        <f>IF('Datos_fuente'!Q117="","",ASINH('Datos_fuente'!Q117/1000))</f>
        <v/>
      </c>
      <c r="V117" s="160">
        <f>IF(OR(U117="",U116=""),"",U117-U116)</f>
        <v/>
      </c>
      <c r="W117" s="160">
        <f>IF('Datos_fuente'!R117="","",ASINH('Datos_fuente'!R117/1000))</f>
        <v/>
      </c>
      <c r="X117" s="160">
        <f>IF(OR(W117="",W116=""),"",W117-W116)</f>
        <v/>
      </c>
      <c r="Y117" s="161">
        <f>'Datos_fuente'!W117</f>
        <v/>
      </c>
      <c r="Z117" s="161">
        <f>IF(OR(Y117="",Y116=""),"",Y117-Y116)</f>
        <v/>
      </c>
      <c r="AA117" s="160">
        <f>'Datos_fuente'!AB117</f>
        <v/>
      </c>
      <c r="AB117" s="160">
        <f>'Datos_fuente'!AC117</f>
        <v/>
      </c>
      <c r="AC117" s="160">
        <f>IF('Datos_fuente'!AD117="","",LN('Datos_fuente'!AD117))</f>
        <v/>
      </c>
      <c r="AD117" s="160">
        <f>IF(OR(AC117="",AC116=""),"",AC117-AC116)</f>
        <v/>
      </c>
      <c r="AE117" s="160">
        <f>IF('Datos_fuente'!AE117="","",LN('Datos_fuente'!AE117))</f>
        <v/>
      </c>
      <c r="AF117" s="160">
        <f>IF(OR(AE117="",AE116=""),"",AE117-AE116)</f>
        <v/>
      </c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'Datos_fuente'!A118</f>
        <v/>
      </c>
      <c r="B118" s="160">
        <f>IF('Datos_fuente'!B118="","",LN('Datos_fuente'!B118))</f>
        <v/>
      </c>
      <c r="C118" s="160">
        <f>IF(OR(B118="",B117=""),"",B118-B117)</f>
        <v/>
      </c>
      <c r="D118" s="160">
        <f>IF('Datos_fuente'!C118="","",LN('Datos_fuente'!C118))</f>
        <v/>
      </c>
      <c r="E118" s="160">
        <f>IF(OR(D118="",D117=""),"",D118-D117)</f>
        <v/>
      </c>
      <c r="F118" s="160">
        <f>IF('Datos_fuente'!E118="","",LN('Datos_fuente'!E118))</f>
        <v/>
      </c>
      <c r="G118" s="160">
        <f>IF(OR(F118="",F117=""),"",F118-F117)</f>
        <v/>
      </c>
      <c r="H118" s="161">
        <f>'Datos_fuente'!H118</f>
        <v/>
      </c>
      <c r="I118" s="161">
        <f>IF(OR(H118="",H117=""),"",H118-H117)</f>
        <v/>
      </c>
      <c r="J118" s="161">
        <f>'Datos_fuente'!J118</f>
        <v/>
      </c>
      <c r="K118" s="161">
        <f>IF(OR(J118="",J117=""),"",J118-J117)</f>
        <v/>
      </c>
      <c r="L118" s="160">
        <f>IF('Datos_fuente'!K118="","",LN('Datos_fuente'!K118))</f>
        <v/>
      </c>
      <c r="M118" s="160">
        <f>IF(OR(L118="",L117=""),"",L118-L117)</f>
        <v/>
      </c>
      <c r="N118" s="160">
        <f>IF('Datos_fuente'!L118="","",LN('Datos_fuente'!L118))</f>
        <v/>
      </c>
      <c r="O118" s="160">
        <f>IF(OR(N118="",N117=""),"",N118-N117)</f>
        <v/>
      </c>
      <c r="P118" s="162">
        <f>'Datos_fuente'!M118</f>
        <v/>
      </c>
      <c r="Q118" s="160">
        <f>IF('Datos_fuente'!N118="","",LN('Datos_fuente'!N118))</f>
        <v/>
      </c>
      <c r="R118" s="160">
        <f>IF(OR(Q118="",Q117=""),"",Q118-Q117)</f>
        <v/>
      </c>
      <c r="S118" s="161">
        <f>'Datos_fuente'!P118</f>
        <v/>
      </c>
      <c r="T118" s="161">
        <f>IF(OR(S118="",S117=""),"",S118-S117)</f>
        <v/>
      </c>
      <c r="U118" s="160">
        <f>IF('Datos_fuente'!Q118="","",ASINH('Datos_fuente'!Q118/1000))</f>
        <v/>
      </c>
      <c r="V118" s="160">
        <f>IF(OR(U118="",U117=""),"",U118-U117)</f>
        <v/>
      </c>
      <c r="W118" s="160">
        <f>IF('Datos_fuente'!R118="","",ASINH('Datos_fuente'!R118/1000))</f>
        <v/>
      </c>
      <c r="X118" s="160">
        <f>IF(OR(W118="",W117=""),"",W118-W117)</f>
        <v/>
      </c>
      <c r="Y118" s="161">
        <f>'Datos_fuente'!W118</f>
        <v/>
      </c>
      <c r="Z118" s="161">
        <f>IF(OR(Y118="",Y117=""),"",Y118-Y117)</f>
        <v/>
      </c>
      <c r="AA118" s="160">
        <f>'Datos_fuente'!AB118</f>
        <v/>
      </c>
      <c r="AB118" s="160">
        <f>'Datos_fuente'!AC118</f>
        <v/>
      </c>
      <c r="AC118" s="160">
        <f>IF('Datos_fuente'!AD118="","",LN('Datos_fuente'!AD118))</f>
        <v/>
      </c>
      <c r="AD118" s="160">
        <f>IF(OR(AC118="",AC117=""),"",AC118-AC117)</f>
        <v/>
      </c>
      <c r="AE118" s="160">
        <f>IF('Datos_fuente'!AE118="","",LN('Datos_fuente'!AE118))</f>
        <v/>
      </c>
      <c r="AF118" s="160">
        <f>IF(OR(AE118="",AE117=""),"",AE118-AE117)</f>
        <v/>
      </c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'Datos_fuente'!A119</f>
        <v/>
      </c>
      <c r="B119" s="160">
        <f>IF('Datos_fuente'!B119="","",LN('Datos_fuente'!B119))</f>
        <v/>
      </c>
      <c r="C119" s="160">
        <f>IF(OR(B119="",B118=""),"",B119-B118)</f>
        <v/>
      </c>
      <c r="D119" s="160">
        <f>IF('Datos_fuente'!C119="","",LN('Datos_fuente'!C119))</f>
        <v/>
      </c>
      <c r="E119" s="160">
        <f>IF(OR(D119="",D118=""),"",D119-D118)</f>
        <v/>
      </c>
      <c r="F119" s="160">
        <f>IF('Datos_fuente'!E119="","",LN('Datos_fuente'!E119))</f>
        <v/>
      </c>
      <c r="G119" s="160">
        <f>IF(OR(F119="",F118=""),"",F119-F118)</f>
        <v/>
      </c>
      <c r="H119" s="161">
        <f>'Datos_fuente'!H119</f>
        <v/>
      </c>
      <c r="I119" s="161">
        <f>IF(OR(H119="",H118=""),"",H119-H118)</f>
        <v/>
      </c>
      <c r="J119" s="161">
        <f>'Datos_fuente'!J119</f>
        <v/>
      </c>
      <c r="K119" s="161">
        <f>IF(OR(J119="",J118=""),"",J119-J118)</f>
        <v/>
      </c>
      <c r="L119" s="160">
        <f>IF('Datos_fuente'!K119="","",LN('Datos_fuente'!K119))</f>
        <v/>
      </c>
      <c r="M119" s="160">
        <f>IF(OR(L119="",L118=""),"",L119-L118)</f>
        <v/>
      </c>
      <c r="N119" s="160">
        <f>IF('Datos_fuente'!L119="","",LN('Datos_fuente'!L119))</f>
        <v/>
      </c>
      <c r="O119" s="160">
        <f>IF(OR(N119="",N118=""),"",N119-N118)</f>
        <v/>
      </c>
      <c r="P119" s="162">
        <f>'Datos_fuente'!M119</f>
        <v/>
      </c>
      <c r="Q119" s="160">
        <f>IF('Datos_fuente'!N119="","",LN('Datos_fuente'!N119))</f>
        <v/>
      </c>
      <c r="R119" s="160">
        <f>IF(OR(Q119="",Q118=""),"",Q119-Q118)</f>
        <v/>
      </c>
      <c r="S119" s="161">
        <f>'Datos_fuente'!P119</f>
        <v/>
      </c>
      <c r="T119" s="161">
        <f>IF(OR(S119="",S118=""),"",S119-S118)</f>
        <v/>
      </c>
      <c r="U119" s="160">
        <f>IF('Datos_fuente'!Q119="","",ASINH('Datos_fuente'!Q119/1000))</f>
        <v/>
      </c>
      <c r="V119" s="160">
        <f>IF(OR(U119="",U118=""),"",U119-U118)</f>
        <v/>
      </c>
      <c r="W119" s="160">
        <f>IF('Datos_fuente'!R119="","",ASINH('Datos_fuente'!R119/1000))</f>
        <v/>
      </c>
      <c r="X119" s="160">
        <f>IF(OR(W119="",W118=""),"",W119-W118)</f>
        <v/>
      </c>
      <c r="Y119" s="161">
        <f>'Datos_fuente'!W119</f>
        <v/>
      </c>
      <c r="Z119" s="161">
        <f>IF(OR(Y119="",Y118=""),"",Y119-Y118)</f>
        <v/>
      </c>
      <c r="AA119" s="160">
        <f>'Datos_fuente'!AB119</f>
        <v/>
      </c>
      <c r="AB119" s="160">
        <f>'Datos_fuente'!AC119</f>
        <v/>
      </c>
      <c r="AC119" s="160">
        <f>IF('Datos_fuente'!AD119="","",LN('Datos_fuente'!AD119))</f>
        <v/>
      </c>
      <c r="AD119" s="160">
        <f>IF(OR(AC119="",AC118=""),"",AC119-AC118)</f>
        <v/>
      </c>
      <c r="AE119" s="160">
        <f>IF('Datos_fuente'!AE119="","",LN('Datos_fuente'!AE119))</f>
        <v/>
      </c>
      <c r="AF119" s="160">
        <f>IF(OR(AE119="",AE118=""),"",AE119-AE118)</f>
        <v/>
      </c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'Datos_fuente'!A120</f>
        <v/>
      </c>
      <c r="B120" s="160">
        <f>IF('Datos_fuente'!B120="","",LN('Datos_fuente'!B120))</f>
        <v/>
      </c>
      <c r="C120" s="160">
        <f>IF(OR(B120="",B119=""),"",B120-B119)</f>
        <v/>
      </c>
      <c r="D120" s="160">
        <f>IF('Datos_fuente'!C120="","",LN('Datos_fuente'!C120))</f>
        <v/>
      </c>
      <c r="E120" s="160">
        <f>IF(OR(D120="",D119=""),"",D120-D119)</f>
        <v/>
      </c>
      <c r="F120" s="160">
        <f>IF('Datos_fuente'!E120="","",LN('Datos_fuente'!E120))</f>
        <v/>
      </c>
      <c r="G120" s="160">
        <f>IF(OR(F120="",F119=""),"",F120-F119)</f>
        <v/>
      </c>
      <c r="H120" s="161">
        <f>'Datos_fuente'!H120</f>
        <v/>
      </c>
      <c r="I120" s="161">
        <f>IF(OR(H120="",H119=""),"",H120-H119)</f>
        <v/>
      </c>
      <c r="J120" s="161">
        <f>'Datos_fuente'!J120</f>
        <v/>
      </c>
      <c r="K120" s="161">
        <f>IF(OR(J120="",J119=""),"",J120-J119)</f>
        <v/>
      </c>
      <c r="L120" s="160">
        <f>IF('Datos_fuente'!K120="","",LN('Datos_fuente'!K120))</f>
        <v/>
      </c>
      <c r="M120" s="160">
        <f>IF(OR(L120="",L119=""),"",L120-L119)</f>
        <v/>
      </c>
      <c r="N120" s="160">
        <f>IF('Datos_fuente'!L120="","",LN('Datos_fuente'!L120))</f>
        <v/>
      </c>
      <c r="O120" s="160">
        <f>IF(OR(N120="",N119=""),"",N120-N119)</f>
        <v/>
      </c>
      <c r="P120" s="162">
        <f>'Datos_fuente'!M120</f>
        <v/>
      </c>
      <c r="Q120" s="160">
        <f>IF('Datos_fuente'!N120="","",LN('Datos_fuente'!N120))</f>
        <v/>
      </c>
      <c r="R120" s="160">
        <f>IF(OR(Q120="",Q119=""),"",Q120-Q119)</f>
        <v/>
      </c>
      <c r="S120" s="161">
        <f>'Datos_fuente'!P120</f>
        <v/>
      </c>
      <c r="T120" s="161">
        <f>IF(OR(S120="",S119=""),"",S120-S119)</f>
        <v/>
      </c>
      <c r="U120" s="160">
        <f>IF('Datos_fuente'!Q120="","",ASINH('Datos_fuente'!Q120/1000))</f>
        <v/>
      </c>
      <c r="V120" s="160">
        <f>IF(OR(U120="",U119=""),"",U120-U119)</f>
        <v/>
      </c>
      <c r="W120" s="160">
        <f>IF('Datos_fuente'!R120="","",ASINH('Datos_fuente'!R120/1000))</f>
        <v/>
      </c>
      <c r="X120" s="160">
        <f>IF(OR(W120="",W119=""),"",W120-W119)</f>
        <v/>
      </c>
      <c r="Y120" s="161">
        <f>'Datos_fuente'!W120</f>
        <v/>
      </c>
      <c r="Z120" s="161">
        <f>IF(OR(Y120="",Y119=""),"",Y120-Y119)</f>
        <v/>
      </c>
      <c r="AA120" s="160">
        <f>'Datos_fuente'!AB120</f>
        <v/>
      </c>
      <c r="AB120" s="160">
        <f>'Datos_fuente'!AC120</f>
        <v/>
      </c>
      <c r="AC120" s="160">
        <f>IF('Datos_fuente'!AD120="","",LN('Datos_fuente'!AD120))</f>
        <v/>
      </c>
      <c r="AD120" s="160">
        <f>IF(OR(AC120="",AC119=""),"",AC120-AC119)</f>
        <v/>
      </c>
      <c r="AE120" s="160">
        <f>IF('Datos_fuente'!AE120="","",LN('Datos_fuente'!AE120))</f>
        <v/>
      </c>
      <c r="AF120" s="160">
        <f>IF(OR(AE120="",AE119=""),"",AE120-AE119)</f>
        <v/>
      </c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'Datos_fuente'!A121</f>
        <v/>
      </c>
      <c r="B121" s="160">
        <f>IF('Datos_fuente'!B121="","",LN('Datos_fuente'!B121))</f>
        <v/>
      </c>
      <c r="C121" s="160">
        <f>IF(OR(B121="",B120=""),"",B121-B120)</f>
        <v/>
      </c>
      <c r="D121" s="160">
        <f>IF('Datos_fuente'!C121="","",LN('Datos_fuente'!C121))</f>
        <v/>
      </c>
      <c r="E121" s="160">
        <f>IF(OR(D121="",D120=""),"",D121-D120)</f>
        <v/>
      </c>
      <c r="F121" s="160">
        <f>IF('Datos_fuente'!E121="","",LN('Datos_fuente'!E121))</f>
        <v/>
      </c>
      <c r="G121" s="160">
        <f>IF(OR(F121="",F120=""),"",F121-F120)</f>
        <v/>
      </c>
      <c r="H121" s="161">
        <f>'Datos_fuente'!H121</f>
        <v/>
      </c>
      <c r="I121" s="161">
        <f>IF(OR(H121="",H120=""),"",H121-H120)</f>
        <v/>
      </c>
      <c r="J121" s="161">
        <f>'Datos_fuente'!J121</f>
        <v/>
      </c>
      <c r="K121" s="161">
        <f>IF(OR(J121="",J120=""),"",J121-J120)</f>
        <v/>
      </c>
      <c r="L121" s="160">
        <f>IF('Datos_fuente'!K121="","",LN('Datos_fuente'!K121))</f>
        <v/>
      </c>
      <c r="M121" s="160">
        <f>IF(OR(L121="",L120=""),"",L121-L120)</f>
        <v/>
      </c>
      <c r="N121" s="160">
        <f>IF('Datos_fuente'!L121="","",LN('Datos_fuente'!L121))</f>
        <v/>
      </c>
      <c r="O121" s="160">
        <f>IF(OR(N121="",N120=""),"",N121-N120)</f>
        <v/>
      </c>
      <c r="P121" s="162">
        <f>'Datos_fuente'!M121</f>
        <v/>
      </c>
      <c r="Q121" s="160">
        <f>IF('Datos_fuente'!N121="","",LN('Datos_fuente'!N121))</f>
        <v/>
      </c>
      <c r="R121" s="160">
        <f>IF(OR(Q121="",Q120=""),"",Q121-Q120)</f>
        <v/>
      </c>
      <c r="S121" s="161">
        <f>'Datos_fuente'!P121</f>
        <v/>
      </c>
      <c r="T121" s="161">
        <f>IF(OR(S121="",S120=""),"",S121-S120)</f>
        <v/>
      </c>
      <c r="U121" s="160">
        <f>IF('Datos_fuente'!Q121="","",ASINH('Datos_fuente'!Q121/1000))</f>
        <v/>
      </c>
      <c r="V121" s="160">
        <f>IF(OR(U121="",U120=""),"",U121-U120)</f>
        <v/>
      </c>
      <c r="W121" s="160">
        <f>IF('Datos_fuente'!R121="","",ASINH('Datos_fuente'!R121/1000))</f>
        <v/>
      </c>
      <c r="X121" s="160">
        <f>IF(OR(W121="",W120=""),"",W121-W120)</f>
        <v/>
      </c>
      <c r="Y121" s="161">
        <f>'Datos_fuente'!W121</f>
        <v/>
      </c>
      <c r="Z121" s="161">
        <f>IF(OR(Y121="",Y120=""),"",Y121-Y120)</f>
        <v/>
      </c>
      <c r="AA121" s="160">
        <f>'Datos_fuente'!AB121</f>
        <v/>
      </c>
      <c r="AB121" s="160">
        <f>'Datos_fuente'!AC121</f>
        <v/>
      </c>
      <c r="AC121" s="160">
        <f>IF('Datos_fuente'!AD121="","",LN('Datos_fuente'!AD121))</f>
        <v/>
      </c>
      <c r="AD121" s="160">
        <f>IF(OR(AC121="",AC120=""),"",AC121-AC120)</f>
        <v/>
      </c>
      <c r="AE121" s="160">
        <f>IF('Datos_fuente'!AE121="","",LN('Datos_fuente'!AE121))</f>
        <v/>
      </c>
      <c r="AF121" s="160">
        <f>IF(OR(AE121="",AE120=""),"",AE121-AE120)</f>
        <v/>
      </c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'Datos_fuente'!A122</f>
        <v/>
      </c>
      <c r="B122" s="160">
        <f>IF('Datos_fuente'!B122="","",LN('Datos_fuente'!B122))</f>
        <v/>
      </c>
      <c r="C122" s="160">
        <f>IF(OR(B122="",B121=""),"",B122-B121)</f>
        <v/>
      </c>
      <c r="D122" s="160">
        <f>IF('Datos_fuente'!C122="","",LN('Datos_fuente'!C122))</f>
        <v/>
      </c>
      <c r="E122" s="160">
        <f>IF(OR(D122="",D121=""),"",D122-D121)</f>
        <v/>
      </c>
      <c r="F122" s="160">
        <f>IF('Datos_fuente'!E122="","",LN('Datos_fuente'!E122))</f>
        <v/>
      </c>
      <c r="G122" s="160">
        <f>IF(OR(F122="",F121=""),"",F122-F121)</f>
        <v/>
      </c>
      <c r="H122" s="161">
        <f>'Datos_fuente'!H122</f>
        <v/>
      </c>
      <c r="I122" s="161">
        <f>IF(OR(H122="",H121=""),"",H122-H121)</f>
        <v/>
      </c>
      <c r="J122" s="161">
        <f>'Datos_fuente'!J122</f>
        <v/>
      </c>
      <c r="K122" s="161">
        <f>IF(OR(J122="",J121=""),"",J122-J121)</f>
        <v/>
      </c>
      <c r="L122" s="160">
        <f>IF('Datos_fuente'!K122="","",LN('Datos_fuente'!K122))</f>
        <v/>
      </c>
      <c r="M122" s="160">
        <f>IF(OR(L122="",L121=""),"",L122-L121)</f>
        <v/>
      </c>
      <c r="N122" s="160">
        <f>IF('Datos_fuente'!L122="","",LN('Datos_fuente'!L122))</f>
        <v/>
      </c>
      <c r="O122" s="160">
        <f>IF(OR(N122="",N121=""),"",N122-N121)</f>
        <v/>
      </c>
      <c r="P122" s="162">
        <f>'Datos_fuente'!M122</f>
        <v/>
      </c>
      <c r="Q122" s="160">
        <f>IF('Datos_fuente'!N122="","",LN('Datos_fuente'!N122))</f>
        <v/>
      </c>
      <c r="R122" s="160">
        <f>IF(OR(Q122="",Q121=""),"",Q122-Q121)</f>
        <v/>
      </c>
      <c r="S122" s="161">
        <f>'Datos_fuente'!P122</f>
        <v/>
      </c>
      <c r="T122" s="161">
        <f>IF(OR(S122="",S121=""),"",S122-S121)</f>
        <v/>
      </c>
      <c r="U122" s="160">
        <f>IF('Datos_fuente'!Q122="","",ASINH('Datos_fuente'!Q122/1000))</f>
        <v/>
      </c>
      <c r="V122" s="160">
        <f>IF(OR(U122="",U121=""),"",U122-U121)</f>
        <v/>
      </c>
      <c r="W122" s="160">
        <f>IF('Datos_fuente'!R122="","",ASINH('Datos_fuente'!R122/1000))</f>
        <v/>
      </c>
      <c r="X122" s="160">
        <f>IF(OR(W122="",W121=""),"",W122-W121)</f>
        <v/>
      </c>
      <c r="Y122" s="161">
        <f>'Datos_fuente'!W122</f>
        <v/>
      </c>
      <c r="Z122" s="161">
        <f>IF(OR(Y122="",Y121=""),"",Y122-Y121)</f>
        <v/>
      </c>
      <c r="AA122" s="160">
        <f>'Datos_fuente'!AB122</f>
        <v/>
      </c>
      <c r="AB122" s="160">
        <f>'Datos_fuente'!AC122</f>
        <v/>
      </c>
      <c r="AC122" s="160">
        <f>IF('Datos_fuente'!AD122="","",LN('Datos_fuente'!AD122))</f>
        <v/>
      </c>
      <c r="AD122" s="160">
        <f>IF(OR(AC122="",AC121=""),"",AC122-AC121)</f>
        <v/>
      </c>
      <c r="AE122" s="160">
        <f>IF('Datos_fuente'!AE122="","",LN('Datos_fuente'!AE122))</f>
        <v/>
      </c>
      <c r="AF122" s="160">
        <f>IF(OR(AE122="",AE121=""),"",AE122-AE121)</f>
        <v/>
      </c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'Datos_fuente'!A123</f>
        <v/>
      </c>
      <c r="B123" s="160">
        <f>IF('Datos_fuente'!B123="","",LN('Datos_fuente'!B123))</f>
        <v/>
      </c>
      <c r="C123" s="160">
        <f>IF(OR(B123="",B122=""),"",B123-B122)</f>
        <v/>
      </c>
      <c r="D123" s="160">
        <f>IF('Datos_fuente'!C123="","",LN('Datos_fuente'!C123))</f>
        <v/>
      </c>
      <c r="E123" s="160">
        <f>IF(OR(D123="",D122=""),"",D123-D122)</f>
        <v/>
      </c>
      <c r="F123" s="160">
        <f>IF('Datos_fuente'!E123="","",LN('Datos_fuente'!E123))</f>
        <v/>
      </c>
      <c r="G123" s="160">
        <f>IF(OR(F123="",F122=""),"",F123-F122)</f>
        <v/>
      </c>
      <c r="H123" s="161">
        <f>'Datos_fuente'!H123</f>
        <v/>
      </c>
      <c r="I123" s="161">
        <f>IF(OR(H123="",H122=""),"",H123-H122)</f>
        <v/>
      </c>
      <c r="J123" s="161">
        <f>'Datos_fuente'!J123</f>
        <v/>
      </c>
      <c r="K123" s="161">
        <f>IF(OR(J123="",J122=""),"",J123-J122)</f>
        <v/>
      </c>
      <c r="L123" s="160">
        <f>IF('Datos_fuente'!K123="","",LN('Datos_fuente'!K123))</f>
        <v/>
      </c>
      <c r="M123" s="160">
        <f>IF(OR(L123="",L122=""),"",L123-L122)</f>
        <v/>
      </c>
      <c r="N123" s="160">
        <f>IF('Datos_fuente'!L123="","",LN('Datos_fuente'!L123))</f>
        <v/>
      </c>
      <c r="O123" s="160">
        <f>IF(OR(N123="",N122=""),"",N123-N122)</f>
        <v/>
      </c>
      <c r="P123" s="162">
        <f>'Datos_fuente'!M123</f>
        <v/>
      </c>
      <c r="Q123" s="160">
        <f>IF('Datos_fuente'!N123="","",LN('Datos_fuente'!N123))</f>
        <v/>
      </c>
      <c r="R123" s="160">
        <f>IF(OR(Q123="",Q122=""),"",Q123-Q122)</f>
        <v/>
      </c>
      <c r="S123" s="161">
        <f>'Datos_fuente'!P123</f>
        <v/>
      </c>
      <c r="T123" s="161">
        <f>IF(OR(S123="",S122=""),"",S123-S122)</f>
        <v/>
      </c>
      <c r="U123" s="160">
        <f>IF('Datos_fuente'!Q123="","",ASINH('Datos_fuente'!Q123/1000))</f>
        <v/>
      </c>
      <c r="V123" s="160">
        <f>IF(OR(U123="",U122=""),"",U123-U122)</f>
        <v/>
      </c>
      <c r="W123" s="160">
        <f>IF('Datos_fuente'!R123="","",ASINH('Datos_fuente'!R123/1000))</f>
        <v/>
      </c>
      <c r="X123" s="160">
        <f>IF(OR(W123="",W122=""),"",W123-W122)</f>
        <v/>
      </c>
      <c r="Y123" s="161">
        <f>'Datos_fuente'!W123</f>
        <v/>
      </c>
      <c r="Z123" s="161">
        <f>IF(OR(Y123="",Y122=""),"",Y123-Y122)</f>
        <v/>
      </c>
      <c r="AA123" s="160">
        <f>'Datos_fuente'!AB123</f>
        <v/>
      </c>
      <c r="AB123" s="160">
        <f>'Datos_fuente'!AC123</f>
        <v/>
      </c>
      <c r="AC123" s="160">
        <f>IF('Datos_fuente'!AD123="","",LN('Datos_fuente'!AD123))</f>
        <v/>
      </c>
      <c r="AD123" s="160">
        <f>IF(OR(AC123="",AC122=""),"",AC123-AC122)</f>
        <v/>
      </c>
      <c r="AE123" s="160">
        <f>IF('Datos_fuente'!AE123="","",LN('Datos_fuente'!AE123))</f>
        <v/>
      </c>
      <c r="AF123" s="160">
        <f>IF(OR(AE123="",AE122=""),"",AE123-AE122)</f>
        <v/>
      </c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'Datos_fuente'!A124</f>
        <v/>
      </c>
      <c r="B124" s="160">
        <f>IF('Datos_fuente'!B124="","",LN('Datos_fuente'!B124))</f>
        <v/>
      </c>
      <c r="C124" s="160">
        <f>IF(OR(B124="",B123=""),"",B124-B123)</f>
        <v/>
      </c>
      <c r="D124" s="160">
        <f>IF('Datos_fuente'!C124="","",LN('Datos_fuente'!C124))</f>
        <v/>
      </c>
      <c r="E124" s="160">
        <f>IF(OR(D124="",D123=""),"",D124-D123)</f>
        <v/>
      </c>
      <c r="F124" s="160">
        <f>IF('Datos_fuente'!E124="","",LN('Datos_fuente'!E124))</f>
        <v/>
      </c>
      <c r="G124" s="160">
        <f>IF(OR(F124="",F123=""),"",F124-F123)</f>
        <v/>
      </c>
      <c r="H124" s="161">
        <f>'Datos_fuente'!H124</f>
        <v/>
      </c>
      <c r="I124" s="161">
        <f>IF(OR(H124="",H123=""),"",H124-H123)</f>
        <v/>
      </c>
      <c r="J124" s="161">
        <f>'Datos_fuente'!J124</f>
        <v/>
      </c>
      <c r="K124" s="161">
        <f>IF(OR(J124="",J123=""),"",J124-J123)</f>
        <v/>
      </c>
      <c r="L124" s="160">
        <f>IF('Datos_fuente'!K124="","",LN('Datos_fuente'!K124))</f>
        <v/>
      </c>
      <c r="M124" s="160">
        <f>IF(OR(L124="",L123=""),"",L124-L123)</f>
        <v/>
      </c>
      <c r="N124" s="160">
        <f>IF('Datos_fuente'!L124="","",LN('Datos_fuente'!L124))</f>
        <v/>
      </c>
      <c r="O124" s="160">
        <f>IF(OR(N124="",N123=""),"",N124-N123)</f>
        <v/>
      </c>
      <c r="P124" s="162">
        <f>'Datos_fuente'!M124</f>
        <v/>
      </c>
      <c r="Q124" s="160">
        <f>IF('Datos_fuente'!N124="","",LN('Datos_fuente'!N124))</f>
        <v/>
      </c>
      <c r="R124" s="160">
        <f>IF(OR(Q124="",Q123=""),"",Q124-Q123)</f>
        <v/>
      </c>
      <c r="S124" s="161">
        <f>'Datos_fuente'!P124</f>
        <v/>
      </c>
      <c r="T124" s="161">
        <f>IF(OR(S124="",S123=""),"",S124-S123)</f>
        <v/>
      </c>
      <c r="U124" s="160">
        <f>IF('Datos_fuente'!Q124="","",ASINH('Datos_fuente'!Q124/1000))</f>
        <v/>
      </c>
      <c r="V124" s="160">
        <f>IF(OR(U124="",U123=""),"",U124-U123)</f>
        <v/>
      </c>
      <c r="W124" s="160">
        <f>IF('Datos_fuente'!R124="","",ASINH('Datos_fuente'!R124/1000))</f>
        <v/>
      </c>
      <c r="X124" s="160">
        <f>IF(OR(W124="",W123=""),"",W124-W123)</f>
        <v/>
      </c>
      <c r="Y124" s="161">
        <f>'Datos_fuente'!W124</f>
        <v/>
      </c>
      <c r="Z124" s="161">
        <f>IF(OR(Y124="",Y123=""),"",Y124-Y123)</f>
        <v/>
      </c>
      <c r="AA124" s="160">
        <f>'Datos_fuente'!AB124</f>
        <v/>
      </c>
      <c r="AB124" s="160">
        <f>'Datos_fuente'!AC124</f>
        <v/>
      </c>
      <c r="AC124" s="160">
        <f>IF('Datos_fuente'!AD124="","",LN('Datos_fuente'!AD124))</f>
        <v/>
      </c>
      <c r="AD124" s="160">
        <f>IF(OR(AC124="",AC123=""),"",AC124-AC123)</f>
        <v/>
      </c>
      <c r="AE124" s="160">
        <f>IF('Datos_fuente'!AE124="","",LN('Datos_fuente'!AE124))</f>
        <v/>
      </c>
      <c r="AF124" s="160">
        <f>IF(OR(AE124="",AE123=""),"",AE124-AE123)</f>
        <v/>
      </c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'Datos_fuente'!A125</f>
        <v/>
      </c>
      <c r="B125" s="160">
        <f>IF('Datos_fuente'!B125="","",LN('Datos_fuente'!B125))</f>
        <v/>
      </c>
      <c r="C125" s="160">
        <f>IF(OR(B125="",B124=""),"",B125-B124)</f>
        <v/>
      </c>
      <c r="D125" s="160">
        <f>IF('Datos_fuente'!C125="","",LN('Datos_fuente'!C125))</f>
        <v/>
      </c>
      <c r="E125" s="160">
        <f>IF(OR(D125="",D124=""),"",D125-D124)</f>
        <v/>
      </c>
      <c r="F125" s="160">
        <f>IF('Datos_fuente'!E125="","",LN('Datos_fuente'!E125))</f>
        <v/>
      </c>
      <c r="G125" s="160">
        <f>IF(OR(F125="",F124=""),"",F125-F124)</f>
        <v/>
      </c>
      <c r="H125" s="161">
        <f>'Datos_fuente'!H125</f>
        <v/>
      </c>
      <c r="I125" s="161">
        <f>IF(OR(H125="",H124=""),"",H125-H124)</f>
        <v/>
      </c>
      <c r="J125" s="161">
        <f>'Datos_fuente'!J125</f>
        <v/>
      </c>
      <c r="K125" s="161">
        <f>IF(OR(J125="",J124=""),"",J125-J124)</f>
        <v/>
      </c>
      <c r="L125" s="160">
        <f>IF('Datos_fuente'!K125="","",LN('Datos_fuente'!K125))</f>
        <v/>
      </c>
      <c r="M125" s="160">
        <f>IF(OR(L125="",L124=""),"",L125-L124)</f>
        <v/>
      </c>
      <c r="N125" s="160">
        <f>IF('Datos_fuente'!L125="","",LN('Datos_fuente'!L125))</f>
        <v/>
      </c>
      <c r="O125" s="160">
        <f>IF(OR(N125="",N124=""),"",N125-N124)</f>
        <v/>
      </c>
      <c r="P125" s="162">
        <f>'Datos_fuente'!M125</f>
        <v/>
      </c>
      <c r="Q125" s="160">
        <f>IF('Datos_fuente'!N125="","",LN('Datos_fuente'!N125))</f>
        <v/>
      </c>
      <c r="R125" s="160">
        <f>IF(OR(Q125="",Q124=""),"",Q125-Q124)</f>
        <v/>
      </c>
      <c r="S125" s="161">
        <f>'Datos_fuente'!P125</f>
        <v/>
      </c>
      <c r="T125" s="161">
        <f>IF(OR(S125="",S124=""),"",S125-S124)</f>
        <v/>
      </c>
      <c r="U125" s="160">
        <f>IF('Datos_fuente'!Q125="","",ASINH('Datos_fuente'!Q125/1000))</f>
        <v/>
      </c>
      <c r="V125" s="160">
        <f>IF(OR(U125="",U124=""),"",U125-U124)</f>
        <v/>
      </c>
      <c r="W125" s="160">
        <f>IF('Datos_fuente'!R125="","",ASINH('Datos_fuente'!R125/1000))</f>
        <v/>
      </c>
      <c r="X125" s="160">
        <f>IF(OR(W125="",W124=""),"",W125-W124)</f>
        <v/>
      </c>
      <c r="Y125" s="161">
        <f>'Datos_fuente'!W125</f>
        <v/>
      </c>
      <c r="Z125" s="161">
        <f>IF(OR(Y125="",Y124=""),"",Y125-Y124)</f>
        <v/>
      </c>
      <c r="AA125" s="160">
        <f>'Datos_fuente'!AB125</f>
        <v/>
      </c>
      <c r="AB125" s="160">
        <f>'Datos_fuente'!AC125</f>
        <v/>
      </c>
      <c r="AC125" s="160">
        <f>IF('Datos_fuente'!AD125="","",LN('Datos_fuente'!AD125))</f>
        <v/>
      </c>
      <c r="AD125" s="160">
        <f>IF(OR(AC125="",AC124=""),"",AC125-AC124)</f>
        <v/>
      </c>
      <c r="AE125" s="160">
        <f>IF('Datos_fuente'!AE125="","",LN('Datos_fuente'!AE125))</f>
        <v/>
      </c>
      <c r="AF125" s="160">
        <f>IF(OR(AE125="",AE124=""),"",AE125-AE124)</f>
        <v/>
      </c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'Datos_fuente'!A126</f>
        <v/>
      </c>
      <c r="B126" s="160">
        <f>IF('Datos_fuente'!B126="","",LN('Datos_fuente'!B126))</f>
        <v/>
      </c>
      <c r="C126" s="160">
        <f>IF(OR(B126="",B125=""),"",B126-B125)</f>
        <v/>
      </c>
      <c r="D126" s="160">
        <f>IF('Datos_fuente'!C126="","",LN('Datos_fuente'!C126))</f>
        <v/>
      </c>
      <c r="E126" s="160">
        <f>IF(OR(D126="",D125=""),"",D126-D125)</f>
        <v/>
      </c>
      <c r="F126" s="160">
        <f>IF('Datos_fuente'!E126="","",LN('Datos_fuente'!E126))</f>
        <v/>
      </c>
      <c r="G126" s="160">
        <f>IF(OR(F126="",F125=""),"",F126-F125)</f>
        <v/>
      </c>
      <c r="H126" s="161">
        <f>'Datos_fuente'!H126</f>
        <v/>
      </c>
      <c r="I126" s="161">
        <f>IF(OR(H126="",H125=""),"",H126-H125)</f>
        <v/>
      </c>
      <c r="J126" s="161">
        <f>'Datos_fuente'!J126</f>
        <v/>
      </c>
      <c r="K126" s="161">
        <f>IF(OR(J126="",J125=""),"",J126-J125)</f>
        <v/>
      </c>
      <c r="L126" s="160">
        <f>IF('Datos_fuente'!K126="","",LN('Datos_fuente'!K126))</f>
        <v/>
      </c>
      <c r="M126" s="160">
        <f>IF(OR(L126="",L125=""),"",L126-L125)</f>
        <v/>
      </c>
      <c r="N126" s="160">
        <f>IF('Datos_fuente'!L126="","",LN('Datos_fuente'!L126))</f>
        <v/>
      </c>
      <c r="O126" s="160">
        <f>IF(OR(N126="",N125=""),"",N126-N125)</f>
        <v/>
      </c>
      <c r="P126" s="162">
        <f>'Datos_fuente'!M126</f>
        <v/>
      </c>
      <c r="Q126" s="160">
        <f>IF('Datos_fuente'!N126="","",LN('Datos_fuente'!N126))</f>
        <v/>
      </c>
      <c r="R126" s="160">
        <f>IF(OR(Q126="",Q125=""),"",Q126-Q125)</f>
        <v/>
      </c>
      <c r="S126" s="161">
        <f>'Datos_fuente'!P126</f>
        <v/>
      </c>
      <c r="T126" s="161">
        <f>IF(OR(S126="",S125=""),"",S126-S125)</f>
        <v/>
      </c>
      <c r="U126" s="160">
        <f>IF('Datos_fuente'!Q126="","",ASINH('Datos_fuente'!Q126/1000))</f>
        <v/>
      </c>
      <c r="V126" s="160">
        <f>IF(OR(U126="",U125=""),"",U126-U125)</f>
        <v/>
      </c>
      <c r="W126" s="160">
        <f>IF('Datos_fuente'!R126="","",ASINH('Datos_fuente'!R126/1000))</f>
        <v/>
      </c>
      <c r="X126" s="160">
        <f>IF(OR(W126="",W125=""),"",W126-W125)</f>
        <v/>
      </c>
      <c r="Y126" s="161">
        <f>'Datos_fuente'!W126</f>
        <v/>
      </c>
      <c r="Z126" s="161">
        <f>IF(OR(Y126="",Y125=""),"",Y126-Y125)</f>
        <v/>
      </c>
      <c r="AA126" s="160">
        <f>'Datos_fuente'!AB126</f>
        <v/>
      </c>
      <c r="AB126" s="160">
        <f>'Datos_fuente'!AC126</f>
        <v/>
      </c>
      <c r="AC126" s="160">
        <f>IF('Datos_fuente'!AD126="","",LN('Datos_fuente'!AD126))</f>
        <v/>
      </c>
      <c r="AD126" s="160">
        <f>IF(OR(AC126="",AC125=""),"",AC126-AC125)</f>
        <v/>
      </c>
      <c r="AE126" s="160">
        <f>IF('Datos_fuente'!AE126="","",LN('Datos_fuente'!AE126))</f>
        <v/>
      </c>
      <c r="AF126" s="160">
        <f>IF(OR(AE126="",AE125=""),"",AE126-AE125)</f>
        <v/>
      </c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'Datos_fuente'!A127</f>
        <v/>
      </c>
      <c r="B127" s="160">
        <f>IF('Datos_fuente'!B127="","",LN('Datos_fuente'!B127))</f>
        <v/>
      </c>
      <c r="C127" s="160">
        <f>IF(OR(B127="",B126=""),"",B127-B126)</f>
        <v/>
      </c>
      <c r="D127" s="160">
        <f>IF('Datos_fuente'!C127="","",LN('Datos_fuente'!C127))</f>
        <v/>
      </c>
      <c r="E127" s="160">
        <f>IF(OR(D127="",D126=""),"",D127-D126)</f>
        <v/>
      </c>
      <c r="F127" s="160">
        <f>IF('Datos_fuente'!E127="","",LN('Datos_fuente'!E127))</f>
        <v/>
      </c>
      <c r="G127" s="160">
        <f>IF(OR(F127="",F126=""),"",F127-F126)</f>
        <v/>
      </c>
      <c r="H127" s="161">
        <f>'Datos_fuente'!H127</f>
        <v/>
      </c>
      <c r="I127" s="161">
        <f>IF(OR(H127="",H126=""),"",H127-H126)</f>
        <v/>
      </c>
      <c r="J127" s="161">
        <f>'Datos_fuente'!J127</f>
        <v/>
      </c>
      <c r="K127" s="161">
        <f>IF(OR(J127="",J126=""),"",J127-J126)</f>
        <v/>
      </c>
      <c r="L127" s="160">
        <f>IF('Datos_fuente'!K127="","",LN('Datos_fuente'!K127))</f>
        <v/>
      </c>
      <c r="M127" s="160">
        <f>IF(OR(L127="",L126=""),"",L127-L126)</f>
        <v/>
      </c>
      <c r="N127" s="160">
        <f>IF('Datos_fuente'!L127="","",LN('Datos_fuente'!L127))</f>
        <v/>
      </c>
      <c r="O127" s="160">
        <f>IF(OR(N127="",N126=""),"",N127-N126)</f>
        <v/>
      </c>
      <c r="P127" s="162">
        <f>'Datos_fuente'!M127</f>
        <v/>
      </c>
      <c r="Q127" s="160">
        <f>IF('Datos_fuente'!N127="","",LN('Datos_fuente'!N127))</f>
        <v/>
      </c>
      <c r="R127" s="160">
        <f>IF(OR(Q127="",Q126=""),"",Q127-Q126)</f>
        <v/>
      </c>
      <c r="S127" s="161">
        <f>'Datos_fuente'!P127</f>
        <v/>
      </c>
      <c r="T127" s="161">
        <f>IF(OR(S127="",S126=""),"",S127-S126)</f>
        <v/>
      </c>
      <c r="U127" s="160">
        <f>IF('Datos_fuente'!Q127="","",ASINH('Datos_fuente'!Q127/1000))</f>
        <v/>
      </c>
      <c r="V127" s="160">
        <f>IF(OR(U127="",U126=""),"",U127-U126)</f>
        <v/>
      </c>
      <c r="W127" s="160">
        <f>IF('Datos_fuente'!R127="","",ASINH('Datos_fuente'!R127/1000))</f>
        <v/>
      </c>
      <c r="X127" s="160">
        <f>IF(OR(W127="",W126=""),"",W127-W126)</f>
        <v/>
      </c>
      <c r="Y127" s="161">
        <f>'Datos_fuente'!W127</f>
        <v/>
      </c>
      <c r="Z127" s="161">
        <f>IF(OR(Y127="",Y126=""),"",Y127-Y126)</f>
        <v/>
      </c>
      <c r="AA127" s="160">
        <f>'Datos_fuente'!AB127</f>
        <v/>
      </c>
      <c r="AB127" s="160">
        <f>'Datos_fuente'!AC127</f>
        <v/>
      </c>
      <c r="AC127" s="160">
        <f>IF('Datos_fuente'!AD127="","",LN('Datos_fuente'!AD127))</f>
        <v/>
      </c>
      <c r="AD127" s="160">
        <f>IF(OR(AC127="",AC126=""),"",AC127-AC126)</f>
        <v/>
      </c>
      <c r="AE127" s="160">
        <f>IF('Datos_fuente'!AE127="","",LN('Datos_fuente'!AE127))</f>
        <v/>
      </c>
      <c r="AF127" s="160">
        <f>IF(OR(AE127="",AE126=""),"",AE127-AE126)</f>
        <v/>
      </c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'Datos_fuente'!A128</f>
        <v/>
      </c>
      <c r="B128" s="160">
        <f>IF('Datos_fuente'!B128="","",LN('Datos_fuente'!B128))</f>
        <v/>
      </c>
      <c r="C128" s="160">
        <f>IF(OR(B128="",B127=""),"",B128-B127)</f>
        <v/>
      </c>
      <c r="D128" s="160">
        <f>IF('Datos_fuente'!C128="","",LN('Datos_fuente'!C128))</f>
        <v/>
      </c>
      <c r="E128" s="160">
        <f>IF(OR(D128="",D127=""),"",D128-D127)</f>
        <v/>
      </c>
      <c r="F128" s="160">
        <f>IF('Datos_fuente'!E128="","",LN('Datos_fuente'!E128))</f>
        <v/>
      </c>
      <c r="G128" s="160">
        <f>IF(OR(F128="",F127=""),"",F128-F127)</f>
        <v/>
      </c>
      <c r="H128" s="161">
        <f>'Datos_fuente'!H128</f>
        <v/>
      </c>
      <c r="I128" s="161">
        <f>IF(OR(H128="",H127=""),"",H128-H127)</f>
        <v/>
      </c>
      <c r="J128" s="161">
        <f>'Datos_fuente'!J128</f>
        <v/>
      </c>
      <c r="K128" s="161">
        <f>IF(OR(J128="",J127=""),"",J128-J127)</f>
        <v/>
      </c>
      <c r="L128" s="160">
        <f>IF('Datos_fuente'!K128="","",LN('Datos_fuente'!K128))</f>
        <v/>
      </c>
      <c r="M128" s="160">
        <f>IF(OR(L128="",L127=""),"",L128-L127)</f>
        <v/>
      </c>
      <c r="N128" s="160">
        <f>IF('Datos_fuente'!L128="","",LN('Datos_fuente'!L128))</f>
        <v/>
      </c>
      <c r="O128" s="160">
        <f>IF(OR(N128="",N127=""),"",N128-N127)</f>
        <v/>
      </c>
      <c r="P128" s="162">
        <f>'Datos_fuente'!M128</f>
        <v/>
      </c>
      <c r="Q128" s="160">
        <f>IF('Datos_fuente'!N128="","",LN('Datos_fuente'!N128))</f>
        <v/>
      </c>
      <c r="R128" s="160">
        <f>IF(OR(Q128="",Q127=""),"",Q128-Q127)</f>
        <v/>
      </c>
      <c r="S128" s="161">
        <f>'Datos_fuente'!P128</f>
        <v/>
      </c>
      <c r="T128" s="161">
        <f>IF(OR(S128="",S127=""),"",S128-S127)</f>
        <v/>
      </c>
      <c r="U128" s="160">
        <f>IF('Datos_fuente'!Q128="","",ASINH('Datos_fuente'!Q128/1000))</f>
        <v/>
      </c>
      <c r="V128" s="160">
        <f>IF(OR(U128="",U127=""),"",U128-U127)</f>
        <v/>
      </c>
      <c r="W128" s="160">
        <f>IF('Datos_fuente'!R128="","",ASINH('Datos_fuente'!R128/1000))</f>
        <v/>
      </c>
      <c r="X128" s="160">
        <f>IF(OR(W128="",W127=""),"",W128-W127)</f>
        <v/>
      </c>
      <c r="Y128" s="161">
        <f>'Datos_fuente'!W128</f>
        <v/>
      </c>
      <c r="Z128" s="161">
        <f>IF(OR(Y128="",Y127=""),"",Y128-Y127)</f>
        <v/>
      </c>
      <c r="AA128" s="160">
        <f>'Datos_fuente'!AB128</f>
        <v/>
      </c>
      <c r="AB128" s="160">
        <f>'Datos_fuente'!AC128</f>
        <v/>
      </c>
      <c r="AC128" s="160">
        <f>IF('Datos_fuente'!AD128="","",LN('Datos_fuente'!AD128))</f>
        <v/>
      </c>
      <c r="AD128" s="160">
        <f>IF(OR(AC128="",AC127=""),"",AC128-AC127)</f>
        <v/>
      </c>
      <c r="AE128" s="160">
        <f>IF('Datos_fuente'!AE128="","",LN('Datos_fuente'!AE128))</f>
        <v/>
      </c>
      <c r="AF128" s="160">
        <f>IF(OR(AE128="",AE127=""),"",AE128-AE127)</f>
        <v/>
      </c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'Datos_fuente'!A129</f>
        <v/>
      </c>
      <c r="B129" s="160">
        <f>IF('Datos_fuente'!B129="","",LN('Datos_fuente'!B129))</f>
        <v/>
      </c>
      <c r="C129" s="160">
        <f>IF(OR(B129="",B128=""),"",B129-B128)</f>
        <v/>
      </c>
      <c r="D129" s="160">
        <f>IF('Datos_fuente'!C129="","",LN('Datos_fuente'!C129))</f>
        <v/>
      </c>
      <c r="E129" s="160">
        <f>IF(OR(D129="",D128=""),"",D129-D128)</f>
        <v/>
      </c>
      <c r="F129" s="160">
        <f>IF('Datos_fuente'!E129="","",LN('Datos_fuente'!E129))</f>
        <v/>
      </c>
      <c r="G129" s="160">
        <f>IF(OR(F129="",F128=""),"",F129-F128)</f>
        <v/>
      </c>
      <c r="H129" s="161">
        <f>'Datos_fuente'!H129</f>
        <v/>
      </c>
      <c r="I129" s="161">
        <f>IF(OR(H129="",H128=""),"",H129-H128)</f>
        <v/>
      </c>
      <c r="J129" s="161">
        <f>'Datos_fuente'!J129</f>
        <v/>
      </c>
      <c r="K129" s="161">
        <f>IF(OR(J129="",J128=""),"",J129-J128)</f>
        <v/>
      </c>
      <c r="L129" s="160">
        <f>IF('Datos_fuente'!K129="","",LN('Datos_fuente'!K129))</f>
        <v/>
      </c>
      <c r="M129" s="160">
        <f>IF(OR(L129="",L128=""),"",L129-L128)</f>
        <v/>
      </c>
      <c r="N129" s="160">
        <f>IF('Datos_fuente'!L129="","",LN('Datos_fuente'!L129))</f>
        <v/>
      </c>
      <c r="O129" s="160">
        <f>IF(OR(N129="",N128=""),"",N129-N128)</f>
        <v/>
      </c>
      <c r="P129" s="162">
        <f>'Datos_fuente'!M129</f>
        <v/>
      </c>
      <c r="Q129" s="160">
        <f>IF('Datos_fuente'!N129="","",LN('Datos_fuente'!N129))</f>
        <v/>
      </c>
      <c r="R129" s="160">
        <f>IF(OR(Q129="",Q128=""),"",Q129-Q128)</f>
        <v/>
      </c>
      <c r="S129" s="161">
        <f>'Datos_fuente'!P129</f>
        <v/>
      </c>
      <c r="T129" s="161">
        <f>IF(OR(S129="",S128=""),"",S129-S128)</f>
        <v/>
      </c>
      <c r="U129" s="160">
        <f>IF('Datos_fuente'!Q129="","",ASINH('Datos_fuente'!Q129/1000))</f>
        <v/>
      </c>
      <c r="V129" s="160">
        <f>IF(OR(U129="",U128=""),"",U129-U128)</f>
        <v/>
      </c>
      <c r="W129" s="160">
        <f>IF('Datos_fuente'!R129="","",ASINH('Datos_fuente'!R129/1000))</f>
        <v/>
      </c>
      <c r="X129" s="160">
        <f>IF(OR(W129="",W128=""),"",W129-W128)</f>
        <v/>
      </c>
      <c r="Y129" s="161">
        <f>'Datos_fuente'!W129</f>
        <v/>
      </c>
      <c r="Z129" s="161">
        <f>IF(OR(Y129="",Y128=""),"",Y129-Y128)</f>
        <v/>
      </c>
      <c r="AA129" s="160">
        <f>'Datos_fuente'!AB129</f>
        <v/>
      </c>
      <c r="AB129" s="160">
        <f>'Datos_fuente'!AC129</f>
        <v/>
      </c>
      <c r="AC129" s="160">
        <f>IF('Datos_fuente'!AD129="","",LN('Datos_fuente'!AD129))</f>
        <v/>
      </c>
      <c r="AD129" s="160">
        <f>IF(OR(AC129="",AC128=""),"",AC129-AC128)</f>
        <v/>
      </c>
      <c r="AE129" s="160">
        <f>IF('Datos_fuente'!AE129="","",LN('Datos_fuente'!AE129))</f>
        <v/>
      </c>
      <c r="AF129" s="160">
        <f>IF(OR(AE129="",AE128=""),"",AE129-AE128)</f>
        <v/>
      </c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'Datos_fuente'!A130</f>
        <v/>
      </c>
      <c r="B130" s="160">
        <f>IF('Datos_fuente'!B130="","",LN('Datos_fuente'!B130))</f>
        <v/>
      </c>
      <c r="C130" s="160">
        <f>IF(OR(B130="",B129=""),"",B130-B129)</f>
        <v/>
      </c>
      <c r="D130" s="160">
        <f>IF('Datos_fuente'!C130="","",LN('Datos_fuente'!C130))</f>
        <v/>
      </c>
      <c r="E130" s="160">
        <f>IF(OR(D130="",D129=""),"",D130-D129)</f>
        <v/>
      </c>
      <c r="F130" s="160">
        <f>IF('Datos_fuente'!E130="","",LN('Datos_fuente'!E130))</f>
        <v/>
      </c>
      <c r="G130" s="160">
        <f>IF(OR(F130="",F129=""),"",F130-F129)</f>
        <v/>
      </c>
      <c r="H130" s="161">
        <f>'Datos_fuente'!H130</f>
        <v/>
      </c>
      <c r="I130" s="161">
        <f>IF(OR(H130="",H129=""),"",H130-H129)</f>
        <v/>
      </c>
      <c r="J130" s="161">
        <f>'Datos_fuente'!J130</f>
        <v/>
      </c>
      <c r="K130" s="161">
        <f>IF(OR(J130="",J129=""),"",J130-J129)</f>
        <v/>
      </c>
      <c r="L130" s="160">
        <f>IF('Datos_fuente'!K130="","",LN('Datos_fuente'!K130))</f>
        <v/>
      </c>
      <c r="M130" s="160">
        <f>IF(OR(L130="",L129=""),"",L130-L129)</f>
        <v/>
      </c>
      <c r="N130" s="160">
        <f>IF('Datos_fuente'!L130="","",LN('Datos_fuente'!L130))</f>
        <v/>
      </c>
      <c r="O130" s="160">
        <f>IF(OR(N130="",N129=""),"",N130-N129)</f>
        <v/>
      </c>
      <c r="P130" s="162">
        <f>'Datos_fuente'!M130</f>
        <v/>
      </c>
      <c r="Q130" s="160">
        <f>IF('Datos_fuente'!N130="","",LN('Datos_fuente'!N130))</f>
        <v/>
      </c>
      <c r="R130" s="160">
        <f>IF(OR(Q130="",Q129=""),"",Q130-Q129)</f>
        <v/>
      </c>
      <c r="S130" s="161">
        <f>'Datos_fuente'!P130</f>
        <v/>
      </c>
      <c r="T130" s="161">
        <f>IF(OR(S130="",S129=""),"",S130-S129)</f>
        <v/>
      </c>
      <c r="U130" s="160">
        <f>IF('Datos_fuente'!Q130="","",ASINH('Datos_fuente'!Q130/1000))</f>
        <v/>
      </c>
      <c r="V130" s="160">
        <f>IF(OR(U130="",U129=""),"",U130-U129)</f>
        <v/>
      </c>
      <c r="W130" s="160">
        <f>IF('Datos_fuente'!R130="","",ASINH('Datos_fuente'!R130/1000))</f>
        <v/>
      </c>
      <c r="X130" s="160">
        <f>IF(OR(W130="",W129=""),"",W130-W129)</f>
        <v/>
      </c>
      <c r="Y130" s="161">
        <f>'Datos_fuente'!W130</f>
        <v/>
      </c>
      <c r="Z130" s="161">
        <f>IF(OR(Y130="",Y129=""),"",Y130-Y129)</f>
        <v/>
      </c>
      <c r="AA130" s="160">
        <f>'Datos_fuente'!AB130</f>
        <v/>
      </c>
      <c r="AB130" s="160">
        <f>'Datos_fuente'!AC130</f>
        <v/>
      </c>
      <c r="AC130" s="160">
        <f>IF('Datos_fuente'!AD130="","",LN('Datos_fuente'!AD130))</f>
        <v/>
      </c>
      <c r="AD130" s="160">
        <f>IF(OR(AC130="",AC129=""),"",AC130-AC129)</f>
        <v/>
      </c>
      <c r="AE130" s="160">
        <f>IF('Datos_fuente'!AE130="","",LN('Datos_fuente'!AE130))</f>
        <v/>
      </c>
      <c r="AF130" s="160">
        <f>IF(OR(AE130="",AE129=""),"",AE130-AE129)</f>
        <v/>
      </c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'Datos_fuente'!A131</f>
        <v/>
      </c>
      <c r="B131" s="160">
        <f>IF('Datos_fuente'!B131="","",LN('Datos_fuente'!B131))</f>
        <v/>
      </c>
      <c r="C131" s="160">
        <f>IF(OR(B131="",B130=""),"",B131-B130)</f>
        <v/>
      </c>
      <c r="D131" s="160">
        <f>IF('Datos_fuente'!C131="","",LN('Datos_fuente'!C131))</f>
        <v/>
      </c>
      <c r="E131" s="160">
        <f>IF(OR(D131="",D130=""),"",D131-D130)</f>
        <v/>
      </c>
      <c r="F131" s="160">
        <f>IF('Datos_fuente'!E131="","",LN('Datos_fuente'!E131))</f>
        <v/>
      </c>
      <c r="G131" s="160">
        <f>IF(OR(F131="",F130=""),"",F131-F130)</f>
        <v/>
      </c>
      <c r="H131" s="161">
        <f>'Datos_fuente'!H131</f>
        <v/>
      </c>
      <c r="I131" s="161">
        <f>IF(OR(H131="",H130=""),"",H131-H130)</f>
        <v/>
      </c>
      <c r="J131" s="161">
        <f>'Datos_fuente'!J131</f>
        <v/>
      </c>
      <c r="K131" s="161">
        <f>IF(OR(J131="",J130=""),"",J131-J130)</f>
        <v/>
      </c>
      <c r="L131" s="160">
        <f>IF('Datos_fuente'!K131="","",LN('Datos_fuente'!K131))</f>
        <v/>
      </c>
      <c r="M131" s="160">
        <f>IF(OR(L131="",L130=""),"",L131-L130)</f>
        <v/>
      </c>
      <c r="N131" s="160">
        <f>IF('Datos_fuente'!L131="","",LN('Datos_fuente'!L131))</f>
        <v/>
      </c>
      <c r="O131" s="160">
        <f>IF(OR(N131="",N130=""),"",N131-N130)</f>
        <v/>
      </c>
      <c r="P131" s="162">
        <f>'Datos_fuente'!M131</f>
        <v/>
      </c>
      <c r="Q131" s="160">
        <f>IF('Datos_fuente'!N131="","",LN('Datos_fuente'!N131))</f>
        <v/>
      </c>
      <c r="R131" s="160">
        <f>IF(OR(Q131="",Q130=""),"",Q131-Q130)</f>
        <v/>
      </c>
      <c r="S131" s="161">
        <f>'Datos_fuente'!P131</f>
        <v/>
      </c>
      <c r="T131" s="161">
        <f>IF(OR(S131="",S130=""),"",S131-S130)</f>
        <v/>
      </c>
      <c r="U131" s="160">
        <f>IF('Datos_fuente'!Q131="","",ASINH('Datos_fuente'!Q131/1000))</f>
        <v/>
      </c>
      <c r="V131" s="160">
        <f>IF(OR(U131="",U130=""),"",U131-U130)</f>
        <v/>
      </c>
      <c r="W131" s="160">
        <f>IF('Datos_fuente'!R131="","",ASINH('Datos_fuente'!R131/1000))</f>
        <v/>
      </c>
      <c r="X131" s="160">
        <f>IF(OR(W131="",W130=""),"",W131-W130)</f>
        <v/>
      </c>
      <c r="Y131" s="161">
        <f>'Datos_fuente'!W131</f>
        <v/>
      </c>
      <c r="Z131" s="161">
        <f>IF(OR(Y131="",Y130=""),"",Y131-Y130)</f>
        <v/>
      </c>
      <c r="AA131" s="160">
        <f>'Datos_fuente'!AB131</f>
        <v/>
      </c>
      <c r="AB131" s="160">
        <f>'Datos_fuente'!AC131</f>
        <v/>
      </c>
      <c r="AC131" s="160">
        <f>IF('Datos_fuente'!AD131="","",LN('Datos_fuente'!AD131))</f>
        <v/>
      </c>
      <c r="AD131" s="160">
        <f>IF(OR(AC131="",AC130=""),"",AC131-AC130)</f>
        <v/>
      </c>
      <c r="AE131" s="160">
        <f>IF('Datos_fuente'!AE131="","",LN('Datos_fuente'!AE131))</f>
        <v/>
      </c>
      <c r="AF131" s="160">
        <f>IF(OR(AE131="",AE130=""),"",AE131-AE130)</f>
        <v/>
      </c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'Datos_fuente'!A132</f>
        <v/>
      </c>
      <c r="B132" s="160">
        <f>IF('Datos_fuente'!B132="","",LN('Datos_fuente'!B132))</f>
        <v/>
      </c>
      <c r="C132" s="160">
        <f>IF(OR(B132="",B131=""),"",B132-B131)</f>
        <v/>
      </c>
      <c r="D132" s="160">
        <f>IF('Datos_fuente'!C132="","",LN('Datos_fuente'!C132))</f>
        <v/>
      </c>
      <c r="E132" s="160">
        <f>IF(OR(D132="",D131=""),"",D132-D131)</f>
        <v/>
      </c>
      <c r="F132" s="160">
        <f>IF('Datos_fuente'!E132="","",LN('Datos_fuente'!E132))</f>
        <v/>
      </c>
      <c r="G132" s="160">
        <f>IF(OR(F132="",F131=""),"",F132-F131)</f>
        <v/>
      </c>
      <c r="H132" s="161">
        <f>'Datos_fuente'!H132</f>
        <v/>
      </c>
      <c r="I132" s="161">
        <f>IF(OR(H132="",H131=""),"",H132-H131)</f>
        <v/>
      </c>
      <c r="J132" s="161">
        <f>'Datos_fuente'!J132</f>
        <v/>
      </c>
      <c r="K132" s="161">
        <f>IF(OR(J132="",J131=""),"",J132-J131)</f>
        <v/>
      </c>
      <c r="L132" s="160">
        <f>IF('Datos_fuente'!K132="","",LN('Datos_fuente'!K132))</f>
        <v/>
      </c>
      <c r="M132" s="160">
        <f>IF(OR(L132="",L131=""),"",L132-L131)</f>
        <v/>
      </c>
      <c r="N132" s="160">
        <f>IF('Datos_fuente'!L132="","",LN('Datos_fuente'!L132))</f>
        <v/>
      </c>
      <c r="O132" s="160">
        <f>IF(OR(N132="",N131=""),"",N132-N131)</f>
        <v/>
      </c>
      <c r="P132" s="162">
        <f>'Datos_fuente'!M132</f>
        <v/>
      </c>
      <c r="Q132" s="160">
        <f>IF('Datos_fuente'!N132="","",LN('Datos_fuente'!N132))</f>
        <v/>
      </c>
      <c r="R132" s="160">
        <f>IF(OR(Q132="",Q131=""),"",Q132-Q131)</f>
        <v/>
      </c>
      <c r="S132" s="161">
        <f>'Datos_fuente'!P132</f>
        <v/>
      </c>
      <c r="T132" s="161">
        <f>IF(OR(S132="",S131=""),"",S132-S131)</f>
        <v/>
      </c>
      <c r="U132" s="160">
        <f>IF('Datos_fuente'!Q132="","",ASINH('Datos_fuente'!Q132/1000))</f>
        <v/>
      </c>
      <c r="V132" s="160">
        <f>IF(OR(U132="",U131=""),"",U132-U131)</f>
        <v/>
      </c>
      <c r="W132" s="160">
        <f>IF('Datos_fuente'!R132="","",ASINH('Datos_fuente'!R132/1000))</f>
        <v/>
      </c>
      <c r="X132" s="160">
        <f>IF(OR(W132="",W131=""),"",W132-W131)</f>
        <v/>
      </c>
      <c r="Y132" s="161">
        <f>'Datos_fuente'!W132</f>
        <v/>
      </c>
      <c r="Z132" s="161">
        <f>IF(OR(Y132="",Y131=""),"",Y132-Y131)</f>
        <v/>
      </c>
      <c r="AA132" s="160">
        <f>'Datos_fuente'!AB132</f>
        <v/>
      </c>
      <c r="AB132" s="160">
        <f>'Datos_fuente'!AC132</f>
        <v/>
      </c>
      <c r="AC132" s="160">
        <f>IF('Datos_fuente'!AD132="","",LN('Datos_fuente'!AD132))</f>
        <v/>
      </c>
      <c r="AD132" s="160">
        <f>IF(OR(AC132="",AC131=""),"",AC132-AC131)</f>
        <v/>
      </c>
      <c r="AE132" s="160">
        <f>IF('Datos_fuente'!AE132="","",LN('Datos_fuente'!AE132))</f>
        <v/>
      </c>
      <c r="AF132" s="160">
        <f>IF(OR(AE132="",AE131=""),"",AE132-AE131)</f>
        <v/>
      </c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'Datos_fuente'!A133</f>
        <v/>
      </c>
      <c r="B133" s="160">
        <f>IF('Datos_fuente'!B133="","",LN('Datos_fuente'!B133))</f>
        <v/>
      </c>
      <c r="C133" s="160">
        <f>IF(OR(B133="",B132=""),"",B133-B132)</f>
        <v/>
      </c>
      <c r="D133" s="160">
        <f>IF('Datos_fuente'!C133="","",LN('Datos_fuente'!C133))</f>
        <v/>
      </c>
      <c r="E133" s="160">
        <f>IF(OR(D133="",D132=""),"",D133-D132)</f>
        <v/>
      </c>
      <c r="F133" s="160">
        <f>IF('Datos_fuente'!E133="","",LN('Datos_fuente'!E133))</f>
        <v/>
      </c>
      <c r="G133" s="160">
        <f>IF(OR(F133="",F132=""),"",F133-F132)</f>
        <v/>
      </c>
      <c r="H133" s="161">
        <f>'Datos_fuente'!H133</f>
        <v/>
      </c>
      <c r="I133" s="161">
        <f>IF(OR(H133="",H132=""),"",H133-H132)</f>
        <v/>
      </c>
      <c r="J133" s="161">
        <f>'Datos_fuente'!J133</f>
        <v/>
      </c>
      <c r="K133" s="161">
        <f>IF(OR(J133="",J132=""),"",J133-J132)</f>
        <v/>
      </c>
      <c r="L133" s="160">
        <f>IF('Datos_fuente'!K133="","",LN('Datos_fuente'!K133))</f>
        <v/>
      </c>
      <c r="M133" s="160">
        <f>IF(OR(L133="",L132=""),"",L133-L132)</f>
        <v/>
      </c>
      <c r="N133" s="160">
        <f>IF('Datos_fuente'!L133="","",LN('Datos_fuente'!L133))</f>
        <v/>
      </c>
      <c r="O133" s="160">
        <f>IF(OR(N133="",N132=""),"",N133-N132)</f>
        <v/>
      </c>
      <c r="P133" s="162">
        <f>'Datos_fuente'!M133</f>
        <v/>
      </c>
      <c r="Q133" s="160">
        <f>IF('Datos_fuente'!N133="","",LN('Datos_fuente'!N133))</f>
        <v/>
      </c>
      <c r="R133" s="160">
        <f>IF(OR(Q133="",Q132=""),"",Q133-Q132)</f>
        <v/>
      </c>
      <c r="S133" s="161">
        <f>'Datos_fuente'!P133</f>
        <v/>
      </c>
      <c r="T133" s="161">
        <f>IF(OR(S133="",S132=""),"",S133-S132)</f>
        <v/>
      </c>
      <c r="U133" s="160">
        <f>IF('Datos_fuente'!Q133="","",ASINH('Datos_fuente'!Q133/1000))</f>
        <v/>
      </c>
      <c r="V133" s="160">
        <f>IF(OR(U133="",U132=""),"",U133-U132)</f>
        <v/>
      </c>
      <c r="W133" s="160">
        <f>IF('Datos_fuente'!R133="","",ASINH('Datos_fuente'!R133/1000))</f>
        <v/>
      </c>
      <c r="X133" s="160">
        <f>IF(OR(W133="",W132=""),"",W133-W132)</f>
        <v/>
      </c>
      <c r="Y133" s="161">
        <f>'Datos_fuente'!W133</f>
        <v/>
      </c>
      <c r="Z133" s="161">
        <f>IF(OR(Y133="",Y132=""),"",Y133-Y132)</f>
        <v/>
      </c>
      <c r="AA133" s="160">
        <f>'Datos_fuente'!AB133</f>
        <v/>
      </c>
      <c r="AB133" s="160">
        <f>'Datos_fuente'!AC133</f>
        <v/>
      </c>
      <c r="AC133" s="160">
        <f>IF('Datos_fuente'!AD133="","",LN('Datos_fuente'!AD133))</f>
        <v/>
      </c>
      <c r="AD133" s="160">
        <f>IF(OR(AC133="",AC132=""),"",AC133-AC132)</f>
        <v/>
      </c>
      <c r="AE133" s="160">
        <f>IF('Datos_fuente'!AE133="","",LN('Datos_fuente'!AE133))</f>
        <v/>
      </c>
      <c r="AF133" s="160">
        <f>IF(OR(AE133="",AE132=""),"",AE133-AE132)</f>
        <v/>
      </c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'Datos_fuente'!A134</f>
        <v/>
      </c>
      <c r="B134" s="160">
        <f>IF('Datos_fuente'!B134="","",LN('Datos_fuente'!B134))</f>
        <v/>
      </c>
      <c r="C134" s="160">
        <f>IF(OR(B134="",B133=""),"",B134-B133)</f>
        <v/>
      </c>
      <c r="D134" s="160">
        <f>IF('Datos_fuente'!C134="","",LN('Datos_fuente'!C134))</f>
        <v/>
      </c>
      <c r="E134" s="160">
        <f>IF(OR(D134="",D133=""),"",D134-D133)</f>
        <v/>
      </c>
      <c r="F134" s="160">
        <f>IF('Datos_fuente'!E134="","",LN('Datos_fuente'!E134))</f>
        <v/>
      </c>
      <c r="G134" s="160">
        <f>IF(OR(F134="",F133=""),"",F134-F133)</f>
        <v/>
      </c>
      <c r="H134" s="161">
        <f>'Datos_fuente'!H134</f>
        <v/>
      </c>
      <c r="I134" s="161">
        <f>IF(OR(H134="",H133=""),"",H134-H133)</f>
        <v/>
      </c>
      <c r="J134" s="161">
        <f>'Datos_fuente'!J134</f>
        <v/>
      </c>
      <c r="K134" s="161">
        <f>IF(OR(J134="",J133=""),"",J134-J133)</f>
        <v/>
      </c>
      <c r="L134" s="160">
        <f>IF('Datos_fuente'!K134="","",LN('Datos_fuente'!K134))</f>
        <v/>
      </c>
      <c r="M134" s="160">
        <f>IF(OR(L134="",L133=""),"",L134-L133)</f>
        <v/>
      </c>
      <c r="N134" s="160">
        <f>IF('Datos_fuente'!L134="","",LN('Datos_fuente'!L134))</f>
        <v/>
      </c>
      <c r="O134" s="160">
        <f>IF(OR(N134="",N133=""),"",N134-N133)</f>
        <v/>
      </c>
      <c r="P134" s="162">
        <f>'Datos_fuente'!M134</f>
        <v/>
      </c>
      <c r="Q134" s="160">
        <f>IF('Datos_fuente'!N134="","",LN('Datos_fuente'!N134))</f>
        <v/>
      </c>
      <c r="R134" s="160">
        <f>IF(OR(Q134="",Q133=""),"",Q134-Q133)</f>
        <v/>
      </c>
      <c r="S134" s="161">
        <f>'Datos_fuente'!P134</f>
        <v/>
      </c>
      <c r="T134" s="161">
        <f>IF(OR(S134="",S133=""),"",S134-S133)</f>
        <v/>
      </c>
      <c r="U134" s="160">
        <f>IF('Datos_fuente'!Q134="","",ASINH('Datos_fuente'!Q134/1000))</f>
        <v/>
      </c>
      <c r="V134" s="160">
        <f>IF(OR(U134="",U133=""),"",U134-U133)</f>
        <v/>
      </c>
      <c r="W134" s="160">
        <f>IF('Datos_fuente'!R134="","",ASINH('Datos_fuente'!R134/1000))</f>
        <v/>
      </c>
      <c r="X134" s="160">
        <f>IF(OR(W134="",W133=""),"",W134-W133)</f>
        <v/>
      </c>
      <c r="Y134" s="161">
        <f>'Datos_fuente'!W134</f>
        <v/>
      </c>
      <c r="Z134" s="161">
        <f>IF(OR(Y134="",Y133=""),"",Y134-Y133)</f>
        <v/>
      </c>
      <c r="AA134" s="160">
        <f>'Datos_fuente'!AB134</f>
        <v/>
      </c>
      <c r="AB134" s="160">
        <f>'Datos_fuente'!AC134</f>
        <v/>
      </c>
      <c r="AC134" s="160">
        <f>IF('Datos_fuente'!AD134="","",LN('Datos_fuente'!AD134))</f>
        <v/>
      </c>
      <c r="AD134" s="160">
        <f>IF(OR(AC134="",AC133=""),"",AC134-AC133)</f>
        <v/>
      </c>
      <c r="AE134" s="160">
        <f>IF('Datos_fuente'!AE134="","",LN('Datos_fuente'!AE134))</f>
        <v/>
      </c>
      <c r="AF134" s="160">
        <f>IF(OR(AE134="",AE133=""),"",AE134-AE133)</f>
        <v/>
      </c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'Datos_fuente'!A135</f>
        <v/>
      </c>
      <c r="B135" s="160">
        <f>IF('Datos_fuente'!B135="","",LN('Datos_fuente'!B135))</f>
        <v/>
      </c>
      <c r="C135" s="160">
        <f>IF(OR(B135="",B134=""),"",B135-B134)</f>
        <v/>
      </c>
      <c r="D135" s="160">
        <f>IF('Datos_fuente'!C135="","",LN('Datos_fuente'!C135))</f>
        <v/>
      </c>
      <c r="E135" s="160">
        <f>IF(OR(D135="",D134=""),"",D135-D134)</f>
        <v/>
      </c>
      <c r="F135" s="160">
        <f>IF('Datos_fuente'!E135="","",LN('Datos_fuente'!E135))</f>
        <v/>
      </c>
      <c r="G135" s="160">
        <f>IF(OR(F135="",F134=""),"",F135-F134)</f>
        <v/>
      </c>
      <c r="H135" s="161">
        <f>'Datos_fuente'!H135</f>
        <v/>
      </c>
      <c r="I135" s="161">
        <f>IF(OR(H135="",H134=""),"",H135-H134)</f>
        <v/>
      </c>
      <c r="J135" s="161">
        <f>'Datos_fuente'!J135</f>
        <v/>
      </c>
      <c r="K135" s="161">
        <f>IF(OR(J135="",J134=""),"",J135-J134)</f>
        <v/>
      </c>
      <c r="L135" s="160">
        <f>IF('Datos_fuente'!K135="","",LN('Datos_fuente'!K135))</f>
        <v/>
      </c>
      <c r="M135" s="160">
        <f>IF(OR(L135="",L134=""),"",L135-L134)</f>
        <v/>
      </c>
      <c r="N135" s="160">
        <f>IF('Datos_fuente'!L135="","",LN('Datos_fuente'!L135))</f>
        <v/>
      </c>
      <c r="O135" s="160">
        <f>IF(OR(N135="",N134=""),"",N135-N134)</f>
        <v/>
      </c>
      <c r="P135" s="162">
        <f>'Datos_fuente'!M135</f>
        <v/>
      </c>
      <c r="Q135" s="160">
        <f>IF('Datos_fuente'!N135="","",LN('Datos_fuente'!N135))</f>
        <v/>
      </c>
      <c r="R135" s="160">
        <f>IF(OR(Q135="",Q134=""),"",Q135-Q134)</f>
        <v/>
      </c>
      <c r="S135" s="161">
        <f>'Datos_fuente'!P135</f>
        <v/>
      </c>
      <c r="T135" s="161">
        <f>IF(OR(S135="",S134=""),"",S135-S134)</f>
        <v/>
      </c>
      <c r="U135" s="160">
        <f>IF('Datos_fuente'!Q135="","",ASINH('Datos_fuente'!Q135/1000))</f>
        <v/>
      </c>
      <c r="V135" s="160">
        <f>IF(OR(U135="",U134=""),"",U135-U134)</f>
        <v/>
      </c>
      <c r="W135" s="160">
        <f>IF('Datos_fuente'!R135="","",ASINH('Datos_fuente'!R135/1000))</f>
        <v/>
      </c>
      <c r="X135" s="160">
        <f>IF(OR(W135="",W134=""),"",W135-W134)</f>
        <v/>
      </c>
      <c r="Y135" s="161">
        <f>'Datos_fuente'!W135</f>
        <v/>
      </c>
      <c r="Z135" s="161">
        <f>IF(OR(Y135="",Y134=""),"",Y135-Y134)</f>
        <v/>
      </c>
      <c r="AA135" s="160">
        <f>'Datos_fuente'!AB135</f>
        <v/>
      </c>
      <c r="AB135" s="160">
        <f>'Datos_fuente'!AC135</f>
        <v/>
      </c>
      <c r="AC135" s="160">
        <f>IF('Datos_fuente'!AD135="","",LN('Datos_fuente'!AD135))</f>
        <v/>
      </c>
      <c r="AD135" s="160">
        <f>IF(OR(AC135="",AC134=""),"",AC135-AC134)</f>
        <v/>
      </c>
      <c r="AE135" s="160">
        <f>IF('Datos_fuente'!AE135="","",LN('Datos_fuente'!AE135))</f>
        <v/>
      </c>
      <c r="AF135" s="160">
        <f>IF(OR(AE135="",AE134=""),"",AE135-AE134)</f>
        <v/>
      </c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'Datos_fuente'!A136</f>
        <v/>
      </c>
      <c r="B136" s="160">
        <f>IF('Datos_fuente'!B136="","",LN('Datos_fuente'!B136))</f>
        <v/>
      </c>
      <c r="C136" s="160">
        <f>IF(OR(B136="",B135=""),"",B136-B135)</f>
        <v/>
      </c>
      <c r="D136" s="160">
        <f>IF('Datos_fuente'!C136="","",LN('Datos_fuente'!C136))</f>
        <v/>
      </c>
      <c r="E136" s="160">
        <f>IF(OR(D136="",D135=""),"",D136-D135)</f>
        <v/>
      </c>
      <c r="F136" s="160">
        <f>IF('Datos_fuente'!E136="","",LN('Datos_fuente'!E136))</f>
        <v/>
      </c>
      <c r="G136" s="160">
        <f>IF(OR(F136="",F135=""),"",F136-F135)</f>
        <v/>
      </c>
      <c r="H136" s="161">
        <f>'Datos_fuente'!H136</f>
        <v/>
      </c>
      <c r="I136" s="161">
        <f>IF(OR(H136="",H135=""),"",H136-H135)</f>
        <v/>
      </c>
      <c r="J136" s="161">
        <f>'Datos_fuente'!J136</f>
        <v/>
      </c>
      <c r="K136" s="161">
        <f>IF(OR(J136="",J135=""),"",J136-J135)</f>
        <v/>
      </c>
      <c r="L136" s="160">
        <f>IF('Datos_fuente'!K136="","",LN('Datos_fuente'!K136))</f>
        <v/>
      </c>
      <c r="M136" s="160">
        <f>IF(OR(L136="",L135=""),"",L136-L135)</f>
        <v/>
      </c>
      <c r="N136" s="160">
        <f>IF('Datos_fuente'!L136="","",LN('Datos_fuente'!L136))</f>
        <v/>
      </c>
      <c r="O136" s="160">
        <f>IF(OR(N136="",N135=""),"",N136-N135)</f>
        <v/>
      </c>
      <c r="P136" s="162">
        <f>'Datos_fuente'!M136</f>
        <v/>
      </c>
      <c r="Q136" s="160">
        <f>IF('Datos_fuente'!N136="","",LN('Datos_fuente'!N136))</f>
        <v/>
      </c>
      <c r="R136" s="160">
        <f>IF(OR(Q136="",Q135=""),"",Q136-Q135)</f>
        <v/>
      </c>
      <c r="S136" s="161">
        <f>'Datos_fuente'!P136</f>
        <v/>
      </c>
      <c r="T136" s="161">
        <f>IF(OR(S136="",S135=""),"",S136-S135)</f>
        <v/>
      </c>
      <c r="U136" s="160">
        <f>IF('Datos_fuente'!Q136="","",ASINH('Datos_fuente'!Q136/1000))</f>
        <v/>
      </c>
      <c r="V136" s="160">
        <f>IF(OR(U136="",U135=""),"",U136-U135)</f>
        <v/>
      </c>
      <c r="W136" s="160">
        <f>IF('Datos_fuente'!R136="","",ASINH('Datos_fuente'!R136/1000))</f>
        <v/>
      </c>
      <c r="X136" s="160">
        <f>IF(OR(W136="",W135=""),"",W136-W135)</f>
        <v/>
      </c>
      <c r="Y136" s="161">
        <f>'Datos_fuente'!W136</f>
        <v/>
      </c>
      <c r="Z136" s="161">
        <f>IF(OR(Y136="",Y135=""),"",Y136-Y135)</f>
        <v/>
      </c>
      <c r="AA136" s="160">
        <f>'Datos_fuente'!AB136</f>
        <v/>
      </c>
      <c r="AB136" s="160">
        <f>'Datos_fuente'!AC136</f>
        <v/>
      </c>
      <c r="AC136" s="160">
        <f>IF('Datos_fuente'!AD136="","",LN('Datos_fuente'!AD136))</f>
        <v/>
      </c>
      <c r="AD136" s="160">
        <f>IF(OR(AC136="",AC135=""),"",AC136-AC135)</f>
        <v/>
      </c>
      <c r="AE136" s="160">
        <f>IF('Datos_fuente'!AE136="","",LN('Datos_fuente'!AE136))</f>
        <v/>
      </c>
      <c r="AF136" s="160">
        <f>IF(OR(AE136="",AE135=""),"",AE136-AE135)</f>
        <v/>
      </c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'Datos_fuente'!A137</f>
        <v/>
      </c>
      <c r="B137" s="160">
        <f>IF('Datos_fuente'!B137="","",LN('Datos_fuente'!B137))</f>
        <v/>
      </c>
      <c r="C137" s="160">
        <f>IF(OR(B137="",B136=""),"",B137-B136)</f>
        <v/>
      </c>
      <c r="D137" s="160">
        <f>IF('Datos_fuente'!C137="","",LN('Datos_fuente'!C137))</f>
        <v/>
      </c>
      <c r="E137" s="160">
        <f>IF(OR(D137="",D136=""),"",D137-D136)</f>
        <v/>
      </c>
      <c r="F137" s="160">
        <f>IF('Datos_fuente'!E137="","",LN('Datos_fuente'!E137))</f>
        <v/>
      </c>
      <c r="G137" s="160">
        <f>IF(OR(F137="",F136=""),"",F137-F136)</f>
        <v/>
      </c>
      <c r="H137" s="161">
        <f>'Datos_fuente'!H137</f>
        <v/>
      </c>
      <c r="I137" s="161">
        <f>IF(OR(H137="",H136=""),"",H137-H136)</f>
        <v/>
      </c>
      <c r="J137" s="161">
        <f>'Datos_fuente'!J137</f>
        <v/>
      </c>
      <c r="K137" s="161">
        <f>IF(OR(J137="",J136=""),"",J137-J136)</f>
        <v/>
      </c>
      <c r="L137" s="160">
        <f>IF('Datos_fuente'!K137="","",LN('Datos_fuente'!K137))</f>
        <v/>
      </c>
      <c r="M137" s="160">
        <f>IF(OR(L137="",L136=""),"",L137-L136)</f>
        <v/>
      </c>
      <c r="N137" s="160">
        <f>IF('Datos_fuente'!L137="","",LN('Datos_fuente'!L137))</f>
        <v/>
      </c>
      <c r="O137" s="160">
        <f>IF(OR(N137="",N136=""),"",N137-N136)</f>
        <v/>
      </c>
      <c r="P137" s="162">
        <f>'Datos_fuente'!M137</f>
        <v/>
      </c>
      <c r="Q137" s="160">
        <f>IF('Datos_fuente'!N137="","",LN('Datos_fuente'!N137))</f>
        <v/>
      </c>
      <c r="R137" s="160">
        <f>IF(OR(Q137="",Q136=""),"",Q137-Q136)</f>
        <v/>
      </c>
      <c r="S137" s="161">
        <f>'Datos_fuente'!P137</f>
        <v/>
      </c>
      <c r="T137" s="161">
        <f>IF(OR(S137="",S136=""),"",S137-S136)</f>
        <v/>
      </c>
      <c r="U137" s="160">
        <f>IF('Datos_fuente'!Q137="","",ASINH('Datos_fuente'!Q137/1000))</f>
        <v/>
      </c>
      <c r="V137" s="160">
        <f>IF(OR(U137="",U136=""),"",U137-U136)</f>
        <v/>
      </c>
      <c r="W137" s="160">
        <f>IF('Datos_fuente'!R137="","",ASINH('Datos_fuente'!R137/1000))</f>
        <v/>
      </c>
      <c r="X137" s="160">
        <f>IF(OR(W137="",W136=""),"",W137-W136)</f>
        <v/>
      </c>
      <c r="Y137" s="161">
        <f>'Datos_fuente'!W137</f>
        <v/>
      </c>
      <c r="Z137" s="161">
        <f>IF(OR(Y137="",Y136=""),"",Y137-Y136)</f>
        <v/>
      </c>
      <c r="AA137" s="160">
        <f>'Datos_fuente'!AB137</f>
        <v/>
      </c>
      <c r="AB137" s="160">
        <f>'Datos_fuente'!AC137</f>
        <v/>
      </c>
      <c r="AC137" s="160">
        <f>IF('Datos_fuente'!AD137="","",LN('Datos_fuente'!AD137))</f>
        <v/>
      </c>
      <c r="AD137" s="160">
        <f>IF(OR(AC137="",AC136=""),"",AC137-AC136)</f>
        <v/>
      </c>
      <c r="AE137" s="160">
        <f>IF('Datos_fuente'!AE137="","",LN('Datos_fuente'!AE137))</f>
        <v/>
      </c>
      <c r="AF137" s="160">
        <f>IF(OR(AE137="",AE136=""),"",AE137-AE136)</f>
        <v/>
      </c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'Datos_fuente'!A138</f>
        <v/>
      </c>
      <c r="B138" s="160">
        <f>IF('Datos_fuente'!B138="","",LN('Datos_fuente'!B138))</f>
        <v/>
      </c>
      <c r="C138" s="160">
        <f>IF(OR(B138="",B137=""),"",B138-B137)</f>
        <v/>
      </c>
      <c r="D138" s="160">
        <f>IF('Datos_fuente'!C138="","",LN('Datos_fuente'!C138))</f>
        <v/>
      </c>
      <c r="E138" s="160">
        <f>IF(OR(D138="",D137=""),"",D138-D137)</f>
        <v/>
      </c>
      <c r="F138" s="160">
        <f>IF('Datos_fuente'!E138="","",LN('Datos_fuente'!E138))</f>
        <v/>
      </c>
      <c r="G138" s="160">
        <f>IF(OR(F138="",F137=""),"",F138-F137)</f>
        <v/>
      </c>
      <c r="H138" s="161">
        <f>'Datos_fuente'!H138</f>
        <v/>
      </c>
      <c r="I138" s="161">
        <f>IF(OR(H138="",H137=""),"",H138-H137)</f>
        <v/>
      </c>
      <c r="J138" s="161">
        <f>'Datos_fuente'!J138</f>
        <v/>
      </c>
      <c r="K138" s="161">
        <f>IF(OR(J138="",J137=""),"",J138-J137)</f>
        <v/>
      </c>
      <c r="L138" s="160">
        <f>IF('Datos_fuente'!K138="","",LN('Datos_fuente'!K138))</f>
        <v/>
      </c>
      <c r="M138" s="160">
        <f>IF(OR(L138="",L137=""),"",L138-L137)</f>
        <v/>
      </c>
      <c r="N138" s="160">
        <f>IF('Datos_fuente'!L138="","",LN('Datos_fuente'!L138))</f>
        <v/>
      </c>
      <c r="O138" s="160">
        <f>IF(OR(N138="",N137=""),"",N138-N137)</f>
        <v/>
      </c>
      <c r="P138" s="162">
        <f>'Datos_fuente'!M138</f>
        <v/>
      </c>
      <c r="Q138" s="160">
        <f>IF('Datos_fuente'!N138="","",LN('Datos_fuente'!N138))</f>
        <v/>
      </c>
      <c r="R138" s="160">
        <f>IF(OR(Q138="",Q137=""),"",Q138-Q137)</f>
        <v/>
      </c>
      <c r="S138" s="161">
        <f>'Datos_fuente'!P138</f>
        <v/>
      </c>
      <c r="T138" s="161">
        <f>IF(OR(S138="",S137=""),"",S138-S137)</f>
        <v/>
      </c>
      <c r="U138" s="160">
        <f>IF('Datos_fuente'!Q138="","",ASINH('Datos_fuente'!Q138/1000))</f>
        <v/>
      </c>
      <c r="V138" s="160">
        <f>IF(OR(U138="",U137=""),"",U138-U137)</f>
        <v/>
      </c>
      <c r="W138" s="160">
        <f>IF('Datos_fuente'!R138="","",ASINH('Datos_fuente'!R138/1000))</f>
        <v/>
      </c>
      <c r="X138" s="160">
        <f>IF(OR(W138="",W137=""),"",W138-W137)</f>
        <v/>
      </c>
      <c r="Y138" s="161">
        <f>'Datos_fuente'!W138</f>
        <v/>
      </c>
      <c r="Z138" s="161">
        <f>IF(OR(Y138="",Y137=""),"",Y138-Y137)</f>
        <v/>
      </c>
      <c r="AA138" s="160">
        <f>'Datos_fuente'!AB138</f>
        <v/>
      </c>
      <c r="AB138" s="160">
        <f>'Datos_fuente'!AC138</f>
        <v/>
      </c>
      <c r="AC138" s="160">
        <f>IF('Datos_fuente'!AD138="","",LN('Datos_fuente'!AD138))</f>
        <v/>
      </c>
      <c r="AD138" s="160">
        <f>IF(OR(AC138="",AC137=""),"",AC138-AC137)</f>
        <v/>
      </c>
      <c r="AE138" s="160">
        <f>IF('Datos_fuente'!AE138="","",LN('Datos_fuente'!AE138))</f>
        <v/>
      </c>
      <c r="AF138" s="160">
        <f>IF(OR(AE138="",AE137=""),"",AE138-AE137)</f>
        <v/>
      </c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'Datos_fuente'!A139</f>
        <v/>
      </c>
      <c r="B139" s="160">
        <f>IF('Datos_fuente'!B139="","",LN('Datos_fuente'!B139))</f>
        <v/>
      </c>
      <c r="C139" s="160">
        <f>IF(OR(B139="",B138=""),"",B139-B138)</f>
        <v/>
      </c>
      <c r="D139" s="160">
        <f>IF('Datos_fuente'!C139="","",LN('Datos_fuente'!C139))</f>
        <v/>
      </c>
      <c r="E139" s="160">
        <f>IF(OR(D139="",D138=""),"",D139-D138)</f>
        <v/>
      </c>
      <c r="F139" s="160">
        <f>IF('Datos_fuente'!E139="","",LN('Datos_fuente'!E139))</f>
        <v/>
      </c>
      <c r="G139" s="160">
        <f>IF(OR(F139="",F138=""),"",F139-F138)</f>
        <v/>
      </c>
      <c r="H139" s="161">
        <f>'Datos_fuente'!H139</f>
        <v/>
      </c>
      <c r="I139" s="161">
        <f>IF(OR(H139="",H138=""),"",H139-H138)</f>
        <v/>
      </c>
      <c r="J139" s="161">
        <f>'Datos_fuente'!J139</f>
        <v/>
      </c>
      <c r="K139" s="161">
        <f>IF(OR(J139="",J138=""),"",J139-J138)</f>
        <v/>
      </c>
      <c r="L139" s="160">
        <f>IF('Datos_fuente'!K139="","",LN('Datos_fuente'!K139))</f>
        <v/>
      </c>
      <c r="M139" s="160">
        <f>IF(OR(L139="",L138=""),"",L139-L138)</f>
        <v/>
      </c>
      <c r="N139" s="160">
        <f>IF('Datos_fuente'!L139="","",LN('Datos_fuente'!L139))</f>
        <v/>
      </c>
      <c r="O139" s="160">
        <f>IF(OR(N139="",N138=""),"",N139-N138)</f>
        <v/>
      </c>
      <c r="P139" s="162">
        <f>'Datos_fuente'!M139</f>
        <v/>
      </c>
      <c r="Q139" s="160">
        <f>IF('Datos_fuente'!N139="","",LN('Datos_fuente'!N139))</f>
        <v/>
      </c>
      <c r="R139" s="160">
        <f>IF(OR(Q139="",Q138=""),"",Q139-Q138)</f>
        <v/>
      </c>
      <c r="S139" s="161">
        <f>'Datos_fuente'!P139</f>
        <v/>
      </c>
      <c r="T139" s="161">
        <f>IF(OR(S139="",S138=""),"",S139-S138)</f>
        <v/>
      </c>
      <c r="U139" s="160">
        <f>IF('Datos_fuente'!Q139="","",ASINH('Datos_fuente'!Q139/1000))</f>
        <v/>
      </c>
      <c r="V139" s="160">
        <f>IF(OR(U139="",U138=""),"",U139-U138)</f>
        <v/>
      </c>
      <c r="W139" s="160">
        <f>IF('Datos_fuente'!R139="","",ASINH('Datos_fuente'!R139/1000))</f>
        <v/>
      </c>
      <c r="X139" s="160">
        <f>IF(OR(W139="",W138=""),"",W139-W138)</f>
        <v/>
      </c>
      <c r="Y139" s="161">
        <f>'Datos_fuente'!W139</f>
        <v/>
      </c>
      <c r="Z139" s="161">
        <f>IF(OR(Y139="",Y138=""),"",Y139-Y138)</f>
        <v/>
      </c>
      <c r="AA139" s="160">
        <f>'Datos_fuente'!AB139</f>
        <v/>
      </c>
      <c r="AB139" s="160">
        <f>'Datos_fuente'!AC139</f>
        <v/>
      </c>
      <c r="AC139" s="160">
        <f>IF('Datos_fuente'!AD139="","",LN('Datos_fuente'!AD139))</f>
        <v/>
      </c>
      <c r="AD139" s="160">
        <f>IF(OR(AC139="",AC138=""),"",AC139-AC138)</f>
        <v/>
      </c>
      <c r="AE139" s="160">
        <f>IF('Datos_fuente'!AE139="","",LN('Datos_fuente'!AE139))</f>
        <v/>
      </c>
      <c r="AF139" s="160">
        <f>IF(OR(AE139="",AE138=""),"",AE139-AE138)</f>
        <v/>
      </c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'Datos_fuente'!A140</f>
        <v/>
      </c>
      <c r="B140" s="160">
        <f>IF('Datos_fuente'!B140="","",LN('Datos_fuente'!B140))</f>
        <v/>
      </c>
      <c r="C140" s="160">
        <f>IF(OR(B140="",B139=""),"",B140-B139)</f>
        <v/>
      </c>
      <c r="D140" s="160">
        <f>IF('Datos_fuente'!C140="","",LN('Datos_fuente'!C140))</f>
        <v/>
      </c>
      <c r="E140" s="160">
        <f>IF(OR(D140="",D139=""),"",D140-D139)</f>
        <v/>
      </c>
      <c r="F140" s="160">
        <f>IF('Datos_fuente'!E140="","",LN('Datos_fuente'!E140))</f>
        <v/>
      </c>
      <c r="G140" s="160">
        <f>IF(OR(F140="",F139=""),"",F140-F139)</f>
        <v/>
      </c>
      <c r="H140" s="161">
        <f>'Datos_fuente'!H140</f>
        <v/>
      </c>
      <c r="I140" s="161">
        <f>IF(OR(H140="",H139=""),"",H140-H139)</f>
        <v/>
      </c>
      <c r="J140" s="161">
        <f>'Datos_fuente'!J140</f>
        <v/>
      </c>
      <c r="K140" s="161">
        <f>IF(OR(J140="",J139=""),"",J140-J139)</f>
        <v/>
      </c>
      <c r="L140" s="160">
        <f>IF('Datos_fuente'!K140="","",LN('Datos_fuente'!K140))</f>
        <v/>
      </c>
      <c r="M140" s="160">
        <f>IF(OR(L140="",L139=""),"",L140-L139)</f>
        <v/>
      </c>
      <c r="N140" s="160">
        <f>IF('Datos_fuente'!L140="","",LN('Datos_fuente'!L140))</f>
        <v/>
      </c>
      <c r="O140" s="160">
        <f>IF(OR(N140="",N139=""),"",N140-N139)</f>
        <v/>
      </c>
      <c r="P140" s="162">
        <f>'Datos_fuente'!M140</f>
        <v/>
      </c>
      <c r="Q140" s="160">
        <f>IF('Datos_fuente'!N140="","",LN('Datos_fuente'!N140))</f>
        <v/>
      </c>
      <c r="R140" s="160">
        <f>IF(OR(Q140="",Q139=""),"",Q140-Q139)</f>
        <v/>
      </c>
      <c r="S140" s="161">
        <f>'Datos_fuente'!P140</f>
        <v/>
      </c>
      <c r="T140" s="161">
        <f>IF(OR(S140="",S139=""),"",S140-S139)</f>
        <v/>
      </c>
      <c r="U140" s="160">
        <f>IF('Datos_fuente'!Q140="","",ASINH('Datos_fuente'!Q140/1000))</f>
        <v/>
      </c>
      <c r="V140" s="160">
        <f>IF(OR(U140="",U139=""),"",U140-U139)</f>
        <v/>
      </c>
      <c r="W140" s="160">
        <f>IF('Datos_fuente'!R140="","",ASINH('Datos_fuente'!R140/1000))</f>
        <v/>
      </c>
      <c r="X140" s="160">
        <f>IF(OR(W140="",W139=""),"",W140-W139)</f>
        <v/>
      </c>
      <c r="Y140" s="161">
        <f>'Datos_fuente'!W140</f>
        <v/>
      </c>
      <c r="Z140" s="161">
        <f>IF(OR(Y140="",Y139=""),"",Y140-Y139)</f>
        <v/>
      </c>
      <c r="AA140" s="160">
        <f>'Datos_fuente'!AB140</f>
        <v/>
      </c>
      <c r="AB140" s="160">
        <f>'Datos_fuente'!AC140</f>
        <v/>
      </c>
      <c r="AC140" s="160">
        <f>IF('Datos_fuente'!AD140="","",LN('Datos_fuente'!AD140))</f>
        <v/>
      </c>
      <c r="AD140" s="160">
        <f>IF(OR(AC140="",AC139=""),"",AC140-AC139)</f>
        <v/>
      </c>
      <c r="AE140" s="160">
        <f>IF('Datos_fuente'!AE140="","",LN('Datos_fuente'!AE140))</f>
        <v/>
      </c>
      <c r="AF140" s="160">
        <f>IF(OR(AE140="",AE139=""),"",AE140-AE139)</f>
        <v/>
      </c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'Datos_fuente'!A141</f>
        <v/>
      </c>
      <c r="B141" s="160">
        <f>IF('Datos_fuente'!B141="","",LN('Datos_fuente'!B141))</f>
        <v/>
      </c>
      <c r="C141" s="160">
        <f>IF(OR(B141="",B140=""),"",B141-B140)</f>
        <v/>
      </c>
      <c r="D141" s="160">
        <f>IF('Datos_fuente'!C141="","",LN('Datos_fuente'!C141))</f>
        <v/>
      </c>
      <c r="E141" s="160">
        <f>IF(OR(D141="",D140=""),"",D141-D140)</f>
        <v/>
      </c>
      <c r="F141" s="160">
        <f>IF('Datos_fuente'!E141="","",LN('Datos_fuente'!E141))</f>
        <v/>
      </c>
      <c r="G141" s="160">
        <f>IF(OR(F141="",F140=""),"",F141-F140)</f>
        <v/>
      </c>
      <c r="H141" s="161">
        <f>'Datos_fuente'!H141</f>
        <v/>
      </c>
      <c r="I141" s="161">
        <f>IF(OR(H141="",H140=""),"",H141-H140)</f>
        <v/>
      </c>
      <c r="J141" s="161">
        <f>'Datos_fuente'!J141</f>
        <v/>
      </c>
      <c r="K141" s="161">
        <f>IF(OR(J141="",J140=""),"",J141-J140)</f>
        <v/>
      </c>
      <c r="L141" s="160">
        <f>IF('Datos_fuente'!K141="","",LN('Datos_fuente'!K141))</f>
        <v/>
      </c>
      <c r="M141" s="160">
        <f>IF(OR(L141="",L140=""),"",L141-L140)</f>
        <v/>
      </c>
      <c r="N141" s="160">
        <f>IF('Datos_fuente'!L141="","",LN('Datos_fuente'!L141))</f>
        <v/>
      </c>
      <c r="O141" s="160">
        <f>IF(OR(N141="",N140=""),"",N141-N140)</f>
        <v/>
      </c>
      <c r="P141" s="162">
        <f>'Datos_fuente'!M141</f>
        <v/>
      </c>
      <c r="Q141" s="160">
        <f>IF('Datos_fuente'!N141="","",LN('Datos_fuente'!N141))</f>
        <v/>
      </c>
      <c r="R141" s="160">
        <f>IF(OR(Q141="",Q140=""),"",Q141-Q140)</f>
        <v/>
      </c>
      <c r="S141" s="161">
        <f>'Datos_fuente'!P141</f>
        <v/>
      </c>
      <c r="T141" s="161">
        <f>IF(OR(S141="",S140=""),"",S141-S140)</f>
        <v/>
      </c>
      <c r="U141" s="160">
        <f>IF('Datos_fuente'!Q141="","",ASINH('Datos_fuente'!Q141/1000))</f>
        <v/>
      </c>
      <c r="V141" s="160">
        <f>IF(OR(U141="",U140=""),"",U141-U140)</f>
        <v/>
      </c>
      <c r="W141" s="160">
        <f>IF('Datos_fuente'!R141="","",ASINH('Datos_fuente'!R141/1000))</f>
        <v/>
      </c>
      <c r="X141" s="160">
        <f>IF(OR(W141="",W140=""),"",W141-W140)</f>
        <v/>
      </c>
      <c r="Y141" s="161">
        <f>'Datos_fuente'!W141</f>
        <v/>
      </c>
      <c r="Z141" s="161">
        <f>IF(OR(Y141="",Y140=""),"",Y141-Y140)</f>
        <v/>
      </c>
      <c r="AA141" s="160">
        <f>'Datos_fuente'!AB141</f>
        <v/>
      </c>
      <c r="AB141" s="160">
        <f>'Datos_fuente'!AC141</f>
        <v/>
      </c>
      <c r="AC141" s="160">
        <f>IF('Datos_fuente'!AD141="","",LN('Datos_fuente'!AD141))</f>
        <v/>
      </c>
      <c r="AD141" s="160">
        <f>IF(OR(AC141="",AC140=""),"",AC141-AC140)</f>
        <v/>
      </c>
      <c r="AE141" s="160">
        <f>IF('Datos_fuente'!AE141="","",LN('Datos_fuente'!AE141))</f>
        <v/>
      </c>
      <c r="AF141" s="160">
        <f>IF(OR(AE141="",AE140=""),"",AE141-AE140)</f>
        <v/>
      </c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'Datos_fuente'!A142</f>
        <v/>
      </c>
      <c r="B142" s="160">
        <f>IF('Datos_fuente'!B142="","",LN('Datos_fuente'!B142))</f>
        <v/>
      </c>
      <c r="C142" s="160">
        <f>IF(OR(B142="",B141=""),"",B142-B141)</f>
        <v/>
      </c>
      <c r="D142" s="160">
        <f>IF('Datos_fuente'!C142="","",LN('Datos_fuente'!C142))</f>
        <v/>
      </c>
      <c r="E142" s="160">
        <f>IF(OR(D142="",D141=""),"",D142-D141)</f>
        <v/>
      </c>
      <c r="F142" s="160">
        <f>IF('Datos_fuente'!E142="","",LN('Datos_fuente'!E142))</f>
        <v/>
      </c>
      <c r="G142" s="160">
        <f>IF(OR(F142="",F141=""),"",F142-F141)</f>
        <v/>
      </c>
      <c r="H142" s="161">
        <f>'Datos_fuente'!H142</f>
        <v/>
      </c>
      <c r="I142" s="161">
        <f>IF(OR(H142="",H141=""),"",H142-H141)</f>
        <v/>
      </c>
      <c r="J142" s="161">
        <f>'Datos_fuente'!J142</f>
        <v/>
      </c>
      <c r="K142" s="161">
        <f>IF(OR(J142="",J141=""),"",J142-J141)</f>
        <v/>
      </c>
      <c r="L142" s="160">
        <f>IF('Datos_fuente'!K142="","",LN('Datos_fuente'!K142))</f>
        <v/>
      </c>
      <c r="M142" s="160">
        <f>IF(OR(L142="",L141=""),"",L142-L141)</f>
        <v/>
      </c>
      <c r="N142" s="160">
        <f>IF('Datos_fuente'!L142="","",LN('Datos_fuente'!L142))</f>
        <v/>
      </c>
      <c r="O142" s="160">
        <f>IF(OR(N142="",N141=""),"",N142-N141)</f>
        <v/>
      </c>
      <c r="P142" s="162">
        <f>'Datos_fuente'!M142</f>
        <v/>
      </c>
      <c r="Q142" s="160">
        <f>IF('Datos_fuente'!N142="","",LN('Datos_fuente'!N142))</f>
        <v/>
      </c>
      <c r="R142" s="160">
        <f>IF(OR(Q142="",Q141=""),"",Q142-Q141)</f>
        <v/>
      </c>
      <c r="S142" s="161">
        <f>'Datos_fuente'!P142</f>
        <v/>
      </c>
      <c r="T142" s="161">
        <f>IF(OR(S142="",S141=""),"",S142-S141)</f>
        <v/>
      </c>
      <c r="U142" s="160">
        <f>IF('Datos_fuente'!Q142="","",ASINH('Datos_fuente'!Q142/1000))</f>
        <v/>
      </c>
      <c r="V142" s="160">
        <f>IF(OR(U142="",U141=""),"",U142-U141)</f>
        <v/>
      </c>
      <c r="W142" s="160">
        <f>IF('Datos_fuente'!R142="","",ASINH('Datos_fuente'!R142/1000))</f>
        <v/>
      </c>
      <c r="X142" s="160">
        <f>IF(OR(W142="",W141=""),"",W142-W141)</f>
        <v/>
      </c>
      <c r="Y142" s="161">
        <f>'Datos_fuente'!W142</f>
        <v/>
      </c>
      <c r="Z142" s="161">
        <f>IF(OR(Y142="",Y141=""),"",Y142-Y141)</f>
        <v/>
      </c>
      <c r="AA142" s="160">
        <f>'Datos_fuente'!AB142</f>
        <v/>
      </c>
      <c r="AB142" s="160">
        <f>'Datos_fuente'!AC142</f>
        <v/>
      </c>
      <c r="AC142" s="160">
        <f>IF('Datos_fuente'!AD142="","",LN('Datos_fuente'!AD142))</f>
        <v/>
      </c>
      <c r="AD142" s="160">
        <f>IF(OR(AC142="",AC141=""),"",AC142-AC141)</f>
        <v/>
      </c>
      <c r="AE142" s="160">
        <f>IF('Datos_fuente'!AE142="","",LN('Datos_fuente'!AE142))</f>
        <v/>
      </c>
      <c r="AF142" s="160">
        <f>IF(OR(AE142="",AE141=""),"",AE142-AE141)</f>
        <v/>
      </c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'Datos_fuente'!A143</f>
        <v/>
      </c>
      <c r="B143" s="160">
        <f>IF('Datos_fuente'!B143="","",LN('Datos_fuente'!B143))</f>
        <v/>
      </c>
      <c r="C143" s="160">
        <f>IF(OR(B143="",B142=""),"",B143-B142)</f>
        <v/>
      </c>
      <c r="D143" s="160">
        <f>IF('Datos_fuente'!C143="","",LN('Datos_fuente'!C143))</f>
        <v/>
      </c>
      <c r="E143" s="160">
        <f>IF(OR(D143="",D142=""),"",D143-D142)</f>
        <v/>
      </c>
      <c r="F143" s="160">
        <f>IF('Datos_fuente'!E143="","",LN('Datos_fuente'!E143))</f>
        <v/>
      </c>
      <c r="G143" s="160">
        <f>IF(OR(F143="",F142=""),"",F143-F142)</f>
        <v/>
      </c>
      <c r="H143" s="161">
        <f>'Datos_fuente'!H143</f>
        <v/>
      </c>
      <c r="I143" s="161">
        <f>IF(OR(H143="",H142=""),"",H143-H142)</f>
        <v/>
      </c>
      <c r="J143" s="161">
        <f>'Datos_fuente'!J143</f>
        <v/>
      </c>
      <c r="K143" s="161">
        <f>IF(OR(J143="",J142=""),"",J143-J142)</f>
        <v/>
      </c>
      <c r="L143" s="160">
        <f>IF('Datos_fuente'!K143="","",LN('Datos_fuente'!K143))</f>
        <v/>
      </c>
      <c r="M143" s="160">
        <f>IF(OR(L143="",L142=""),"",L143-L142)</f>
        <v/>
      </c>
      <c r="N143" s="160">
        <f>IF('Datos_fuente'!L143="","",LN('Datos_fuente'!L143))</f>
        <v/>
      </c>
      <c r="O143" s="160">
        <f>IF(OR(N143="",N142=""),"",N143-N142)</f>
        <v/>
      </c>
      <c r="P143" s="162">
        <f>'Datos_fuente'!M143</f>
        <v/>
      </c>
      <c r="Q143" s="160">
        <f>IF('Datos_fuente'!N143="","",LN('Datos_fuente'!N143))</f>
        <v/>
      </c>
      <c r="R143" s="160">
        <f>IF(OR(Q143="",Q142=""),"",Q143-Q142)</f>
        <v/>
      </c>
      <c r="S143" s="161">
        <f>'Datos_fuente'!P143</f>
        <v/>
      </c>
      <c r="T143" s="161">
        <f>IF(OR(S143="",S142=""),"",S143-S142)</f>
        <v/>
      </c>
      <c r="U143" s="160">
        <f>IF('Datos_fuente'!Q143="","",ASINH('Datos_fuente'!Q143/1000))</f>
        <v/>
      </c>
      <c r="V143" s="160">
        <f>IF(OR(U143="",U142=""),"",U143-U142)</f>
        <v/>
      </c>
      <c r="W143" s="160">
        <f>IF('Datos_fuente'!R143="","",ASINH('Datos_fuente'!R143/1000))</f>
        <v/>
      </c>
      <c r="X143" s="160">
        <f>IF(OR(W143="",W142=""),"",W143-W142)</f>
        <v/>
      </c>
      <c r="Y143" s="161">
        <f>'Datos_fuente'!W143</f>
        <v/>
      </c>
      <c r="Z143" s="161">
        <f>IF(OR(Y143="",Y142=""),"",Y143-Y142)</f>
        <v/>
      </c>
      <c r="AA143" s="160">
        <f>'Datos_fuente'!AB143</f>
        <v/>
      </c>
      <c r="AB143" s="160">
        <f>'Datos_fuente'!AC143</f>
        <v/>
      </c>
      <c r="AC143" s="160">
        <f>IF('Datos_fuente'!AD143="","",LN('Datos_fuente'!AD143))</f>
        <v/>
      </c>
      <c r="AD143" s="160">
        <f>IF(OR(AC143="",AC142=""),"",AC143-AC142)</f>
        <v/>
      </c>
      <c r="AE143" s="160">
        <f>IF('Datos_fuente'!AE143="","",LN('Datos_fuente'!AE143))</f>
        <v/>
      </c>
      <c r="AF143" s="160">
        <f>IF(OR(AE143="",AE142=""),"",AE143-AE142)</f>
        <v/>
      </c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'Datos_fuente'!A144</f>
        <v/>
      </c>
      <c r="B144" s="160">
        <f>IF('Datos_fuente'!B144="","",LN('Datos_fuente'!B144))</f>
        <v/>
      </c>
      <c r="C144" s="160">
        <f>IF(OR(B144="",B143=""),"",B144-B143)</f>
        <v/>
      </c>
      <c r="D144" s="160">
        <f>IF('Datos_fuente'!C144="","",LN('Datos_fuente'!C144))</f>
        <v/>
      </c>
      <c r="E144" s="160">
        <f>IF(OR(D144="",D143=""),"",D144-D143)</f>
        <v/>
      </c>
      <c r="F144" s="160">
        <f>IF('Datos_fuente'!E144="","",LN('Datos_fuente'!E144))</f>
        <v/>
      </c>
      <c r="G144" s="160">
        <f>IF(OR(F144="",F143=""),"",F144-F143)</f>
        <v/>
      </c>
      <c r="H144" s="161">
        <f>'Datos_fuente'!H144</f>
        <v/>
      </c>
      <c r="I144" s="161">
        <f>IF(OR(H144="",H143=""),"",H144-H143)</f>
        <v/>
      </c>
      <c r="J144" s="161">
        <f>'Datos_fuente'!J144</f>
        <v/>
      </c>
      <c r="K144" s="161">
        <f>IF(OR(J144="",J143=""),"",J144-J143)</f>
        <v/>
      </c>
      <c r="L144" s="160">
        <f>IF('Datos_fuente'!K144="","",LN('Datos_fuente'!K144))</f>
        <v/>
      </c>
      <c r="M144" s="160">
        <f>IF(OR(L144="",L143=""),"",L144-L143)</f>
        <v/>
      </c>
      <c r="N144" s="160">
        <f>IF('Datos_fuente'!L144="","",LN('Datos_fuente'!L144))</f>
        <v/>
      </c>
      <c r="O144" s="160">
        <f>IF(OR(N144="",N143=""),"",N144-N143)</f>
        <v/>
      </c>
      <c r="P144" s="162">
        <f>'Datos_fuente'!M144</f>
        <v/>
      </c>
      <c r="Q144" s="160">
        <f>IF('Datos_fuente'!N144="","",LN('Datos_fuente'!N144))</f>
        <v/>
      </c>
      <c r="R144" s="160">
        <f>IF(OR(Q144="",Q143=""),"",Q144-Q143)</f>
        <v/>
      </c>
      <c r="S144" s="161">
        <f>'Datos_fuente'!P144</f>
        <v/>
      </c>
      <c r="T144" s="161">
        <f>IF(OR(S144="",S143=""),"",S144-S143)</f>
        <v/>
      </c>
      <c r="U144" s="160">
        <f>IF('Datos_fuente'!Q144="","",ASINH('Datos_fuente'!Q144/1000))</f>
        <v/>
      </c>
      <c r="V144" s="160">
        <f>IF(OR(U144="",U143=""),"",U144-U143)</f>
        <v/>
      </c>
      <c r="W144" s="160">
        <f>IF('Datos_fuente'!R144="","",ASINH('Datos_fuente'!R144/1000))</f>
        <v/>
      </c>
      <c r="X144" s="160">
        <f>IF(OR(W144="",W143=""),"",W144-W143)</f>
        <v/>
      </c>
      <c r="Y144" s="161">
        <f>'Datos_fuente'!W144</f>
        <v/>
      </c>
      <c r="Z144" s="161">
        <f>IF(OR(Y144="",Y143=""),"",Y144-Y143)</f>
        <v/>
      </c>
      <c r="AA144" s="160">
        <f>'Datos_fuente'!AB144</f>
        <v/>
      </c>
      <c r="AB144" s="160">
        <f>'Datos_fuente'!AC144</f>
        <v/>
      </c>
      <c r="AC144" s="160">
        <f>IF('Datos_fuente'!AD144="","",LN('Datos_fuente'!AD144))</f>
        <v/>
      </c>
      <c r="AD144" s="160">
        <f>IF(OR(AC144="",AC143=""),"",AC144-AC143)</f>
        <v/>
      </c>
      <c r="AE144" s="160">
        <f>IF('Datos_fuente'!AE144="","",LN('Datos_fuente'!AE144))</f>
        <v/>
      </c>
      <c r="AF144" s="160">
        <f>IF(OR(AE144="",AE143=""),"",AE144-AE143)</f>
        <v/>
      </c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'Datos_fuente'!A145</f>
        <v/>
      </c>
      <c r="B145" s="160">
        <f>IF('Datos_fuente'!B145="","",LN('Datos_fuente'!B145))</f>
        <v/>
      </c>
      <c r="C145" s="160">
        <f>IF(OR(B145="",B144=""),"",B145-B144)</f>
        <v/>
      </c>
      <c r="D145" s="160">
        <f>IF('Datos_fuente'!C145="","",LN('Datos_fuente'!C145))</f>
        <v/>
      </c>
      <c r="E145" s="160">
        <f>IF(OR(D145="",D144=""),"",D145-D144)</f>
        <v/>
      </c>
      <c r="F145" s="160">
        <f>IF('Datos_fuente'!E145="","",LN('Datos_fuente'!E145))</f>
        <v/>
      </c>
      <c r="G145" s="160">
        <f>IF(OR(F145="",F144=""),"",F145-F144)</f>
        <v/>
      </c>
      <c r="H145" s="161">
        <f>'Datos_fuente'!H145</f>
        <v/>
      </c>
      <c r="I145" s="161">
        <f>IF(OR(H145="",H144=""),"",H145-H144)</f>
        <v/>
      </c>
      <c r="J145" s="161">
        <f>'Datos_fuente'!J145</f>
        <v/>
      </c>
      <c r="K145" s="161">
        <f>IF(OR(J145="",J144=""),"",J145-J144)</f>
        <v/>
      </c>
      <c r="L145" s="160">
        <f>IF('Datos_fuente'!K145="","",LN('Datos_fuente'!K145))</f>
        <v/>
      </c>
      <c r="M145" s="160">
        <f>IF(OR(L145="",L144=""),"",L145-L144)</f>
        <v/>
      </c>
      <c r="N145" s="160">
        <f>IF('Datos_fuente'!L145="","",LN('Datos_fuente'!L145))</f>
        <v/>
      </c>
      <c r="O145" s="160">
        <f>IF(OR(N145="",N144=""),"",N145-N144)</f>
        <v/>
      </c>
      <c r="P145" s="162">
        <f>'Datos_fuente'!M145</f>
        <v/>
      </c>
      <c r="Q145" s="160">
        <f>IF('Datos_fuente'!N145="","",LN('Datos_fuente'!N145))</f>
        <v/>
      </c>
      <c r="R145" s="160">
        <f>IF(OR(Q145="",Q144=""),"",Q145-Q144)</f>
        <v/>
      </c>
      <c r="S145" s="161">
        <f>'Datos_fuente'!P145</f>
        <v/>
      </c>
      <c r="T145" s="161">
        <f>IF(OR(S145="",S144=""),"",S145-S144)</f>
        <v/>
      </c>
      <c r="U145" s="160">
        <f>IF('Datos_fuente'!Q145="","",ASINH('Datos_fuente'!Q145/1000))</f>
        <v/>
      </c>
      <c r="V145" s="160">
        <f>IF(OR(U145="",U144=""),"",U145-U144)</f>
        <v/>
      </c>
      <c r="W145" s="160">
        <f>IF('Datos_fuente'!R145="","",ASINH('Datos_fuente'!R145/1000))</f>
        <v/>
      </c>
      <c r="X145" s="160">
        <f>IF(OR(W145="",W144=""),"",W145-W144)</f>
        <v/>
      </c>
      <c r="Y145" s="161">
        <f>'Datos_fuente'!W145</f>
        <v/>
      </c>
      <c r="Z145" s="161">
        <f>IF(OR(Y145="",Y144=""),"",Y145-Y144)</f>
        <v/>
      </c>
      <c r="AA145" s="160">
        <f>'Datos_fuente'!AB145</f>
        <v/>
      </c>
      <c r="AB145" s="160">
        <f>'Datos_fuente'!AC145</f>
        <v/>
      </c>
      <c r="AC145" s="160">
        <f>IF('Datos_fuente'!AD145="","",LN('Datos_fuente'!AD145))</f>
        <v/>
      </c>
      <c r="AD145" s="160">
        <f>IF(OR(AC145="",AC144=""),"",AC145-AC144)</f>
        <v/>
      </c>
      <c r="AE145" s="160">
        <f>IF('Datos_fuente'!AE145="","",LN('Datos_fuente'!AE145))</f>
        <v/>
      </c>
      <c r="AF145" s="160">
        <f>IF(OR(AE145="",AE144=""),"",AE145-AE144)</f>
        <v/>
      </c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'Datos_fuente'!A146</f>
        <v/>
      </c>
      <c r="B146" s="160">
        <f>IF('Datos_fuente'!B146="","",LN('Datos_fuente'!B146))</f>
        <v/>
      </c>
      <c r="C146" s="160">
        <f>IF(OR(B146="",B145=""),"",B146-B145)</f>
        <v/>
      </c>
      <c r="D146" s="160">
        <f>IF('Datos_fuente'!C146="","",LN('Datos_fuente'!C146))</f>
        <v/>
      </c>
      <c r="E146" s="160">
        <f>IF(OR(D146="",D145=""),"",D146-D145)</f>
        <v/>
      </c>
      <c r="F146" s="160">
        <f>IF('Datos_fuente'!E146="","",LN('Datos_fuente'!E146))</f>
        <v/>
      </c>
      <c r="G146" s="160">
        <f>IF(OR(F146="",F145=""),"",F146-F145)</f>
        <v/>
      </c>
      <c r="H146" s="161">
        <f>'Datos_fuente'!H146</f>
        <v/>
      </c>
      <c r="I146" s="161">
        <f>IF(OR(H146="",H145=""),"",H146-H145)</f>
        <v/>
      </c>
      <c r="J146" s="161">
        <f>'Datos_fuente'!J146</f>
        <v/>
      </c>
      <c r="K146" s="161">
        <f>IF(OR(J146="",J145=""),"",J146-J145)</f>
        <v/>
      </c>
      <c r="L146" s="160">
        <f>IF('Datos_fuente'!K146="","",LN('Datos_fuente'!K146))</f>
        <v/>
      </c>
      <c r="M146" s="160">
        <f>IF(OR(L146="",L145=""),"",L146-L145)</f>
        <v/>
      </c>
      <c r="N146" s="160">
        <f>IF('Datos_fuente'!L146="","",LN('Datos_fuente'!L146))</f>
        <v/>
      </c>
      <c r="O146" s="160">
        <f>IF(OR(N146="",N145=""),"",N146-N145)</f>
        <v/>
      </c>
      <c r="P146" s="162">
        <f>'Datos_fuente'!M146</f>
        <v/>
      </c>
      <c r="Q146" s="160">
        <f>IF('Datos_fuente'!N146="","",LN('Datos_fuente'!N146))</f>
        <v/>
      </c>
      <c r="R146" s="160">
        <f>IF(OR(Q146="",Q145=""),"",Q146-Q145)</f>
        <v/>
      </c>
      <c r="S146" s="161">
        <f>'Datos_fuente'!P146</f>
        <v/>
      </c>
      <c r="T146" s="161">
        <f>IF(OR(S146="",S145=""),"",S146-S145)</f>
        <v/>
      </c>
      <c r="U146" s="160">
        <f>IF('Datos_fuente'!Q146="","",ASINH('Datos_fuente'!Q146/1000))</f>
        <v/>
      </c>
      <c r="V146" s="160">
        <f>IF(OR(U146="",U145=""),"",U146-U145)</f>
        <v/>
      </c>
      <c r="W146" s="160">
        <f>IF('Datos_fuente'!R146="","",ASINH('Datos_fuente'!R146/1000))</f>
        <v/>
      </c>
      <c r="X146" s="160">
        <f>IF(OR(W146="",W145=""),"",W146-W145)</f>
        <v/>
      </c>
      <c r="Y146" s="161">
        <f>'Datos_fuente'!W146</f>
        <v/>
      </c>
      <c r="Z146" s="161">
        <f>IF(OR(Y146="",Y145=""),"",Y146-Y145)</f>
        <v/>
      </c>
      <c r="AA146" s="160">
        <f>'Datos_fuente'!AB146</f>
        <v/>
      </c>
      <c r="AB146" s="160">
        <f>'Datos_fuente'!AC146</f>
        <v/>
      </c>
      <c r="AC146" s="160">
        <f>IF('Datos_fuente'!AD146="","",LN('Datos_fuente'!AD146))</f>
        <v/>
      </c>
      <c r="AD146" s="160">
        <f>IF(OR(AC146="",AC145=""),"",AC146-AC145)</f>
        <v/>
      </c>
      <c r="AE146" s="160">
        <f>IF('Datos_fuente'!AE146="","",LN('Datos_fuente'!AE146))</f>
        <v/>
      </c>
      <c r="AF146" s="160">
        <f>IF(OR(AE146="",AE145=""),"",AE146-AE145)</f>
        <v/>
      </c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'Datos_fuente'!A147</f>
        <v/>
      </c>
      <c r="B147" s="160">
        <f>IF('Datos_fuente'!B147="","",LN('Datos_fuente'!B147))</f>
        <v/>
      </c>
      <c r="C147" s="160">
        <f>IF(OR(B147="",B146=""),"",B147-B146)</f>
        <v/>
      </c>
      <c r="D147" s="160">
        <f>IF('Datos_fuente'!C147="","",LN('Datos_fuente'!C147))</f>
        <v/>
      </c>
      <c r="E147" s="160">
        <f>IF(OR(D147="",D146=""),"",D147-D146)</f>
        <v/>
      </c>
      <c r="F147" s="160">
        <f>IF('Datos_fuente'!E147="","",LN('Datos_fuente'!E147))</f>
        <v/>
      </c>
      <c r="G147" s="160">
        <f>IF(OR(F147="",F146=""),"",F147-F146)</f>
        <v/>
      </c>
      <c r="H147" s="161">
        <f>'Datos_fuente'!H147</f>
        <v/>
      </c>
      <c r="I147" s="161">
        <f>IF(OR(H147="",H146=""),"",H147-H146)</f>
        <v/>
      </c>
      <c r="J147" s="161">
        <f>'Datos_fuente'!J147</f>
        <v/>
      </c>
      <c r="K147" s="161">
        <f>IF(OR(J147="",J146=""),"",J147-J146)</f>
        <v/>
      </c>
      <c r="L147" s="160">
        <f>IF('Datos_fuente'!K147="","",LN('Datos_fuente'!K147))</f>
        <v/>
      </c>
      <c r="M147" s="160">
        <f>IF(OR(L147="",L146=""),"",L147-L146)</f>
        <v/>
      </c>
      <c r="N147" s="160">
        <f>IF('Datos_fuente'!L147="","",LN('Datos_fuente'!L147))</f>
        <v/>
      </c>
      <c r="O147" s="160">
        <f>IF(OR(N147="",N146=""),"",N147-N146)</f>
        <v/>
      </c>
      <c r="P147" s="162">
        <f>'Datos_fuente'!M147</f>
        <v/>
      </c>
      <c r="Q147" s="160">
        <f>IF('Datos_fuente'!N147="","",LN('Datos_fuente'!N147))</f>
        <v/>
      </c>
      <c r="R147" s="160">
        <f>IF(OR(Q147="",Q146=""),"",Q147-Q146)</f>
        <v/>
      </c>
      <c r="S147" s="161">
        <f>'Datos_fuente'!P147</f>
        <v/>
      </c>
      <c r="T147" s="161">
        <f>IF(OR(S147="",S146=""),"",S147-S146)</f>
        <v/>
      </c>
      <c r="U147" s="160">
        <f>IF('Datos_fuente'!Q147="","",ASINH('Datos_fuente'!Q147/1000))</f>
        <v/>
      </c>
      <c r="V147" s="160">
        <f>IF(OR(U147="",U146=""),"",U147-U146)</f>
        <v/>
      </c>
      <c r="W147" s="160">
        <f>IF('Datos_fuente'!R147="","",ASINH('Datos_fuente'!R147/1000))</f>
        <v/>
      </c>
      <c r="X147" s="160">
        <f>IF(OR(W147="",W146=""),"",W147-W146)</f>
        <v/>
      </c>
      <c r="Y147" s="161">
        <f>'Datos_fuente'!W147</f>
        <v/>
      </c>
      <c r="Z147" s="161">
        <f>IF(OR(Y147="",Y146=""),"",Y147-Y146)</f>
        <v/>
      </c>
      <c r="AA147" s="160">
        <f>'Datos_fuente'!AB147</f>
        <v/>
      </c>
      <c r="AB147" s="160">
        <f>'Datos_fuente'!AC147</f>
        <v/>
      </c>
      <c r="AC147" s="160">
        <f>IF('Datos_fuente'!AD147="","",LN('Datos_fuente'!AD147))</f>
        <v/>
      </c>
      <c r="AD147" s="160">
        <f>IF(OR(AC147="",AC146=""),"",AC147-AC146)</f>
        <v/>
      </c>
      <c r="AE147" s="160">
        <f>IF('Datos_fuente'!AE147="","",LN('Datos_fuente'!AE147))</f>
        <v/>
      </c>
      <c r="AF147" s="160">
        <f>IF(OR(AE147="",AE146=""),"",AE147-AE146)</f>
        <v/>
      </c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'Datos_fuente'!A148</f>
        <v/>
      </c>
      <c r="B148" s="160">
        <f>IF('Datos_fuente'!B148="","",LN('Datos_fuente'!B148))</f>
        <v/>
      </c>
      <c r="C148" s="160">
        <f>IF(OR(B148="",B147=""),"",B148-B147)</f>
        <v/>
      </c>
      <c r="D148" s="160">
        <f>IF('Datos_fuente'!C148="","",LN('Datos_fuente'!C148))</f>
        <v/>
      </c>
      <c r="E148" s="160">
        <f>IF(OR(D148="",D147=""),"",D148-D147)</f>
        <v/>
      </c>
      <c r="F148" s="160">
        <f>IF('Datos_fuente'!E148="","",LN('Datos_fuente'!E148))</f>
        <v/>
      </c>
      <c r="G148" s="160">
        <f>IF(OR(F148="",F147=""),"",F148-F147)</f>
        <v/>
      </c>
      <c r="H148" s="161">
        <f>'Datos_fuente'!H148</f>
        <v/>
      </c>
      <c r="I148" s="161">
        <f>IF(OR(H148="",H147=""),"",H148-H147)</f>
        <v/>
      </c>
      <c r="J148" s="161">
        <f>'Datos_fuente'!J148</f>
        <v/>
      </c>
      <c r="K148" s="161">
        <f>IF(OR(J148="",J147=""),"",J148-J147)</f>
        <v/>
      </c>
      <c r="L148" s="160">
        <f>IF('Datos_fuente'!K148="","",LN('Datos_fuente'!K148))</f>
        <v/>
      </c>
      <c r="M148" s="160">
        <f>IF(OR(L148="",L147=""),"",L148-L147)</f>
        <v/>
      </c>
      <c r="N148" s="160">
        <f>IF('Datos_fuente'!L148="","",LN('Datos_fuente'!L148))</f>
        <v/>
      </c>
      <c r="O148" s="160">
        <f>IF(OR(N148="",N147=""),"",N148-N147)</f>
        <v/>
      </c>
      <c r="P148" s="162">
        <f>'Datos_fuente'!M148</f>
        <v/>
      </c>
      <c r="Q148" s="160">
        <f>IF('Datos_fuente'!N148="","",LN('Datos_fuente'!N148))</f>
        <v/>
      </c>
      <c r="R148" s="160">
        <f>IF(OR(Q148="",Q147=""),"",Q148-Q147)</f>
        <v/>
      </c>
      <c r="S148" s="161">
        <f>'Datos_fuente'!P148</f>
        <v/>
      </c>
      <c r="T148" s="161">
        <f>IF(OR(S148="",S147=""),"",S148-S147)</f>
        <v/>
      </c>
      <c r="U148" s="160">
        <f>IF('Datos_fuente'!Q148="","",ASINH('Datos_fuente'!Q148/1000))</f>
        <v/>
      </c>
      <c r="V148" s="160">
        <f>IF(OR(U148="",U147=""),"",U148-U147)</f>
        <v/>
      </c>
      <c r="W148" s="160">
        <f>IF('Datos_fuente'!R148="","",ASINH('Datos_fuente'!R148/1000))</f>
        <v/>
      </c>
      <c r="X148" s="160">
        <f>IF(OR(W148="",W147=""),"",W148-W147)</f>
        <v/>
      </c>
      <c r="Y148" s="161">
        <f>'Datos_fuente'!W148</f>
        <v/>
      </c>
      <c r="Z148" s="161">
        <f>IF(OR(Y148="",Y147=""),"",Y148-Y147)</f>
        <v/>
      </c>
      <c r="AA148" s="160">
        <f>'Datos_fuente'!AB148</f>
        <v/>
      </c>
      <c r="AB148" s="160">
        <f>'Datos_fuente'!AC148</f>
        <v/>
      </c>
      <c r="AC148" s="160">
        <f>IF('Datos_fuente'!AD148="","",LN('Datos_fuente'!AD148))</f>
        <v/>
      </c>
      <c r="AD148" s="160">
        <f>IF(OR(AC148="",AC147=""),"",AC148-AC147)</f>
        <v/>
      </c>
      <c r="AE148" s="160">
        <f>IF('Datos_fuente'!AE148="","",LN('Datos_fuente'!AE148))</f>
        <v/>
      </c>
      <c r="AF148" s="160">
        <f>IF(OR(AE148="",AE147=""),"",AE148-AE147)</f>
        <v/>
      </c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'Datos_fuente'!A149</f>
        <v/>
      </c>
      <c r="B149" s="160">
        <f>IF('Datos_fuente'!B149="","",LN('Datos_fuente'!B149))</f>
        <v/>
      </c>
      <c r="C149" s="160">
        <f>IF(OR(B149="",B148=""),"",B149-B148)</f>
        <v/>
      </c>
      <c r="D149" s="160">
        <f>IF('Datos_fuente'!C149="","",LN('Datos_fuente'!C149))</f>
        <v/>
      </c>
      <c r="E149" s="160">
        <f>IF(OR(D149="",D148=""),"",D149-D148)</f>
        <v/>
      </c>
      <c r="F149" s="160">
        <f>IF('Datos_fuente'!E149="","",LN('Datos_fuente'!E149))</f>
        <v/>
      </c>
      <c r="G149" s="160">
        <f>IF(OR(F149="",F148=""),"",F149-F148)</f>
        <v/>
      </c>
      <c r="H149" s="161">
        <f>'Datos_fuente'!H149</f>
        <v/>
      </c>
      <c r="I149" s="161">
        <f>IF(OR(H149="",H148=""),"",H149-H148)</f>
        <v/>
      </c>
      <c r="J149" s="161">
        <f>'Datos_fuente'!J149</f>
        <v/>
      </c>
      <c r="K149" s="161">
        <f>IF(OR(J149="",J148=""),"",J149-J148)</f>
        <v/>
      </c>
      <c r="L149" s="160">
        <f>IF('Datos_fuente'!K149="","",LN('Datos_fuente'!K149))</f>
        <v/>
      </c>
      <c r="M149" s="160">
        <f>IF(OR(L149="",L148=""),"",L149-L148)</f>
        <v/>
      </c>
      <c r="N149" s="160">
        <f>IF('Datos_fuente'!L149="","",LN('Datos_fuente'!L149))</f>
        <v/>
      </c>
      <c r="O149" s="160">
        <f>IF(OR(N149="",N148=""),"",N149-N148)</f>
        <v/>
      </c>
      <c r="P149" s="162">
        <f>'Datos_fuente'!M149</f>
        <v/>
      </c>
      <c r="Q149" s="160">
        <f>IF('Datos_fuente'!N149="","",LN('Datos_fuente'!N149))</f>
        <v/>
      </c>
      <c r="R149" s="160">
        <f>IF(OR(Q149="",Q148=""),"",Q149-Q148)</f>
        <v/>
      </c>
      <c r="S149" s="161">
        <f>'Datos_fuente'!P149</f>
        <v/>
      </c>
      <c r="T149" s="161">
        <f>IF(OR(S149="",S148=""),"",S149-S148)</f>
        <v/>
      </c>
      <c r="U149" s="160">
        <f>IF('Datos_fuente'!Q149="","",ASINH('Datos_fuente'!Q149/1000))</f>
        <v/>
      </c>
      <c r="V149" s="160">
        <f>IF(OR(U149="",U148=""),"",U149-U148)</f>
        <v/>
      </c>
      <c r="W149" s="160">
        <f>IF('Datos_fuente'!R149="","",ASINH('Datos_fuente'!R149/1000))</f>
        <v/>
      </c>
      <c r="X149" s="160">
        <f>IF(OR(W149="",W148=""),"",W149-W148)</f>
        <v/>
      </c>
      <c r="Y149" s="161">
        <f>'Datos_fuente'!W149</f>
        <v/>
      </c>
      <c r="Z149" s="161">
        <f>IF(OR(Y149="",Y148=""),"",Y149-Y148)</f>
        <v/>
      </c>
      <c r="AA149" s="160">
        <f>'Datos_fuente'!AB149</f>
        <v/>
      </c>
      <c r="AB149" s="160">
        <f>'Datos_fuente'!AC149</f>
        <v/>
      </c>
      <c r="AC149" s="160">
        <f>IF('Datos_fuente'!AD149="","",LN('Datos_fuente'!AD149))</f>
        <v/>
      </c>
      <c r="AD149" s="160">
        <f>IF(OR(AC149="",AC148=""),"",AC149-AC148)</f>
        <v/>
      </c>
      <c r="AE149" s="160">
        <f>IF('Datos_fuente'!AE149="","",LN('Datos_fuente'!AE149))</f>
        <v/>
      </c>
      <c r="AF149" s="160">
        <f>IF(OR(AE149="",AE148=""),"",AE149-AE148)</f>
        <v/>
      </c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'Datos_fuente'!A150</f>
        <v/>
      </c>
      <c r="B150" s="160">
        <f>IF('Datos_fuente'!B150="","",LN('Datos_fuente'!B150))</f>
        <v/>
      </c>
      <c r="C150" s="160">
        <f>IF(OR(B150="",B149=""),"",B150-B149)</f>
        <v/>
      </c>
      <c r="D150" s="160">
        <f>IF('Datos_fuente'!C150="","",LN('Datos_fuente'!C150))</f>
        <v/>
      </c>
      <c r="E150" s="160">
        <f>IF(OR(D150="",D149=""),"",D150-D149)</f>
        <v/>
      </c>
      <c r="F150" s="160">
        <f>IF('Datos_fuente'!E150="","",LN('Datos_fuente'!E150))</f>
        <v/>
      </c>
      <c r="G150" s="160">
        <f>IF(OR(F150="",F149=""),"",F150-F149)</f>
        <v/>
      </c>
      <c r="H150" s="161">
        <f>'Datos_fuente'!H150</f>
        <v/>
      </c>
      <c r="I150" s="161">
        <f>IF(OR(H150="",H149=""),"",H150-H149)</f>
        <v/>
      </c>
      <c r="J150" s="161">
        <f>'Datos_fuente'!J150</f>
        <v/>
      </c>
      <c r="K150" s="161">
        <f>IF(OR(J150="",J149=""),"",J150-J149)</f>
        <v/>
      </c>
      <c r="L150" s="160">
        <f>IF('Datos_fuente'!K150="","",LN('Datos_fuente'!K150))</f>
        <v/>
      </c>
      <c r="M150" s="160">
        <f>IF(OR(L150="",L149=""),"",L150-L149)</f>
        <v/>
      </c>
      <c r="N150" s="160">
        <f>IF('Datos_fuente'!L150="","",LN('Datos_fuente'!L150))</f>
        <v/>
      </c>
      <c r="O150" s="160">
        <f>IF(OR(N150="",N149=""),"",N150-N149)</f>
        <v/>
      </c>
      <c r="P150" s="162">
        <f>'Datos_fuente'!M150</f>
        <v/>
      </c>
      <c r="Q150" s="160">
        <f>IF('Datos_fuente'!N150="","",LN('Datos_fuente'!N150))</f>
        <v/>
      </c>
      <c r="R150" s="160">
        <f>IF(OR(Q150="",Q149=""),"",Q150-Q149)</f>
        <v/>
      </c>
      <c r="S150" s="161">
        <f>'Datos_fuente'!P150</f>
        <v/>
      </c>
      <c r="T150" s="161">
        <f>IF(OR(S150="",S149=""),"",S150-S149)</f>
        <v/>
      </c>
      <c r="U150" s="160">
        <f>IF('Datos_fuente'!Q150="","",ASINH('Datos_fuente'!Q150/1000))</f>
        <v/>
      </c>
      <c r="V150" s="160">
        <f>IF(OR(U150="",U149=""),"",U150-U149)</f>
        <v/>
      </c>
      <c r="W150" s="160">
        <f>IF('Datos_fuente'!R150="","",ASINH('Datos_fuente'!R150/1000))</f>
        <v/>
      </c>
      <c r="X150" s="160">
        <f>IF(OR(W150="",W149=""),"",W150-W149)</f>
        <v/>
      </c>
      <c r="Y150" s="161">
        <f>'Datos_fuente'!W150</f>
        <v/>
      </c>
      <c r="Z150" s="161">
        <f>IF(OR(Y150="",Y149=""),"",Y150-Y149)</f>
        <v/>
      </c>
      <c r="AA150" s="160">
        <f>'Datos_fuente'!AB150</f>
        <v/>
      </c>
      <c r="AB150" s="160">
        <f>'Datos_fuente'!AC150</f>
        <v/>
      </c>
      <c r="AC150" s="160">
        <f>IF('Datos_fuente'!AD150="","",LN('Datos_fuente'!AD150))</f>
        <v/>
      </c>
      <c r="AD150" s="160">
        <f>IF(OR(AC150="",AC149=""),"",AC150-AC149)</f>
        <v/>
      </c>
      <c r="AE150" s="160">
        <f>IF('Datos_fuente'!AE150="","",LN('Datos_fuente'!AE150))</f>
        <v/>
      </c>
      <c r="AF150" s="160">
        <f>IF(OR(AE150="",AE149=""),"",AE150-AE149)</f>
        <v/>
      </c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'Datos_fuente'!A151</f>
        <v/>
      </c>
      <c r="B151" s="160">
        <f>IF('Datos_fuente'!B151="","",LN('Datos_fuente'!B151))</f>
        <v/>
      </c>
      <c r="C151" s="160">
        <f>IF(OR(B151="",B150=""),"",B151-B150)</f>
        <v/>
      </c>
      <c r="D151" s="160">
        <f>IF('Datos_fuente'!C151="","",LN('Datos_fuente'!C151))</f>
        <v/>
      </c>
      <c r="E151" s="160">
        <f>IF(OR(D151="",D150=""),"",D151-D150)</f>
        <v/>
      </c>
      <c r="F151" s="160">
        <f>IF('Datos_fuente'!E151="","",LN('Datos_fuente'!E151))</f>
        <v/>
      </c>
      <c r="G151" s="160">
        <f>IF(OR(F151="",F150=""),"",F151-F150)</f>
        <v/>
      </c>
      <c r="H151" s="161">
        <f>'Datos_fuente'!H151</f>
        <v/>
      </c>
      <c r="I151" s="161">
        <f>IF(OR(H151="",H150=""),"",H151-H150)</f>
        <v/>
      </c>
      <c r="J151" s="161">
        <f>'Datos_fuente'!J151</f>
        <v/>
      </c>
      <c r="K151" s="161">
        <f>IF(OR(J151="",J150=""),"",J151-J150)</f>
        <v/>
      </c>
      <c r="L151" s="160">
        <f>IF('Datos_fuente'!K151="","",LN('Datos_fuente'!K151))</f>
        <v/>
      </c>
      <c r="M151" s="160">
        <f>IF(OR(L151="",L150=""),"",L151-L150)</f>
        <v/>
      </c>
      <c r="N151" s="160">
        <f>IF('Datos_fuente'!L151="","",LN('Datos_fuente'!L151))</f>
        <v/>
      </c>
      <c r="O151" s="160">
        <f>IF(OR(N151="",N150=""),"",N151-N150)</f>
        <v/>
      </c>
      <c r="P151" s="162">
        <f>'Datos_fuente'!M151</f>
        <v/>
      </c>
      <c r="Q151" s="160">
        <f>IF('Datos_fuente'!N151="","",LN('Datos_fuente'!N151))</f>
        <v/>
      </c>
      <c r="R151" s="160">
        <f>IF(OR(Q151="",Q150=""),"",Q151-Q150)</f>
        <v/>
      </c>
      <c r="S151" s="161">
        <f>'Datos_fuente'!P151</f>
        <v/>
      </c>
      <c r="T151" s="161">
        <f>IF(OR(S151="",S150=""),"",S151-S150)</f>
        <v/>
      </c>
      <c r="U151" s="160">
        <f>IF('Datos_fuente'!Q151="","",ASINH('Datos_fuente'!Q151/1000))</f>
        <v/>
      </c>
      <c r="V151" s="160">
        <f>IF(OR(U151="",U150=""),"",U151-U150)</f>
        <v/>
      </c>
      <c r="W151" s="160">
        <f>IF('Datos_fuente'!R151="","",ASINH('Datos_fuente'!R151/1000))</f>
        <v/>
      </c>
      <c r="X151" s="160">
        <f>IF(OR(W151="",W150=""),"",W151-W150)</f>
        <v/>
      </c>
      <c r="Y151" s="161">
        <f>'Datos_fuente'!W151</f>
        <v/>
      </c>
      <c r="Z151" s="161">
        <f>IF(OR(Y151="",Y150=""),"",Y151-Y150)</f>
        <v/>
      </c>
      <c r="AA151" s="160">
        <f>'Datos_fuente'!AB151</f>
        <v/>
      </c>
      <c r="AB151" s="160">
        <f>'Datos_fuente'!AC151</f>
        <v/>
      </c>
      <c r="AC151" s="160">
        <f>IF('Datos_fuente'!AD151="","",LN('Datos_fuente'!AD151))</f>
        <v/>
      </c>
      <c r="AD151" s="160">
        <f>IF(OR(AC151="",AC150=""),"",AC151-AC150)</f>
        <v/>
      </c>
      <c r="AE151" s="160">
        <f>IF('Datos_fuente'!AE151="","",LN('Datos_fuente'!AE151))</f>
        <v/>
      </c>
      <c r="AF151" s="160">
        <f>IF(OR(AE151="",AE150=""),"",AE151-AE150)</f>
        <v/>
      </c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'Datos_fuente'!A152</f>
        <v/>
      </c>
      <c r="B152" s="160">
        <f>IF('Datos_fuente'!B152="","",LN('Datos_fuente'!B152))</f>
        <v/>
      </c>
      <c r="C152" s="160">
        <f>IF(OR(B152="",B151=""),"",B152-B151)</f>
        <v/>
      </c>
      <c r="D152" s="160">
        <f>IF('Datos_fuente'!C152="","",LN('Datos_fuente'!C152))</f>
        <v/>
      </c>
      <c r="E152" s="160">
        <f>IF(OR(D152="",D151=""),"",D152-D151)</f>
        <v/>
      </c>
      <c r="F152" s="160">
        <f>IF('Datos_fuente'!E152="","",LN('Datos_fuente'!E152))</f>
        <v/>
      </c>
      <c r="G152" s="160">
        <f>IF(OR(F152="",F151=""),"",F152-F151)</f>
        <v/>
      </c>
      <c r="H152" s="161">
        <f>'Datos_fuente'!H152</f>
        <v/>
      </c>
      <c r="I152" s="161">
        <f>IF(OR(H152="",H151=""),"",H152-H151)</f>
        <v/>
      </c>
      <c r="J152" s="161">
        <f>'Datos_fuente'!J152</f>
        <v/>
      </c>
      <c r="K152" s="161">
        <f>IF(OR(J152="",J151=""),"",J152-J151)</f>
        <v/>
      </c>
      <c r="L152" s="160">
        <f>IF('Datos_fuente'!K152="","",LN('Datos_fuente'!K152))</f>
        <v/>
      </c>
      <c r="M152" s="160">
        <f>IF(OR(L152="",L151=""),"",L152-L151)</f>
        <v/>
      </c>
      <c r="N152" s="160">
        <f>IF('Datos_fuente'!L152="","",LN('Datos_fuente'!L152))</f>
        <v/>
      </c>
      <c r="O152" s="160">
        <f>IF(OR(N152="",N151=""),"",N152-N151)</f>
        <v/>
      </c>
      <c r="P152" s="162">
        <f>'Datos_fuente'!M152</f>
        <v/>
      </c>
      <c r="Q152" s="160">
        <f>IF('Datos_fuente'!N152="","",LN('Datos_fuente'!N152))</f>
        <v/>
      </c>
      <c r="R152" s="160">
        <f>IF(OR(Q152="",Q151=""),"",Q152-Q151)</f>
        <v/>
      </c>
      <c r="S152" s="161">
        <f>'Datos_fuente'!P152</f>
        <v/>
      </c>
      <c r="T152" s="161">
        <f>IF(OR(S152="",S151=""),"",S152-S151)</f>
        <v/>
      </c>
      <c r="U152" s="160">
        <f>IF('Datos_fuente'!Q152="","",ASINH('Datos_fuente'!Q152/1000))</f>
        <v/>
      </c>
      <c r="V152" s="160">
        <f>IF(OR(U152="",U151=""),"",U152-U151)</f>
        <v/>
      </c>
      <c r="W152" s="160">
        <f>IF('Datos_fuente'!R152="","",ASINH('Datos_fuente'!R152/1000))</f>
        <v/>
      </c>
      <c r="X152" s="160">
        <f>IF(OR(W152="",W151=""),"",W152-W151)</f>
        <v/>
      </c>
      <c r="Y152" s="161">
        <f>'Datos_fuente'!W152</f>
        <v/>
      </c>
      <c r="Z152" s="161">
        <f>IF(OR(Y152="",Y151=""),"",Y152-Y151)</f>
        <v/>
      </c>
      <c r="AA152" s="160">
        <f>'Datos_fuente'!AB152</f>
        <v/>
      </c>
      <c r="AB152" s="160">
        <f>'Datos_fuente'!AC152</f>
        <v/>
      </c>
      <c r="AC152" s="160">
        <f>IF('Datos_fuente'!AD152="","",LN('Datos_fuente'!AD152))</f>
        <v/>
      </c>
      <c r="AD152" s="160">
        <f>IF(OR(AC152="",AC151=""),"",AC152-AC151)</f>
        <v/>
      </c>
      <c r="AE152" s="160">
        <f>IF('Datos_fuente'!AE152="","",LN('Datos_fuente'!AE152))</f>
        <v/>
      </c>
      <c r="AF152" s="160">
        <f>IF(OR(AE152="",AE151=""),"",AE152-AE151)</f>
        <v/>
      </c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'Datos_fuente'!A153</f>
        <v/>
      </c>
      <c r="B153" s="160">
        <f>IF('Datos_fuente'!B153="","",LN('Datos_fuente'!B153))</f>
        <v/>
      </c>
      <c r="C153" s="160">
        <f>IF(OR(B153="",B152=""),"",B153-B152)</f>
        <v/>
      </c>
      <c r="D153" s="160">
        <f>IF('Datos_fuente'!C153="","",LN('Datos_fuente'!C153))</f>
        <v/>
      </c>
      <c r="E153" s="160">
        <f>IF(OR(D153="",D152=""),"",D153-D152)</f>
        <v/>
      </c>
      <c r="F153" s="160">
        <f>IF('Datos_fuente'!E153="","",LN('Datos_fuente'!E153))</f>
        <v/>
      </c>
      <c r="G153" s="160">
        <f>IF(OR(F153="",F152=""),"",F153-F152)</f>
        <v/>
      </c>
      <c r="H153" s="161">
        <f>'Datos_fuente'!H153</f>
        <v/>
      </c>
      <c r="I153" s="161">
        <f>IF(OR(H153="",H152=""),"",H153-H152)</f>
        <v/>
      </c>
      <c r="J153" s="161">
        <f>'Datos_fuente'!J153</f>
        <v/>
      </c>
      <c r="K153" s="161">
        <f>IF(OR(J153="",J152=""),"",J153-J152)</f>
        <v/>
      </c>
      <c r="L153" s="160">
        <f>IF('Datos_fuente'!K153="","",LN('Datos_fuente'!K153))</f>
        <v/>
      </c>
      <c r="M153" s="160">
        <f>IF(OR(L153="",L152=""),"",L153-L152)</f>
        <v/>
      </c>
      <c r="N153" s="160">
        <f>IF('Datos_fuente'!L153="","",LN('Datos_fuente'!L153))</f>
        <v/>
      </c>
      <c r="O153" s="160">
        <f>IF(OR(N153="",N152=""),"",N153-N152)</f>
        <v/>
      </c>
      <c r="P153" s="162">
        <f>'Datos_fuente'!M153</f>
        <v/>
      </c>
      <c r="Q153" s="160">
        <f>IF('Datos_fuente'!N153="","",LN('Datos_fuente'!N153))</f>
        <v/>
      </c>
      <c r="R153" s="160">
        <f>IF(OR(Q153="",Q152=""),"",Q153-Q152)</f>
        <v/>
      </c>
      <c r="S153" s="161">
        <f>'Datos_fuente'!P153</f>
        <v/>
      </c>
      <c r="T153" s="161">
        <f>IF(OR(S153="",S152=""),"",S153-S152)</f>
        <v/>
      </c>
      <c r="U153" s="160">
        <f>IF('Datos_fuente'!Q153="","",ASINH('Datos_fuente'!Q153/1000))</f>
        <v/>
      </c>
      <c r="V153" s="160">
        <f>IF(OR(U153="",U152=""),"",U153-U152)</f>
        <v/>
      </c>
      <c r="W153" s="160">
        <f>IF('Datos_fuente'!R153="","",ASINH('Datos_fuente'!R153/1000))</f>
        <v/>
      </c>
      <c r="X153" s="160">
        <f>IF(OR(W153="",W152=""),"",W153-W152)</f>
        <v/>
      </c>
      <c r="Y153" s="161">
        <f>'Datos_fuente'!W153</f>
        <v/>
      </c>
      <c r="Z153" s="161">
        <f>IF(OR(Y153="",Y152=""),"",Y153-Y152)</f>
        <v/>
      </c>
      <c r="AA153" s="160">
        <f>'Datos_fuente'!AB153</f>
        <v/>
      </c>
      <c r="AB153" s="160">
        <f>'Datos_fuente'!AC153</f>
        <v/>
      </c>
      <c r="AC153" s="160">
        <f>IF('Datos_fuente'!AD153="","",LN('Datos_fuente'!AD153))</f>
        <v/>
      </c>
      <c r="AD153" s="160">
        <f>IF(OR(AC153="",AC152=""),"",AC153-AC152)</f>
        <v/>
      </c>
      <c r="AE153" s="160">
        <f>IF('Datos_fuente'!AE153="","",LN('Datos_fuente'!AE153))</f>
        <v/>
      </c>
      <c r="AF153" s="160">
        <f>IF(OR(AE153="",AE152=""),"",AE153-AE152)</f>
        <v/>
      </c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'Datos_fuente'!A154</f>
        <v/>
      </c>
      <c r="B154" s="160">
        <f>IF('Datos_fuente'!B154="","",LN('Datos_fuente'!B154))</f>
        <v/>
      </c>
      <c r="C154" s="160">
        <f>IF(OR(B154="",B153=""),"",B154-B153)</f>
        <v/>
      </c>
      <c r="D154" s="160">
        <f>IF('Datos_fuente'!C154="","",LN('Datos_fuente'!C154))</f>
        <v/>
      </c>
      <c r="E154" s="160">
        <f>IF(OR(D154="",D153=""),"",D154-D153)</f>
        <v/>
      </c>
      <c r="F154" s="160">
        <f>IF('Datos_fuente'!E154="","",LN('Datos_fuente'!E154))</f>
        <v/>
      </c>
      <c r="G154" s="160">
        <f>IF(OR(F154="",F153=""),"",F154-F153)</f>
        <v/>
      </c>
      <c r="H154" s="161">
        <f>'Datos_fuente'!H154</f>
        <v/>
      </c>
      <c r="I154" s="161">
        <f>IF(OR(H154="",H153=""),"",H154-H153)</f>
        <v/>
      </c>
      <c r="J154" s="161">
        <f>'Datos_fuente'!J154</f>
        <v/>
      </c>
      <c r="K154" s="161">
        <f>IF(OR(J154="",J153=""),"",J154-J153)</f>
        <v/>
      </c>
      <c r="L154" s="160">
        <f>IF('Datos_fuente'!K154="","",LN('Datos_fuente'!K154))</f>
        <v/>
      </c>
      <c r="M154" s="160">
        <f>IF(OR(L154="",L153=""),"",L154-L153)</f>
        <v/>
      </c>
      <c r="N154" s="160">
        <f>IF('Datos_fuente'!L154="","",LN('Datos_fuente'!L154))</f>
        <v/>
      </c>
      <c r="O154" s="160">
        <f>IF(OR(N154="",N153=""),"",N154-N153)</f>
        <v/>
      </c>
      <c r="P154" s="162">
        <f>'Datos_fuente'!M154</f>
        <v/>
      </c>
      <c r="Q154" s="160">
        <f>IF('Datos_fuente'!N154="","",LN('Datos_fuente'!N154))</f>
        <v/>
      </c>
      <c r="R154" s="160">
        <f>IF(OR(Q154="",Q153=""),"",Q154-Q153)</f>
        <v/>
      </c>
      <c r="S154" s="161">
        <f>'Datos_fuente'!P154</f>
        <v/>
      </c>
      <c r="T154" s="161">
        <f>IF(OR(S154="",S153=""),"",S154-S153)</f>
        <v/>
      </c>
      <c r="U154" s="160">
        <f>IF('Datos_fuente'!Q154="","",ASINH('Datos_fuente'!Q154/1000))</f>
        <v/>
      </c>
      <c r="V154" s="160">
        <f>IF(OR(U154="",U153=""),"",U154-U153)</f>
        <v/>
      </c>
      <c r="W154" s="160">
        <f>IF('Datos_fuente'!R154="","",ASINH('Datos_fuente'!R154/1000))</f>
        <v/>
      </c>
      <c r="X154" s="160">
        <f>IF(OR(W154="",W153=""),"",W154-W153)</f>
        <v/>
      </c>
      <c r="Y154" s="161">
        <f>'Datos_fuente'!W154</f>
        <v/>
      </c>
      <c r="Z154" s="161">
        <f>IF(OR(Y154="",Y153=""),"",Y154-Y153)</f>
        <v/>
      </c>
      <c r="AA154" s="160">
        <f>'Datos_fuente'!AB154</f>
        <v/>
      </c>
      <c r="AB154" s="160">
        <f>'Datos_fuente'!AC154</f>
        <v/>
      </c>
      <c r="AC154" s="160">
        <f>IF('Datos_fuente'!AD154="","",LN('Datos_fuente'!AD154))</f>
        <v/>
      </c>
      <c r="AD154" s="160">
        <f>IF(OR(AC154="",AC153=""),"",AC154-AC153)</f>
        <v/>
      </c>
      <c r="AE154" s="160">
        <f>IF('Datos_fuente'!AE154="","",LN('Datos_fuente'!AE154))</f>
        <v/>
      </c>
      <c r="AF154" s="160">
        <f>IF(OR(AE154="",AE153=""),"",AE154-AE153)</f>
        <v/>
      </c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'Datos_fuente'!A155</f>
        <v/>
      </c>
      <c r="B155" s="160">
        <f>IF('Datos_fuente'!B155="","",LN('Datos_fuente'!B155))</f>
        <v/>
      </c>
      <c r="C155" s="160">
        <f>IF(OR(B155="",B154=""),"",B155-B154)</f>
        <v/>
      </c>
      <c r="D155" s="160">
        <f>IF('Datos_fuente'!C155="","",LN('Datos_fuente'!C155))</f>
        <v/>
      </c>
      <c r="E155" s="160">
        <f>IF(OR(D155="",D154=""),"",D155-D154)</f>
        <v/>
      </c>
      <c r="F155" s="160">
        <f>IF('Datos_fuente'!E155="","",LN('Datos_fuente'!E155))</f>
        <v/>
      </c>
      <c r="G155" s="160">
        <f>IF(OR(F155="",F154=""),"",F155-F154)</f>
        <v/>
      </c>
      <c r="H155" s="161">
        <f>'Datos_fuente'!H155</f>
        <v/>
      </c>
      <c r="I155" s="161">
        <f>IF(OR(H155="",H154=""),"",H155-H154)</f>
        <v/>
      </c>
      <c r="J155" s="161">
        <f>'Datos_fuente'!J155</f>
        <v/>
      </c>
      <c r="K155" s="161">
        <f>IF(OR(J155="",J154=""),"",J155-J154)</f>
        <v/>
      </c>
      <c r="L155" s="160">
        <f>IF('Datos_fuente'!K155="","",LN('Datos_fuente'!K155))</f>
        <v/>
      </c>
      <c r="M155" s="160">
        <f>IF(OR(L155="",L154=""),"",L155-L154)</f>
        <v/>
      </c>
      <c r="N155" s="160">
        <f>IF('Datos_fuente'!L155="","",LN('Datos_fuente'!L155))</f>
        <v/>
      </c>
      <c r="O155" s="160">
        <f>IF(OR(N155="",N154=""),"",N155-N154)</f>
        <v/>
      </c>
      <c r="P155" s="162">
        <f>'Datos_fuente'!M155</f>
        <v/>
      </c>
      <c r="Q155" s="160">
        <f>IF('Datos_fuente'!N155="","",LN('Datos_fuente'!N155))</f>
        <v/>
      </c>
      <c r="R155" s="160">
        <f>IF(OR(Q155="",Q154=""),"",Q155-Q154)</f>
        <v/>
      </c>
      <c r="S155" s="161">
        <f>'Datos_fuente'!P155</f>
        <v/>
      </c>
      <c r="T155" s="161">
        <f>IF(OR(S155="",S154=""),"",S155-S154)</f>
        <v/>
      </c>
      <c r="U155" s="160">
        <f>IF('Datos_fuente'!Q155="","",ASINH('Datos_fuente'!Q155/1000))</f>
        <v/>
      </c>
      <c r="V155" s="160">
        <f>IF(OR(U155="",U154=""),"",U155-U154)</f>
        <v/>
      </c>
      <c r="W155" s="160">
        <f>IF('Datos_fuente'!R155="","",ASINH('Datos_fuente'!R155/1000))</f>
        <v/>
      </c>
      <c r="X155" s="160">
        <f>IF(OR(W155="",W154=""),"",W155-W154)</f>
        <v/>
      </c>
      <c r="Y155" s="161">
        <f>'Datos_fuente'!W155</f>
        <v/>
      </c>
      <c r="Z155" s="161">
        <f>IF(OR(Y155="",Y154=""),"",Y155-Y154)</f>
        <v/>
      </c>
      <c r="AA155" s="160">
        <f>'Datos_fuente'!AB155</f>
        <v/>
      </c>
      <c r="AB155" s="160">
        <f>'Datos_fuente'!AC155</f>
        <v/>
      </c>
      <c r="AC155" s="160">
        <f>IF('Datos_fuente'!AD155="","",LN('Datos_fuente'!AD155))</f>
        <v/>
      </c>
      <c r="AD155" s="160">
        <f>IF(OR(AC155="",AC154=""),"",AC155-AC154)</f>
        <v/>
      </c>
      <c r="AE155" s="160">
        <f>IF('Datos_fuente'!AE155="","",LN('Datos_fuente'!AE155))</f>
        <v/>
      </c>
      <c r="AF155" s="160">
        <f>IF(OR(AE155="",AE154=""),"",AE155-AE154)</f>
        <v/>
      </c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'Datos_fuente'!A156</f>
        <v/>
      </c>
      <c r="B156" s="160">
        <f>IF('Datos_fuente'!B156="","",LN('Datos_fuente'!B156))</f>
        <v/>
      </c>
      <c r="C156" s="160">
        <f>IF(OR(B156="",B155=""),"",B156-B155)</f>
        <v/>
      </c>
      <c r="D156" s="160">
        <f>IF('Datos_fuente'!C156="","",LN('Datos_fuente'!C156))</f>
        <v/>
      </c>
      <c r="E156" s="160">
        <f>IF(OR(D156="",D155=""),"",D156-D155)</f>
        <v/>
      </c>
      <c r="F156" s="160">
        <f>IF('Datos_fuente'!E156="","",LN('Datos_fuente'!E156))</f>
        <v/>
      </c>
      <c r="G156" s="160">
        <f>IF(OR(F156="",F155=""),"",F156-F155)</f>
        <v/>
      </c>
      <c r="H156" s="161">
        <f>'Datos_fuente'!H156</f>
        <v/>
      </c>
      <c r="I156" s="161">
        <f>IF(OR(H156="",H155=""),"",H156-H155)</f>
        <v/>
      </c>
      <c r="J156" s="161">
        <f>'Datos_fuente'!J156</f>
        <v/>
      </c>
      <c r="K156" s="161">
        <f>IF(OR(J156="",J155=""),"",J156-J155)</f>
        <v/>
      </c>
      <c r="L156" s="160">
        <f>IF('Datos_fuente'!K156="","",LN('Datos_fuente'!K156))</f>
        <v/>
      </c>
      <c r="M156" s="160">
        <f>IF(OR(L156="",L155=""),"",L156-L155)</f>
        <v/>
      </c>
      <c r="N156" s="160">
        <f>IF('Datos_fuente'!L156="","",LN('Datos_fuente'!L156))</f>
        <v/>
      </c>
      <c r="O156" s="160">
        <f>IF(OR(N156="",N155=""),"",N156-N155)</f>
        <v/>
      </c>
      <c r="P156" s="162">
        <f>'Datos_fuente'!M156</f>
        <v/>
      </c>
      <c r="Q156" s="160">
        <f>IF('Datos_fuente'!N156="","",LN('Datos_fuente'!N156))</f>
        <v/>
      </c>
      <c r="R156" s="160">
        <f>IF(OR(Q156="",Q155=""),"",Q156-Q155)</f>
        <v/>
      </c>
      <c r="S156" s="161">
        <f>'Datos_fuente'!P156</f>
        <v/>
      </c>
      <c r="T156" s="161">
        <f>IF(OR(S156="",S155=""),"",S156-S155)</f>
        <v/>
      </c>
      <c r="U156" s="160">
        <f>IF('Datos_fuente'!Q156="","",ASINH('Datos_fuente'!Q156/1000))</f>
        <v/>
      </c>
      <c r="V156" s="160">
        <f>IF(OR(U156="",U155=""),"",U156-U155)</f>
        <v/>
      </c>
      <c r="W156" s="160">
        <f>IF('Datos_fuente'!R156="","",ASINH('Datos_fuente'!R156/1000))</f>
        <v/>
      </c>
      <c r="X156" s="160">
        <f>IF(OR(W156="",W155=""),"",W156-W155)</f>
        <v/>
      </c>
      <c r="Y156" s="161">
        <f>'Datos_fuente'!W156</f>
        <v/>
      </c>
      <c r="Z156" s="161">
        <f>IF(OR(Y156="",Y155=""),"",Y156-Y155)</f>
        <v/>
      </c>
      <c r="AA156" s="160">
        <f>'Datos_fuente'!AB156</f>
        <v/>
      </c>
      <c r="AB156" s="160">
        <f>'Datos_fuente'!AC156</f>
        <v/>
      </c>
      <c r="AC156" s="160">
        <f>IF('Datos_fuente'!AD156="","",LN('Datos_fuente'!AD156))</f>
        <v/>
      </c>
      <c r="AD156" s="160">
        <f>IF(OR(AC156="",AC155=""),"",AC156-AC155)</f>
        <v/>
      </c>
      <c r="AE156" s="160">
        <f>IF('Datos_fuente'!AE156="","",LN('Datos_fuente'!AE156))</f>
        <v/>
      </c>
      <c r="AF156" s="160">
        <f>IF(OR(AE156="",AE155=""),"",AE156-AE155)</f>
        <v/>
      </c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'Datos_fuente'!A157</f>
        <v/>
      </c>
      <c r="B157" s="160">
        <f>IF('Datos_fuente'!B157="","",LN('Datos_fuente'!B157))</f>
        <v/>
      </c>
      <c r="C157" s="160">
        <f>IF(OR(B157="",B156=""),"",B157-B156)</f>
        <v/>
      </c>
      <c r="D157" s="160">
        <f>IF('Datos_fuente'!C157="","",LN('Datos_fuente'!C157))</f>
        <v/>
      </c>
      <c r="E157" s="160">
        <f>IF(OR(D157="",D156=""),"",D157-D156)</f>
        <v/>
      </c>
      <c r="F157" s="160">
        <f>IF('Datos_fuente'!E157="","",LN('Datos_fuente'!E157))</f>
        <v/>
      </c>
      <c r="G157" s="160">
        <f>IF(OR(F157="",F156=""),"",F157-F156)</f>
        <v/>
      </c>
      <c r="H157" s="161">
        <f>'Datos_fuente'!H157</f>
        <v/>
      </c>
      <c r="I157" s="161">
        <f>IF(OR(H157="",H156=""),"",H157-H156)</f>
        <v/>
      </c>
      <c r="J157" s="161">
        <f>'Datos_fuente'!J157</f>
        <v/>
      </c>
      <c r="K157" s="161">
        <f>IF(OR(J157="",J156=""),"",J157-J156)</f>
        <v/>
      </c>
      <c r="L157" s="160">
        <f>IF('Datos_fuente'!K157="","",LN('Datos_fuente'!K157))</f>
        <v/>
      </c>
      <c r="M157" s="160">
        <f>IF(OR(L157="",L156=""),"",L157-L156)</f>
        <v/>
      </c>
      <c r="N157" s="160">
        <f>IF('Datos_fuente'!L157="","",LN('Datos_fuente'!L157))</f>
        <v/>
      </c>
      <c r="O157" s="160">
        <f>IF(OR(N157="",N156=""),"",N157-N156)</f>
        <v/>
      </c>
      <c r="P157" s="162">
        <f>'Datos_fuente'!M157</f>
        <v/>
      </c>
      <c r="Q157" s="160">
        <f>IF('Datos_fuente'!N157="","",LN('Datos_fuente'!N157))</f>
        <v/>
      </c>
      <c r="R157" s="160">
        <f>IF(OR(Q157="",Q156=""),"",Q157-Q156)</f>
        <v/>
      </c>
      <c r="S157" s="161">
        <f>'Datos_fuente'!P157</f>
        <v/>
      </c>
      <c r="T157" s="161">
        <f>IF(OR(S157="",S156=""),"",S157-S156)</f>
        <v/>
      </c>
      <c r="U157" s="160">
        <f>IF('Datos_fuente'!Q157="","",ASINH('Datos_fuente'!Q157/1000))</f>
        <v/>
      </c>
      <c r="V157" s="160">
        <f>IF(OR(U157="",U156=""),"",U157-U156)</f>
        <v/>
      </c>
      <c r="W157" s="160">
        <f>IF('Datos_fuente'!R157="","",ASINH('Datos_fuente'!R157/1000))</f>
        <v/>
      </c>
      <c r="X157" s="160">
        <f>IF(OR(W157="",W156=""),"",W157-W156)</f>
        <v/>
      </c>
      <c r="Y157" s="161">
        <f>'Datos_fuente'!W157</f>
        <v/>
      </c>
      <c r="Z157" s="161">
        <f>IF(OR(Y157="",Y156=""),"",Y157-Y156)</f>
        <v/>
      </c>
      <c r="AA157" s="160">
        <f>'Datos_fuente'!AB157</f>
        <v/>
      </c>
      <c r="AB157" s="160">
        <f>'Datos_fuente'!AC157</f>
        <v/>
      </c>
      <c r="AC157" s="160">
        <f>IF('Datos_fuente'!AD157="","",LN('Datos_fuente'!AD157))</f>
        <v/>
      </c>
      <c r="AD157" s="160">
        <f>IF(OR(AC157="",AC156=""),"",AC157-AC156)</f>
        <v/>
      </c>
      <c r="AE157" s="160">
        <f>IF('Datos_fuente'!AE157="","",LN('Datos_fuente'!AE157))</f>
        <v/>
      </c>
      <c r="AF157" s="160">
        <f>IF(OR(AE157="",AE156=""),"",AE157-AE156)</f>
        <v/>
      </c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'Datos_fuente'!A158</f>
        <v/>
      </c>
      <c r="B158" s="160">
        <f>IF('Datos_fuente'!B158="","",LN('Datos_fuente'!B158))</f>
        <v/>
      </c>
      <c r="C158" s="160">
        <f>IF(OR(B158="",B157=""),"",B158-B157)</f>
        <v/>
      </c>
      <c r="D158" s="160">
        <f>IF('Datos_fuente'!C158="","",LN('Datos_fuente'!C158))</f>
        <v/>
      </c>
      <c r="E158" s="160">
        <f>IF(OR(D158="",D157=""),"",D158-D157)</f>
        <v/>
      </c>
      <c r="F158" s="160">
        <f>IF('Datos_fuente'!E158="","",LN('Datos_fuente'!E158))</f>
        <v/>
      </c>
      <c r="G158" s="160">
        <f>IF(OR(F158="",F157=""),"",F158-F157)</f>
        <v/>
      </c>
      <c r="H158" s="161">
        <f>'Datos_fuente'!H158</f>
        <v/>
      </c>
      <c r="I158" s="161">
        <f>IF(OR(H158="",H157=""),"",H158-H157)</f>
        <v/>
      </c>
      <c r="J158" s="161">
        <f>'Datos_fuente'!J158</f>
        <v/>
      </c>
      <c r="K158" s="161">
        <f>IF(OR(J158="",J157=""),"",J158-J157)</f>
        <v/>
      </c>
      <c r="L158" s="160">
        <f>IF('Datos_fuente'!K158="","",LN('Datos_fuente'!K158))</f>
        <v/>
      </c>
      <c r="M158" s="160">
        <f>IF(OR(L158="",L157=""),"",L158-L157)</f>
        <v/>
      </c>
      <c r="N158" s="160">
        <f>IF('Datos_fuente'!L158="","",LN('Datos_fuente'!L158))</f>
        <v/>
      </c>
      <c r="O158" s="160">
        <f>IF(OR(N158="",N157=""),"",N158-N157)</f>
        <v/>
      </c>
      <c r="P158" s="162">
        <f>'Datos_fuente'!M158</f>
        <v/>
      </c>
      <c r="Q158" s="160">
        <f>IF('Datos_fuente'!N158="","",LN('Datos_fuente'!N158))</f>
        <v/>
      </c>
      <c r="R158" s="160">
        <f>IF(OR(Q158="",Q157=""),"",Q158-Q157)</f>
        <v/>
      </c>
      <c r="S158" s="161">
        <f>'Datos_fuente'!P158</f>
        <v/>
      </c>
      <c r="T158" s="161">
        <f>IF(OR(S158="",S157=""),"",S158-S157)</f>
        <v/>
      </c>
      <c r="U158" s="160">
        <f>IF('Datos_fuente'!Q158="","",ASINH('Datos_fuente'!Q158/1000))</f>
        <v/>
      </c>
      <c r="V158" s="160">
        <f>IF(OR(U158="",U157=""),"",U158-U157)</f>
        <v/>
      </c>
      <c r="W158" s="160">
        <f>IF('Datos_fuente'!R158="","",ASINH('Datos_fuente'!R158/1000))</f>
        <v/>
      </c>
      <c r="X158" s="160">
        <f>IF(OR(W158="",W157=""),"",W158-W157)</f>
        <v/>
      </c>
      <c r="Y158" s="161">
        <f>'Datos_fuente'!W158</f>
        <v/>
      </c>
      <c r="Z158" s="161">
        <f>IF(OR(Y158="",Y157=""),"",Y158-Y157)</f>
        <v/>
      </c>
      <c r="AA158" s="160">
        <f>'Datos_fuente'!AB158</f>
        <v/>
      </c>
      <c r="AB158" s="160">
        <f>'Datos_fuente'!AC158</f>
        <v/>
      </c>
      <c r="AC158" s="160">
        <f>IF('Datos_fuente'!AD158="","",LN('Datos_fuente'!AD158))</f>
        <v/>
      </c>
      <c r="AD158" s="160">
        <f>IF(OR(AC158="",AC157=""),"",AC158-AC157)</f>
        <v/>
      </c>
      <c r="AE158" s="160">
        <f>IF('Datos_fuente'!AE158="","",LN('Datos_fuente'!AE158))</f>
        <v/>
      </c>
      <c r="AF158" s="160">
        <f>IF(OR(AE158="",AE157=""),"",AE158-AE157)</f>
        <v/>
      </c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'Datos_fuente'!A159</f>
        <v/>
      </c>
      <c r="B159" s="160">
        <f>IF('Datos_fuente'!B159="","",LN('Datos_fuente'!B159))</f>
        <v/>
      </c>
      <c r="C159" s="160">
        <f>IF(OR(B159="",B158=""),"",B159-B158)</f>
        <v/>
      </c>
      <c r="D159" s="160">
        <f>IF('Datos_fuente'!C159="","",LN('Datos_fuente'!C159))</f>
        <v/>
      </c>
      <c r="E159" s="160">
        <f>IF(OR(D159="",D158=""),"",D159-D158)</f>
        <v/>
      </c>
      <c r="F159" s="160">
        <f>IF('Datos_fuente'!E159="","",LN('Datos_fuente'!E159))</f>
        <v/>
      </c>
      <c r="G159" s="160">
        <f>IF(OR(F159="",F158=""),"",F159-F158)</f>
        <v/>
      </c>
      <c r="H159" s="161">
        <f>'Datos_fuente'!H159</f>
        <v/>
      </c>
      <c r="I159" s="161">
        <f>IF(OR(H159="",H158=""),"",H159-H158)</f>
        <v/>
      </c>
      <c r="J159" s="161">
        <f>'Datos_fuente'!J159</f>
        <v/>
      </c>
      <c r="K159" s="161">
        <f>IF(OR(J159="",J158=""),"",J159-J158)</f>
        <v/>
      </c>
      <c r="L159" s="160">
        <f>IF('Datos_fuente'!K159="","",LN('Datos_fuente'!K159))</f>
        <v/>
      </c>
      <c r="M159" s="160">
        <f>IF(OR(L159="",L158=""),"",L159-L158)</f>
        <v/>
      </c>
      <c r="N159" s="160">
        <f>IF('Datos_fuente'!L159="","",LN('Datos_fuente'!L159))</f>
        <v/>
      </c>
      <c r="O159" s="160">
        <f>IF(OR(N159="",N158=""),"",N159-N158)</f>
        <v/>
      </c>
      <c r="P159" s="162">
        <f>'Datos_fuente'!M159</f>
        <v/>
      </c>
      <c r="Q159" s="160">
        <f>IF('Datos_fuente'!N159="","",LN('Datos_fuente'!N159))</f>
        <v/>
      </c>
      <c r="R159" s="160">
        <f>IF(OR(Q159="",Q158=""),"",Q159-Q158)</f>
        <v/>
      </c>
      <c r="S159" s="161">
        <f>'Datos_fuente'!P159</f>
        <v/>
      </c>
      <c r="T159" s="161">
        <f>IF(OR(S159="",S158=""),"",S159-S158)</f>
        <v/>
      </c>
      <c r="U159" s="160">
        <f>IF('Datos_fuente'!Q159="","",ASINH('Datos_fuente'!Q159/1000))</f>
        <v/>
      </c>
      <c r="V159" s="160">
        <f>IF(OR(U159="",U158=""),"",U159-U158)</f>
        <v/>
      </c>
      <c r="W159" s="160">
        <f>IF('Datos_fuente'!R159="","",ASINH('Datos_fuente'!R159/1000))</f>
        <v/>
      </c>
      <c r="X159" s="160">
        <f>IF(OR(W159="",W158=""),"",W159-W158)</f>
        <v/>
      </c>
      <c r="Y159" s="161">
        <f>'Datos_fuente'!W159</f>
        <v/>
      </c>
      <c r="Z159" s="161">
        <f>IF(OR(Y159="",Y158=""),"",Y159-Y158)</f>
        <v/>
      </c>
      <c r="AA159" s="160">
        <f>'Datos_fuente'!AB159</f>
        <v/>
      </c>
      <c r="AB159" s="160">
        <f>'Datos_fuente'!AC159</f>
        <v/>
      </c>
      <c r="AC159" s="160">
        <f>IF('Datos_fuente'!AD159="","",LN('Datos_fuente'!AD159))</f>
        <v/>
      </c>
      <c r="AD159" s="160">
        <f>IF(OR(AC159="",AC158=""),"",AC159-AC158)</f>
        <v/>
      </c>
      <c r="AE159" s="160">
        <f>IF('Datos_fuente'!AE159="","",LN('Datos_fuente'!AE159))</f>
        <v/>
      </c>
      <c r="AF159" s="160">
        <f>IF(OR(AE159="",AE158=""),"",AE159-AE158)</f>
        <v/>
      </c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'Datos_fuente'!A160</f>
        <v/>
      </c>
      <c r="B160" s="160">
        <f>IF('Datos_fuente'!B160="","",LN('Datos_fuente'!B160))</f>
        <v/>
      </c>
      <c r="C160" s="160">
        <f>IF(OR(B160="",B159=""),"",B160-B159)</f>
        <v/>
      </c>
      <c r="D160" s="160">
        <f>IF('Datos_fuente'!C160="","",LN('Datos_fuente'!C160))</f>
        <v/>
      </c>
      <c r="E160" s="160">
        <f>IF(OR(D160="",D159=""),"",D160-D159)</f>
        <v/>
      </c>
      <c r="F160" s="160">
        <f>IF('Datos_fuente'!E160="","",LN('Datos_fuente'!E160))</f>
        <v/>
      </c>
      <c r="G160" s="160">
        <f>IF(OR(F160="",F159=""),"",F160-F159)</f>
        <v/>
      </c>
      <c r="H160" s="161">
        <f>'Datos_fuente'!H160</f>
        <v/>
      </c>
      <c r="I160" s="161">
        <f>IF(OR(H160="",H159=""),"",H160-H159)</f>
        <v/>
      </c>
      <c r="J160" s="161">
        <f>'Datos_fuente'!J160</f>
        <v/>
      </c>
      <c r="K160" s="161">
        <f>IF(OR(J160="",J159=""),"",J160-J159)</f>
        <v/>
      </c>
      <c r="L160" s="160">
        <f>IF('Datos_fuente'!K160="","",LN('Datos_fuente'!K160))</f>
        <v/>
      </c>
      <c r="M160" s="160">
        <f>IF(OR(L160="",L159=""),"",L160-L159)</f>
        <v/>
      </c>
      <c r="N160" s="160">
        <f>IF('Datos_fuente'!L160="","",LN('Datos_fuente'!L160))</f>
        <v/>
      </c>
      <c r="O160" s="160">
        <f>IF(OR(N160="",N159=""),"",N160-N159)</f>
        <v/>
      </c>
      <c r="P160" s="162">
        <f>'Datos_fuente'!M160</f>
        <v/>
      </c>
      <c r="Q160" s="160">
        <f>IF('Datos_fuente'!N160="","",LN('Datos_fuente'!N160))</f>
        <v/>
      </c>
      <c r="R160" s="160">
        <f>IF(OR(Q160="",Q159=""),"",Q160-Q159)</f>
        <v/>
      </c>
      <c r="S160" s="161">
        <f>'Datos_fuente'!P160</f>
        <v/>
      </c>
      <c r="T160" s="161">
        <f>IF(OR(S160="",S159=""),"",S160-S159)</f>
        <v/>
      </c>
      <c r="U160" s="160">
        <f>IF('Datos_fuente'!Q160="","",ASINH('Datos_fuente'!Q160/1000))</f>
        <v/>
      </c>
      <c r="V160" s="160">
        <f>IF(OR(U160="",U159=""),"",U160-U159)</f>
        <v/>
      </c>
      <c r="W160" s="160">
        <f>IF('Datos_fuente'!R160="","",ASINH('Datos_fuente'!R160/1000))</f>
        <v/>
      </c>
      <c r="X160" s="160">
        <f>IF(OR(W160="",W159=""),"",W160-W159)</f>
        <v/>
      </c>
      <c r="Y160" s="161">
        <f>'Datos_fuente'!W160</f>
        <v/>
      </c>
      <c r="Z160" s="161">
        <f>IF(OR(Y160="",Y159=""),"",Y160-Y159)</f>
        <v/>
      </c>
      <c r="AA160" s="160">
        <f>'Datos_fuente'!AB160</f>
        <v/>
      </c>
      <c r="AB160" s="160">
        <f>'Datos_fuente'!AC160</f>
        <v/>
      </c>
      <c r="AC160" s="160">
        <f>IF('Datos_fuente'!AD160="","",LN('Datos_fuente'!AD160))</f>
        <v/>
      </c>
      <c r="AD160" s="160">
        <f>IF(OR(AC160="",AC159=""),"",AC160-AC159)</f>
        <v/>
      </c>
      <c r="AE160" s="160">
        <f>IF('Datos_fuente'!AE160="","",LN('Datos_fuente'!AE160))</f>
        <v/>
      </c>
      <c r="AF160" s="160">
        <f>IF(OR(AE160="",AE159=""),"",AE160-AE159)</f>
        <v/>
      </c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'Datos_fuente'!A161</f>
        <v/>
      </c>
      <c r="B161" s="160">
        <f>IF('Datos_fuente'!B161="","",LN('Datos_fuente'!B161))</f>
        <v/>
      </c>
      <c r="C161" s="160">
        <f>IF(OR(B161="",B160=""),"",B161-B160)</f>
        <v/>
      </c>
      <c r="D161" s="160">
        <f>IF('Datos_fuente'!C161="","",LN('Datos_fuente'!C161))</f>
        <v/>
      </c>
      <c r="E161" s="160">
        <f>IF(OR(D161="",D160=""),"",D161-D160)</f>
        <v/>
      </c>
      <c r="F161" s="160">
        <f>IF('Datos_fuente'!E161="","",LN('Datos_fuente'!E161))</f>
        <v/>
      </c>
      <c r="G161" s="160">
        <f>IF(OR(F161="",F160=""),"",F161-F160)</f>
        <v/>
      </c>
      <c r="H161" s="161">
        <f>'Datos_fuente'!H161</f>
        <v/>
      </c>
      <c r="I161" s="161">
        <f>IF(OR(H161="",H160=""),"",H161-H160)</f>
        <v/>
      </c>
      <c r="J161" s="161">
        <f>'Datos_fuente'!J161</f>
        <v/>
      </c>
      <c r="K161" s="161">
        <f>IF(OR(J161="",J160=""),"",J161-J160)</f>
        <v/>
      </c>
      <c r="L161" s="160">
        <f>IF('Datos_fuente'!K161="","",LN('Datos_fuente'!K161))</f>
        <v/>
      </c>
      <c r="M161" s="160">
        <f>IF(OR(L161="",L160=""),"",L161-L160)</f>
        <v/>
      </c>
      <c r="N161" s="160">
        <f>IF('Datos_fuente'!L161="","",LN('Datos_fuente'!L161))</f>
        <v/>
      </c>
      <c r="O161" s="160">
        <f>IF(OR(N161="",N160=""),"",N161-N160)</f>
        <v/>
      </c>
      <c r="P161" s="162">
        <f>'Datos_fuente'!M161</f>
        <v/>
      </c>
      <c r="Q161" s="160">
        <f>IF('Datos_fuente'!N161="","",LN('Datos_fuente'!N161))</f>
        <v/>
      </c>
      <c r="R161" s="160">
        <f>IF(OR(Q161="",Q160=""),"",Q161-Q160)</f>
        <v/>
      </c>
      <c r="S161" s="161">
        <f>'Datos_fuente'!P161</f>
        <v/>
      </c>
      <c r="T161" s="161">
        <f>IF(OR(S161="",S160=""),"",S161-S160)</f>
        <v/>
      </c>
      <c r="U161" s="160">
        <f>IF('Datos_fuente'!Q161="","",ASINH('Datos_fuente'!Q161/1000))</f>
        <v/>
      </c>
      <c r="V161" s="160">
        <f>IF(OR(U161="",U160=""),"",U161-U160)</f>
        <v/>
      </c>
      <c r="W161" s="160">
        <f>IF('Datos_fuente'!R161="","",ASINH('Datos_fuente'!R161/1000))</f>
        <v/>
      </c>
      <c r="X161" s="160">
        <f>IF(OR(W161="",W160=""),"",W161-W160)</f>
        <v/>
      </c>
      <c r="Y161" s="161">
        <f>'Datos_fuente'!W161</f>
        <v/>
      </c>
      <c r="Z161" s="161">
        <f>IF(OR(Y161="",Y160=""),"",Y161-Y160)</f>
        <v/>
      </c>
      <c r="AA161" s="160">
        <f>'Datos_fuente'!AB161</f>
        <v/>
      </c>
      <c r="AB161" s="160">
        <f>'Datos_fuente'!AC161</f>
        <v/>
      </c>
      <c r="AC161" s="160">
        <f>IF('Datos_fuente'!AD161="","",LN('Datos_fuente'!AD161))</f>
        <v/>
      </c>
      <c r="AD161" s="160">
        <f>IF(OR(AC161="",AC160=""),"",AC161-AC160)</f>
        <v/>
      </c>
      <c r="AE161" s="160">
        <f>IF('Datos_fuente'!AE161="","",LN('Datos_fuente'!AE161))</f>
        <v/>
      </c>
      <c r="AF161" s="160">
        <f>IF(OR(AE161="",AE160=""),"",AE161-AE160)</f>
        <v/>
      </c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'Datos_fuente'!A162</f>
        <v/>
      </c>
      <c r="B162" s="160">
        <f>IF('Datos_fuente'!B162="","",LN('Datos_fuente'!B162))</f>
        <v/>
      </c>
      <c r="C162" s="160">
        <f>IF(OR(B162="",B161=""),"",B162-B161)</f>
        <v/>
      </c>
      <c r="D162" s="160">
        <f>IF('Datos_fuente'!C162="","",LN('Datos_fuente'!C162))</f>
        <v/>
      </c>
      <c r="E162" s="160">
        <f>IF(OR(D162="",D161=""),"",D162-D161)</f>
        <v/>
      </c>
      <c r="F162" s="160">
        <f>IF('Datos_fuente'!E162="","",LN('Datos_fuente'!E162))</f>
        <v/>
      </c>
      <c r="G162" s="160">
        <f>IF(OR(F162="",F161=""),"",F162-F161)</f>
        <v/>
      </c>
      <c r="H162" s="161">
        <f>'Datos_fuente'!H162</f>
        <v/>
      </c>
      <c r="I162" s="161">
        <f>IF(OR(H162="",H161=""),"",H162-H161)</f>
        <v/>
      </c>
      <c r="J162" s="161">
        <f>'Datos_fuente'!J162</f>
        <v/>
      </c>
      <c r="K162" s="161">
        <f>IF(OR(J162="",J161=""),"",J162-J161)</f>
        <v/>
      </c>
      <c r="L162" s="160">
        <f>IF('Datos_fuente'!K162="","",LN('Datos_fuente'!K162))</f>
        <v/>
      </c>
      <c r="M162" s="160">
        <f>IF(OR(L162="",L161=""),"",L162-L161)</f>
        <v/>
      </c>
      <c r="N162" s="160">
        <f>IF('Datos_fuente'!L162="","",LN('Datos_fuente'!L162))</f>
        <v/>
      </c>
      <c r="O162" s="160">
        <f>IF(OR(N162="",N161=""),"",N162-N161)</f>
        <v/>
      </c>
      <c r="P162" s="162">
        <f>'Datos_fuente'!M162</f>
        <v/>
      </c>
      <c r="Q162" s="160">
        <f>IF('Datos_fuente'!N162="","",LN('Datos_fuente'!N162))</f>
        <v/>
      </c>
      <c r="R162" s="160">
        <f>IF(OR(Q162="",Q161=""),"",Q162-Q161)</f>
        <v/>
      </c>
      <c r="S162" s="161">
        <f>'Datos_fuente'!P162</f>
        <v/>
      </c>
      <c r="T162" s="161">
        <f>IF(OR(S162="",S161=""),"",S162-S161)</f>
        <v/>
      </c>
      <c r="U162" s="160">
        <f>IF('Datos_fuente'!Q162="","",ASINH('Datos_fuente'!Q162/1000))</f>
        <v/>
      </c>
      <c r="V162" s="160">
        <f>IF(OR(U162="",U161=""),"",U162-U161)</f>
        <v/>
      </c>
      <c r="W162" s="160">
        <f>IF('Datos_fuente'!R162="","",ASINH('Datos_fuente'!R162/1000))</f>
        <v/>
      </c>
      <c r="X162" s="160">
        <f>IF(OR(W162="",W161=""),"",W162-W161)</f>
        <v/>
      </c>
      <c r="Y162" s="161">
        <f>'Datos_fuente'!W162</f>
        <v/>
      </c>
      <c r="Z162" s="161">
        <f>IF(OR(Y162="",Y161=""),"",Y162-Y161)</f>
        <v/>
      </c>
      <c r="AA162" s="160">
        <f>'Datos_fuente'!AB162</f>
        <v/>
      </c>
      <c r="AB162" s="160">
        <f>'Datos_fuente'!AC162</f>
        <v/>
      </c>
      <c r="AC162" s="160">
        <f>IF('Datos_fuente'!AD162="","",LN('Datos_fuente'!AD162))</f>
        <v/>
      </c>
      <c r="AD162" s="160">
        <f>IF(OR(AC162="",AC161=""),"",AC162-AC161)</f>
        <v/>
      </c>
      <c r="AE162" s="160">
        <f>IF('Datos_fuente'!AE162="","",LN('Datos_fuente'!AE162))</f>
        <v/>
      </c>
      <c r="AF162" s="160">
        <f>IF(OR(AE162="",AE161=""),"",AE162-AE161)</f>
        <v/>
      </c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'Datos_fuente'!A163</f>
        <v/>
      </c>
      <c r="B163" s="160">
        <f>IF('Datos_fuente'!B163="","",LN('Datos_fuente'!B163))</f>
        <v/>
      </c>
      <c r="C163" s="160">
        <f>IF(OR(B163="",B162=""),"",B163-B162)</f>
        <v/>
      </c>
      <c r="D163" s="160">
        <f>IF('Datos_fuente'!C163="","",LN('Datos_fuente'!C163))</f>
        <v/>
      </c>
      <c r="E163" s="160">
        <f>IF(OR(D163="",D162=""),"",D163-D162)</f>
        <v/>
      </c>
      <c r="F163" s="160">
        <f>IF('Datos_fuente'!E163="","",LN('Datos_fuente'!E163))</f>
        <v/>
      </c>
      <c r="G163" s="160">
        <f>IF(OR(F163="",F162=""),"",F163-F162)</f>
        <v/>
      </c>
      <c r="H163" s="161">
        <f>'Datos_fuente'!H163</f>
        <v/>
      </c>
      <c r="I163" s="161">
        <f>IF(OR(H163="",H162=""),"",H163-H162)</f>
        <v/>
      </c>
      <c r="J163" s="161">
        <f>'Datos_fuente'!J163</f>
        <v/>
      </c>
      <c r="K163" s="161">
        <f>IF(OR(J163="",J162=""),"",J163-J162)</f>
        <v/>
      </c>
      <c r="L163" s="160">
        <f>IF('Datos_fuente'!K163="","",LN('Datos_fuente'!K163))</f>
        <v/>
      </c>
      <c r="M163" s="160">
        <f>IF(OR(L163="",L162=""),"",L163-L162)</f>
        <v/>
      </c>
      <c r="N163" s="160">
        <f>IF('Datos_fuente'!L163="","",LN('Datos_fuente'!L163))</f>
        <v/>
      </c>
      <c r="O163" s="160">
        <f>IF(OR(N163="",N162=""),"",N163-N162)</f>
        <v/>
      </c>
      <c r="P163" s="162">
        <f>'Datos_fuente'!M163</f>
        <v/>
      </c>
      <c r="Q163" s="160">
        <f>IF('Datos_fuente'!N163="","",LN('Datos_fuente'!N163))</f>
        <v/>
      </c>
      <c r="R163" s="160">
        <f>IF(OR(Q163="",Q162=""),"",Q163-Q162)</f>
        <v/>
      </c>
      <c r="S163" s="161">
        <f>'Datos_fuente'!P163</f>
        <v/>
      </c>
      <c r="T163" s="161">
        <f>IF(OR(S163="",S162=""),"",S163-S162)</f>
        <v/>
      </c>
      <c r="U163" s="160">
        <f>IF('Datos_fuente'!Q163="","",ASINH('Datos_fuente'!Q163/1000))</f>
        <v/>
      </c>
      <c r="V163" s="160">
        <f>IF(OR(U163="",U162=""),"",U163-U162)</f>
        <v/>
      </c>
      <c r="W163" s="160">
        <f>IF('Datos_fuente'!R163="","",ASINH('Datos_fuente'!R163/1000))</f>
        <v/>
      </c>
      <c r="X163" s="160">
        <f>IF(OR(W163="",W162=""),"",W163-W162)</f>
        <v/>
      </c>
      <c r="Y163" s="161">
        <f>'Datos_fuente'!W163</f>
        <v/>
      </c>
      <c r="Z163" s="161">
        <f>IF(OR(Y163="",Y162=""),"",Y163-Y162)</f>
        <v/>
      </c>
      <c r="AA163" s="160">
        <f>'Datos_fuente'!AB163</f>
        <v/>
      </c>
      <c r="AB163" s="160">
        <f>'Datos_fuente'!AC163</f>
        <v/>
      </c>
      <c r="AC163" s="160">
        <f>IF('Datos_fuente'!AD163="","",LN('Datos_fuente'!AD163))</f>
        <v/>
      </c>
      <c r="AD163" s="160">
        <f>IF(OR(AC163="",AC162=""),"",AC163-AC162)</f>
        <v/>
      </c>
      <c r="AE163" s="160">
        <f>IF('Datos_fuente'!AE163="","",LN('Datos_fuente'!AE163))</f>
        <v/>
      </c>
      <c r="AF163" s="160">
        <f>IF(OR(AE163="",AE162=""),"",AE163-AE162)</f>
        <v/>
      </c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'Datos_fuente'!A164</f>
        <v/>
      </c>
      <c r="B164" s="160">
        <f>IF('Datos_fuente'!B164="","",LN('Datos_fuente'!B164))</f>
        <v/>
      </c>
      <c r="C164" s="160">
        <f>IF(OR(B164="",B163=""),"",B164-B163)</f>
        <v/>
      </c>
      <c r="D164" s="160">
        <f>IF('Datos_fuente'!C164="","",LN('Datos_fuente'!C164))</f>
        <v/>
      </c>
      <c r="E164" s="160">
        <f>IF(OR(D164="",D163=""),"",D164-D163)</f>
        <v/>
      </c>
      <c r="F164" s="160">
        <f>IF('Datos_fuente'!E164="","",LN('Datos_fuente'!E164))</f>
        <v/>
      </c>
      <c r="G164" s="160">
        <f>IF(OR(F164="",F163=""),"",F164-F163)</f>
        <v/>
      </c>
      <c r="H164" s="161">
        <f>'Datos_fuente'!H164</f>
        <v/>
      </c>
      <c r="I164" s="161">
        <f>IF(OR(H164="",H163=""),"",H164-H163)</f>
        <v/>
      </c>
      <c r="J164" s="161">
        <f>'Datos_fuente'!J164</f>
        <v/>
      </c>
      <c r="K164" s="161">
        <f>IF(OR(J164="",J163=""),"",J164-J163)</f>
        <v/>
      </c>
      <c r="L164" s="160">
        <f>IF('Datos_fuente'!K164="","",LN('Datos_fuente'!K164))</f>
        <v/>
      </c>
      <c r="M164" s="160">
        <f>IF(OR(L164="",L163=""),"",L164-L163)</f>
        <v/>
      </c>
      <c r="N164" s="160">
        <f>IF('Datos_fuente'!L164="","",LN('Datos_fuente'!L164))</f>
        <v/>
      </c>
      <c r="O164" s="160">
        <f>IF(OR(N164="",N163=""),"",N164-N163)</f>
        <v/>
      </c>
      <c r="P164" s="162">
        <f>'Datos_fuente'!M164</f>
        <v/>
      </c>
      <c r="Q164" s="160">
        <f>IF('Datos_fuente'!N164="","",LN('Datos_fuente'!N164))</f>
        <v/>
      </c>
      <c r="R164" s="160">
        <f>IF(OR(Q164="",Q163=""),"",Q164-Q163)</f>
        <v/>
      </c>
      <c r="S164" s="161">
        <f>'Datos_fuente'!P164</f>
        <v/>
      </c>
      <c r="T164" s="161">
        <f>IF(OR(S164="",S163=""),"",S164-S163)</f>
        <v/>
      </c>
      <c r="U164" s="160">
        <f>IF('Datos_fuente'!Q164="","",ASINH('Datos_fuente'!Q164/1000))</f>
        <v/>
      </c>
      <c r="V164" s="160">
        <f>IF(OR(U164="",U163=""),"",U164-U163)</f>
        <v/>
      </c>
      <c r="W164" s="160">
        <f>IF('Datos_fuente'!R164="","",ASINH('Datos_fuente'!R164/1000))</f>
        <v/>
      </c>
      <c r="X164" s="160">
        <f>IF(OR(W164="",W163=""),"",W164-W163)</f>
        <v/>
      </c>
      <c r="Y164" s="161">
        <f>'Datos_fuente'!W164</f>
        <v/>
      </c>
      <c r="Z164" s="161">
        <f>IF(OR(Y164="",Y163=""),"",Y164-Y163)</f>
        <v/>
      </c>
      <c r="AA164" s="160">
        <f>'Datos_fuente'!AB164</f>
        <v/>
      </c>
      <c r="AB164" s="160">
        <f>'Datos_fuente'!AC164</f>
        <v/>
      </c>
      <c r="AC164" s="160">
        <f>IF('Datos_fuente'!AD164="","",LN('Datos_fuente'!AD164))</f>
        <v/>
      </c>
      <c r="AD164" s="160">
        <f>IF(OR(AC164="",AC163=""),"",AC164-AC163)</f>
        <v/>
      </c>
      <c r="AE164" s="160">
        <f>IF('Datos_fuente'!AE164="","",LN('Datos_fuente'!AE164))</f>
        <v/>
      </c>
      <c r="AF164" s="160">
        <f>IF(OR(AE164="",AE163=""),"",AE164-AE163)</f>
        <v/>
      </c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'Datos_fuente'!A165</f>
        <v/>
      </c>
      <c r="B165" s="160">
        <f>IF('Datos_fuente'!B165="","",LN('Datos_fuente'!B165))</f>
        <v/>
      </c>
      <c r="C165" s="160">
        <f>IF(OR(B165="",B164=""),"",B165-B164)</f>
        <v/>
      </c>
      <c r="D165" s="160">
        <f>IF('Datos_fuente'!C165="","",LN('Datos_fuente'!C165))</f>
        <v/>
      </c>
      <c r="E165" s="160">
        <f>IF(OR(D165="",D164=""),"",D165-D164)</f>
        <v/>
      </c>
      <c r="F165" s="160">
        <f>IF('Datos_fuente'!E165="","",LN('Datos_fuente'!E165))</f>
        <v/>
      </c>
      <c r="G165" s="160">
        <f>IF(OR(F165="",F164=""),"",F165-F164)</f>
        <v/>
      </c>
      <c r="H165" s="161">
        <f>'Datos_fuente'!H165</f>
        <v/>
      </c>
      <c r="I165" s="161">
        <f>IF(OR(H165="",H164=""),"",H165-H164)</f>
        <v/>
      </c>
      <c r="J165" s="161">
        <f>'Datos_fuente'!J165</f>
        <v/>
      </c>
      <c r="K165" s="161">
        <f>IF(OR(J165="",J164=""),"",J165-J164)</f>
        <v/>
      </c>
      <c r="L165" s="160">
        <f>IF('Datos_fuente'!K165="","",LN('Datos_fuente'!K165))</f>
        <v/>
      </c>
      <c r="M165" s="160">
        <f>IF(OR(L165="",L164=""),"",L165-L164)</f>
        <v/>
      </c>
      <c r="N165" s="160">
        <f>IF('Datos_fuente'!L165="","",LN('Datos_fuente'!L165))</f>
        <v/>
      </c>
      <c r="O165" s="160">
        <f>IF(OR(N165="",N164=""),"",N165-N164)</f>
        <v/>
      </c>
      <c r="P165" s="162">
        <f>'Datos_fuente'!M165</f>
        <v/>
      </c>
      <c r="Q165" s="160">
        <f>IF('Datos_fuente'!N165="","",LN('Datos_fuente'!N165))</f>
        <v/>
      </c>
      <c r="R165" s="160">
        <f>IF(OR(Q165="",Q164=""),"",Q165-Q164)</f>
        <v/>
      </c>
      <c r="S165" s="161">
        <f>'Datos_fuente'!P165</f>
        <v/>
      </c>
      <c r="T165" s="161">
        <f>IF(OR(S165="",S164=""),"",S165-S164)</f>
        <v/>
      </c>
      <c r="U165" s="160">
        <f>IF('Datos_fuente'!Q165="","",ASINH('Datos_fuente'!Q165/1000))</f>
        <v/>
      </c>
      <c r="V165" s="160">
        <f>IF(OR(U165="",U164=""),"",U165-U164)</f>
        <v/>
      </c>
      <c r="W165" s="160">
        <f>IF('Datos_fuente'!R165="","",ASINH('Datos_fuente'!R165/1000))</f>
        <v/>
      </c>
      <c r="X165" s="160">
        <f>IF(OR(W165="",W164=""),"",W165-W164)</f>
        <v/>
      </c>
      <c r="Y165" s="161">
        <f>'Datos_fuente'!W165</f>
        <v/>
      </c>
      <c r="Z165" s="161">
        <f>IF(OR(Y165="",Y164=""),"",Y165-Y164)</f>
        <v/>
      </c>
      <c r="AA165" s="160">
        <f>'Datos_fuente'!AB165</f>
        <v/>
      </c>
      <c r="AB165" s="160">
        <f>'Datos_fuente'!AC165</f>
        <v/>
      </c>
      <c r="AC165" s="160">
        <f>IF('Datos_fuente'!AD165="","",LN('Datos_fuente'!AD165))</f>
        <v/>
      </c>
      <c r="AD165" s="160">
        <f>IF(OR(AC165="",AC164=""),"",AC165-AC164)</f>
        <v/>
      </c>
      <c r="AE165" s="160">
        <f>IF('Datos_fuente'!AE165="","",LN('Datos_fuente'!AE165))</f>
        <v/>
      </c>
      <c r="AF165" s="160">
        <f>IF(OR(AE165="",AE164=""),"",AE165-AE164)</f>
        <v/>
      </c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'Datos_fuente'!A166</f>
        <v/>
      </c>
      <c r="B166" s="160">
        <f>IF('Datos_fuente'!B166="","",LN('Datos_fuente'!B166))</f>
        <v/>
      </c>
      <c r="C166" s="160">
        <f>IF(OR(B166="",B165=""),"",B166-B165)</f>
        <v/>
      </c>
      <c r="D166" s="160">
        <f>IF('Datos_fuente'!C166="","",LN('Datos_fuente'!C166))</f>
        <v/>
      </c>
      <c r="E166" s="160">
        <f>IF(OR(D166="",D165=""),"",D166-D165)</f>
        <v/>
      </c>
      <c r="F166" s="160">
        <f>IF('Datos_fuente'!E166="","",LN('Datos_fuente'!E166))</f>
        <v/>
      </c>
      <c r="G166" s="160">
        <f>IF(OR(F166="",F165=""),"",F166-F165)</f>
        <v/>
      </c>
      <c r="H166" s="161">
        <f>'Datos_fuente'!H166</f>
        <v/>
      </c>
      <c r="I166" s="161">
        <f>IF(OR(H166="",H165=""),"",H166-H165)</f>
        <v/>
      </c>
      <c r="J166" s="161">
        <f>'Datos_fuente'!J166</f>
        <v/>
      </c>
      <c r="K166" s="161">
        <f>IF(OR(J166="",J165=""),"",J166-J165)</f>
        <v/>
      </c>
      <c r="L166" s="160">
        <f>IF('Datos_fuente'!K166="","",LN('Datos_fuente'!K166))</f>
        <v/>
      </c>
      <c r="M166" s="160">
        <f>IF(OR(L166="",L165=""),"",L166-L165)</f>
        <v/>
      </c>
      <c r="N166" s="160">
        <f>IF('Datos_fuente'!L166="","",LN('Datos_fuente'!L166))</f>
        <v/>
      </c>
      <c r="O166" s="160">
        <f>IF(OR(N166="",N165=""),"",N166-N165)</f>
        <v/>
      </c>
      <c r="P166" s="162">
        <f>'Datos_fuente'!M166</f>
        <v/>
      </c>
      <c r="Q166" s="160">
        <f>IF('Datos_fuente'!N166="","",LN('Datos_fuente'!N166))</f>
        <v/>
      </c>
      <c r="R166" s="160">
        <f>IF(OR(Q166="",Q165=""),"",Q166-Q165)</f>
        <v/>
      </c>
      <c r="S166" s="161">
        <f>'Datos_fuente'!P166</f>
        <v/>
      </c>
      <c r="T166" s="161">
        <f>IF(OR(S166="",S165=""),"",S166-S165)</f>
        <v/>
      </c>
      <c r="U166" s="160">
        <f>IF('Datos_fuente'!Q166="","",ASINH('Datos_fuente'!Q166/1000))</f>
        <v/>
      </c>
      <c r="V166" s="160">
        <f>IF(OR(U166="",U165=""),"",U166-U165)</f>
        <v/>
      </c>
      <c r="W166" s="160">
        <f>IF('Datos_fuente'!R166="","",ASINH('Datos_fuente'!R166/1000))</f>
        <v/>
      </c>
      <c r="X166" s="160">
        <f>IF(OR(W166="",W165=""),"",W166-W165)</f>
        <v/>
      </c>
      <c r="Y166" s="161">
        <f>'Datos_fuente'!W166</f>
        <v/>
      </c>
      <c r="Z166" s="161">
        <f>IF(OR(Y166="",Y165=""),"",Y166-Y165)</f>
        <v/>
      </c>
      <c r="AA166" s="160">
        <f>'Datos_fuente'!AB166</f>
        <v/>
      </c>
      <c r="AB166" s="160">
        <f>'Datos_fuente'!AC166</f>
        <v/>
      </c>
      <c r="AC166" s="160">
        <f>IF('Datos_fuente'!AD166="","",LN('Datos_fuente'!AD166))</f>
        <v/>
      </c>
      <c r="AD166" s="160">
        <f>IF(OR(AC166="",AC165=""),"",AC166-AC165)</f>
        <v/>
      </c>
      <c r="AE166" s="160">
        <f>IF('Datos_fuente'!AE166="","",LN('Datos_fuente'!AE166))</f>
        <v/>
      </c>
      <c r="AF166" s="160">
        <f>IF(OR(AE166="",AE165=""),"",AE166-AE165)</f>
        <v/>
      </c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'Datos_fuente'!A167</f>
        <v/>
      </c>
      <c r="B167" s="160">
        <f>IF('Datos_fuente'!B167="","",LN('Datos_fuente'!B167))</f>
        <v/>
      </c>
      <c r="C167" s="160">
        <f>IF(OR(B167="",B166=""),"",B167-B166)</f>
        <v/>
      </c>
      <c r="D167" s="160">
        <f>IF('Datos_fuente'!C167="","",LN('Datos_fuente'!C167))</f>
        <v/>
      </c>
      <c r="E167" s="160">
        <f>IF(OR(D167="",D166=""),"",D167-D166)</f>
        <v/>
      </c>
      <c r="F167" s="160">
        <f>IF('Datos_fuente'!E167="","",LN('Datos_fuente'!E167))</f>
        <v/>
      </c>
      <c r="G167" s="160">
        <f>IF(OR(F167="",F166=""),"",F167-F166)</f>
        <v/>
      </c>
      <c r="H167" s="161">
        <f>'Datos_fuente'!H167</f>
        <v/>
      </c>
      <c r="I167" s="161">
        <f>IF(OR(H167="",H166=""),"",H167-H166)</f>
        <v/>
      </c>
      <c r="J167" s="161">
        <f>'Datos_fuente'!J167</f>
        <v/>
      </c>
      <c r="K167" s="161">
        <f>IF(OR(J167="",J166=""),"",J167-J166)</f>
        <v/>
      </c>
      <c r="L167" s="160">
        <f>IF('Datos_fuente'!K167="","",LN('Datos_fuente'!K167))</f>
        <v/>
      </c>
      <c r="M167" s="160">
        <f>IF(OR(L167="",L166=""),"",L167-L166)</f>
        <v/>
      </c>
      <c r="N167" s="160">
        <f>IF('Datos_fuente'!L167="","",LN('Datos_fuente'!L167))</f>
        <v/>
      </c>
      <c r="O167" s="160">
        <f>IF(OR(N167="",N166=""),"",N167-N166)</f>
        <v/>
      </c>
      <c r="P167" s="162">
        <f>'Datos_fuente'!M167</f>
        <v/>
      </c>
      <c r="Q167" s="160">
        <f>IF('Datos_fuente'!N167="","",LN('Datos_fuente'!N167))</f>
        <v/>
      </c>
      <c r="R167" s="160">
        <f>IF(OR(Q167="",Q166=""),"",Q167-Q166)</f>
        <v/>
      </c>
      <c r="S167" s="161">
        <f>'Datos_fuente'!P167</f>
        <v/>
      </c>
      <c r="T167" s="161">
        <f>IF(OR(S167="",S166=""),"",S167-S166)</f>
        <v/>
      </c>
      <c r="U167" s="160">
        <f>IF('Datos_fuente'!Q167="","",ASINH('Datos_fuente'!Q167/1000))</f>
        <v/>
      </c>
      <c r="V167" s="160">
        <f>IF(OR(U167="",U166=""),"",U167-U166)</f>
        <v/>
      </c>
      <c r="W167" s="160">
        <f>IF('Datos_fuente'!R167="","",ASINH('Datos_fuente'!R167/1000))</f>
        <v/>
      </c>
      <c r="X167" s="160">
        <f>IF(OR(W167="",W166=""),"",W167-W166)</f>
        <v/>
      </c>
      <c r="Y167" s="161">
        <f>'Datos_fuente'!W167</f>
        <v/>
      </c>
      <c r="Z167" s="161">
        <f>IF(OR(Y167="",Y166=""),"",Y167-Y166)</f>
        <v/>
      </c>
      <c r="AA167" s="160">
        <f>'Datos_fuente'!AB167</f>
        <v/>
      </c>
      <c r="AB167" s="160">
        <f>'Datos_fuente'!AC167</f>
        <v/>
      </c>
      <c r="AC167" s="160">
        <f>IF('Datos_fuente'!AD167="","",LN('Datos_fuente'!AD167))</f>
        <v/>
      </c>
      <c r="AD167" s="160">
        <f>IF(OR(AC167="",AC166=""),"",AC167-AC166)</f>
        <v/>
      </c>
      <c r="AE167" s="160">
        <f>IF('Datos_fuente'!AE167="","",LN('Datos_fuente'!AE167))</f>
        <v/>
      </c>
      <c r="AF167" s="160">
        <f>IF(OR(AE167="",AE166=""),"",AE167-AE166)</f>
        <v/>
      </c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'Datos_fuente'!A168</f>
        <v/>
      </c>
      <c r="B168" s="160">
        <f>IF('Datos_fuente'!B168="","",LN('Datos_fuente'!B168))</f>
        <v/>
      </c>
      <c r="C168" s="160">
        <f>IF(OR(B168="",B167=""),"",B168-B167)</f>
        <v/>
      </c>
      <c r="D168" s="160">
        <f>IF('Datos_fuente'!C168="","",LN('Datos_fuente'!C168))</f>
        <v/>
      </c>
      <c r="E168" s="160">
        <f>IF(OR(D168="",D167=""),"",D168-D167)</f>
        <v/>
      </c>
      <c r="F168" s="160">
        <f>IF('Datos_fuente'!E168="","",LN('Datos_fuente'!E168))</f>
        <v/>
      </c>
      <c r="G168" s="160">
        <f>IF(OR(F168="",F167=""),"",F168-F167)</f>
        <v/>
      </c>
      <c r="H168" s="161">
        <f>'Datos_fuente'!H168</f>
        <v/>
      </c>
      <c r="I168" s="161">
        <f>IF(OR(H168="",H167=""),"",H168-H167)</f>
        <v/>
      </c>
      <c r="J168" s="161">
        <f>'Datos_fuente'!J168</f>
        <v/>
      </c>
      <c r="K168" s="161">
        <f>IF(OR(J168="",J167=""),"",J168-J167)</f>
        <v/>
      </c>
      <c r="L168" s="160">
        <f>IF('Datos_fuente'!K168="","",LN('Datos_fuente'!K168))</f>
        <v/>
      </c>
      <c r="M168" s="160">
        <f>IF(OR(L168="",L167=""),"",L168-L167)</f>
        <v/>
      </c>
      <c r="N168" s="160">
        <f>IF('Datos_fuente'!L168="","",LN('Datos_fuente'!L168))</f>
        <v/>
      </c>
      <c r="O168" s="160">
        <f>IF(OR(N168="",N167=""),"",N168-N167)</f>
        <v/>
      </c>
      <c r="P168" s="162">
        <f>'Datos_fuente'!M168</f>
        <v/>
      </c>
      <c r="Q168" s="160">
        <f>IF('Datos_fuente'!N168="","",LN('Datos_fuente'!N168))</f>
        <v/>
      </c>
      <c r="R168" s="160">
        <f>IF(OR(Q168="",Q167=""),"",Q168-Q167)</f>
        <v/>
      </c>
      <c r="S168" s="161">
        <f>'Datos_fuente'!P168</f>
        <v/>
      </c>
      <c r="T168" s="161">
        <f>IF(OR(S168="",S167=""),"",S168-S167)</f>
        <v/>
      </c>
      <c r="U168" s="160">
        <f>IF('Datos_fuente'!Q168="","",ASINH('Datos_fuente'!Q168/1000))</f>
        <v/>
      </c>
      <c r="V168" s="160">
        <f>IF(OR(U168="",U167=""),"",U168-U167)</f>
        <v/>
      </c>
      <c r="W168" s="160">
        <f>IF('Datos_fuente'!R168="","",ASINH('Datos_fuente'!R168/1000))</f>
        <v/>
      </c>
      <c r="X168" s="160">
        <f>IF(OR(W168="",W167=""),"",W168-W167)</f>
        <v/>
      </c>
      <c r="Y168" s="161">
        <f>'Datos_fuente'!W168</f>
        <v/>
      </c>
      <c r="Z168" s="161">
        <f>IF(OR(Y168="",Y167=""),"",Y168-Y167)</f>
        <v/>
      </c>
      <c r="AA168" s="160">
        <f>'Datos_fuente'!AB168</f>
        <v/>
      </c>
      <c r="AB168" s="160">
        <f>'Datos_fuente'!AC168</f>
        <v/>
      </c>
      <c r="AC168" s="160">
        <f>IF('Datos_fuente'!AD168="","",LN('Datos_fuente'!AD168))</f>
        <v/>
      </c>
      <c r="AD168" s="160">
        <f>IF(OR(AC168="",AC167=""),"",AC168-AC167)</f>
        <v/>
      </c>
      <c r="AE168" s="160">
        <f>IF('Datos_fuente'!AE168="","",LN('Datos_fuente'!AE168))</f>
        <v/>
      </c>
      <c r="AF168" s="160">
        <f>IF(OR(AE168="",AE167=""),"",AE168-AE167)</f>
        <v/>
      </c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'Datos_fuente'!A169</f>
        <v/>
      </c>
      <c r="B169" s="160">
        <f>IF('Datos_fuente'!B169="","",LN('Datos_fuente'!B169))</f>
        <v/>
      </c>
      <c r="C169" s="160">
        <f>IF(OR(B169="",B168=""),"",B169-B168)</f>
        <v/>
      </c>
      <c r="D169" s="160">
        <f>IF('Datos_fuente'!C169="","",LN('Datos_fuente'!C169))</f>
        <v/>
      </c>
      <c r="E169" s="160">
        <f>IF(OR(D169="",D168=""),"",D169-D168)</f>
        <v/>
      </c>
      <c r="F169" s="160">
        <f>IF('Datos_fuente'!E169="","",LN('Datos_fuente'!E169))</f>
        <v/>
      </c>
      <c r="G169" s="160">
        <f>IF(OR(F169="",F168=""),"",F169-F168)</f>
        <v/>
      </c>
      <c r="H169" s="161">
        <f>'Datos_fuente'!H169</f>
        <v/>
      </c>
      <c r="I169" s="161">
        <f>IF(OR(H169="",H168=""),"",H169-H168)</f>
        <v/>
      </c>
      <c r="J169" s="161">
        <f>'Datos_fuente'!J169</f>
        <v/>
      </c>
      <c r="K169" s="161">
        <f>IF(OR(J169="",J168=""),"",J169-J168)</f>
        <v/>
      </c>
      <c r="L169" s="160">
        <f>IF('Datos_fuente'!K169="","",LN('Datos_fuente'!K169))</f>
        <v/>
      </c>
      <c r="M169" s="160">
        <f>IF(OR(L169="",L168=""),"",L169-L168)</f>
        <v/>
      </c>
      <c r="N169" s="160">
        <f>IF('Datos_fuente'!L169="","",LN('Datos_fuente'!L169))</f>
        <v/>
      </c>
      <c r="O169" s="160">
        <f>IF(OR(N169="",N168=""),"",N169-N168)</f>
        <v/>
      </c>
      <c r="P169" s="162">
        <f>'Datos_fuente'!M169</f>
        <v/>
      </c>
      <c r="Q169" s="160">
        <f>IF('Datos_fuente'!N169="","",LN('Datos_fuente'!N169))</f>
        <v/>
      </c>
      <c r="R169" s="160">
        <f>IF(OR(Q169="",Q168=""),"",Q169-Q168)</f>
        <v/>
      </c>
      <c r="S169" s="161">
        <f>'Datos_fuente'!P169</f>
        <v/>
      </c>
      <c r="T169" s="161">
        <f>IF(OR(S169="",S168=""),"",S169-S168)</f>
        <v/>
      </c>
      <c r="U169" s="160">
        <f>IF('Datos_fuente'!Q169="","",ASINH('Datos_fuente'!Q169/1000))</f>
        <v/>
      </c>
      <c r="V169" s="160">
        <f>IF(OR(U169="",U168=""),"",U169-U168)</f>
        <v/>
      </c>
      <c r="W169" s="160">
        <f>IF('Datos_fuente'!R169="","",ASINH('Datos_fuente'!R169/1000))</f>
        <v/>
      </c>
      <c r="X169" s="160">
        <f>IF(OR(W169="",W168=""),"",W169-W168)</f>
        <v/>
      </c>
      <c r="Y169" s="161">
        <f>'Datos_fuente'!W169</f>
        <v/>
      </c>
      <c r="Z169" s="161">
        <f>IF(OR(Y169="",Y168=""),"",Y169-Y168)</f>
        <v/>
      </c>
      <c r="AA169" s="160">
        <f>'Datos_fuente'!AB169</f>
        <v/>
      </c>
      <c r="AB169" s="160">
        <f>'Datos_fuente'!AC169</f>
        <v/>
      </c>
      <c r="AC169" s="160">
        <f>IF('Datos_fuente'!AD169="","",LN('Datos_fuente'!AD169))</f>
        <v/>
      </c>
      <c r="AD169" s="160">
        <f>IF(OR(AC169="",AC168=""),"",AC169-AC168)</f>
        <v/>
      </c>
      <c r="AE169" s="160">
        <f>IF('Datos_fuente'!AE169="","",LN('Datos_fuente'!AE169))</f>
        <v/>
      </c>
      <c r="AF169" s="160">
        <f>IF(OR(AE169="",AE168=""),"",AE169-AE168)</f>
        <v/>
      </c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'Datos_fuente'!A170</f>
        <v/>
      </c>
      <c r="B170" s="160">
        <f>IF('Datos_fuente'!B170="","",LN('Datos_fuente'!B170))</f>
        <v/>
      </c>
      <c r="C170" s="160">
        <f>IF(OR(B170="",B169=""),"",B170-B169)</f>
        <v/>
      </c>
      <c r="D170" s="160">
        <f>IF('Datos_fuente'!C170="","",LN('Datos_fuente'!C170))</f>
        <v/>
      </c>
      <c r="E170" s="160">
        <f>IF(OR(D170="",D169=""),"",D170-D169)</f>
        <v/>
      </c>
      <c r="F170" s="160">
        <f>IF('Datos_fuente'!E170="","",LN('Datos_fuente'!E170))</f>
        <v/>
      </c>
      <c r="G170" s="160">
        <f>IF(OR(F170="",F169=""),"",F170-F169)</f>
        <v/>
      </c>
      <c r="H170" s="161">
        <f>'Datos_fuente'!H170</f>
        <v/>
      </c>
      <c r="I170" s="161">
        <f>IF(OR(H170="",H169=""),"",H170-H169)</f>
        <v/>
      </c>
      <c r="J170" s="161">
        <f>'Datos_fuente'!J170</f>
        <v/>
      </c>
      <c r="K170" s="161">
        <f>IF(OR(J170="",J169=""),"",J170-J169)</f>
        <v/>
      </c>
      <c r="L170" s="160">
        <f>IF('Datos_fuente'!K170="","",LN('Datos_fuente'!K170))</f>
        <v/>
      </c>
      <c r="M170" s="160">
        <f>IF(OR(L170="",L169=""),"",L170-L169)</f>
        <v/>
      </c>
      <c r="N170" s="160">
        <f>IF('Datos_fuente'!L170="","",LN('Datos_fuente'!L170))</f>
        <v/>
      </c>
      <c r="O170" s="160">
        <f>IF(OR(N170="",N169=""),"",N170-N169)</f>
        <v/>
      </c>
      <c r="P170" s="162">
        <f>'Datos_fuente'!M170</f>
        <v/>
      </c>
      <c r="Q170" s="160">
        <f>IF('Datos_fuente'!N170="","",LN('Datos_fuente'!N170))</f>
        <v/>
      </c>
      <c r="R170" s="160">
        <f>IF(OR(Q170="",Q169=""),"",Q170-Q169)</f>
        <v/>
      </c>
      <c r="S170" s="161">
        <f>'Datos_fuente'!P170</f>
        <v/>
      </c>
      <c r="T170" s="161">
        <f>IF(OR(S170="",S169=""),"",S170-S169)</f>
        <v/>
      </c>
      <c r="U170" s="160">
        <f>IF('Datos_fuente'!Q170="","",ASINH('Datos_fuente'!Q170/1000))</f>
        <v/>
      </c>
      <c r="V170" s="160">
        <f>IF(OR(U170="",U169=""),"",U170-U169)</f>
        <v/>
      </c>
      <c r="W170" s="160">
        <f>IF('Datos_fuente'!R170="","",ASINH('Datos_fuente'!R170/1000))</f>
        <v/>
      </c>
      <c r="X170" s="160">
        <f>IF(OR(W170="",W169=""),"",W170-W169)</f>
        <v/>
      </c>
      <c r="Y170" s="161">
        <f>'Datos_fuente'!W170</f>
        <v/>
      </c>
      <c r="Z170" s="161">
        <f>IF(OR(Y170="",Y169=""),"",Y170-Y169)</f>
        <v/>
      </c>
      <c r="AA170" s="160">
        <f>'Datos_fuente'!AB170</f>
        <v/>
      </c>
      <c r="AB170" s="160">
        <f>'Datos_fuente'!AC170</f>
        <v/>
      </c>
      <c r="AC170" s="160">
        <f>IF('Datos_fuente'!AD170="","",LN('Datos_fuente'!AD170))</f>
        <v/>
      </c>
      <c r="AD170" s="160">
        <f>IF(OR(AC170="",AC169=""),"",AC170-AC169)</f>
        <v/>
      </c>
      <c r="AE170" s="160">
        <f>IF('Datos_fuente'!AE170="","",LN('Datos_fuente'!AE170))</f>
        <v/>
      </c>
      <c r="AF170" s="160">
        <f>IF(OR(AE170="",AE169=""),"",AE170-AE169)</f>
        <v/>
      </c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'Datos_fuente'!A171</f>
        <v/>
      </c>
      <c r="B171" s="160">
        <f>IF('Datos_fuente'!B171="","",LN('Datos_fuente'!B171))</f>
        <v/>
      </c>
      <c r="C171" s="160">
        <f>IF(OR(B171="",B170=""),"",B171-B170)</f>
        <v/>
      </c>
      <c r="D171" s="160">
        <f>IF('Datos_fuente'!C171="","",LN('Datos_fuente'!C171))</f>
        <v/>
      </c>
      <c r="E171" s="160">
        <f>IF(OR(D171="",D170=""),"",D171-D170)</f>
        <v/>
      </c>
      <c r="F171" s="160">
        <f>IF('Datos_fuente'!E171="","",LN('Datos_fuente'!E171))</f>
        <v/>
      </c>
      <c r="G171" s="160">
        <f>IF(OR(F171="",F170=""),"",F171-F170)</f>
        <v/>
      </c>
      <c r="H171" s="161">
        <f>'Datos_fuente'!H171</f>
        <v/>
      </c>
      <c r="I171" s="161">
        <f>IF(OR(H171="",H170=""),"",H171-H170)</f>
        <v/>
      </c>
      <c r="J171" s="161">
        <f>'Datos_fuente'!J171</f>
        <v/>
      </c>
      <c r="K171" s="161">
        <f>IF(OR(J171="",J170=""),"",J171-J170)</f>
        <v/>
      </c>
      <c r="L171" s="160">
        <f>IF('Datos_fuente'!K171="","",LN('Datos_fuente'!K171))</f>
        <v/>
      </c>
      <c r="M171" s="160">
        <f>IF(OR(L171="",L170=""),"",L171-L170)</f>
        <v/>
      </c>
      <c r="N171" s="160">
        <f>IF('Datos_fuente'!L171="","",LN('Datos_fuente'!L171))</f>
        <v/>
      </c>
      <c r="O171" s="160">
        <f>IF(OR(N171="",N170=""),"",N171-N170)</f>
        <v/>
      </c>
      <c r="P171" s="162">
        <f>'Datos_fuente'!M171</f>
        <v/>
      </c>
      <c r="Q171" s="160">
        <f>IF('Datos_fuente'!N171="","",LN('Datos_fuente'!N171))</f>
        <v/>
      </c>
      <c r="R171" s="160">
        <f>IF(OR(Q171="",Q170=""),"",Q171-Q170)</f>
        <v/>
      </c>
      <c r="S171" s="161">
        <f>'Datos_fuente'!P171</f>
        <v/>
      </c>
      <c r="T171" s="161">
        <f>IF(OR(S171="",S170=""),"",S171-S170)</f>
        <v/>
      </c>
      <c r="U171" s="160">
        <f>IF('Datos_fuente'!Q171="","",ASINH('Datos_fuente'!Q171/1000))</f>
        <v/>
      </c>
      <c r="V171" s="160">
        <f>IF(OR(U171="",U170=""),"",U171-U170)</f>
        <v/>
      </c>
      <c r="W171" s="160">
        <f>IF('Datos_fuente'!R171="","",ASINH('Datos_fuente'!R171/1000))</f>
        <v/>
      </c>
      <c r="X171" s="160">
        <f>IF(OR(W171="",W170=""),"",W171-W170)</f>
        <v/>
      </c>
      <c r="Y171" s="161">
        <f>'Datos_fuente'!W171</f>
        <v/>
      </c>
      <c r="Z171" s="161">
        <f>IF(OR(Y171="",Y170=""),"",Y171-Y170)</f>
        <v/>
      </c>
      <c r="AA171" s="160">
        <f>'Datos_fuente'!AB171</f>
        <v/>
      </c>
      <c r="AB171" s="160">
        <f>'Datos_fuente'!AC171</f>
        <v/>
      </c>
      <c r="AC171" s="160">
        <f>IF('Datos_fuente'!AD171="","",LN('Datos_fuente'!AD171))</f>
        <v/>
      </c>
      <c r="AD171" s="160">
        <f>IF(OR(AC171="",AC170=""),"",AC171-AC170)</f>
        <v/>
      </c>
      <c r="AE171" s="160">
        <f>IF('Datos_fuente'!AE171="","",LN('Datos_fuente'!AE171))</f>
        <v/>
      </c>
      <c r="AF171" s="160">
        <f>IF(OR(AE171="",AE170=""),"",AE171-AE170)</f>
        <v/>
      </c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'Datos_fuente'!A172</f>
        <v/>
      </c>
      <c r="B172" s="160">
        <f>IF('Datos_fuente'!B172="","",LN('Datos_fuente'!B172))</f>
        <v/>
      </c>
      <c r="C172" s="160">
        <f>IF(OR(B172="",B171=""),"",B172-B171)</f>
        <v/>
      </c>
      <c r="D172" s="160">
        <f>IF('Datos_fuente'!C172="","",LN('Datos_fuente'!C172))</f>
        <v/>
      </c>
      <c r="E172" s="160">
        <f>IF(OR(D172="",D171=""),"",D172-D171)</f>
        <v/>
      </c>
      <c r="F172" s="160">
        <f>IF('Datos_fuente'!E172="","",LN('Datos_fuente'!E172))</f>
        <v/>
      </c>
      <c r="G172" s="160">
        <f>IF(OR(F172="",F171=""),"",F172-F171)</f>
        <v/>
      </c>
      <c r="H172" s="161">
        <f>'Datos_fuente'!H172</f>
        <v/>
      </c>
      <c r="I172" s="161">
        <f>IF(OR(H172="",H171=""),"",H172-H171)</f>
        <v/>
      </c>
      <c r="J172" s="161">
        <f>'Datos_fuente'!J172</f>
        <v/>
      </c>
      <c r="K172" s="161">
        <f>IF(OR(J172="",J171=""),"",J172-J171)</f>
        <v/>
      </c>
      <c r="L172" s="160">
        <f>IF('Datos_fuente'!K172="","",LN('Datos_fuente'!K172))</f>
        <v/>
      </c>
      <c r="M172" s="160">
        <f>IF(OR(L172="",L171=""),"",L172-L171)</f>
        <v/>
      </c>
      <c r="N172" s="160">
        <f>IF('Datos_fuente'!L172="","",LN('Datos_fuente'!L172))</f>
        <v/>
      </c>
      <c r="O172" s="160">
        <f>IF(OR(N172="",N171=""),"",N172-N171)</f>
        <v/>
      </c>
      <c r="P172" s="162">
        <f>'Datos_fuente'!M172</f>
        <v/>
      </c>
      <c r="Q172" s="160">
        <f>IF('Datos_fuente'!N172="","",LN('Datos_fuente'!N172))</f>
        <v/>
      </c>
      <c r="R172" s="160">
        <f>IF(OR(Q172="",Q171=""),"",Q172-Q171)</f>
        <v/>
      </c>
      <c r="S172" s="161">
        <f>'Datos_fuente'!P172</f>
        <v/>
      </c>
      <c r="T172" s="161">
        <f>IF(OR(S172="",S171=""),"",S172-S171)</f>
        <v/>
      </c>
      <c r="U172" s="160">
        <f>IF('Datos_fuente'!Q172="","",ASINH('Datos_fuente'!Q172/1000))</f>
        <v/>
      </c>
      <c r="V172" s="160">
        <f>IF(OR(U172="",U171=""),"",U172-U171)</f>
        <v/>
      </c>
      <c r="W172" s="160">
        <f>IF('Datos_fuente'!R172="","",ASINH('Datos_fuente'!R172/1000))</f>
        <v/>
      </c>
      <c r="X172" s="160">
        <f>IF(OR(W172="",W171=""),"",W172-W171)</f>
        <v/>
      </c>
      <c r="Y172" s="161">
        <f>'Datos_fuente'!W172</f>
        <v/>
      </c>
      <c r="Z172" s="161">
        <f>IF(OR(Y172="",Y171=""),"",Y172-Y171)</f>
        <v/>
      </c>
      <c r="AA172" s="160">
        <f>'Datos_fuente'!AB172</f>
        <v/>
      </c>
      <c r="AB172" s="160">
        <f>'Datos_fuente'!AC172</f>
        <v/>
      </c>
      <c r="AC172" s="160">
        <f>IF('Datos_fuente'!AD172="","",LN('Datos_fuente'!AD172))</f>
        <v/>
      </c>
      <c r="AD172" s="160">
        <f>IF(OR(AC172="",AC171=""),"",AC172-AC171)</f>
        <v/>
      </c>
      <c r="AE172" s="160">
        <f>IF('Datos_fuente'!AE172="","",LN('Datos_fuente'!AE172))</f>
        <v/>
      </c>
      <c r="AF172" s="160">
        <f>IF(OR(AE172="",AE171=""),"",AE172-AE171)</f>
        <v/>
      </c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'Datos_fuente'!A173</f>
        <v/>
      </c>
      <c r="B173" s="160">
        <f>IF('Datos_fuente'!B173="","",LN('Datos_fuente'!B173))</f>
        <v/>
      </c>
      <c r="C173" s="160">
        <f>IF(OR(B173="",B172=""),"",B173-B172)</f>
        <v/>
      </c>
      <c r="D173" s="160">
        <f>IF('Datos_fuente'!C173="","",LN('Datos_fuente'!C173))</f>
        <v/>
      </c>
      <c r="E173" s="160">
        <f>IF(OR(D173="",D172=""),"",D173-D172)</f>
        <v/>
      </c>
      <c r="F173" s="160">
        <f>IF('Datos_fuente'!E173="","",LN('Datos_fuente'!E173))</f>
        <v/>
      </c>
      <c r="G173" s="160">
        <f>IF(OR(F173="",F172=""),"",F173-F172)</f>
        <v/>
      </c>
      <c r="H173" s="161">
        <f>'Datos_fuente'!H173</f>
        <v/>
      </c>
      <c r="I173" s="161">
        <f>IF(OR(H173="",H172=""),"",H173-H172)</f>
        <v/>
      </c>
      <c r="J173" s="161">
        <f>'Datos_fuente'!J173</f>
        <v/>
      </c>
      <c r="K173" s="161">
        <f>IF(OR(J173="",J172=""),"",J173-J172)</f>
        <v/>
      </c>
      <c r="L173" s="160">
        <f>IF('Datos_fuente'!K173="","",LN('Datos_fuente'!K173))</f>
        <v/>
      </c>
      <c r="M173" s="160">
        <f>IF(OR(L173="",L172=""),"",L173-L172)</f>
        <v/>
      </c>
      <c r="N173" s="160">
        <f>IF('Datos_fuente'!L173="","",LN('Datos_fuente'!L173))</f>
        <v/>
      </c>
      <c r="O173" s="160">
        <f>IF(OR(N173="",N172=""),"",N173-N172)</f>
        <v/>
      </c>
      <c r="P173" s="162">
        <f>'Datos_fuente'!M173</f>
        <v/>
      </c>
      <c r="Q173" s="160">
        <f>IF('Datos_fuente'!N173="","",LN('Datos_fuente'!N173))</f>
        <v/>
      </c>
      <c r="R173" s="160">
        <f>IF(OR(Q173="",Q172=""),"",Q173-Q172)</f>
        <v/>
      </c>
      <c r="S173" s="161">
        <f>'Datos_fuente'!P173</f>
        <v/>
      </c>
      <c r="T173" s="161">
        <f>IF(OR(S173="",S172=""),"",S173-S172)</f>
        <v/>
      </c>
      <c r="U173" s="160">
        <f>IF('Datos_fuente'!Q173="","",ASINH('Datos_fuente'!Q173/1000))</f>
        <v/>
      </c>
      <c r="V173" s="160">
        <f>IF(OR(U173="",U172=""),"",U173-U172)</f>
        <v/>
      </c>
      <c r="W173" s="160">
        <f>IF('Datos_fuente'!R173="","",ASINH('Datos_fuente'!R173/1000))</f>
        <v/>
      </c>
      <c r="X173" s="160">
        <f>IF(OR(W173="",W172=""),"",W173-W172)</f>
        <v/>
      </c>
      <c r="Y173" s="161">
        <f>'Datos_fuente'!W173</f>
        <v/>
      </c>
      <c r="Z173" s="161">
        <f>IF(OR(Y173="",Y172=""),"",Y173-Y172)</f>
        <v/>
      </c>
      <c r="AA173" s="160">
        <f>'Datos_fuente'!AB173</f>
        <v/>
      </c>
      <c r="AB173" s="160">
        <f>'Datos_fuente'!AC173</f>
        <v/>
      </c>
      <c r="AC173" s="160">
        <f>IF('Datos_fuente'!AD173="","",LN('Datos_fuente'!AD173))</f>
        <v/>
      </c>
      <c r="AD173" s="160">
        <f>IF(OR(AC173="",AC172=""),"",AC173-AC172)</f>
        <v/>
      </c>
      <c r="AE173" s="160">
        <f>IF('Datos_fuente'!AE173="","",LN('Datos_fuente'!AE173))</f>
        <v/>
      </c>
      <c r="AF173" s="160">
        <f>IF(OR(AE173="",AE172=""),"",AE173-AE172)</f>
        <v/>
      </c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'Datos_fuente'!A174</f>
        <v/>
      </c>
      <c r="B174" s="160">
        <f>IF('Datos_fuente'!B174="","",LN('Datos_fuente'!B174))</f>
        <v/>
      </c>
      <c r="C174" s="160">
        <f>IF(OR(B174="",B173=""),"",B174-B173)</f>
        <v/>
      </c>
      <c r="D174" s="160">
        <f>IF('Datos_fuente'!C174="","",LN('Datos_fuente'!C174))</f>
        <v/>
      </c>
      <c r="E174" s="160">
        <f>IF(OR(D174="",D173=""),"",D174-D173)</f>
        <v/>
      </c>
      <c r="F174" s="160">
        <f>IF('Datos_fuente'!E174="","",LN('Datos_fuente'!E174))</f>
        <v/>
      </c>
      <c r="G174" s="160">
        <f>IF(OR(F174="",F173=""),"",F174-F173)</f>
        <v/>
      </c>
      <c r="H174" s="161">
        <f>'Datos_fuente'!H174</f>
        <v/>
      </c>
      <c r="I174" s="161">
        <f>IF(OR(H174="",H173=""),"",H174-H173)</f>
        <v/>
      </c>
      <c r="J174" s="161">
        <f>'Datos_fuente'!J174</f>
        <v/>
      </c>
      <c r="K174" s="161">
        <f>IF(OR(J174="",J173=""),"",J174-J173)</f>
        <v/>
      </c>
      <c r="L174" s="160">
        <f>IF('Datos_fuente'!K174="","",LN('Datos_fuente'!K174))</f>
        <v/>
      </c>
      <c r="M174" s="160">
        <f>IF(OR(L174="",L173=""),"",L174-L173)</f>
        <v/>
      </c>
      <c r="N174" s="160">
        <f>IF('Datos_fuente'!L174="","",LN('Datos_fuente'!L174))</f>
        <v/>
      </c>
      <c r="O174" s="160">
        <f>IF(OR(N174="",N173=""),"",N174-N173)</f>
        <v/>
      </c>
      <c r="P174" s="162">
        <f>'Datos_fuente'!M174</f>
        <v/>
      </c>
      <c r="Q174" s="160">
        <f>IF('Datos_fuente'!N174="","",LN('Datos_fuente'!N174))</f>
        <v/>
      </c>
      <c r="R174" s="160">
        <f>IF(OR(Q174="",Q173=""),"",Q174-Q173)</f>
        <v/>
      </c>
      <c r="S174" s="161">
        <f>'Datos_fuente'!P174</f>
        <v/>
      </c>
      <c r="T174" s="161">
        <f>IF(OR(S174="",S173=""),"",S174-S173)</f>
        <v/>
      </c>
      <c r="U174" s="160">
        <f>IF('Datos_fuente'!Q174="","",ASINH('Datos_fuente'!Q174/1000))</f>
        <v/>
      </c>
      <c r="V174" s="160">
        <f>IF(OR(U174="",U173=""),"",U174-U173)</f>
        <v/>
      </c>
      <c r="W174" s="160">
        <f>IF('Datos_fuente'!R174="","",ASINH('Datos_fuente'!R174/1000))</f>
        <v/>
      </c>
      <c r="X174" s="160">
        <f>IF(OR(W174="",W173=""),"",W174-W173)</f>
        <v/>
      </c>
      <c r="Y174" s="161">
        <f>'Datos_fuente'!W174</f>
        <v/>
      </c>
      <c r="Z174" s="161">
        <f>IF(OR(Y174="",Y173=""),"",Y174-Y173)</f>
        <v/>
      </c>
      <c r="AA174" s="160">
        <f>'Datos_fuente'!AB174</f>
        <v/>
      </c>
      <c r="AB174" s="160">
        <f>'Datos_fuente'!AC174</f>
        <v/>
      </c>
      <c r="AC174" s="160">
        <f>IF('Datos_fuente'!AD174="","",LN('Datos_fuente'!AD174))</f>
        <v/>
      </c>
      <c r="AD174" s="160">
        <f>IF(OR(AC174="",AC173=""),"",AC174-AC173)</f>
        <v/>
      </c>
      <c r="AE174" s="160">
        <f>IF('Datos_fuente'!AE174="","",LN('Datos_fuente'!AE174))</f>
        <v/>
      </c>
      <c r="AF174" s="160">
        <f>IF(OR(AE174="",AE173=""),"",AE174-AE173)</f>
        <v/>
      </c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'Datos_fuente'!A175</f>
        <v/>
      </c>
      <c r="B175" s="160">
        <f>IF('Datos_fuente'!B175="","",LN('Datos_fuente'!B175))</f>
        <v/>
      </c>
      <c r="C175" s="160">
        <f>IF(OR(B175="",B174=""),"",B175-B174)</f>
        <v/>
      </c>
      <c r="D175" s="160">
        <f>IF('Datos_fuente'!C175="","",LN('Datos_fuente'!C175))</f>
        <v/>
      </c>
      <c r="E175" s="160">
        <f>IF(OR(D175="",D174=""),"",D175-D174)</f>
        <v/>
      </c>
      <c r="F175" s="160">
        <f>IF('Datos_fuente'!E175="","",LN('Datos_fuente'!E175))</f>
        <v/>
      </c>
      <c r="G175" s="160">
        <f>IF(OR(F175="",F174=""),"",F175-F174)</f>
        <v/>
      </c>
      <c r="H175" s="161">
        <f>'Datos_fuente'!H175</f>
        <v/>
      </c>
      <c r="I175" s="161">
        <f>IF(OR(H175="",H174=""),"",H175-H174)</f>
        <v/>
      </c>
      <c r="J175" s="161">
        <f>'Datos_fuente'!J175</f>
        <v/>
      </c>
      <c r="K175" s="161">
        <f>IF(OR(J175="",J174=""),"",J175-J174)</f>
        <v/>
      </c>
      <c r="L175" s="160">
        <f>IF('Datos_fuente'!K175="","",LN('Datos_fuente'!K175))</f>
        <v/>
      </c>
      <c r="M175" s="160">
        <f>IF(OR(L175="",L174=""),"",L175-L174)</f>
        <v/>
      </c>
      <c r="N175" s="160">
        <f>IF('Datos_fuente'!L175="","",LN('Datos_fuente'!L175))</f>
        <v/>
      </c>
      <c r="O175" s="160">
        <f>IF(OR(N175="",N174=""),"",N175-N174)</f>
        <v/>
      </c>
      <c r="P175" s="162">
        <f>'Datos_fuente'!M175</f>
        <v/>
      </c>
      <c r="Q175" s="160">
        <f>IF('Datos_fuente'!N175="","",LN('Datos_fuente'!N175))</f>
        <v/>
      </c>
      <c r="R175" s="160">
        <f>IF(OR(Q175="",Q174=""),"",Q175-Q174)</f>
        <v/>
      </c>
      <c r="S175" s="161">
        <f>'Datos_fuente'!P175</f>
        <v/>
      </c>
      <c r="T175" s="161">
        <f>IF(OR(S175="",S174=""),"",S175-S174)</f>
        <v/>
      </c>
      <c r="U175" s="160">
        <f>IF('Datos_fuente'!Q175="","",ASINH('Datos_fuente'!Q175/1000))</f>
        <v/>
      </c>
      <c r="V175" s="160">
        <f>IF(OR(U175="",U174=""),"",U175-U174)</f>
        <v/>
      </c>
      <c r="W175" s="160">
        <f>IF('Datos_fuente'!R175="","",ASINH('Datos_fuente'!R175/1000))</f>
        <v/>
      </c>
      <c r="X175" s="160">
        <f>IF(OR(W175="",W174=""),"",W175-W174)</f>
        <v/>
      </c>
      <c r="Y175" s="161">
        <f>'Datos_fuente'!W175</f>
        <v/>
      </c>
      <c r="Z175" s="161">
        <f>IF(OR(Y175="",Y174=""),"",Y175-Y174)</f>
        <v/>
      </c>
      <c r="AA175" s="160">
        <f>'Datos_fuente'!AB175</f>
        <v/>
      </c>
      <c r="AB175" s="160">
        <f>'Datos_fuente'!AC175</f>
        <v/>
      </c>
      <c r="AC175" s="160">
        <f>IF('Datos_fuente'!AD175="","",LN('Datos_fuente'!AD175))</f>
        <v/>
      </c>
      <c r="AD175" s="160">
        <f>IF(OR(AC175="",AC174=""),"",AC175-AC174)</f>
        <v/>
      </c>
      <c r="AE175" s="160">
        <f>IF('Datos_fuente'!AE175="","",LN('Datos_fuente'!AE175))</f>
        <v/>
      </c>
      <c r="AF175" s="160">
        <f>IF(OR(AE175="",AE174=""),"",AE175-AE174)</f>
        <v/>
      </c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'Datos_fuente'!A176</f>
        <v/>
      </c>
      <c r="B176" s="160">
        <f>IF('Datos_fuente'!B176="","",LN('Datos_fuente'!B176))</f>
        <v/>
      </c>
      <c r="C176" s="160">
        <f>IF(OR(B176="",B175=""),"",B176-B175)</f>
        <v/>
      </c>
      <c r="D176" s="160">
        <f>IF('Datos_fuente'!C176="","",LN('Datos_fuente'!C176))</f>
        <v/>
      </c>
      <c r="E176" s="160">
        <f>IF(OR(D176="",D175=""),"",D176-D175)</f>
        <v/>
      </c>
      <c r="F176" s="160">
        <f>IF('Datos_fuente'!E176="","",LN('Datos_fuente'!E176))</f>
        <v/>
      </c>
      <c r="G176" s="160">
        <f>IF(OR(F176="",F175=""),"",F176-F175)</f>
        <v/>
      </c>
      <c r="H176" s="161">
        <f>'Datos_fuente'!H176</f>
        <v/>
      </c>
      <c r="I176" s="161">
        <f>IF(OR(H176="",H175=""),"",H176-H175)</f>
        <v/>
      </c>
      <c r="J176" s="161">
        <f>'Datos_fuente'!J176</f>
        <v/>
      </c>
      <c r="K176" s="161">
        <f>IF(OR(J176="",J175=""),"",J176-J175)</f>
        <v/>
      </c>
      <c r="L176" s="160">
        <f>IF('Datos_fuente'!K176="","",LN('Datos_fuente'!K176))</f>
        <v/>
      </c>
      <c r="M176" s="160">
        <f>IF(OR(L176="",L175=""),"",L176-L175)</f>
        <v/>
      </c>
      <c r="N176" s="160">
        <f>IF('Datos_fuente'!L176="","",LN('Datos_fuente'!L176))</f>
        <v/>
      </c>
      <c r="O176" s="160">
        <f>IF(OR(N176="",N175=""),"",N176-N175)</f>
        <v/>
      </c>
      <c r="P176" s="162">
        <f>'Datos_fuente'!M176</f>
        <v/>
      </c>
      <c r="Q176" s="160">
        <f>IF('Datos_fuente'!N176="","",LN('Datos_fuente'!N176))</f>
        <v/>
      </c>
      <c r="R176" s="160">
        <f>IF(OR(Q176="",Q175=""),"",Q176-Q175)</f>
        <v/>
      </c>
      <c r="S176" s="161">
        <f>'Datos_fuente'!P176</f>
        <v/>
      </c>
      <c r="T176" s="161">
        <f>IF(OR(S176="",S175=""),"",S176-S175)</f>
        <v/>
      </c>
      <c r="U176" s="160">
        <f>IF('Datos_fuente'!Q176="","",ASINH('Datos_fuente'!Q176/1000))</f>
        <v/>
      </c>
      <c r="V176" s="160">
        <f>IF(OR(U176="",U175=""),"",U176-U175)</f>
        <v/>
      </c>
      <c r="W176" s="160">
        <f>IF('Datos_fuente'!R176="","",ASINH('Datos_fuente'!R176/1000))</f>
        <v/>
      </c>
      <c r="X176" s="160">
        <f>IF(OR(W176="",W175=""),"",W176-W175)</f>
        <v/>
      </c>
      <c r="Y176" s="161">
        <f>'Datos_fuente'!W176</f>
        <v/>
      </c>
      <c r="Z176" s="161">
        <f>IF(OR(Y176="",Y175=""),"",Y176-Y175)</f>
        <v/>
      </c>
      <c r="AA176" s="160">
        <f>'Datos_fuente'!AB176</f>
        <v/>
      </c>
      <c r="AB176" s="160">
        <f>'Datos_fuente'!AC176</f>
        <v/>
      </c>
      <c r="AC176" s="160">
        <f>IF('Datos_fuente'!AD176="","",LN('Datos_fuente'!AD176))</f>
        <v/>
      </c>
      <c r="AD176" s="160">
        <f>IF(OR(AC176="",AC175=""),"",AC176-AC175)</f>
        <v/>
      </c>
      <c r="AE176" s="160">
        <f>IF('Datos_fuente'!AE176="","",LN('Datos_fuente'!AE176))</f>
        <v/>
      </c>
      <c r="AF176" s="160">
        <f>IF(OR(AE176="",AE175=""),"",AE176-AE175)</f>
        <v/>
      </c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'Datos_fuente'!A177</f>
        <v/>
      </c>
      <c r="B177" s="160">
        <f>IF('Datos_fuente'!B177="","",LN('Datos_fuente'!B177))</f>
        <v/>
      </c>
      <c r="C177" s="160">
        <f>IF(OR(B177="",B176=""),"",B177-B176)</f>
        <v/>
      </c>
      <c r="D177" s="160">
        <f>IF('Datos_fuente'!C177="","",LN('Datos_fuente'!C177))</f>
        <v/>
      </c>
      <c r="E177" s="160">
        <f>IF(OR(D177="",D176=""),"",D177-D176)</f>
        <v/>
      </c>
      <c r="F177" s="160">
        <f>IF('Datos_fuente'!E177="","",LN('Datos_fuente'!E177))</f>
        <v/>
      </c>
      <c r="G177" s="160">
        <f>IF(OR(F177="",F176=""),"",F177-F176)</f>
        <v/>
      </c>
      <c r="H177" s="161">
        <f>'Datos_fuente'!H177</f>
        <v/>
      </c>
      <c r="I177" s="161">
        <f>IF(OR(H177="",H176=""),"",H177-H176)</f>
        <v/>
      </c>
      <c r="J177" s="161">
        <f>'Datos_fuente'!J177</f>
        <v/>
      </c>
      <c r="K177" s="161">
        <f>IF(OR(J177="",J176=""),"",J177-J176)</f>
        <v/>
      </c>
      <c r="L177" s="160">
        <f>IF('Datos_fuente'!K177="","",LN('Datos_fuente'!K177))</f>
        <v/>
      </c>
      <c r="M177" s="160">
        <f>IF(OR(L177="",L176=""),"",L177-L176)</f>
        <v/>
      </c>
      <c r="N177" s="160">
        <f>IF('Datos_fuente'!L177="","",LN('Datos_fuente'!L177))</f>
        <v/>
      </c>
      <c r="O177" s="160">
        <f>IF(OR(N177="",N176=""),"",N177-N176)</f>
        <v/>
      </c>
      <c r="P177" s="162">
        <f>'Datos_fuente'!M177</f>
        <v/>
      </c>
      <c r="Q177" s="160">
        <f>IF('Datos_fuente'!N177="","",LN('Datos_fuente'!N177))</f>
        <v/>
      </c>
      <c r="R177" s="160">
        <f>IF(OR(Q177="",Q176=""),"",Q177-Q176)</f>
        <v/>
      </c>
      <c r="S177" s="161">
        <f>'Datos_fuente'!P177</f>
        <v/>
      </c>
      <c r="T177" s="161">
        <f>IF(OR(S177="",S176=""),"",S177-S176)</f>
        <v/>
      </c>
      <c r="U177" s="160">
        <f>IF('Datos_fuente'!Q177="","",ASINH('Datos_fuente'!Q177/1000))</f>
        <v/>
      </c>
      <c r="V177" s="160">
        <f>IF(OR(U177="",U176=""),"",U177-U176)</f>
        <v/>
      </c>
      <c r="W177" s="160">
        <f>IF('Datos_fuente'!R177="","",ASINH('Datos_fuente'!R177/1000))</f>
        <v/>
      </c>
      <c r="X177" s="160">
        <f>IF(OR(W177="",W176=""),"",W177-W176)</f>
        <v/>
      </c>
      <c r="Y177" s="161">
        <f>'Datos_fuente'!W177</f>
        <v/>
      </c>
      <c r="Z177" s="161">
        <f>IF(OR(Y177="",Y176=""),"",Y177-Y176)</f>
        <v/>
      </c>
      <c r="AA177" s="160">
        <f>'Datos_fuente'!AB177</f>
        <v/>
      </c>
      <c r="AB177" s="160">
        <f>'Datos_fuente'!AC177</f>
        <v/>
      </c>
      <c r="AC177" s="160">
        <f>IF('Datos_fuente'!AD177="","",LN('Datos_fuente'!AD177))</f>
        <v/>
      </c>
      <c r="AD177" s="160">
        <f>IF(OR(AC177="",AC176=""),"",AC177-AC176)</f>
        <v/>
      </c>
      <c r="AE177" s="160">
        <f>IF('Datos_fuente'!AE177="","",LN('Datos_fuente'!AE177))</f>
        <v/>
      </c>
      <c r="AF177" s="160">
        <f>IF(OR(AE177="",AE176=""),"",AE177-AE176)</f>
        <v/>
      </c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'Datos_fuente'!A178</f>
        <v/>
      </c>
      <c r="B178" s="160">
        <f>IF('Datos_fuente'!B178="","",LN('Datos_fuente'!B178))</f>
        <v/>
      </c>
      <c r="C178" s="160">
        <f>IF(OR(B178="",B177=""),"",B178-B177)</f>
        <v/>
      </c>
      <c r="D178" s="160">
        <f>IF('Datos_fuente'!C178="","",LN('Datos_fuente'!C178))</f>
        <v/>
      </c>
      <c r="E178" s="160">
        <f>IF(OR(D178="",D177=""),"",D178-D177)</f>
        <v/>
      </c>
      <c r="F178" s="160">
        <f>IF('Datos_fuente'!E178="","",LN('Datos_fuente'!E178))</f>
        <v/>
      </c>
      <c r="G178" s="160">
        <f>IF(OR(F178="",F177=""),"",F178-F177)</f>
        <v/>
      </c>
      <c r="H178" s="161">
        <f>'Datos_fuente'!H178</f>
        <v/>
      </c>
      <c r="I178" s="161">
        <f>IF(OR(H178="",H177=""),"",H178-H177)</f>
        <v/>
      </c>
      <c r="J178" s="161">
        <f>'Datos_fuente'!J178</f>
        <v/>
      </c>
      <c r="K178" s="161">
        <f>IF(OR(J178="",J177=""),"",J178-J177)</f>
        <v/>
      </c>
      <c r="L178" s="160">
        <f>IF('Datos_fuente'!K178="","",LN('Datos_fuente'!K178))</f>
        <v/>
      </c>
      <c r="M178" s="160">
        <f>IF(OR(L178="",L177=""),"",L178-L177)</f>
        <v/>
      </c>
      <c r="N178" s="160">
        <f>IF('Datos_fuente'!L178="","",LN('Datos_fuente'!L178))</f>
        <v/>
      </c>
      <c r="O178" s="160">
        <f>IF(OR(N178="",N177=""),"",N178-N177)</f>
        <v/>
      </c>
      <c r="P178" s="162">
        <f>'Datos_fuente'!M178</f>
        <v/>
      </c>
      <c r="Q178" s="160">
        <f>IF('Datos_fuente'!N178="","",LN('Datos_fuente'!N178))</f>
        <v/>
      </c>
      <c r="R178" s="160">
        <f>IF(OR(Q178="",Q177=""),"",Q178-Q177)</f>
        <v/>
      </c>
      <c r="S178" s="161">
        <f>'Datos_fuente'!P178</f>
        <v/>
      </c>
      <c r="T178" s="161">
        <f>IF(OR(S178="",S177=""),"",S178-S177)</f>
        <v/>
      </c>
      <c r="U178" s="160">
        <f>IF('Datos_fuente'!Q178="","",ASINH('Datos_fuente'!Q178/1000))</f>
        <v/>
      </c>
      <c r="V178" s="160">
        <f>IF(OR(U178="",U177=""),"",U178-U177)</f>
        <v/>
      </c>
      <c r="W178" s="160">
        <f>IF('Datos_fuente'!R178="","",ASINH('Datos_fuente'!R178/1000))</f>
        <v/>
      </c>
      <c r="X178" s="160">
        <f>IF(OR(W178="",W177=""),"",W178-W177)</f>
        <v/>
      </c>
      <c r="Y178" s="161">
        <f>'Datos_fuente'!W178</f>
        <v/>
      </c>
      <c r="Z178" s="161">
        <f>IF(OR(Y178="",Y177=""),"",Y178-Y177)</f>
        <v/>
      </c>
      <c r="AA178" s="160">
        <f>'Datos_fuente'!AB178</f>
        <v/>
      </c>
      <c r="AB178" s="160">
        <f>'Datos_fuente'!AC178</f>
        <v/>
      </c>
      <c r="AC178" s="160">
        <f>IF('Datos_fuente'!AD178="","",LN('Datos_fuente'!AD178))</f>
        <v/>
      </c>
      <c r="AD178" s="160">
        <f>IF(OR(AC178="",AC177=""),"",AC178-AC177)</f>
        <v/>
      </c>
      <c r="AE178" s="160">
        <f>IF('Datos_fuente'!AE178="","",LN('Datos_fuente'!AE178))</f>
        <v/>
      </c>
      <c r="AF178" s="160">
        <f>IF(OR(AE178="",AE177=""),"",AE178-AE177)</f>
        <v/>
      </c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'Datos_fuente'!A179</f>
        <v/>
      </c>
      <c r="B179" s="160">
        <f>IF('Datos_fuente'!B179="","",LN('Datos_fuente'!B179))</f>
        <v/>
      </c>
      <c r="C179" s="160">
        <f>IF(OR(B179="",B178=""),"",B179-B178)</f>
        <v/>
      </c>
      <c r="D179" s="160">
        <f>IF('Datos_fuente'!C179="","",LN('Datos_fuente'!C179))</f>
        <v/>
      </c>
      <c r="E179" s="160">
        <f>IF(OR(D179="",D178=""),"",D179-D178)</f>
        <v/>
      </c>
      <c r="F179" s="160">
        <f>IF('Datos_fuente'!E179="","",LN('Datos_fuente'!E179))</f>
        <v/>
      </c>
      <c r="G179" s="160">
        <f>IF(OR(F179="",F178=""),"",F179-F178)</f>
        <v/>
      </c>
      <c r="H179" s="161">
        <f>'Datos_fuente'!H179</f>
        <v/>
      </c>
      <c r="I179" s="161">
        <f>IF(OR(H179="",H178=""),"",H179-H178)</f>
        <v/>
      </c>
      <c r="J179" s="161">
        <f>'Datos_fuente'!J179</f>
        <v/>
      </c>
      <c r="K179" s="161">
        <f>IF(OR(J179="",J178=""),"",J179-J178)</f>
        <v/>
      </c>
      <c r="L179" s="160">
        <f>IF('Datos_fuente'!K179="","",LN('Datos_fuente'!K179))</f>
        <v/>
      </c>
      <c r="M179" s="160">
        <f>IF(OR(L179="",L178=""),"",L179-L178)</f>
        <v/>
      </c>
      <c r="N179" s="160">
        <f>IF('Datos_fuente'!L179="","",LN('Datos_fuente'!L179))</f>
        <v/>
      </c>
      <c r="O179" s="160">
        <f>IF(OR(N179="",N178=""),"",N179-N178)</f>
        <v/>
      </c>
      <c r="P179" s="162">
        <f>'Datos_fuente'!M179</f>
        <v/>
      </c>
      <c r="Q179" s="160">
        <f>IF('Datos_fuente'!N179="","",LN('Datos_fuente'!N179))</f>
        <v/>
      </c>
      <c r="R179" s="160">
        <f>IF(OR(Q179="",Q178=""),"",Q179-Q178)</f>
        <v/>
      </c>
      <c r="S179" s="161">
        <f>'Datos_fuente'!P179</f>
        <v/>
      </c>
      <c r="T179" s="161">
        <f>IF(OR(S179="",S178=""),"",S179-S178)</f>
        <v/>
      </c>
      <c r="U179" s="160">
        <f>IF('Datos_fuente'!Q179="","",ASINH('Datos_fuente'!Q179/1000))</f>
        <v/>
      </c>
      <c r="V179" s="160">
        <f>IF(OR(U179="",U178=""),"",U179-U178)</f>
        <v/>
      </c>
      <c r="W179" s="160">
        <f>IF('Datos_fuente'!R179="","",ASINH('Datos_fuente'!R179/1000))</f>
        <v/>
      </c>
      <c r="X179" s="160">
        <f>IF(OR(W179="",W178=""),"",W179-W178)</f>
        <v/>
      </c>
      <c r="Y179" s="161">
        <f>'Datos_fuente'!W179</f>
        <v/>
      </c>
      <c r="Z179" s="161">
        <f>IF(OR(Y179="",Y178=""),"",Y179-Y178)</f>
        <v/>
      </c>
      <c r="AA179" s="160">
        <f>'Datos_fuente'!AB179</f>
        <v/>
      </c>
      <c r="AB179" s="160">
        <f>'Datos_fuente'!AC179</f>
        <v/>
      </c>
      <c r="AC179" s="160">
        <f>IF('Datos_fuente'!AD179="","",LN('Datos_fuente'!AD179))</f>
        <v/>
      </c>
      <c r="AD179" s="160">
        <f>IF(OR(AC179="",AC178=""),"",AC179-AC178)</f>
        <v/>
      </c>
      <c r="AE179" s="160">
        <f>IF('Datos_fuente'!AE179="","",LN('Datos_fuente'!AE179))</f>
        <v/>
      </c>
      <c r="AF179" s="160">
        <f>IF(OR(AE179="",AE178=""),"",AE179-AE178)</f>
        <v/>
      </c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'Datos_fuente'!A180</f>
        <v/>
      </c>
      <c r="B180" s="160">
        <f>IF('Datos_fuente'!B180="","",LN('Datos_fuente'!B180))</f>
        <v/>
      </c>
      <c r="C180" s="160">
        <f>IF(OR(B180="",B179=""),"",B180-B179)</f>
        <v/>
      </c>
      <c r="D180" s="160">
        <f>IF('Datos_fuente'!C180="","",LN('Datos_fuente'!C180))</f>
        <v/>
      </c>
      <c r="E180" s="160">
        <f>IF(OR(D180="",D179=""),"",D180-D179)</f>
        <v/>
      </c>
      <c r="F180" s="160">
        <f>IF('Datos_fuente'!E180="","",LN('Datos_fuente'!E180))</f>
        <v/>
      </c>
      <c r="G180" s="160">
        <f>IF(OR(F180="",F179=""),"",F180-F179)</f>
        <v/>
      </c>
      <c r="H180" s="161">
        <f>'Datos_fuente'!H180</f>
        <v/>
      </c>
      <c r="I180" s="161">
        <f>IF(OR(H180="",H179=""),"",H180-H179)</f>
        <v/>
      </c>
      <c r="J180" s="161">
        <f>'Datos_fuente'!J180</f>
        <v/>
      </c>
      <c r="K180" s="161">
        <f>IF(OR(J180="",J179=""),"",J180-J179)</f>
        <v/>
      </c>
      <c r="L180" s="160">
        <f>IF('Datos_fuente'!K180="","",LN('Datos_fuente'!K180))</f>
        <v/>
      </c>
      <c r="M180" s="160">
        <f>IF(OR(L180="",L179=""),"",L180-L179)</f>
        <v/>
      </c>
      <c r="N180" s="160">
        <f>IF('Datos_fuente'!L180="","",LN('Datos_fuente'!L180))</f>
        <v/>
      </c>
      <c r="O180" s="160">
        <f>IF(OR(N180="",N179=""),"",N180-N179)</f>
        <v/>
      </c>
      <c r="P180" s="162">
        <f>'Datos_fuente'!M180</f>
        <v/>
      </c>
      <c r="Q180" s="160">
        <f>IF('Datos_fuente'!N180="","",LN('Datos_fuente'!N180))</f>
        <v/>
      </c>
      <c r="R180" s="160">
        <f>IF(OR(Q180="",Q179=""),"",Q180-Q179)</f>
        <v/>
      </c>
      <c r="S180" s="161">
        <f>'Datos_fuente'!P180</f>
        <v/>
      </c>
      <c r="T180" s="161">
        <f>IF(OR(S180="",S179=""),"",S180-S179)</f>
        <v/>
      </c>
      <c r="U180" s="160">
        <f>IF('Datos_fuente'!Q180="","",ASINH('Datos_fuente'!Q180/1000))</f>
        <v/>
      </c>
      <c r="V180" s="160">
        <f>IF(OR(U180="",U179=""),"",U180-U179)</f>
        <v/>
      </c>
      <c r="W180" s="160">
        <f>IF('Datos_fuente'!R180="","",ASINH('Datos_fuente'!R180/1000))</f>
        <v/>
      </c>
      <c r="X180" s="160">
        <f>IF(OR(W180="",W179=""),"",W180-W179)</f>
        <v/>
      </c>
      <c r="Y180" s="161">
        <f>'Datos_fuente'!W180</f>
        <v/>
      </c>
      <c r="Z180" s="161">
        <f>IF(OR(Y180="",Y179=""),"",Y180-Y179)</f>
        <v/>
      </c>
      <c r="AA180" s="160">
        <f>'Datos_fuente'!AB180</f>
        <v/>
      </c>
      <c r="AB180" s="160">
        <f>'Datos_fuente'!AC180</f>
        <v/>
      </c>
      <c r="AC180" s="160">
        <f>IF('Datos_fuente'!AD180="","",LN('Datos_fuente'!AD180))</f>
        <v/>
      </c>
      <c r="AD180" s="160">
        <f>IF(OR(AC180="",AC179=""),"",AC180-AC179)</f>
        <v/>
      </c>
      <c r="AE180" s="160">
        <f>IF('Datos_fuente'!AE180="","",LN('Datos_fuente'!AE180))</f>
        <v/>
      </c>
      <c r="AF180" s="160">
        <f>IF(OR(AE180="",AE179=""),"",AE180-AE179)</f>
        <v/>
      </c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'Datos_fuente'!A181</f>
        <v/>
      </c>
      <c r="B181" s="160">
        <f>IF('Datos_fuente'!B181="","",LN('Datos_fuente'!B181))</f>
        <v/>
      </c>
      <c r="C181" s="160">
        <f>IF(OR(B181="",B180=""),"",B181-B180)</f>
        <v/>
      </c>
      <c r="D181" s="160">
        <f>IF('Datos_fuente'!C181="","",LN('Datos_fuente'!C181))</f>
        <v/>
      </c>
      <c r="E181" s="160">
        <f>IF(OR(D181="",D180=""),"",D181-D180)</f>
        <v/>
      </c>
      <c r="F181" s="160">
        <f>IF('Datos_fuente'!E181="","",LN('Datos_fuente'!E181))</f>
        <v/>
      </c>
      <c r="G181" s="160">
        <f>IF(OR(F181="",F180=""),"",F181-F180)</f>
        <v/>
      </c>
      <c r="H181" s="161">
        <f>'Datos_fuente'!H181</f>
        <v/>
      </c>
      <c r="I181" s="161">
        <f>IF(OR(H181="",H180=""),"",H181-H180)</f>
        <v/>
      </c>
      <c r="J181" s="161">
        <f>'Datos_fuente'!J181</f>
        <v/>
      </c>
      <c r="K181" s="161">
        <f>IF(OR(J181="",J180=""),"",J181-J180)</f>
        <v/>
      </c>
      <c r="L181" s="160">
        <f>IF('Datos_fuente'!K181="","",LN('Datos_fuente'!K181))</f>
        <v/>
      </c>
      <c r="M181" s="160">
        <f>IF(OR(L181="",L180=""),"",L181-L180)</f>
        <v/>
      </c>
      <c r="N181" s="160">
        <f>IF('Datos_fuente'!L181="","",LN('Datos_fuente'!L181))</f>
        <v/>
      </c>
      <c r="O181" s="160">
        <f>IF(OR(N181="",N180=""),"",N181-N180)</f>
        <v/>
      </c>
      <c r="P181" s="162">
        <f>'Datos_fuente'!M181</f>
        <v/>
      </c>
      <c r="Q181" s="160">
        <f>IF('Datos_fuente'!N181="","",LN('Datos_fuente'!N181))</f>
        <v/>
      </c>
      <c r="R181" s="160">
        <f>IF(OR(Q181="",Q180=""),"",Q181-Q180)</f>
        <v/>
      </c>
      <c r="S181" s="161">
        <f>'Datos_fuente'!P181</f>
        <v/>
      </c>
      <c r="T181" s="161">
        <f>IF(OR(S181="",S180=""),"",S181-S180)</f>
        <v/>
      </c>
      <c r="U181" s="160">
        <f>IF('Datos_fuente'!Q181="","",ASINH('Datos_fuente'!Q181/1000))</f>
        <v/>
      </c>
      <c r="V181" s="160">
        <f>IF(OR(U181="",U180=""),"",U181-U180)</f>
        <v/>
      </c>
      <c r="W181" s="160">
        <f>IF('Datos_fuente'!R181="","",ASINH('Datos_fuente'!R181/1000))</f>
        <v/>
      </c>
      <c r="X181" s="160">
        <f>IF(OR(W181="",W180=""),"",W181-W180)</f>
        <v/>
      </c>
      <c r="Y181" s="161">
        <f>'Datos_fuente'!W181</f>
        <v/>
      </c>
      <c r="Z181" s="161">
        <f>IF(OR(Y181="",Y180=""),"",Y181-Y180)</f>
        <v/>
      </c>
      <c r="AA181" s="160">
        <f>'Datos_fuente'!AB181</f>
        <v/>
      </c>
      <c r="AB181" s="160">
        <f>'Datos_fuente'!AC181</f>
        <v/>
      </c>
      <c r="AC181" s="160">
        <f>IF('Datos_fuente'!AD181="","",LN('Datos_fuente'!AD181))</f>
        <v/>
      </c>
      <c r="AD181" s="160">
        <f>IF(OR(AC181="",AC180=""),"",AC181-AC180)</f>
        <v/>
      </c>
      <c r="AE181" s="160">
        <f>IF('Datos_fuente'!AE181="","",LN('Datos_fuente'!AE181))</f>
        <v/>
      </c>
      <c r="AF181" s="160">
        <f>IF(OR(AE181="",AE180=""),"",AE181-AE180)</f>
        <v/>
      </c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'Datos_fuente'!A182</f>
        <v/>
      </c>
      <c r="B182" s="160">
        <f>IF('Datos_fuente'!B182="","",LN('Datos_fuente'!B182))</f>
        <v/>
      </c>
      <c r="C182" s="160">
        <f>IF(OR(B182="",B181=""),"",B182-B181)</f>
        <v/>
      </c>
      <c r="D182" s="160">
        <f>IF('Datos_fuente'!C182="","",LN('Datos_fuente'!C182))</f>
        <v/>
      </c>
      <c r="E182" s="160">
        <f>IF(OR(D182="",D181=""),"",D182-D181)</f>
        <v/>
      </c>
      <c r="F182" s="160">
        <f>IF('Datos_fuente'!E182="","",LN('Datos_fuente'!E182))</f>
        <v/>
      </c>
      <c r="G182" s="160">
        <f>IF(OR(F182="",F181=""),"",F182-F181)</f>
        <v/>
      </c>
      <c r="H182" s="161">
        <f>'Datos_fuente'!H182</f>
        <v/>
      </c>
      <c r="I182" s="161">
        <f>IF(OR(H182="",H181=""),"",H182-H181)</f>
        <v/>
      </c>
      <c r="J182" s="161">
        <f>'Datos_fuente'!J182</f>
        <v/>
      </c>
      <c r="K182" s="161">
        <f>IF(OR(J182="",J181=""),"",J182-J181)</f>
        <v/>
      </c>
      <c r="L182" s="160">
        <f>IF('Datos_fuente'!K182="","",LN('Datos_fuente'!K182))</f>
        <v/>
      </c>
      <c r="M182" s="160">
        <f>IF(OR(L182="",L181=""),"",L182-L181)</f>
        <v/>
      </c>
      <c r="N182" s="160">
        <f>IF('Datos_fuente'!L182="","",LN('Datos_fuente'!L182))</f>
        <v/>
      </c>
      <c r="O182" s="160">
        <f>IF(OR(N182="",N181=""),"",N182-N181)</f>
        <v/>
      </c>
      <c r="P182" s="162">
        <f>'Datos_fuente'!M182</f>
        <v/>
      </c>
      <c r="Q182" s="160">
        <f>IF('Datos_fuente'!N182="","",LN('Datos_fuente'!N182))</f>
        <v/>
      </c>
      <c r="R182" s="160">
        <f>IF(OR(Q182="",Q181=""),"",Q182-Q181)</f>
        <v/>
      </c>
      <c r="S182" s="161">
        <f>'Datos_fuente'!P182</f>
        <v/>
      </c>
      <c r="T182" s="161">
        <f>IF(OR(S182="",S181=""),"",S182-S181)</f>
        <v/>
      </c>
      <c r="U182" s="160">
        <f>IF('Datos_fuente'!Q182="","",ASINH('Datos_fuente'!Q182/1000))</f>
        <v/>
      </c>
      <c r="V182" s="160">
        <f>IF(OR(U182="",U181=""),"",U182-U181)</f>
        <v/>
      </c>
      <c r="W182" s="160">
        <f>IF('Datos_fuente'!R182="","",ASINH('Datos_fuente'!R182/1000))</f>
        <v/>
      </c>
      <c r="X182" s="160">
        <f>IF(OR(W182="",W181=""),"",W182-W181)</f>
        <v/>
      </c>
      <c r="Y182" s="161">
        <f>'Datos_fuente'!W182</f>
        <v/>
      </c>
      <c r="Z182" s="161">
        <f>IF(OR(Y182="",Y181=""),"",Y182-Y181)</f>
        <v/>
      </c>
      <c r="AA182" s="160">
        <f>'Datos_fuente'!AB182</f>
        <v/>
      </c>
      <c r="AB182" s="160">
        <f>'Datos_fuente'!AC182</f>
        <v/>
      </c>
      <c r="AC182" s="160">
        <f>IF('Datos_fuente'!AD182="","",LN('Datos_fuente'!AD182))</f>
        <v/>
      </c>
      <c r="AD182" s="160">
        <f>IF(OR(AC182="",AC181=""),"",AC182-AC181)</f>
        <v/>
      </c>
      <c r="AE182" s="160">
        <f>IF('Datos_fuente'!AE182="","",LN('Datos_fuente'!AE182))</f>
        <v/>
      </c>
      <c r="AF182" s="160">
        <f>IF(OR(AE182="",AE181=""),"",AE182-AE181)</f>
        <v/>
      </c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'Datos_fuente'!A183</f>
        <v/>
      </c>
      <c r="B183" s="160">
        <f>IF('Datos_fuente'!B183="","",LN('Datos_fuente'!B183))</f>
        <v/>
      </c>
      <c r="C183" s="160">
        <f>IF(OR(B183="",B182=""),"",B183-B182)</f>
        <v/>
      </c>
      <c r="D183" s="160">
        <f>IF('Datos_fuente'!C183="","",LN('Datos_fuente'!C183))</f>
        <v/>
      </c>
      <c r="E183" s="160">
        <f>IF(OR(D183="",D182=""),"",D183-D182)</f>
        <v/>
      </c>
      <c r="F183" s="160">
        <f>IF('Datos_fuente'!E183="","",LN('Datos_fuente'!E183))</f>
        <v/>
      </c>
      <c r="G183" s="160">
        <f>IF(OR(F183="",F182=""),"",F183-F182)</f>
        <v/>
      </c>
      <c r="H183" s="161">
        <f>'Datos_fuente'!H183</f>
        <v/>
      </c>
      <c r="I183" s="161">
        <f>IF(OR(H183="",H182=""),"",H183-H182)</f>
        <v/>
      </c>
      <c r="J183" s="161">
        <f>'Datos_fuente'!J183</f>
        <v/>
      </c>
      <c r="K183" s="161">
        <f>IF(OR(J183="",J182=""),"",J183-J182)</f>
        <v/>
      </c>
      <c r="L183" s="160">
        <f>IF('Datos_fuente'!K183="","",LN('Datos_fuente'!K183))</f>
        <v/>
      </c>
      <c r="M183" s="160">
        <f>IF(OR(L183="",L182=""),"",L183-L182)</f>
        <v/>
      </c>
      <c r="N183" s="160">
        <f>IF('Datos_fuente'!L183="","",LN('Datos_fuente'!L183))</f>
        <v/>
      </c>
      <c r="O183" s="160">
        <f>IF(OR(N183="",N182=""),"",N183-N182)</f>
        <v/>
      </c>
      <c r="P183" s="162">
        <f>'Datos_fuente'!M183</f>
        <v/>
      </c>
      <c r="Q183" s="160">
        <f>IF('Datos_fuente'!N183="","",LN('Datos_fuente'!N183))</f>
        <v/>
      </c>
      <c r="R183" s="160">
        <f>IF(OR(Q183="",Q182=""),"",Q183-Q182)</f>
        <v/>
      </c>
      <c r="S183" s="161">
        <f>'Datos_fuente'!P183</f>
        <v/>
      </c>
      <c r="T183" s="161">
        <f>IF(OR(S183="",S182=""),"",S183-S182)</f>
        <v/>
      </c>
      <c r="U183" s="160">
        <f>IF('Datos_fuente'!Q183="","",ASINH('Datos_fuente'!Q183/1000))</f>
        <v/>
      </c>
      <c r="V183" s="160">
        <f>IF(OR(U183="",U182=""),"",U183-U182)</f>
        <v/>
      </c>
      <c r="W183" s="160">
        <f>IF('Datos_fuente'!R183="","",ASINH('Datos_fuente'!R183/1000))</f>
        <v/>
      </c>
      <c r="X183" s="160">
        <f>IF(OR(W183="",W182=""),"",W183-W182)</f>
        <v/>
      </c>
      <c r="Y183" s="161">
        <f>'Datos_fuente'!W183</f>
        <v/>
      </c>
      <c r="Z183" s="161">
        <f>IF(OR(Y183="",Y182=""),"",Y183-Y182)</f>
        <v/>
      </c>
      <c r="AA183" s="160">
        <f>'Datos_fuente'!AB183</f>
        <v/>
      </c>
      <c r="AB183" s="160">
        <f>'Datos_fuente'!AC183</f>
        <v/>
      </c>
      <c r="AC183" s="160">
        <f>IF('Datos_fuente'!AD183="","",LN('Datos_fuente'!AD183))</f>
        <v/>
      </c>
      <c r="AD183" s="160">
        <f>IF(OR(AC183="",AC182=""),"",AC183-AC182)</f>
        <v/>
      </c>
      <c r="AE183" s="160">
        <f>IF('Datos_fuente'!AE183="","",LN('Datos_fuente'!AE183))</f>
        <v/>
      </c>
      <c r="AF183" s="160">
        <f>IF(OR(AE183="",AE182=""),"",AE183-AE182)</f>
        <v/>
      </c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'Datos_fuente'!A184</f>
        <v/>
      </c>
      <c r="B184" s="160">
        <f>IF('Datos_fuente'!B184="","",LN('Datos_fuente'!B184))</f>
        <v/>
      </c>
      <c r="C184" s="160">
        <f>IF(OR(B184="",B183=""),"",B184-B183)</f>
        <v/>
      </c>
      <c r="D184" s="160">
        <f>IF('Datos_fuente'!C184="","",LN('Datos_fuente'!C184))</f>
        <v/>
      </c>
      <c r="E184" s="160">
        <f>IF(OR(D184="",D183=""),"",D184-D183)</f>
        <v/>
      </c>
      <c r="F184" s="160">
        <f>IF('Datos_fuente'!E184="","",LN('Datos_fuente'!E184))</f>
        <v/>
      </c>
      <c r="G184" s="160">
        <f>IF(OR(F184="",F183=""),"",F184-F183)</f>
        <v/>
      </c>
      <c r="H184" s="161">
        <f>'Datos_fuente'!H184</f>
        <v/>
      </c>
      <c r="I184" s="161">
        <f>IF(OR(H184="",H183=""),"",H184-H183)</f>
        <v/>
      </c>
      <c r="J184" s="161">
        <f>'Datos_fuente'!J184</f>
        <v/>
      </c>
      <c r="K184" s="161">
        <f>IF(OR(J184="",J183=""),"",J184-J183)</f>
        <v/>
      </c>
      <c r="L184" s="160">
        <f>IF('Datos_fuente'!K184="","",LN('Datos_fuente'!K184))</f>
        <v/>
      </c>
      <c r="M184" s="160">
        <f>IF(OR(L184="",L183=""),"",L184-L183)</f>
        <v/>
      </c>
      <c r="N184" s="160">
        <f>IF('Datos_fuente'!L184="","",LN('Datos_fuente'!L184))</f>
        <v/>
      </c>
      <c r="O184" s="160">
        <f>IF(OR(N184="",N183=""),"",N184-N183)</f>
        <v/>
      </c>
      <c r="P184" s="162">
        <f>'Datos_fuente'!M184</f>
        <v/>
      </c>
      <c r="Q184" s="160">
        <f>IF('Datos_fuente'!N184="","",LN('Datos_fuente'!N184))</f>
        <v/>
      </c>
      <c r="R184" s="160">
        <f>IF(OR(Q184="",Q183=""),"",Q184-Q183)</f>
        <v/>
      </c>
      <c r="S184" s="161">
        <f>'Datos_fuente'!P184</f>
        <v/>
      </c>
      <c r="T184" s="161">
        <f>IF(OR(S184="",S183=""),"",S184-S183)</f>
        <v/>
      </c>
      <c r="U184" s="160">
        <f>IF('Datos_fuente'!Q184="","",ASINH('Datos_fuente'!Q184/1000))</f>
        <v/>
      </c>
      <c r="V184" s="160">
        <f>IF(OR(U184="",U183=""),"",U184-U183)</f>
        <v/>
      </c>
      <c r="W184" s="160">
        <f>IF('Datos_fuente'!R184="","",ASINH('Datos_fuente'!R184/1000))</f>
        <v/>
      </c>
      <c r="X184" s="160">
        <f>IF(OR(W184="",W183=""),"",W184-W183)</f>
        <v/>
      </c>
      <c r="Y184" s="161">
        <f>'Datos_fuente'!W184</f>
        <v/>
      </c>
      <c r="Z184" s="161">
        <f>IF(OR(Y184="",Y183=""),"",Y184-Y183)</f>
        <v/>
      </c>
      <c r="AA184" s="160">
        <f>'Datos_fuente'!AB184</f>
        <v/>
      </c>
      <c r="AB184" s="160">
        <f>'Datos_fuente'!AC184</f>
        <v/>
      </c>
      <c r="AC184" s="160">
        <f>IF('Datos_fuente'!AD184="","",LN('Datos_fuente'!AD184))</f>
        <v/>
      </c>
      <c r="AD184" s="160">
        <f>IF(OR(AC184="",AC183=""),"",AC184-AC183)</f>
        <v/>
      </c>
      <c r="AE184" s="160">
        <f>IF('Datos_fuente'!AE184="","",LN('Datos_fuente'!AE184))</f>
        <v/>
      </c>
      <c r="AF184" s="160">
        <f>IF(OR(AE184="",AE183=""),"",AE184-AE183)</f>
        <v/>
      </c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'Datos_fuente'!A185</f>
        <v/>
      </c>
      <c r="B185" s="160">
        <f>IF('Datos_fuente'!B185="","",LN('Datos_fuente'!B185))</f>
        <v/>
      </c>
      <c r="C185" s="160">
        <f>IF(OR(B185="",B184=""),"",B185-B184)</f>
        <v/>
      </c>
      <c r="D185" s="160">
        <f>IF('Datos_fuente'!C185="","",LN('Datos_fuente'!C185))</f>
        <v/>
      </c>
      <c r="E185" s="160">
        <f>IF(OR(D185="",D184=""),"",D185-D184)</f>
        <v/>
      </c>
      <c r="F185" s="160">
        <f>IF('Datos_fuente'!E185="","",LN('Datos_fuente'!E185))</f>
        <v/>
      </c>
      <c r="G185" s="160">
        <f>IF(OR(F185="",F184=""),"",F185-F184)</f>
        <v/>
      </c>
      <c r="H185" s="161">
        <f>'Datos_fuente'!H185</f>
        <v/>
      </c>
      <c r="I185" s="161">
        <f>IF(OR(H185="",H184=""),"",H185-H184)</f>
        <v/>
      </c>
      <c r="J185" s="161">
        <f>'Datos_fuente'!J185</f>
        <v/>
      </c>
      <c r="K185" s="161">
        <f>IF(OR(J185="",J184=""),"",J185-J184)</f>
        <v/>
      </c>
      <c r="L185" s="160">
        <f>IF('Datos_fuente'!K185="","",LN('Datos_fuente'!K185))</f>
        <v/>
      </c>
      <c r="M185" s="160">
        <f>IF(OR(L185="",L184=""),"",L185-L184)</f>
        <v/>
      </c>
      <c r="N185" s="160">
        <f>IF('Datos_fuente'!L185="","",LN('Datos_fuente'!L185))</f>
        <v/>
      </c>
      <c r="O185" s="160">
        <f>IF(OR(N185="",N184=""),"",N185-N184)</f>
        <v/>
      </c>
      <c r="P185" s="162">
        <f>'Datos_fuente'!M185</f>
        <v/>
      </c>
      <c r="Q185" s="160">
        <f>IF('Datos_fuente'!N185="","",LN('Datos_fuente'!N185))</f>
        <v/>
      </c>
      <c r="R185" s="160">
        <f>IF(OR(Q185="",Q184=""),"",Q185-Q184)</f>
        <v/>
      </c>
      <c r="S185" s="161">
        <f>'Datos_fuente'!P185</f>
        <v/>
      </c>
      <c r="T185" s="161">
        <f>IF(OR(S185="",S184=""),"",S185-S184)</f>
        <v/>
      </c>
      <c r="U185" s="160">
        <f>IF('Datos_fuente'!Q185="","",ASINH('Datos_fuente'!Q185/1000))</f>
        <v/>
      </c>
      <c r="V185" s="160">
        <f>IF(OR(U185="",U184=""),"",U185-U184)</f>
        <v/>
      </c>
      <c r="W185" s="160">
        <f>IF('Datos_fuente'!R185="","",ASINH('Datos_fuente'!R185/1000))</f>
        <v/>
      </c>
      <c r="X185" s="160">
        <f>IF(OR(W185="",W184=""),"",W185-W184)</f>
        <v/>
      </c>
      <c r="Y185" s="161">
        <f>'Datos_fuente'!W185</f>
        <v/>
      </c>
      <c r="Z185" s="161">
        <f>IF(OR(Y185="",Y184=""),"",Y185-Y184)</f>
        <v/>
      </c>
      <c r="AA185" s="160">
        <f>'Datos_fuente'!AB185</f>
        <v/>
      </c>
      <c r="AB185" s="160">
        <f>'Datos_fuente'!AC185</f>
        <v/>
      </c>
      <c r="AC185" s="160">
        <f>IF('Datos_fuente'!AD185="","",LN('Datos_fuente'!AD185))</f>
        <v/>
      </c>
      <c r="AD185" s="160">
        <f>IF(OR(AC185="",AC184=""),"",AC185-AC184)</f>
        <v/>
      </c>
      <c r="AE185" s="160">
        <f>IF('Datos_fuente'!AE185="","",LN('Datos_fuente'!AE185))</f>
        <v/>
      </c>
      <c r="AF185" s="160">
        <f>IF(OR(AE185="",AE184=""),"",AE185-AE184)</f>
        <v/>
      </c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'Datos_fuente'!A186</f>
        <v/>
      </c>
      <c r="B186" s="160">
        <f>IF('Datos_fuente'!B186="","",LN('Datos_fuente'!B186))</f>
        <v/>
      </c>
      <c r="C186" s="160">
        <f>IF(OR(B186="",B185=""),"",B186-B185)</f>
        <v/>
      </c>
      <c r="D186" s="160">
        <f>IF('Datos_fuente'!C186="","",LN('Datos_fuente'!C186))</f>
        <v/>
      </c>
      <c r="E186" s="160">
        <f>IF(OR(D186="",D185=""),"",D186-D185)</f>
        <v/>
      </c>
      <c r="F186" s="160">
        <f>IF('Datos_fuente'!E186="","",LN('Datos_fuente'!E186))</f>
        <v/>
      </c>
      <c r="G186" s="160">
        <f>IF(OR(F186="",F185=""),"",F186-F185)</f>
        <v/>
      </c>
      <c r="H186" s="161">
        <f>'Datos_fuente'!H186</f>
        <v/>
      </c>
      <c r="I186" s="161">
        <f>IF(OR(H186="",H185=""),"",H186-H185)</f>
        <v/>
      </c>
      <c r="J186" s="161">
        <f>'Datos_fuente'!J186</f>
        <v/>
      </c>
      <c r="K186" s="161">
        <f>IF(OR(J186="",J185=""),"",J186-J185)</f>
        <v/>
      </c>
      <c r="L186" s="160">
        <f>IF('Datos_fuente'!K186="","",LN('Datos_fuente'!K186))</f>
        <v/>
      </c>
      <c r="M186" s="160">
        <f>IF(OR(L186="",L185=""),"",L186-L185)</f>
        <v/>
      </c>
      <c r="N186" s="160">
        <f>IF('Datos_fuente'!L186="","",LN('Datos_fuente'!L186))</f>
        <v/>
      </c>
      <c r="O186" s="160">
        <f>IF(OR(N186="",N185=""),"",N186-N185)</f>
        <v/>
      </c>
      <c r="P186" s="162">
        <f>'Datos_fuente'!M186</f>
        <v/>
      </c>
      <c r="Q186" s="160">
        <f>IF('Datos_fuente'!N186="","",LN('Datos_fuente'!N186))</f>
        <v/>
      </c>
      <c r="R186" s="160">
        <f>IF(OR(Q186="",Q185=""),"",Q186-Q185)</f>
        <v/>
      </c>
      <c r="S186" s="161">
        <f>'Datos_fuente'!P186</f>
        <v/>
      </c>
      <c r="T186" s="161">
        <f>IF(OR(S186="",S185=""),"",S186-S185)</f>
        <v/>
      </c>
      <c r="U186" s="160">
        <f>IF('Datos_fuente'!Q186="","",ASINH('Datos_fuente'!Q186/1000))</f>
        <v/>
      </c>
      <c r="V186" s="160">
        <f>IF(OR(U186="",U185=""),"",U186-U185)</f>
        <v/>
      </c>
      <c r="W186" s="160">
        <f>IF('Datos_fuente'!R186="","",ASINH('Datos_fuente'!R186/1000))</f>
        <v/>
      </c>
      <c r="X186" s="160">
        <f>IF(OR(W186="",W185=""),"",W186-W185)</f>
        <v/>
      </c>
      <c r="Y186" s="161">
        <f>'Datos_fuente'!W186</f>
        <v/>
      </c>
      <c r="Z186" s="161">
        <f>IF(OR(Y186="",Y185=""),"",Y186-Y185)</f>
        <v/>
      </c>
      <c r="AA186" s="160">
        <f>'Datos_fuente'!AB186</f>
        <v/>
      </c>
      <c r="AB186" s="160">
        <f>'Datos_fuente'!AC186</f>
        <v/>
      </c>
      <c r="AC186" s="160">
        <f>IF('Datos_fuente'!AD186="","",LN('Datos_fuente'!AD186))</f>
        <v/>
      </c>
      <c r="AD186" s="160">
        <f>IF(OR(AC186="",AC185=""),"",AC186-AC185)</f>
        <v/>
      </c>
      <c r="AE186" s="160">
        <f>IF('Datos_fuente'!AE186="","",LN('Datos_fuente'!AE186))</f>
        <v/>
      </c>
      <c r="AF186" s="160">
        <f>IF(OR(AE186="",AE185=""),"",AE186-AE185)</f>
        <v/>
      </c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'Datos_fuente'!A187</f>
        <v/>
      </c>
      <c r="B187" s="160">
        <f>IF('Datos_fuente'!B187="","",LN('Datos_fuente'!B187))</f>
        <v/>
      </c>
      <c r="C187" s="160">
        <f>IF(OR(B187="",B186=""),"",B187-B186)</f>
        <v/>
      </c>
      <c r="D187" s="160">
        <f>IF('Datos_fuente'!C187="","",LN('Datos_fuente'!C187))</f>
        <v/>
      </c>
      <c r="E187" s="160">
        <f>IF(OR(D187="",D186=""),"",D187-D186)</f>
        <v/>
      </c>
      <c r="F187" s="160">
        <f>IF('Datos_fuente'!E187="","",LN('Datos_fuente'!E187))</f>
        <v/>
      </c>
      <c r="G187" s="160">
        <f>IF(OR(F187="",F186=""),"",F187-F186)</f>
        <v/>
      </c>
      <c r="H187" s="161">
        <f>'Datos_fuente'!H187</f>
        <v/>
      </c>
      <c r="I187" s="161">
        <f>IF(OR(H187="",H186=""),"",H187-H186)</f>
        <v/>
      </c>
      <c r="J187" s="161">
        <f>'Datos_fuente'!J187</f>
        <v/>
      </c>
      <c r="K187" s="161">
        <f>IF(OR(J187="",J186=""),"",J187-J186)</f>
        <v/>
      </c>
      <c r="L187" s="160">
        <f>IF('Datos_fuente'!K187="","",LN('Datos_fuente'!K187))</f>
        <v/>
      </c>
      <c r="M187" s="160">
        <f>IF(OR(L187="",L186=""),"",L187-L186)</f>
        <v/>
      </c>
      <c r="N187" s="160">
        <f>IF('Datos_fuente'!L187="","",LN('Datos_fuente'!L187))</f>
        <v/>
      </c>
      <c r="O187" s="160">
        <f>IF(OR(N187="",N186=""),"",N187-N186)</f>
        <v/>
      </c>
      <c r="P187" s="162">
        <f>'Datos_fuente'!M187</f>
        <v/>
      </c>
      <c r="Q187" s="160">
        <f>IF('Datos_fuente'!N187="","",LN('Datos_fuente'!N187))</f>
        <v/>
      </c>
      <c r="R187" s="160">
        <f>IF(OR(Q187="",Q186=""),"",Q187-Q186)</f>
        <v/>
      </c>
      <c r="S187" s="161">
        <f>'Datos_fuente'!P187</f>
        <v/>
      </c>
      <c r="T187" s="161">
        <f>IF(OR(S187="",S186=""),"",S187-S186)</f>
        <v/>
      </c>
      <c r="U187" s="160">
        <f>IF('Datos_fuente'!Q187="","",ASINH('Datos_fuente'!Q187/1000))</f>
        <v/>
      </c>
      <c r="V187" s="160">
        <f>IF(OR(U187="",U186=""),"",U187-U186)</f>
        <v/>
      </c>
      <c r="W187" s="160">
        <f>IF('Datos_fuente'!R187="","",ASINH('Datos_fuente'!R187/1000))</f>
        <v/>
      </c>
      <c r="X187" s="160">
        <f>IF(OR(W187="",W186=""),"",W187-W186)</f>
        <v/>
      </c>
      <c r="Y187" s="161">
        <f>'Datos_fuente'!W187</f>
        <v/>
      </c>
      <c r="Z187" s="161">
        <f>IF(OR(Y187="",Y186=""),"",Y187-Y186)</f>
        <v/>
      </c>
      <c r="AA187" s="160">
        <f>'Datos_fuente'!AB187</f>
        <v/>
      </c>
      <c r="AB187" s="160">
        <f>'Datos_fuente'!AC187</f>
        <v/>
      </c>
      <c r="AC187" s="160">
        <f>IF('Datos_fuente'!AD187="","",LN('Datos_fuente'!AD187))</f>
        <v/>
      </c>
      <c r="AD187" s="160">
        <f>IF(OR(AC187="",AC186=""),"",AC187-AC186)</f>
        <v/>
      </c>
      <c r="AE187" s="160">
        <f>IF('Datos_fuente'!AE187="","",LN('Datos_fuente'!AE187))</f>
        <v/>
      </c>
      <c r="AF187" s="160">
        <f>IF(OR(AE187="",AE186=""),"",AE187-AE186)</f>
        <v/>
      </c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'Datos_fuente'!A188</f>
        <v/>
      </c>
      <c r="B188" s="160">
        <f>IF('Datos_fuente'!B188="","",LN('Datos_fuente'!B188))</f>
        <v/>
      </c>
      <c r="C188" s="160">
        <f>IF(OR(B188="",B187=""),"",B188-B187)</f>
        <v/>
      </c>
      <c r="D188" s="160">
        <f>IF('Datos_fuente'!C188="","",LN('Datos_fuente'!C188))</f>
        <v/>
      </c>
      <c r="E188" s="160">
        <f>IF(OR(D188="",D187=""),"",D188-D187)</f>
        <v/>
      </c>
      <c r="F188" s="160">
        <f>IF('Datos_fuente'!E188="","",LN('Datos_fuente'!E188))</f>
        <v/>
      </c>
      <c r="G188" s="160">
        <f>IF(OR(F188="",F187=""),"",F188-F187)</f>
        <v/>
      </c>
      <c r="H188" s="161">
        <f>'Datos_fuente'!H188</f>
        <v/>
      </c>
      <c r="I188" s="161">
        <f>IF(OR(H188="",H187=""),"",H188-H187)</f>
        <v/>
      </c>
      <c r="J188" s="161">
        <f>'Datos_fuente'!J188</f>
        <v/>
      </c>
      <c r="K188" s="161">
        <f>IF(OR(J188="",J187=""),"",J188-J187)</f>
        <v/>
      </c>
      <c r="L188" s="160">
        <f>IF('Datos_fuente'!K188="","",LN('Datos_fuente'!K188))</f>
        <v/>
      </c>
      <c r="M188" s="160">
        <f>IF(OR(L188="",L187=""),"",L188-L187)</f>
        <v/>
      </c>
      <c r="N188" s="160">
        <f>IF('Datos_fuente'!L188="","",LN('Datos_fuente'!L188))</f>
        <v/>
      </c>
      <c r="O188" s="160">
        <f>IF(OR(N188="",N187=""),"",N188-N187)</f>
        <v/>
      </c>
      <c r="P188" s="162">
        <f>'Datos_fuente'!M188</f>
        <v/>
      </c>
      <c r="Q188" s="160">
        <f>IF('Datos_fuente'!N188="","",LN('Datos_fuente'!N188))</f>
        <v/>
      </c>
      <c r="R188" s="160">
        <f>IF(OR(Q188="",Q187=""),"",Q188-Q187)</f>
        <v/>
      </c>
      <c r="S188" s="161">
        <f>'Datos_fuente'!P188</f>
        <v/>
      </c>
      <c r="T188" s="161">
        <f>IF(OR(S188="",S187=""),"",S188-S187)</f>
        <v/>
      </c>
      <c r="U188" s="160">
        <f>IF('Datos_fuente'!Q188="","",ASINH('Datos_fuente'!Q188/1000))</f>
        <v/>
      </c>
      <c r="V188" s="160">
        <f>IF(OR(U188="",U187=""),"",U188-U187)</f>
        <v/>
      </c>
      <c r="W188" s="160">
        <f>IF('Datos_fuente'!R188="","",ASINH('Datos_fuente'!R188/1000))</f>
        <v/>
      </c>
      <c r="X188" s="160">
        <f>IF(OR(W188="",W187=""),"",W188-W187)</f>
        <v/>
      </c>
      <c r="Y188" s="161">
        <f>'Datos_fuente'!W188</f>
        <v/>
      </c>
      <c r="Z188" s="161">
        <f>IF(OR(Y188="",Y187=""),"",Y188-Y187)</f>
        <v/>
      </c>
      <c r="AA188" s="160">
        <f>'Datos_fuente'!AB188</f>
        <v/>
      </c>
      <c r="AB188" s="160">
        <f>'Datos_fuente'!AC188</f>
        <v/>
      </c>
      <c r="AC188" s="160">
        <f>IF('Datos_fuente'!AD188="","",LN('Datos_fuente'!AD188))</f>
        <v/>
      </c>
      <c r="AD188" s="160">
        <f>IF(OR(AC188="",AC187=""),"",AC188-AC187)</f>
        <v/>
      </c>
      <c r="AE188" s="160">
        <f>IF('Datos_fuente'!AE188="","",LN('Datos_fuente'!AE188))</f>
        <v/>
      </c>
      <c r="AF188" s="160">
        <f>IF(OR(AE188="",AE187=""),"",AE188-AE187)</f>
        <v/>
      </c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'Datos_fuente'!A189</f>
        <v/>
      </c>
      <c r="B189" s="160">
        <f>IF('Datos_fuente'!B189="","",LN('Datos_fuente'!B189))</f>
        <v/>
      </c>
      <c r="C189" s="160">
        <f>IF(OR(B189="",B188=""),"",B189-B188)</f>
        <v/>
      </c>
      <c r="D189" s="160">
        <f>IF('Datos_fuente'!C189="","",LN('Datos_fuente'!C189))</f>
        <v/>
      </c>
      <c r="E189" s="160">
        <f>IF(OR(D189="",D188=""),"",D189-D188)</f>
        <v/>
      </c>
      <c r="F189" s="160">
        <f>IF('Datos_fuente'!E189="","",LN('Datos_fuente'!E189))</f>
        <v/>
      </c>
      <c r="G189" s="160">
        <f>IF(OR(F189="",F188=""),"",F189-F188)</f>
        <v/>
      </c>
      <c r="H189" s="161">
        <f>'Datos_fuente'!H189</f>
        <v/>
      </c>
      <c r="I189" s="161">
        <f>IF(OR(H189="",H188=""),"",H189-H188)</f>
        <v/>
      </c>
      <c r="J189" s="161">
        <f>'Datos_fuente'!J189</f>
        <v/>
      </c>
      <c r="K189" s="161">
        <f>IF(OR(J189="",J188=""),"",J189-J188)</f>
        <v/>
      </c>
      <c r="L189" s="160">
        <f>IF('Datos_fuente'!K189="","",LN('Datos_fuente'!K189))</f>
        <v/>
      </c>
      <c r="M189" s="160">
        <f>IF(OR(L189="",L188=""),"",L189-L188)</f>
        <v/>
      </c>
      <c r="N189" s="160">
        <f>IF('Datos_fuente'!L189="","",LN('Datos_fuente'!L189))</f>
        <v/>
      </c>
      <c r="O189" s="160">
        <f>IF(OR(N189="",N188=""),"",N189-N188)</f>
        <v/>
      </c>
      <c r="P189" s="162">
        <f>'Datos_fuente'!M189</f>
        <v/>
      </c>
      <c r="Q189" s="160">
        <f>IF('Datos_fuente'!N189="","",LN('Datos_fuente'!N189))</f>
        <v/>
      </c>
      <c r="R189" s="160">
        <f>IF(OR(Q189="",Q188=""),"",Q189-Q188)</f>
        <v/>
      </c>
      <c r="S189" s="161">
        <f>'Datos_fuente'!P189</f>
        <v/>
      </c>
      <c r="T189" s="161">
        <f>IF(OR(S189="",S188=""),"",S189-S188)</f>
        <v/>
      </c>
      <c r="U189" s="160">
        <f>IF('Datos_fuente'!Q189="","",ASINH('Datos_fuente'!Q189/1000))</f>
        <v/>
      </c>
      <c r="V189" s="160">
        <f>IF(OR(U189="",U188=""),"",U189-U188)</f>
        <v/>
      </c>
      <c r="W189" s="160">
        <f>IF('Datos_fuente'!R189="","",ASINH('Datos_fuente'!R189/1000))</f>
        <v/>
      </c>
      <c r="X189" s="160">
        <f>IF(OR(W189="",W188=""),"",W189-W188)</f>
        <v/>
      </c>
      <c r="Y189" s="161">
        <f>'Datos_fuente'!W189</f>
        <v/>
      </c>
      <c r="Z189" s="161">
        <f>IF(OR(Y189="",Y188=""),"",Y189-Y188)</f>
        <v/>
      </c>
      <c r="AA189" s="160">
        <f>'Datos_fuente'!AB189</f>
        <v/>
      </c>
      <c r="AB189" s="160">
        <f>'Datos_fuente'!AC189</f>
        <v/>
      </c>
      <c r="AC189" s="160">
        <f>IF('Datos_fuente'!AD189="","",LN('Datos_fuente'!AD189))</f>
        <v/>
      </c>
      <c r="AD189" s="160">
        <f>IF(OR(AC189="",AC188=""),"",AC189-AC188)</f>
        <v/>
      </c>
      <c r="AE189" s="160">
        <f>IF('Datos_fuente'!AE189="","",LN('Datos_fuente'!AE189))</f>
        <v/>
      </c>
      <c r="AF189" s="160">
        <f>IF(OR(AE189="",AE188=""),"",AE189-AE188)</f>
        <v/>
      </c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'Datos_fuente'!A190</f>
        <v/>
      </c>
      <c r="B190" s="160">
        <f>IF('Datos_fuente'!B190="","",LN('Datos_fuente'!B190))</f>
        <v/>
      </c>
      <c r="C190" s="160">
        <f>IF(OR(B190="",B189=""),"",B190-B189)</f>
        <v/>
      </c>
      <c r="D190" s="160">
        <f>IF('Datos_fuente'!C190="","",LN('Datos_fuente'!C190))</f>
        <v/>
      </c>
      <c r="E190" s="160">
        <f>IF(OR(D190="",D189=""),"",D190-D189)</f>
        <v/>
      </c>
      <c r="F190" s="160">
        <f>IF('Datos_fuente'!E190="","",LN('Datos_fuente'!E190))</f>
        <v/>
      </c>
      <c r="G190" s="160">
        <f>IF(OR(F190="",F189=""),"",F190-F189)</f>
        <v/>
      </c>
      <c r="H190" s="161">
        <f>'Datos_fuente'!H190</f>
        <v/>
      </c>
      <c r="I190" s="161">
        <f>IF(OR(H190="",H189=""),"",H190-H189)</f>
        <v/>
      </c>
      <c r="J190" s="161">
        <f>'Datos_fuente'!J190</f>
        <v/>
      </c>
      <c r="K190" s="161">
        <f>IF(OR(J190="",J189=""),"",J190-J189)</f>
        <v/>
      </c>
      <c r="L190" s="160">
        <f>IF('Datos_fuente'!K190="","",LN('Datos_fuente'!K190))</f>
        <v/>
      </c>
      <c r="M190" s="160">
        <f>IF(OR(L190="",L189=""),"",L190-L189)</f>
        <v/>
      </c>
      <c r="N190" s="160">
        <f>IF('Datos_fuente'!L190="","",LN('Datos_fuente'!L190))</f>
        <v/>
      </c>
      <c r="O190" s="160">
        <f>IF(OR(N190="",N189=""),"",N190-N189)</f>
        <v/>
      </c>
      <c r="P190" s="162">
        <f>'Datos_fuente'!M190</f>
        <v/>
      </c>
      <c r="Q190" s="160">
        <f>IF('Datos_fuente'!N190="","",LN('Datos_fuente'!N190))</f>
        <v/>
      </c>
      <c r="R190" s="160">
        <f>IF(OR(Q190="",Q189=""),"",Q190-Q189)</f>
        <v/>
      </c>
      <c r="S190" s="161">
        <f>'Datos_fuente'!P190</f>
        <v/>
      </c>
      <c r="T190" s="161">
        <f>IF(OR(S190="",S189=""),"",S190-S189)</f>
        <v/>
      </c>
      <c r="U190" s="160">
        <f>IF('Datos_fuente'!Q190="","",ASINH('Datos_fuente'!Q190/1000))</f>
        <v/>
      </c>
      <c r="V190" s="160">
        <f>IF(OR(U190="",U189=""),"",U190-U189)</f>
        <v/>
      </c>
      <c r="W190" s="160">
        <f>IF('Datos_fuente'!R190="","",ASINH('Datos_fuente'!R190/1000))</f>
        <v/>
      </c>
      <c r="X190" s="160">
        <f>IF(OR(W190="",W189=""),"",W190-W189)</f>
        <v/>
      </c>
      <c r="Y190" s="161">
        <f>'Datos_fuente'!W190</f>
        <v/>
      </c>
      <c r="Z190" s="161">
        <f>IF(OR(Y190="",Y189=""),"",Y190-Y189)</f>
        <v/>
      </c>
      <c r="AA190" s="160">
        <f>'Datos_fuente'!AB190</f>
        <v/>
      </c>
      <c r="AB190" s="160">
        <f>'Datos_fuente'!AC190</f>
        <v/>
      </c>
      <c r="AC190" s="160">
        <f>IF('Datos_fuente'!AD190="","",LN('Datos_fuente'!AD190))</f>
        <v/>
      </c>
      <c r="AD190" s="160">
        <f>IF(OR(AC190="",AC189=""),"",AC190-AC189)</f>
        <v/>
      </c>
      <c r="AE190" s="160">
        <f>IF('Datos_fuente'!AE190="","",LN('Datos_fuente'!AE190))</f>
        <v/>
      </c>
      <c r="AF190" s="160">
        <f>IF(OR(AE190="",AE189=""),"",AE190-AE189)</f>
        <v/>
      </c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'Datos_fuente'!A191</f>
        <v/>
      </c>
      <c r="B191" s="160">
        <f>IF('Datos_fuente'!B191="","",LN('Datos_fuente'!B191))</f>
        <v/>
      </c>
      <c r="C191" s="160">
        <f>IF(OR(B191="",B190=""),"",B191-B190)</f>
        <v/>
      </c>
      <c r="D191" s="160">
        <f>IF('Datos_fuente'!C191="","",LN('Datos_fuente'!C191))</f>
        <v/>
      </c>
      <c r="E191" s="160">
        <f>IF(OR(D191="",D190=""),"",D191-D190)</f>
        <v/>
      </c>
      <c r="F191" s="160">
        <f>IF('Datos_fuente'!E191="","",LN('Datos_fuente'!E191))</f>
        <v/>
      </c>
      <c r="G191" s="160">
        <f>IF(OR(F191="",F190=""),"",F191-F190)</f>
        <v/>
      </c>
      <c r="H191" s="161">
        <f>'Datos_fuente'!H191</f>
        <v/>
      </c>
      <c r="I191" s="161">
        <f>IF(OR(H191="",H190=""),"",H191-H190)</f>
        <v/>
      </c>
      <c r="J191" s="161">
        <f>'Datos_fuente'!J191</f>
        <v/>
      </c>
      <c r="K191" s="161">
        <f>IF(OR(J191="",J190=""),"",J191-J190)</f>
        <v/>
      </c>
      <c r="L191" s="160">
        <f>IF('Datos_fuente'!K191="","",LN('Datos_fuente'!K191))</f>
        <v/>
      </c>
      <c r="M191" s="160">
        <f>IF(OR(L191="",L190=""),"",L191-L190)</f>
        <v/>
      </c>
      <c r="N191" s="160">
        <f>IF('Datos_fuente'!L191="","",LN('Datos_fuente'!L191))</f>
        <v/>
      </c>
      <c r="O191" s="160">
        <f>IF(OR(N191="",N190=""),"",N191-N190)</f>
        <v/>
      </c>
      <c r="P191" s="162">
        <f>'Datos_fuente'!M191</f>
        <v/>
      </c>
      <c r="Q191" s="160">
        <f>IF('Datos_fuente'!N191="","",LN('Datos_fuente'!N191))</f>
        <v/>
      </c>
      <c r="R191" s="160">
        <f>IF(OR(Q191="",Q190=""),"",Q191-Q190)</f>
        <v/>
      </c>
      <c r="S191" s="161">
        <f>'Datos_fuente'!P191</f>
        <v/>
      </c>
      <c r="T191" s="161">
        <f>IF(OR(S191="",S190=""),"",S191-S190)</f>
        <v/>
      </c>
      <c r="U191" s="160">
        <f>IF('Datos_fuente'!Q191="","",ASINH('Datos_fuente'!Q191/1000))</f>
        <v/>
      </c>
      <c r="V191" s="160">
        <f>IF(OR(U191="",U190=""),"",U191-U190)</f>
        <v/>
      </c>
      <c r="W191" s="160">
        <f>IF('Datos_fuente'!R191="","",ASINH('Datos_fuente'!R191/1000))</f>
        <v/>
      </c>
      <c r="X191" s="160">
        <f>IF(OR(W191="",W190=""),"",W191-W190)</f>
        <v/>
      </c>
      <c r="Y191" s="161">
        <f>'Datos_fuente'!W191</f>
        <v/>
      </c>
      <c r="Z191" s="161">
        <f>IF(OR(Y191="",Y190=""),"",Y191-Y190)</f>
        <v/>
      </c>
      <c r="AA191" s="160">
        <f>'Datos_fuente'!AB191</f>
        <v/>
      </c>
      <c r="AB191" s="160">
        <f>'Datos_fuente'!AC191</f>
        <v/>
      </c>
      <c r="AC191" s="160">
        <f>IF('Datos_fuente'!AD191="","",LN('Datos_fuente'!AD191))</f>
        <v/>
      </c>
      <c r="AD191" s="160">
        <f>IF(OR(AC191="",AC190=""),"",AC191-AC190)</f>
        <v/>
      </c>
      <c r="AE191" s="160">
        <f>IF('Datos_fuente'!AE191="","",LN('Datos_fuente'!AE191))</f>
        <v/>
      </c>
      <c r="AF191" s="160">
        <f>IF(OR(AE191="",AE190=""),"",AE191-AE190)</f>
        <v/>
      </c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'Datos_fuente'!A192</f>
        <v/>
      </c>
      <c r="B192" s="160">
        <f>IF('Datos_fuente'!B192="","",LN('Datos_fuente'!B192))</f>
        <v/>
      </c>
      <c r="C192" s="160">
        <f>IF(OR(B192="",B191=""),"",B192-B191)</f>
        <v/>
      </c>
      <c r="D192" s="160">
        <f>IF('Datos_fuente'!C192="","",LN('Datos_fuente'!C192))</f>
        <v/>
      </c>
      <c r="E192" s="160">
        <f>IF(OR(D192="",D191=""),"",D192-D191)</f>
        <v/>
      </c>
      <c r="F192" s="160">
        <f>IF('Datos_fuente'!E192="","",LN('Datos_fuente'!E192))</f>
        <v/>
      </c>
      <c r="G192" s="160">
        <f>IF(OR(F192="",F191=""),"",F192-F191)</f>
        <v/>
      </c>
      <c r="H192" s="161">
        <f>'Datos_fuente'!H192</f>
        <v/>
      </c>
      <c r="I192" s="161">
        <f>IF(OR(H192="",H191=""),"",H192-H191)</f>
        <v/>
      </c>
      <c r="J192" s="161">
        <f>'Datos_fuente'!J192</f>
        <v/>
      </c>
      <c r="K192" s="161">
        <f>IF(OR(J192="",J191=""),"",J192-J191)</f>
        <v/>
      </c>
      <c r="L192" s="160">
        <f>IF('Datos_fuente'!K192="","",LN('Datos_fuente'!K192))</f>
        <v/>
      </c>
      <c r="M192" s="160">
        <f>IF(OR(L192="",L191=""),"",L192-L191)</f>
        <v/>
      </c>
      <c r="N192" s="160">
        <f>IF('Datos_fuente'!L192="","",LN('Datos_fuente'!L192))</f>
        <v/>
      </c>
      <c r="O192" s="160">
        <f>IF(OR(N192="",N191=""),"",N192-N191)</f>
        <v/>
      </c>
      <c r="P192" s="162">
        <f>'Datos_fuente'!M192</f>
        <v/>
      </c>
      <c r="Q192" s="160">
        <f>IF('Datos_fuente'!N192="","",LN('Datos_fuente'!N192))</f>
        <v/>
      </c>
      <c r="R192" s="160">
        <f>IF(OR(Q192="",Q191=""),"",Q192-Q191)</f>
        <v/>
      </c>
      <c r="S192" s="161">
        <f>'Datos_fuente'!P192</f>
        <v/>
      </c>
      <c r="T192" s="161">
        <f>IF(OR(S192="",S191=""),"",S192-S191)</f>
        <v/>
      </c>
      <c r="U192" s="160">
        <f>IF('Datos_fuente'!Q192="","",ASINH('Datos_fuente'!Q192/1000))</f>
        <v/>
      </c>
      <c r="V192" s="160">
        <f>IF(OR(U192="",U191=""),"",U192-U191)</f>
        <v/>
      </c>
      <c r="W192" s="160">
        <f>IF('Datos_fuente'!R192="","",ASINH('Datos_fuente'!R192/1000))</f>
        <v/>
      </c>
      <c r="X192" s="160">
        <f>IF(OR(W192="",W191=""),"",W192-W191)</f>
        <v/>
      </c>
      <c r="Y192" s="161">
        <f>'Datos_fuente'!W192</f>
        <v/>
      </c>
      <c r="Z192" s="161">
        <f>IF(OR(Y192="",Y191=""),"",Y192-Y191)</f>
        <v/>
      </c>
      <c r="AA192" s="160">
        <f>'Datos_fuente'!AB192</f>
        <v/>
      </c>
      <c r="AB192" s="160">
        <f>'Datos_fuente'!AC192</f>
        <v/>
      </c>
      <c r="AC192" s="160">
        <f>IF('Datos_fuente'!AD192="","",LN('Datos_fuente'!AD192))</f>
        <v/>
      </c>
      <c r="AD192" s="160">
        <f>IF(OR(AC192="",AC191=""),"",AC192-AC191)</f>
        <v/>
      </c>
      <c r="AE192" s="160">
        <f>IF('Datos_fuente'!AE192="","",LN('Datos_fuente'!AE192))</f>
        <v/>
      </c>
      <c r="AF192" s="160">
        <f>IF(OR(AE192="",AE191=""),"",AE192-AE191)</f>
        <v/>
      </c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'Datos_fuente'!A193</f>
        <v/>
      </c>
      <c r="B193" s="160">
        <f>IF('Datos_fuente'!B193="","",LN('Datos_fuente'!B193))</f>
        <v/>
      </c>
      <c r="C193" s="160">
        <f>IF(OR(B193="",B192=""),"",B193-B192)</f>
        <v/>
      </c>
      <c r="D193" s="160">
        <f>IF('Datos_fuente'!C193="","",LN('Datos_fuente'!C193))</f>
        <v/>
      </c>
      <c r="E193" s="160">
        <f>IF(OR(D193="",D192=""),"",D193-D192)</f>
        <v/>
      </c>
      <c r="F193" s="160">
        <f>IF('Datos_fuente'!E193="","",LN('Datos_fuente'!E193))</f>
        <v/>
      </c>
      <c r="G193" s="160">
        <f>IF(OR(F193="",F192=""),"",F193-F192)</f>
        <v/>
      </c>
      <c r="H193" s="161">
        <f>'Datos_fuente'!H193</f>
        <v/>
      </c>
      <c r="I193" s="161">
        <f>IF(OR(H193="",H192=""),"",H193-H192)</f>
        <v/>
      </c>
      <c r="J193" s="161">
        <f>'Datos_fuente'!J193</f>
        <v/>
      </c>
      <c r="K193" s="161">
        <f>IF(OR(J193="",J192=""),"",J193-J192)</f>
        <v/>
      </c>
      <c r="L193" s="160">
        <f>IF('Datos_fuente'!K193="","",LN('Datos_fuente'!K193))</f>
        <v/>
      </c>
      <c r="M193" s="160">
        <f>IF(OR(L193="",L192=""),"",L193-L192)</f>
        <v/>
      </c>
      <c r="N193" s="160">
        <f>IF('Datos_fuente'!L193="","",LN('Datos_fuente'!L193))</f>
        <v/>
      </c>
      <c r="O193" s="160">
        <f>IF(OR(N193="",N192=""),"",N193-N192)</f>
        <v/>
      </c>
      <c r="P193" s="162">
        <f>'Datos_fuente'!M193</f>
        <v/>
      </c>
      <c r="Q193" s="160">
        <f>IF('Datos_fuente'!N193="","",LN('Datos_fuente'!N193))</f>
        <v/>
      </c>
      <c r="R193" s="160">
        <f>IF(OR(Q193="",Q192=""),"",Q193-Q192)</f>
        <v/>
      </c>
      <c r="S193" s="161">
        <f>'Datos_fuente'!P193</f>
        <v/>
      </c>
      <c r="T193" s="161">
        <f>IF(OR(S193="",S192=""),"",S193-S192)</f>
        <v/>
      </c>
      <c r="U193" s="160">
        <f>IF('Datos_fuente'!Q193="","",ASINH('Datos_fuente'!Q193/1000))</f>
        <v/>
      </c>
      <c r="V193" s="160">
        <f>IF(OR(U193="",U192=""),"",U193-U192)</f>
        <v/>
      </c>
      <c r="W193" s="160">
        <f>IF('Datos_fuente'!R193="","",ASINH('Datos_fuente'!R193/1000))</f>
        <v/>
      </c>
      <c r="X193" s="160">
        <f>IF(OR(W193="",W192=""),"",W193-W192)</f>
        <v/>
      </c>
      <c r="Y193" s="161">
        <f>'Datos_fuente'!W193</f>
        <v/>
      </c>
      <c r="Z193" s="161">
        <f>IF(OR(Y193="",Y192=""),"",Y193-Y192)</f>
        <v/>
      </c>
      <c r="AA193" s="160">
        <f>'Datos_fuente'!AB193</f>
        <v/>
      </c>
      <c r="AB193" s="160">
        <f>'Datos_fuente'!AC193</f>
        <v/>
      </c>
      <c r="AC193" s="160">
        <f>IF('Datos_fuente'!AD193="","",LN('Datos_fuente'!AD193))</f>
        <v/>
      </c>
      <c r="AD193" s="160">
        <f>IF(OR(AC193="",AC192=""),"",AC193-AC192)</f>
        <v/>
      </c>
      <c r="AE193" s="160">
        <f>IF('Datos_fuente'!AE193="","",LN('Datos_fuente'!AE193))</f>
        <v/>
      </c>
      <c r="AF193" s="160">
        <f>IF(OR(AE193="",AE192=""),"",AE193-AE192)</f>
        <v/>
      </c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'Datos_fuente'!A194</f>
        <v/>
      </c>
      <c r="B194" s="160">
        <f>IF('Datos_fuente'!B194="","",LN('Datos_fuente'!B194))</f>
        <v/>
      </c>
      <c r="C194" s="160">
        <f>IF(OR(B194="",B193=""),"",B194-B193)</f>
        <v/>
      </c>
      <c r="D194" s="160">
        <f>IF('Datos_fuente'!C194="","",LN('Datos_fuente'!C194))</f>
        <v/>
      </c>
      <c r="E194" s="160">
        <f>IF(OR(D194="",D193=""),"",D194-D193)</f>
        <v/>
      </c>
      <c r="F194" s="160">
        <f>IF('Datos_fuente'!E194="","",LN('Datos_fuente'!E194))</f>
        <v/>
      </c>
      <c r="G194" s="160">
        <f>IF(OR(F194="",F193=""),"",F194-F193)</f>
        <v/>
      </c>
      <c r="H194" s="161">
        <f>'Datos_fuente'!H194</f>
        <v/>
      </c>
      <c r="I194" s="161">
        <f>IF(OR(H194="",H193=""),"",H194-H193)</f>
        <v/>
      </c>
      <c r="J194" s="161">
        <f>'Datos_fuente'!J194</f>
        <v/>
      </c>
      <c r="K194" s="161">
        <f>IF(OR(J194="",J193=""),"",J194-J193)</f>
        <v/>
      </c>
      <c r="L194" s="160">
        <f>IF('Datos_fuente'!K194="","",LN('Datos_fuente'!K194))</f>
        <v/>
      </c>
      <c r="M194" s="160">
        <f>IF(OR(L194="",L193=""),"",L194-L193)</f>
        <v/>
      </c>
      <c r="N194" s="160">
        <f>IF('Datos_fuente'!L194="","",LN('Datos_fuente'!L194))</f>
        <v/>
      </c>
      <c r="O194" s="160">
        <f>IF(OR(N194="",N193=""),"",N194-N193)</f>
        <v/>
      </c>
      <c r="P194" s="162">
        <f>'Datos_fuente'!M194</f>
        <v/>
      </c>
      <c r="Q194" s="160">
        <f>IF('Datos_fuente'!N194="","",LN('Datos_fuente'!N194))</f>
        <v/>
      </c>
      <c r="R194" s="160">
        <f>IF(OR(Q194="",Q193=""),"",Q194-Q193)</f>
        <v/>
      </c>
      <c r="S194" s="161">
        <f>'Datos_fuente'!P194</f>
        <v/>
      </c>
      <c r="T194" s="161">
        <f>IF(OR(S194="",S193=""),"",S194-S193)</f>
        <v/>
      </c>
      <c r="U194" s="160">
        <f>IF('Datos_fuente'!Q194="","",ASINH('Datos_fuente'!Q194/1000))</f>
        <v/>
      </c>
      <c r="V194" s="160">
        <f>IF(OR(U194="",U193=""),"",U194-U193)</f>
        <v/>
      </c>
      <c r="W194" s="160">
        <f>IF('Datos_fuente'!R194="","",ASINH('Datos_fuente'!R194/1000))</f>
        <v/>
      </c>
      <c r="X194" s="160">
        <f>IF(OR(W194="",W193=""),"",W194-W193)</f>
        <v/>
      </c>
      <c r="Y194" s="161">
        <f>'Datos_fuente'!W194</f>
        <v/>
      </c>
      <c r="Z194" s="161">
        <f>IF(OR(Y194="",Y193=""),"",Y194-Y193)</f>
        <v/>
      </c>
      <c r="AA194" s="160">
        <f>'Datos_fuente'!AB194</f>
        <v/>
      </c>
      <c r="AB194" s="160">
        <f>'Datos_fuente'!AC194</f>
        <v/>
      </c>
      <c r="AC194" s="160">
        <f>IF('Datos_fuente'!AD194="","",LN('Datos_fuente'!AD194))</f>
        <v/>
      </c>
      <c r="AD194" s="160">
        <f>IF(OR(AC194="",AC193=""),"",AC194-AC193)</f>
        <v/>
      </c>
      <c r="AE194" s="160">
        <f>IF('Datos_fuente'!AE194="","",LN('Datos_fuente'!AE194))</f>
        <v/>
      </c>
      <c r="AF194" s="160">
        <f>IF(OR(AE194="",AE193=""),"",AE194-AE193)</f>
        <v/>
      </c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'Datos_fuente'!A195</f>
        <v/>
      </c>
      <c r="B195" s="160">
        <f>IF('Datos_fuente'!B195="","",LN('Datos_fuente'!B195))</f>
        <v/>
      </c>
      <c r="C195" s="160">
        <f>IF(OR(B195="",B194=""),"",B195-B194)</f>
        <v/>
      </c>
      <c r="D195" s="160">
        <f>IF('Datos_fuente'!C195="","",LN('Datos_fuente'!C195))</f>
        <v/>
      </c>
      <c r="E195" s="160">
        <f>IF(OR(D195="",D194=""),"",D195-D194)</f>
        <v/>
      </c>
      <c r="F195" s="160">
        <f>IF('Datos_fuente'!E195="","",LN('Datos_fuente'!E195))</f>
        <v/>
      </c>
      <c r="G195" s="160">
        <f>IF(OR(F195="",F194=""),"",F195-F194)</f>
        <v/>
      </c>
      <c r="H195" s="161">
        <f>'Datos_fuente'!H195</f>
        <v/>
      </c>
      <c r="I195" s="161">
        <f>IF(OR(H195="",H194=""),"",H195-H194)</f>
        <v/>
      </c>
      <c r="J195" s="161">
        <f>'Datos_fuente'!J195</f>
        <v/>
      </c>
      <c r="K195" s="161">
        <f>IF(OR(J195="",J194=""),"",J195-J194)</f>
        <v/>
      </c>
      <c r="L195" s="160">
        <f>IF('Datos_fuente'!K195="","",LN('Datos_fuente'!K195))</f>
        <v/>
      </c>
      <c r="M195" s="160">
        <f>IF(OR(L195="",L194=""),"",L195-L194)</f>
        <v/>
      </c>
      <c r="N195" s="160">
        <f>IF('Datos_fuente'!L195="","",LN('Datos_fuente'!L195))</f>
        <v/>
      </c>
      <c r="O195" s="160">
        <f>IF(OR(N195="",N194=""),"",N195-N194)</f>
        <v/>
      </c>
      <c r="P195" s="162">
        <f>'Datos_fuente'!M195</f>
        <v/>
      </c>
      <c r="Q195" s="160">
        <f>IF('Datos_fuente'!N195="","",LN('Datos_fuente'!N195))</f>
        <v/>
      </c>
      <c r="R195" s="160">
        <f>IF(OR(Q195="",Q194=""),"",Q195-Q194)</f>
        <v/>
      </c>
      <c r="S195" s="161">
        <f>'Datos_fuente'!P195</f>
        <v/>
      </c>
      <c r="T195" s="161">
        <f>IF(OR(S195="",S194=""),"",S195-S194)</f>
        <v/>
      </c>
      <c r="U195" s="160">
        <f>IF('Datos_fuente'!Q195="","",ASINH('Datos_fuente'!Q195/1000))</f>
        <v/>
      </c>
      <c r="V195" s="160">
        <f>IF(OR(U195="",U194=""),"",U195-U194)</f>
        <v/>
      </c>
      <c r="W195" s="160">
        <f>IF('Datos_fuente'!R195="","",ASINH('Datos_fuente'!R195/1000))</f>
        <v/>
      </c>
      <c r="X195" s="160">
        <f>IF(OR(W195="",W194=""),"",W195-W194)</f>
        <v/>
      </c>
      <c r="Y195" s="161">
        <f>'Datos_fuente'!W195</f>
        <v/>
      </c>
      <c r="Z195" s="161">
        <f>IF(OR(Y195="",Y194=""),"",Y195-Y194)</f>
        <v/>
      </c>
      <c r="AA195" s="160">
        <f>'Datos_fuente'!AB195</f>
        <v/>
      </c>
      <c r="AB195" s="160">
        <f>'Datos_fuente'!AC195</f>
        <v/>
      </c>
      <c r="AC195" s="160">
        <f>IF('Datos_fuente'!AD195="","",LN('Datos_fuente'!AD195))</f>
        <v/>
      </c>
      <c r="AD195" s="160">
        <f>IF(OR(AC195="",AC194=""),"",AC195-AC194)</f>
        <v/>
      </c>
      <c r="AE195" s="160">
        <f>IF('Datos_fuente'!AE195="","",LN('Datos_fuente'!AE195))</f>
        <v/>
      </c>
      <c r="AF195" s="160">
        <f>IF(OR(AE195="",AE194=""),"",AE195-AE194)</f>
        <v/>
      </c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'Datos_fuente'!A196</f>
        <v/>
      </c>
      <c r="B196" s="160">
        <f>IF('Datos_fuente'!B196="","",LN('Datos_fuente'!B196))</f>
        <v/>
      </c>
      <c r="C196" s="160">
        <f>IF(OR(B196="",B195=""),"",B196-B195)</f>
        <v/>
      </c>
      <c r="D196" s="160">
        <f>IF('Datos_fuente'!C196="","",LN('Datos_fuente'!C196))</f>
        <v/>
      </c>
      <c r="E196" s="160">
        <f>IF(OR(D196="",D195=""),"",D196-D195)</f>
        <v/>
      </c>
      <c r="F196" s="160">
        <f>IF('Datos_fuente'!E196="","",LN('Datos_fuente'!E196))</f>
        <v/>
      </c>
      <c r="G196" s="160">
        <f>IF(OR(F196="",F195=""),"",F196-F195)</f>
        <v/>
      </c>
      <c r="H196" s="161">
        <f>'Datos_fuente'!H196</f>
        <v/>
      </c>
      <c r="I196" s="161">
        <f>IF(OR(H196="",H195=""),"",H196-H195)</f>
        <v/>
      </c>
      <c r="J196" s="161">
        <f>'Datos_fuente'!J196</f>
        <v/>
      </c>
      <c r="K196" s="161">
        <f>IF(OR(J196="",J195=""),"",J196-J195)</f>
        <v/>
      </c>
      <c r="L196" s="160">
        <f>IF('Datos_fuente'!K196="","",LN('Datos_fuente'!K196))</f>
        <v/>
      </c>
      <c r="M196" s="160">
        <f>IF(OR(L196="",L195=""),"",L196-L195)</f>
        <v/>
      </c>
      <c r="N196" s="160">
        <f>IF('Datos_fuente'!L196="","",LN('Datos_fuente'!L196))</f>
        <v/>
      </c>
      <c r="O196" s="160">
        <f>IF(OR(N196="",N195=""),"",N196-N195)</f>
        <v/>
      </c>
      <c r="P196" s="162">
        <f>'Datos_fuente'!M196</f>
        <v/>
      </c>
      <c r="Q196" s="160">
        <f>IF('Datos_fuente'!N196="","",LN('Datos_fuente'!N196))</f>
        <v/>
      </c>
      <c r="R196" s="160">
        <f>IF(OR(Q196="",Q195=""),"",Q196-Q195)</f>
        <v/>
      </c>
      <c r="S196" s="161">
        <f>'Datos_fuente'!P196</f>
        <v/>
      </c>
      <c r="T196" s="161">
        <f>IF(OR(S196="",S195=""),"",S196-S195)</f>
        <v/>
      </c>
      <c r="U196" s="160">
        <f>IF('Datos_fuente'!Q196="","",ASINH('Datos_fuente'!Q196/1000))</f>
        <v/>
      </c>
      <c r="V196" s="160">
        <f>IF(OR(U196="",U195=""),"",U196-U195)</f>
        <v/>
      </c>
      <c r="W196" s="160">
        <f>IF('Datos_fuente'!R196="","",ASINH('Datos_fuente'!R196/1000))</f>
        <v/>
      </c>
      <c r="X196" s="160">
        <f>IF(OR(W196="",W195=""),"",W196-W195)</f>
        <v/>
      </c>
      <c r="Y196" s="161">
        <f>'Datos_fuente'!W196</f>
        <v/>
      </c>
      <c r="Z196" s="161">
        <f>IF(OR(Y196="",Y195=""),"",Y196-Y195)</f>
        <v/>
      </c>
      <c r="AA196" s="160">
        <f>'Datos_fuente'!AB196</f>
        <v/>
      </c>
      <c r="AB196" s="160">
        <f>'Datos_fuente'!AC196</f>
        <v/>
      </c>
      <c r="AC196" s="160">
        <f>IF('Datos_fuente'!AD196="","",LN('Datos_fuente'!AD196))</f>
        <v/>
      </c>
      <c r="AD196" s="160">
        <f>IF(OR(AC196="",AC195=""),"",AC196-AC195)</f>
        <v/>
      </c>
      <c r="AE196" s="160">
        <f>IF('Datos_fuente'!AE196="","",LN('Datos_fuente'!AE196))</f>
        <v/>
      </c>
      <c r="AF196" s="160">
        <f>IF(OR(AE196="",AE195=""),"",AE196-AE195)</f>
        <v/>
      </c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'Datos_fuente'!A197</f>
        <v/>
      </c>
      <c r="B197" s="160">
        <f>IF('Datos_fuente'!B197="","",LN('Datos_fuente'!B197))</f>
        <v/>
      </c>
      <c r="C197" s="160">
        <f>IF(OR(B197="",B196=""),"",B197-B196)</f>
        <v/>
      </c>
      <c r="D197" s="160">
        <f>IF('Datos_fuente'!C197="","",LN('Datos_fuente'!C197))</f>
        <v/>
      </c>
      <c r="E197" s="160">
        <f>IF(OR(D197="",D196=""),"",D197-D196)</f>
        <v/>
      </c>
      <c r="F197" s="160">
        <f>IF('Datos_fuente'!E197="","",LN('Datos_fuente'!E197))</f>
        <v/>
      </c>
      <c r="G197" s="160">
        <f>IF(OR(F197="",F196=""),"",F197-F196)</f>
        <v/>
      </c>
      <c r="H197" s="161">
        <f>'Datos_fuente'!H197</f>
        <v/>
      </c>
      <c r="I197" s="161">
        <f>IF(OR(H197="",H196=""),"",H197-H196)</f>
        <v/>
      </c>
      <c r="J197" s="161">
        <f>'Datos_fuente'!J197</f>
        <v/>
      </c>
      <c r="K197" s="161">
        <f>IF(OR(J197="",J196=""),"",J197-J196)</f>
        <v/>
      </c>
      <c r="L197" s="160">
        <f>IF('Datos_fuente'!K197="","",LN('Datos_fuente'!K197))</f>
        <v/>
      </c>
      <c r="M197" s="160">
        <f>IF(OR(L197="",L196=""),"",L197-L196)</f>
        <v/>
      </c>
      <c r="N197" s="160">
        <f>IF('Datos_fuente'!L197="","",LN('Datos_fuente'!L197))</f>
        <v/>
      </c>
      <c r="O197" s="160">
        <f>IF(OR(N197="",N196=""),"",N197-N196)</f>
        <v/>
      </c>
      <c r="P197" s="162">
        <f>'Datos_fuente'!M197</f>
        <v/>
      </c>
      <c r="Q197" s="160">
        <f>IF('Datos_fuente'!N197="","",LN('Datos_fuente'!N197))</f>
        <v/>
      </c>
      <c r="R197" s="160">
        <f>IF(OR(Q197="",Q196=""),"",Q197-Q196)</f>
        <v/>
      </c>
      <c r="S197" s="161">
        <f>'Datos_fuente'!P197</f>
        <v/>
      </c>
      <c r="T197" s="161">
        <f>IF(OR(S197="",S196=""),"",S197-S196)</f>
        <v/>
      </c>
      <c r="U197" s="160">
        <f>IF('Datos_fuente'!Q197="","",ASINH('Datos_fuente'!Q197/1000))</f>
        <v/>
      </c>
      <c r="V197" s="160">
        <f>IF(OR(U197="",U196=""),"",U197-U196)</f>
        <v/>
      </c>
      <c r="W197" s="160">
        <f>IF('Datos_fuente'!R197="","",ASINH('Datos_fuente'!R197/1000))</f>
        <v/>
      </c>
      <c r="X197" s="160">
        <f>IF(OR(W197="",W196=""),"",W197-W196)</f>
        <v/>
      </c>
      <c r="Y197" s="161">
        <f>'Datos_fuente'!W197</f>
        <v/>
      </c>
      <c r="Z197" s="161">
        <f>IF(OR(Y197="",Y196=""),"",Y197-Y196)</f>
        <v/>
      </c>
      <c r="AA197" s="160">
        <f>'Datos_fuente'!AB197</f>
        <v/>
      </c>
      <c r="AB197" s="160">
        <f>'Datos_fuente'!AC197</f>
        <v/>
      </c>
      <c r="AC197" s="160">
        <f>IF('Datos_fuente'!AD197="","",LN('Datos_fuente'!AD197))</f>
        <v/>
      </c>
      <c r="AD197" s="160">
        <f>IF(OR(AC197="",AC196=""),"",AC197-AC196)</f>
        <v/>
      </c>
      <c r="AE197" s="160">
        <f>IF('Datos_fuente'!AE197="","",LN('Datos_fuente'!AE197))</f>
        <v/>
      </c>
      <c r="AF197" s="160">
        <f>IF(OR(AE197="",AE196=""),"",AE197-AE196)</f>
        <v/>
      </c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'Datos_fuente'!A198</f>
        <v/>
      </c>
      <c r="B198" s="160">
        <f>IF('Datos_fuente'!B198="","",LN('Datos_fuente'!B198))</f>
        <v/>
      </c>
      <c r="C198" s="160">
        <f>IF(OR(B198="",B197=""),"",B198-B197)</f>
        <v/>
      </c>
      <c r="D198" s="160">
        <f>IF('Datos_fuente'!C198="","",LN('Datos_fuente'!C198))</f>
        <v/>
      </c>
      <c r="E198" s="160">
        <f>IF(OR(D198="",D197=""),"",D198-D197)</f>
        <v/>
      </c>
      <c r="F198" s="160">
        <f>IF('Datos_fuente'!E198="","",LN('Datos_fuente'!E198))</f>
        <v/>
      </c>
      <c r="G198" s="160">
        <f>IF(OR(F198="",F197=""),"",F198-F197)</f>
        <v/>
      </c>
      <c r="H198" s="161">
        <f>'Datos_fuente'!H198</f>
        <v/>
      </c>
      <c r="I198" s="161">
        <f>IF(OR(H198="",H197=""),"",H198-H197)</f>
        <v/>
      </c>
      <c r="J198" s="161">
        <f>'Datos_fuente'!J198</f>
        <v/>
      </c>
      <c r="K198" s="161">
        <f>IF(OR(J198="",J197=""),"",J198-J197)</f>
        <v/>
      </c>
      <c r="L198" s="160">
        <f>IF('Datos_fuente'!K198="","",LN('Datos_fuente'!K198))</f>
        <v/>
      </c>
      <c r="M198" s="160">
        <f>IF(OR(L198="",L197=""),"",L198-L197)</f>
        <v/>
      </c>
      <c r="N198" s="160">
        <f>IF('Datos_fuente'!L198="","",LN('Datos_fuente'!L198))</f>
        <v/>
      </c>
      <c r="O198" s="160">
        <f>IF(OR(N198="",N197=""),"",N198-N197)</f>
        <v/>
      </c>
      <c r="P198" s="162">
        <f>'Datos_fuente'!M198</f>
        <v/>
      </c>
      <c r="Q198" s="160">
        <f>IF('Datos_fuente'!N198="","",LN('Datos_fuente'!N198))</f>
        <v/>
      </c>
      <c r="R198" s="160">
        <f>IF(OR(Q198="",Q197=""),"",Q198-Q197)</f>
        <v/>
      </c>
      <c r="S198" s="161">
        <f>'Datos_fuente'!P198</f>
        <v/>
      </c>
      <c r="T198" s="161">
        <f>IF(OR(S198="",S197=""),"",S198-S197)</f>
        <v/>
      </c>
      <c r="U198" s="160">
        <f>IF('Datos_fuente'!Q198="","",ASINH('Datos_fuente'!Q198/1000))</f>
        <v/>
      </c>
      <c r="V198" s="160">
        <f>IF(OR(U198="",U197=""),"",U198-U197)</f>
        <v/>
      </c>
      <c r="W198" s="160">
        <f>IF('Datos_fuente'!R198="","",ASINH('Datos_fuente'!R198/1000))</f>
        <v/>
      </c>
      <c r="X198" s="160">
        <f>IF(OR(W198="",W197=""),"",W198-W197)</f>
        <v/>
      </c>
      <c r="Y198" s="161">
        <f>'Datos_fuente'!W198</f>
        <v/>
      </c>
      <c r="Z198" s="161">
        <f>IF(OR(Y198="",Y197=""),"",Y198-Y197)</f>
        <v/>
      </c>
      <c r="AA198" s="160">
        <f>'Datos_fuente'!AB198</f>
        <v/>
      </c>
      <c r="AB198" s="160">
        <f>'Datos_fuente'!AC198</f>
        <v/>
      </c>
      <c r="AC198" s="160">
        <f>IF('Datos_fuente'!AD198="","",LN('Datos_fuente'!AD198))</f>
        <v/>
      </c>
      <c r="AD198" s="160">
        <f>IF(OR(AC198="",AC197=""),"",AC198-AC197)</f>
        <v/>
      </c>
      <c r="AE198" s="160">
        <f>IF('Datos_fuente'!AE198="","",LN('Datos_fuente'!AE198))</f>
        <v/>
      </c>
      <c r="AF198" s="160">
        <f>IF(OR(AE198="",AE197=""),"",AE198-AE197)</f>
        <v/>
      </c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'Datos_fuente'!A199</f>
        <v/>
      </c>
      <c r="B199" s="160">
        <f>IF('Datos_fuente'!B199="","",LN('Datos_fuente'!B199))</f>
        <v/>
      </c>
      <c r="C199" s="160">
        <f>IF(OR(B199="",B198=""),"",B199-B198)</f>
        <v/>
      </c>
      <c r="D199" s="160">
        <f>IF('Datos_fuente'!C199="","",LN('Datos_fuente'!C199))</f>
        <v/>
      </c>
      <c r="E199" s="160">
        <f>IF(OR(D199="",D198=""),"",D199-D198)</f>
        <v/>
      </c>
      <c r="F199" s="160">
        <f>IF('Datos_fuente'!E199="","",LN('Datos_fuente'!E199))</f>
        <v/>
      </c>
      <c r="G199" s="160">
        <f>IF(OR(F199="",F198=""),"",F199-F198)</f>
        <v/>
      </c>
      <c r="H199" s="161">
        <f>'Datos_fuente'!H199</f>
        <v/>
      </c>
      <c r="I199" s="161">
        <f>IF(OR(H199="",H198=""),"",H199-H198)</f>
        <v/>
      </c>
      <c r="J199" s="161">
        <f>'Datos_fuente'!J199</f>
        <v/>
      </c>
      <c r="K199" s="161">
        <f>IF(OR(J199="",J198=""),"",J199-J198)</f>
        <v/>
      </c>
      <c r="L199" s="160">
        <f>IF('Datos_fuente'!K199="","",LN('Datos_fuente'!K199))</f>
        <v/>
      </c>
      <c r="M199" s="160">
        <f>IF(OR(L199="",L198=""),"",L199-L198)</f>
        <v/>
      </c>
      <c r="N199" s="160">
        <f>IF('Datos_fuente'!L199="","",LN('Datos_fuente'!L199))</f>
        <v/>
      </c>
      <c r="O199" s="160">
        <f>IF(OR(N199="",N198=""),"",N199-N198)</f>
        <v/>
      </c>
      <c r="P199" s="162">
        <f>'Datos_fuente'!M199</f>
        <v/>
      </c>
      <c r="Q199" s="160">
        <f>IF('Datos_fuente'!N199="","",LN('Datos_fuente'!N199))</f>
        <v/>
      </c>
      <c r="R199" s="160">
        <f>IF(OR(Q199="",Q198=""),"",Q199-Q198)</f>
        <v/>
      </c>
      <c r="S199" s="161">
        <f>'Datos_fuente'!P199</f>
        <v/>
      </c>
      <c r="T199" s="161">
        <f>IF(OR(S199="",S198=""),"",S199-S198)</f>
        <v/>
      </c>
      <c r="U199" s="160">
        <f>IF('Datos_fuente'!Q199="","",ASINH('Datos_fuente'!Q199/1000))</f>
        <v/>
      </c>
      <c r="V199" s="160">
        <f>IF(OR(U199="",U198=""),"",U199-U198)</f>
        <v/>
      </c>
      <c r="W199" s="160">
        <f>IF('Datos_fuente'!R199="","",ASINH('Datos_fuente'!R199/1000))</f>
        <v/>
      </c>
      <c r="X199" s="160">
        <f>IF(OR(W199="",W198=""),"",W199-W198)</f>
        <v/>
      </c>
      <c r="Y199" s="161">
        <f>'Datos_fuente'!W199</f>
        <v/>
      </c>
      <c r="Z199" s="161">
        <f>IF(OR(Y199="",Y198=""),"",Y199-Y198)</f>
        <v/>
      </c>
      <c r="AA199" s="160">
        <f>'Datos_fuente'!AB199</f>
        <v/>
      </c>
      <c r="AB199" s="160">
        <f>'Datos_fuente'!AC199</f>
        <v/>
      </c>
      <c r="AC199" s="160">
        <f>IF('Datos_fuente'!AD199="","",LN('Datos_fuente'!AD199))</f>
        <v/>
      </c>
      <c r="AD199" s="160">
        <f>IF(OR(AC199="",AC198=""),"",AC199-AC198)</f>
        <v/>
      </c>
      <c r="AE199" s="160">
        <f>IF('Datos_fuente'!AE199="","",LN('Datos_fuente'!AE199))</f>
        <v/>
      </c>
      <c r="AF199" s="160">
        <f>IF(OR(AE199="",AE198=""),"",AE199-AE198)</f>
        <v/>
      </c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'Datos_fuente'!A200</f>
        <v/>
      </c>
      <c r="B200" s="160">
        <f>IF('Datos_fuente'!B200="","",LN('Datos_fuente'!B200))</f>
        <v/>
      </c>
      <c r="C200" s="160">
        <f>IF(OR(B200="",B199=""),"",B200-B199)</f>
        <v/>
      </c>
      <c r="D200" s="160">
        <f>IF('Datos_fuente'!C200="","",LN('Datos_fuente'!C200))</f>
        <v/>
      </c>
      <c r="E200" s="160">
        <f>IF(OR(D200="",D199=""),"",D200-D199)</f>
        <v/>
      </c>
      <c r="F200" s="160">
        <f>IF('Datos_fuente'!E200="","",LN('Datos_fuente'!E200))</f>
        <v/>
      </c>
      <c r="G200" s="160">
        <f>IF(OR(F200="",F199=""),"",F200-F199)</f>
        <v/>
      </c>
      <c r="H200" s="161">
        <f>'Datos_fuente'!H200</f>
        <v/>
      </c>
      <c r="I200" s="161">
        <f>IF(OR(H200="",H199=""),"",H200-H199)</f>
        <v/>
      </c>
      <c r="J200" s="161">
        <f>'Datos_fuente'!J200</f>
        <v/>
      </c>
      <c r="K200" s="161">
        <f>IF(OR(J200="",J199=""),"",J200-J199)</f>
        <v/>
      </c>
      <c r="L200" s="160">
        <f>IF('Datos_fuente'!K200="","",LN('Datos_fuente'!K200))</f>
        <v/>
      </c>
      <c r="M200" s="160">
        <f>IF(OR(L200="",L199=""),"",L200-L199)</f>
        <v/>
      </c>
      <c r="N200" s="160">
        <f>IF('Datos_fuente'!L200="","",LN('Datos_fuente'!L200))</f>
        <v/>
      </c>
      <c r="O200" s="160">
        <f>IF(OR(N200="",N199=""),"",N200-N199)</f>
        <v/>
      </c>
      <c r="P200" s="162">
        <f>'Datos_fuente'!M200</f>
        <v/>
      </c>
      <c r="Q200" s="160">
        <f>IF('Datos_fuente'!N200="","",LN('Datos_fuente'!N200))</f>
        <v/>
      </c>
      <c r="R200" s="160">
        <f>IF(OR(Q200="",Q199=""),"",Q200-Q199)</f>
        <v/>
      </c>
      <c r="S200" s="161">
        <f>'Datos_fuente'!P200</f>
        <v/>
      </c>
      <c r="T200" s="161">
        <f>IF(OR(S200="",S199=""),"",S200-S199)</f>
        <v/>
      </c>
      <c r="U200" s="160">
        <f>IF('Datos_fuente'!Q200="","",ASINH('Datos_fuente'!Q200/1000))</f>
        <v/>
      </c>
      <c r="V200" s="160">
        <f>IF(OR(U200="",U199=""),"",U200-U199)</f>
        <v/>
      </c>
      <c r="W200" s="160">
        <f>IF('Datos_fuente'!R200="","",ASINH('Datos_fuente'!R200/1000))</f>
        <v/>
      </c>
      <c r="X200" s="160">
        <f>IF(OR(W200="",W199=""),"",W200-W199)</f>
        <v/>
      </c>
      <c r="Y200" s="161">
        <f>'Datos_fuente'!W200</f>
        <v/>
      </c>
      <c r="Z200" s="161">
        <f>IF(OR(Y200="",Y199=""),"",Y200-Y199)</f>
        <v/>
      </c>
      <c r="AA200" s="160">
        <f>'Datos_fuente'!AB200</f>
        <v/>
      </c>
      <c r="AB200" s="160">
        <f>'Datos_fuente'!AC200</f>
        <v/>
      </c>
      <c r="AC200" s="160">
        <f>IF('Datos_fuente'!AD200="","",LN('Datos_fuente'!AD200))</f>
        <v/>
      </c>
      <c r="AD200" s="160">
        <f>IF(OR(AC200="",AC199=""),"",AC200-AC199)</f>
        <v/>
      </c>
      <c r="AE200" s="160">
        <f>IF('Datos_fuente'!AE200="","",LN('Datos_fuente'!AE200))</f>
        <v/>
      </c>
      <c r="AF200" s="160">
        <f>IF(OR(AE200="",AE199=""),"",AE200-AE199)</f>
        <v/>
      </c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'Datos_fuente'!A201</f>
        <v/>
      </c>
      <c r="B201" s="160">
        <f>IF('Datos_fuente'!B201="","",LN('Datos_fuente'!B201))</f>
        <v/>
      </c>
      <c r="C201" s="160">
        <f>IF(OR(B201="",B200=""),"",B201-B200)</f>
        <v/>
      </c>
      <c r="D201" s="160">
        <f>IF('Datos_fuente'!C201="","",LN('Datos_fuente'!C201))</f>
        <v/>
      </c>
      <c r="E201" s="160">
        <f>IF(OR(D201="",D200=""),"",D201-D200)</f>
        <v/>
      </c>
      <c r="F201" s="160">
        <f>IF('Datos_fuente'!E201="","",LN('Datos_fuente'!E201))</f>
        <v/>
      </c>
      <c r="G201" s="160">
        <f>IF(OR(F201="",F200=""),"",F201-F200)</f>
        <v/>
      </c>
      <c r="H201" s="161">
        <f>'Datos_fuente'!H201</f>
        <v/>
      </c>
      <c r="I201" s="161">
        <f>IF(OR(H201="",H200=""),"",H201-H200)</f>
        <v/>
      </c>
      <c r="J201" s="161">
        <f>'Datos_fuente'!J201</f>
        <v/>
      </c>
      <c r="K201" s="161">
        <f>IF(OR(J201="",J200=""),"",J201-J200)</f>
        <v/>
      </c>
      <c r="L201" s="160">
        <f>IF('Datos_fuente'!K201="","",LN('Datos_fuente'!K201))</f>
        <v/>
      </c>
      <c r="M201" s="160">
        <f>IF(OR(L201="",L200=""),"",L201-L200)</f>
        <v/>
      </c>
      <c r="N201" s="160">
        <f>IF('Datos_fuente'!L201="","",LN('Datos_fuente'!L201))</f>
        <v/>
      </c>
      <c r="O201" s="160">
        <f>IF(OR(N201="",N200=""),"",N201-N200)</f>
        <v/>
      </c>
      <c r="P201" s="162">
        <f>'Datos_fuente'!M201</f>
        <v/>
      </c>
      <c r="Q201" s="160">
        <f>IF('Datos_fuente'!N201="","",LN('Datos_fuente'!N201))</f>
        <v/>
      </c>
      <c r="R201" s="160">
        <f>IF(OR(Q201="",Q200=""),"",Q201-Q200)</f>
        <v/>
      </c>
      <c r="S201" s="161">
        <f>'Datos_fuente'!P201</f>
        <v/>
      </c>
      <c r="T201" s="161">
        <f>IF(OR(S201="",S200=""),"",S201-S200)</f>
        <v/>
      </c>
      <c r="U201" s="160">
        <f>IF('Datos_fuente'!Q201="","",ASINH('Datos_fuente'!Q201/1000))</f>
        <v/>
      </c>
      <c r="V201" s="160">
        <f>IF(OR(U201="",U200=""),"",U201-U200)</f>
        <v/>
      </c>
      <c r="W201" s="160">
        <f>IF('Datos_fuente'!R201="","",ASINH('Datos_fuente'!R201/1000))</f>
        <v/>
      </c>
      <c r="X201" s="160">
        <f>IF(OR(W201="",W200=""),"",W201-W200)</f>
        <v/>
      </c>
      <c r="Y201" s="161">
        <f>'Datos_fuente'!W201</f>
        <v/>
      </c>
      <c r="Z201" s="161">
        <f>IF(OR(Y201="",Y200=""),"",Y201-Y200)</f>
        <v/>
      </c>
      <c r="AA201" s="160">
        <f>'Datos_fuente'!AB201</f>
        <v/>
      </c>
      <c r="AB201" s="160">
        <f>'Datos_fuente'!AC201</f>
        <v/>
      </c>
      <c r="AC201" s="160">
        <f>IF('Datos_fuente'!AD201="","",LN('Datos_fuente'!AD201))</f>
        <v/>
      </c>
      <c r="AD201" s="160">
        <f>IF(OR(AC201="",AC200=""),"",AC201-AC200)</f>
        <v/>
      </c>
      <c r="AE201" s="160">
        <f>IF('Datos_fuente'!AE201="","",LN('Datos_fuente'!AE201))</f>
        <v/>
      </c>
      <c r="AF201" s="160">
        <f>IF(OR(AE201="",AE200=""),"",AE201-AE200)</f>
        <v/>
      </c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'Datos_fuente'!A202</f>
        <v/>
      </c>
      <c r="B202" s="160">
        <f>IF('Datos_fuente'!B202="","",LN('Datos_fuente'!B202))</f>
        <v/>
      </c>
      <c r="C202" s="160">
        <f>IF(OR(B202="",B201=""),"",B202-B201)</f>
        <v/>
      </c>
      <c r="D202" s="160">
        <f>IF('Datos_fuente'!C202="","",LN('Datos_fuente'!C202))</f>
        <v/>
      </c>
      <c r="E202" s="160">
        <f>IF(OR(D202="",D201=""),"",D202-D201)</f>
        <v/>
      </c>
      <c r="F202" s="160">
        <f>IF('Datos_fuente'!E202="","",LN('Datos_fuente'!E202))</f>
        <v/>
      </c>
      <c r="G202" s="160">
        <f>IF(OR(F202="",F201=""),"",F202-F201)</f>
        <v/>
      </c>
      <c r="H202" s="161">
        <f>'Datos_fuente'!H202</f>
        <v/>
      </c>
      <c r="I202" s="161">
        <f>IF(OR(H202="",H201=""),"",H202-H201)</f>
        <v/>
      </c>
      <c r="J202" s="161">
        <f>'Datos_fuente'!J202</f>
        <v/>
      </c>
      <c r="K202" s="161">
        <f>IF(OR(J202="",J201=""),"",J202-J201)</f>
        <v/>
      </c>
      <c r="L202" s="160">
        <f>IF('Datos_fuente'!K202="","",LN('Datos_fuente'!K202))</f>
        <v/>
      </c>
      <c r="M202" s="160">
        <f>IF(OR(L202="",L201=""),"",L202-L201)</f>
        <v/>
      </c>
      <c r="N202" s="160">
        <f>IF('Datos_fuente'!L202="","",LN('Datos_fuente'!L202))</f>
        <v/>
      </c>
      <c r="O202" s="160">
        <f>IF(OR(N202="",N201=""),"",N202-N201)</f>
        <v/>
      </c>
      <c r="P202" s="162">
        <f>'Datos_fuente'!M202</f>
        <v/>
      </c>
      <c r="Q202" s="160">
        <f>IF('Datos_fuente'!N202="","",LN('Datos_fuente'!N202))</f>
        <v/>
      </c>
      <c r="R202" s="160">
        <f>IF(OR(Q202="",Q201=""),"",Q202-Q201)</f>
        <v/>
      </c>
      <c r="S202" s="161">
        <f>'Datos_fuente'!P202</f>
        <v/>
      </c>
      <c r="T202" s="161">
        <f>IF(OR(S202="",S201=""),"",S202-S201)</f>
        <v/>
      </c>
      <c r="U202" s="160">
        <f>IF('Datos_fuente'!Q202="","",ASINH('Datos_fuente'!Q202/1000))</f>
        <v/>
      </c>
      <c r="V202" s="160">
        <f>IF(OR(U202="",U201=""),"",U202-U201)</f>
        <v/>
      </c>
      <c r="W202" s="160">
        <f>IF('Datos_fuente'!R202="","",ASINH('Datos_fuente'!R202/1000))</f>
        <v/>
      </c>
      <c r="X202" s="160">
        <f>IF(OR(W202="",W201=""),"",W202-W201)</f>
        <v/>
      </c>
      <c r="Y202" s="161">
        <f>'Datos_fuente'!W202</f>
        <v/>
      </c>
      <c r="Z202" s="161">
        <f>IF(OR(Y202="",Y201=""),"",Y202-Y201)</f>
        <v/>
      </c>
      <c r="AA202" s="160">
        <f>'Datos_fuente'!AB202</f>
        <v/>
      </c>
      <c r="AB202" s="160">
        <f>'Datos_fuente'!AC202</f>
        <v/>
      </c>
      <c r="AC202" s="160">
        <f>IF('Datos_fuente'!AD202="","",LN('Datos_fuente'!AD202))</f>
        <v/>
      </c>
      <c r="AD202" s="160">
        <f>IF(OR(AC202="",AC201=""),"",AC202-AC201)</f>
        <v/>
      </c>
      <c r="AE202" s="160">
        <f>IF('Datos_fuente'!AE202="","",LN('Datos_fuente'!AE202))</f>
        <v/>
      </c>
      <c r="AF202" s="160">
        <f>IF(OR(AE202="",AE201=""),"",AE202-AE201)</f>
        <v/>
      </c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'Datos_fuente'!A203</f>
        <v/>
      </c>
      <c r="B203" s="160">
        <f>IF('Datos_fuente'!B203="","",LN('Datos_fuente'!B203))</f>
        <v/>
      </c>
      <c r="C203" s="160">
        <f>IF(OR(B203="",B202=""),"",B203-B202)</f>
        <v/>
      </c>
      <c r="D203" s="160">
        <f>IF('Datos_fuente'!C203="","",LN('Datos_fuente'!C203))</f>
        <v/>
      </c>
      <c r="E203" s="160">
        <f>IF(OR(D203="",D202=""),"",D203-D202)</f>
        <v/>
      </c>
      <c r="F203" s="160">
        <f>IF('Datos_fuente'!E203="","",LN('Datos_fuente'!E203))</f>
        <v/>
      </c>
      <c r="G203" s="160">
        <f>IF(OR(F203="",F202=""),"",F203-F202)</f>
        <v/>
      </c>
      <c r="H203" s="161">
        <f>'Datos_fuente'!H203</f>
        <v/>
      </c>
      <c r="I203" s="161">
        <f>IF(OR(H203="",H202=""),"",H203-H202)</f>
        <v/>
      </c>
      <c r="J203" s="161">
        <f>'Datos_fuente'!J203</f>
        <v/>
      </c>
      <c r="K203" s="161">
        <f>IF(OR(J203="",J202=""),"",J203-J202)</f>
        <v/>
      </c>
      <c r="L203" s="160">
        <f>IF('Datos_fuente'!K203="","",LN('Datos_fuente'!K203))</f>
        <v/>
      </c>
      <c r="M203" s="160">
        <f>IF(OR(L203="",L202=""),"",L203-L202)</f>
        <v/>
      </c>
      <c r="N203" s="160">
        <f>IF('Datos_fuente'!L203="","",LN('Datos_fuente'!L203))</f>
        <v/>
      </c>
      <c r="O203" s="160">
        <f>IF(OR(N203="",N202=""),"",N203-N202)</f>
        <v/>
      </c>
      <c r="P203" s="162">
        <f>'Datos_fuente'!M203</f>
        <v/>
      </c>
      <c r="Q203" s="160">
        <f>IF('Datos_fuente'!N203="","",LN('Datos_fuente'!N203))</f>
        <v/>
      </c>
      <c r="R203" s="160">
        <f>IF(OR(Q203="",Q202=""),"",Q203-Q202)</f>
        <v/>
      </c>
      <c r="S203" s="161">
        <f>'Datos_fuente'!P203</f>
        <v/>
      </c>
      <c r="T203" s="161">
        <f>IF(OR(S203="",S202=""),"",S203-S202)</f>
        <v/>
      </c>
      <c r="U203" s="160">
        <f>IF('Datos_fuente'!Q203="","",ASINH('Datos_fuente'!Q203/1000))</f>
        <v/>
      </c>
      <c r="V203" s="160">
        <f>IF(OR(U203="",U202=""),"",U203-U202)</f>
        <v/>
      </c>
      <c r="W203" s="160">
        <f>IF('Datos_fuente'!R203="","",ASINH('Datos_fuente'!R203/1000))</f>
        <v/>
      </c>
      <c r="X203" s="160">
        <f>IF(OR(W203="",W202=""),"",W203-W202)</f>
        <v/>
      </c>
      <c r="Y203" s="161">
        <f>'Datos_fuente'!W203</f>
        <v/>
      </c>
      <c r="Z203" s="161">
        <f>IF(OR(Y203="",Y202=""),"",Y203-Y202)</f>
        <v/>
      </c>
      <c r="AA203" s="160">
        <f>'Datos_fuente'!AB203</f>
        <v/>
      </c>
      <c r="AB203" s="160">
        <f>'Datos_fuente'!AC203</f>
        <v/>
      </c>
      <c r="AC203" s="160">
        <f>IF('Datos_fuente'!AD203="","",LN('Datos_fuente'!AD203))</f>
        <v/>
      </c>
      <c r="AD203" s="160">
        <f>IF(OR(AC203="",AC202=""),"",AC203-AC202)</f>
        <v/>
      </c>
      <c r="AE203" s="160">
        <f>IF('Datos_fuente'!AE203="","",LN('Datos_fuente'!AE203))</f>
        <v/>
      </c>
      <c r="AF203" s="160">
        <f>IF(OR(AE203="",AE202=""),"",AE203-AE202)</f>
        <v/>
      </c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'Datos_fuente'!A204</f>
        <v/>
      </c>
      <c r="B204" s="160">
        <f>IF('Datos_fuente'!B204="","",LN('Datos_fuente'!B204))</f>
        <v/>
      </c>
      <c r="C204" s="160">
        <f>IF(OR(B204="",B203=""),"",B204-B203)</f>
        <v/>
      </c>
      <c r="D204" s="160">
        <f>IF('Datos_fuente'!C204="","",LN('Datos_fuente'!C204))</f>
        <v/>
      </c>
      <c r="E204" s="160">
        <f>IF(OR(D204="",D203=""),"",D204-D203)</f>
        <v/>
      </c>
      <c r="F204" s="160">
        <f>IF('Datos_fuente'!E204="","",LN('Datos_fuente'!E204))</f>
        <v/>
      </c>
      <c r="G204" s="160">
        <f>IF(OR(F204="",F203=""),"",F204-F203)</f>
        <v/>
      </c>
      <c r="H204" s="161">
        <f>'Datos_fuente'!H204</f>
        <v/>
      </c>
      <c r="I204" s="161">
        <f>IF(OR(H204="",H203=""),"",H204-H203)</f>
        <v/>
      </c>
      <c r="J204" s="161">
        <f>'Datos_fuente'!J204</f>
        <v/>
      </c>
      <c r="K204" s="161">
        <f>IF(OR(J204="",J203=""),"",J204-J203)</f>
        <v/>
      </c>
      <c r="L204" s="160">
        <f>IF('Datos_fuente'!K204="","",LN('Datos_fuente'!K204))</f>
        <v/>
      </c>
      <c r="M204" s="160">
        <f>IF(OR(L204="",L203=""),"",L204-L203)</f>
        <v/>
      </c>
      <c r="N204" s="160">
        <f>IF('Datos_fuente'!L204="","",LN('Datos_fuente'!L204))</f>
        <v/>
      </c>
      <c r="O204" s="160">
        <f>IF(OR(N204="",N203=""),"",N204-N203)</f>
        <v/>
      </c>
      <c r="P204" s="162">
        <f>'Datos_fuente'!M204</f>
        <v/>
      </c>
      <c r="Q204" s="160">
        <f>IF('Datos_fuente'!N204="","",LN('Datos_fuente'!N204))</f>
        <v/>
      </c>
      <c r="R204" s="160">
        <f>IF(OR(Q204="",Q203=""),"",Q204-Q203)</f>
        <v/>
      </c>
      <c r="S204" s="161">
        <f>'Datos_fuente'!P204</f>
        <v/>
      </c>
      <c r="T204" s="161">
        <f>IF(OR(S204="",S203=""),"",S204-S203)</f>
        <v/>
      </c>
      <c r="U204" s="160">
        <f>IF('Datos_fuente'!Q204="","",ASINH('Datos_fuente'!Q204/1000))</f>
        <v/>
      </c>
      <c r="V204" s="160">
        <f>IF(OR(U204="",U203=""),"",U204-U203)</f>
        <v/>
      </c>
      <c r="W204" s="160">
        <f>IF('Datos_fuente'!R204="","",ASINH('Datos_fuente'!R204/1000))</f>
        <v/>
      </c>
      <c r="X204" s="160">
        <f>IF(OR(W204="",W203=""),"",W204-W203)</f>
        <v/>
      </c>
      <c r="Y204" s="161">
        <f>'Datos_fuente'!W204</f>
        <v/>
      </c>
      <c r="Z204" s="161">
        <f>IF(OR(Y204="",Y203=""),"",Y204-Y203)</f>
        <v/>
      </c>
      <c r="AA204" s="160">
        <f>'Datos_fuente'!AB204</f>
        <v/>
      </c>
      <c r="AB204" s="160">
        <f>'Datos_fuente'!AC204</f>
        <v/>
      </c>
      <c r="AC204" s="160">
        <f>IF('Datos_fuente'!AD204="","",LN('Datos_fuente'!AD204))</f>
        <v/>
      </c>
      <c r="AD204" s="160">
        <f>IF(OR(AC204="",AC203=""),"",AC204-AC203)</f>
        <v/>
      </c>
      <c r="AE204" s="160">
        <f>IF('Datos_fuente'!AE204="","",LN('Datos_fuente'!AE204))</f>
        <v/>
      </c>
      <c r="AF204" s="160">
        <f>IF(OR(AE204="",AE203=""),"",AE204-AE203)</f>
        <v/>
      </c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'Datos_fuente'!A205</f>
        <v/>
      </c>
      <c r="B205" s="160">
        <f>IF('Datos_fuente'!B205="","",LN('Datos_fuente'!B205))</f>
        <v/>
      </c>
      <c r="C205" s="160">
        <f>IF(OR(B205="",B204=""),"",B205-B204)</f>
        <v/>
      </c>
      <c r="D205" s="160">
        <f>IF('Datos_fuente'!C205="","",LN('Datos_fuente'!C205))</f>
        <v/>
      </c>
      <c r="E205" s="160">
        <f>IF(OR(D205="",D204=""),"",D205-D204)</f>
        <v/>
      </c>
      <c r="F205" s="160">
        <f>IF('Datos_fuente'!E205="","",LN('Datos_fuente'!E205))</f>
        <v/>
      </c>
      <c r="G205" s="160">
        <f>IF(OR(F205="",F204=""),"",F205-F204)</f>
        <v/>
      </c>
      <c r="H205" s="161">
        <f>'Datos_fuente'!H205</f>
        <v/>
      </c>
      <c r="I205" s="161">
        <f>IF(OR(H205="",H204=""),"",H205-H204)</f>
        <v/>
      </c>
      <c r="J205" s="161">
        <f>'Datos_fuente'!J205</f>
        <v/>
      </c>
      <c r="K205" s="161">
        <f>IF(OR(J205="",J204=""),"",J205-J204)</f>
        <v/>
      </c>
      <c r="L205" s="160">
        <f>IF('Datos_fuente'!K205="","",LN('Datos_fuente'!K205))</f>
        <v/>
      </c>
      <c r="M205" s="160">
        <f>IF(OR(L205="",L204=""),"",L205-L204)</f>
        <v/>
      </c>
      <c r="N205" s="160">
        <f>IF('Datos_fuente'!L205="","",LN('Datos_fuente'!L205))</f>
        <v/>
      </c>
      <c r="O205" s="160">
        <f>IF(OR(N205="",N204=""),"",N205-N204)</f>
        <v/>
      </c>
      <c r="P205" s="162">
        <f>'Datos_fuente'!M205</f>
        <v/>
      </c>
      <c r="Q205" s="160">
        <f>IF('Datos_fuente'!N205="","",LN('Datos_fuente'!N205))</f>
        <v/>
      </c>
      <c r="R205" s="160">
        <f>IF(OR(Q205="",Q204=""),"",Q205-Q204)</f>
        <v/>
      </c>
      <c r="S205" s="161">
        <f>'Datos_fuente'!P205</f>
        <v/>
      </c>
      <c r="T205" s="161">
        <f>IF(OR(S205="",S204=""),"",S205-S204)</f>
        <v/>
      </c>
      <c r="U205" s="160">
        <f>IF('Datos_fuente'!Q205="","",ASINH('Datos_fuente'!Q205/1000))</f>
        <v/>
      </c>
      <c r="V205" s="160">
        <f>IF(OR(U205="",U204=""),"",U205-U204)</f>
        <v/>
      </c>
      <c r="W205" s="160">
        <f>IF('Datos_fuente'!R205="","",ASINH('Datos_fuente'!R205/1000))</f>
        <v/>
      </c>
      <c r="X205" s="160">
        <f>IF(OR(W205="",W204=""),"",W205-W204)</f>
        <v/>
      </c>
      <c r="Y205" s="161">
        <f>'Datos_fuente'!W205</f>
        <v/>
      </c>
      <c r="Z205" s="161">
        <f>IF(OR(Y205="",Y204=""),"",Y205-Y204)</f>
        <v/>
      </c>
      <c r="AA205" s="160">
        <f>'Datos_fuente'!AB205</f>
        <v/>
      </c>
      <c r="AB205" s="160">
        <f>'Datos_fuente'!AC205</f>
        <v/>
      </c>
      <c r="AC205" s="160">
        <f>IF('Datos_fuente'!AD205="","",LN('Datos_fuente'!AD205))</f>
        <v/>
      </c>
      <c r="AD205" s="160">
        <f>IF(OR(AC205="",AC204=""),"",AC205-AC204)</f>
        <v/>
      </c>
      <c r="AE205" s="160">
        <f>IF('Datos_fuente'!AE205="","",LN('Datos_fuente'!AE205))</f>
        <v/>
      </c>
      <c r="AF205" s="160">
        <f>IF(OR(AE205="",AE204=""),"",AE205-AE204)</f>
        <v/>
      </c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'Datos_fuente'!A206</f>
        <v/>
      </c>
      <c r="B206" s="160">
        <f>IF('Datos_fuente'!B206="","",LN('Datos_fuente'!B206))</f>
        <v/>
      </c>
      <c r="C206" s="160">
        <f>IF(OR(B206="",B205=""),"",B206-B205)</f>
        <v/>
      </c>
      <c r="D206" s="160">
        <f>IF('Datos_fuente'!C206="","",LN('Datos_fuente'!C206))</f>
        <v/>
      </c>
      <c r="E206" s="160">
        <f>IF(OR(D206="",D205=""),"",D206-D205)</f>
        <v/>
      </c>
      <c r="F206" s="160">
        <f>IF('Datos_fuente'!E206="","",LN('Datos_fuente'!E206))</f>
        <v/>
      </c>
      <c r="G206" s="160">
        <f>IF(OR(F206="",F205=""),"",F206-F205)</f>
        <v/>
      </c>
      <c r="H206" s="161">
        <f>'Datos_fuente'!H206</f>
        <v/>
      </c>
      <c r="I206" s="161">
        <f>IF(OR(H206="",H205=""),"",H206-H205)</f>
        <v/>
      </c>
      <c r="J206" s="161">
        <f>'Datos_fuente'!J206</f>
        <v/>
      </c>
      <c r="K206" s="161">
        <f>IF(OR(J206="",J205=""),"",J206-J205)</f>
        <v/>
      </c>
      <c r="L206" s="160">
        <f>IF('Datos_fuente'!K206="","",LN('Datos_fuente'!K206))</f>
        <v/>
      </c>
      <c r="M206" s="160">
        <f>IF(OR(L206="",L205=""),"",L206-L205)</f>
        <v/>
      </c>
      <c r="N206" s="160">
        <f>IF('Datos_fuente'!L206="","",LN('Datos_fuente'!L206))</f>
        <v/>
      </c>
      <c r="O206" s="160">
        <f>IF(OR(N206="",N205=""),"",N206-N205)</f>
        <v/>
      </c>
      <c r="P206" s="162">
        <f>'Datos_fuente'!M206</f>
        <v/>
      </c>
      <c r="Q206" s="160">
        <f>IF('Datos_fuente'!N206="","",LN('Datos_fuente'!N206))</f>
        <v/>
      </c>
      <c r="R206" s="160">
        <f>IF(OR(Q206="",Q205=""),"",Q206-Q205)</f>
        <v/>
      </c>
      <c r="S206" s="161">
        <f>'Datos_fuente'!P206</f>
        <v/>
      </c>
      <c r="T206" s="161">
        <f>IF(OR(S206="",S205=""),"",S206-S205)</f>
        <v/>
      </c>
      <c r="U206" s="160">
        <f>IF('Datos_fuente'!Q206="","",ASINH('Datos_fuente'!Q206/1000))</f>
        <v/>
      </c>
      <c r="V206" s="160">
        <f>IF(OR(U206="",U205=""),"",U206-U205)</f>
        <v/>
      </c>
      <c r="W206" s="160">
        <f>IF('Datos_fuente'!R206="","",ASINH('Datos_fuente'!R206/1000))</f>
        <v/>
      </c>
      <c r="X206" s="160">
        <f>IF(OR(W206="",W205=""),"",W206-W205)</f>
        <v/>
      </c>
      <c r="Y206" s="161">
        <f>'Datos_fuente'!W206</f>
        <v/>
      </c>
      <c r="Z206" s="161">
        <f>IF(OR(Y206="",Y205=""),"",Y206-Y205)</f>
        <v/>
      </c>
      <c r="AA206" s="160">
        <f>'Datos_fuente'!AB206</f>
        <v/>
      </c>
      <c r="AB206" s="160">
        <f>'Datos_fuente'!AC206</f>
        <v/>
      </c>
      <c r="AC206" s="160">
        <f>IF('Datos_fuente'!AD206="","",LN('Datos_fuente'!AD206))</f>
        <v/>
      </c>
      <c r="AD206" s="160">
        <f>IF(OR(AC206="",AC205=""),"",AC206-AC205)</f>
        <v/>
      </c>
      <c r="AE206" s="160">
        <f>IF('Datos_fuente'!AE206="","",LN('Datos_fuente'!AE206))</f>
        <v/>
      </c>
      <c r="AF206" s="160">
        <f>IF(OR(AE206="",AE205=""),"",AE206-AE205)</f>
        <v/>
      </c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'Datos_fuente'!A207</f>
        <v/>
      </c>
      <c r="B207" s="160">
        <f>IF('Datos_fuente'!B207="","",LN('Datos_fuente'!B207))</f>
        <v/>
      </c>
      <c r="C207" s="160">
        <f>IF(OR(B207="",B206=""),"",B207-B206)</f>
        <v/>
      </c>
      <c r="D207" s="160">
        <f>IF('Datos_fuente'!C207="","",LN('Datos_fuente'!C207))</f>
        <v/>
      </c>
      <c r="E207" s="160">
        <f>IF(OR(D207="",D206=""),"",D207-D206)</f>
        <v/>
      </c>
      <c r="F207" s="160">
        <f>IF('Datos_fuente'!E207="","",LN('Datos_fuente'!E207))</f>
        <v/>
      </c>
      <c r="G207" s="160">
        <f>IF(OR(F207="",F206=""),"",F207-F206)</f>
        <v/>
      </c>
      <c r="H207" s="161">
        <f>'Datos_fuente'!H207</f>
        <v/>
      </c>
      <c r="I207" s="161">
        <f>IF(OR(H207="",H206=""),"",H207-H206)</f>
        <v/>
      </c>
      <c r="J207" s="161">
        <f>'Datos_fuente'!J207</f>
        <v/>
      </c>
      <c r="K207" s="161">
        <f>IF(OR(J207="",J206=""),"",J207-J206)</f>
        <v/>
      </c>
      <c r="L207" s="160">
        <f>IF('Datos_fuente'!K207="","",LN('Datos_fuente'!K207))</f>
        <v/>
      </c>
      <c r="M207" s="160">
        <f>IF(OR(L207="",L206=""),"",L207-L206)</f>
        <v/>
      </c>
      <c r="N207" s="160">
        <f>IF('Datos_fuente'!L207="","",LN('Datos_fuente'!L207))</f>
        <v/>
      </c>
      <c r="O207" s="160">
        <f>IF(OR(N207="",N206=""),"",N207-N206)</f>
        <v/>
      </c>
      <c r="P207" s="162">
        <f>'Datos_fuente'!M207</f>
        <v/>
      </c>
      <c r="Q207" s="160">
        <f>IF('Datos_fuente'!N207="","",LN('Datos_fuente'!N207))</f>
        <v/>
      </c>
      <c r="R207" s="160">
        <f>IF(OR(Q207="",Q206=""),"",Q207-Q206)</f>
        <v/>
      </c>
      <c r="S207" s="161">
        <f>'Datos_fuente'!P207</f>
        <v/>
      </c>
      <c r="T207" s="161">
        <f>IF(OR(S207="",S206=""),"",S207-S206)</f>
        <v/>
      </c>
      <c r="U207" s="160">
        <f>IF('Datos_fuente'!Q207="","",ASINH('Datos_fuente'!Q207/1000))</f>
        <v/>
      </c>
      <c r="V207" s="160">
        <f>IF(OR(U207="",U206=""),"",U207-U206)</f>
        <v/>
      </c>
      <c r="W207" s="160">
        <f>IF('Datos_fuente'!R207="","",ASINH('Datos_fuente'!R207/1000))</f>
        <v/>
      </c>
      <c r="X207" s="160">
        <f>IF(OR(W207="",W206=""),"",W207-W206)</f>
        <v/>
      </c>
      <c r="Y207" s="161">
        <f>'Datos_fuente'!W207</f>
        <v/>
      </c>
      <c r="Z207" s="161">
        <f>IF(OR(Y207="",Y206=""),"",Y207-Y206)</f>
        <v/>
      </c>
      <c r="AA207" s="160">
        <f>'Datos_fuente'!AB207</f>
        <v/>
      </c>
      <c r="AB207" s="160">
        <f>'Datos_fuente'!AC207</f>
        <v/>
      </c>
      <c r="AC207" s="160">
        <f>IF('Datos_fuente'!AD207="","",LN('Datos_fuente'!AD207))</f>
        <v/>
      </c>
      <c r="AD207" s="160">
        <f>IF(OR(AC207="",AC206=""),"",AC207-AC206)</f>
        <v/>
      </c>
      <c r="AE207" s="160">
        <f>IF('Datos_fuente'!AE207="","",LN('Datos_fuente'!AE207))</f>
        <v/>
      </c>
      <c r="AF207" s="160">
        <f>IF(OR(AE207="",AE206=""),"",AE207-AE206)</f>
        <v/>
      </c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'Datos_fuente'!A208</f>
        <v/>
      </c>
      <c r="B208" s="160">
        <f>IF('Datos_fuente'!B208="","",LN('Datos_fuente'!B208))</f>
        <v/>
      </c>
      <c r="C208" s="160">
        <f>IF(OR(B208="",B207=""),"",B208-B207)</f>
        <v/>
      </c>
      <c r="D208" s="160">
        <f>IF('Datos_fuente'!C208="","",LN('Datos_fuente'!C208))</f>
        <v/>
      </c>
      <c r="E208" s="160">
        <f>IF(OR(D208="",D207=""),"",D208-D207)</f>
        <v/>
      </c>
      <c r="F208" s="160">
        <f>IF('Datos_fuente'!E208="","",LN('Datos_fuente'!E208))</f>
        <v/>
      </c>
      <c r="G208" s="160">
        <f>IF(OR(F208="",F207=""),"",F208-F207)</f>
        <v/>
      </c>
      <c r="H208" s="161">
        <f>'Datos_fuente'!H208</f>
        <v/>
      </c>
      <c r="I208" s="161">
        <f>IF(OR(H208="",H207=""),"",H208-H207)</f>
        <v/>
      </c>
      <c r="J208" s="161">
        <f>'Datos_fuente'!J208</f>
        <v/>
      </c>
      <c r="K208" s="161">
        <f>IF(OR(J208="",J207=""),"",J208-J207)</f>
        <v/>
      </c>
      <c r="L208" s="160">
        <f>IF('Datos_fuente'!K208="","",LN('Datos_fuente'!K208))</f>
        <v/>
      </c>
      <c r="M208" s="160">
        <f>IF(OR(L208="",L207=""),"",L208-L207)</f>
        <v/>
      </c>
      <c r="N208" s="160">
        <f>IF('Datos_fuente'!L208="","",LN('Datos_fuente'!L208))</f>
        <v/>
      </c>
      <c r="O208" s="160">
        <f>IF(OR(N208="",N207=""),"",N208-N207)</f>
        <v/>
      </c>
      <c r="P208" s="162">
        <f>'Datos_fuente'!M208</f>
        <v/>
      </c>
      <c r="Q208" s="160">
        <f>IF('Datos_fuente'!N208="","",LN('Datos_fuente'!N208))</f>
        <v/>
      </c>
      <c r="R208" s="160">
        <f>IF(OR(Q208="",Q207=""),"",Q208-Q207)</f>
        <v/>
      </c>
      <c r="S208" s="161">
        <f>'Datos_fuente'!P208</f>
        <v/>
      </c>
      <c r="T208" s="161">
        <f>IF(OR(S208="",S207=""),"",S208-S207)</f>
        <v/>
      </c>
      <c r="U208" s="160">
        <f>IF('Datos_fuente'!Q208="","",ASINH('Datos_fuente'!Q208/1000))</f>
        <v/>
      </c>
      <c r="V208" s="160">
        <f>IF(OR(U208="",U207=""),"",U208-U207)</f>
        <v/>
      </c>
      <c r="W208" s="160">
        <f>IF('Datos_fuente'!R208="","",ASINH('Datos_fuente'!R208/1000))</f>
        <v/>
      </c>
      <c r="X208" s="160">
        <f>IF(OR(W208="",W207=""),"",W208-W207)</f>
        <v/>
      </c>
      <c r="Y208" s="161">
        <f>'Datos_fuente'!W208</f>
        <v/>
      </c>
      <c r="Z208" s="161">
        <f>IF(OR(Y208="",Y207=""),"",Y208-Y207)</f>
        <v/>
      </c>
      <c r="AA208" s="160">
        <f>'Datos_fuente'!AB208</f>
        <v/>
      </c>
      <c r="AB208" s="160">
        <f>'Datos_fuente'!AC208</f>
        <v/>
      </c>
      <c r="AC208" s="160">
        <f>IF('Datos_fuente'!AD208="","",LN('Datos_fuente'!AD208))</f>
        <v/>
      </c>
      <c r="AD208" s="160">
        <f>IF(OR(AC208="",AC207=""),"",AC208-AC207)</f>
        <v/>
      </c>
      <c r="AE208" s="160">
        <f>IF('Datos_fuente'!AE208="","",LN('Datos_fuente'!AE208))</f>
        <v/>
      </c>
      <c r="AF208" s="160">
        <f>IF(OR(AE208="",AE207=""),"",AE208-AE207)</f>
        <v/>
      </c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'Datos_fuente'!A209</f>
        <v/>
      </c>
      <c r="B209" s="160">
        <f>IF('Datos_fuente'!B209="","",LN('Datos_fuente'!B209))</f>
        <v/>
      </c>
      <c r="C209" s="160">
        <f>IF(OR(B209="",B208=""),"",B209-B208)</f>
        <v/>
      </c>
      <c r="D209" s="160">
        <f>IF('Datos_fuente'!C209="","",LN('Datos_fuente'!C209))</f>
        <v/>
      </c>
      <c r="E209" s="160">
        <f>IF(OR(D209="",D208=""),"",D209-D208)</f>
        <v/>
      </c>
      <c r="F209" s="160">
        <f>IF('Datos_fuente'!E209="","",LN('Datos_fuente'!E209))</f>
        <v/>
      </c>
      <c r="G209" s="160">
        <f>IF(OR(F209="",F208=""),"",F209-F208)</f>
        <v/>
      </c>
      <c r="H209" s="161">
        <f>'Datos_fuente'!H209</f>
        <v/>
      </c>
      <c r="I209" s="161">
        <f>IF(OR(H209="",H208=""),"",H209-H208)</f>
        <v/>
      </c>
      <c r="J209" s="161">
        <f>'Datos_fuente'!J209</f>
        <v/>
      </c>
      <c r="K209" s="161">
        <f>IF(OR(J209="",J208=""),"",J209-J208)</f>
        <v/>
      </c>
      <c r="L209" s="160">
        <f>IF('Datos_fuente'!K209="","",LN('Datos_fuente'!K209))</f>
        <v/>
      </c>
      <c r="M209" s="160">
        <f>IF(OR(L209="",L208=""),"",L209-L208)</f>
        <v/>
      </c>
      <c r="N209" s="160">
        <f>IF('Datos_fuente'!L209="","",LN('Datos_fuente'!L209))</f>
        <v/>
      </c>
      <c r="O209" s="160">
        <f>IF(OR(N209="",N208=""),"",N209-N208)</f>
        <v/>
      </c>
      <c r="P209" s="162">
        <f>'Datos_fuente'!M209</f>
        <v/>
      </c>
      <c r="Q209" s="160">
        <f>IF('Datos_fuente'!N209="","",LN('Datos_fuente'!N209))</f>
        <v/>
      </c>
      <c r="R209" s="160">
        <f>IF(OR(Q209="",Q208=""),"",Q209-Q208)</f>
        <v/>
      </c>
      <c r="S209" s="161">
        <f>'Datos_fuente'!P209</f>
        <v/>
      </c>
      <c r="T209" s="161">
        <f>IF(OR(S209="",S208=""),"",S209-S208)</f>
        <v/>
      </c>
      <c r="U209" s="160">
        <f>IF('Datos_fuente'!Q209="","",ASINH('Datos_fuente'!Q209/1000))</f>
        <v/>
      </c>
      <c r="V209" s="160">
        <f>IF(OR(U209="",U208=""),"",U209-U208)</f>
        <v/>
      </c>
      <c r="W209" s="160">
        <f>IF('Datos_fuente'!R209="","",ASINH('Datos_fuente'!R209/1000))</f>
        <v/>
      </c>
      <c r="X209" s="160">
        <f>IF(OR(W209="",W208=""),"",W209-W208)</f>
        <v/>
      </c>
      <c r="Y209" s="161">
        <f>'Datos_fuente'!W209</f>
        <v/>
      </c>
      <c r="Z209" s="161">
        <f>IF(OR(Y209="",Y208=""),"",Y209-Y208)</f>
        <v/>
      </c>
      <c r="AA209" s="160">
        <f>'Datos_fuente'!AB209</f>
        <v/>
      </c>
      <c r="AB209" s="160">
        <f>'Datos_fuente'!AC209</f>
        <v/>
      </c>
      <c r="AC209" s="160">
        <f>IF('Datos_fuente'!AD209="","",LN('Datos_fuente'!AD209))</f>
        <v/>
      </c>
      <c r="AD209" s="160">
        <f>IF(OR(AC209="",AC208=""),"",AC209-AC208)</f>
        <v/>
      </c>
      <c r="AE209" s="160">
        <f>IF('Datos_fuente'!AE209="","",LN('Datos_fuente'!AE209))</f>
        <v/>
      </c>
      <c r="AF209" s="160">
        <f>IF(OR(AE209="",AE208=""),"",AE209-AE208)</f>
        <v/>
      </c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'Datos_fuente'!A210</f>
        <v/>
      </c>
      <c r="B210" s="160">
        <f>IF('Datos_fuente'!B210="","",LN('Datos_fuente'!B210))</f>
        <v/>
      </c>
      <c r="C210" s="160">
        <f>IF(OR(B210="",B209=""),"",B210-B209)</f>
        <v/>
      </c>
      <c r="D210" s="160">
        <f>IF('Datos_fuente'!C210="","",LN('Datos_fuente'!C210))</f>
        <v/>
      </c>
      <c r="E210" s="160">
        <f>IF(OR(D210="",D209=""),"",D210-D209)</f>
        <v/>
      </c>
      <c r="F210" s="160">
        <f>IF('Datos_fuente'!E210="","",LN('Datos_fuente'!E210))</f>
        <v/>
      </c>
      <c r="G210" s="160">
        <f>IF(OR(F210="",F209=""),"",F210-F209)</f>
        <v/>
      </c>
      <c r="H210" s="161">
        <f>'Datos_fuente'!H210</f>
        <v/>
      </c>
      <c r="I210" s="161">
        <f>IF(OR(H210="",H209=""),"",H210-H209)</f>
        <v/>
      </c>
      <c r="J210" s="161">
        <f>'Datos_fuente'!J210</f>
        <v/>
      </c>
      <c r="K210" s="161">
        <f>IF(OR(J210="",J209=""),"",J210-J209)</f>
        <v/>
      </c>
      <c r="L210" s="160">
        <f>IF('Datos_fuente'!K210="","",LN('Datos_fuente'!K210))</f>
        <v/>
      </c>
      <c r="M210" s="160">
        <f>IF(OR(L210="",L209=""),"",L210-L209)</f>
        <v/>
      </c>
      <c r="N210" s="160">
        <f>IF('Datos_fuente'!L210="","",LN('Datos_fuente'!L210))</f>
        <v/>
      </c>
      <c r="O210" s="160">
        <f>IF(OR(N210="",N209=""),"",N210-N209)</f>
        <v/>
      </c>
      <c r="P210" s="162">
        <f>'Datos_fuente'!M210</f>
        <v/>
      </c>
      <c r="Q210" s="160">
        <f>IF('Datos_fuente'!N210="","",LN('Datos_fuente'!N210))</f>
        <v/>
      </c>
      <c r="R210" s="160">
        <f>IF(OR(Q210="",Q209=""),"",Q210-Q209)</f>
        <v/>
      </c>
      <c r="S210" s="161">
        <f>'Datos_fuente'!P210</f>
        <v/>
      </c>
      <c r="T210" s="161">
        <f>IF(OR(S210="",S209=""),"",S210-S209)</f>
        <v/>
      </c>
      <c r="U210" s="160">
        <f>IF('Datos_fuente'!Q210="","",ASINH('Datos_fuente'!Q210/1000))</f>
        <v/>
      </c>
      <c r="V210" s="160">
        <f>IF(OR(U210="",U209=""),"",U210-U209)</f>
        <v/>
      </c>
      <c r="W210" s="160">
        <f>IF('Datos_fuente'!R210="","",ASINH('Datos_fuente'!R210/1000))</f>
        <v/>
      </c>
      <c r="X210" s="160">
        <f>IF(OR(W210="",W209=""),"",W210-W209)</f>
        <v/>
      </c>
      <c r="Y210" s="161">
        <f>'Datos_fuente'!W210</f>
        <v/>
      </c>
      <c r="Z210" s="161">
        <f>IF(OR(Y210="",Y209=""),"",Y210-Y209)</f>
        <v/>
      </c>
      <c r="AA210" s="160">
        <f>'Datos_fuente'!AB210</f>
        <v/>
      </c>
      <c r="AB210" s="160">
        <f>'Datos_fuente'!AC210</f>
        <v/>
      </c>
      <c r="AC210" s="160">
        <f>IF('Datos_fuente'!AD210="","",LN('Datos_fuente'!AD210))</f>
        <v/>
      </c>
      <c r="AD210" s="160">
        <f>IF(OR(AC210="",AC209=""),"",AC210-AC209)</f>
        <v/>
      </c>
      <c r="AE210" s="160">
        <f>IF('Datos_fuente'!AE210="","",LN('Datos_fuente'!AE210))</f>
        <v/>
      </c>
      <c r="AF210" s="160">
        <f>IF(OR(AE210="",AE209=""),"",AE210-AE209)</f>
        <v/>
      </c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'Datos_fuente'!A211</f>
        <v/>
      </c>
      <c r="B211" s="160">
        <f>IF('Datos_fuente'!B211="","",LN('Datos_fuente'!B211))</f>
        <v/>
      </c>
      <c r="C211" s="160">
        <f>IF(OR(B211="",B210=""),"",B211-B210)</f>
        <v/>
      </c>
      <c r="D211" s="160">
        <f>IF('Datos_fuente'!C211="","",LN('Datos_fuente'!C211))</f>
        <v/>
      </c>
      <c r="E211" s="160">
        <f>IF(OR(D211="",D210=""),"",D211-D210)</f>
        <v/>
      </c>
      <c r="F211" s="160">
        <f>IF('Datos_fuente'!E211="","",LN('Datos_fuente'!E211))</f>
        <v/>
      </c>
      <c r="G211" s="160">
        <f>IF(OR(F211="",F210=""),"",F211-F210)</f>
        <v/>
      </c>
      <c r="H211" s="161">
        <f>'Datos_fuente'!H211</f>
        <v/>
      </c>
      <c r="I211" s="161">
        <f>IF(OR(H211="",H210=""),"",H211-H210)</f>
        <v/>
      </c>
      <c r="J211" s="161">
        <f>'Datos_fuente'!J211</f>
        <v/>
      </c>
      <c r="K211" s="161">
        <f>IF(OR(J211="",J210=""),"",J211-J210)</f>
        <v/>
      </c>
      <c r="L211" s="160">
        <f>IF('Datos_fuente'!K211="","",LN('Datos_fuente'!K211))</f>
        <v/>
      </c>
      <c r="M211" s="160">
        <f>IF(OR(L211="",L210=""),"",L211-L210)</f>
        <v/>
      </c>
      <c r="N211" s="160">
        <f>IF('Datos_fuente'!L211="","",LN('Datos_fuente'!L211))</f>
        <v/>
      </c>
      <c r="O211" s="160">
        <f>IF(OR(N211="",N210=""),"",N211-N210)</f>
        <v/>
      </c>
      <c r="P211" s="162">
        <f>'Datos_fuente'!M211</f>
        <v/>
      </c>
      <c r="Q211" s="160">
        <f>IF('Datos_fuente'!N211="","",LN('Datos_fuente'!N211))</f>
        <v/>
      </c>
      <c r="R211" s="160">
        <f>IF(OR(Q211="",Q210=""),"",Q211-Q210)</f>
        <v/>
      </c>
      <c r="S211" s="161">
        <f>'Datos_fuente'!P211</f>
        <v/>
      </c>
      <c r="T211" s="161">
        <f>IF(OR(S211="",S210=""),"",S211-S210)</f>
        <v/>
      </c>
      <c r="U211" s="160">
        <f>IF('Datos_fuente'!Q211="","",ASINH('Datos_fuente'!Q211/1000))</f>
        <v/>
      </c>
      <c r="V211" s="160">
        <f>IF(OR(U211="",U210=""),"",U211-U210)</f>
        <v/>
      </c>
      <c r="W211" s="160">
        <f>IF('Datos_fuente'!R211="","",ASINH('Datos_fuente'!R211/1000))</f>
        <v/>
      </c>
      <c r="X211" s="160">
        <f>IF(OR(W211="",W210=""),"",W211-W210)</f>
        <v/>
      </c>
      <c r="Y211" s="161">
        <f>'Datos_fuente'!W211</f>
        <v/>
      </c>
      <c r="Z211" s="161">
        <f>IF(OR(Y211="",Y210=""),"",Y211-Y210)</f>
        <v/>
      </c>
      <c r="AA211" s="160">
        <f>'Datos_fuente'!AB211</f>
        <v/>
      </c>
      <c r="AB211" s="160">
        <f>'Datos_fuente'!AC211</f>
        <v/>
      </c>
      <c r="AC211" s="160">
        <f>IF('Datos_fuente'!AD211="","",LN('Datos_fuente'!AD211))</f>
        <v/>
      </c>
      <c r="AD211" s="160">
        <f>IF(OR(AC211="",AC210=""),"",AC211-AC210)</f>
        <v/>
      </c>
      <c r="AE211" s="160">
        <f>IF('Datos_fuente'!AE211="","",LN('Datos_fuente'!AE211))</f>
        <v/>
      </c>
      <c r="AF211" s="160">
        <f>IF(OR(AE211="",AE210=""),"",AE211-AE210)</f>
        <v/>
      </c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'Datos_fuente'!A212</f>
        <v/>
      </c>
      <c r="B212" s="160">
        <f>IF('Datos_fuente'!B212="","",LN('Datos_fuente'!B212))</f>
        <v/>
      </c>
      <c r="C212" s="160">
        <f>IF(OR(B212="",B211=""),"",B212-B211)</f>
        <v/>
      </c>
      <c r="D212" s="160">
        <f>IF('Datos_fuente'!C212="","",LN('Datos_fuente'!C212))</f>
        <v/>
      </c>
      <c r="E212" s="160">
        <f>IF(OR(D212="",D211=""),"",D212-D211)</f>
        <v/>
      </c>
      <c r="F212" s="160">
        <f>IF('Datos_fuente'!E212="","",LN('Datos_fuente'!E212))</f>
        <v/>
      </c>
      <c r="G212" s="160">
        <f>IF(OR(F212="",F211=""),"",F212-F211)</f>
        <v/>
      </c>
      <c r="H212" s="161">
        <f>'Datos_fuente'!H212</f>
        <v/>
      </c>
      <c r="I212" s="161">
        <f>IF(OR(H212="",H211=""),"",H212-H211)</f>
        <v/>
      </c>
      <c r="J212" s="161">
        <f>'Datos_fuente'!J212</f>
        <v/>
      </c>
      <c r="K212" s="161">
        <f>IF(OR(J212="",J211=""),"",J212-J211)</f>
        <v/>
      </c>
      <c r="L212" s="160">
        <f>IF('Datos_fuente'!K212="","",LN('Datos_fuente'!K212))</f>
        <v/>
      </c>
      <c r="M212" s="160">
        <f>IF(OR(L212="",L211=""),"",L212-L211)</f>
        <v/>
      </c>
      <c r="N212" s="160">
        <f>IF('Datos_fuente'!L212="","",LN('Datos_fuente'!L212))</f>
        <v/>
      </c>
      <c r="O212" s="160">
        <f>IF(OR(N212="",N211=""),"",N212-N211)</f>
        <v/>
      </c>
      <c r="P212" s="162">
        <f>'Datos_fuente'!M212</f>
        <v/>
      </c>
      <c r="Q212" s="160">
        <f>IF('Datos_fuente'!N212="","",LN('Datos_fuente'!N212))</f>
        <v/>
      </c>
      <c r="R212" s="160">
        <f>IF(OR(Q212="",Q211=""),"",Q212-Q211)</f>
        <v/>
      </c>
      <c r="S212" s="161">
        <f>'Datos_fuente'!P212</f>
        <v/>
      </c>
      <c r="T212" s="161">
        <f>IF(OR(S212="",S211=""),"",S212-S211)</f>
        <v/>
      </c>
      <c r="U212" s="160">
        <f>IF('Datos_fuente'!Q212="","",ASINH('Datos_fuente'!Q212/1000))</f>
        <v/>
      </c>
      <c r="V212" s="160">
        <f>IF(OR(U212="",U211=""),"",U212-U211)</f>
        <v/>
      </c>
      <c r="W212" s="160">
        <f>IF('Datos_fuente'!R212="","",ASINH('Datos_fuente'!R212/1000))</f>
        <v/>
      </c>
      <c r="X212" s="160">
        <f>IF(OR(W212="",W211=""),"",W212-W211)</f>
        <v/>
      </c>
      <c r="Y212" s="161">
        <f>'Datos_fuente'!W212</f>
        <v/>
      </c>
      <c r="Z212" s="161">
        <f>IF(OR(Y212="",Y211=""),"",Y212-Y211)</f>
        <v/>
      </c>
      <c r="AA212" s="160">
        <f>'Datos_fuente'!AB212</f>
        <v/>
      </c>
      <c r="AB212" s="160">
        <f>'Datos_fuente'!AC212</f>
        <v/>
      </c>
      <c r="AC212" s="160">
        <f>IF('Datos_fuente'!AD212="","",LN('Datos_fuente'!AD212))</f>
        <v/>
      </c>
      <c r="AD212" s="160">
        <f>IF(OR(AC212="",AC211=""),"",AC212-AC211)</f>
        <v/>
      </c>
      <c r="AE212" s="160">
        <f>IF('Datos_fuente'!AE212="","",LN('Datos_fuente'!AE212))</f>
        <v/>
      </c>
      <c r="AF212" s="160">
        <f>IF(OR(AE212="",AE211=""),"",AE212-AE211)</f>
        <v/>
      </c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'Datos_fuente'!A213</f>
        <v/>
      </c>
      <c r="B213" s="160">
        <f>IF('Datos_fuente'!B213="","",LN('Datos_fuente'!B213))</f>
        <v/>
      </c>
      <c r="C213" s="160">
        <f>IF(OR(B213="",B212=""),"",B213-B212)</f>
        <v/>
      </c>
      <c r="D213" s="160">
        <f>IF('Datos_fuente'!C213="","",LN('Datos_fuente'!C213))</f>
        <v/>
      </c>
      <c r="E213" s="160">
        <f>IF(OR(D213="",D212=""),"",D213-D212)</f>
        <v/>
      </c>
      <c r="F213" s="160">
        <f>IF('Datos_fuente'!E213="","",LN('Datos_fuente'!E213))</f>
        <v/>
      </c>
      <c r="G213" s="160">
        <f>IF(OR(F213="",F212=""),"",F213-F212)</f>
        <v/>
      </c>
      <c r="H213" s="161">
        <f>'Datos_fuente'!H213</f>
        <v/>
      </c>
      <c r="I213" s="161">
        <f>IF(OR(H213="",H212=""),"",H213-H212)</f>
        <v/>
      </c>
      <c r="J213" s="161">
        <f>'Datos_fuente'!J213</f>
        <v/>
      </c>
      <c r="K213" s="161">
        <f>IF(OR(J213="",J212=""),"",J213-J212)</f>
        <v/>
      </c>
      <c r="L213" s="160">
        <f>IF('Datos_fuente'!K213="","",LN('Datos_fuente'!K213))</f>
        <v/>
      </c>
      <c r="M213" s="160">
        <f>IF(OR(L213="",L212=""),"",L213-L212)</f>
        <v/>
      </c>
      <c r="N213" s="160">
        <f>IF('Datos_fuente'!L213="","",LN('Datos_fuente'!L213))</f>
        <v/>
      </c>
      <c r="O213" s="160">
        <f>IF(OR(N213="",N212=""),"",N213-N212)</f>
        <v/>
      </c>
      <c r="P213" s="162">
        <f>'Datos_fuente'!M213</f>
        <v/>
      </c>
      <c r="Q213" s="160">
        <f>IF('Datos_fuente'!N213="","",LN('Datos_fuente'!N213))</f>
        <v/>
      </c>
      <c r="R213" s="160">
        <f>IF(OR(Q213="",Q212=""),"",Q213-Q212)</f>
        <v/>
      </c>
      <c r="S213" s="161">
        <f>'Datos_fuente'!P213</f>
        <v/>
      </c>
      <c r="T213" s="161">
        <f>IF(OR(S213="",S212=""),"",S213-S212)</f>
        <v/>
      </c>
      <c r="U213" s="160">
        <f>IF('Datos_fuente'!Q213="","",ASINH('Datos_fuente'!Q213/1000))</f>
        <v/>
      </c>
      <c r="V213" s="160">
        <f>IF(OR(U213="",U212=""),"",U213-U212)</f>
        <v/>
      </c>
      <c r="W213" s="160">
        <f>IF('Datos_fuente'!R213="","",ASINH('Datos_fuente'!R213/1000))</f>
        <v/>
      </c>
      <c r="X213" s="160">
        <f>IF(OR(W213="",W212=""),"",W213-W212)</f>
        <v/>
      </c>
      <c r="Y213" s="161">
        <f>'Datos_fuente'!W213</f>
        <v/>
      </c>
      <c r="Z213" s="161">
        <f>IF(OR(Y213="",Y212=""),"",Y213-Y212)</f>
        <v/>
      </c>
      <c r="AA213" s="160">
        <f>'Datos_fuente'!AB213</f>
        <v/>
      </c>
      <c r="AB213" s="160">
        <f>'Datos_fuente'!AC213</f>
        <v/>
      </c>
      <c r="AC213" s="160">
        <f>IF('Datos_fuente'!AD213="","",LN('Datos_fuente'!AD213))</f>
        <v/>
      </c>
      <c r="AD213" s="160">
        <f>IF(OR(AC213="",AC212=""),"",AC213-AC212)</f>
        <v/>
      </c>
      <c r="AE213" s="160">
        <f>IF('Datos_fuente'!AE213="","",LN('Datos_fuente'!AE213))</f>
        <v/>
      </c>
      <c r="AF213" s="160">
        <f>IF(OR(AE213="",AE212=""),"",AE213-AE212)</f>
        <v/>
      </c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'Datos_fuente'!A214</f>
        <v/>
      </c>
      <c r="B214" s="160">
        <f>IF('Datos_fuente'!B214="","",LN('Datos_fuente'!B214))</f>
        <v/>
      </c>
      <c r="C214" s="160">
        <f>IF(OR(B214="",B213=""),"",B214-B213)</f>
        <v/>
      </c>
      <c r="D214" s="160">
        <f>IF('Datos_fuente'!C214="","",LN('Datos_fuente'!C214))</f>
        <v/>
      </c>
      <c r="E214" s="160">
        <f>IF(OR(D214="",D213=""),"",D214-D213)</f>
        <v/>
      </c>
      <c r="F214" s="160">
        <f>IF('Datos_fuente'!E214="","",LN('Datos_fuente'!E214))</f>
        <v/>
      </c>
      <c r="G214" s="160">
        <f>IF(OR(F214="",F213=""),"",F214-F213)</f>
        <v/>
      </c>
      <c r="H214" s="161">
        <f>'Datos_fuente'!H214</f>
        <v/>
      </c>
      <c r="I214" s="161">
        <f>IF(OR(H214="",H213=""),"",H214-H213)</f>
        <v/>
      </c>
      <c r="J214" s="161">
        <f>'Datos_fuente'!J214</f>
        <v/>
      </c>
      <c r="K214" s="161">
        <f>IF(OR(J214="",J213=""),"",J214-J213)</f>
        <v/>
      </c>
      <c r="L214" s="160">
        <f>IF('Datos_fuente'!K214="","",LN('Datos_fuente'!K214))</f>
        <v/>
      </c>
      <c r="M214" s="160">
        <f>IF(OR(L214="",L213=""),"",L214-L213)</f>
        <v/>
      </c>
      <c r="N214" s="160">
        <f>IF('Datos_fuente'!L214="","",LN('Datos_fuente'!L214))</f>
        <v/>
      </c>
      <c r="O214" s="160">
        <f>IF(OR(N214="",N213=""),"",N214-N213)</f>
        <v/>
      </c>
      <c r="P214" s="162">
        <f>'Datos_fuente'!M214</f>
        <v/>
      </c>
      <c r="Q214" s="160">
        <f>IF('Datos_fuente'!N214="","",LN('Datos_fuente'!N214))</f>
        <v/>
      </c>
      <c r="R214" s="160">
        <f>IF(OR(Q214="",Q213=""),"",Q214-Q213)</f>
        <v/>
      </c>
      <c r="S214" s="161">
        <f>'Datos_fuente'!P214</f>
        <v/>
      </c>
      <c r="T214" s="161">
        <f>IF(OR(S214="",S213=""),"",S214-S213)</f>
        <v/>
      </c>
      <c r="U214" s="160">
        <f>IF('Datos_fuente'!Q214="","",ASINH('Datos_fuente'!Q214/1000))</f>
        <v/>
      </c>
      <c r="V214" s="160">
        <f>IF(OR(U214="",U213=""),"",U214-U213)</f>
        <v/>
      </c>
      <c r="W214" s="160">
        <f>IF('Datos_fuente'!R214="","",ASINH('Datos_fuente'!R214/1000))</f>
        <v/>
      </c>
      <c r="X214" s="160">
        <f>IF(OR(W214="",W213=""),"",W214-W213)</f>
        <v/>
      </c>
      <c r="Y214" s="161">
        <f>'Datos_fuente'!W214</f>
        <v/>
      </c>
      <c r="Z214" s="161">
        <f>IF(OR(Y214="",Y213=""),"",Y214-Y213)</f>
        <v/>
      </c>
      <c r="AA214" s="160">
        <f>'Datos_fuente'!AB214</f>
        <v/>
      </c>
      <c r="AB214" s="160">
        <f>'Datos_fuente'!AC214</f>
        <v/>
      </c>
      <c r="AC214" s="160">
        <f>IF('Datos_fuente'!AD214="","",LN('Datos_fuente'!AD214))</f>
        <v/>
      </c>
      <c r="AD214" s="160">
        <f>IF(OR(AC214="",AC213=""),"",AC214-AC213)</f>
        <v/>
      </c>
      <c r="AE214" s="160">
        <f>IF('Datos_fuente'!AE214="","",LN('Datos_fuente'!AE214))</f>
        <v/>
      </c>
      <c r="AF214" s="160">
        <f>IF(OR(AE214="",AE213=""),"",AE214-AE213)</f>
        <v/>
      </c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'Datos_fuente'!A215</f>
        <v/>
      </c>
      <c r="B215" s="160">
        <f>IF('Datos_fuente'!B215="","",LN('Datos_fuente'!B215))</f>
        <v/>
      </c>
      <c r="C215" s="160">
        <f>IF(OR(B215="",B214=""),"",B215-B214)</f>
        <v/>
      </c>
      <c r="D215" s="160">
        <f>IF('Datos_fuente'!C215="","",LN('Datos_fuente'!C215))</f>
        <v/>
      </c>
      <c r="E215" s="160">
        <f>IF(OR(D215="",D214=""),"",D215-D214)</f>
        <v/>
      </c>
      <c r="F215" s="160">
        <f>IF('Datos_fuente'!E215="","",LN('Datos_fuente'!E215))</f>
        <v/>
      </c>
      <c r="G215" s="160">
        <f>IF(OR(F215="",F214=""),"",F215-F214)</f>
        <v/>
      </c>
      <c r="H215" s="161">
        <f>'Datos_fuente'!H215</f>
        <v/>
      </c>
      <c r="I215" s="161">
        <f>IF(OR(H215="",H214=""),"",H215-H214)</f>
        <v/>
      </c>
      <c r="J215" s="161">
        <f>'Datos_fuente'!J215</f>
        <v/>
      </c>
      <c r="K215" s="161">
        <f>IF(OR(J215="",J214=""),"",J215-J214)</f>
        <v/>
      </c>
      <c r="L215" s="160">
        <f>IF('Datos_fuente'!K215="","",LN('Datos_fuente'!K215))</f>
        <v/>
      </c>
      <c r="M215" s="160">
        <f>IF(OR(L215="",L214=""),"",L215-L214)</f>
        <v/>
      </c>
      <c r="N215" s="160">
        <f>IF('Datos_fuente'!L215="","",LN('Datos_fuente'!L215))</f>
        <v/>
      </c>
      <c r="O215" s="160">
        <f>IF(OR(N215="",N214=""),"",N215-N214)</f>
        <v/>
      </c>
      <c r="P215" s="162">
        <f>'Datos_fuente'!M215</f>
        <v/>
      </c>
      <c r="Q215" s="160">
        <f>IF('Datos_fuente'!N215="","",LN('Datos_fuente'!N215))</f>
        <v/>
      </c>
      <c r="R215" s="160">
        <f>IF(OR(Q215="",Q214=""),"",Q215-Q214)</f>
        <v/>
      </c>
      <c r="S215" s="161">
        <f>'Datos_fuente'!P215</f>
        <v/>
      </c>
      <c r="T215" s="161">
        <f>IF(OR(S215="",S214=""),"",S215-S214)</f>
        <v/>
      </c>
      <c r="U215" s="160">
        <f>IF('Datos_fuente'!Q215="","",ASINH('Datos_fuente'!Q215/1000))</f>
        <v/>
      </c>
      <c r="V215" s="160">
        <f>IF(OR(U215="",U214=""),"",U215-U214)</f>
        <v/>
      </c>
      <c r="W215" s="160">
        <f>IF('Datos_fuente'!R215="","",ASINH('Datos_fuente'!R215/1000))</f>
        <v/>
      </c>
      <c r="X215" s="160">
        <f>IF(OR(W215="",W214=""),"",W215-W214)</f>
        <v/>
      </c>
      <c r="Y215" s="161">
        <f>'Datos_fuente'!W215</f>
        <v/>
      </c>
      <c r="Z215" s="161">
        <f>IF(OR(Y215="",Y214=""),"",Y215-Y214)</f>
        <v/>
      </c>
      <c r="AA215" s="160">
        <f>'Datos_fuente'!AB215</f>
        <v/>
      </c>
      <c r="AB215" s="160">
        <f>'Datos_fuente'!AC215</f>
        <v/>
      </c>
      <c r="AC215" s="160">
        <f>IF('Datos_fuente'!AD215="","",LN('Datos_fuente'!AD215))</f>
        <v/>
      </c>
      <c r="AD215" s="160">
        <f>IF(OR(AC215="",AC214=""),"",AC215-AC214)</f>
        <v/>
      </c>
      <c r="AE215" s="160">
        <f>IF('Datos_fuente'!AE215="","",LN('Datos_fuente'!AE215))</f>
        <v/>
      </c>
      <c r="AF215" s="160">
        <f>IF(OR(AE215="",AE214=""),"",AE215-AE214)</f>
        <v/>
      </c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'Datos_fuente'!A216</f>
        <v/>
      </c>
      <c r="B216" s="160">
        <f>IF('Datos_fuente'!B216="","",LN('Datos_fuente'!B216))</f>
        <v/>
      </c>
      <c r="C216" s="160">
        <f>IF(OR(B216="",B215=""),"",B216-B215)</f>
        <v/>
      </c>
      <c r="D216" s="160">
        <f>IF('Datos_fuente'!C216="","",LN('Datos_fuente'!C216))</f>
        <v/>
      </c>
      <c r="E216" s="160">
        <f>IF(OR(D216="",D215=""),"",D216-D215)</f>
        <v/>
      </c>
      <c r="F216" s="160">
        <f>IF('Datos_fuente'!E216="","",LN('Datos_fuente'!E216))</f>
        <v/>
      </c>
      <c r="G216" s="160">
        <f>IF(OR(F216="",F215=""),"",F216-F215)</f>
        <v/>
      </c>
      <c r="H216" s="161">
        <f>'Datos_fuente'!H216</f>
        <v/>
      </c>
      <c r="I216" s="161">
        <f>IF(OR(H216="",H215=""),"",H216-H215)</f>
        <v/>
      </c>
      <c r="J216" s="161">
        <f>'Datos_fuente'!J216</f>
        <v/>
      </c>
      <c r="K216" s="161">
        <f>IF(OR(J216="",J215=""),"",J216-J215)</f>
        <v/>
      </c>
      <c r="L216" s="160">
        <f>IF('Datos_fuente'!K216="","",LN('Datos_fuente'!K216))</f>
        <v/>
      </c>
      <c r="M216" s="160">
        <f>IF(OR(L216="",L215=""),"",L216-L215)</f>
        <v/>
      </c>
      <c r="N216" s="160">
        <f>IF('Datos_fuente'!L216="","",LN('Datos_fuente'!L216))</f>
        <v/>
      </c>
      <c r="O216" s="160">
        <f>IF(OR(N216="",N215=""),"",N216-N215)</f>
        <v/>
      </c>
      <c r="P216" s="162">
        <f>'Datos_fuente'!M216</f>
        <v/>
      </c>
      <c r="Q216" s="160">
        <f>IF('Datos_fuente'!N216="","",LN('Datos_fuente'!N216))</f>
        <v/>
      </c>
      <c r="R216" s="160">
        <f>IF(OR(Q216="",Q215=""),"",Q216-Q215)</f>
        <v/>
      </c>
      <c r="S216" s="161">
        <f>'Datos_fuente'!P216</f>
        <v/>
      </c>
      <c r="T216" s="161">
        <f>IF(OR(S216="",S215=""),"",S216-S215)</f>
        <v/>
      </c>
      <c r="U216" s="160">
        <f>IF('Datos_fuente'!Q216="","",ASINH('Datos_fuente'!Q216/1000))</f>
        <v/>
      </c>
      <c r="V216" s="160">
        <f>IF(OR(U216="",U215=""),"",U216-U215)</f>
        <v/>
      </c>
      <c r="W216" s="160">
        <f>IF('Datos_fuente'!R216="","",ASINH('Datos_fuente'!R216/1000))</f>
        <v/>
      </c>
      <c r="X216" s="160">
        <f>IF(OR(W216="",W215=""),"",W216-W215)</f>
        <v/>
      </c>
      <c r="Y216" s="161">
        <f>'Datos_fuente'!W216</f>
        <v/>
      </c>
      <c r="Z216" s="161">
        <f>IF(OR(Y216="",Y215=""),"",Y216-Y215)</f>
        <v/>
      </c>
      <c r="AA216" s="160">
        <f>'Datos_fuente'!AB216</f>
        <v/>
      </c>
      <c r="AB216" s="160">
        <f>'Datos_fuente'!AC216</f>
        <v/>
      </c>
      <c r="AC216" s="160">
        <f>IF('Datos_fuente'!AD216="","",LN('Datos_fuente'!AD216))</f>
        <v/>
      </c>
      <c r="AD216" s="160">
        <f>IF(OR(AC216="",AC215=""),"",AC216-AC215)</f>
        <v/>
      </c>
      <c r="AE216" s="160">
        <f>IF('Datos_fuente'!AE216="","",LN('Datos_fuente'!AE216))</f>
        <v/>
      </c>
      <c r="AF216" s="160">
        <f>IF(OR(AE216="",AE215=""),"",AE216-AE215)</f>
        <v/>
      </c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'Datos_fuente'!A217</f>
        <v/>
      </c>
      <c r="B217" s="160">
        <f>IF('Datos_fuente'!B217="","",LN('Datos_fuente'!B217))</f>
        <v/>
      </c>
      <c r="C217" s="160">
        <f>IF(OR(B217="",B216=""),"",B217-B216)</f>
        <v/>
      </c>
      <c r="D217" s="160">
        <f>IF('Datos_fuente'!C217="","",LN('Datos_fuente'!C217))</f>
        <v/>
      </c>
      <c r="E217" s="160">
        <f>IF(OR(D217="",D216=""),"",D217-D216)</f>
        <v/>
      </c>
      <c r="F217" s="160">
        <f>IF('Datos_fuente'!E217="","",LN('Datos_fuente'!E217))</f>
        <v/>
      </c>
      <c r="G217" s="160">
        <f>IF(OR(F217="",F216=""),"",F217-F216)</f>
        <v/>
      </c>
      <c r="H217" s="161">
        <f>'Datos_fuente'!H217</f>
        <v/>
      </c>
      <c r="I217" s="161">
        <f>IF(OR(H217="",H216=""),"",H217-H216)</f>
        <v/>
      </c>
      <c r="J217" s="161">
        <f>'Datos_fuente'!J217</f>
        <v/>
      </c>
      <c r="K217" s="161">
        <f>IF(OR(J217="",J216=""),"",J217-J216)</f>
        <v/>
      </c>
      <c r="L217" s="160">
        <f>IF('Datos_fuente'!K217="","",LN('Datos_fuente'!K217))</f>
        <v/>
      </c>
      <c r="M217" s="160">
        <f>IF(OR(L217="",L216=""),"",L217-L216)</f>
        <v/>
      </c>
      <c r="N217" s="160">
        <f>IF('Datos_fuente'!L217="","",LN('Datos_fuente'!L217))</f>
        <v/>
      </c>
      <c r="O217" s="160">
        <f>IF(OR(N217="",N216=""),"",N217-N216)</f>
        <v/>
      </c>
      <c r="P217" s="162">
        <f>'Datos_fuente'!M217</f>
        <v/>
      </c>
      <c r="Q217" s="160">
        <f>IF('Datos_fuente'!N217="","",LN('Datos_fuente'!N217))</f>
        <v/>
      </c>
      <c r="R217" s="160">
        <f>IF(OR(Q217="",Q216=""),"",Q217-Q216)</f>
        <v/>
      </c>
      <c r="S217" s="161">
        <f>'Datos_fuente'!P217</f>
        <v/>
      </c>
      <c r="T217" s="161">
        <f>IF(OR(S217="",S216=""),"",S217-S216)</f>
        <v/>
      </c>
      <c r="U217" s="160">
        <f>IF('Datos_fuente'!Q217="","",ASINH('Datos_fuente'!Q217/1000))</f>
        <v/>
      </c>
      <c r="V217" s="160">
        <f>IF(OR(U217="",U216=""),"",U217-U216)</f>
        <v/>
      </c>
      <c r="W217" s="160">
        <f>IF('Datos_fuente'!R217="","",ASINH('Datos_fuente'!R217/1000))</f>
        <v/>
      </c>
      <c r="X217" s="160">
        <f>IF(OR(W217="",W216=""),"",W217-W216)</f>
        <v/>
      </c>
      <c r="Y217" s="161">
        <f>'Datos_fuente'!W217</f>
        <v/>
      </c>
      <c r="Z217" s="161">
        <f>IF(OR(Y217="",Y216=""),"",Y217-Y216)</f>
        <v/>
      </c>
      <c r="AA217" s="160">
        <f>'Datos_fuente'!AB217</f>
        <v/>
      </c>
      <c r="AB217" s="160">
        <f>'Datos_fuente'!AC217</f>
        <v/>
      </c>
      <c r="AC217" s="160">
        <f>IF('Datos_fuente'!AD217="","",LN('Datos_fuente'!AD217))</f>
        <v/>
      </c>
      <c r="AD217" s="160">
        <f>IF(OR(AC217="",AC216=""),"",AC217-AC216)</f>
        <v/>
      </c>
      <c r="AE217" s="160">
        <f>IF('Datos_fuente'!AE217="","",LN('Datos_fuente'!AE217))</f>
        <v/>
      </c>
      <c r="AF217" s="160">
        <f>IF(OR(AE217="",AE216=""),"",AE217-AE216)</f>
        <v/>
      </c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'Datos_fuente'!A218</f>
        <v/>
      </c>
      <c r="B218" s="160">
        <f>IF('Datos_fuente'!B218="","",LN('Datos_fuente'!B218))</f>
        <v/>
      </c>
      <c r="C218" s="160">
        <f>IF(OR(B218="",B217=""),"",B218-B217)</f>
        <v/>
      </c>
      <c r="D218" s="160">
        <f>IF('Datos_fuente'!C218="","",LN('Datos_fuente'!C218))</f>
        <v/>
      </c>
      <c r="E218" s="160">
        <f>IF(OR(D218="",D217=""),"",D218-D217)</f>
        <v/>
      </c>
      <c r="F218" s="160">
        <f>IF('Datos_fuente'!E218="","",LN('Datos_fuente'!E218))</f>
        <v/>
      </c>
      <c r="G218" s="160">
        <f>IF(OR(F218="",F217=""),"",F218-F217)</f>
        <v/>
      </c>
      <c r="H218" s="161">
        <f>'Datos_fuente'!H218</f>
        <v/>
      </c>
      <c r="I218" s="161">
        <f>IF(OR(H218="",H217=""),"",H218-H217)</f>
        <v/>
      </c>
      <c r="J218" s="161">
        <f>'Datos_fuente'!J218</f>
        <v/>
      </c>
      <c r="K218" s="161">
        <f>IF(OR(J218="",J217=""),"",J218-J217)</f>
        <v/>
      </c>
      <c r="L218" s="160">
        <f>IF('Datos_fuente'!K218="","",LN('Datos_fuente'!K218))</f>
        <v/>
      </c>
      <c r="M218" s="160">
        <f>IF(OR(L218="",L217=""),"",L218-L217)</f>
        <v/>
      </c>
      <c r="N218" s="160">
        <f>IF('Datos_fuente'!L218="","",LN('Datos_fuente'!L218))</f>
        <v/>
      </c>
      <c r="O218" s="160">
        <f>IF(OR(N218="",N217=""),"",N218-N217)</f>
        <v/>
      </c>
      <c r="P218" s="162">
        <f>'Datos_fuente'!M218</f>
        <v/>
      </c>
      <c r="Q218" s="160">
        <f>IF('Datos_fuente'!N218="","",LN('Datos_fuente'!N218))</f>
        <v/>
      </c>
      <c r="R218" s="160">
        <f>IF(OR(Q218="",Q217=""),"",Q218-Q217)</f>
        <v/>
      </c>
      <c r="S218" s="161">
        <f>'Datos_fuente'!P218</f>
        <v/>
      </c>
      <c r="T218" s="161">
        <f>IF(OR(S218="",S217=""),"",S218-S217)</f>
        <v/>
      </c>
      <c r="U218" s="160">
        <f>IF('Datos_fuente'!Q218="","",ASINH('Datos_fuente'!Q218/1000))</f>
        <v/>
      </c>
      <c r="V218" s="160">
        <f>IF(OR(U218="",U217=""),"",U218-U217)</f>
        <v/>
      </c>
      <c r="W218" s="160">
        <f>IF('Datos_fuente'!R218="","",ASINH('Datos_fuente'!R218/1000))</f>
        <v/>
      </c>
      <c r="X218" s="160">
        <f>IF(OR(W218="",W217=""),"",W218-W217)</f>
        <v/>
      </c>
      <c r="Y218" s="161">
        <f>'Datos_fuente'!W218</f>
        <v/>
      </c>
      <c r="Z218" s="161">
        <f>IF(OR(Y218="",Y217=""),"",Y218-Y217)</f>
        <v/>
      </c>
      <c r="AA218" s="160">
        <f>'Datos_fuente'!AB218</f>
        <v/>
      </c>
      <c r="AB218" s="160">
        <f>'Datos_fuente'!AC218</f>
        <v/>
      </c>
      <c r="AC218" s="160">
        <f>IF('Datos_fuente'!AD218="","",LN('Datos_fuente'!AD218))</f>
        <v/>
      </c>
      <c r="AD218" s="160">
        <f>IF(OR(AC218="",AC217=""),"",AC218-AC217)</f>
        <v/>
      </c>
      <c r="AE218" s="160">
        <f>IF('Datos_fuente'!AE218="","",LN('Datos_fuente'!AE218))</f>
        <v/>
      </c>
      <c r="AF218" s="160">
        <f>IF(OR(AE218="",AE217=""),"",AE218-AE217)</f>
        <v/>
      </c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'Datos_fuente'!A219</f>
        <v/>
      </c>
      <c r="B219" s="160">
        <f>IF('Datos_fuente'!B219="","",LN('Datos_fuente'!B219))</f>
        <v/>
      </c>
      <c r="C219" s="160">
        <f>IF(OR(B219="",B218=""),"",B219-B218)</f>
        <v/>
      </c>
      <c r="D219" s="160">
        <f>IF('Datos_fuente'!C219="","",LN('Datos_fuente'!C219))</f>
        <v/>
      </c>
      <c r="E219" s="160">
        <f>IF(OR(D219="",D218=""),"",D219-D218)</f>
        <v/>
      </c>
      <c r="F219" s="160">
        <f>IF('Datos_fuente'!E219="","",LN('Datos_fuente'!E219))</f>
        <v/>
      </c>
      <c r="G219" s="160">
        <f>IF(OR(F219="",F218=""),"",F219-F218)</f>
        <v/>
      </c>
      <c r="H219" s="161">
        <f>'Datos_fuente'!H219</f>
        <v/>
      </c>
      <c r="I219" s="161">
        <f>IF(OR(H219="",H218=""),"",H219-H218)</f>
        <v/>
      </c>
      <c r="J219" s="161">
        <f>'Datos_fuente'!J219</f>
        <v/>
      </c>
      <c r="K219" s="161">
        <f>IF(OR(J219="",J218=""),"",J219-J218)</f>
        <v/>
      </c>
      <c r="L219" s="160">
        <f>IF('Datos_fuente'!K219="","",LN('Datos_fuente'!K219))</f>
        <v/>
      </c>
      <c r="M219" s="160">
        <f>IF(OR(L219="",L218=""),"",L219-L218)</f>
        <v/>
      </c>
      <c r="N219" s="160">
        <f>IF('Datos_fuente'!L219="","",LN('Datos_fuente'!L219))</f>
        <v/>
      </c>
      <c r="O219" s="160">
        <f>IF(OR(N219="",N218=""),"",N219-N218)</f>
        <v/>
      </c>
      <c r="P219" s="162">
        <f>'Datos_fuente'!M219</f>
        <v/>
      </c>
      <c r="Q219" s="160">
        <f>IF('Datos_fuente'!N219="","",LN('Datos_fuente'!N219))</f>
        <v/>
      </c>
      <c r="R219" s="160">
        <f>IF(OR(Q219="",Q218=""),"",Q219-Q218)</f>
        <v/>
      </c>
      <c r="S219" s="161">
        <f>'Datos_fuente'!P219</f>
        <v/>
      </c>
      <c r="T219" s="161">
        <f>IF(OR(S219="",S218=""),"",S219-S218)</f>
        <v/>
      </c>
      <c r="U219" s="160">
        <f>IF('Datos_fuente'!Q219="","",ASINH('Datos_fuente'!Q219/1000))</f>
        <v/>
      </c>
      <c r="V219" s="160">
        <f>IF(OR(U219="",U218=""),"",U219-U218)</f>
        <v/>
      </c>
      <c r="W219" s="160">
        <f>IF('Datos_fuente'!R219="","",ASINH('Datos_fuente'!R219/1000))</f>
        <v/>
      </c>
      <c r="X219" s="160">
        <f>IF(OR(W219="",W218=""),"",W219-W218)</f>
        <v/>
      </c>
      <c r="Y219" s="161">
        <f>'Datos_fuente'!W219</f>
        <v/>
      </c>
      <c r="Z219" s="161">
        <f>IF(OR(Y219="",Y218=""),"",Y219-Y218)</f>
        <v/>
      </c>
      <c r="AA219" s="160">
        <f>'Datos_fuente'!AB219</f>
        <v/>
      </c>
      <c r="AB219" s="160">
        <f>'Datos_fuente'!AC219</f>
        <v/>
      </c>
      <c r="AC219" s="160">
        <f>IF('Datos_fuente'!AD219="","",LN('Datos_fuente'!AD219))</f>
        <v/>
      </c>
      <c r="AD219" s="160">
        <f>IF(OR(AC219="",AC218=""),"",AC219-AC218)</f>
        <v/>
      </c>
      <c r="AE219" s="160">
        <f>IF('Datos_fuente'!AE219="","",LN('Datos_fuente'!AE219))</f>
        <v/>
      </c>
      <c r="AF219" s="160">
        <f>IF(OR(AE219="",AE218=""),"",AE219-AE218)</f>
        <v/>
      </c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'Datos_fuente'!A220</f>
        <v/>
      </c>
      <c r="B220" s="160">
        <f>IF('Datos_fuente'!B220="","",LN('Datos_fuente'!B220))</f>
        <v/>
      </c>
      <c r="C220" s="160">
        <f>IF(OR(B220="",B219=""),"",B220-B219)</f>
        <v/>
      </c>
      <c r="D220" s="160">
        <f>IF('Datos_fuente'!C220="","",LN('Datos_fuente'!C220))</f>
        <v/>
      </c>
      <c r="E220" s="160">
        <f>IF(OR(D220="",D219=""),"",D220-D219)</f>
        <v/>
      </c>
      <c r="F220" s="160">
        <f>IF('Datos_fuente'!E220="","",LN('Datos_fuente'!E220))</f>
        <v/>
      </c>
      <c r="G220" s="160">
        <f>IF(OR(F220="",F219=""),"",F220-F219)</f>
        <v/>
      </c>
      <c r="H220" s="161">
        <f>'Datos_fuente'!H220</f>
        <v/>
      </c>
      <c r="I220" s="161">
        <f>IF(OR(H220="",H219=""),"",H220-H219)</f>
        <v/>
      </c>
      <c r="J220" s="161">
        <f>'Datos_fuente'!J220</f>
        <v/>
      </c>
      <c r="K220" s="161">
        <f>IF(OR(J220="",J219=""),"",J220-J219)</f>
        <v/>
      </c>
      <c r="L220" s="160">
        <f>IF('Datos_fuente'!K220="","",LN('Datos_fuente'!K220))</f>
        <v/>
      </c>
      <c r="M220" s="160">
        <f>IF(OR(L220="",L219=""),"",L220-L219)</f>
        <v/>
      </c>
      <c r="N220" s="160">
        <f>IF('Datos_fuente'!L220="","",LN('Datos_fuente'!L220))</f>
        <v/>
      </c>
      <c r="O220" s="160">
        <f>IF(OR(N220="",N219=""),"",N220-N219)</f>
        <v/>
      </c>
      <c r="P220" s="162">
        <f>'Datos_fuente'!M220</f>
        <v/>
      </c>
      <c r="Q220" s="160">
        <f>IF('Datos_fuente'!N220="","",LN('Datos_fuente'!N220))</f>
        <v/>
      </c>
      <c r="R220" s="160">
        <f>IF(OR(Q220="",Q219=""),"",Q220-Q219)</f>
        <v/>
      </c>
      <c r="S220" s="161">
        <f>'Datos_fuente'!P220</f>
        <v/>
      </c>
      <c r="T220" s="161">
        <f>IF(OR(S220="",S219=""),"",S220-S219)</f>
        <v/>
      </c>
      <c r="U220" s="160">
        <f>IF('Datos_fuente'!Q220="","",ASINH('Datos_fuente'!Q220/1000))</f>
        <v/>
      </c>
      <c r="V220" s="160">
        <f>IF(OR(U220="",U219=""),"",U220-U219)</f>
        <v/>
      </c>
      <c r="W220" s="160">
        <f>IF('Datos_fuente'!R220="","",ASINH('Datos_fuente'!R220/1000))</f>
        <v/>
      </c>
      <c r="X220" s="160">
        <f>IF(OR(W220="",W219=""),"",W220-W219)</f>
        <v/>
      </c>
      <c r="Y220" s="161">
        <f>'Datos_fuente'!W220</f>
        <v/>
      </c>
      <c r="Z220" s="161">
        <f>IF(OR(Y220="",Y219=""),"",Y220-Y219)</f>
        <v/>
      </c>
      <c r="AA220" s="160">
        <f>'Datos_fuente'!AB220</f>
        <v/>
      </c>
      <c r="AB220" s="160">
        <f>'Datos_fuente'!AC220</f>
        <v/>
      </c>
      <c r="AC220" s="160">
        <f>IF('Datos_fuente'!AD220="","",LN('Datos_fuente'!AD220))</f>
        <v/>
      </c>
      <c r="AD220" s="160">
        <f>IF(OR(AC220="",AC219=""),"",AC220-AC219)</f>
        <v/>
      </c>
      <c r="AE220" s="160">
        <f>IF('Datos_fuente'!AE220="","",LN('Datos_fuente'!AE220))</f>
        <v/>
      </c>
      <c r="AF220" s="160">
        <f>IF(OR(AE220="",AE219=""),"",AE220-AE219)</f>
        <v/>
      </c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'Datos_fuente'!A221</f>
        <v/>
      </c>
      <c r="B221" s="160">
        <f>IF('Datos_fuente'!B221="","",LN('Datos_fuente'!B221))</f>
        <v/>
      </c>
      <c r="C221" s="160">
        <f>IF(OR(B221="",B220=""),"",B221-B220)</f>
        <v/>
      </c>
      <c r="D221" s="160">
        <f>IF('Datos_fuente'!C221="","",LN('Datos_fuente'!C221))</f>
        <v/>
      </c>
      <c r="E221" s="160">
        <f>IF(OR(D221="",D220=""),"",D221-D220)</f>
        <v/>
      </c>
      <c r="F221" s="160">
        <f>IF('Datos_fuente'!E221="","",LN('Datos_fuente'!E221))</f>
        <v/>
      </c>
      <c r="G221" s="160">
        <f>IF(OR(F221="",F220=""),"",F221-F220)</f>
        <v/>
      </c>
      <c r="H221" s="161">
        <f>'Datos_fuente'!H221</f>
        <v/>
      </c>
      <c r="I221" s="161">
        <f>IF(OR(H221="",H220=""),"",H221-H220)</f>
        <v/>
      </c>
      <c r="J221" s="161">
        <f>'Datos_fuente'!J221</f>
        <v/>
      </c>
      <c r="K221" s="161">
        <f>IF(OR(J221="",J220=""),"",J221-J220)</f>
        <v/>
      </c>
      <c r="L221" s="160">
        <f>IF('Datos_fuente'!K221="","",LN('Datos_fuente'!K221))</f>
        <v/>
      </c>
      <c r="M221" s="160">
        <f>IF(OR(L221="",L220=""),"",L221-L220)</f>
        <v/>
      </c>
      <c r="N221" s="160">
        <f>IF('Datos_fuente'!L221="","",LN('Datos_fuente'!L221))</f>
        <v/>
      </c>
      <c r="O221" s="160">
        <f>IF(OR(N221="",N220=""),"",N221-N220)</f>
        <v/>
      </c>
      <c r="P221" s="162">
        <f>'Datos_fuente'!M221</f>
        <v/>
      </c>
      <c r="Q221" s="160">
        <f>IF('Datos_fuente'!N221="","",LN('Datos_fuente'!N221))</f>
        <v/>
      </c>
      <c r="R221" s="160">
        <f>IF(OR(Q221="",Q220=""),"",Q221-Q220)</f>
        <v/>
      </c>
      <c r="S221" s="161">
        <f>'Datos_fuente'!P221</f>
        <v/>
      </c>
      <c r="T221" s="161">
        <f>IF(OR(S221="",S220=""),"",S221-S220)</f>
        <v/>
      </c>
      <c r="U221" s="160">
        <f>IF('Datos_fuente'!Q221="","",ASINH('Datos_fuente'!Q221/1000))</f>
        <v/>
      </c>
      <c r="V221" s="160">
        <f>IF(OR(U221="",U220=""),"",U221-U220)</f>
        <v/>
      </c>
      <c r="W221" s="160">
        <f>IF('Datos_fuente'!R221="","",ASINH('Datos_fuente'!R221/1000))</f>
        <v/>
      </c>
      <c r="X221" s="160">
        <f>IF(OR(W221="",W220=""),"",W221-W220)</f>
        <v/>
      </c>
      <c r="Y221" s="161">
        <f>'Datos_fuente'!W221</f>
        <v/>
      </c>
      <c r="Z221" s="161">
        <f>IF(OR(Y221="",Y220=""),"",Y221-Y220)</f>
        <v/>
      </c>
      <c r="AA221" s="160">
        <f>'Datos_fuente'!AB221</f>
        <v/>
      </c>
      <c r="AB221" s="160">
        <f>'Datos_fuente'!AC221</f>
        <v/>
      </c>
      <c r="AC221" s="160">
        <f>IF('Datos_fuente'!AD221="","",LN('Datos_fuente'!AD221))</f>
        <v/>
      </c>
      <c r="AD221" s="160">
        <f>IF(OR(AC221="",AC220=""),"",AC221-AC220)</f>
        <v/>
      </c>
      <c r="AE221" s="160">
        <f>IF('Datos_fuente'!AE221="","",LN('Datos_fuente'!AE221))</f>
        <v/>
      </c>
      <c r="AF221" s="160">
        <f>IF(OR(AE221="",AE220=""),"",AE221-AE220)</f>
        <v/>
      </c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'Datos_fuente'!A222</f>
        <v/>
      </c>
      <c r="B222" s="160">
        <f>IF('Datos_fuente'!B222="","",LN('Datos_fuente'!B222))</f>
        <v/>
      </c>
      <c r="C222" s="160">
        <f>IF(OR(B222="",B221=""),"",B222-B221)</f>
        <v/>
      </c>
      <c r="D222" s="160">
        <f>IF('Datos_fuente'!C222="","",LN('Datos_fuente'!C222))</f>
        <v/>
      </c>
      <c r="E222" s="160">
        <f>IF(OR(D222="",D221=""),"",D222-D221)</f>
        <v/>
      </c>
      <c r="F222" s="160">
        <f>IF('Datos_fuente'!E222="","",LN('Datos_fuente'!E222))</f>
        <v/>
      </c>
      <c r="G222" s="160">
        <f>IF(OR(F222="",F221=""),"",F222-F221)</f>
        <v/>
      </c>
      <c r="H222" s="161">
        <f>'Datos_fuente'!H222</f>
        <v/>
      </c>
      <c r="I222" s="161">
        <f>IF(OR(H222="",H221=""),"",H222-H221)</f>
        <v/>
      </c>
      <c r="J222" s="161">
        <f>'Datos_fuente'!J222</f>
        <v/>
      </c>
      <c r="K222" s="161">
        <f>IF(OR(J222="",J221=""),"",J222-J221)</f>
        <v/>
      </c>
      <c r="L222" s="160">
        <f>IF('Datos_fuente'!K222="","",LN('Datos_fuente'!K222))</f>
        <v/>
      </c>
      <c r="M222" s="160">
        <f>IF(OR(L222="",L221=""),"",L222-L221)</f>
        <v/>
      </c>
      <c r="N222" s="160">
        <f>IF('Datos_fuente'!L222="","",LN('Datos_fuente'!L222))</f>
        <v/>
      </c>
      <c r="O222" s="160">
        <f>IF(OR(N222="",N221=""),"",N222-N221)</f>
        <v/>
      </c>
      <c r="P222" s="162">
        <f>'Datos_fuente'!M222</f>
        <v/>
      </c>
      <c r="Q222" s="160">
        <f>IF('Datos_fuente'!N222="","",LN('Datos_fuente'!N222))</f>
        <v/>
      </c>
      <c r="R222" s="160">
        <f>IF(OR(Q222="",Q221=""),"",Q222-Q221)</f>
        <v/>
      </c>
      <c r="S222" s="161">
        <f>'Datos_fuente'!P222</f>
        <v/>
      </c>
      <c r="T222" s="161">
        <f>IF(OR(S222="",S221=""),"",S222-S221)</f>
        <v/>
      </c>
      <c r="U222" s="160">
        <f>IF('Datos_fuente'!Q222="","",ASINH('Datos_fuente'!Q222/1000))</f>
        <v/>
      </c>
      <c r="V222" s="160">
        <f>IF(OR(U222="",U221=""),"",U222-U221)</f>
        <v/>
      </c>
      <c r="W222" s="160">
        <f>IF('Datos_fuente'!R222="","",ASINH('Datos_fuente'!R222/1000))</f>
        <v/>
      </c>
      <c r="X222" s="160">
        <f>IF(OR(W222="",W221=""),"",W222-W221)</f>
        <v/>
      </c>
      <c r="Y222" s="161">
        <f>'Datos_fuente'!W222</f>
        <v/>
      </c>
      <c r="Z222" s="161">
        <f>IF(OR(Y222="",Y221=""),"",Y222-Y221)</f>
        <v/>
      </c>
      <c r="AA222" s="160">
        <f>'Datos_fuente'!AB222</f>
        <v/>
      </c>
      <c r="AB222" s="160">
        <f>'Datos_fuente'!AC222</f>
        <v/>
      </c>
      <c r="AC222" s="160">
        <f>IF('Datos_fuente'!AD222="","",LN('Datos_fuente'!AD222))</f>
        <v/>
      </c>
      <c r="AD222" s="160">
        <f>IF(OR(AC222="",AC221=""),"",AC222-AC221)</f>
        <v/>
      </c>
      <c r="AE222" s="160">
        <f>IF('Datos_fuente'!AE222="","",LN('Datos_fuente'!AE222))</f>
        <v/>
      </c>
      <c r="AF222" s="160">
        <f>IF(OR(AE222="",AE221=""),"",AE222-AE221)</f>
        <v/>
      </c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'Datos_fuente'!A223</f>
        <v/>
      </c>
      <c r="B223" s="160">
        <f>IF('Datos_fuente'!B223="","",LN('Datos_fuente'!B223))</f>
        <v/>
      </c>
      <c r="C223" s="160">
        <f>IF(OR(B223="",B222=""),"",B223-B222)</f>
        <v/>
      </c>
      <c r="D223" s="160">
        <f>IF('Datos_fuente'!C223="","",LN('Datos_fuente'!C223))</f>
        <v/>
      </c>
      <c r="E223" s="160">
        <f>IF(OR(D223="",D222=""),"",D223-D222)</f>
        <v/>
      </c>
      <c r="F223" s="160">
        <f>IF('Datos_fuente'!E223="","",LN('Datos_fuente'!E223))</f>
        <v/>
      </c>
      <c r="G223" s="160">
        <f>IF(OR(F223="",F222=""),"",F223-F222)</f>
        <v/>
      </c>
      <c r="H223" s="161">
        <f>'Datos_fuente'!H223</f>
        <v/>
      </c>
      <c r="I223" s="161">
        <f>IF(OR(H223="",H222=""),"",H223-H222)</f>
        <v/>
      </c>
      <c r="J223" s="161">
        <f>'Datos_fuente'!J223</f>
        <v/>
      </c>
      <c r="K223" s="161">
        <f>IF(OR(J223="",J222=""),"",J223-J222)</f>
        <v/>
      </c>
      <c r="L223" s="160">
        <f>IF('Datos_fuente'!K223="","",LN('Datos_fuente'!K223))</f>
        <v/>
      </c>
      <c r="M223" s="160">
        <f>IF(OR(L223="",L222=""),"",L223-L222)</f>
        <v/>
      </c>
      <c r="N223" s="160">
        <f>IF('Datos_fuente'!L223="","",LN('Datos_fuente'!L223))</f>
        <v/>
      </c>
      <c r="O223" s="160">
        <f>IF(OR(N223="",N222=""),"",N223-N222)</f>
        <v/>
      </c>
      <c r="P223" s="162">
        <f>'Datos_fuente'!M223</f>
        <v/>
      </c>
      <c r="Q223" s="160">
        <f>IF('Datos_fuente'!N223="","",LN('Datos_fuente'!N223))</f>
        <v/>
      </c>
      <c r="R223" s="160">
        <f>IF(OR(Q223="",Q222=""),"",Q223-Q222)</f>
        <v/>
      </c>
      <c r="S223" s="161">
        <f>'Datos_fuente'!P223</f>
        <v/>
      </c>
      <c r="T223" s="161">
        <f>IF(OR(S223="",S222=""),"",S223-S222)</f>
        <v/>
      </c>
      <c r="U223" s="160">
        <f>IF('Datos_fuente'!Q223="","",ASINH('Datos_fuente'!Q223/1000))</f>
        <v/>
      </c>
      <c r="V223" s="160">
        <f>IF(OR(U223="",U222=""),"",U223-U222)</f>
        <v/>
      </c>
      <c r="W223" s="160">
        <f>IF('Datos_fuente'!R223="","",ASINH('Datos_fuente'!R223/1000))</f>
        <v/>
      </c>
      <c r="X223" s="160">
        <f>IF(OR(W223="",W222=""),"",W223-W222)</f>
        <v/>
      </c>
      <c r="Y223" s="161">
        <f>'Datos_fuente'!W223</f>
        <v/>
      </c>
      <c r="Z223" s="161">
        <f>IF(OR(Y223="",Y222=""),"",Y223-Y222)</f>
        <v/>
      </c>
      <c r="AA223" s="160">
        <f>'Datos_fuente'!AB223</f>
        <v/>
      </c>
      <c r="AB223" s="160">
        <f>'Datos_fuente'!AC223</f>
        <v/>
      </c>
      <c r="AC223" s="160">
        <f>IF('Datos_fuente'!AD223="","",LN('Datos_fuente'!AD223))</f>
        <v/>
      </c>
      <c r="AD223" s="160">
        <f>IF(OR(AC223="",AC222=""),"",AC223-AC222)</f>
        <v/>
      </c>
      <c r="AE223" s="160">
        <f>IF('Datos_fuente'!AE223="","",LN('Datos_fuente'!AE223))</f>
        <v/>
      </c>
      <c r="AF223" s="160">
        <f>IF(OR(AE223="",AE222=""),"",AE223-AE222)</f>
        <v/>
      </c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'Datos_fuente'!A224</f>
        <v/>
      </c>
      <c r="B224" s="160">
        <f>IF('Datos_fuente'!B224="","",LN('Datos_fuente'!B224))</f>
        <v/>
      </c>
      <c r="C224" s="160">
        <f>IF(OR(B224="",B223=""),"",B224-B223)</f>
        <v/>
      </c>
      <c r="D224" s="160">
        <f>IF('Datos_fuente'!C224="","",LN('Datos_fuente'!C224))</f>
        <v/>
      </c>
      <c r="E224" s="160">
        <f>IF(OR(D224="",D223=""),"",D224-D223)</f>
        <v/>
      </c>
      <c r="F224" s="160">
        <f>IF('Datos_fuente'!E224="","",LN('Datos_fuente'!E224))</f>
        <v/>
      </c>
      <c r="G224" s="160">
        <f>IF(OR(F224="",F223=""),"",F224-F223)</f>
        <v/>
      </c>
      <c r="H224" s="161">
        <f>'Datos_fuente'!H224</f>
        <v/>
      </c>
      <c r="I224" s="161">
        <f>IF(OR(H224="",H223=""),"",H224-H223)</f>
        <v/>
      </c>
      <c r="J224" s="161">
        <f>'Datos_fuente'!J224</f>
        <v/>
      </c>
      <c r="K224" s="161">
        <f>IF(OR(J224="",J223=""),"",J224-J223)</f>
        <v/>
      </c>
      <c r="L224" s="160">
        <f>IF('Datos_fuente'!K224="","",LN('Datos_fuente'!K224))</f>
        <v/>
      </c>
      <c r="M224" s="160">
        <f>IF(OR(L224="",L223=""),"",L224-L223)</f>
        <v/>
      </c>
      <c r="N224" s="160">
        <f>IF('Datos_fuente'!L224="","",LN('Datos_fuente'!L224))</f>
        <v/>
      </c>
      <c r="O224" s="160">
        <f>IF(OR(N224="",N223=""),"",N224-N223)</f>
        <v/>
      </c>
      <c r="P224" s="162">
        <f>'Datos_fuente'!M224</f>
        <v/>
      </c>
      <c r="Q224" s="160">
        <f>IF('Datos_fuente'!N224="","",LN('Datos_fuente'!N224))</f>
        <v/>
      </c>
      <c r="R224" s="160">
        <f>IF(OR(Q224="",Q223=""),"",Q224-Q223)</f>
        <v/>
      </c>
      <c r="S224" s="161">
        <f>'Datos_fuente'!P224</f>
        <v/>
      </c>
      <c r="T224" s="161">
        <f>IF(OR(S224="",S223=""),"",S224-S223)</f>
        <v/>
      </c>
      <c r="U224" s="160">
        <f>IF('Datos_fuente'!Q224="","",ASINH('Datos_fuente'!Q224/1000))</f>
        <v/>
      </c>
      <c r="V224" s="160">
        <f>IF(OR(U224="",U223=""),"",U224-U223)</f>
        <v/>
      </c>
      <c r="W224" s="160">
        <f>IF('Datos_fuente'!R224="","",ASINH('Datos_fuente'!R224/1000))</f>
        <v/>
      </c>
      <c r="X224" s="160">
        <f>IF(OR(W224="",W223=""),"",W224-W223)</f>
        <v/>
      </c>
      <c r="Y224" s="161">
        <f>'Datos_fuente'!W224</f>
        <v/>
      </c>
      <c r="Z224" s="161">
        <f>IF(OR(Y224="",Y223=""),"",Y224-Y223)</f>
        <v/>
      </c>
      <c r="AA224" s="160">
        <f>'Datos_fuente'!AB224</f>
        <v/>
      </c>
      <c r="AB224" s="160">
        <f>'Datos_fuente'!AC224</f>
        <v/>
      </c>
      <c r="AC224" s="160">
        <f>IF('Datos_fuente'!AD224="","",LN('Datos_fuente'!AD224))</f>
        <v/>
      </c>
      <c r="AD224" s="160">
        <f>IF(OR(AC224="",AC223=""),"",AC224-AC223)</f>
        <v/>
      </c>
      <c r="AE224" s="160">
        <f>IF('Datos_fuente'!AE224="","",LN('Datos_fuente'!AE224))</f>
        <v/>
      </c>
      <c r="AF224" s="160">
        <f>IF(OR(AE224="",AE223=""),"",AE224-AE223)</f>
        <v/>
      </c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'Datos_fuente'!A225</f>
        <v/>
      </c>
      <c r="B225" s="160">
        <f>IF('Datos_fuente'!B225="","",LN('Datos_fuente'!B225))</f>
        <v/>
      </c>
      <c r="C225" s="160">
        <f>IF(OR(B225="",B224=""),"",B225-B224)</f>
        <v/>
      </c>
      <c r="D225" s="160">
        <f>IF('Datos_fuente'!C225="","",LN('Datos_fuente'!C225))</f>
        <v/>
      </c>
      <c r="E225" s="160">
        <f>IF(OR(D225="",D224=""),"",D225-D224)</f>
        <v/>
      </c>
      <c r="F225" s="160">
        <f>IF('Datos_fuente'!E225="","",LN('Datos_fuente'!E225))</f>
        <v/>
      </c>
      <c r="G225" s="160">
        <f>IF(OR(F225="",F224=""),"",F225-F224)</f>
        <v/>
      </c>
      <c r="H225" s="161">
        <f>'Datos_fuente'!H225</f>
        <v/>
      </c>
      <c r="I225" s="161">
        <f>IF(OR(H225="",H224=""),"",H225-H224)</f>
        <v/>
      </c>
      <c r="J225" s="161">
        <f>'Datos_fuente'!J225</f>
        <v/>
      </c>
      <c r="K225" s="161">
        <f>IF(OR(J225="",J224=""),"",J225-J224)</f>
        <v/>
      </c>
      <c r="L225" s="160">
        <f>IF('Datos_fuente'!K225="","",LN('Datos_fuente'!K225))</f>
        <v/>
      </c>
      <c r="M225" s="160">
        <f>IF(OR(L225="",L224=""),"",L225-L224)</f>
        <v/>
      </c>
      <c r="N225" s="160">
        <f>IF('Datos_fuente'!L225="","",LN('Datos_fuente'!L225))</f>
        <v/>
      </c>
      <c r="O225" s="160">
        <f>IF(OR(N225="",N224=""),"",N225-N224)</f>
        <v/>
      </c>
      <c r="P225" s="162">
        <f>'Datos_fuente'!M225</f>
        <v/>
      </c>
      <c r="Q225" s="160">
        <f>IF('Datos_fuente'!N225="","",LN('Datos_fuente'!N225))</f>
        <v/>
      </c>
      <c r="R225" s="160">
        <f>IF(OR(Q225="",Q224=""),"",Q225-Q224)</f>
        <v/>
      </c>
      <c r="S225" s="161">
        <f>'Datos_fuente'!P225</f>
        <v/>
      </c>
      <c r="T225" s="161">
        <f>IF(OR(S225="",S224=""),"",S225-S224)</f>
        <v/>
      </c>
      <c r="U225" s="160">
        <f>IF('Datos_fuente'!Q225="","",ASINH('Datos_fuente'!Q225/1000))</f>
        <v/>
      </c>
      <c r="V225" s="160">
        <f>IF(OR(U225="",U224=""),"",U225-U224)</f>
        <v/>
      </c>
      <c r="W225" s="160">
        <f>IF('Datos_fuente'!R225="","",ASINH('Datos_fuente'!R225/1000))</f>
        <v/>
      </c>
      <c r="X225" s="160">
        <f>IF(OR(W225="",W224=""),"",W225-W224)</f>
        <v/>
      </c>
      <c r="Y225" s="161">
        <f>'Datos_fuente'!W225</f>
        <v/>
      </c>
      <c r="Z225" s="161">
        <f>IF(OR(Y225="",Y224=""),"",Y225-Y224)</f>
        <v/>
      </c>
      <c r="AA225" s="160">
        <f>'Datos_fuente'!AB225</f>
        <v/>
      </c>
      <c r="AB225" s="160">
        <f>'Datos_fuente'!AC225</f>
        <v/>
      </c>
      <c r="AC225" s="160">
        <f>IF('Datos_fuente'!AD225="","",LN('Datos_fuente'!AD225))</f>
        <v/>
      </c>
      <c r="AD225" s="160">
        <f>IF(OR(AC225="",AC224=""),"",AC225-AC224)</f>
        <v/>
      </c>
      <c r="AE225" s="160">
        <f>IF('Datos_fuente'!AE225="","",LN('Datos_fuente'!AE225))</f>
        <v/>
      </c>
      <c r="AF225" s="160">
        <f>IF(OR(AE225="",AE224=""),"",AE225-AE224)</f>
        <v/>
      </c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'Datos_fuente'!A226</f>
        <v/>
      </c>
      <c r="B226" s="160">
        <f>IF('Datos_fuente'!B226="","",LN('Datos_fuente'!B226))</f>
        <v/>
      </c>
      <c r="C226" s="160">
        <f>IF(OR(B226="",B225=""),"",B226-B225)</f>
        <v/>
      </c>
      <c r="D226" s="160">
        <f>IF('Datos_fuente'!C226="","",LN('Datos_fuente'!C226))</f>
        <v/>
      </c>
      <c r="E226" s="160">
        <f>IF(OR(D226="",D225=""),"",D226-D225)</f>
        <v/>
      </c>
      <c r="F226" s="160">
        <f>IF('Datos_fuente'!E226="","",LN('Datos_fuente'!E226))</f>
        <v/>
      </c>
      <c r="G226" s="160">
        <f>IF(OR(F226="",F225=""),"",F226-F225)</f>
        <v/>
      </c>
      <c r="H226" s="161">
        <f>'Datos_fuente'!H226</f>
        <v/>
      </c>
      <c r="I226" s="161">
        <f>IF(OR(H226="",H225=""),"",H226-H225)</f>
        <v/>
      </c>
      <c r="J226" s="161">
        <f>'Datos_fuente'!J226</f>
        <v/>
      </c>
      <c r="K226" s="161">
        <f>IF(OR(J226="",J225=""),"",J226-J225)</f>
        <v/>
      </c>
      <c r="L226" s="160">
        <f>IF('Datos_fuente'!K226="","",LN('Datos_fuente'!K226))</f>
        <v/>
      </c>
      <c r="M226" s="160">
        <f>IF(OR(L226="",L225=""),"",L226-L225)</f>
        <v/>
      </c>
      <c r="N226" s="160">
        <f>IF('Datos_fuente'!L226="","",LN('Datos_fuente'!L226))</f>
        <v/>
      </c>
      <c r="O226" s="160">
        <f>IF(OR(N226="",N225=""),"",N226-N225)</f>
        <v/>
      </c>
      <c r="P226" s="162">
        <f>'Datos_fuente'!M226</f>
        <v/>
      </c>
      <c r="Q226" s="160">
        <f>IF('Datos_fuente'!N226="","",LN('Datos_fuente'!N226))</f>
        <v/>
      </c>
      <c r="R226" s="160">
        <f>IF(OR(Q226="",Q225=""),"",Q226-Q225)</f>
        <v/>
      </c>
      <c r="S226" s="161">
        <f>'Datos_fuente'!P226</f>
        <v/>
      </c>
      <c r="T226" s="161">
        <f>IF(OR(S226="",S225=""),"",S226-S225)</f>
        <v/>
      </c>
      <c r="U226" s="160">
        <f>IF('Datos_fuente'!Q226="","",ASINH('Datos_fuente'!Q226/1000))</f>
        <v/>
      </c>
      <c r="V226" s="160">
        <f>IF(OR(U226="",U225=""),"",U226-U225)</f>
        <v/>
      </c>
      <c r="W226" s="160">
        <f>IF('Datos_fuente'!R226="","",ASINH('Datos_fuente'!R226/1000))</f>
        <v/>
      </c>
      <c r="X226" s="160">
        <f>IF(OR(W226="",W225=""),"",W226-W225)</f>
        <v/>
      </c>
      <c r="Y226" s="161">
        <f>'Datos_fuente'!W226</f>
        <v/>
      </c>
      <c r="Z226" s="161">
        <f>IF(OR(Y226="",Y225=""),"",Y226-Y225)</f>
        <v/>
      </c>
      <c r="AA226" s="160">
        <f>'Datos_fuente'!AB226</f>
        <v/>
      </c>
      <c r="AB226" s="160">
        <f>'Datos_fuente'!AC226</f>
        <v/>
      </c>
      <c r="AC226" s="160">
        <f>IF('Datos_fuente'!AD226="","",LN('Datos_fuente'!AD226))</f>
        <v/>
      </c>
      <c r="AD226" s="160">
        <f>IF(OR(AC226="",AC225=""),"",AC226-AC225)</f>
        <v/>
      </c>
      <c r="AE226" s="160">
        <f>IF('Datos_fuente'!AE226="","",LN('Datos_fuente'!AE226))</f>
        <v/>
      </c>
      <c r="AF226" s="160">
        <f>IF(OR(AE226="",AE225=""),"",AE226-AE225)</f>
        <v/>
      </c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'Datos_fuente'!A227</f>
        <v/>
      </c>
      <c r="B227" s="160">
        <f>IF('Datos_fuente'!B227="","",LN('Datos_fuente'!B227))</f>
        <v/>
      </c>
      <c r="C227" s="160">
        <f>IF(OR(B227="",B226=""),"",B227-B226)</f>
        <v/>
      </c>
      <c r="D227" s="160">
        <f>IF('Datos_fuente'!C227="","",LN('Datos_fuente'!C227))</f>
        <v/>
      </c>
      <c r="E227" s="160">
        <f>IF(OR(D227="",D226=""),"",D227-D226)</f>
        <v/>
      </c>
      <c r="F227" s="160">
        <f>IF('Datos_fuente'!E227="","",LN('Datos_fuente'!E227))</f>
        <v/>
      </c>
      <c r="G227" s="160">
        <f>IF(OR(F227="",F226=""),"",F227-F226)</f>
        <v/>
      </c>
      <c r="H227" s="161">
        <f>'Datos_fuente'!H227</f>
        <v/>
      </c>
      <c r="I227" s="161">
        <f>IF(OR(H227="",H226=""),"",H227-H226)</f>
        <v/>
      </c>
      <c r="J227" s="161">
        <f>'Datos_fuente'!J227</f>
        <v/>
      </c>
      <c r="K227" s="161">
        <f>IF(OR(J227="",J226=""),"",J227-J226)</f>
        <v/>
      </c>
      <c r="L227" s="160">
        <f>IF('Datos_fuente'!K227="","",LN('Datos_fuente'!K227))</f>
        <v/>
      </c>
      <c r="M227" s="160">
        <f>IF(OR(L227="",L226=""),"",L227-L226)</f>
        <v/>
      </c>
      <c r="N227" s="160">
        <f>IF('Datos_fuente'!L227="","",LN('Datos_fuente'!L227))</f>
        <v/>
      </c>
      <c r="O227" s="160">
        <f>IF(OR(N227="",N226=""),"",N227-N226)</f>
        <v/>
      </c>
      <c r="P227" s="162">
        <f>'Datos_fuente'!M227</f>
        <v/>
      </c>
      <c r="Q227" s="160">
        <f>IF('Datos_fuente'!N227="","",LN('Datos_fuente'!N227))</f>
        <v/>
      </c>
      <c r="R227" s="160">
        <f>IF(OR(Q227="",Q226=""),"",Q227-Q226)</f>
        <v/>
      </c>
      <c r="S227" s="161">
        <f>'Datos_fuente'!P227</f>
        <v/>
      </c>
      <c r="T227" s="161">
        <f>IF(OR(S227="",S226=""),"",S227-S226)</f>
        <v/>
      </c>
      <c r="U227" s="160">
        <f>IF('Datos_fuente'!Q227="","",ASINH('Datos_fuente'!Q227/1000))</f>
        <v/>
      </c>
      <c r="V227" s="160">
        <f>IF(OR(U227="",U226=""),"",U227-U226)</f>
        <v/>
      </c>
      <c r="W227" s="160">
        <f>IF('Datos_fuente'!R227="","",ASINH('Datos_fuente'!R227/1000))</f>
        <v/>
      </c>
      <c r="X227" s="160">
        <f>IF(OR(W227="",W226=""),"",W227-W226)</f>
        <v/>
      </c>
      <c r="Y227" s="161">
        <f>'Datos_fuente'!W227</f>
        <v/>
      </c>
      <c r="Z227" s="161">
        <f>IF(OR(Y227="",Y226=""),"",Y227-Y226)</f>
        <v/>
      </c>
      <c r="AA227" s="160">
        <f>'Datos_fuente'!AB227</f>
        <v/>
      </c>
      <c r="AB227" s="160">
        <f>'Datos_fuente'!AC227</f>
        <v/>
      </c>
      <c r="AC227" s="160">
        <f>IF('Datos_fuente'!AD227="","",LN('Datos_fuente'!AD227))</f>
        <v/>
      </c>
      <c r="AD227" s="160">
        <f>IF(OR(AC227="",AC226=""),"",AC227-AC226)</f>
        <v/>
      </c>
      <c r="AE227" s="160">
        <f>IF('Datos_fuente'!AE227="","",LN('Datos_fuente'!AE227))</f>
        <v/>
      </c>
      <c r="AF227" s="160">
        <f>IF(OR(AE227="",AE226=""),"",AE227-AE226)</f>
        <v/>
      </c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'Datos_fuente'!A228</f>
        <v/>
      </c>
      <c r="B228" s="160">
        <f>IF('Datos_fuente'!B228="","",LN('Datos_fuente'!B228))</f>
        <v/>
      </c>
      <c r="C228" s="160">
        <f>IF(OR(B228="",B227=""),"",B228-B227)</f>
        <v/>
      </c>
      <c r="D228" s="160">
        <f>IF('Datos_fuente'!C228="","",LN('Datos_fuente'!C228))</f>
        <v/>
      </c>
      <c r="E228" s="160">
        <f>IF(OR(D228="",D227=""),"",D228-D227)</f>
        <v/>
      </c>
      <c r="F228" s="160">
        <f>IF('Datos_fuente'!E228="","",LN('Datos_fuente'!E228))</f>
        <v/>
      </c>
      <c r="G228" s="160">
        <f>IF(OR(F228="",F227=""),"",F228-F227)</f>
        <v/>
      </c>
      <c r="H228" s="161">
        <f>'Datos_fuente'!H228</f>
        <v/>
      </c>
      <c r="I228" s="161">
        <f>IF(OR(H228="",H227=""),"",H228-H227)</f>
        <v/>
      </c>
      <c r="J228" s="161">
        <f>'Datos_fuente'!J228</f>
        <v/>
      </c>
      <c r="K228" s="161">
        <f>IF(OR(J228="",J227=""),"",J228-J227)</f>
        <v/>
      </c>
      <c r="L228" s="160">
        <f>IF('Datos_fuente'!K228="","",LN('Datos_fuente'!K228))</f>
        <v/>
      </c>
      <c r="M228" s="160">
        <f>IF(OR(L228="",L227=""),"",L228-L227)</f>
        <v/>
      </c>
      <c r="N228" s="160">
        <f>IF('Datos_fuente'!L228="","",LN('Datos_fuente'!L228))</f>
        <v/>
      </c>
      <c r="O228" s="160">
        <f>IF(OR(N228="",N227=""),"",N228-N227)</f>
        <v/>
      </c>
      <c r="P228" s="162">
        <f>'Datos_fuente'!M228</f>
        <v/>
      </c>
      <c r="Q228" s="160">
        <f>IF('Datos_fuente'!N228="","",LN('Datos_fuente'!N228))</f>
        <v/>
      </c>
      <c r="R228" s="160">
        <f>IF(OR(Q228="",Q227=""),"",Q228-Q227)</f>
        <v/>
      </c>
      <c r="S228" s="161">
        <f>'Datos_fuente'!P228</f>
        <v/>
      </c>
      <c r="T228" s="161">
        <f>IF(OR(S228="",S227=""),"",S228-S227)</f>
        <v/>
      </c>
      <c r="U228" s="160">
        <f>IF('Datos_fuente'!Q228="","",ASINH('Datos_fuente'!Q228/1000))</f>
        <v/>
      </c>
      <c r="V228" s="160">
        <f>IF(OR(U228="",U227=""),"",U228-U227)</f>
        <v/>
      </c>
      <c r="W228" s="160">
        <f>IF('Datos_fuente'!R228="","",ASINH('Datos_fuente'!R228/1000))</f>
        <v/>
      </c>
      <c r="X228" s="160">
        <f>IF(OR(W228="",W227=""),"",W228-W227)</f>
        <v/>
      </c>
      <c r="Y228" s="161">
        <f>'Datos_fuente'!W228</f>
        <v/>
      </c>
      <c r="Z228" s="161">
        <f>IF(OR(Y228="",Y227=""),"",Y228-Y227)</f>
        <v/>
      </c>
      <c r="AA228" s="160">
        <f>'Datos_fuente'!AB228</f>
        <v/>
      </c>
      <c r="AB228" s="160">
        <f>'Datos_fuente'!AC228</f>
        <v/>
      </c>
      <c r="AC228" s="160">
        <f>IF('Datos_fuente'!AD228="","",LN('Datos_fuente'!AD228))</f>
        <v/>
      </c>
      <c r="AD228" s="160">
        <f>IF(OR(AC228="",AC227=""),"",AC228-AC227)</f>
        <v/>
      </c>
      <c r="AE228" s="160">
        <f>IF('Datos_fuente'!AE228="","",LN('Datos_fuente'!AE228))</f>
        <v/>
      </c>
      <c r="AF228" s="160">
        <f>IF(OR(AE228="",AE227=""),"",AE228-AE227)</f>
        <v/>
      </c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'Datos_fuente'!A229</f>
        <v/>
      </c>
      <c r="B229" s="160">
        <f>IF('Datos_fuente'!B229="","",LN('Datos_fuente'!B229))</f>
        <v/>
      </c>
      <c r="C229" s="160">
        <f>IF(OR(B229="",B228=""),"",B229-B228)</f>
        <v/>
      </c>
      <c r="D229" s="160">
        <f>IF('Datos_fuente'!C229="","",LN('Datos_fuente'!C229))</f>
        <v/>
      </c>
      <c r="E229" s="160">
        <f>IF(OR(D229="",D228=""),"",D229-D228)</f>
        <v/>
      </c>
      <c r="F229" s="160">
        <f>IF('Datos_fuente'!E229="","",LN('Datos_fuente'!E229))</f>
        <v/>
      </c>
      <c r="G229" s="160">
        <f>IF(OR(F229="",F228=""),"",F229-F228)</f>
        <v/>
      </c>
      <c r="H229" s="161">
        <f>'Datos_fuente'!H229</f>
        <v/>
      </c>
      <c r="I229" s="161">
        <f>IF(OR(H229="",H228=""),"",H229-H228)</f>
        <v/>
      </c>
      <c r="J229" s="161">
        <f>'Datos_fuente'!J229</f>
        <v/>
      </c>
      <c r="K229" s="161">
        <f>IF(OR(J229="",J228=""),"",J229-J228)</f>
        <v/>
      </c>
      <c r="L229" s="160">
        <f>IF('Datos_fuente'!K229="","",LN('Datos_fuente'!K229))</f>
        <v/>
      </c>
      <c r="M229" s="160">
        <f>IF(OR(L229="",L228=""),"",L229-L228)</f>
        <v/>
      </c>
      <c r="N229" s="160">
        <f>IF('Datos_fuente'!L229="","",LN('Datos_fuente'!L229))</f>
        <v/>
      </c>
      <c r="O229" s="160">
        <f>IF(OR(N229="",N228=""),"",N229-N228)</f>
        <v/>
      </c>
      <c r="P229" s="162">
        <f>'Datos_fuente'!M229</f>
        <v/>
      </c>
      <c r="Q229" s="160">
        <f>IF('Datos_fuente'!N229="","",LN('Datos_fuente'!N229))</f>
        <v/>
      </c>
      <c r="R229" s="160">
        <f>IF(OR(Q229="",Q228=""),"",Q229-Q228)</f>
        <v/>
      </c>
      <c r="S229" s="161">
        <f>'Datos_fuente'!P229</f>
        <v/>
      </c>
      <c r="T229" s="161">
        <f>IF(OR(S229="",S228=""),"",S229-S228)</f>
        <v/>
      </c>
      <c r="U229" s="160">
        <f>IF('Datos_fuente'!Q229="","",ASINH('Datos_fuente'!Q229/1000))</f>
        <v/>
      </c>
      <c r="V229" s="160">
        <f>IF(OR(U229="",U228=""),"",U229-U228)</f>
        <v/>
      </c>
      <c r="W229" s="160">
        <f>IF('Datos_fuente'!R229="","",ASINH('Datos_fuente'!R229/1000))</f>
        <v/>
      </c>
      <c r="X229" s="160">
        <f>IF(OR(W229="",W228=""),"",W229-W228)</f>
        <v/>
      </c>
      <c r="Y229" s="161">
        <f>'Datos_fuente'!W229</f>
        <v/>
      </c>
      <c r="Z229" s="161">
        <f>IF(OR(Y229="",Y228=""),"",Y229-Y228)</f>
        <v/>
      </c>
      <c r="AA229" s="160">
        <f>'Datos_fuente'!AB229</f>
        <v/>
      </c>
      <c r="AB229" s="160">
        <f>'Datos_fuente'!AC229</f>
        <v/>
      </c>
      <c r="AC229" s="160">
        <f>IF('Datos_fuente'!AD229="","",LN('Datos_fuente'!AD229))</f>
        <v/>
      </c>
      <c r="AD229" s="160">
        <f>IF(OR(AC229="",AC228=""),"",AC229-AC228)</f>
        <v/>
      </c>
      <c r="AE229" s="160">
        <f>IF('Datos_fuente'!AE229="","",LN('Datos_fuente'!AE229))</f>
        <v/>
      </c>
      <c r="AF229" s="160">
        <f>IF(OR(AE229="",AE228=""),"",AE229-AE228)</f>
        <v/>
      </c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'Datos_fuente'!A230</f>
        <v/>
      </c>
      <c r="B230" s="160">
        <f>IF('Datos_fuente'!B230="","",LN('Datos_fuente'!B230))</f>
        <v/>
      </c>
      <c r="C230" s="160">
        <f>IF(OR(B230="",B229=""),"",B230-B229)</f>
        <v/>
      </c>
      <c r="D230" s="160">
        <f>IF('Datos_fuente'!C230="","",LN('Datos_fuente'!C230))</f>
        <v/>
      </c>
      <c r="E230" s="160">
        <f>IF(OR(D230="",D229=""),"",D230-D229)</f>
        <v/>
      </c>
      <c r="F230" s="160">
        <f>IF('Datos_fuente'!E230="","",LN('Datos_fuente'!E230))</f>
        <v/>
      </c>
      <c r="G230" s="160">
        <f>IF(OR(F230="",F229=""),"",F230-F229)</f>
        <v/>
      </c>
      <c r="H230" s="161">
        <f>'Datos_fuente'!H230</f>
        <v/>
      </c>
      <c r="I230" s="161">
        <f>IF(OR(H230="",H229=""),"",H230-H229)</f>
        <v/>
      </c>
      <c r="J230" s="161">
        <f>'Datos_fuente'!J230</f>
        <v/>
      </c>
      <c r="K230" s="161">
        <f>IF(OR(J230="",J229=""),"",J230-J229)</f>
        <v/>
      </c>
      <c r="L230" s="160">
        <f>IF('Datos_fuente'!K230="","",LN('Datos_fuente'!K230))</f>
        <v/>
      </c>
      <c r="M230" s="160">
        <f>IF(OR(L230="",L229=""),"",L230-L229)</f>
        <v/>
      </c>
      <c r="N230" s="160">
        <f>IF('Datos_fuente'!L230="","",LN('Datos_fuente'!L230))</f>
        <v/>
      </c>
      <c r="O230" s="160">
        <f>IF(OR(N230="",N229=""),"",N230-N229)</f>
        <v/>
      </c>
      <c r="P230" s="162">
        <f>'Datos_fuente'!M230</f>
        <v/>
      </c>
      <c r="Q230" s="160">
        <f>IF('Datos_fuente'!N230="","",LN('Datos_fuente'!N230))</f>
        <v/>
      </c>
      <c r="R230" s="160">
        <f>IF(OR(Q230="",Q229=""),"",Q230-Q229)</f>
        <v/>
      </c>
      <c r="S230" s="161">
        <f>'Datos_fuente'!P230</f>
        <v/>
      </c>
      <c r="T230" s="161">
        <f>IF(OR(S230="",S229=""),"",S230-S229)</f>
        <v/>
      </c>
      <c r="U230" s="160">
        <f>IF('Datos_fuente'!Q230="","",ASINH('Datos_fuente'!Q230/1000))</f>
        <v/>
      </c>
      <c r="V230" s="160">
        <f>IF(OR(U230="",U229=""),"",U230-U229)</f>
        <v/>
      </c>
      <c r="W230" s="160">
        <f>IF('Datos_fuente'!R230="","",ASINH('Datos_fuente'!R230/1000))</f>
        <v/>
      </c>
      <c r="X230" s="160">
        <f>IF(OR(W230="",W229=""),"",W230-W229)</f>
        <v/>
      </c>
      <c r="Y230" s="161">
        <f>'Datos_fuente'!W230</f>
        <v/>
      </c>
      <c r="Z230" s="161">
        <f>IF(OR(Y230="",Y229=""),"",Y230-Y229)</f>
        <v/>
      </c>
      <c r="AA230" s="160">
        <f>'Datos_fuente'!AB230</f>
        <v/>
      </c>
      <c r="AB230" s="160">
        <f>'Datos_fuente'!AC230</f>
        <v/>
      </c>
      <c r="AC230" s="160">
        <f>IF('Datos_fuente'!AD230="","",LN('Datos_fuente'!AD230))</f>
        <v/>
      </c>
      <c r="AD230" s="160">
        <f>IF(OR(AC230="",AC229=""),"",AC230-AC229)</f>
        <v/>
      </c>
      <c r="AE230" s="160">
        <f>IF('Datos_fuente'!AE230="","",LN('Datos_fuente'!AE230))</f>
        <v/>
      </c>
      <c r="AF230" s="160">
        <f>IF(OR(AE230="",AE229=""),"",AE230-AE229)</f>
        <v/>
      </c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'Datos_fuente'!A231</f>
        <v/>
      </c>
      <c r="B231" s="160">
        <f>IF('Datos_fuente'!B231="","",LN('Datos_fuente'!B231))</f>
        <v/>
      </c>
      <c r="C231" s="160">
        <f>IF(OR(B231="",B230=""),"",B231-B230)</f>
        <v/>
      </c>
      <c r="D231" s="160">
        <f>IF('Datos_fuente'!C231="","",LN('Datos_fuente'!C231))</f>
        <v/>
      </c>
      <c r="E231" s="160">
        <f>IF(OR(D231="",D230=""),"",D231-D230)</f>
        <v/>
      </c>
      <c r="F231" s="160">
        <f>IF('Datos_fuente'!E231="","",LN('Datos_fuente'!E231))</f>
        <v/>
      </c>
      <c r="G231" s="160">
        <f>IF(OR(F231="",F230=""),"",F231-F230)</f>
        <v/>
      </c>
      <c r="H231" s="161">
        <f>'Datos_fuente'!H231</f>
        <v/>
      </c>
      <c r="I231" s="161">
        <f>IF(OR(H231="",H230=""),"",H231-H230)</f>
        <v/>
      </c>
      <c r="J231" s="161">
        <f>'Datos_fuente'!J231</f>
        <v/>
      </c>
      <c r="K231" s="161">
        <f>IF(OR(J231="",J230=""),"",J231-J230)</f>
        <v/>
      </c>
      <c r="L231" s="160">
        <f>IF('Datos_fuente'!K231="","",LN('Datos_fuente'!K231))</f>
        <v/>
      </c>
      <c r="M231" s="160">
        <f>IF(OR(L231="",L230=""),"",L231-L230)</f>
        <v/>
      </c>
      <c r="N231" s="160">
        <f>IF('Datos_fuente'!L231="","",LN('Datos_fuente'!L231))</f>
        <v/>
      </c>
      <c r="O231" s="160">
        <f>IF(OR(N231="",N230=""),"",N231-N230)</f>
        <v/>
      </c>
      <c r="P231" s="162">
        <f>'Datos_fuente'!M231</f>
        <v/>
      </c>
      <c r="Q231" s="160">
        <f>IF('Datos_fuente'!N231="","",LN('Datos_fuente'!N231))</f>
        <v/>
      </c>
      <c r="R231" s="160">
        <f>IF(OR(Q231="",Q230=""),"",Q231-Q230)</f>
        <v/>
      </c>
      <c r="S231" s="161">
        <f>'Datos_fuente'!P231</f>
        <v/>
      </c>
      <c r="T231" s="161">
        <f>IF(OR(S231="",S230=""),"",S231-S230)</f>
        <v/>
      </c>
      <c r="U231" s="160">
        <f>IF('Datos_fuente'!Q231="","",ASINH('Datos_fuente'!Q231/1000))</f>
        <v/>
      </c>
      <c r="V231" s="160">
        <f>IF(OR(U231="",U230=""),"",U231-U230)</f>
        <v/>
      </c>
      <c r="W231" s="160">
        <f>IF('Datos_fuente'!R231="","",ASINH('Datos_fuente'!R231/1000))</f>
        <v/>
      </c>
      <c r="X231" s="160">
        <f>IF(OR(W231="",W230=""),"",W231-W230)</f>
        <v/>
      </c>
      <c r="Y231" s="161">
        <f>'Datos_fuente'!W231</f>
        <v/>
      </c>
      <c r="Z231" s="161">
        <f>IF(OR(Y231="",Y230=""),"",Y231-Y230)</f>
        <v/>
      </c>
      <c r="AA231" s="160">
        <f>'Datos_fuente'!AB231</f>
        <v/>
      </c>
      <c r="AB231" s="160">
        <f>'Datos_fuente'!AC231</f>
        <v/>
      </c>
      <c r="AC231" s="160">
        <f>IF('Datos_fuente'!AD231="","",LN('Datos_fuente'!AD231))</f>
        <v/>
      </c>
      <c r="AD231" s="160">
        <f>IF(OR(AC231="",AC230=""),"",AC231-AC230)</f>
        <v/>
      </c>
      <c r="AE231" s="160">
        <f>IF('Datos_fuente'!AE231="","",LN('Datos_fuente'!AE231))</f>
        <v/>
      </c>
      <c r="AF231" s="160">
        <f>IF(OR(AE231="",AE230=""),"",AE231-AE230)</f>
        <v/>
      </c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'Datos_fuente'!A232</f>
        <v/>
      </c>
      <c r="B232" s="160">
        <f>IF('Datos_fuente'!B232="","",LN('Datos_fuente'!B232))</f>
        <v/>
      </c>
      <c r="C232" s="160">
        <f>IF(OR(B232="",B231=""),"",B232-B231)</f>
        <v/>
      </c>
      <c r="D232" s="160">
        <f>IF('Datos_fuente'!C232="","",LN('Datos_fuente'!C232))</f>
        <v/>
      </c>
      <c r="E232" s="160">
        <f>IF(OR(D232="",D231=""),"",D232-D231)</f>
        <v/>
      </c>
      <c r="F232" s="160">
        <f>IF('Datos_fuente'!E232="","",LN('Datos_fuente'!E232))</f>
        <v/>
      </c>
      <c r="G232" s="160">
        <f>IF(OR(F232="",F231=""),"",F232-F231)</f>
        <v/>
      </c>
      <c r="H232" s="161">
        <f>'Datos_fuente'!H232</f>
        <v/>
      </c>
      <c r="I232" s="161">
        <f>IF(OR(H232="",H231=""),"",H232-H231)</f>
        <v/>
      </c>
      <c r="J232" s="161">
        <f>'Datos_fuente'!J232</f>
        <v/>
      </c>
      <c r="K232" s="161">
        <f>IF(OR(J232="",J231=""),"",J232-J231)</f>
        <v/>
      </c>
      <c r="L232" s="160">
        <f>IF('Datos_fuente'!K232="","",LN('Datos_fuente'!K232))</f>
        <v/>
      </c>
      <c r="M232" s="160">
        <f>IF(OR(L232="",L231=""),"",L232-L231)</f>
        <v/>
      </c>
      <c r="N232" s="160">
        <f>IF('Datos_fuente'!L232="","",LN('Datos_fuente'!L232))</f>
        <v/>
      </c>
      <c r="O232" s="160">
        <f>IF(OR(N232="",N231=""),"",N232-N231)</f>
        <v/>
      </c>
      <c r="P232" s="162">
        <f>'Datos_fuente'!M232</f>
        <v/>
      </c>
      <c r="Q232" s="160">
        <f>IF('Datos_fuente'!N232="","",LN('Datos_fuente'!N232))</f>
        <v/>
      </c>
      <c r="R232" s="160">
        <f>IF(OR(Q232="",Q231=""),"",Q232-Q231)</f>
        <v/>
      </c>
      <c r="S232" s="161">
        <f>'Datos_fuente'!P232</f>
        <v/>
      </c>
      <c r="T232" s="161">
        <f>IF(OR(S232="",S231=""),"",S232-S231)</f>
        <v/>
      </c>
      <c r="U232" s="160">
        <f>IF('Datos_fuente'!Q232="","",ASINH('Datos_fuente'!Q232/1000))</f>
        <v/>
      </c>
      <c r="V232" s="160">
        <f>IF(OR(U232="",U231=""),"",U232-U231)</f>
        <v/>
      </c>
      <c r="W232" s="160">
        <f>IF('Datos_fuente'!R232="","",ASINH('Datos_fuente'!R232/1000))</f>
        <v/>
      </c>
      <c r="X232" s="160">
        <f>IF(OR(W232="",W231=""),"",W232-W231)</f>
        <v/>
      </c>
      <c r="Y232" s="161">
        <f>'Datos_fuente'!W232</f>
        <v/>
      </c>
      <c r="Z232" s="161">
        <f>IF(OR(Y232="",Y231=""),"",Y232-Y231)</f>
        <v/>
      </c>
      <c r="AA232" s="160">
        <f>'Datos_fuente'!AB232</f>
        <v/>
      </c>
      <c r="AB232" s="160">
        <f>'Datos_fuente'!AC232</f>
        <v/>
      </c>
      <c r="AC232" s="160">
        <f>IF('Datos_fuente'!AD232="","",LN('Datos_fuente'!AD232))</f>
        <v/>
      </c>
      <c r="AD232" s="160">
        <f>IF(OR(AC232="",AC231=""),"",AC232-AC231)</f>
        <v/>
      </c>
      <c r="AE232" s="160">
        <f>IF('Datos_fuente'!AE232="","",LN('Datos_fuente'!AE232))</f>
        <v/>
      </c>
      <c r="AF232" s="160">
        <f>IF(OR(AE232="",AE231=""),"",AE232-AE231)</f>
        <v/>
      </c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'Datos_fuente'!A233</f>
        <v/>
      </c>
      <c r="B233" s="160">
        <f>IF('Datos_fuente'!B233="","",LN('Datos_fuente'!B233))</f>
        <v/>
      </c>
      <c r="C233" s="160">
        <f>IF(OR(B233="",B232=""),"",B233-B232)</f>
        <v/>
      </c>
      <c r="D233" s="160">
        <f>IF('Datos_fuente'!C233="","",LN('Datos_fuente'!C233))</f>
        <v/>
      </c>
      <c r="E233" s="160">
        <f>IF(OR(D233="",D232=""),"",D233-D232)</f>
        <v/>
      </c>
      <c r="F233" s="160">
        <f>IF('Datos_fuente'!E233="","",LN('Datos_fuente'!E233))</f>
        <v/>
      </c>
      <c r="G233" s="160">
        <f>IF(OR(F233="",F232=""),"",F233-F232)</f>
        <v/>
      </c>
      <c r="H233" s="161">
        <f>'Datos_fuente'!H233</f>
        <v/>
      </c>
      <c r="I233" s="161">
        <f>IF(OR(H233="",H232=""),"",H233-H232)</f>
        <v/>
      </c>
      <c r="J233" s="161">
        <f>'Datos_fuente'!J233</f>
        <v/>
      </c>
      <c r="K233" s="161">
        <f>IF(OR(J233="",J232=""),"",J233-J232)</f>
        <v/>
      </c>
      <c r="L233" s="160">
        <f>IF('Datos_fuente'!K233="","",LN('Datos_fuente'!K233))</f>
        <v/>
      </c>
      <c r="M233" s="160">
        <f>IF(OR(L233="",L232=""),"",L233-L232)</f>
        <v/>
      </c>
      <c r="N233" s="160">
        <f>IF('Datos_fuente'!L233="","",LN('Datos_fuente'!L233))</f>
        <v/>
      </c>
      <c r="O233" s="160">
        <f>IF(OR(N233="",N232=""),"",N233-N232)</f>
        <v/>
      </c>
      <c r="P233" s="162">
        <f>'Datos_fuente'!M233</f>
        <v/>
      </c>
      <c r="Q233" s="160">
        <f>IF('Datos_fuente'!N233="","",LN('Datos_fuente'!N233))</f>
        <v/>
      </c>
      <c r="R233" s="160">
        <f>IF(OR(Q233="",Q232=""),"",Q233-Q232)</f>
        <v/>
      </c>
      <c r="S233" s="161">
        <f>'Datos_fuente'!P233</f>
        <v/>
      </c>
      <c r="T233" s="161">
        <f>IF(OR(S233="",S232=""),"",S233-S232)</f>
        <v/>
      </c>
      <c r="U233" s="160">
        <f>IF('Datos_fuente'!Q233="","",ASINH('Datos_fuente'!Q233/1000))</f>
        <v/>
      </c>
      <c r="V233" s="160">
        <f>IF(OR(U233="",U232=""),"",U233-U232)</f>
        <v/>
      </c>
      <c r="W233" s="160">
        <f>IF('Datos_fuente'!R233="","",ASINH('Datos_fuente'!R233/1000))</f>
        <v/>
      </c>
      <c r="X233" s="160">
        <f>IF(OR(W233="",W232=""),"",W233-W232)</f>
        <v/>
      </c>
      <c r="Y233" s="161">
        <f>'Datos_fuente'!W233</f>
        <v/>
      </c>
      <c r="Z233" s="161">
        <f>IF(OR(Y233="",Y232=""),"",Y233-Y232)</f>
        <v/>
      </c>
      <c r="AA233" s="160">
        <f>'Datos_fuente'!AB233</f>
        <v/>
      </c>
      <c r="AB233" s="160">
        <f>'Datos_fuente'!AC233</f>
        <v/>
      </c>
      <c r="AC233" s="160">
        <f>IF('Datos_fuente'!AD233="","",LN('Datos_fuente'!AD233))</f>
        <v/>
      </c>
      <c r="AD233" s="160">
        <f>IF(OR(AC233="",AC232=""),"",AC233-AC232)</f>
        <v/>
      </c>
      <c r="AE233" s="160">
        <f>IF('Datos_fuente'!AE233="","",LN('Datos_fuente'!AE233))</f>
        <v/>
      </c>
      <c r="AF233" s="160">
        <f>IF(OR(AE233="",AE232=""),"",AE233-AE232)</f>
        <v/>
      </c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'Datos_fuente'!A234</f>
        <v/>
      </c>
      <c r="B234" s="160">
        <f>IF('Datos_fuente'!B234="","",LN('Datos_fuente'!B234))</f>
        <v/>
      </c>
      <c r="C234" s="160">
        <f>IF(OR(B234="",B233=""),"",B234-B233)</f>
        <v/>
      </c>
      <c r="D234" s="160">
        <f>IF('Datos_fuente'!C234="","",LN('Datos_fuente'!C234))</f>
        <v/>
      </c>
      <c r="E234" s="160">
        <f>IF(OR(D234="",D233=""),"",D234-D233)</f>
        <v/>
      </c>
      <c r="F234" s="160">
        <f>IF('Datos_fuente'!E234="","",LN('Datos_fuente'!E234))</f>
        <v/>
      </c>
      <c r="G234" s="160">
        <f>IF(OR(F234="",F233=""),"",F234-F233)</f>
        <v/>
      </c>
      <c r="H234" s="161">
        <f>'Datos_fuente'!H234</f>
        <v/>
      </c>
      <c r="I234" s="161">
        <f>IF(OR(H234="",H233=""),"",H234-H233)</f>
        <v/>
      </c>
      <c r="J234" s="161">
        <f>'Datos_fuente'!J234</f>
        <v/>
      </c>
      <c r="K234" s="161">
        <f>IF(OR(J234="",J233=""),"",J234-J233)</f>
        <v/>
      </c>
      <c r="L234" s="160">
        <f>IF('Datos_fuente'!K234="","",LN('Datos_fuente'!K234))</f>
        <v/>
      </c>
      <c r="M234" s="160">
        <f>IF(OR(L234="",L233=""),"",L234-L233)</f>
        <v/>
      </c>
      <c r="N234" s="160">
        <f>IF('Datos_fuente'!L234="","",LN('Datos_fuente'!L234))</f>
        <v/>
      </c>
      <c r="O234" s="160">
        <f>IF(OR(N234="",N233=""),"",N234-N233)</f>
        <v/>
      </c>
      <c r="P234" s="162">
        <f>'Datos_fuente'!M234</f>
        <v/>
      </c>
      <c r="Q234" s="160">
        <f>IF('Datos_fuente'!N234="","",LN('Datos_fuente'!N234))</f>
        <v/>
      </c>
      <c r="R234" s="160">
        <f>IF(OR(Q234="",Q233=""),"",Q234-Q233)</f>
        <v/>
      </c>
      <c r="S234" s="161">
        <f>'Datos_fuente'!P234</f>
        <v/>
      </c>
      <c r="T234" s="161">
        <f>IF(OR(S234="",S233=""),"",S234-S233)</f>
        <v/>
      </c>
      <c r="U234" s="160">
        <f>IF('Datos_fuente'!Q234="","",ASINH('Datos_fuente'!Q234/1000))</f>
        <v/>
      </c>
      <c r="V234" s="160">
        <f>IF(OR(U234="",U233=""),"",U234-U233)</f>
        <v/>
      </c>
      <c r="W234" s="160">
        <f>IF('Datos_fuente'!R234="","",ASINH('Datos_fuente'!R234/1000))</f>
        <v/>
      </c>
      <c r="X234" s="160">
        <f>IF(OR(W234="",W233=""),"",W234-W233)</f>
        <v/>
      </c>
      <c r="Y234" s="161">
        <f>'Datos_fuente'!W234</f>
        <v/>
      </c>
      <c r="Z234" s="161">
        <f>IF(OR(Y234="",Y233=""),"",Y234-Y233)</f>
        <v/>
      </c>
      <c r="AA234" s="160">
        <f>'Datos_fuente'!AB234</f>
        <v/>
      </c>
      <c r="AB234" s="160">
        <f>'Datos_fuente'!AC234</f>
        <v/>
      </c>
      <c r="AC234" s="160">
        <f>IF('Datos_fuente'!AD234="","",LN('Datos_fuente'!AD234))</f>
        <v/>
      </c>
      <c r="AD234" s="160">
        <f>IF(OR(AC234="",AC233=""),"",AC234-AC233)</f>
        <v/>
      </c>
      <c r="AE234" s="160">
        <f>IF('Datos_fuente'!AE234="","",LN('Datos_fuente'!AE234))</f>
        <v/>
      </c>
      <c r="AF234" s="160">
        <f>IF(OR(AE234="",AE233=""),"",AE234-AE233)</f>
        <v/>
      </c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'Datos_fuente'!A235</f>
        <v/>
      </c>
      <c r="B235" s="160">
        <f>IF('Datos_fuente'!B235="","",LN('Datos_fuente'!B235))</f>
        <v/>
      </c>
      <c r="C235" s="160">
        <f>IF(OR(B235="",B234=""),"",B235-B234)</f>
        <v/>
      </c>
      <c r="D235" s="160">
        <f>IF('Datos_fuente'!C235="","",LN('Datos_fuente'!C235))</f>
        <v/>
      </c>
      <c r="E235" s="160">
        <f>IF(OR(D235="",D234=""),"",D235-D234)</f>
        <v/>
      </c>
      <c r="F235" s="160">
        <f>IF('Datos_fuente'!E235="","",LN('Datos_fuente'!E235))</f>
        <v/>
      </c>
      <c r="G235" s="160">
        <f>IF(OR(F235="",F234=""),"",F235-F234)</f>
        <v/>
      </c>
      <c r="H235" s="161">
        <f>'Datos_fuente'!H235</f>
        <v/>
      </c>
      <c r="I235" s="161">
        <f>IF(OR(H235="",H234=""),"",H235-H234)</f>
        <v/>
      </c>
      <c r="J235" s="161">
        <f>'Datos_fuente'!J235</f>
        <v/>
      </c>
      <c r="K235" s="161">
        <f>IF(OR(J235="",J234=""),"",J235-J234)</f>
        <v/>
      </c>
      <c r="L235" s="160">
        <f>IF('Datos_fuente'!K235="","",LN('Datos_fuente'!K235))</f>
        <v/>
      </c>
      <c r="M235" s="160">
        <f>IF(OR(L235="",L234=""),"",L235-L234)</f>
        <v/>
      </c>
      <c r="N235" s="160">
        <f>IF('Datos_fuente'!L235="","",LN('Datos_fuente'!L235))</f>
        <v/>
      </c>
      <c r="O235" s="160">
        <f>IF(OR(N235="",N234=""),"",N235-N234)</f>
        <v/>
      </c>
      <c r="P235" s="162">
        <f>'Datos_fuente'!M235</f>
        <v/>
      </c>
      <c r="Q235" s="160">
        <f>IF('Datos_fuente'!N235="","",LN('Datos_fuente'!N235))</f>
        <v/>
      </c>
      <c r="R235" s="160">
        <f>IF(OR(Q235="",Q234=""),"",Q235-Q234)</f>
        <v/>
      </c>
      <c r="S235" s="161">
        <f>'Datos_fuente'!P235</f>
        <v/>
      </c>
      <c r="T235" s="161">
        <f>IF(OR(S235="",S234=""),"",S235-S234)</f>
        <v/>
      </c>
      <c r="U235" s="160">
        <f>IF('Datos_fuente'!Q235="","",ASINH('Datos_fuente'!Q235/1000))</f>
        <v/>
      </c>
      <c r="V235" s="160">
        <f>IF(OR(U235="",U234=""),"",U235-U234)</f>
        <v/>
      </c>
      <c r="W235" s="160">
        <f>IF('Datos_fuente'!R235="","",ASINH('Datos_fuente'!R235/1000))</f>
        <v/>
      </c>
      <c r="X235" s="160">
        <f>IF(OR(W235="",W234=""),"",W235-W234)</f>
        <v/>
      </c>
      <c r="Y235" s="161">
        <f>'Datos_fuente'!W235</f>
        <v/>
      </c>
      <c r="Z235" s="161">
        <f>IF(OR(Y235="",Y234=""),"",Y235-Y234)</f>
        <v/>
      </c>
      <c r="AA235" s="160">
        <f>'Datos_fuente'!AB235</f>
        <v/>
      </c>
      <c r="AB235" s="160">
        <f>'Datos_fuente'!AC235</f>
        <v/>
      </c>
      <c r="AC235" s="160">
        <f>IF('Datos_fuente'!AD235="","",LN('Datos_fuente'!AD235))</f>
        <v/>
      </c>
      <c r="AD235" s="160">
        <f>IF(OR(AC235="",AC234=""),"",AC235-AC234)</f>
        <v/>
      </c>
      <c r="AE235" s="160">
        <f>IF('Datos_fuente'!AE235="","",LN('Datos_fuente'!AE235))</f>
        <v/>
      </c>
      <c r="AF235" s="160">
        <f>IF(OR(AE235="",AE234=""),"",AE235-AE234)</f>
        <v/>
      </c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'Datos_fuente'!A236</f>
        <v/>
      </c>
      <c r="B236" s="160">
        <f>IF('Datos_fuente'!B236="","",LN('Datos_fuente'!B236))</f>
        <v/>
      </c>
      <c r="C236" s="160">
        <f>IF(OR(B236="",B235=""),"",B236-B235)</f>
        <v/>
      </c>
      <c r="D236" s="160">
        <f>IF('Datos_fuente'!C236="","",LN('Datos_fuente'!C236))</f>
        <v/>
      </c>
      <c r="E236" s="160">
        <f>IF(OR(D236="",D235=""),"",D236-D235)</f>
        <v/>
      </c>
      <c r="F236" s="160">
        <f>IF('Datos_fuente'!E236="","",LN('Datos_fuente'!E236))</f>
        <v/>
      </c>
      <c r="G236" s="160">
        <f>IF(OR(F236="",F235=""),"",F236-F235)</f>
        <v/>
      </c>
      <c r="H236" s="161">
        <f>'Datos_fuente'!H236</f>
        <v/>
      </c>
      <c r="I236" s="161">
        <f>IF(OR(H236="",H235=""),"",H236-H235)</f>
        <v/>
      </c>
      <c r="J236" s="161">
        <f>'Datos_fuente'!J236</f>
        <v/>
      </c>
      <c r="K236" s="161">
        <f>IF(OR(J236="",J235=""),"",J236-J235)</f>
        <v/>
      </c>
      <c r="L236" s="160">
        <f>IF('Datos_fuente'!K236="","",LN('Datos_fuente'!K236))</f>
        <v/>
      </c>
      <c r="M236" s="160">
        <f>IF(OR(L236="",L235=""),"",L236-L235)</f>
        <v/>
      </c>
      <c r="N236" s="160">
        <f>IF('Datos_fuente'!L236="","",LN('Datos_fuente'!L236))</f>
        <v/>
      </c>
      <c r="O236" s="160">
        <f>IF(OR(N236="",N235=""),"",N236-N235)</f>
        <v/>
      </c>
      <c r="P236" s="162">
        <f>'Datos_fuente'!M236</f>
        <v/>
      </c>
      <c r="Q236" s="160">
        <f>IF('Datos_fuente'!N236="","",LN('Datos_fuente'!N236))</f>
        <v/>
      </c>
      <c r="R236" s="160">
        <f>IF(OR(Q236="",Q235=""),"",Q236-Q235)</f>
        <v/>
      </c>
      <c r="S236" s="161">
        <f>'Datos_fuente'!P236</f>
        <v/>
      </c>
      <c r="T236" s="161">
        <f>IF(OR(S236="",S235=""),"",S236-S235)</f>
        <v/>
      </c>
      <c r="U236" s="160">
        <f>IF('Datos_fuente'!Q236="","",ASINH('Datos_fuente'!Q236/1000))</f>
        <v/>
      </c>
      <c r="V236" s="160">
        <f>IF(OR(U236="",U235=""),"",U236-U235)</f>
        <v/>
      </c>
      <c r="W236" s="160">
        <f>IF('Datos_fuente'!R236="","",ASINH('Datos_fuente'!R236/1000))</f>
        <v/>
      </c>
      <c r="X236" s="160">
        <f>IF(OR(W236="",W235=""),"",W236-W235)</f>
        <v/>
      </c>
      <c r="Y236" s="161">
        <f>'Datos_fuente'!W236</f>
        <v/>
      </c>
      <c r="Z236" s="161">
        <f>IF(OR(Y236="",Y235=""),"",Y236-Y235)</f>
        <v/>
      </c>
      <c r="AA236" s="160">
        <f>'Datos_fuente'!AB236</f>
        <v/>
      </c>
      <c r="AB236" s="160">
        <f>'Datos_fuente'!AC236</f>
        <v/>
      </c>
      <c r="AC236" s="160">
        <f>IF('Datos_fuente'!AD236="","",LN('Datos_fuente'!AD236))</f>
        <v/>
      </c>
      <c r="AD236" s="160">
        <f>IF(OR(AC236="",AC235=""),"",AC236-AC235)</f>
        <v/>
      </c>
      <c r="AE236" s="160">
        <f>IF('Datos_fuente'!AE236="","",LN('Datos_fuente'!AE236))</f>
        <v/>
      </c>
      <c r="AF236" s="160">
        <f>IF(OR(AE236="",AE235=""),"",AE236-AE235)</f>
        <v/>
      </c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'Datos_fuente'!A237</f>
        <v/>
      </c>
      <c r="B237" s="160">
        <f>IF('Datos_fuente'!B237="","",LN('Datos_fuente'!B237))</f>
        <v/>
      </c>
      <c r="C237" s="160">
        <f>IF(OR(B237="",B236=""),"",B237-B236)</f>
        <v/>
      </c>
      <c r="D237" s="160">
        <f>IF('Datos_fuente'!C237="","",LN('Datos_fuente'!C237))</f>
        <v/>
      </c>
      <c r="E237" s="160">
        <f>IF(OR(D237="",D236=""),"",D237-D236)</f>
        <v/>
      </c>
      <c r="F237" s="160">
        <f>IF('Datos_fuente'!E237="","",LN('Datos_fuente'!E237))</f>
        <v/>
      </c>
      <c r="G237" s="160">
        <f>IF(OR(F237="",F236=""),"",F237-F236)</f>
        <v/>
      </c>
      <c r="H237" s="161">
        <f>'Datos_fuente'!H237</f>
        <v/>
      </c>
      <c r="I237" s="161">
        <f>IF(OR(H237="",H236=""),"",H237-H236)</f>
        <v/>
      </c>
      <c r="J237" s="161">
        <f>'Datos_fuente'!J237</f>
        <v/>
      </c>
      <c r="K237" s="161">
        <f>IF(OR(J237="",J236=""),"",J237-J236)</f>
        <v/>
      </c>
      <c r="L237" s="160">
        <f>IF('Datos_fuente'!K237="","",LN('Datos_fuente'!K237))</f>
        <v/>
      </c>
      <c r="M237" s="160">
        <f>IF(OR(L237="",L236=""),"",L237-L236)</f>
        <v/>
      </c>
      <c r="N237" s="160">
        <f>IF('Datos_fuente'!L237="","",LN('Datos_fuente'!L237))</f>
        <v/>
      </c>
      <c r="O237" s="160">
        <f>IF(OR(N237="",N236=""),"",N237-N236)</f>
        <v/>
      </c>
      <c r="P237" s="162">
        <f>'Datos_fuente'!M237</f>
        <v/>
      </c>
      <c r="Q237" s="160">
        <f>IF('Datos_fuente'!N237="","",LN('Datos_fuente'!N237))</f>
        <v/>
      </c>
      <c r="R237" s="160">
        <f>IF(OR(Q237="",Q236=""),"",Q237-Q236)</f>
        <v/>
      </c>
      <c r="S237" s="161">
        <f>'Datos_fuente'!P237</f>
        <v/>
      </c>
      <c r="T237" s="161">
        <f>IF(OR(S237="",S236=""),"",S237-S236)</f>
        <v/>
      </c>
      <c r="U237" s="160">
        <f>IF('Datos_fuente'!Q237="","",ASINH('Datos_fuente'!Q237/1000))</f>
        <v/>
      </c>
      <c r="V237" s="160">
        <f>IF(OR(U237="",U236=""),"",U237-U236)</f>
        <v/>
      </c>
      <c r="W237" s="160">
        <f>IF('Datos_fuente'!R237="","",ASINH('Datos_fuente'!R237/1000))</f>
        <v/>
      </c>
      <c r="X237" s="160">
        <f>IF(OR(W237="",W236=""),"",W237-W236)</f>
        <v/>
      </c>
      <c r="Y237" s="161">
        <f>'Datos_fuente'!W237</f>
        <v/>
      </c>
      <c r="Z237" s="161">
        <f>IF(OR(Y237="",Y236=""),"",Y237-Y236)</f>
        <v/>
      </c>
      <c r="AA237" s="160">
        <f>'Datos_fuente'!AB237</f>
        <v/>
      </c>
      <c r="AB237" s="160">
        <f>'Datos_fuente'!AC237</f>
        <v/>
      </c>
      <c r="AC237" s="160">
        <f>IF('Datos_fuente'!AD237="","",LN('Datos_fuente'!AD237))</f>
        <v/>
      </c>
      <c r="AD237" s="160">
        <f>IF(OR(AC237="",AC236=""),"",AC237-AC236)</f>
        <v/>
      </c>
      <c r="AE237" s="160">
        <f>IF('Datos_fuente'!AE237="","",LN('Datos_fuente'!AE237))</f>
        <v/>
      </c>
      <c r="AF237" s="160">
        <f>IF(OR(AE237="",AE236=""),"",AE237-AE236)</f>
        <v/>
      </c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'Datos_fuente'!A238</f>
        <v/>
      </c>
      <c r="B238" s="160">
        <f>IF('Datos_fuente'!B238="","",LN('Datos_fuente'!B238))</f>
        <v/>
      </c>
      <c r="C238" s="160">
        <f>IF(OR(B238="",B237=""),"",B238-B237)</f>
        <v/>
      </c>
      <c r="D238" s="160">
        <f>IF('Datos_fuente'!C238="","",LN('Datos_fuente'!C238))</f>
        <v/>
      </c>
      <c r="E238" s="160">
        <f>IF(OR(D238="",D237=""),"",D238-D237)</f>
        <v/>
      </c>
      <c r="F238" s="160">
        <f>IF('Datos_fuente'!E238="","",LN('Datos_fuente'!E238))</f>
        <v/>
      </c>
      <c r="G238" s="160">
        <f>IF(OR(F238="",F237=""),"",F238-F237)</f>
        <v/>
      </c>
      <c r="H238" s="161">
        <f>'Datos_fuente'!H238</f>
        <v/>
      </c>
      <c r="I238" s="161">
        <f>IF(OR(H238="",H237=""),"",H238-H237)</f>
        <v/>
      </c>
      <c r="J238" s="161">
        <f>'Datos_fuente'!J238</f>
        <v/>
      </c>
      <c r="K238" s="161">
        <f>IF(OR(J238="",J237=""),"",J238-J237)</f>
        <v/>
      </c>
      <c r="L238" s="160">
        <f>IF('Datos_fuente'!K238="","",LN('Datos_fuente'!K238))</f>
        <v/>
      </c>
      <c r="M238" s="160">
        <f>IF(OR(L238="",L237=""),"",L238-L237)</f>
        <v/>
      </c>
      <c r="N238" s="160">
        <f>IF('Datos_fuente'!L238="","",LN('Datos_fuente'!L238))</f>
        <v/>
      </c>
      <c r="O238" s="160">
        <f>IF(OR(N238="",N237=""),"",N238-N237)</f>
        <v/>
      </c>
      <c r="P238" s="162">
        <f>'Datos_fuente'!M238</f>
        <v/>
      </c>
      <c r="Q238" s="160">
        <f>IF('Datos_fuente'!N238="","",LN('Datos_fuente'!N238))</f>
        <v/>
      </c>
      <c r="R238" s="160">
        <f>IF(OR(Q238="",Q237=""),"",Q238-Q237)</f>
        <v/>
      </c>
      <c r="S238" s="161">
        <f>'Datos_fuente'!P238</f>
        <v/>
      </c>
      <c r="T238" s="161">
        <f>IF(OR(S238="",S237=""),"",S238-S237)</f>
        <v/>
      </c>
      <c r="U238" s="160">
        <f>IF('Datos_fuente'!Q238="","",ASINH('Datos_fuente'!Q238/1000))</f>
        <v/>
      </c>
      <c r="V238" s="160">
        <f>IF(OR(U238="",U237=""),"",U238-U237)</f>
        <v/>
      </c>
      <c r="W238" s="160">
        <f>IF('Datos_fuente'!R238="","",ASINH('Datos_fuente'!R238/1000))</f>
        <v/>
      </c>
      <c r="X238" s="160">
        <f>IF(OR(W238="",W237=""),"",W238-W237)</f>
        <v/>
      </c>
      <c r="Y238" s="161">
        <f>'Datos_fuente'!W238</f>
        <v/>
      </c>
      <c r="Z238" s="161">
        <f>IF(OR(Y238="",Y237=""),"",Y238-Y237)</f>
        <v/>
      </c>
      <c r="AA238" s="160">
        <f>'Datos_fuente'!AB238</f>
        <v/>
      </c>
      <c r="AB238" s="160">
        <f>'Datos_fuente'!AC238</f>
        <v/>
      </c>
      <c r="AC238" s="160">
        <f>IF('Datos_fuente'!AD238="","",LN('Datos_fuente'!AD238))</f>
        <v/>
      </c>
      <c r="AD238" s="160">
        <f>IF(OR(AC238="",AC237=""),"",AC238-AC237)</f>
        <v/>
      </c>
      <c r="AE238" s="160">
        <f>IF('Datos_fuente'!AE238="","",LN('Datos_fuente'!AE238))</f>
        <v/>
      </c>
      <c r="AF238" s="160">
        <f>IF(OR(AE238="",AE237=""),"",AE238-AE237)</f>
        <v/>
      </c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'Datos_fuente'!A239</f>
        <v/>
      </c>
      <c r="B239" s="160">
        <f>IF('Datos_fuente'!B239="","",LN('Datos_fuente'!B239))</f>
        <v/>
      </c>
      <c r="C239" s="160">
        <f>IF(OR(B239="",B238=""),"",B239-B238)</f>
        <v/>
      </c>
      <c r="D239" s="160">
        <f>IF('Datos_fuente'!C239="","",LN('Datos_fuente'!C239))</f>
        <v/>
      </c>
      <c r="E239" s="160">
        <f>IF(OR(D239="",D238=""),"",D239-D238)</f>
        <v/>
      </c>
      <c r="F239" s="160">
        <f>IF('Datos_fuente'!E239="","",LN('Datos_fuente'!E239))</f>
        <v/>
      </c>
      <c r="G239" s="160">
        <f>IF(OR(F239="",F238=""),"",F239-F238)</f>
        <v/>
      </c>
      <c r="H239" s="161">
        <f>'Datos_fuente'!H239</f>
        <v/>
      </c>
      <c r="I239" s="161">
        <f>IF(OR(H239="",H238=""),"",H239-H238)</f>
        <v/>
      </c>
      <c r="J239" s="161">
        <f>'Datos_fuente'!J239</f>
        <v/>
      </c>
      <c r="K239" s="161">
        <f>IF(OR(J239="",J238=""),"",J239-J238)</f>
        <v/>
      </c>
      <c r="L239" s="160">
        <f>IF('Datos_fuente'!K239="","",LN('Datos_fuente'!K239))</f>
        <v/>
      </c>
      <c r="M239" s="160">
        <f>IF(OR(L239="",L238=""),"",L239-L238)</f>
        <v/>
      </c>
      <c r="N239" s="160">
        <f>IF('Datos_fuente'!L239="","",LN('Datos_fuente'!L239))</f>
        <v/>
      </c>
      <c r="O239" s="160">
        <f>IF(OR(N239="",N238=""),"",N239-N238)</f>
        <v/>
      </c>
      <c r="P239" s="162">
        <f>'Datos_fuente'!M239</f>
        <v/>
      </c>
      <c r="Q239" s="160">
        <f>IF('Datos_fuente'!N239="","",LN('Datos_fuente'!N239))</f>
        <v/>
      </c>
      <c r="R239" s="160">
        <f>IF(OR(Q239="",Q238=""),"",Q239-Q238)</f>
        <v/>
      </c>
      <c r="S239" s="161">
        <f>'Datos_fuente'!P239</f>
        <v/>
      </c>
      <c r="T239" s="161">
        <f>IF(OR(S239="",S238=""),"",S239-S238)</f>
        <v/>
      </c>
      <c r="U239" s="160">
        <f>IF('Datos_fuente'!Q239="","",ASINH('Datos_fuente'!Q239/1000))</f>
        <v/>
      </c>
      <c r="V239" s="160">
        <f>IF(OR(U239="",U238=""),"",U239-U238)</f>
        <v/>
      </c>
      <c r="W239" s="160">
        <f>IF('Datos_fuente'!R239="","",ASINH('Datos_fuente'!R239/1000))</f>
        <v/>
      </c>
      <c r="X239" s="160">
        <f>IF(OR(W239="",W238=""),"",W239-W238)</f>
        <v/>
      </c>
      <c r="Y239" s="161">
        <f>'Datos_fuente'!W239</f>
        <v/>
      </c>
      <c r="Z239" s="161">
        <f>IF(OR(Y239="",Y238=""),"",Y239-Y238)</f>
        <v/>
      </c>
      <c r="AA239" s="160">
        <f>'Datos_fuente'!AB239</f>
        <v/>
      </c>
      <c r="AB239" s="160">
        <f>'Datos_fuente'!AC239</f>
        <v/>
      </c>
      <c r="AC239" s="160">
        <f>IF('Datos_fuente'!AD239="","",LN('Datos_fuente'!AD239))</f>
        <v/>
      </c>
      <c r="AD239" s="160">
        <f>IF(OR(AC239="",AC238=""),"",AC239-AC238)</f>
        <v/>
      </c>
      <c r="AE239" s="160">
        <f>IF('Datos_fuente'!AE239="","",LN('Datos_fuente'!AE239))</f>
        <v/>
      </c>
      <c r="AF239" s="160">
        <f>IF(OR(AE239="",AE238=""),"",AE239-AE238)</f>
        <v/>
      </c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'Datos_fuente'!A240</f>
        <v/>
      </c>
      <c r="B240" s="160">
        <f>IF('Datos_fuente'!B240="","",LN('Datos_fuente'!B240))</f>
        <v/>
      </c>
      <c r="C240" s="160">
        <f>IF(OR(B240="",B239=""),"",B240-B239)</f>
        <v/>
      </c>
      <c r="D240" s="160">
        <f>IF('Datos_fuente'!C240="","",LN('Datos_fuente'!C240))</f>
        <v/>
      </c>
      <c r="E240" s="160">
        <f>IF(OR(D240="",D239=""),"",D240-D239)</f>
        <v/>
      </c>
      <c r="F240" s="160">
        <f>IF('Datos_fuente'!E240="","",LN('Datos_fuente'!E240))</f>
        <v/>
      </c>
      <c r="G240" s="160">
        <f>IF(OR(F240="",F239=""),"",F240-F239)</f>
        <v/>
      </c>
      <c r="H240" s="161">
        <f>'Datos_fuente'!H240</f>
        <v/>
      </c>
      <c r="I240" s="161">
        <f>IF(OR(H240="",H239=""),"",H240-H239)</f>
        <v/>
      </c>
      <c r="J240" s="161">
        <f>'Datos_fuente'!J240</f>
        <v/>
      </c>
      <c r="K240" s="161">
        <f>IF(OR(J240="",J239=""),"",J240-J239)</f>
        <v/>
      </c>
      <c r="L240" s="160">
        <f>IF('Datos_fuente'!K240="","",LN('Datos_fuente'!K240))</f>
        <v/>
      </c>
      <c r="M240" s="160">
        <f>IF(OR(L240="",L239=""),"",L240-L239)</f>
        <v/>
      </c>
      <c r="N240" s="160">
        <f>IF('Datos_fuente'!L240="","",LN('Datos_fuente'!L240))</f>
        <v/>
      </c>
      <c r="O240" s="160">
        <f>IF(OR(N240="",N239=""),"",N240-N239)</f>
        <v/>
      </c>
      <c r="P240" s="162">
        <f>'Datos_fuente'!M240</f>
        <v/>
      </c>
      <c r="Q240" s="160">
        <f>IF('Datos_fuente'!N240="","",LN('Datos_fuente'!N240))</f>
        <v/>
      </c>
      <c r="R240" s="160">
        <f>IF(OR(Q240="",Q239=""),"",Q240-Q239)</f>
        <v/>
      </c>
      <c r="S240" s="161">
        <f>'Datos_fuente'!P240</f>
        <v/>
      </c>
      <c r="T240" s="161">
        <f>IF(OR(S240="",S239=""),"",S240-S239)</f>
        <v/>
      </c>
      <c r="U240" s="160">
        <f>IF('Datos_fuente'!Q240="","",ASINH('Datos_fuente'!Q240/1000))</f>
        <v/>
      </c>
      <c r="V240" s="160">
        <f>IF(OR(U240="",U239=""),"",U240-U239)</f>
        <v/>
      </c>
      <c r="W240" s="160">
        <f>IF('Datos_fuente'!R240="","",ASINH('Datos_fuente'!R240/1000))</f>
        <v/>
      </c>
      <c r="X240" s="160">
        <f>IF(OR(W240="",W239=""),"",W240-W239)</f>
        <v/>
      </c>
      <c r="Y240" s="161">
        <f>'Datos_fuente'!W240</f>
        <v/>
      </c>
      <c r="Z240" s="161">
        <f>IF(OR(Y240="",Y239=""),"",Y240-Y239)</f>
        <v/>
      </c>
      <c r="AA240" s="160">
        <f>'Datos_fuente'!AB240</f>
        <v/>
      </c>
      <c r="AB240" s="160">
        <f>'Datos_fuente'!AC240</f>
        <v/>
      </c>
      <c r="AC240" s="160">
        <f>IF('Datos_fuente'!AD240="","",LN('Datos_fuente'!AD240))</f>
        <v/>
      </c>
      <c r="AD240" s="160">
        <f>IF(OR(AC240="",AC239=""),"",AC240-AC239)</f>
        <v/>
      </c>
      <c r="AE240" s="160">
        <f>IF('Datos_fuente'!AE240="","",LN('Datos_fuente'!AE240))</f>
        <v/>
      </c>
      <c r="AF240" s="160">
        <f>IF(OR(AE240="",AE239=""),"",AE240-AE239)</f>
        <v/>
      </c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'Datos_fuente'!A241</f>
        <v/>
      </c>
      <c r="B241" s="160">
        <f>IF('Datos_fuente'!B241="","",LN('Datos_fuente'!B241))</f>
        <v/>
      </c>
      <c r="C241" s="160">
        <f>IF(OR(B241="",B240=""),"",B241-B240)</f>
        <v/>
      </c>
      <c r="D241" s="160">
        <f>IF('Datos_fuente'!C241="","",LN('Datos_fuente'!C241))</f>
        <v/>
      </c>
      <c r="E241" s="160">
        <f>IF(OR(D241="",D240=""),"",D241-D240)</f>
        <v/>
      </c>
      <c r="F241" s="160">
        <f>IF('Datos_fuente'!E241="","",LN('Datos_fuente'!E241))</f>
        <v/>
      </c>
      <c r="G241" s="160">
        <f>IF(OR(F241="",F240=""),"",F241-F240)</f>
        <v/>
      </c>
      <c r="H241" s="161">
        <f>'Datos_fuente'!H241</f>
        <v/>
      </c>
      <c r="I241" s="161">
        <f>IF(OR(H241="",H240=""),"",H241-H240)</f>
        <v/>
      </c>
      <c r="J241" s="161">
        <f>'Datos_fuente'!J241</f>
        <v/>
      </c>
      <c r="K241" s="161">
        <f>IF(OR(J241="",J240=""),"",J241-J240)</f>
        <v/>
      </c>
      <c r="L241" s="160">
        <f>IF('Datos_fuente'!K241="","",LN('Datos_fuente'!K241))</f>
        <v/>
      </c>
      <c r="M241" s="160">
        <f>IF(OR(L241="",L240=""),"",L241-L240)</f>
        <v/>
      </c>
      <c r="N241" s="160">
        <f>IF('Datos_fuente'!L241="","",LN('Datos_fuente'!L241))</f>
        <v/>
      </c>
      <c r="O241" s="160">
        <f>IF(OR(N241="",N240=""),"",N241-N240)</f>
        <v/>
      </c>
      <c r="P241" s="162">
        <f>'Datos_fuente'!M241</f>
        <v/>
      </c>
      <c r="Q241" s="160">
        <f>IF('Datos_fuente'!N241="","",LN('Datos_fuente'!N241))</f>
        <v/>
      </c>
      <c r="R241" s="160">
        <f>IF(OR(Q241="",Q240=""),"",Q241-Q240)</f>
        <v/>
      </c>
      <c r="S241" s="161">
        <f>'Datos_fuente'!P241</f>
        <v/>
      </c>
      <c r="T241" s="161">
        <f>IF(OR(S241="",S240=""),"",S241-S240)</f>
        <v/>
      </c>
      <c r="U241" s="160">
        <f>IF('Datos_fuente'!Q241="","",ASINH('Datos_fuente'!Q241/1000))</f>
        <v/>
      </c>
      <c r="V241" s="160">
        <f>IF(OR(U241="",U240=""),"",U241-U240)</f>
        <v/>
      </c>
      <c r="W241" s="160">
        <f>IF('Datos_fuente'!R241="","",ASINH('Datos_fuente'!R241/1000))</f>
        <v/>
      </c>
      <c r="X241" s="160">
        <f>IF(OR(W241="",W240=""),"",W241-W240)</f>
        <v/>
      </c>
      <c r="Y241" s="161">
        <f>'Datos_fuente'!W241</f>
        <v/>
      </c>
      <c r="Z241" s="161">
        <f>IF(OR(Y241="",Y240=""),"",Y241-Y240)</f>
        <v/>
      </c>
      <c r="AA241" s="160">
        <f>'Datos_fuente'!AB241</f>
        <v/>
      </c>
      <c r="AB241" s="160">
        <f>'Datos_fuente'!AC241</f>
        <v/>
      </c>
      <c r="AC241" s="160">
        <f>IF('Datos_fuente'!AD241="","",LN('Datos_fuente'!AD241))</f>
        <v/>
      </c>
      <c r="AD241" s="160">
        <f>IF(OR(AC241="",AC240=""),"",AC241-AC240)</f>
        <v/>
      </c>
      <c r="AE241" s="160">
        <f>IF('Datos_fuente'!AE241="","",LN('Datos_fuente'!AE241))</f>
        <v/>
      </c>
      <c r="AF241" s="160">
        <f>IF(OR(AE241="",AE240=""),"",AE241-AE240)</f>
        <v/>
      </c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'Datos_fuente'!A242</f>
        <v/>
      </c>
      <c r="B242" s="160">
        <f>IF('Datos_fuente'!B242="","",LN('Datos_fuente'!B242))</f>
        <v/>
      </c>
      <c r="C242" s="160">
        <f>IF(OR(B242="",B241=""),"",B242-B241)</f>
        <v/>
      </c>
      <c r="D242" s="160">
        <f>IF('Datos_fuente'!C242="","",LN('Datos_fuente'!C242))</f>
        <v/>
      </c>
      <c r="E242" s="160">
        <f>IF(OR(D242="",D241=""),"",D242-D241)</f>
        <v/>
      </c>
      <c r="F242" s="160">
        <f>IF('Datos_fuente'!E242="","",LN('Datos_fuente'!E242))</f>
        <v/>
      </c>
      <c r="G242" s="160">
        <f>IF(OR(F242="",F241=""),"",F242-F241)</f>
        <v/>
      </c>
      <c r="H242" s="161">
        <f>'Datos_fuente'!H242</f>
        <v/>
      </c>
      <c r="I242" s="161">
        <f>IF(OR(H242="",H241=""),"",H242-H241)</f>
        <v/>
      </c>
      <c r="J242" s="161">
        <f>'Datos_fuente'!J242</f>
        <v/>
      </c>
      <c r="K242" s="161">
        <f>IF(OR(J242="",J241=""),"",J242-J241)</f>
        <v/>
      </c>
      <c r="L242" s="160">
        <f>IF('Datos_fuente'!K242="","",LN('Datos_fuente'!K242))</f>
        <v/>
      </c>
      <c r="M242" s="160">
        <f>IF(OR(L242="",L241=""),"",L242-L241)</f>
        <v/>
      </c>
      <c r="N242" s="160">
        <f>IF('Datos_fuente'!L242="","",LN('Datos_fuente'!L242))</f>
        <v/>
      </c>
      <c r="O242" s="160">
        <f>IF(OR(N242="",N241=""),"",N242-N241)</f>
        <v/>
      </c>
      <c r="P242" s="162">
        <f>'Datos_fuente'!M242</f>
        <v/>
      </c>
      <c r="Q242" s="160">
        <f>IF('Datos_fuente'!N242="","",LN('Datos_fuente'!N242))</f>
        <v/>
      </c>
      <c r="R242" s="160">
        <f>IF(OR(Q242="",Q241=""),"",Q242-Q241)</f>
        <v/>
      </c>
      <c r="S242" s="161">
        <f>'Datos_fuente'!P242</f>
        <v/>
      </c>
      <c r="T242" s="161">
        <f>IF(OR(S242="",S241=""),"",S242-S241)</f>
        <v/>
      </c>
      <c r="U242" s="160">
        <f>IF('Datos_fuente'!Q242="","",ASINH('Datos_fuente'!Q242/1000))</f>
        <v/>
      </c>
      <c r="V242" s="160">
        <f>IF(OR(U242="",U241=""),"",U242-U241)</f>
        <v/>
      </c>
      <c r="W242" s="160">
        <f>IF('Datos_fuente'!R242="","",ASINH('Datos_fuente'!R242/1000))</f>
        <v/>
      </c>
      <c r="X242" s="160">
        <f>IF(OR(W242="",W241=""),"",W242-W241)</f>
        <v/>
      </c>
      <c r="Y242" s="161">
        <f>'Datos_fuente'!W242</f>
        <v/>
      </c>
      <c r="Z242" s="161">
        <f>IF(OR(Y242="",Y241=""),"",Y242-Y241)</f>
        <v/>
      </c>
      <c r="AA242" s="160">
        <f>'Datos_fuente'!AB242</f>
        <v/>
      </c>
      <c r="AB242" s="160">
        <f>'Datos_fuente'!AC242</f>
        <v/>
      </c>
      <c r="AC242" s="160">
        <f>IF('Datos_fuente'!AD242="","",LN('Datos_fuente'!AD242))</f>
        <v/>
      </c>
      <c r="AD242" s="160">
        <f>IF(OR(AC242="",AC241=""),"",AC242-AC241)</f>
        <v/>
      </c>
      <c r="AE242" s="160">
        <f>IF('Datos_fuente'!AE242="","",LN('Datos_fuente'!AE242))</f>
        <v/>
      </c>
      <c r="AF242" s="160">
        <f>IF(OR(AE242="",AE241=""),"",AE242-AE241)</f>
        <v/>
      </c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'Datos_fuente'!A243</f>
        <v/>
      </c>
      <c r="B243" s="160">
        <f>IF('Datos_fuente'!B243="","",LN('Datos_fuente'!B243))</f>
        <v/>
      </c>
      <c r="C243" s="160">
        <f>IF(OR(B243="",B242=""),"",B243-B242)</f>
        <v/>
      </c>
      <c r="D243" s="160">
        <f>IF('Datos_fuente'!C243="","",LN('Datos_fuente'!C243))</f>
        <v/>
      </c>
      <c r="E243" s="160">
        <f>IF(OR(D243="",D242=""),"",D243-D242)</f>
        <v/>
      </c>
      <c r="F243" s="160">
        <f>IF('Datos_fuente'!E243="","",LN('Datos_fuente'!E243))</f>
        <v/>
      </c>
      <c r="G243" s="160">
        <f>IF(OR(F243="",F242=""),"",F243-F242)</f>
        <v/>
      </c>
      <c r="H243" s="161">
        <f>'Datos_fuente'!H243</f>
        <v/>
      </c>
      <c r="I243" s="161">
        <f>IF(OR(H243="",H242=""),"",H243-H242)</f>
        <v/>
      </c>
      <c r="J243" s="161">
        <f>'Datos_fuente'!J243</f>
        <v/>
      </c>
      <c r="K243" s="161">
        <f>IF(OR(J243="",J242=""),"",J243-J242)</f>
        <v/>
      </c>
      <c r="L243" s="160">
        <f>IF('Datos_fuente'!K243="","",LN('Datos_fuente'!K243))</f>
        <v/>
      </c>
      <c r="M243" s="160">
        <f>IF(OR(L243="",L242=""),"",L243-L242)</f>
        <v/>
      </c>
      <c r="N243" s="160">
        <f>IF('Datos_fuente'!L243="","",LN('Datos_fuente'!L243))</f>
        <v/>
      </c>
      <c r="O243" s="160">
        <f>IF(OR(N243="",N242=""),"",N243-N242)</f>
        <v/>
      </c>
      <c r="P243" s="162">
        <f>'Datos_fuente'!M243</f>
        <v/>
      </c>
      <c r="Q243" s="160">
        <f>IF('Datos_fuente'!N243="","",LN('Datos_fuente'!N243))</f>
        <v/>
      </c>
      <c r="R243" s="160">
        <f>IF(OR(Q243="",Q242=""),"",Q243-Q242)</f>
        <v/>
      </c>
      <c r="S243" s="161">
        <f>'Datos_fuente'!P243</f>
        <v/>
      </c>
      <c r="T243" s="161">
        <f>IF(OR(S243="",S242=""),"",S243-S242)</f>
        <v/>
      </c>
      <c r="U243" s="160">
        <f>IF('Datos_fuente'!Q243="","",ASINH('Datos_fuente'!Q243/1000))</f>
        <v/>
      </c>
      <c r="V243" s="160">
        <f>IF(OR(U243="",U242=""),"",U243-U242)</f>
        <v/>
      </c>
      <c r="W243" s="160">
        <f>IF('Datos_fuente'!R243="","",ASINH('Datos_fuente'!R243/1000))</f>
        <v/>
      </c>
      <c r="X243" s="160">
        <f>IF(OR(W243="",W242=""),"",W243-W242)</f>
        <v/>
      </c>
      <c r="Y243" s="161">
        <f>'Datos_fuente'!W243</f>
        <v/>
      </c>
      <c r="Z243" s="161">
        <f>IF(OR(Y243="",Y242=""),"",Y243-Y242)</f>
        <v/>
      </c>
      <c r="AA243" s="160">
        <f>'Datos_fuente'!AB243</f>
        <v/>
      </c>
      <c r="AB243" s="160">
        <f>'Datos_fuente'!AC243</f>
        <v/>
      </c>
      <c r="AC243" s="160">
        <f>IF('Datos_fuente'!AD243="","",LN('Datos_fuente'!AD243))</f>
        <v/>
      </c>
      <c r="AD243" s="160">
        <f>IF(OR(AC243="",AC242=""),"",AC243-AC242)</f>
        <v/>
      </c>
      <c r="AE243" s="160">
        <f>IF('Datos_fuente'!AE243="","",LN('Datos_fuente'!AE243))</f>
        <v/>
      </c>
      <c r="AF243" s="160">
        <f>IF(OR(AE243="",AE242=""),"",AE243-AE242)</f>
        <v/>
      </c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'Datos_fuente'!A244</f>
        <v/>
      </c>
      <c r="B244" s="160">
        <f>IF('Datos_fuente'!B244="","",LN('Datos_fuente'!B244))</f>
        <v/>
      </c>
      <c r="C244" s="160">
        <f>IF(OR(B244="",B243=""),"",B244-B243)</f>
        <v/>
      </c>
      <c r="D244" s="160">
        <f>IF('Datos_fuente'!C244="","",LN('Datos_fuente'!C244))</f>
        <v/>
      </c>
      <c r="E244" s="160">
        <f>IF(OR(D244="",D243=""),"",D244-D243)</f>
        <v/>
      </c>
      <c r="F244" s="160">
        <f>IF('Datos_fuente'!E244="","",LN('Datos_fuente'!E244))</f>
        <v/>
      </c>
      <c r="G244" s="160">
        <f>IF(OR(F244="",F243=""),"",F244-F243)</f>
        <v/>
      </c>
      <c r="H244" s="161">
        <f>'Datos_fuente'!H244</f>
        <v/>
      </c>
      <c r="I244" s="161">
        <f>IF(OR(H244="",H243=""),"",H244-H243)</f>
        <v/>
      </c>
      <c r="J244" s="161">
        <f>'Datos_fuente'!J244</f>
        <v/>
      </c>
      <c r="K244" s="161">
        <f>IF(OR(J244="",J243=""),"",J244-J243)</f>
        <v/>
      </c>
      <c r="L244" s="160">
        <f>IF('Datos_fuente'!K244="","",LN('Datos_fuente'!K244))</f>
        <v/>
      </c>
      <c r="M244" s="160">
        <f>IF(OR(L244="",L243=""),"",L244-L243)</f>
        <v/>
      </c>
      <c r="N244" s="160">
        <f>IF('Datos_fuente'!L244="","",LN('Datos_fuente'!L244))</f>
        <v/>
      </c>
      <c r="O244" s="160">
        <f>IF(OR(N244="",N243=""),"",N244-N243)</f>
        <v/>
      </c>
      <c r="P244" s="162">
        <f>'Datos_fuente'!M244</f>
        <v/>
      </c>
      <c r="Q244" s="160">
        <f>IF('Datos_fuente'!N244="","",LN('Datos_fuente'!N244))</f>
        <v/>
      </c>
      <c r="R244" s="160">
        <f>IF(OR(Q244="",Q243=""),"",Q244-Q243)</f>
        <v/>
      </c>
      <c r="S244" s="161">
        <f>'Datos_fuente'!P244</f>
        <v/>
      </c>
      <c r="T244" s="161">
        <f>IF(OR(S244="",S243=""),"",S244-S243)</f>
        <v/>
      </c>
      <c r="U244" s="160">
        <f>IF('Datos_fuente'!Q244="","",ASINH('Datos_fuente'!Q244/1000))</f>
        <v/>
      </c>
      <c r="V244" s="160">
        <f>IF(OR(U244="",U243=""),"",U244-U243)</f>
        <v/>
      </c>
      <c r="W244" s="160">
        <f>IF('Datos_fuente'!R244="","",ASINH('Datos_fuente'!R244/1000))</f>
        <v/>
      </c>
      <c r="X244" s="160">
        <f>IF(OR(W244="",W243=""),"",W244-W243)</f>
        <v/>
      </c>
      <c r="Y244" s="161">
        <f>'Datos_fuente'!W244</f>
        <v/>
      </c>
      <c r="Z244" s="161">
        <f>IF(OR(Y244="",Y243=""),"",Y244-Y243)</f>
        <v/>
      </c>
      <c r="AA244" s="160">
        <f>'Datos_fuente'!AB244</f>
        <v/>
      </c>
      <c r="AB244" s="160">
        <f>'Datos_fuente'!AC244</f>
        <v/>
      </c>
      <c r="AC244" s="160">
        <f>IF('Datos_fuente'!AD244="","",LN('Datos_fuente'!AD244))</f>
        <v/>
      </c>
      <c r="AD244" s="160">
        <f>IF(OR(AC244="",AC243=""),"",AC244-AC243)</f>
        <v/>
      </c>
      <c r="AE244" s="160">
        <f>IF('Datos_fuente'!AE244="","",LN('Datos_fuente'!AE244))</f>
        <v/>
      </c>
      <c r="AF244" s="160">
        <f>IF(OR(AE244="",AE243=""),"",AE244-AE243)</f>
        <v/>
      </c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'Datos_fuente'!A245</f>
        <v/>
      </c>
      <c r="B245" s="160">
        <f>IF('Datos_fuente'!B245="","",LN('Datos_fuente'!B245))</f>
        <v/>
      </c>
      <c r="C245" s="160">
        <f>IF(OR(B245="",B244=""),"",B245-B244)</f>
        <v/>
      </c>
      <c r="D245" s="160">
        <f>IF('Datos_fuente'!C245="","",LN('Datos_fuente'!C245))</f>
        <v/>
      </c>
      <c r="E245" s="160">
        <f>IF(OR(D245="",D244=""),"",D245-D244)</f>
        <v/>
      </c>
      <c r="F245" s="160">
        <f>IF('Datos_fuente'!E245="","",LN('Datos_fuente'!E245))</f>
        <v/>
      </c>
      <c r="G245" s="160">
        <f>IF(OR(F245="",F244=""),"",F245-F244)</f>
        <v/>
      </c>
      <c r="H245" s="161">
        <f>'Datos_fuente'!H245</f>
        <v/>
      </c>
      <c r="I245" s="161">
        <f>IF(OR(H245="",H244=""),"",H245-H244)</f>
        <v/>
      </c>
      <c r="J245" s="161">
        <f>'Datos_fuente'!J245</f>
        <v/>
      </c>
      <c r="K245" s="161">
        <f>IF(OR(J245="",J244=""),"",J245-J244)</f>
        <v/>
      </c>
      <c r="L245" s="160">
        <f>IF('Datos_fuente'!K245="","",LN('Datos_fuente'!K245))</f>
        <v/>
      </c>
      <c r="M245" s="160">
        <f>IF(OR(L245="",L244=""),"",L245-L244)</f>
        <v/>
      </c>
      <c r="N245" s="160">
        <f>IF('Datos_fuente'!L245="","",LN('Datos_fuente'!L245))</f>
        <v/>
      </c>
      <c r="O245" s="160">
        <f>IF(OR(N245="",N244=""),"",N245-N244)</f>
        <v/>
      </c>
      <c r="P245" s="162">
        <f>'Datos_fuente'!M245</f>
        <v/>
      </c>
      <c r="Q245" s="160">
        <f>IF('Datos_fuente'!N245="","",LN('Datos_fuente'!N245))</f>
        <v/>
      </c>
      <c r="R245" s="160">
        <f>IF(OR(Q245="",Q244=""),"",Q245-Q244)</f>
        <v/>
      </c>
      <c r="S245" s="161">
        <f>'Datos_fuente'!P245</f>
        <v/>
      </c>
      <c r="T245" s="161">
        <f>IF(OR(S245="",S244=""),"",S245-S244)</f>
        <v/>
      </c>
      <c r="U245" s="160">
        <f>IF('Datos_fuente'!Q245="","",ASINH('Datos_fuente'!Q245/1000))</f>
        <v/>
      </c>
      <c r="V245" s="160">
        <f>IF(OR(U245="",U244=""),"",U245-U244)</f>
        <v/>
      </c>
      <c r="W245" s="160">
        <f>IF('Datos_fuente'!R245="","",ASINH('Datos_fuente'!R245/1000))</f>
        <v/>
      </c>
      <c r="X245" s="160">
        <f>IF(OR(W245="",W244=""),"",W245-W244)</f>
        <v/>
      </c>
      <c r="Y245" s="161">
        <f>'Datos_fuente'!W245</f>
        <v/>
      </c>
      <c r="Z245" s="161">
        <f>IF(OR(Y245="",Y244=""),"",Y245-Y244)</f>
        <v/>
      </c>
      <c r="AA245" s="160">
        <f>'Datos_fuente'!AB245</f>
        <v/>
      </c>
      <c r="AB245" s="160">
        <f>'Datos_fuente'!AC245</f>
        <v/>
      </c>
      <c r="AC245" s="160">
        <f>IF('Datos_fuente'!AD245="","",LN('Datos_fuente'!AD245))</f>
        <v/>
      </c>
      <c r="AD245" s="160">
        <f>IF(OR(AC245="",AC244=""),"",AC245-AC244)</f>
        <v/>
      </c>
      <c r="AE245" s="160">
        <f>IF('Datos_fuente'!AE245="","",LN('Datos_fuente'!AE245))</f>
        <v/>
      </c>
      <c r="AF245" s="160">
        <f>IF(OR(AE245="",AE244=""),"",AE245-AE244)</f>
        <v/>
      </c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'Datos_fuente'!A246</f>
        <v/>
      </c>
      <c r="B246" s="160">
        <f>IF('Datos_fuente'!B246="","",LN('Datos_fuente'!B246))</f>
        <v/>
      </c>
      <c r="C246" s="160">
        <f>IF(OR(B246="",B245=""),"",B246-B245)</f>
        <v/>
      </c>
      <c r="D246" s="160">
        <f>IF('Datos_fuente'!C246="","",LN('Datos_fuente'!C246))</f>
        <v/>
      </c>
      <c r="E246" s="160">
        <f>IF(OR(D246="",D245=""),"",D246-D245)</f>
        <v/>
      </c>
      <c r="F246" s="160">
        <f>IF('Datos_fuente'!E246="","",LN('Datos_fuente'!E246))</f>
        <v/>
      </c>
      <c r="G246" s="160">
        <f>IF(OR(F246="",F245=""),"",F246-F245)</f>
        <v/>
      </c>
      <c r="H246" s="161">
        <f>'Datos_fuente'!H246</f>
        <v/>
      </c>
      <c r="I246" s="161">
        <f>IF(OR(H246="",H245=""),"",H246-H245)</f>
        <v/>
      </c>
      <c r="J246" s="161">
        <f>'Datos_fuente'!J246</f>
        <v/>
      </c>
      <c r="K246" s="161">
        <f>IF(OR(J246="",J245=""),"",J246-J245)</f>
        <v/>
      </c>
      <c r="L246" s="160">
        <f>IF('Datos_fuente'!K246="","",LN('Datos_fuente'!K246))</f>
        <v/>
      </c>
      <c r="M246" s="160">
        <f>IF(OR(L246="",L245=""),"",L246-L245)</f>
        <v/>
      </c>
      <c r="N246" s="160">
        <f>IF('Datos_fuente'!L246="","",LN('Datos_fuente'!L246))</f>
        <v/>
      </c>
      <c r="O246" s="160">
        <f>IF(OR(N246="",N245=""),"",N246-N245)</f>
        <v/>
      </c>
      <c r="P246" s="162">
        <f>'Datos_fuente'!M246</f>
        <v/>
      </c>
      <c r="Q246" s="160">
        <f>IF('Datos_fuente'!N246="","",LN('Datos_fuente'!N246))</f>
        <v/>
      </c>
      <c r="R246" s="160">
        <f>IF(OR(Q246="",Q245=""),"",Q246-Q245)</f>
        <v/>
      </c>
      <c r="S246" s="161">
        <f>'Datos_fuente'!P246</f>
        <v/>
      </c>
      <c r="T246" s="161">
        <f>IF(OR(S246="",S245=""),"",S246-S245)</f>
        <v/>
      </c>
      <c r="U246" s="160">
        <f>IF('Datos_fuente'!Q246="","",ASINH('Datos_fuente'!Q246/1000))</f>
        <v/>
      </c>
      <c r="V246" s="160">
        <f>IF(OR(U246="",U245=""),"",U246-U245)</f>
        <v/>
      </c>
      <c r="W246" s="160">
        <f>IF('Datos_fuente'!R246="","",ASINH('Datos_fuente'!R246/1000))</f>
        <v/>
      </c>
      <c r="X246" s="160">
        <f>IF(OR(W246="",W245=""),"",W246-W245)</f>
        <v/>
      </c>
      <c r="Y246" s="161">
        <f>'Datos_fuente'!W246</f>
        <v/>
      </c>
      <c r="Z246" s="161">
        <f>IF(OR(Y246="",Y245=""),"",Y246-Y245)</f>
        <v/>
      </c>
      <c r="AA246" s="160">
        <f>'Datos_fuente'!AB246</f>
        <v/>
      </c>
      <c r="AB246" s="160">
        <f>'Datos_fuente'!AC246</f>
        <v/>
      </c>
      <c r="AC246" s="160">
        <f>IF('Datos_fuente'!AD246="","",LN('Datos_fuente'!AD246))</f>
        <v/>
      </c>
      <c r="AD246" s="160">
        <f>IF(OR(AC246="",AC245=""),"",AC246-AC245)</f>
        <v/>
      </c>
      <c r="AE246" s="160">
        <f>IF('Datos_fuente'!AE246="","",LN('Datos_fuente'!AE246))</f>
        <v/>
      </c>
      <c r="AF246" s="160">
        <f>IF(OR(AE246="",AE245=""),"",AE246-AE245)</f>
        <v/>
      </c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'Datos_fuente'!A247</f>
        <v/>
      </c>
      <c r="B247" s="160">
        <f>IF('Datos_fuente'!B247="","",LN('Datos_fuente'!B247))</f>
        <v/>
      </c>
      <c r="C247" s="160">
        <f>IF(OR(B247="",B246=""),"",B247-B246)</f>
        <v/>
      </c>
      <c r="D247" s="160">
        <f>IF('Datos_fuente'!C247="","",LN('Datos_fuente'!C247))</f>
        <v/>
      </c>
      <c r="E247" s="160">
        <f>IF(OR(D247="",D246=""),"",D247-D246)</f>
        <v/>
      </c>
      <c r="F247" s="160">
        <f>IF('Datos_fuente'!E247="","",LN('Datos_fuente'!E247))</f>
        <v/>
      </c>
      <c r="G247" s="160">
        <f>IF(OR(F247="",F246=""),"",F247-F246)</f>
        <v/>
      </c>
      <c r="H247" s="161">
        <f>'Datos_fuente'!H247</f>
        <v/>
      </c>
      <c r="I247" s="161">
        <f>IF(OR(H247="",H246=""),"",H247-H246)</f>
        <v/>
      </c>
      <c r="J247" s="161">
        <f>'Datos_fuente'!J247</f>
        <v/>
      </c>
      <c r="K247" s="161">
        <f>IF(OR(J247="",J246=""),"",J247-J246)</f>
        <v/>
      </c>
      <c r="L247" s="160">
        <f>IF('Datos_fuente'!K247="","",LN('Datos_fuente'!K247))</f>
        <v/>
      </c>
      <c r="M247" s="160">
        <f>IF(OR(L247="",L246=""),"",L247-L246)</f>
        <v/>
      </c>
      <c r="N247" s="160">
        <f>IF('Datos_fuente'!L247="","",LN('Datos_fuente'!L247))</f>
        <v/>
      </c>
      <c r="O247" s="160">
        <f>IF(OR(N247="",N246=""),"",N247-N246)</f>
        <v/>
      </c>
      <c r="P247" s="162">
        <f>'Datos_fuente'!M247</f>
        <v/>
      </c>
      <c r="Q247" s="160">
        <f>IF('Datos_fuente'!N247="","",LN('Datos_fuente'!N247))</f>
        <v/>
      </c>
      <c r="R247" s="160">
        <f>IF(OR(Q247="",Q246=""),"",Q247-Q246)</f>
        <v/>
      </c>
      <c r="S247" s="161">
        <f>'Datos_fuente'!P247</f>
        <v/>
      </c>
      <c r="T247" s="161">
        <f>IF(OR(S247="",S246=""),"",S247-S246)</f>
        <v/>
      </c>
      <c r="U247" s="160">
        <f>IF('Datos_fuente'!Q247="","",ASINH('Datos_fuente'!Q247/1000))</f>
        <v/>
      </c>
      <c r="V247" s="160">
        <f>IF(OR(U247="",U246=""),"",U247-U246)</f>
        <v/>
      </c>
      <c r="W247" s="160">
        <f>IF('Datos_fuente'!R247="","",ASINH('Datos_fuente'!R247/1000))</f>
        <v/>
      </c>
      <c r="X247" s="160">
        <f>IF(OR(W247="",W246=""),"",W247-W246)</f>
        <v/>
      </c>
      <c r="Y247" s="161">
        <f>'Datos_fuente'!W247</f>
        <v/>
      </c>
      <c r="Z247" s="161">
        <f>IF(OR(Y247="",Y246=""),"",Y247-Y246)</f>
        <v/>
      </c>
      <c r="AA247" s="160">
        <f>'Datos_fuente'!AB247</f>
        <v/>
      </c>
      <c r="AB247" s="160">
        <f>'Datos_fuente'!AC247</f>
        <v/>
      </c>
      <c r="AC247" s="160">
        <f>IF('Datos_fuente'!AD247="","",LN('Datos_fuente'!AD247))</f>
        <v/>
      </c>
      <c r="AD247" s="160">
        <f>IF(OR(AC247="",AC246=""),"",AC247-AC246)</f>
        <v/>
      </c>
      <c r="AE247" s="160">
        <f>IF('Datos_fuente'!AE247="","",LN('Datos_fuente'!AE247))</f>
        <v/>
      </c>
      <c r="AF247" s="160">
        <f>IF(OR(AE247="",AE246=""),"",AE247-AE246)</f>
        <v/>
      </c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'Datos_fuente'!A248</f>
        <v/>
      </c>
      <c r="B248" s="160">
        <f>IF('Datos_fuente'!B248="","",LN('Datos_fuente'!B248))</f>
        <v/>
      </c>
      <c r="C248" s="160">
        <f>IF(OR(B248="",B247=""),"",B248-B247)</f>
        <v/>
      </c>
      <c r="D248" s="160">
        <f>IF('Datos_fuente'!C248="","",LN('Datos_fuente'!C248))</f>
        <v/>
      </c>
      <c r="E248" s="160">
        <f>IF(OR(D248="",D247=""),"",D248-D247)</f>
        <v/>
      </c>
      <c r="F248" s="160">
        <f>IF('Datos_fuente'!E248="","",LN('Datos_fuente'!E248))</f>
        <v/>
      </c>
      <c r="G248" s="160">
        <f>IF(OR(F248="",F247=""),"",F248-F247)</f>
        <v/>
      </c>
      <c r="H248" s="161">
        <f>'Datos_fuente'!H248</f>
        <v/>
      </c>
      <c r="I248" s="161">
        <f>IF(OR(H248="",H247=""),"",H248-H247)</f>
        <v/>
      </c>
      <c r="J248" s="161">
        <f>'Datos_fuente'!J248</f>
        <v/>
      </c>
      <c r="K248" s="161">
        <f>IF(OR(J248="",J247=""),"",J248-J247)</f>
        <v/>
      </c>
      <c r="L248" s="160">
        <f>IF('Datos_fuente'!K248="","",LN('Datos_fuente'!K248))</f>
        <v/>
      </c>
      <c r="M248" s="160">
        <f>IF(OR(L248="",L247=""),"",L248-L247)</f>
        <v/>
      </c>
      <c r="N248" s="160">
        <f>IF('Datos_fuente'!L248="","",LN('Datos_fuente'!L248))</f>
        <v/>
      </c>
      <c r="O248" s="160">
        <f>IF(OR(N248="",N247=""),"",N248-N247)</f>
        <v/>
      </c>
      <c r="P248" s="162">
        <f>'Datos_fuente'!M248</f>
        <v/>
      </c>
      <c r="Q248" s="160">
        <f>IF('Datos_fuente'!N248="","",LN('Datos_fuente'!N248))</f>
        <v/>
      </c>
      <c r="R248" s="160">
        <f>IF(OR(Q248="",Q247=""),"",Q248-Q247)</f>
        <v/>
      </c>
      <c r="S248" s="161">
        <f>'Datos_fuente'!P248</f>
        <v/>
      </c>
      <c r="T248" s="161">
        <f>IF(OR(S248="",S247=""),"",S248-S247)</f>
        <v/>
      </c>
      <c r="U248" s="160">
        <f>IF('Datos_fuente'!Q248="","",ASINH('Datos_fuente'!Q248/1000))</f>
        <v/>
      </c>
      <c r="V248" s="160">
        <f>IF(OR(U248="",U247=""),"",U248-U247)</f>
        <v/>
      </c>
      <c r="W248" s="160">
        <f>IF('Datos_fuente'!R248="","",ASINH('Datos_fuente'!R248/1000))</f>
        <v/>
      </c>
      <c r="X248" s="160">
        <f>IF(OR(W248="",W247=""),"",W248-W247)</f>
        <v/>
      </c>
      <c r="Y248" s="161">
        <f>'Datos_fuente'!W248</f>
        <v/>
      </c>
      <c r="Z248" s="161">
        <f>IF(OR(Y248="",Y247=""),"",Y248-Y247)</f>
        <v/>
      </c>
      <c r="AA248" s="160">
        <f>'Datos_fuente'!AB248</f>
        <v/>
      </c>
      <c r="AB248" s="160">
        <f>'Datos_fuente'!AC248</f>
        <v/>
      </c>
      <c r="AC248" s="160">
        <f>IF('Datos_fuente'!AD248="","",LN('Datos_fuente'!AD248))</f>
        <v/>
      </c>
      <c r="AD248" s="160">
        <f>IF(OR(AC248="",AC247=""),"",AC248-AC247)</f>
        <v/>
      </c>
      <c r="AE248" s="160">
        <f>IF('Datos_fuente'!AE248="","",LN('Datos_fuente'!AE248))</f>
        <v/>
      </c>
      <c r="AF248" s="160">
        <f>IF(OR(AE248="",AE247=""),"",AE248-AE247)</f>
        <v/>
      </c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'Datos_fuente'!A249</f>
        <v/>
      </c>
      <c r="B249" s="160">
        <f>IF('Datos_fuente'!B249="","",LN('Datos_fuente'!B249))</f>
        <v/>
      </c>
      <c r="C249" s="160">
        <f>IF(OR(B249="",B248=""),"",B249-B248)</f>
        <v/>
      </c>
      <c r="D249" s="160">
        <f>IF('Datos_fuente'!C249="","",LN('Datos_fuente'!C249))</f>
        <v/>
      </c>
      <c r="E249" s="160">
        <f>IF(OR(D249="",D248=""),"",D249-D248)</f>
        <v/>
      </c>
      <c r="F249" s="160">
        <f>IF('Datos_fuente'!E249="","",LN('Datos_fuente'!E249))</f>
        <v/>
      </c>
      <c r="G249" s="160">
        <f>IF(OR(F249="",F248=""),"",F249-F248)</f>
        <v/>
      </c>
      <c r="H249" s="161">
        <f>'Datos_fuente'!H249</f>
        <v/>
      </c>
      <c r="I249" s="161">
        <f>IF(OR(H249="",H248=""),"",H249-H248)</f>
        <v/>
      </c>
      <c r="J249" s="161">
        <f>'Datos_fuente'!J249</f>
        <v/>
      </c>
      <c r="K249" s="161">
        <f>IF(OR(J249="",J248=""),"",J249-J248)</f>
        <v/>
      </c>
      <c r="L249" s="160">
        <f>IF('Datos_fuente'!K249="","",LN('Datos_fuente'!K249))</f>
        <v/>
      </c>
      <c r="M249" s="160">
        <f>IF(OR(L249="",L248=""),"",L249-L248)</f>
        <v/>
      </c>
      <c r="N249" s="160">
        <f>IF('Datos_fuente'!L249="","",LN('Datos_fuente'!L249))</f>
        <v/>
      </c>
      <c r="O249" s="160">
        <f>IF(OR(N249="",N248=""),"",N249-N248)</f>
        <v/>
      </c>
      <c r="P249" s="162">
        <f>'Datos_fuente'!M249</f>
        <v/>
      </c>
      <c r="Q249" s="160">
        <f>IF('Datos_fuente'!N249="","",LN('Datos_fuente'!N249))</f>
        <v/>
      </c>
      <c r="R249" s="160">
        <f>IF(OR(Q249="",Q248=""),"",Q249-Q248)</f>
        <v/>
      </c>
      <c r="S249" s="161">
        <f>'Datos_fuente'!P249</f>
        <v/>
      </c>
      <c r="T249" s="161">
        <f>IF(OR(S249="",S248=""),"",S249-S248)</f>
        <v/>
      </c>
      <c r="U249" s="160">
        <f>IF('Datos_fuente'!Q249="","",ASINH('Datos_fuente'!Q249/1000))</f>
        <v/>
      </c>
      <c r="V249" s="160">
        <f>IF(OR(U249="",U248=""),"",U249-U248)</f>
        <v/>
      </c>
      <c r="W249" s="160">
        <f>IF('Datos_fuente'!R249="","",ASINH('Datos_fuente'!R249/1000))</f>
        <v/>
      </c>
      <c r="X249" s="160">
        <f>IF(OR(W249="",W248=""),"",W249-W248)</f>
        <v/>
      </c>
      <c r="Y249" s="161">
        <f>'Datos_fuente'!W249</f>
        <v/>
      </c>
      <c r="Z249" s="161">
        <f>IF(OR(Y249="",Y248=""),"",Y249-Y248)</f>
        <v/>
      </c>
      <c r="AA249" s="160">
        <f>'Datos_fuente'!AB249</f>
        <v/>
      </c>
      <c r="AB249" s="160">
        <f>'Datos_fuente'!AC249</f>
        <v/>
      </c>
      <c r="AC249" s="160">
        <f>IF('Datos_fuente'!AD249="","",LN('Datos_fuente'!AD249))</f>
        <v/>
      </c>
      <c r="AD249" s="160">
        <f>IF(OR(AC249="",AC248=""),"",AC249-AC248)</f>
        <v/>
      </c>
      <c r="AE249" s="160">
        <f>IF('Datos_fuente'!AE249="","",LN('Datos_fuente'!AE249))</f>
        <v/>
      </c>
      <c r="AF249" s="160">
        <f>IF(OR(AE249="",AE248=""),"",AE249-AE248)</f>
        <v/>
      </c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'Datos_fuente'!A250</f>
        <v/>
      </c>
      <c r="B250" s="160">
        <f>IF('Datos_fuente'!B250="","",LN('Datos_fuente'!B250))</f>
        <v/>
      </c>
      <c r="C250" s="160">
        <f>IF(OR(B250="",B249=""),"",B250-B249)</f>
        <v/>
      </c>
      <c r="D250" s="160">
        <f>IF('Datos_fuente'!C250="","",LN('Datos_fuente'!C250))</f>
        <v/>
      </c>
      <c r="E250" s="160">
        <f>IF(OR(D250="",D249=""),"",D250-D249)</f>
        <v/>
      </c>
      <c r="F250" s="160">
        <f>IF('Datos_fuente'!E250="","",LN('Datos_fuente'!E250))</f>
        <v/>
      </c>
      <c r="G250" s="160">
        <f>IF(OR(F250="",F249=""),"",F250-F249)</f>
        <v/>
      </c>
      <c r="H250" s="161">
        <f>'Datos_fuente'!H250</f>
        <v/>
      </c>
      <c r="I250" s="161">
        <f>IF(OR(H250="",H249=""),"",H250-H249)</f>
        <v/>
      </c>
      <c r="J250" s="161">
        <f>'Datos_fuente'!J250</f>
        <v/>
      </c>
      <c r="K250" s="161">
        <f>IF(OR(J250="",J249=""),"",J250-J249)</f>
        <v/>
      </c>
      <c r="L250" s="160">
        <f>IF('Datos_fuente'!K250="","",LN('Datos_fuente'!K250))</f>
        <v/>
      </c>
      <c r="M250" s="160">
        <f>IF(OR(L250="",L249=""),"",L250-L249)</f>
        <v/>
      </c>
      <c r="N250" s="160">
        <f>IF('Datos_fuente'!L250="","",LN('Datos_fuente'!L250))</f>
        <v/>
      </c>
      <c r="O250" s="160">
        <f>IF(OR(N250="",N249=""),"",N250-N249)</f>
        <v/>
      </c>
      <c r="P250" s="162">
        <f>'Datos_fuente'!M250</f>
        <v/>
      </c>
      <c r="Q250" s="160">
        <f>IF('Datos_fuente'!N250="","",LN('Datos_fuente'!N250))</f>
        <v/>
      </c>
      <c r="R250" s="160">
        <f>IF(OR(Q250="",Q249=""),"",Q250-Q249)</f>
        <v/>
      </c>
      <c r="S250" s="161">
        <f>'Datos_fuente'!P250</f>
        <v/>
      </c>
      <c r="T250" s="161">
        <f>IF(OR(S250="",S249=""),"",S250-S249)</f>
        <v/>
      </c>
      <c r="U250" s="160">
        <f>IF('Datos_fuente'!Q250="","",ASINH('Datos_fuente'!Q250/1000))</f>
        <v/>
      </c>
      <c r="V250" s="160">
        <f>IF(OR(U250="",U249=""),"",U250-U249)</f>
        <v/>
      </c>
      <c r="W250" s="160">
        <f>IF('Datos_fuente'!R250="","",ASINH('Datos_fuente'!R250/1000))</f>
        <v/>
      </c>
      <c r="X250" s="160">
        <f>IF(OR(W250="",W249=""),"",W250-W249)</f>
        <v/>
      </c>
      <c r="Y250" s="161">
        <f>'Datos_fuente'!W250</f>
        <v/>
      </c>
      <c r="Z250" s="161">
        <f>IF(OR(Y250="",Y249=""),"",Y250-Y249)</f>
        <v/>
      </c>
      <c r="AA250" s="160">
        <f>'Datos_fuente'!AB250</f>
        <v/>
      </c>
      <c r="AB250" s="160">
        <f>'Datos_fuente'!AC250</f>
        <v/>
      </c>
      <c r="AC250" s="160">
        <f>IF('Datos_fuente'!AD250="","",LN('Datos_fuente'!AD250))</f>
        <v/>
      </c>
      <c r="AD250" s="160">
        <f>IF(OR(AC250="",AC249=""),"",AC250-AC249)</f>
        <v/>
      </c>
      <c r="AE250" s="160">
        <f>IF('Datos_fuente'!AE250="","",LN('Datos_fuente'!AE250))</f>
        <v/>
      </c>
      <c r="AF250" s="160">
        <f>IF(OR(AE250="",AE249=""),"",AE250-AE249)</f>
        <v/>
      </c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B1"/>
    <mergeCell ref="A2:AB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3" customWidth="1" min="15" max="15"/>
    <col width="12" customWidth="1" min="16" max="16"/>
    <col width="16" customWidth="1" min="17" max="17"/>
    <col width="1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 ht="30" customHeight="1">
      <c r="A1" s="4" t="inlineStr">
        <is>
          <t>Modelo principal: variación mensual de la TRM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OLS con errores estándar HAC (6 meses). BIC seleccionó cero rezagos adicionales de Δln(TRM). Términos de intercambio, dólar amplio y VIX entran en t; remesas, diferencial de tasas y déficit fiscal entran con un mes de rezago.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-0.0005941980394302</v>
      </c>
      <c r="C6" s="163" t="n">
        <v>0.0016872197231078</v>
      </c>
      <c r="D6" s="163" t="n">
        <v>-0.3521758495898434</v>
      </c>
      <c r="E6" s="163" t="n">
        <v>0.725026083238444</v>
      </c>
      <c r="F6" s="163" t="n">
        <v>-0.0039184290934836</v>
      </c>
      <c r="G6" s="163" t="n">
        <v>0.0027300330146232</v>
      </c>
      <c r="H6" s="64" t="n"/>
      <c r="I6" s="67" t="inlineStr">
        <is>
          <t>R²</t>
        </is>
      </c>
      <c r="J6" s="164" t="n">
        <v>0.4944640026897998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-1103.307429112625</v>
      </c>
      <c r="N6" s="67" t="inlineStr">
        <is>
          <t>Comparación relativa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-0.1000762049255731</v>
      </c>
      <c r="C7" s="163" t="n">
        <v>0.0291848608531429</v>
      </c>
      <c r="D7" s="163" t="n">
        <v>-3.429045128196857</v>
      </c>
      <c r="E7" s="163" t="n">
        <v>0.0007166782361943</v>
      </c>
      <c r="F7" s="163" t="n">
        <v>-0.1575774416806429</v>
      </c>
      <c r="G7" s="163" t="n">
        <v>-0.0425749681705032</v>
      </c>
      <c r="H7" s="64" t="n"/>
      <c r="I7" s="67" t="inlineStr">
        <is>
          <t>R² ajustado</t>
        </is>
      </c>
      <c r="J7" s="164" t="n">
        <v>0.4792107613916473</v>
      </c>
      <c r="K7" s="67" t="inlineStr">
        <is>
          <t>Penaliza número de parámetros</t>
        </is>
      </c>
      <c r="L7" s="67" t="inlineStr">
        <is>
          <t>BIC</t>
        </is>
      </c>
      <c r="M7" s="165" t="n">
        <v>-1075.462317725889</v>
      </c>
      <c r="N7" s="67" t="inlineStr">
        <is>
          <t>Seleccionó p=0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0.276518944955475</v>
      </c>
      <c r="C8" s="163" t="n">
        <v>0.1219398099265668</v>
      </c>
      <c r="D8" s="163" t="n">
        <v>2.26766750843713</v>
      </c>
      <c r="E8" s="163" t="n">
        <v>0.0242701287993908</v>
      </c>
      <c r="F8" s="163" t="n">
        <v>0.0362680177457046</v>
      </c>
      <c r="G8" s="163" t="n">
        <v>0.5167698721652454</v>
      </c>
      <c r="H8" s="64" t="n"/>
      <c r="I8" s="67" t="inlineStr">
        <is>
          <t>Observaciones</t>
        </is>
      </c>
      <c r="J8" s="67" t="n">
        <v>240</v>
      </c>
      <c r="K8" s="67" t="inlineStr">
        <is>
          <t>Mayo 2006–abril 2026</t>
        </is>
      </c>
      <c r="L8" s="67" t="inlineStr">
        <is>
          <t>HAC</t>
        </is>
      </c>
      <c r="M8" s="67" t="n">
        <v>6</v>
      </c>
      <c r="N8" s="67" t="inlineStr">
        <is>
          <t>Ventana mensual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-0.009896079617419999</v>
      </c>
      <c r="C9" s="163" t="n">
        <v>0.0048775106475057</v>
      </c>
      <c r="D9" s="163" t="n">
        <v>-2.028920146485091</v>
      </c>
      <c r="E9" s="163" t="n">
        <v>0.0436086380369615</v>
      </c>
      <c r="F9" s="163" t="n">
        <v>-0.0195059556394056</v>
      </c>
      <c r="G9" s="163" t="n">
        <v>-0.0002862035954344</v>
      </c>
      <c r="H9" s="64" t="n"/>
      <c r="I9" s="67" t="inlineStr">
        <is>
          <t>Frecuencia</t>
        </is>
      </c>
      <c r="J9" s="67" t="inlineStr">
        <is>
          <t>Mensual</t>
        </is>
      </c>
      <c r="K9" s="67" t="inlineStr">
        <is>
          <t>Promedio mensual de series diarias</t>
        </is>
      </c>
      <c r="L9" s="67" t="inlineStr">
        <is>
          <t>Objetivo</t>
        </is>
      </c>
      <c r="M9" s="67" t="inlineStr">
        <is>
          <t>Δln(TRM)</t>
        </is>
      </c>
      <c r="N9" s="67" t="inlineStr">
        <is>
          <t>Aumento = depreciación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0.0048492771671793</v>
      </c>
      <c r="C10" s="163" t="n">
        <v>0.003313426647897</v>
      </c>
      <c r="D10" s="163" t="n">
        <v>1.463523319659725</v>
      </c>
      <c r="E10" s="163" t="n">
        <v>0.1446777718295574</v>
      </c>
      <c r="F10" s="163" t="n">
        <v>-0.0016789749670353</v>
      </c>
      <c r="G10" s="163" t="n">
        <v>0.011377529301394</v>
      </c>
      <c r="H10" s="64" t="n"/>
      <c r="I10" s="64" t="n"/>
      <c r="J10" s="64" t="n"/>
      <c r="K10" s="64" t="n"/>
      <c r="L10" s="64" t="n"/>
      <c r="M10" s="64" t="n"/>
      <c r="N10" s="6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1.274605932079815</v>
      </c>
      <c r="C11" s="163" t="n">
        <v>0.1509417238960592</v>
      </c>
      <c r="D11" s="163" t="n">
        <v>8.444357856662133</v>
      </c>
      <c r="E11" s="163" t="n">
        <v>3.353308358316788e-15</v>
      </c>
      <c r="F11" s="163" t="n">
        <v>0.97721421773724</v>
      </c>
      <c r="G11" s="163" t="n">
        <v>1.571997646422389</v>
      </c>
      <c r="H11" s="64" t="n"/>
      <c r="I11" s="64" t="n"/>
      <c r="J11" s="64" t="n"/>
      <c r="K11" s="64" t="n"/>
      <c r="L11" s="64" t="n"/>
      <c r="M11" s="64" t="n"/>
      <c r="N11" s="64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64" t="inlineStr">
        <is>
          <t>Δ ln VIX (t)</t>
        </is>
      </c>
      <c r="B12" s="163" t="n">
        <v>0.0383605165774348</v>
      </c>
      <c r="C12" s="163" t="n">
        <v>0.0090936508174251</v>
      </c>
      <c r="D12" s="163" t="n">
        <v>4.218384601257043</v>
      </c>
      <c r="E12" s="163" t="n">
        <v>3.530123227255144e-05</v>
      </c>
      <c r="F12" s="163" t="n">
        <v>0.0204438243837701</v>
      </c>
      <c r="G12" s="163" t="n">
        <v>0.0562772087710995</v>
      </c>
      <c r="H12" s="64" t="n"/>
      <c r="I12" s="64" t="n"/>
      <c r="J12" s="64" t="n"/>
      <c r="K12" s="64" t="n"/>
      <c r="L12" s="64" t="n"/>
      <c r="M12" s="64" t="n"/>
      <c r="N12" s="6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Dummy pandemia 2020</t>
        </is>
      </c>
      <c r="B13" s="163" t="n">
        <v>0.0108145020323937</v>
      </c>
      <c r="C13" s="163" t="n">
        <v>0.004615434872322</v>
      </c>
      <c r="D13" s="163" t="n">
        <v>2.343116592814798</v>
      </c>
      <c r="E13" s="163" t="n">
        <v>0.019969238756193</v>
      </c>
      <c r="F13" s="163" t="n">
        <v>0.0017209786931377</v>
      </c>
      <c r="G13" s="163" t="n">
        <v>0.0199080253716496</v>
      </c>
      <c r="H13" s="64" t="n"/>
      <c r="I13" s="64" t="n"/>
      <c r="J13" s="64" t="n"/>
      <c r="K13" s="64" t="n"/>
      <c r="L13" s="64" t="n"/>
      <c r="M13" s="64" t="n"/>
      <c r="N13" s="64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n"/>
      <c r="B15" s="64" t="n"/>
      <c r="C15" s="64" t="n"/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2" t="inlineStr">
        <is>
          <t>Mes</t>
        </is>
      </c>
      <c r="B17" s="62" t="inlineStr">
        <is>
          <t>Δln TRM observado</t>
        </is>
      </c>
      <c r="C17" s="62" t="inlineStr">
        <is>
          <t>Constante</t>
        </is>
      </c>
      <c r="D17" s="62" t="inlineStr">
        <is>
          <t>Términos de intercambio</t>
        </is>
      </c>
      <c r="E17" s="62" t="inlineStr">
        <is>
          <t>Dólar amplio</t>
        </is>
      </c>
      <c r="F17" s="62" t="inlineStr">
        <is>
          <t>VIX</t>
        </is>
      </c>
      <c r="G17" s="62" t="inlineStr">
        <is>
          <t>Remesas t−1</t>
        </is>
      </c>
      <c r="H17" s="62" t="inlineStr">
        <is>
          <t>Tasas t−1</t>
        </is>
      </c>
      <c r="I17" s="62" t="inlineStr">
        <is>
          <t>Fiscal t−1</t>
        </is>
      </c>
      <c r="J17" s="62" t="inlineStr">
        <is>
          <t>Pandemia</t>
        </is>
      </c>
      <c r="K17" s="62" t="inlineStr">
        <is>
          <t>Δln TRM ajustado</t>
        </is>
      </c>
      <c r="L17" s="62" t="inlineStr">
        <is>
          <t>Residuo</t>
        </is>
      </c>
      <c r="M17" s="62" t="inlineStr">
        <is>
          <t>TRM observada</t>
        </is>
      </c>
      <c r="N17" s="62" t="inlineStr">
        <is>
          <t>TRM ajustada 1 paso</t>
        </is>
      </c>
      <c r="O17" s="1" t="n"/>
      <c r="P17" s="62" t="inlineStr">
        <is>
          <t>Mes</t>
        </is>
      </c>
      <c r="Q17" s="62" t="inlineStr">
        <is>
          <t>TRM observada</t>
        </is>
      </c>
      <c r="R17" s="62" t="inlineStr">
        <is>
          <t>TRM ajustada</t>
        </is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'Transformaciones'!A11</f>
        <v/>
      </c>
      <c r="B18" s="160">
        <f>'Transformaciones'!C11</f>
        <v/>
      </c>
      <c r="C18" s="160">
        <f>$B$6</f>
        <v/>
      </c>
      <c r="D18" s="160">
        <f>$B$7*'Transformaciones'!E11</f>
        <v/>
      </c>
      <c r="E18" s="160">
        <f>$B$11*'Transformaciones'!M11</f>
        <v/>
      </c>
      <c r="F18" s="160">
        <f>$B$12*'Transformaciones'!O11</f>
        <v/>
      </c>
      <c r="G18" s="160">
        <f>$B$8*'Transformaciones'!G10</f>
        <v/>
      </c>
      <c r="H18" s="160">
        <f>$B$9*'Transformaciones'!I10</f>
        <v/>
      </c>
      <c r="I18" s="160">
        <f>$B$10*'Transformaciones'!K10</f>
        <v/>
      </c>
      <c r="J18" s="160">
        <f>$B$13*'Transformaciones'!P11</f>
        <v/>
      </c>
      <c r="K18" s="166">
        <f>SUM(C18:J18)</f>
        <v/>
      </c>
      <c r="L18" s="166">
        <f>B18-K18</f>
        <v/>
      </c>
      <c r="M18" s="167">
        <f>'Datos_fuente'!B11</f>
        <v/>
      </c>
      <c r="N18" s="167">
        <f>EXP('Transformaciones'!B10+K18)</f>
        <v/>
      </c>
      <c r="O18" s="1" t="n"/>
      <c r="P18" s="1">
        <f>A18</f>
        <v/>
      </c>
      <c r="Q18" s="168">
        <f>M18</f>
        <v/>
      </c>
      <c r="R18" s="168">
        <f>N18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'Transformaciones'!A12</f>
        <v/>
      </c>
      <c r="B19" s="160">
        <f>'Transformaciones'!C12</f>
        <v/>
      </c>
      <c r="C19" s="160">
        <f>$B$6</f>
        <v/>
      </c>
      <c r="D19" s="160">
        <f>$B$7*'Transformaciones'!E12</f>
        <v/>
      </c>
      <c r="E19" s="160">
        <f>$B$11*'Transformaciones'!M12</f>
        <v/>
      </c>
      <c r="F19" s="160">
        <f>$B$12*'Transformaciones'!O12</f>
        <v/>
      </c>
      <c r="G19" s="160">
        <f>$B$8*'Transformaciones'!G11</f>
        <v/>
      </c>
      <c r="H19" s="160">
        <f>$B$9*'Transformaciones'!I11</f>
        <v/>
      </c>
      <c r="I19" s="160">
        <f>$B$10*'Transformaciones'!K11</f>
        <v/>
      </c>
      <c r="J19" s="160">
        <f>$B$13*'Transformaciones'!P12</f>
        <v/>
      </c>
      <c r="K19" s="166">
        <f>SUM(C19:J19)</f>
        <v/>
      </c>
      <c r="L19" s="166">
        <f>B19-K19</f>
        <v/>
      </c>
      <c r="M19" s="167">
        <f>'Datos_fuente'!B12</f>
        <v/>
      </c>
      <c r="N19" s="167">
        <f>EXP('Transformaciones'!B11+K19)</f>
        <v/>
      </c>
      <c r="O19" s="1" t="n"/>
      <c r="P19" s="1">
        <f>A30</f>
        <v/>
      </c>
      <c r="Q19" s="168">
        <f>M30</f>
        <v/>
      </c>
      <c r="R19" s="168">
        <f>N30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'Transformaciones'!A13</f>
        <v/>
      </c>
      <c r="B20" s="160">
        <f>'Transformaciones'!C13</f>
        <v/>
      </c>
      <c r="C20" s="160">
        <f>$B$6</f>
        <v/>
      </c>
      <c r="D20" s="160">
        <f>$B$7*'Transformaciones'!E13</f>
        <v/>
      </c>
      <c r="E20" s="160">
        <f>$B$11*'Transformaciones'!M13</f>
        <v/>
      </c>
      <c r="F20" s="160">
        <f>$B$12*'Transformaciones'!O13</f>
        <v/>
      </c>
      <c r="G20" s="160">
        <f>$B$8*'Transformaciones'!G12</f>
        <v/>
      </c>
      <c r="H20" s="160">
        <f>$B$9*'Transformaciones'!I12</f>
        <v/>
      </c>
      <c r="I20" s="160">
        <f>$B$10*'Transformaciones'!K12</f>
        <v/>
      </c>
      <c r="J20" s="160">
        <f>$B$13*'Transformaciones'!P13</f>
        <v/>
      </c>
      <c r="K20" s="166">
        <f>SUM(C20:J20)</f>
        <v/>
      </c>
      <c r="L20" s="166">
        <f>B20-K20</f>
        <v/>
      </c>
      <c r="M20" s="167">
        <f>'Datos_fuente'!B13</f>
        <v/>
      </c>
      <c r="N20" s="167">
        <f>EXP('Transformaciones'!B12+K20)</f>
        <v/>
      </c>
      <c r="O20" s="1" t="n"/>
      <c r="P20" s="1">
        <f>A42</f>
        <v/>
      </c>
      <c r="Q20" s="168">
        <f>M42</f>
        <v/>
      </c>
      <c r="R20" s="168">
        <f>N42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'Transformaciones'!A14</f>
        <v/>
      </c>
      <c r="B21" s="160">
        <f>'Transformaciones'!C14</f>
        <v/>
      </c>
      <c r="C21" s="160">
        <f>$B$6</f>
        <v/>
      </c>
      <c r="D21" s="160">
        <f>$B$7*'Transformaciones'!E14</f>
        <v/>
      </c>
      <c r="E21" s="160">
        <f>$B$11*'Transformaciones'!M14</f>
        <v/>
      </c>
      <c r="F21" s="160">
        <f>$B$12*'Transformaciones'!O14</f>
        <v/>
      </c>
      <c r="G21" s="160">
        <f>$B$8*'Transformaciones'!G13</f>
        <v/>
      </c>
      <c r="H21" s="160">
        <f>$B$9*'Transformaciones'!I13</f>
        <v/>
      </c>
      <c r="I21" s="160">
        <f>$B$10*'Transformaciones'!K13</f>
        <v/>
      </c>
      <c r="J21" s="160">
        <f>$B$13*'Transformaciones'!P14</f>
        <v/>
      </c>
      <c r="K21" s="166">
        <f>SUM(C21:J21)</f>
        <v/>
      </c>
      <c r="L21" s="166">
        <f>B21-K21</f>
        <v/>
      </c>
      <c r="M21" s="167">
        <f>'Datos_fuente'!B14</f>
        <v/>
      </c>
      <c r="N21" s="167">
        <f>EXP('Transformaciones'!B13+K21)</f>
        <v/>
      </c>
      <c r="O21" s="1" t="n"/>
      <c r="P21" s="1">
        <f>A54</f>
        <v/>
      </c>
      <c r="Q21" s="168">
        <f>M54</f>
        <v/>
      </c>
      <c r="R21" s="168">
        <f>N54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'Transformaciones'!A15</f>
        <v/>
      </c>
      <c r="B22" s="160">
        <f>'Transformaciones'!C15</f>
        <v/>
      </c>
      <c r="C22" s="160">
        <f>$B$6</f>
        <v/>
      </c>
      <c r="D22" s="160">
        <f>$B$7*'Transformaciones'!E15</f>
        <v/>
      </c>
      <c r="E22" s="160">
        <f>$B$11*'Transformaciones'!M15</f>
        <v/>
      </c>
      <c r="F22" s="160">
        <f>$B$12*'Transformaciones'!O15</f>
        <v/>
      </c>
      <c r="G22" s="160">
        <f>$B$8*'Transformaciones'!G14</f>
        <v/>
      </c>
      <c r="H22" s="160">
        <f>$B$9*'Transformaciones'!I14</f>
        <v/>
      </c>
      <c r="I22" s="160">
        <f>$B$10*'Transformaciones'!K14</f>
        <v/>
      </c>
      <c r="J22" s="160">
        <f>$B$13*'Transformaciones'!P15</f>
        <v/>
      </c>
      <c r="K22" s="166">
        <f>SUM(C22:J22)</f>
        <v/>
      </c>
      <c r="L22" s="166">
        <f>B22-K22</f>
        <v/>
      </c>
      <c r="M22" s="167">
        <f>'Datos_fuente'!B15</f>
        <v/>
      </c>
      <c r="N22" s="167">
        <f>EXP('Transformaciones'!B14+K22)</f>
        <v/>
      </c>
      <c r="O22" s="1" t="n"/>
      <c r="P22" s="1">
        <f>A66</f>
        <v/>
      </c>
      <c r="Q22" s="168">
        <f>M66</f>
        <v/>
      </c>
      <c r="R22" s="168">
        <f>N66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'Transformaciones'!A16</f>
        <v/>
      </c>
      <c r="B23" s="160">
        <f>'Transformaciones'!C16</f>
        <v/>
      </c>
      <c r="C23" s="160">
        <f>$B$6</f>
        <v/>
      </c>
      <c r="D23" s="160">
        <f>$B$7*'Transformaciones'!E16</f>
        <v/>
      </c>
      <c r="E23" s="160">
        <f>$B$11*'Transformaciones'!M16</f>
        <v/>
      </c>
      <c r="F23" s="160">
        <f>$B$12*'Transformaciones'!O16</f>
        <v/>
      </c>
      <c r="G23" s="160">
        <f>$B$8*'Transformaciones'!G15</f>
        <v/>
      </c>
      <c r="H23" s="160">
        <f>$B$9*'Transformaciones'!I15</f>
        <v/>
      </c>
      <c r="I23" s="160">
        <f>$B$10*'Transformaciones'!K15</f>
        <v/>
      </c>
      <c r="J23" s="160">
        <f>$B$13*'Transformaciones'!P16</f>
        <v/>
      </c>
      <c r="K23" s="166">
        <f>SUM(C23:J23)</f>
        <v/>
      </c>
      <c r="L23" s="166">
        <f>B23-K23</f>
        <v/>
      </c>
      <c r="M23" s="167">
        <f>'Datos_fuente'!B16</f>
        <v/>
      </c>
      <c r="N23" s="167">
        <f>EXP('Transformaciones'!B15+K23)</f>
        <v/>
      </c>
      <c r="O23" s="1" t="n"/>
      <c r="P23" s="1">
        <f>A78</f>
        <v/>
      </c>
      <c r="Q23" s="168">
        <f>M78</f>
        <v/>
      </c>
      <c r="R23" s="168">
        <f>N78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'Transformaciones'!A17</f>
        <v/>
      </c>
      <c r="B24" s="160">
        <f>'Transformaciones'!C17</f>
        <v/>
      </c>
      <c r="C24" s="160">
        <f>$B$6</f>
        <v/>
      </c>
      <c r="D24" s="160">
        <f>$B$7*'Transformaciones'!E17</f>
        <v/>
      </c>
      <c r="E24" s="160">
        <f>$B$11*'Transformaciones'!M17</f>
        <v/>
      </c>
      <c r="F24" s="160">
        <f>$B$12*'Transformaciones'!O17</f>
        <v/>
      </c>
      <c r="G24" s="160">
        <f>$B$8*'Transformaciones'!G16</f>
        <v/>
      </c>
      <c r="H24" s="160">
        <f>$B$9*'Transformaciones'!I16</f>
        <v/>
      </c>
      <c r="I24" s="160">
        <f>$B$10*'Transformaciones'!K16</f>
        <v/>
      </c>
      <c r="J24" s="160">
        <f>$B$13*'Transformaciones'!P17</f>
        <v/>
      </c>
      <c r="K24" s="166">
        <f>SUM(C24:J24)</f>
        <v/>
      </c>
      <c r="L24" s="166">
        <f>B24-K24</f>
        <v/>
      </c>
      <c r="M24" s="167">
        <f>'Datos_fuente'!B17</f>
        <v/>
      </c>
      <c r="N24" s="167">
        <f>EXP('Transformaciones'!B16+K24)</f>
        <v/>
      </c>
      <c r="O24" s="1" t="n"/>
      <c r="P24" s="1">
        <f>A90</f>
        <v/>
      </c>
      <c r="Q24" s="168">
        <f>M90</f>
        <v/>
      </c>
      <c r="R24" s="168">
        <f>N90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'Transformaciones'!A18</f>
        <v/>
      </c>
      <c r="B25" s="160">
        <f>'Transformaciones'!C18</f>
        <v/>
      </c>
      <c r="C25" s="160">
        <f>$B$6</f>
        <v/>
      </c>
      <c r="D25" s="160">
        <f>$B$7*'Transformaciones'!E18</f>
        <v/>
      </c>
      <c r="E25" s="160">
        <f>$B$11*'Transformaciones'!M18</f>
        <v/>
      </c>
      <c r="F25" s="160">
        <f>$B$12*'Transformaciones'!O18</f>
        <v/>
      </c>
      <c r="G25" s="160">
        <f>$B$8*'Transformaciones'!G17</f>
        <v/>
      </c>
      <c r="H25" s="160">
        <f>$B$9*'Transformaciones'!I17</f>
        <v/>
      </c>
      <c r="I25" s="160">
        <f>$B$10*'Transformaciones'!K17</f>
        <v/>
      </c>
      <c r="J25" s="160">
        <f>$B$13*'Transformaciones'!P18</f>
        <v/>
      </c>
      <c r="K25" s="166">
        <f>SUM(C25:J25)</f>
        <v/>
      </c>
      <c r="L25" s="166">
        <f>B25-K25</f>
        <v/>
      </c>
      <c r="M25" s="167">
        <f>'Datos_fuente'!B18</f>
        <v/>
      </c>
      <c r="N25" s="167">
        <f>EXP('Transformaciones'!B17+K25)</f>
        <v/>
      </c>
      <c r="O25" s="1" t="n"/>
      <c r="P25" s="1">
        <f>A102</f>
        <v/>
      </c>
      <c r="Q25" s="168">
        <f>M102</f>
        <v/>
      </c>
      <c r="R25" s="168">
        <f>N102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'Transformaciones'!A19</f>
        <v/>
      </c>
      <c r="B26" s="160">
        <f>'Transformaciones'!C19</f>
        <v/>
      </c>
      <c r="C26" s="160">
        <f>$B$6</f>
        <v/>
      </c>
      <c r="D26" s="160">
        <f>$B$7*'Transformaciones'!E19</f>
        <v/>
      </c>
      <c r="E26" s="160">
        <f>$B$11*'Transformaciones'!M19</f>
        <v/>
      </c>
      <c r="F26" s="160">
        <f>$B$12*'Transformaciones'!O19</f>
        <v/>
      </c>
      <c r="G26" s="160">
        <f>$B$8*'Transformaciones'!G18</f>
        <v/>
      </c>
      <c r="H26" s="160">
        <f>$B$9*'Transformaciones'!I18</f>
        <v/>
      </c>
      <c r="I26" s="160">
        <f>$B$10*'Transformaciones'!K18</f>
        <v/>
      </c>
      <c r="J26" s="160">
        <f>$B$13*'Transformaciones'!P19</f>
        <v/>
      </c>
      <c r="K26" s="166">
        <f>SUM(C26:J26)</f>
        <v/>
      </c>
      <c r="L26" s="166">
        <f>B26-K26</f>
        <v/>
      </c>
      <c r="M26" s="167">
        <f>'Datos_fuente'!B19</f>
        <v/>
      </c>
      <c r="N26" s="167">
        <f>EXP('Transformaciones'!B18+K26)</f>
        <v/>
      </c>
      <c r="O26" s="1" t="n"/>
      <c r="P26" s="1">
        <f>A114</f>
        <v/>
      </c>
      <c r="Q26" s="168">
        <f>M114</f>
        <v/>
      </c>
      <c r="R26" s="168">
        <f>N114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'Transformaciones'!A20</f>
        <v/>
      </c>
      <c r="B27" s="160">
        <f>'Transformaciones'!C20</f>
        <v/>
      </c>
      <c r="C27" s="160">
        <f>$B$6</f>
        <v/>
      </c>
      <c r="D27" s="160">
        <f>$B$7*'Transformaciones'!E20</f>
        <v/>
      </c>
      <c r="E27" s="160">
        <f>$B$11*'Transformaciones'!M20</f>
        <v/>
      </c>
      <c r="F27" s="160">
        <f>$B$12*'Transformaciones'!O20</f>
        <v/>
      </c>
      <c r="G27" s="160">
        <f>$B$8*'Transformaciones'!G19</f>
        <v/>
      </c>
      <c r="H27" s="160">
        <f>$B$9*'Transformaciones'!I19</f>
        <v/>
      </c>
      <c r="I27" s="160">
        <f>$B$10*'Transformaciones'!K19</f>
        <v/>
      </c>
      <c r="J27" s="160">
        <f>$B$13*'Transformaciones'!P20</f>
        <v/>
      </c>
      <c r="K27" s="166">
        <f>SUM(C27:J27)</f>
        <v/>
      </c>
      <c r="L27" s="166">
        <f>B27-K27</f>
        <v/>
      </c>
      <c r="M27" s="167">
        <f>'Datos_fuente'!B20</f>
        <v/>
      </c>
      <c r="N27" s="167">
        <f>EXP('Transformaciones'!B19+K27)</f>
        <v/>
      </c>
      <c r="O27" s="1" t="n"/>
      <c r="P27" s="1">
        <f>A126</f>
        <v/>
      </c>
      <c r="Q27" s="168">
        <f>M126</f>
        <v/>
      </c>
      <c r="R27" s="168">
        <f>N126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'Transformaciones'!A21</f>
        <v/>
      </c>
      <c r="B28" s="160">
        <f>'Transformaciones'!C21</f>
        <v/>
      </c>
      <c r="C28" s="160">
        <f>$B$6</f>
        <v/>
      </c>
      <c r="D28" s="160">
        <f>$B$7*'Transformaciones'!E21</f>
        <v/>
      </c>
      <c r="E28" s="160">
        <f>$B$11*'Transformaciones'!M21</f>
        <v/>
      </c>
      <c r="F28" s="160">
        <f>$B$12*'Transformaciones'!O21</f>
        <v/>
      </c>
      <c r="G28" s="160">
        <f>$B$8*'Transformaciones'!G20</f>
        <v/>
      </c>
      <c r="H28" s="160">
        <f>$B$9*'Transformaciones'!I20</f>
        <v/>
      </c>
      <c r="I28" s="160">
        <f>$B$10*'Transformaciones'!K20</f>
        <v/>
      </c>
      <c r="J28" s="160">
        <f>$B$13*'Transformaciones'!P21</f>
        <v/>
      </c>
      <c r="K28" s="166">
        <f>SUM(C28:J28)</f>
        <v/>
      </c>
      <c r="L28" s="166">
        <f>B28-K28</f>
        <v/>
      </c>
      <c r="M28" s="167">
        <f>'Datos_fuente'!B21</f>
        <v/>
      </c>
      <c r="N28" s="167">
        <f>EXP('Transformaciones'!B20+K28)</f>
        <v/>
      </c>
      <c r="O28" s="1" t="n"/>
      <c r="P28" s="1">
        <f>A138</f>
        <v/>
      </c>
      <c r="Q28" s="168">
        <f>M138</f>
        <v/>
      </c>
      <c r="R28" s="168">
        <f>N138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'Transformaciones'!A22</f>
        <v/>
      </c>
      <c r="B29" s="160">
        <f>'Transformaciones'!C22</f>
        <v/>
      </c>
      <c r="C29" s="160">
        <f>$B$6</f>
        <v/>
      </c>
      <c r="D29" s="160">
        <f>$B$7*'Transformaciones'!E22</f>
        <v/>
      </c>
      <c r="E29" s="160">
        <f>$B$11*'Transformaciones'!M22</f>
        <v/>
      </c>
      <c r="F29" s="160">
        <f>$B$12*'Transformaciones'!O22</f>
        <v/>
      </c>
      <c r="G29" s="160">
        <f>$B$8*'Transformaciones'!G21</f>
        <v/>
      </c>
      <c r="H29" s="160">
        <f>$B$9*'Transformaciones'!I21</f>
        <v/>
      </c>
      <c r="I29" s="160">
        <f>$B$10*'Transformaciones'!K21</f>
        <v/>
      </c>
      <c r="J29" s="160">
        <f>$B$13*'Transformaciones'!P22</f>
        <v/>
      </c>
      <c r="K29" s="166">
        <f>SUM(C29:J29)</f>
        <v/>
      </c>
      <c r="L29" s="166">
        <f>B29-K29</f>
        <v/>
      </c>
      <c r="M29" s="167">
        <f>'Datos_fuente'!B22</f>
        <v/>
      </c>
      <c r="N29" s="167">
        <f>EXP('Transformaciones'!B21+K29)</f>
        <v/>
      </c>
      <c r="O29" s="1" t="n"/>
      <c r="P29" s="1">
        <f>A150</f>
        <v/>
      </c>
      <c r="Q29" s="168">
        <f>M150</f>
        <v/>
      </c>
      <c r="R29" s="168">
        <f>N150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'Transformaciones'!A23</f>
        <v/>
      </c>
      <c r="B30" s="160">
        <f>'Transformaciones'!C23</f>
        <v/>
      </c>
      <c r="C30" s="160">
        <f>$B$6</f>
        <v/>
      </c>
      <c r="D30" s="160">
        <f>$B$7*'Transformaciones'!E23</f>
        <v/>
      </c>
      <c r="E30" s="160">
        <f>$B$11*'Transformaciones'!M23</f>
        <v/>
      </c>
      <c r="F30" s="160">
        <f>$B$12*'Transformaciones'!O23</f>
        <v/>
      </c>
      <c r="G30" s="160">
        <f>$B$8*'Transformaciones'!G22</f>
        <v/>
      </c>
      <c r="H30" s="160">
        <f>$B$9*'Transformaciones'!I22</f>
        <v/>
      </c>
      <c r="I30" s="160">
        <f>$B$10*'Transformaciones'!K22</f>
        <v/>
      </c>
      <c r="J30" s="160">
        <f>$B$13*'Transformaciones'!P23</f>
        <v/>
      </c>
      <c r="K30" s="166">
        <f>SUM(C30:J30)</f>
        <v/>
      </c>
      <c r="L30" s="166">
        <f>B30-K30</f>
        <v/>
      </c>
      <c r="M30" s="167">
        <f>'Datos_fuente'!B23</f>
        <v/>
      </c>
      <c r="N30" s="167">
        <f>EXP('Transformaciones'!B22+K30)</f>
        <v/>
      </c>
      <c r="O30" s="1" t="n"/>
      <c r="P30" s="1">
        <f>A162</f>
        <v/>
      </c>
      <c r="Q30" s="168">
        <f>M162</f>
        <v/>
      </c>
      <c r="R30" s="168">
        <f>N162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'Transformaciones'!A24</f>
        <v/>
      </c>
      <c r="B31" s="160">
        <f>'Transformaciones'!C24</f>
        <v/>
      </c>
      <c r="C31" s="160">
        <f>$B$6</f>
        <v/>
      </c>
      <c r="D31" s="160">
        <f>$B$7*'Transformaciones'!E24</f>
        <v/>
      </c>
      <c r="E31" s="160">
        <f>$B$11*'Transformaciones'!M24</f>
        <v/>
      </c>
      <c r="F31" s="160">
        <f>$B$12*'Transformaciones'!O24</f>
        <v/>
      </c>
      <c r="G31" s="160">
        <f>$B$8*'Transformaciones'!G23</f>
        <v/>
      </c>
      <c r="H31" s="160">
        <f>$B$9*'Transformaciones'!I23</f>
        <v/>
      </c>
      <c r="I31" s="160">
        <f>$B$10*'Transformaciones'!K23</f>
        <v/>
      </c>
      <c r="J31" s="160">
        <f>$B$13*'Transformaciones'!P24</f>
        <v/>
      </c>
      <c r="K31" s="166">
        <f>SUM(C31:J31)</f>
        <v/>
      </c>
      <c r="L31" s="166">
        <f>B31-K31</f>
        <v/>
      </c>
      <c r="M31" s="167">
        <f>'Datos_fuente'!B24</f>
        <v/>
      </c>
      <c r="N31" s="167">
        <f>EXP('Transformaciones'!B23+K31)</f>
        <v/>
      </c>
      <c r="O31" s="1" t="n"/>
      <c r="P31" s="1">
        <f>A174</f>
        <v/>
      </c>
      <c r="Q31" s="168">
        <f>M174</f>
        <v/>
      </c>
      <c r="R31" s="168">
        <f>N174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'Transformaciones'!A25</f>
        <v/>
      </c>
      <c r="B32" s="160">
        <f>'Transformaciones'!C25</f>
        <v/>
      </c>
      <c r="C32" s="160">
        <f>$B$6</f>
        <v/>
      </c>
      <c r="D32" s="160">
        <f>$B$7*'Transformaciones'!E25</f>
        <v/>
      </c>
      <c r="E32" s="160">
        <f>$B$11*'Transformaciones'!M25</f>
        <v/>
      </c>
      <c r="F32" s="160">
        <f>$B$12*'Transformaciones'!O25</f>
        <v/>
      </c>
      <c r="G32" s="160">
        <f>$B$8*'Transformaciones'!G24</f>
        <v/>
      </c>
      <c r="H32" s="160">
        <f>$B$9*'Transformaciones'!I24</f>
        <v/>
      </c>
      <c r="I32" s="160">
        <f>$B$10*'Transformaciones'!K24</f>
        <v/>
      </c>
      <c r="J32" s="160">
        <f>$B$13*'Transformaciones'!P25</f>
        <v/>
      </c>
      <c r="K32" s="166">
        <f>SUM(C32:J32)</f>
        <v/>
      </c>
      <c r="L32" s="166">
        <f>B32-K32</f>
        <v/>
      </c>
      <c r="M32" s="167">
        <f>'Datos_fuente'!B25</f>
        <v/>
      </c>
      <c r="N32" s="167">
        <f>EXP('Transformaciones'!B24+K32)</f>
        <v/>
      </c>
      <c r="O32" s="1" t="n"/>
      <c r="P32" s="1">
        <f>A186</f>
        <v/>
      </c>
      <c r="Q32" s="168">
        <f>M186</f>
        <v/>
      </c>
      <c r="R32" s="168">
        <f>N186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'Transformaciones'!A26</f>
        <v/>
      </c>
      <c r="B33" s="160">
        <f>'Transformaciones'!C26</f>
        <v/>
      </c>
      <c r="C33" s="160">
        <f>$B$6</f>
        <v/>
      </c>
      <c r="D33" s="160">
        <f>$B$7*'Transformaciones'!E26</f>
        <v/>
      </c>
      <c r="E33" s="160">
        <f>$B$11*'Transformaciones'!M26</f>
        <v/>
      </c>
      <c r="F33" s="160">
        <f>$B$12*'Transformaciones'!O26</f>
        <v/>
      </c>
      <c r="G33" s="160">
        <f>$B$8*'Transformaciones'!G25</f>
        <v/>
      </c>
      <c r="H33" s="160">
        <f>$B$9*'Transformaciones'!I25</f>
        <v/>
      </c>
      <c r="I33" s="160">
        <f>$B$10*'Transformaciones'!K25</f>
        <v/>
      </c>
      <c r="J33" s="160">
        <f>$B$13*'Transformaciones'!P26</f>
        <v/>
      </c>
      <c r="K33" s="166">
        <f>SUM(C33:J33)</f>
        <v/>
      </c>
      <c r="L33" s="166">
        <f>B33-K33</f>
        <v/>
      </c>
      <c r="M33" s="167">
        <f>'Datos_fuente'!B26</f>
        <v/>
      </c>
      <c r="N33" s="167">
        <f>EXP('Transformaciones'!B25+K33)</f>
        <v/>
      </c>
      <c r="O33" s="1" t="n"/>
      <c r="P33" s="1">
        <f>A198</f>
        <v/>
      </c>
      <c r="Q33" s="168">
        <f>M198</f>
        <v/>
      </c>
      <c r="R33" s="168">
        <f>N198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'Transformaciones'!A27</f>
        <v/>
      </c>
      <c r="B34" s="160">
        <f>'Transformaciones'!C27</f>
        <v/>
      </c>
      <c r="C34" s="160">
        <f>$B$6</f>
        <v/>
      </c>
      <c r="D34" s="160">
        <f>$B$7*'Transformaciones'!E27</f>
        <v/>
      </c>
      <c r="E34" s="160">
        <f>$B$11*'Transformaciones'!M27</f>
        <v/>
      </c>
      <c r="F34" s="160">
        <f>$B$12*'Transformaciones'!O27</f>
        <v/>
      </c>
      <c r="G34" s="160">
        <f>$B$8*'Transformaciones'!G26</f>
        <v/>
      </c>
      <c r="H34" s="160">
        <f>$B$9*'Transformaciones'!I26</f>
        <v/>
      </c>
      <c r="I34" s="160">
        <f>$B$10*'Transformaciones'!K26</f>
        <v/>
      </c>
      <c r="J34" s="160">
        <f>$B$13*'Transformaciones'!P27</f>
        <v/>
      </c>
      <c r="K34" s="166">
        <f>SUM(C34:J34)</f>
        <v/>
      </c>
      <c r="L34" s="166">
        <f>B34-K34</f>
        <v/>
      </c>
      <c r="M34" s="167">
        <f>'Datos_fuente'!B27</f>
        <v/>
      </c>
      <c r="N34" s="167">
        <f>EXP('Transformaciones'!B26+K34)</f>
        <v/>
      </c>
      <c r="O34" s="1" t="n"/>
      <c r="P34" s="1">
        <f>A210</f>
        <v/>
      </c>
      <c r="Q34" s="168">
        <f>M210</f>
        <v/>
      </c>
      <c r="R34" s="168">
        <f>N210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'Transformaciones'!A28</f>
        <v/>
      </c>
      <c r="B35" s="160">
        <f>'Transformaciones'!C28</f>
        <v/>
      </c>
      <c r="C35" s="160">
        <f>$B$6</f>
        <v/>
      </c>
      <c r="D35" s="160">
        <f>$B$7*'Transformaciones'!E28</f>
        <v/>
      </c>
      <c r="E35" s="160">
        <f>$B$11*'Transformaciones'!M28</f>
        <v/>
      </c>
      <c r="F35" s="160">
        <f>$B$12*'Transformaciones'!O28</f>
        <v/>
      </c>
      <c r="G35" s="160">
        <f>$B$8*'Transformaciones'!G27</f>
        <v/>
      </c>
      <c r="H35" s="160">
        <f>$B$9*'Transformaciones'!I27</f>
        <v/>
      </c>
      <c r="I35" s="160">
        <f>$B$10*'Transformaciones'!K27</f>
        <v/>
      </c>
      <c r="J35" s="160">
        <f>$B$13*'Transformaciones'!P28</f>
        <v/>
      </c>
      <c r="K35" s="166">
        <f>SUM(C35:J35)</f>
        <v/>
      </c>
      <c r="L35" s="166">
        <f>B35-K35</f>
        <v/>
      </c>
      <c r="M35" s="167">
        <f>'Datos_fuente'!B28</f>
        <v/>
      </c>
      <c r="N35" s="167">
        <f>EXP('Transformaciones'!B27+K35)</f>
        <v/>
      </c>
      <c r="O35" s="1" t="n"/>
      <c r="P35" s="1">
        <f>A222</f>
        <v/>
      </c>
      <c r="Q35" s="168">
        <f>M222</f>
        <v/>
      </c>
      <c r="R35" s="168">
        <f>N222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'Transformaciones'!A29</f>
        <v/>
      </c>
      <c r="B36" s="160">
        <f>'Transformaciones'!C29</f>
        <v/>
      </c>
      <c r="C36" s="160">
        <f>$B$6</f>
        <v/>
      </c>
      <c r="D36" s="160">
        <f>$B$7*'Transformaciones'!E29</f>
        <v/>
      </c>
      <c r="E36" s="160">
        <f>$B$11*'Transformaciones'!M29</f>
        <v/>
      </c>
      <c r="F36" s="160">
        <f>$B$12*'Transformaciones'!O29</f>
        <v/>
      </c>
      <c r="G36" s="160">
        <f>$B$8*'Transformaciones'!G28</f>
        <v/>
      </c>
      <c r="H36" s="160">
        <f>$B$9*'Transformaciones'!I28</f>
        <v/>
      </c>
      <c r="I36" s="160">
        <f>$B$10*'Transformaciones'!K28</f>
        <v/>
      </c>
      <c r="J36" s="160">
        <f>$B$13*'Transformaciones'!P29</f>
        <v/>
      </c>
      <c r="K36" s="166">
        <f>SUM(C36:J36)</f>
        <v/>
      </c>
      <c r="L36" s="166">
        <f>B36-K36</f>
        <v/>
      </c>
      <c r="M36" s="167">
        <f>'Datos_fuente'!B29</f>
        <v/>
      </c>
      <c r="N36" s="167">
        <f>EXP('Transformaciones'!B28+K36)</f>
        <v/>
      </c>
      <c r="O36" s="1" t="n"/>
      <c r="P36" s="1">
        <f>A234</f>
        <v/>
      </c>
      <c r="Q36" s="168">
        <f>M234</f>
        <v/>
      </c>
      <c r="R36" s="168">
        <f>N234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'Transformaciones'!A30</f>
        <v/>
      </c>
      <c r="B37" s="160">
        <f>'Transformaciones'!C30</f>
        <v/>
      </c>
      <c r="C37" s="160">
        <f>$B$6</f>
        <v/>
      </c>
      <c r="D37" s="160">
        <f>$B$7*'Transformaciones'!E30</f>
        <v/>
      </c>
      <c r="E37" s="160">
        <f>$B$11*'Transformaciones'!M30</f>
        <v/>
      </c>
      <c r="F37" s="160">
        <f>$B$12*'Transformaciones'!O30</f>
        <v/>
      </c>
      <c r="G37" s="160">
        <f>$B$8*'Transformaciones'!G29</f>
        <v/>
      </c>
      <c r="H37" s="160">
        <f>$B$9*'Transformaciones'!I29</f>
        <v/>
      </c>
      <c r="I37" s="160">
        <f>$B$10*'Transformaciones'!K29</f>
        <v/>
      </c>
      <c r="J37" s="160">
        <f>$B$13*'Transformaciones'!P30</f>
        <v/>
      </c>
      <c r="K37" s="166">
        <f>SUM(C37:J37)</f>
        <v/>
      </c>
      <c r="L37" s="166">
        <f>B37-K37</f>
        <v/>
      </c>
      <c r="M37" s="167">
        <f>'Datos_fuente'!B30</f>
        <v/>
      </c>
      <c r="N37" s="167">
        <f>EXP('Transformaciones'!B29+K37)</f>
        <v/>
      </c>
      <c r="O37" s="1" t="n"/>
      <c r="P37" s="1">
        <f>A246</f>
        <v/>
      </c>
      <c r="Q37" s="168">
        <f>M246</f>
        <v/>
      </c>
      <c r="R37" s="168">
        <f>N246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'Transformaciones'!A31</f>
        <v/>
      </c>
      <c r="B38" s="160">
        <f>'Transformaciones'!C31</f>
        <v/>
      </c>
      <c r="C38" s="160">
        <f>$B$6</f>
        <v/>
      </c>
      <c r="D38" s="160">
        <f>$B$7*'Transformaciones'!E31</f>
        <v/>
      </c>
      <c r="E38" s="160">
        <f>$B$11*'Transformaciones'!M31</f>
        <v/>
      </c>
      <c r="F38" s="160">
        <f>$B$12*'Transformaciones'!O31</f>
        <v/>
      </c>
      <c r="G38" s="160">
        <f>$B$8*'Transformaciones'!G30</f>
        <v/>
      </c>
      <c r="H38" s="160">
        <f>$B$9*'Transformaciones'!I30</f>
        <v/>
      </c>
      <c r="I38" s="160">
        <f>$B$10*'Transformaciones'!K30</f>
        <v/>
      </c>
      <c r="J38" s="160">
        <f>$B$13*'Transformaciones'!P31</f>
        <v/>
      </c>
      <c r="K38" s="166">
        <f>SUM(C38:J38)</f>
        <v/>
      </c>
      <c r="L38" s="166">
        <f>B38-K38</f>
        <v/>
      </c>
      <c r="M38" s="167">
        <f>'Datos_fuente'!B31</f>
        <v/>
      </c>
      <c r="N38" s="167">
        <f>EXP('Transformaciones'!B30+K38)</f>
        <v/>
      </c>
      <c r="O38" s="1" t="n"/>
      <c r="P38" s="1">
        <f>A257</f>
        <v/>
      </c>
      <c r="Q38" s="168">
        <f>M257</f>
        <v/>
      </c>
      <c r="R38" s="168">
        <f>N257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'Transformaciones'!A32</f>
        <v/>
      </c>
      <c r="B39" s="160">
        <f>'Transformaciones'!C32</f>
        <v/>
      </c>
      <c r="C39" s="160">
        <f>$B$6</f>
        <v/>
      </c>
      <c r="D39" s="160">
        <f>$B$7*'Transformaciones'!E32</f>
        <v/>
      </c>
      <c r="E39" s="160">
        <f>$B$11*'Transformaciones'!M32</f>
        <v/>
      </c>
      <c r="F39" s="160">
        <f>$B$12*'Transformaciones'!O32</f>
        <v/>
      </c>
      <c r="G39" s="160">
        <f>$B$8*'Transformaciones'!G31</f>
        <v/>
      </c>
      <c r="H39" s="160">
        <f>$B$9*'Transformaciones'!I31</f>
        <v/>
      </c>
      <c r="I39" s="160">
        <f>$B$10*'Transformaciones'!K31</f>
        <v/>
      </c>
      <c r="J39" s="160">
        <f>$B$13*'Transformaciones'!P32</f>
        <v/>
      </c>
      <c r="K39" s="166">
        <f>SUM(C39:J39)</f>
        <v/>
      </c>
      <c r="L39" s="166">
        <f>B39-K39</f>
        <v/>
      </c>
      <c r="M39" s="167">
        <f>'Datos_fuente'!B32</f>
        <v/>
      </c>
      <c r="N39" s="167">
        <f>EXP('Transformaciones'!B31+K39)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'Transformaciones'!A33</f>
        <v/>
      </c>
      <c r="B40" s="160">
        <f>'Transformaciones'!C33</f>
        <v/>
      </c>
      <c r="C40" s="160">
        <f>$B$6</f>
        <v/>
      </c>
      <c r="D40" s="160">
        <f>$B$7*'Transformaciones'!E33</f>
        <v/>
      </c>
      <c r="E40" s="160">
        <f>$B$11*'Transformaciones'!M33</f>
        <v/>
      </c>
      <c r="F40" s="160">
        <f>$B$12*'Transformaciones'!O33</f>
        <v/>
      </c>
      <c r="G40" s="160">
        <f>$B$8*'Transformaciones'!G32</f>
        <v/>
      </c>
      <c r="H40" s="160">
        <f>$B$9*'Transformaciones'!I32</f>
        <v/>
      </c>
      <c r="I40" s="160">
        <f>$B$10*'Transformaciones'!K32</f>
        <v/>
      </c>
      <c r="J40" s="160">
        <f>$B$13*'Transformaciones'!P33</f>
        <v/>
      </c>
      <c r="K40" s="166">
        <f>SUM(C40:J40)</f>
        <v/>
      </c>
      <c r="L40" s="166">
        <f>B40-K40</f>
        <v/>
      </c>
      <c r="M40" s="167">
        <f>'Datos_fuente'!B33</f>
        <v/>
      </c>
      <c r="N40" s="167">
        <f>EXP('Transformaciones'!B32+K40)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'Transformaciones'!A34</f>
        <v/>
      </c>
      <c r="B41" s="160">
        <f>'Transformaciones'!C34</f>
        <v/>
      </c>
      <c r="C41" s="160">
        <f>$B$6</f>
        <v/>
      </c>
      <c r="D41" s="160">
        <f>$B$7*'Transformaciones'!E34</f>
        <v/>
      </c>
      <c r="E41" s="160">
        <f>$B$11*'Transformaciones'!M34</f>
        <v/>
      </c>
      <c r="F41" s="160">
        <f>$B$12*'Transformaciones'!O34</f>
        <v/>
      </c>
      <c r="G41" s="160">
        <f>$B$8*'Transformaciones'!G33</f>
        <v/>
      </c>
      <c r="H41" s="160">
        <f>$B$9*'Transformaciones'!I33</f>
        <v/>
      </c>
      <c r="I41" s="160">
        <f>$B$10*'Transformaciones'!K33</f>
        <v/>
      </c>
      <c r="J41" s="160">
        <f>$B$13*'Transformaciones'!P34</f>
        <v/>
      </c>
      <c r="K41" s="166">
        <f>SUM(C41:J41)</f>
        <v/>
      </c>
      <c r="L41" s="166">
        <f>B41-K41</f>
        <v/>
      </c>
      <c r="M41" s="167">
        <f>'Datos_fuente'!B34</f>
        <v/>
      </c>
      <c r="N41" s="167">
        <f>EXP('Transformaciones'!B33+K41)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'Transformaciones'!A35</f>
        <v/>
      </c>
      <c r="B42" s="160">
        <f>'Transformaciones'!C35</f>
        <v/>
      </c>
      <c r="C42" s="160">
        <f>$B$6</f>
        <v/>
      </c>
      <c r="D42" s="160">
        <f>$B$7*'Transformaciones'!E35</f>
        <v/>
      </c>
      <c r="E42" s="160">
        <f>$B$11*'Transformaciones'!M35</f>
        <v/>
      </c>
      <c r="F42" s="160">
        <f>$B$12*'Transformaciones'!O35</f>
        <v/>
      </c>
      <c r="G42" s="160">
        <f>$B$8*'Transformaciones'!G34</f>
        <v/>
      </c>
      <c r="H42" s="160">
        <f>$B$9*'Transformaciones'!I34</f>
        <v/>
      </c>
      <c r="I42" s="160">
        <f>$B$10*'Transformaciones'!K34</f>
        <v/>
      </c>
      <c r="J42" s="160">
        <f>$B$13*'Transformaciones'!P35</f>
        <v/>
      </c>
      <c r="K42" s="166">
        <f>SUM(C42:J42)</f>
        <v/>
      </c>
      <c r="L42" s="166">
        <f>B42-K42</f>
        <v/>
      </c>
      <c r="M42" s="167">
        <f>'Datos_fuente'!B35</f>
        <v/>
      </c>
      <c r="N42" s="167">
        <f>EXP('Transformaciones'!B34+K42)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'Transformaciones'!A36</f>
        <v/>
      </c>
      <c r="B43" s="160">
        <f>'Transformaciones'!C36</f>
        <v/>
      </c>
      <c r="C43" s="160">
        <f>$B$6</f>
        <v/>
      </c>
      <c r="D43" s="160">
        <f>$B$7*'Transformaciones'!E36</f>
        <v/>
      </c>
      <c r="E43" s="160">
        <f>$B$11*'Transformaciones'!M36</f>
        <v/>
      </c>
      <c r="F43" s="160">
        <f>$B$12*'Transformaciones'!O36</f>
        <v/>
      </c>
      <c r="G43" s="160">
        <f>$B$8*'Transformaciones'!G35</f>
        <v/>
      </c>
      <c r="H43" s="160">
        <f>$B$9*'Transformaciones'!I35</f>
        <v/>
      </c>
      <c r="I43" s="160">
        <f>$B$10*'Transformaciones'!K35</f>
        <v/>
      </c>
      <c r="J43" s="160">
        <f>$B$13*'Transformaciones'!P36</f>
        <v/>
      </c>
      <c r="K43" s="166">
        <f>SUM(C43:J43)</f>
        <v/>
      </c>
      <c r="L43" s="166">
        <f>B43-K43</f>
        <v/>
      </c>
      <c r="M43" s="167">
        <f>'Datos_fuente'!B36</f>
        <v/>
      </c>
      <c r="N43" s="167">
        <f>EXP('Transformaciones'!B35+K43)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'Transformaciones'!A37</f>
        <v/>
      </c>
      <c r="B44" s="160">
        <f>'Transformaciones'!C37</f>
        <v/>
      </c>
      <c r="C44" s="160">
        <f>$B$6</f>
        <v/>
      </c>
      <c r="D44" s="160">
        <f>$B$7*'Transformaciones'!E37</f>
        <v/>
      </c>
      <c r="E44" s="160">
        <f>$B$11*'Transformaciones'!M37</f>
        <v/>
      </c>
      <c r="F44" s="160">
        <f>$B$12*'Transformaciones'!O37</f>
        <v/>
      </c>
      <c r="G44" s="160">
        <f>$B$8*'Transformaciones'!G36</f>
        <v/>
      </c>
      <c r="H44" s="160">
        <f>$B$9*'Transformaciones'!I36</f>
        <v/>
      </c>
      <c r="I44" s="160">
        <f>$B$10*'Transformaciones'!K36</f>
        <v/>
      </c>
      <c r="J44" s="160">
        <f>$B$13*'Transformaciones'!P37</f>
        <v/>
      </c>
      <c r="K44" s="166">
        <f>SUM(C44:J44)</f>
        <v/>
      </c>
      <c r="L44" s="166">
        <f>B44-K44</f>
        <v/>
      </c>
      <c r="M44" s="167">
        <f>'Datos_fuente'!B37</f>
        <v/>
      </c>
      <c r="N44" s="167">
        <f>EXP('Transformaciones'!B36+K44)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'Transformaciones'!A38</f>
        <v/>
      </c>
      <c r="B45" s="160">
        <f>'Transformaciones'!C38</f>
        <v/>
      </c>
      <c r="C45" s="160">
        <f>$B$6</f>
        <v/>
      </c>
      <c r="D45" s="160">
        <f>$B$7*'Transformaciones'!E38</f>
        <v/>
      </c>
      <c r="E45" s="160">
        <f>$B$11*'Transformaciones'!M38</f>
        <v/>
      </c>
      <c r="F45" s="160">
        <f>$B$12*'Transformaciones'!O38</f>
        <v/>
      </c>
      <c r="G45" s="160">
        <f>$B$8*'Transformaciones'!G37</f>
        <v/>
      </c>
      <c r="H45" s="160">
        <f>$B$9*'Transformaciones'!I37</f>
        <v/>
      </c>
      <c r="I45" s="160">
        <f>$B$10*'Transformaciones'!K37</f>
        <v/>
      </c>
      <c r="J45" s="160">
        <f>$B$13*'Transformaciones'!P38</f>
        <v/>
      </c>
      <c r="K45" s="166">
        <f>SUM(C45:J45)</f>
        <v/>
      </c>
      <c r="L45" s="166">
        <f>B45-K45</f>
        <v/>
      </c>
      <c r="M45" s="167">
        <f>'Datos_fuente'!B38</f>
        <v/>
      </c>
      <c r="N45" s="167">
        <f>EXP('Transformaciones'!B37+K45)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'Transformaciones'!A39</f>
        <v/>
      </c>
      <c r="B46" s="160">
        <f>'Transformaciones'!C39</f>
        <v/>
      </c>
      <c r="C46" s="160">
        <f>$B$6</f>
        <v/>
      </c>
      <c r="D46" s="160">
        <f>$B$7*'Transformaciones'!E39</f>
        <v/>
      </c>
      <c r="E46" s="160">
        <f>$B$11*'Transformaciones'!M39</f>
        <v/>
      </c>
      <c r="F46" s="160">
        <f>$B$12*'Transformaciones'!O39</f>
        <v/>
      </c>
      <c r="G46" s="160">
        <f>$B$8*'Transformaciones'!G38</f>
        <v/>
      </c>
      <c r="H46" s="160">
        <f>$B$9*'Transformaciones'!I38</f>
        <v/>
      </c>
      <c r="I46" s="160">
        <f>$B$10*'Transformaciones'!K38</f>
        <v/>
      </c>
      <c r="J46" s="160">
        <f>$B$13*'Transformaciones'!P39</f>
        <v/>
      </c>
      <c r="K46" s="166">
        <f>SUM(C46:J46)</f>
        <v/>
      </c>
      <c r="L46" s="166">
        <f>B46-K46</f>
        <v/>
      </c>
      <c r="M46" s="167">
        <f>'Datos_fuente'!B39</f>
        <v/>
      </c>
      <c r="N46" s="167">
        <f>EXP('Transformaciones'!B38+K46)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'Transformaciones'!A40</f>
        <v/>
      </c>
      <c r="B47" s="160">
        <f>'Transformaciones'!C40</f>
        <v/>
      </c>
      <c r="C47" s="160">
        <f>$B$6</f>
        <v/>
      </c>
      <c r="D47" s="160">
        <f>$B$7*'Transformaciones'!E40</f>
        <v/>
      </c>
      <c r="E47" s="160">
        <f>$B$11*'Transformaciones'!M40</f>
        <v/>
      </c>
      <c r="F47" s="160">
        <f>$B$12*'Transformaciones'!O40</f>
        <v/>
      </c>
      <c r="G47" s="160">
        <f>$B$8*'Transformaciones'!G39</f>
        <v/>
      </c>
      <c r="H47" s="160">
        <f>$B$9*'Transformaciones'!I39</f>
        <v/>
      </c>
      <c r="I47" s="160">
        <f>$B$10*'Transformaciones'!K39</f>
        <v/>
      </c>
      <c r="J47" s="160">
        <f>$B$13*'Transformaciones'!P40</f>
        <v/>
      </c>
      <c r="K47" s="166">
        <f>SUM(C47:J47)</f>
        <v/>
      </c>
      <c r="L47" s="166">
        <f>B47-K47</f>
        <v/>
      </c>
      <c r="M47" s="167">
        <f>'Datos_fuente'!B40</f>
        <v/>
      </c>
      <c r="N47" s="167">
        <f>EXP('Transformaciones'!B39+K47)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'Transformaciones'!A41</f>
        <v/>
      </c>
      <c r="B48" s="160">
        <f>'Transformaciones'!C41</f>
        <v/>
      </c>
      <c r="C48" s="160">
        <f>$B$6</f>
        <v/>
      </c>
      <c r="D48" s="160">
        <f>$B$7*'Transformaciones'!E41</f>
        <v/>
      </c>
      <c r="E48" s="160">
        <f>$B$11*'Transformaciones'!M41</f>
        <v/>
      </c>
      <c r="F48" s="160">
        <f>$B$12*'Transformaciones'!O41</f>
        <v/>
      </c>
      <c r="G48" s="160">
        <f>$B$8*'Transformaciones'!G40</f>
        <v/>
      </c>
      <c r="H48" s="160">
        <f>$B$9*'Transformaciones'!I40</f>
        <v/>
      </c>
      <c r="I48" s="160">
        <f>$B$10*'Transformaciones'!K40</f>
        <v/>
      </c>
      <c r="J48" s="160">
        <f>$B$13*'Transformaciones'!P41</f>
        <v/>
      </c>
      <c r="K48" s="166">
        <f>SUM(C48:J48)</f>
        <v/>
      </c>
      <c r="L48" s="166">
        <f>B48-K48</f>
        <v/>
      </c>
      <c r="M48" s="167">
        <f>'Datos_fuente'!B41</f>
        <v/>
      </c>
      <c r="N48" s="167">
        <f>EXP('Transformaciones'!B40+K48)</f>
        <v/>
      </c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'Transformaciones'!A42</f>
        <v/>
      </c>
      <c r="B49" s="160">
        <f>'Transformaciones'!C42</f>
        <v/>
      </c>
      <c r="C49" s="160">
        <f>$B$6</f>
        <v/>
      </c>
      <c r="D49" s="160">
        <f>$B$7*'Transformaciones'!E42</f>
        <v/>
      </c>
      <c r="E49" s="160">
        <f>$B$11*'Transformaciones'!M42</f>
        <v/>
      </c>
      <c r="F49" s="160">
        <f>$B$12*'Transformaciones'!O42</f>
        <v/>
      </c>
      <c r="G49" s="160">
        <f>$B$8*'Transformaciones'!G41</f>
        <v/>
      </c>
      <c r="H49" s="160">
        <f>$B$9*'Transformaciones'!I41</f>
        <v/>
      </c>
      <c r="I49" s="160">
        <f>$B$10*'Transformaciones'!K41</f>
        <v/>
      </c>
      <c r="J49" s="160">
        <f>$B$13*'Transformaciones'!P42</f>
        <v/>
      </c>
      <c r="K49" s="166">
        <f>SUM(C49:J49)</f>
        <v/>
      </c>
      <c r="L49" s="166">
        <f>B49-K49</f>
        <v/>
      </c>
      <c r="M49" s="167">
        <f>'Datos_fuente'!B42</f>
        <v/>
      </c>
      <c r="N49" s="167">
        <f>EXP('Transformaciones'!B41+K49)</f>
        <v/>
      </c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'Transformaciones'!A43</f>
        <v/>
      </c>
      <c r="B50" s="160">
        <f>'Transformaciones'!C43</f>
        <v/>
      </c>
      <c r="C50" s="160">
        <f>$B$6</f>
        <v/>
      </c>
      <c r="D50" s="160">
        <f>$B$7*'Transformaciones'!E43</f>
        <v/>
      </c>
      <c r="E50" s="160">
        <f>$B$11*'Transformaciones'!M43</f>
        <v/>
      </c>
      <c r="F50" s="160">
        <f>$B$12*'Transformaciones'!O43</f>
        <v/>
      </c>
      <c r="G50" s="160">
        <f>$B$8*'Transformaciones'!G42</f>
        <v/>
      </c>
      <c r="H50" s="160">
        <f>$B$9*'Transformaciones'!I42</f>
        <v/>
      </c>
      <c r="I50" s="160">
        <f>$B$10*'Transformaciones'!K42</f>
        <v/>
      </c>
      <c r="J50" s="160">
        <f>$B$13*'Transformaciones'!P43</f>
        <v/>
      </c>
      <c r="K50" s="166">
        <f>SUM(C50:J50)</f>
        <v/>
      </c>
      <c r="L50" s="166">
        <f>B50-K50</f>
        <v/>
      </c>
      <c r="M50" s="167">
        <f>'Datos_fuente'!B43</f>
        <v/>
      </c>
      <c r="N50" s="167">
        <f>EXP('Transformaciones'!B42+K50)</f>
        <v/>
      </c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'Transformaciones'!A44</f>
        <v/>
      </c>
      <c r="B51" s="160">
        <f>'Transformaciones'!C44</f>
        <v/>
      </c>
      <c r="C51" s="160">
        <f>$B$6</f>
        <v/>
      </c>
      <c r="D51" s="160">
        <f>$B$7*'Transformaciones'!E44</f>
        <v/>
      </c>
      <c r="E51" s="160">
        <f>$B$11*'Transformaciones'!M44</f>
        <v/>
      </c>
      <c r="F51" s="160">
        <f>$B$12*'Transformaciones'!O44</f>
        <v/>
      </c>
      <c r="G51" s="160">
        <f>$B$8*'Transformaciones'!G43</f>
        <v/>
      </c>
      <c r="H51" s="160">
        <f>$B$9*'Transformaciones'!I43</f>
        <v/>
      </c>
      <c r="I51" s="160">
        <f>$B$10*'Transformaciones'!K43</f>
        <v/>
      </c>
      <c r="J51" s="160">
        <f>$B$13*'Transformaciones'!P44</f>
        <v/>
      </c>
      <c r="K51" s="166">
        <f>SUM(C51:J51)</f>
        <v/>
      </c>
      <c r="L51" s="166">
        <f>B51-K51</f>
        <v/>
      </c>
      <c r="M51" s="167">
        <f>'Datos_fuente'!B44</f>
        <v/>
      </c>
      <c r="N51" s="167">
        <f>EXP('Transformaciones'!B43+K51)</f>
        <v/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'Transformaciones'!A45</f>
        <v/>
      </c>
      <c r="B52" s="160">
        <f>'Transformaciones'!C45</f>
        <v/>
      </c>
      <c r="C52" s="160">
        <f>$B$6</f>
        <v/>
      </c>
      <c r="D52" s="160">
        <f>$B$7*'Transformaciones'!E45</f>
        <v/>
      </c>
      <c r="E52" s="160">
        <f>$B$11*'Transformaciones'!M45</f>
        <v/>
      </c>
      <c r="F52" s="160">
        <f>$B$12*'Transformaciones'!O45</f>
        <v/>
      </c>
      <c r="G52" s="160">
        <f>$B$8*'Transformaciones'!G44</f>
        <v/>
      </c>
      <c r="H52" s="160">
        <f>$B$9*'Transformaciones'!I44</f>
        <v/>
      </c>
      <c r="I52" s="160">
        <f>$B$10*'Transformaciones'!K44</f>
        <v/>
      </c>
      <c r="J52" s="160">
        <f>$B$13*'Transformaciones'!P45</f>
        <v/>
      </c>
      <c r="K52" s="166">
        <f>SUM(C52:J52)</f>
        <v/>
      </c>
      <c r="L52" s="166">
        <f>B52-K52</f>
        <v/>
      </c>
      <c r="M52" s="167">
        <f>'Datos_fuente'!B45</f>
        <v/>
      </c>
      <c r="N52" s="167">
        <f>EXP('Transformaciones'!B44+K52)</f>
        <v/>
      </c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'Transformaciones'!A46</f>
        <v/>
      </c>
      <c r="B53" s="160">
        <f>'Transformaciones'!C46</f>
        <v/>
      </c>
      <c r="C53" s="160">
        <f>$B$6</f>
        <v/>
      </c>
      <c r="D53" s="160">
        <f>$B$7*'Transformaciones'!E46</f>
        <v/>
      </c>
      <c r="E53" s="160">
        <f>$B$11*'Transformaciones'!M46</f>
        <v/>
      </c>
      <c r="F53" s="160">
        <f>$B$12*'Transformaciones'!O46</f>
        <v/>
      </c>
      <c r="G53" s="160">
        <f>$B$8*'Transformaciones'!G45</f>
        <v/>
      </c>
      <c r="H53" s="160">
        <f>$B$9*'Transformaciones'!I45</f>
        <v/>
      </c>
      <c r="I53" s="160">
        <f>$B$10*'Transformaciones'!K45</f>
        <v/>
      </c>
      <c r="J53" s="160">
        <f>$B$13*'Transformaciones'!P46</f>
        <v/>
      </c>
      <c r="K53" s="166">
        <f>SUM(C53:J53)</f>
        <v/>
      </c>
      <c r="L53" s="166">
        <f>B53-K53</f>
        <v/>
      </c>
      <c r="M53" s="167">
        <f>'Datos_fuente'!B46</f>
        <v/>
      </c>
      <c r="N53" s="167">
        <f>EXP('Transformaciones'!B45+K53)</f>
        <v/>
      </c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'Transformaciones'!A47</f>
        <v/>
      </c>
      <c r="B54" s="160">
        <f>'Transformaciones'!C47</f>
        <v/>
      </c>
      <c r="C54" s="160">
        <f>$B$6</f>
        <v/>
      </c>
      <c r="D54" s="160">
        <f>$B$7*'Transformaciones'!E47</f>
        <v/>
      </c>
      <c r="E54" s="160">
        <f>$B$11*'Transformaciones'!M47</f>
        <v/>
      </c>
      <c r="F54" s="160">
        <f>$B$12*'Transformaciones'!O47</f>
        <v/>
      </c>
      <c r="G54" s="160">
        <f>$B$8*'Transformaciones'!G46</f>
        <v/>
      </c>
      <c r="H54" s="160">
        <f>$B$9*'Transformaciones'!I46</f>
        <v/>
      </c>
      <c r="I54" s="160">
        <f>$B$10*'Transformaciones'!K46</f>
        <v/>
      </c>
      <c r="J54" s="160">
        <f>$B$13*'Transformaciones'!P47</f>
        <v/>
      </c>
      <c r="K54" s="166">
        <f>SUM(C54:J54)</f>
        <v/>
      </c>
      <c r="L54" s="166">
        <f>B54-K54</f>
        <v/>
      </c>
      <c r="M54" s="167">
        <f>'Datos_fuente'!B47</f>
        <v/>
      </c>
      <c r="N54" s="167">
        <f>EXP('Transformaciones'!B46+K54)</f>
        <v/>
      </c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'Transformaciones'!A48</f>
        <v/>
      </c>
      <c r="B55" s="160">
        <f>'Transformaciones'!C48</f>
        <v/>
      </c>
      <c r="C55" s="160">
        <f>$B$6</f>
        <v/>
      </c>
      <c r="D55" s="160">
        <f>$B$7*'Transformaciones'!E48</f>
        <v/>
      </c>
      <c r="E55" s="160">
        <f>$B$11*'Transformaciones'!M48</f>
        <v/>
      </c>
      <c r="F55" s="160">
        <f>$B$12*'Transformaciones'!O48</f>
        <v/>
      </c>
      <c r="G55" s="160">
        <f>$B$8*'Transformaciones'!G47</f>
        <v/>
      </c>
      <c r="H55" s="160">
        <f>$B$9*'Transformaciones'!I47</f>
        <v/>
      </c>
      <c r="I55" s="160">
        <f>$B$10*'Transformaciones'!K47</f>
        <v/>
      </c>
      <c r="J55" s="160">
        <f>$B$13*'Transformaciones'!P48</f>
        <v/>
      </c>
      <c r="K55" s="166">
        <f>SUM(C55:J55)</f>
        <v/>
      </c>
      <c r="L55" s="166">
        <f>B55-K55</f>
        <v/>
      </c>
      <c r="M55" s="167">
        <f>'Datos_fuente'!B48</f>
        <v/>
      </c>
      <c r="N55" s="167">
        <f>EXP('Transformaciones'!B47+K55)</f>
        <v/>
      </c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'Transformaciones'!A49</f>
        <v/>
      </c>
      <c r="B56" s="160">
        <f>'Transformaciones'!C49</f>
        <v/>
      </c>
      <c r="C56" s="160">
        <f>$B$6</f>
        <v/>
      </c>
      <c r="D56" s="160">
        <f>$B$7*'Transformaciones'!E49</f>
        <v/>
      </c>
      <c r="E56" s="160">
        <f>$B$11*'Transformaciones'!M49</f>
        <v/>
      </c>
      <c r="F56" s="160">
        <f>$B$12*'Transformaciones'!O49</f>
        <v/>
      </c>
      <c r="G56" s="160">
        <f>$B$8*'Transformaciones'!G48</f>
        <v/>
      </c>
      <c r="H56" s="160">
        <f>$B$9*'Transformaciones'!I48</f>
        <v/>
      </c>
      <c r="I56" s="160">
        <f>$B$10*'Transformaciones'!K48</f>
        <v/>
      </c>
      <c r="J56" s="160">
        <f>$B$13*'Transformaciones'!P49</f>
        <v/>
      </c>
      <c r="K56" s="166">
        <f>SUM(C56:J56)</f>
        <v/>
      </c>
      <c r="L56" s="166">
        <f>B56-K56</f>
        <v/>
      </c>
      <c r="M56" s="167">
        <f>'Datos_fuente'!B49</f>
        <v/>
      </c>
      <c r="N56" s="167">
        <f>EXP('Transformaciones'!B48+K56)</f>
        <v/>
      </c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'Transformaciones'!A50</f>
        <v/>
      </c>
      <c r="B57" s="160">
        <f>'Transformaciones'!C50</f>
        <v/>
      </c>
      <c r="C57" s="160">
        <f>$B$6</f>
        <v/>
      </c>
      <c r="D57" s="160">
        <f>$B$7*'Transformaciones'!E50</f>
        <v/>
      </c>
      <c r="E57" s="160">
        <f>$B$11*'Transformaciones'!M50</f>
        <v/>
      </c>
      <c r="F57" s="160">
        <f>$B$12*'Transformaciones'!O50</f>
        <v/>
      </c>
      <c r="G57" s="160">
        <f>$B$8*'Transformaciones'!G49</f>
        <v/>
      </c>
      <c r="H57" s="160">
        <f>$B$9*'Transformaciones'!I49</f>
        <v/>
      </c>
      <c r="I57" s="160">
        <f>$B$10*'Transformaciones'!K49</f>
        <v/>
      </c>
      <c r="J57" s="160">
        <f>$B$13*'Transformaciones'!P50</f>
        <v/>
      </c>
      <c r="K57" s="166">
        <f>SUM(C57:J57)</f>
        <v/>
      </c>
      <c r="L57" s="166">
        <f>B57-K57</f>
        <v/>
      </c>
      <c r="M57" s="167">
        <f>'Datos_fuente'!B50</f>
        <v/>
      </c>
      <c r="N57" s="167">
        <f>EXP('Transformaciones'!B49+K57)</f>
        <v/>
      </c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'Transformaciones'!A51</f>
        <v/>
      </c>
      <c r="B58" s="160">
        <f>'Transformaciones'!C51</f>
        <v/>
      </c>
      <c r="C58" s="160">
        <f>$B$6</f>
        <v/>
      </c>
      <c r="D58" s="160">
        <f>$B$7*'Transformaciones'!E51</f>
        <v/>
      </c>
      <c r="E58" s="160">
        <f>$B$11*'Transformaciones'!M51</f>
        <v/>
      </c>
      <c r="F58" s="160">
        <f>$B$12*'Transformaciones'!O51</f>
        <v/>
      </c>
      <c r="G58" s="160">
        <f>$B$8*'Transformaciones'!G50</f>
        <v/>
      </c>
      <c r="H58" s="160">
        <f>$B$9*'Transformaciones'!I50</f>
        <v/>
      </c>
      <c r="I58" s="160">
        <f>$B$10*'Transformaciones'!K50</f>
        <v/>
      </c>
      <c r="J58" s="160">
        <f>$B$13*'Transformaciones'!P51</f>
        <v/>
      </c>
      <c r="K58" s="166">
        <f>SUM(C58:J58)</f>
        <v/>
      </c>
      <c r="L58" s="166">
        <f>B58-K58</f>
        <v/>
      </c>
      <c r="M58" s="167">
        <f>'Datos_fuente'!B51</f>
        <v/>
      </c>
      <c r="N58" s="167">
        <f>EXP('Transformaciones'!B50+K58)</f>
        <v/>
      </c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'Transformaciones'!A52</f>
        <v/>
      </c>
      <c r="B59" s="160">
        <f>'Transformaciones'!C52</f>
        <v/>
      </c>
      <c r="C59" s="160">
        <f>$B$6</f>
        <v/>
      </c>
      <c r="D59" s="160">
        <f>$B$7*'Transformaciones'!E52</f>
        <v/>
      </c>
      <c r="E59" s="160">
        <f>$B$11*'Transformaciones'!M52</f>
        <v/>
      </c>
      <c r="F59" s="160">
        <f>$B$12*'Transformaciones'!O52</f>
        <v/>
      </c>
      <c r="G59" s="160">
        <f>$B$8*'Transformaciones'!G51</f>
        <v/>
      </c>
      <c r="H59" s="160">
        <f>$B$9*'Transformaciones'!I51</f>
        <v/>
      </c>
      <c r="I59" s="160">
        <f>$B$10*'Transformaciones'!K51</f>
        <v/>
      </c>
      <c r="J59" s="160">
        <f>$B$13*'Transformaciones'!P52</f>
        <v/>
      </c>
      <c r="K59" s="166">
        <f>SUM(C59:J59)</f>
        <v/>
      </c>
      <c r="L59" s="166">
        <f>B59-K59</f>
        <v/>
      </c>
      <c r="M59" s="167">
        <f>'Datos_fuente'!B52</f>
        <v/>
      </c>
      <c r="N59" s="167">
        <f>EXP('Transformaciones'!B51+K59)</f>
        <v/>
      </c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'Transformaciones'!A53</f>
        <v/>
      </c>
      <c r="B60" s="160">
        <f>'Transformaciones'!C53</f>
        <v/>
      </c>
      <c r="C60" s="160">
        <f>$B$6</f>
        <v/>
      </c>
      <c r="D60" s="160">
        <f>$B$7*'Transformaciones'!E53</f>
        <v/>
      </c>
      <c r="E60" s="160">
        <f>$B$11*'Transformaciones'!M53</f>
        <v/>
      </c>
      <c r="F60" s="160">
        <f>$B$12*'Transformaciones'!O53</f>
        <v/>
      </c>
      <c r="G60" s="160">
        <f>$B$8*'Transformaciones'!G52</f>
        <v/>
      </c>
      <c r="H60" s="160">
        <f>$B$9*'Transformaciones'!I52</f>
        <v/>
      </c>
      <c r="I60" s="160">
        <f>$B$10*'Transformaciones'!K52</f>
        <v/>
      </c>
      <c r="J60" s="160">
        <f>$B$13*'Transformaciones'!P53</f>
        <v/>
      </c>
      <c r="K60" s="166">
        <f>SUM(C60:J60)</f>
        <v/>
      </c>
      <c r="L60" s="166">
        <f>B60-K60</f>
        <v/>
      </c>
      <c r="M60" s="167">
        <f>'Datos_fuente'!B53</f>
        <v/>
      </c>
      <c r="N60" s="167">
        <f>EXP('Transformaciones'!B52+K60)</f>
        <v/>
      </c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'Transformaciones'!A54</f>
        <v/>
      </c>
      <c r="B61" s="160">
        <f>'Transformaciones'!C54</f>
        <v/>
      </c>
      <c r="C61" s="160">
        <f>$B$6</f>
        <v/>
      </c>
      <c r="D61" s="160">
        <f>$B$7*'Transformaciones'!E54</f>
        <v/>
      </c>
      <c r="E61" s="160">
        <f>$B$11*'Transformaciones'!M54</f>
        <v/>
      </c>
      <c r="F61" s="160">
        <f>$B$12*'Transformaciones'!O54</f>
        <v/>
      </c>
      <c r="G61" s="160">
        <f>$B$8*'Transformaciones'!G53</f>
        <v/>
      </c>
      <c r="H61" s="160">
        <f>$B$9*'Transformaciones'!I53</f>
        <v/>
      </c>
      <c r="I61" s="160">
        <f>$B$10*'Transformaciones'!K53</f>
        <v/>
      </c>
      <c r="J61" s="160">
        <f>$B$13*'Transformaciones'!P54</f>
        <v/>
      </c>
      <c r="K61" s="166">
        <f>SUM(C61:J61)</f>
        <v/>
      </c>
      <c r="L61" s="166">
        <f>B61-K61</f>
        <v/>
      </c>
      <c r="M61" s="167">
        <f>'Datos_fuente'!B54</f>
        <v/>
      </c>
      <c r="N61" s="167">
        <f>EXP('Transformaciones'!B53+K61)</f>
        <v/>
      </c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'Transformaciones'!A55</f>
        <v/>
      </c>
      <c r="B62" s="160">
        <f>'Transformaciones'!C55</f>
        <v/>
      </c>
      <c r="C62" s="160">
        <f>$B$6</f>
        <v/>
      </c>
      <c r="D62" s="160">
        <f>$B$7*'Transformaciones'!E55</f>
        <v/>
      </c>
      <c r="E62" s="160">
        <f>$B$11*'Transformaciones'!M55</f>
        <v/>
      </c>
      <c r="F62" s="160">
        <f>$B$12*'Transformaciones'!O55</f>
        <v/>
      </c>
      <c r="G62" s="160">
        <f>$B$8*'Transformaciones'!G54</f>
        <v/>
      </c>
      <c r="H62" s="160">
        <f>$B$9*'Transformaciones'!I54</f>
        <v/>
      </c>
      <c r="I62" s="160">
        <f>$B$10*'Transformaciones'!K54</f>
        <v/>
      </c>
      <c r="J62" s="160">
        <f>$B$13*'Transformaciones'!P55</f>
        <v/>
      </c>
      <c r="K62" s="166">
        <f>SUM(C62:J62)</f>
        <v/>
      </c>
      <c r="L62" s="166">
        <f>B62-K62</f>
        <v/>
      </c>
      <c r="M62" s="167">
        <f>'Datos_fuente'!B55</f>
        <v/>
      </c>
      <c r="N62" s="167">
        <f>EXP('Transformaciones'!B54+K62)</f>
        <v/>
      </c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'Transformaciones'!A56</f>
        <v/>
      </c>
      <c r="B63" s="160">
        <f>'Transformaciones'!C56</f>
        <v/>
      </c>
      <c r="C63" s="160">
        <f>$B$6</f>
        <v/>
      </c>
      <c r="D63" s="160">
        <f>$B$7*'Transformaciones'!E56</f>
        <v/>
      </c>
      <c r="E63" s="160">
        <f>$B$11*'Transformaciones'!M56</f>
        <v/>
      </c>
      <c r="F63" s="160">
        <f>$B$12*'Transformaciones'!O56</f>
        <v/>
      </c>
      <c r="G63" s="160">
        <f>$B$8*'Transformaciones'!G55</f>
        <v/>
      </c>
      <c r="H63" s="160">
        <f>$B$9*'Transformaciones'!I55</f>
        <v/>
      </c>
      <c r="I63" s="160">
        <f>$B$10*'Transformaciones'!K55</f>
        <v/>
      </c>
      <c r="J63" s="160">
        <f>$B$13*'Transformaciones'!P56</f>
        <v/>
      </c>
      <c r="K63" s="166">
        <f>SUM(C63:J63)</f>
        <v/>
      </c>
      <c r="L63" s="166">
        <f>B63-K63</f>
        <v/>
      </c>
      <c r="M63" s="167">
        <f>'Datos_fuente'!B56</f>
        <v/>
      </c>
      <c r="N63" s="167">
        <f>EXP('Transformaciones'!B55+K63)</f>
        <v/>
      </c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'Transformaciones'!A57</f>
        <v/>
      </c>
      <c r="B64" s="160">
        <f>'Transformaciones'!C57</f>
        <v/>
      </c>
      <c r="C64" s="160">
        <f>$B$6</f>
        <v/>
      </c>
      <c r="D64" s="160">
        <f>$B$7*'Transformaciones'!E57</f>
        <v/>
      </c>
      <c r="E64" s="160">
        <f>$B$11*'Transformaciones'!M57</f>
        <v/>
      </c>
      <c r="F64" s="160">
        <f>$B$12*'Transformaciones'!O57</f>
        <v/>
      </c>
      <c r="G64" s="160">
        <f>$B$8*'Transformaciones'!G56</f>
        <v/>
      </c>
      <c r="H64" s="160">
        <f>$B$9*'Transformaciones'!I56</f>
        <v/>
      </c>
      <c r="I64" s="160">
        <f>$B$10*'Transformaciones'!K56</f>
        <v/>
      </c>
      <c r="J64" s="160">
        <f>$B$13*'Transformaciones'!P57</f>
        <v/>
      </c>
      <c r="K64" s="166">
        <f>SUM(C64:J64)</f>
        <v/>
      </c>
      <c r="L64" s="166">
        <f>B64-K64</f>
        <v/>
      </c>
      <c r="M64" s="167">
        <f>'Datos_fuente'!B57</f>
        <v/>
      </c>
      <c r="N64" s="167">
        <f>EXP('Transformaciones'!B56+K64)</f>
        <v/>
      </c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'Transformaciones'!A58</f>
        <v/>
      </c>
      <c r="B65" s="160">
        <f>'Transformaciones'!C58</f>
        <v/>
      </c>
      <c r="C65" s="160">
        <f>$B$6</f>
        <v/>
      </c>
      <c r="D65" s="160">
        <f>$B$7*'Transformaciones'!E58</f>
        <v/>
      </c>
      <c r="E65" s="160">
        <f>$B$11*'Transformaciones'!M58</f>
        <v/>
      </c>
      <c r="F65" s="160">
        <f>$B$12*'Transformaciones'!O58</f>
        <v/>
      </c>
      <c r="G65" s="160">
        <f>$B$8*'Transformaciones'!G57</f>
        <v/>
      </c>
      <c r="H65" s="160">
        <f>$B$9*'Transformaciones'!I57</f>
        <v/>
      </c>
      <c r="I65" s="160">
        <f>$B$10*'Transformaciones'!K57</f>
        <v/>
      </c>
      <c r="J65" s="160">
        <f>$B$13*'Transformaciones'!P58</f>
        <v/>
      </c>
      <c r="K65" s="166">
        <f>SUM(C65:J65)</f>
        <v/>
      </c>
      <c r="L65" s="166">
        <f>B65-K65</f>
        <v/>
      </c>
      <c r="M65" s="167">
        <f>'Datos_fuente'!B58</f>
        <v/>
      </c>
      <c r="N65" s="167">
        <f>EXP('Transformaciones'!B57+K65)</f>
        <v/>
      </c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'Transformaciones'!A59</f>
        <v/>
      </c>
      <c r="B66" s="160">
        <f>'Transformaciones'!C59</f>
        <v/>
      </c>
      <c r="C66" s="160">
        <f>$B$6</f>
        <v/>
      </c>
      <c r="D66" s="160">
        <f>$B$7*'Transformaciones'!E59</f>
        <v/>
      </c>
      <c r="E66" s="160">
        <f>$B$11*'Transformaciones'!M59</f>
        <v/>
      </c>
      <c r="F66" s="160">
        <f>$B$12*'Transformaciones'!O59</f>
        <v/>
      </c>
      <c r="G66" s="160">
        <f>$B$8*'Transformaciones'!G58</f>
        <v/>
      </c>
      <c r="H66" s="160">
        <f>$B$9*'Transformaciones'!I58</f>
        <v/>
      </c>
      <c r="I66" s="160">
        <f>$B$10*'Transformaciones'!K58</f>
        <v/>
      </c>
      <c r="J66" s="160">
        <f>$B$13*'Transformaciones'!P59</f>
        <v/>
      </c>
      <c r="K66" s="166">
        <f>SUM(C66:J66)</f>
        <v/>
      </c>
      <c r="L66" s="166">
        <f>B66-K66</f>
        <v/>
      </c>
      <c r="M66" s="167">
        <f>'Datos_fuente'!B59</f>
        <v/>
      </c>
      <c r="N66" s="167">
        <f>EXP('Transformaciones'!B58+K66)</f>
        <v/>
      </c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'Transformaciones'!A60</f>
        <v/>
      </c>
      <c r="B67" s="160">
        <f>'Transformaciones'!C60</f>
        <v/>
      </c>
      <c r="C67" s="160">
        <f>$B$6</f>
        <v/>
      </c>
      <c r="D67" s="160">
        <f>$B$7*'Transformaciones'!E60</f>
        <v/>
      </c>
      <c r="E67" s="160">
        <f>$B$11*'Transformaciones'!M60</f>
        <v/>
      </c>
      <c r="F67" s="160">
        <f>$B$12*'Transformaciones'!O60</f>
        <v/>
      </c>
      <c r="G67" s="160">
        <f>$B$8*'Transformaciones'!G59</f>
        <v/>
      </c>
      <c r="H67" s="160">
        <f>$B$9*'Transformaciones'!I59</f>
        <v/>
      </c>
      <c r="I67" s="160">
        <f>$B$10*'Transformaciones'!K59</f>
        <v/>
      </c>
      <c r="J67" s="160">
        <f>$B$13*'Transformaciones'!P60</f>
        <v/>
      </c>
      <c r="K67" s="166">
        <f>SUM(C67:J67)</f>
        <v/>
      </c>
      <c r="L67" s="166">
        <f>B67-K67</f>
        <v/>
      </c>
      <c r="M67" s="167">
        <f>'Datos_fuente'!B60</f>
        <v/>
      </c>
      <c r="N67" s="167">
        <f>EXP('Transformaciones'!B59+K67)</f>
        <v/>
      </c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'Transformaciones'!A61</f>
        <v/>
      </c>
      <c r="B68" s="160">
        <f>'Transformaciones'!C61</f>
        <v/>
      </c>
      <c r="C68" s="160">
        <f>$B$6</f>
        <v/>
      </c>
      <c r="D68" s="160">
        <f>$B$7*'Transformaciones'!E61</f>
        <v/>
      </c>
      <c r="E68" s="160">
        <f>$B$11*'Transformaciones'!M61</f>
        <v/>
      </c>
      <c r="F68" s="160">
        <f>$B$12*'Transformaciones'!O61</f>
        <v/>
      </c>
      <c r="G68" s="160">
        <f>$B$8*'Transformaciones'!G60</f>
        <v/>
      </c>
      <c r="H68" s="160">
        <f>$B$9*'Transformaciones'!I60</f>
        <v/>
      </c>
      <c r="I68" s="160">
        <f>$B$10*'Transformaciones'!K60</f>
        <v/>
      </c>
      <c r="J68" s="160">
        <f>$B$13*'Transformaciones'!P61</f>
        <v/>
      </c>
      <c r="K68" s="166">
        <f>SUM(C68:J68)</f>
        <v/>
      </c>
      <c r="L68" s="166">
        <f>B68-K68</f>
        <v/>
      </c>
      <c r="M68" s="167">
        <f>'Datos_fuente'!B61</f>
        <v/>
      </c>
      <c r="N68" s="167">
        <f>EXP('Transformaciones'!B60+K68)</f>
        <v/>
      </c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'Transformaciones'!A62</f>
        <v/>
      </c>
      <c r="B69" s="160">
        <f>'Transformaciones'!C62</f>
        <v/>
      </c>
      <c r="C69" s="160">
        <f>$B$6</f>
        <v/>
      </c>
      <c r="D69" s="160">
        <f>$B$7*'Transformaciones'!E62</f>
        <v/>
      </c>
      <c r="E69" s="160">
        <f>$B$11*'Transformaciones'!M62</f>
        <v/>
      </c>
      <c r="F69" s="160">
        <f>$B$12*'Transformaciones'!O62</f>
        <v/>
      </c>
      <c r="G69" s="160">
        <f>$B$8*'Transformaciones'!G61</f>
        <v/>
      </c>
      <c r="H69" s="160">
        <f>$B$9*'Transformaciones'!I61</f>
        <v/>
      </c>
      <c r="I69" s="160">
        <f>$B$10*'Transformaciones'!K61</f>
        <v/>
      </c>
      <c r="J69" s="160">
        <f>$B$13*'Transformaciones'!P62</f>
        <v/>
      </c>
      <c r="K69" s="166">
        <f>SUM(C69:J69)</f>
        <v/>
      </c>
      <c r="L69" s="166">
        <f>B69-K69</f>
        <v/>
      </c>
      <c r="M69" s="167">
        <f>'Datos_fuente'!B62</f>
        <v/>
      </c>
      <c r="N69" s="167">
        <f>EXP('Transformaciones'!B61+K69)</f>
        <v/>
      </c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'Transformaciones'!A63</f>
        <v/>
      </c>
      <c r="B70" s="160">
        <f>'Transformaciones'!C63</f>
        <v/>
      </c>
      <c r="C70" s="160">
        <f>$B$6</f>
        <v/>
      </c>
      <c r="D70" s="160">
        <f>$B$7*'Transformaciones'!E63</f>
        <v/>
      </c>
      <c r="E70" s="160">
        <f>$B$11*'Transformaciones'!M63</f>
        <v/>
      </c>
      <c r="F70" s="160">
        <f>$B$12*'Transformaciones'!O63</f>
        <v/>
      </c>
      <c r="G70" s="160">
        <f>$B$8*'Transformaciones'!G62</f>
        <v/>
      </c>
      <c r="H70" s="160">
        <f>$B$9*'Transformaciones'!I62</f>
        <v/>
      </c>
      <c r="I70" s="160">
        <f>$B$10*'Transformaciones'!K62</f>
        <v/>
      </c>
      <c r="J70" s="160">
        <f>$B$13*'Transformaciones'!P63</f>
        <v/>
      </c>
      <c r="K70" s="166">
        <f>SUM(C70:J70)</f>
        <v/>
      </c>
      <c r="L70" s="166">
        <f>B70-K70</f>
        <v/>
      </c>
      <c r="M70" s="167">
        <f>'Datos_fuente'!B63</f>
        <v/>
      </c>
      <c r="N70" s="167">
        <f>EXP('Transformaciones'!B62+K70)</f>
        <v/>
      </c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'Transformaciones'!A64</f>
        <v/>
      </c>
      <c r="B71" s="160">
        <f>'Transformaciones'!C64</f>
        <v/>
      </c>
      <c r="C71" s="160">
        <f>$B$6</f>
        <v/>
      </c>
      <c r="D71" s="160">
        <f>$B$7*'Transformaciones'!E64</f>
        <v/>
      </c>
      <c r="E71" s="160">
        <f>$B$11*'Transformaciones'!M64</f>
        <v/>
      </c>
      <c r="F71" s="160">
        <f>$B$12*'Transformaciones'!O64</f>
        <v/>
      </c>
      <c r="G71" s="160">
        <f>$B$8*'Transformaciones'!G63</f>
        <v/>
      </c>
      <c r="H71" s="160">
        <f>$B$9*'Transformaciones'!I63</f>
        <v/>
      </c>
      <c r="I71" s="160">
        <f>$B$10*'Transformaciones'!K63</f>
        <v/>
      </c>
      <c r="J71" s="160">
        <f>$B$13*'Transformaciones'!P64</f>
        <v/>
      </c>
      <c r="K71" s="166">
        <f>SUM(C71:J71)</f>
        <v/>
      </c>
      <c r="L71" s="166">
        <f>B71-K71</f>
        <v/>
      </c>
      <c r="M71" s="167">
        <f>'Datos_fuente'!B64</f>
        <v/>
      </c>
      <c r="N71" s="167">
        <f>EXP('Transformaciones'!B63+K71)</f>
        <v/>
      </c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'Transformaciones'!A65</f>
        <v/>
      </c>
      <c r="B72" s="160">
        <f>'Transformaciones'!C65</f>
        <v/>
      </c>
      <c r="C72" s="160">
        <f>$B$6</f>
        <v/>
      </c>
      <c r="D72" s="160">
        <f>$B$7*'Transformaciones'!E65</f>
        <v/>
      </c>
      <c r="E72" s="160">
        <f>$B$11*'Transformaciones'!M65</f>
        <v/>
      </c>
      <c r="F72" s="160">
        <f>$B$12*'Transformaciones'!O65</f>
        <v/>
      </c>
      <c r="G72" s="160">
        <f>$B$8*'Transformaciones'!G64</f>
        <v/>
      </c>
      <c r="H72" s="160">
        <f>$B$9*'Transformaciones'!I64</f>
        <v/>
      </c>
      <c r="I72" s="160">
        <f>$B$10*'Transformaciones'!K64</f>
        <v/>
      </c>
      <c r="J72" s="160">
        <f>$B$13*'Transformaciones'!P65</f>
        <v/>
      </c>
      <c r="K72" s="166">
        <f>SUM(C72:J72)</f>
        <v/>
      </c>
      <c r="L72" s="166">
        <f>B72-K72</f>
        <v/>
      </c>
      <c r="M72" s="167">
        <f>'Datos_fuente'!B65</f>
        <v/>
      </c>
      <c r="N72" s="167">
        <f>EXP('Transformaciones'!B64+K72)</f>
        <v/>
      </c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'Transformaciones'!A66</f>
        <v/>
      </c>
      <c r="B73" s="160">
        <f>'Transformaciones'!C66</f>
        <v/>
      </c>
      <c r="C73" s="160">
        <f>$B$6</f>
        <v/>
      </c>
      <c r="D73" s="160">
        <f>$B$7*'Transformaciones'!E66</f>
        <v/>
      </c>
      <c r="E73" s="160">
        <f>$B$11*'Transformaciones'!M66</f>
        <v/>
      </c>
      <c r="F73" s="160">
        <f>$B$12*'Transformaciones'!O66</f>
        <v/>
      </c>
      <c r="G73" s="160">
        <f>$B$8*'Transformaciones'!G65</f>
        <v/>
      </c>
      <c r="H73" s="160">
        <f>$B$9*'Transformaciones'!I65</f>
        <v/>
      </c>
      <c r="I73" s="160">
        <f>$B$10*'Transformaciones'!K65</f>
        <v/>
      </c>
      <c r="J73" s="160">
        <f>$B$13*'Transformaciones'!P66</f>
        <v/>
      </c>
      <c r="K73" s="166">
        <f>SUM(C73:J73)</f>
        <v/>
      </c>
      <c r="L73" s="166">
        <f>B73-K73</f>
        <v/>
      </c>
      <c r="M73" s="167">
        <f>'Datos_fuente'!B66</f>
        <v/>
      </c>
      <c r="N73" s="167">
        <f>EXP('Transformaciones'!B65+K73)</f>
        <v/>
      </c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'Transformaciones'!A67</f>
        <v/>
      </c>
      <c r="B74" s="160">
        <f>'Transformaciones'!C67</f>
        <v/>
      </c>
      <c r="C74" s="160">
        <f>$B$6</f>
        <v/>
      </c>
      <c r="D74" s="160">
        <f>$B$7*'Transformaciones'!E67</f>
        <v/>
      </c>
      <c r="E74" s="160">
        <f>$B$11*'Transformaciones'!M67</f>
        <v/>
      </c>
      <c r="F74" s="160">
        <f>$B$12*'Transformaciones'!O67</f>
        <v/>
      </c>
      <c r="G74" s="160">
        <f>$B$8*'Transformaciones'!G66</f>
        <v/>
      </c>
      <c r="H74" s="160">
        <f>$B$9*'Transformaciones'!I66</f>
        <v/>
      </c>
      <c r="I74" s="160">
        <f>$B$10*'Transformaciones'!K66</f>
        <v/>
      </c>
      <c r="J74" s="160">
        <f>$B$13*'Transformaciones'!P67</f>
        <v/>
      </c>
      <c r="K74" s="166">
        <f>SUM(C74:J74)</f>
        <v/>
      </c>
      <c r="L74" s="166">
        <f>B74-K74</f>
        <v/>
      </c>
      <c r="M74" s="167">
        <f>'Datos_fuente'!B67</f>
        <v/>
      </c>
      <c r="N74" s="167">
        <f>EXP('Transformaciones'!B66+K74)</f>
        <v/>
      </c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'Transformaciones'!A68</f>
        <v/>
      </c>
      <c r="B75" s="160">
        <f>'Transformaciones'!C68</f>
        <v/>
      </c>
      <c r="C75" s="160">
        <f>$B$6</f>
        <v/>
      </c>
      <c r="D75" s="160">
        <f>$B$7*'Transformaciones'!E68</f>
        <v/>
      </c>
      <c r="E75" s="160">
        <f>$B$11*'Transformaciones'!M68</f>
        <v/>
      </c>
      <c r="F75" s="160">
        <f>$B$12*'Transformaciones'!O68</f>
        <v/>
      </c>
      <c r="G75" s="160">
        <f>$B$8*'Transformaciones'!G67</f>
        <v/>
      </c>
      <c r="H75" s="160">
        <f>$B$9*'Transformaciones'!I67</f>
        <v/>
      </c>
      <c r="I75" s="160">
        <f>$B$10*'Transformaciones'!K67</f>
        <v/>
      </c>
      <c r="J75" s="160">
        <f>$B$13*'Transformaciones'!P68</f>
        <v/>
      </c>
      <c r="K75" s="166">
        <f>SUM(C75:J75)</f>
        <v/>
      </c>
      <c r="L75" s="166">
        <f>B75-K75</f>
        <v/>
      </c>
      <c r="M75" s="167">
        <f>'Datos_fuente'!B68</f>
        <v/>
      </c>
      <c r="N75" s="167">
        <f>EXP('Transformaciones'!B67+K75)</f>
        <v/>
      </c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'Transformaciones'!A69</f>
        <v/>
      </c>
      <c r="B76" s="160">
        <f>'Transformaciones'!C69</f>
        <v/>
      </c>
      <c r="C76" s="160">
        <f>$B$6</f>
        <v/>
      </c>
      <c r="D76" s="160">
        <f>$B$7*'Transformaciones'!E69</f>
        <v/>
      </c>
      <c r="E76" s="160">
        <f>$B$11*'Transformaciones'!M69</f>
        <v/>
      </c>
      <c r="F76" s="160">
        <f>$B$12*'Transformaciones'!O69</f>
        <v/>
      </c>
      <c r="G76" s="160">
        <f>$B$8*'Transformaciones'!G68</f>
        <v/>
      </c>
      <c r="H76" s="160">
        <f>$B$9*'Transformaciones'!I68</f>
        <v/>
      </c>
      <c r="I76" s="160">
        <f>$B$10*'Transformaciones'!K68</f>
        <v/>
      </c>
      <c r="J76" s="160">
        <f>$B$13*'Transformaciones'!P69</f>
        <v/>
      </c>
      <c r="K76" s="166">
        <f>SUM(C76:J76)</f>
        <v/>
      </c>
      <c r="L76" s="166">
        <f>B76-K76</f>
        <v/>
      </c>
      <c r="M76" s="167">
        <f>'Datos_fuente'!B69</f>
        <v/>
      </c>
      <c r="N76" s="167">
        <f>EXP('Transformaciones'!B68+K76)</f>
        <v/>
      </c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'Transformaciones'!A70</f>
        <v/>
      </c>
      <c r="B77" s="160">
        <f>'Transformaciones'!C70</f>
        <v/>
      </c>
      <c r="C77" s="160">
        <f>$B$6</f>
        <v/>
      </c>
      <c r="D77" s="160">
        <f>$B$7*'Transformaciones'!E70</f>
        <v/>
      </c>
      <c r="E77" s="160">
        <f>$B$11*'Transformaciones'!M70</f>
        <v/>
      </c>
      <c r="F77" s="160">
        <f>$B$12*'Transformaciones'!O70</f>
        <v/>
      </c>
      <c r="G77" s="160">
        <f>$B$8*'Transformaciones'!G69</f>
        <v/>
      </c>
      <c r="H77" s="160">
        <f>$B$9*'Transformaciones'!I69</f>
        <v/>
      </c>
      <c r="I77" s="160">
        <f>$B$10*'Transformaciones'!K69</f>
        <v/>
      </c>
      <c r="J77" s="160">
        <f>$B$13*'Transformaciones'!P70</f>
        <v/>
      </c>
      <c r="K77" s="166">
        <f>SUM(C77:J77)</f>
        <v/>
      </c>
      <c r="L77" s="166">
        <f>B77-K77</f>
        <v/>
      </c>
      <c r="M77" s="167">
        <f>'Datos_fuente'!B70</f>
        <v/>
      </c>
      <c r="N77" s="167">
        <f>EXP('Transformaciones'!B69+K77)</f>
        <v/>
      </c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'Transformaciones'!A71</f>
        <v/>
      </c>
      <c r="B78" s="160">
        <f>'Transformaciones'!C71</f>
        <v/>
      </c>
      <c r="C78" s="160">
        <f>$B$6</f>
        <v/>
      </c>
      <c r="D78" s="160">
        <f>$B$7*'Transformaciones'!E71</f>
        <v/>
      </c>
      <c r="E78" s="160">
        <f>$B$11*'Transformaciones'!M71</f>
        <v/>
      </c>
      <c r="F78" s="160">
        <f>$B$12*'Transformaciones'!O71</f>
        <v/>
      </c>
      <c r="G78" s="160">
        <f>$B$8*'Transformaciones'!G70</f>
        <v/>
      </c>
      <c r="H78" s="160">
        <f>$B$9*'Transformaciones'!I70</f>
        <v/>
      </c>
      <c r="I78" s="160">
        <f>$B$10*'Transformaciones'!K70</f>
        <v/>
      </c>
      <c r="J78" s="160">
        <f>$B$13*'Transformaciones'!P71</f>
        <v/>
      </c>
      <c r="K78" s="166">
        <f>SUM(C78:J78)</f>
        <v/>
      </c>
      <c r="L78" s="166">
        <f>B78-K78</f>
        <v/>
      </c>
      <c r="M78" s="167">
        <f>'Datos_fuente'!B71</f>
        <v/>
      </c>
      <c r="N78" s="167">
        <f>EXP('Transformaciones'!B70+K78)</f>
        <v/>
      </c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'Transformaciones'!A72</f>
        <v/>
      </c>
      <c r="B79" s="160">
        <f>'Transformaciones'!C72</f>
        <v/>
      </c>
      <c r="C79" s="160">
        <f>$B$6</f>
        <v/>
      </c>
      <c r="D79" s="160">
        <f>$B$7*'Transformaciones'!E72</f>
        <v/>
      </c>
      <c r="E79" s="160">
        <f>$B$11*'Transformaciones'!M72</f>
        <v/>
      </c>
      <c r="F79" s="160">
        <f>$B$12*'Transformaciones'!O72</f>
        <v/>
      </c>
      <c r="G79" s="160">
        <f>$B$8*'Transformaciones'!G71</f>
        <v/>
      </c>
      <c r="H79" s="160">
        <f>$B$9*'Transformaciones'!I71</f>
        <v/>
      </c>
      <c r="I79" s="160">
        <f>$B$10*'Transformaciones'!K71</f>
        <v/>
      </c>
      <c r="J79" s="160">
        <f>$B$13*'Transformaciones'!P72</f>
        <v/>
      </c>
      <c r="K79" s="166">
        <f>SUM(C79:J79)</f>
        <v/>
      </c>
      <c r="L79" s="166">
        <f>B79-K79</f>
        <v/>
      </c>
      <c r="M79" s="167">
        <f>'Datos_fuente'!B72</f>
        <v/>
      </c>
      <c r="N79" s="167">
        <f>EXP('Transformaciones'!B71+K79)</f>
        <v/>
      </c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'Transformaciones'!A73</f>
        <v/>
      </c>
      <c r="B80" s="160">
        <f>'Transformaciones'!C73</f>
        <v/>
      </c>
      <c r="C80" s="160">
        <f>$B$6</f>
        <v/>
      </c>
      <c r="D80" s="160">
        <f>$B$7*'Transformaciones'!E73</f>
        <v/>
      </c>
      <c r="E80" s="160">
        <f>$B$11*'Transformaciones'!M73</f>
        <v/>
      </c>
      <c r="F80" s="160">
        <f>$B$12*'Transformaciones'!O73</f>
        <v/>
      </c>
      <c r="G80" s="160">
        <f>$B$8*'Transformaciones'!G72</f>
        <v/>
      </c>
      <c r="H80" s="160">
        <f>$B$9*'Transformaciones'!I72</f>
        <v/>
      </c>
      <c r="I80" s="160">
        <f>$B$10*'Transformaciones'!K72</f>
        <v/>
      </c>
      <c r="J80" s="160">
        <f>$B$13*'Transformaciones'!P73</f>
        <v/>
      </c>
      <c r="K80" s="166">
        <f>SUM(C80:J80)</f>
        <v/>
      </c>
      <c r="L80" s="166">
        <f>B80-K80</f>
        <v/>
      </c>
      <c r="M80" s="167">
        <f>'Datos_fuente'!B73</f>
        <v/>
      </c>
      <c r="N80" s="167">
        <f>EXP('Transformaciones'!B72+K80)</f>
        <v/>
      </c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'Transformaciones'!A74</f>
        <v/>
      </c>
      <c r="B81" s="160">
        <f>'Transformaciones'!C74</f>
        <v/>
      </c>
      <c r="C81" s="160">
        <f>$B$6</f>
        <v/>
      </c>
      <c r="D81" s="160">
        <f>$B$7*'Transformaciones'!E74</f>
        <v/>
      </c>
      <c r="E81" s="160">
        <f>$B$11*'Transformaciones'!M74</f>
        <v/>
      </c>
      <c r="F81" s="160">
        <f>$B$12*'Transformaciones'!O74</f>
        <v/>
      </c>
      <c r="G81" s="160">
        <f>$B$8*'Transformaciones'!G73</f>
        <v/>
      </c>
      <c r="H81" s="160">
        <f>$B$9*'Transformaciones'!I73</f>
        <v/>
      </c>
      <c r="I81" s="160">
        <f>$B$10*'Transformaciones'!K73</f>
        <v/>
      </c>
      <c r="J81" s="160">
        <f>$B$13*'Transformaciones'!P74</f>
        <v/>
      </c>
      <c r="K81" s="166">
        <f>SUM(C81:J81)</f>
        <v/>
      </c>
      <c r="L81" s="166">
        <f>B81-K81</f>
        <v/>
      </c>
      <c r="M81" s="167">
        <f>'Datos_fuente'!B74</f>
        <v/>
      </c>
      <c r="N81" s="167">
        <f>EXP('Transformaciones'!B73+K81)</f>
        <v/>
      </c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'Transformaciones'!A75</f>
        <v/>
      </c>
      <c r="B82" s="160">
        <f>'Transformaciones'!C75</f>
        <v/>
      </c>
      <c r="C82" s="160">
        <f>$B$6</f>
        <v/>
      </c>
      <c r="D82" s="160">
        <f>$B$7*'Transformaciones'!E75</f>
        <v/>
      </c>
      <c r="E82" s="160">
        <f>$B$11*'Transformaciones'!M75</f>
        <v/>
      </c>
      <c r="F82" s="160">
        <f>$B$12*'Transformaciones'!O75</f>
        <v/>
      </c>
      <c r="G82" s="160">
        <f>$B$8*'Transformaciones'!G74</f>
        <v/>
      </c>
      <c r="H82" s="160">
        <f>$B$9*'Transformaciones'!I74</f>
        <v/>
      </c>
      <c r="I82" s="160">
        <f>$B$10*'Transformaciones'!K74</f>
        <v/>
      </c>
      <c r="J82" s="160">
        <f>$B$13*'Transformaciones'!P75</f>
        <v/>
      </c>
      <c r="K82" s="166">
        <f>SUM(C82:J82)</f>
        <v/>
      </c>
      <c r="L82" s="166">
        <f>B82-K82</f>
        <v/>
      </c>
      <c r="M82" s="167">
        <f>'Datos_fuente'!B75</f>
        <v/>
      </c>
      <c r="N82" s="167">
        <f>EXP('Transformaciones'!B74+K82)</f>
        <v/>
      </c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'Transformaciones'!A76</f>
        <v/>
      </c>
      <c r="B83" s="160">
        <f>'Transformaciones'!C76</f>
        <v/>
      </c>
      <c r="C83" s="160">
        <f>$B$6</f>
        <v/>
      </c>
      <c r="D83" s="160">
        <f>$B$7*'Transformaciones'!E76</f>
        <v/>
      </c>
      <c r="E83" s="160">
        <f>$B$11*'Transformaciones'!M76</f>
        <v/>
      </c>
      <c r="F83" s="160">
        <f>$B$12*'Transformaciones'!O76</f>
        <v/>
      </c>
      <c r="G83" s="160">
        <f>$B$8*'Transformaciones'!G75</f>
        <v/>
      </c>
      <c r="H83" s="160">
        <f>$B$9*'Transformaciones'!I75</f>
        <v/>
      </c>
      <c r="I83" s="160">
        <f>$B$10*'Transformaciones'!K75</f>
        <v/>
      </c>
      <c r="J83" s="160">
        <f>$B$13*'Transformaciones'!P76</f>
        <v/>
      </c>
      <c r="K83" s="166">
        <f>SUM(C83:J83)</f>
        <v/>
      </c>
      <c r="L83" s="166">
        <f>B83-K83</f>
        <v/>
      </c>
      <c r="M83" s="167">
        <f>'Datos_fuente'!B76</f>
        <v/>
      </c>
      <c r="N83" s="167">
        <f>EXP('Transformaciones'!B75+K83)</f>
        <v/>
      </c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'Transformaciones'!A77</f>
        <v/>
      </c>
      <c r="B84" s="160">
        <f>'Transformaciones'!C77</f>
        <v/>
      </c>
      <c r="C84" s="160">
        <f>$B$6</f>
        <v/>
      </c>
      <c r="D84" s="160">
        <f>$B$7*'Transformaciones'!E77</f>
        <v/>
      </c>
      <c r="E84" s="160">
        <f>$B$11*'Transformaciones'!M77</f>
        <v/>
      </c>
      <c r="F84" s="160">
        <f>$B$12*'Transformaciones'!O77</f>
        <v/>
      </c>
      <c r="G84" s="160">
        <f>$B$8*'Transformaciones'!G76</f>
        <v/>
      </c>
      <c r="H84" s="160">
        <f>$B$9*'Transformaciones'!I76</f>
        <v/>
      </c>
      <c r="I84" s="160">
        <f>$B$10*'Transformaciones'!K76</f>
        <v/>
      </c>
      <c r="J84" s="160">
        <f>$B$13*'Transformaciones'!P77</f>
        <v/>
      </c>
      <c r="K84" s="166">
        <f>SUM(C84:J84)</f>
        <v/>
      </c>
      <c r="L84" s="166">
        <f>B84-K84</f>
        <v/>
      </c>
      <c r="M84" s="167">
        <f>'Datos_fuente'!B77</f>
        <v/>
      </c>
      <c r="N84" s="167">
        <f>EXP('Transformaciones'!B76+K84)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'Transformaciones'!A78</f>
        <v/>
      </c>
      <c r="B85" s="160">
        <f>'Transformaciones'!C78</f>
        <v/>
      </c>
      <c r="C85" s="160">
        <f>$B$6</f>
        <v/>
      </c>
      <c r="D85" s="160">
        <f>$B$7*'Transformaciones'!E78</f>
        <v/>
      </c>
      <c r="E85" s="160">
        <f>$B$11*'Transformaciones'!M78</f>
        <v/>
      </c>
      <c r="F85" s="160">
        <f>$B$12*'Transformaciones'!O78</f>
        <v/>
      </c>
      <c r="G85" s="160">
        <f>$B$8*'Transformaciones'!G77</f>
        <v/>
      </c>
      <c r="H85" s="160">
        <f>$B$9*'Transformaciones'!I77</f>
        <v/>
      </c>
      <c r="I85" s="160">
        <f>$B$10*'Transformaciones'!K77</f>
        <v/>
      </c>
      <c r="J85" s="160">
        <f>$B$13*'Transformaciones'!P78</f>
        <v/>
      </c>
      <c r="K85" s="166">
        <f>SUM(C85:J85)</f>
        <v/>
      </c>
      <c r="L85" s="166">
        <f>B85-K85</f>
        <v/>
      </c>
      <c r="M85" s="167">
        <f>'Datos_fuente'!B78</f>
        <v/>
      </c>
      <c r="N85" s="167">
        <f>EXP('Transformaciones'!B77+K85)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'Transformaciones'!A79</f>
        <v/>
      </c>
      <c r="B86" s="160">
        <f>'Transformaciones'!C79</f>
        <v/>
      </c>
      <c r="C86" s="160">
        <f>$B$6</f>
        <v/>
      </c>
      <c r="D86" s="160">
        <f>$B$7*'Transformaciones'!E79</f>
        <v/>
      </c>
      <c r="E86" s="160">
        <f>$B$11*'Transformaciones'!M79</f>
        <v/>
      </c>
      <c r="F86" s="160">
        <f>$B$12*'Transformaciones'!O79</f>
        <v/>
      </c>
      <c r="G86" s="160">
        <f>$B$8*'Transformaciones'!G78</f>
        <v/>
      </c>
      <c r="H86" s="160">
        <f>$B$9*'Transformaciones'!I78</f>
        <v/>
      </c>
      <c r="I86" s="160">
        <f>$B$10*'Transformaciones'!K78</f>
        <v/>
      </c>
      <c r="J86" s="160">
        <f>$B$13*'Transformaciones'!P79</f>
        <v/>
      </c>
      <c r="K86" s="166">
        <f>SUM(C86:J86)</f>
        <v/>
      </c>
      <c r="L86" s="166">
        <f>B86-K86</f>
        <v/>
      </c>
      <c r="M86" s="167">
        <f>'Datos_fuente'!B79</f>
        <v/>
      </c>
      <c r="N86" s="167">
        <f>EXP('Transformaciones'!B78+K86)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'Transformaciones'!A80</f>
        <v/>
      </c>
      <c r="B87" s="160">
        <f>'Transformaciones'!C80</f>
        <v/>
      </c>
      <c r="C87" s="160">
        <f>$B$6</f>
        <v/>
      </c>
      <c r="D87" s="160">
        <f>$B$7*'Transformaciones'!E80</f>
        <v/>
      </c>
      <c r="E87" s="160">
        <f>$B$11*'Transformaciones'!M80</f>
        <v/>
      </c>
      <c r="F87" s="160">
        <f>$B$12*'Transformaciones'!O80</f>
        <v/>
      </c>
      <c r="G87" s="160">
        <f>$B$8*'Transformaciones'!G79</f>
        <v/>
      </c>
      <c r="H87" s="160">
        <f>$B$9*'Transformaciones'!I79</f>
        <v/>
      </c>
      <c r="I87" s="160">
        <f>$B$10*'Transformaciones'!K79</f>
        <v/>
      </c>
      <c r="J87" s="160">
        <f>$B$13*'Transformaciones'!P80</f>
        <v/>
      </c>
      <c r="K87" s="166">
        <f>SUM(C87:J87)</f>
        <v/>
      </c>
      <c r="L87" s="166">
        <f>B87-K87</f>
        <v/>
      </c>
      <c r="M87" s="167">
        <f>'Datos_fuente'!B80</f>
        <v/>
      </c>
      <c r="N87" s="167">
        <f>EXP('Transformaciones'!B79+K87)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'Transformaciones'!A81</f>
        <v/>
      </c>
      <c r="B88" s="160">
        <f>'Transformaciones'!C81</f>
        <v/>
      </c>
      <c r="C88" s="160">
        <f>$B$6</f>
        <v/>
      </c>
      <c r="D88" s="160">
        <f>$B$7*'Transformaciones'!E81</f>
        <v/>
      </c>
      <c r="E88" s="160">
        <f>$B$11*'Transformaciones'!M81</f>
        <v/>
      </c>
      <c r="F88" s="160">
        <f>$B$12*'Transformaciones'!O81</f>
        <v/>
      </c>
      <c r="G88" s="160">
        <f>$B$8*'Transformaciones'!G80</f>
        <v/>
      </c>
      <c r="H88" s="160">
        <f>$B$9*'Transformaciones'!I80</f>
        <v/>
      </c>
      <c r="I88" s="160">
        <f>$B$10*'Transformaciones'!K80</f>
        <v/>
      </c>
      <c r="J88" s="160">
        <f>$B$13*'Transformaciones'!P81</f>
        <v/>
      </c>
      <c r="K88" s="166">
        <f>SUM(C88:J88)</f>
        <v/>
      </c>
      <c r="L88" s="166">
        <f>B88-K88</f>
        <v/>
      </c>
      <c r="M88" s="167">
        <f>'Datos_fuente'!B81</f>
        <v/>
      </c>
      <c r="N88" s="167">
        <f>EXP('Transformaciones'!B80+K88)</f>
        <v/>
      </c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'Transformaciones'!A82</f>
        <v/>
      </c>
      <c r="B89" s="160">
        <f>'Transformaciones'!C82</f>
        <v/>
      </c>
      <c r="C89" s="160">
        <f>$B$6</f>
        <v/>
      </c>
      <c r="D89" s="160">
        <f>$B$7*'Transformaciones'!E82</f>
        <v/>
      </c>
      <c r="E89" s="160">
        <f>$B$11*'Transformaciones'!M82</f>
        <v/>
      </c>
      <c r="F89" s="160">
        <f>$B$12*'Transformaciones'!O82</f>
        <v/>
      </c>
      <c r="G89" s="160">
        <f>$B$8*'Transformaciones'!G81</f>
        <v/>
      </c>
      <c r="H89" s="160">
        <f>$B$9*'Transformaciones'!I81</f>
        <v/>
      </c>
      <c r="I89" s="160">
        <f>$B$10*'Transformaciones'!K81</f>
        <v/>
      </c>
      <c r="J89" s="160">
        <f>$B$13*'Transformaciones'!P82</f>
        <v/>
      </c>
      <c r="K89" s="166">
        <f>SUM(C89:J89)</f>
        <v/>
      </c>
      <c r="L89" s="166">
        <f>B89-K89</f>
        <v/>
      </c>
      <c r="M89" s="167">
        <f>'Datos_fuente'!B82</f>
        <v/>
      </c>
      <c r="N89" s="167">
        <f>EXP('Transformaciones'!B81+K89)</f>
        <v/>
      </c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'Transformaciones'!A83</f>
        <v/>
      </c>
      <c r="B90" s="160">
        <f>'Transformaciones'!C83</f>
        <v/>
      </c>
      <c r="C90" s="160">
        <f>$B$6</f>
        <v/>
      </c>
      <c r="D90" s="160">
        <f>$B$7*'Transformaciones'!E83</f>
        <v/>
      </c>
      <c r="E90" s="160">
        <f>$B$11*'Transformaciones'!M83</f>
        <v/>
      </c>
      <c r="F90" s="160">
        <f>$B$12*'Transformaciones'!O83</f>
        <v/>
      </c>
      <c r="G90" s="160">
        <f>$B$8*'Transformaciones'!G82</f>
        <v/>
      </c>
      <c r="H90" s="160">
        <f>$B$9*'Transformaciones'!I82</f>
        <v/>
      </c>
      <c r="I90" s="160">
        <f>$B$10*'Transformaciones'!K82</f>
        <v/>
      </c>
      <c r="J90" s="160">
        <f>$B$13*'Transformaciones'!P83</f>
        <v/>
      </c>
      <c r="K90" s="166">
        <f>SUM(C90:J90)</f>
        <v/>
      </c>
      <c r="L90" s="166">
        <f>B90-K90</f>
        <v/>
      </c>
      <c r="M90" s="167">
        <f>'Datos_fuente'!B83</f>
        <v/>
      </c>
      <c r="N90" s="167">
        <f>EXP('Transformaciones'!B82+K90)</f>
        <v/>
      </c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'Transformaciones'!A84</f>
        <v/>
      </c>
      <c r="B91" s="160">
        <f>'Transformaciones'!C84</f>
        <v/>
      </c>
      <c r="C91" s="160">
        <f>$B$6</f>
        <v/>
      </c>
      <c r="D91" s="160">
        <f>$B$7*'Transformaciones'!E84</f>
        <v/>
      </c>
      <c r="E91" s="160">
        <f>$B$11*'Transformaciones'!M84</f>
        <v/>
      </c>
      <c r="F91" s="160">
        <f>$B$12*'Transformaciones'!O84</f>
        <v/>
      </c>
      <c r="G91" s="160">
        <f>$B$8*'Transformaciones'!G83</f>
        <v/>
      </c>
      <c r="H91" s="160">
        <f>$B$9*'Transformaciones'!I83</f>
        <v/>
      </c>
      <c r="I91" s="160">
        <f>$B$10*'Transformaciones'!K83</f>
        <v/>
      </c>
      <c r="J91" s="160">
        <f>$B$13*'Transformaciones'!P84</f>
        <v/>
      </c>
      <c r="K91" s="166">
        <f>SUM(C91:J91)</f>
        <v/>
      </c>
      <c r="L91" s="166">
        <f>B91-K91</f>
        <v/>
      </c>
      <c r="M91" s="167">
        <f>'Datos_fuente'!B84</f>
        <v/>
      </c>
      <c r="N91" s="167">
        <f>EXP('Transformaciones'!B83+K91)</f>
        <v/>
      </c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'Transformaciones'!A85</f>
        <v/>
      </c>
      <c r="B92" s="160">
        <f>'Transformaciones'!C85</f>
        <v/>
      </c>
      <c r="C92" s="160">
        <f>$B$6</f>
        <v/>
      </c>
      <c r="D92" s="160">
        <f>$B$7*'Transformaciones'!E85</f>
        <v/>
      </c>
      <c r="E92" s="160">
        <f>$B$11*'Transformaciones'!M85</f>
        <v/>
      </c>
      <c r="F92" s="160">
        <f>$B$12*'Transformaciones'!O85</f>
        <v/>
      </c>
      <c r="G92" s="160">
        <f>$B$8*'Transformaciones'!G84</f>
        <v/>
      </c>
      <c r="H92" s="160">
        <f>$B$9*'Transformaciones'!I84</f>
        <v/>
      </c>
      <c r="I92" s="160">
        <f>$B$10*'Transformaciones'!K84</f>
        <v/>
      </c>
      <c r="J92" s="160">
        <f>$B$13*'Transformaciones'!P85</f>
        <v/>
      </c>
      <c r="K92" s="166">
        <f>SUM(C92:J92)</f>
        <v/>
      </c>
      <c r="L92" s="166">
        <f>B92-K92</f>
        <v/>
      </c>
      <c r="M92" s="167">
        <f>'Datos_fuente'!B85</f>
        <v/>
      </c>
      <c r="N92" s="167">
        <f>EXP('Transformaciones'!B84+K92)</f>
        <v/>
      </c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'Transformaciones'!A86</f>
        <v/>
      </c>
      <c r="B93" s="160">
        <f>'Transformaciones'!C86</f>
        <v/>
      </c>
      <c r="C93" s="160">
        <f>$B$6</f>
        <v/>
      </c>
      <c r="D93" s="160">
        <f>$B$7*'Transformaciones'!E86</f>
        <v/>
      </c>
      <c r="E93" s="160">
        <f>$B$11*'Transformaciones'!M86</f>
        <v/>
      </c>
      <c r="F93" s="160">
        <f>$B$12*'Transformaciones'!O86</f>
        <v/>
      </c>
      <c r="G93" s="160">
        <f>$B$8*'Transformaciones'!G85</f>
        <v/>
      </c>
      <c r="H93" s="160">
        <f>$B$9*'Transformaciones'!I85</f>
        <v/>
      </c>
      <c r="I93" s="160">
        <f>$B$10*'Transformaciones'!K85</f>
        <v/>
      </c>
      <c r="J93" s="160">
        <f>$B$13*'Transformaciones'!P86</f>
        <v/>
      </c>
      <c r="K93" s="166">
        <f>SUM(C93:J93)</f>
        <v/>
      </c>
      <c r="L93" s="166">
        <f>B93-K93</f>
        <v/>
      </c>
      <c r="M93" s="167">
        <f>'Datos_fuente'!B86</f>
        <v/>
      </c>
      <c r="N93" s="167">
        <f>EXP('Transformaciones'!B85+K93)</f>
        <v/>
      </c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'Transformaciones'!A87</f>
        <v/>
      </c>
      <c r="B94" s="160">
        <f>'Transformaciones'!C87</f>
        <v/>
      </c>
      <c r="C94" s="160">
        <f>$B$6</f>
        <v/>
      </c>
      <c r="D94" s="160">
        <f>$B$7*'Transformaciones'!E87</f>
        <v/>
      </c>
      <c r="E94" s="160">
        <f>$B$11*'Transformaciones'!M87</f>
        <v/>
      </c>
      <c r="F94" s="160">
        <f>$B$12*'Transformaciones'!O87</f>
        <v/>
      </c>
      <c r="G94" s="160">
        <f>$B$8*'Transformaciones'!G86</f>
        <v/>
      </c>
      <c r="H94" s="160">
        <f>$B$9*'Transformaciones'!I86</f>
        <v/>
      </c>
      <c r="I94" s="160">
        <f>$B$10*'Transformaciones'!K86</f>
        <v/>
      </c>
      <c r="J94" s="160">
        <f>$B$13*'Transformaciones'!P87</f>
        <v/>
      </c>
      <c r="K94" s="166">
        <f>SUM(C94:J94)</f>
        <v/>
      </c>
      <c r="L94" s="166">
        <f>B94-K94</f>
        <v/>
      </c>
      <c r="M94" s="167">
        <f>'Datos_fuente'!B87</f>
        <v/>
      </c>
      <c r="N94" s="167">
        <f>EXP('Transformaciones'!B86+K94)</f>
        <v/>
      </c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'Transformaciones'!A88</f>
        <v/>
      </c>
      <c r="B95" s="160">
        <f>'Transformaciones'!C88</f>
        <v/>
      </c>
      <c r="C95" s="160">
        <f>$B$6</f>
        <v/>
      </c>
      <c r="D95" s="160">
        <f>$B$7*'Transformaciones'!E88</f>
        <v/>
      </c>
      <c r="E95" s="160">
        <f>$B$11*'Transformaciones'!M88</f>
        <v/>
      </c>
      <c r="F95" s="160">
        <f>$B$12*'Transformaciones'!O88</f>
        <v/>
      </c>
      <c r="G95" s="160">
        <f>$B$8*'Transformaciones'!G87</f>
        <v/>
      </c>
      <c r="H95" s="160">
        <f>$B$9*'Transformaciones'!I87</f>
        <v/>
      </c>
      <c r="I95" s="160">
        <f>$B$10*'Transformaciones'!K87</f>
        <v/>
      </c>
      <c r="J95" s="160">
        <f>$B$13*'Transformaciones'!P88</f>
        <v/>
      </c>
      <c r="K95" s="166">
        <f>SUM(C95:J95)</f>
        <v/>
      </c>
      <c r="L95" s="166">
        <f>B95-K95</f>
        <v/>
      </c>
      <c r="M95" s="167">
        <f>'Datos_fuente'!B88</f>
        <v/>
      </c>
      <c r="N95" s="167">
        <f>EXP('Transformaciones'!B87+K95)</f>
        <v/>
      </c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'Transformaciones'!A89</f>
        <v/>
      </c>
      <c r="B96" s="160">
        <f>'Transformaciones'!C89</f>
        <v/>
      </c>
      <c r="C96" s="160">
        <f>$B$6</f>
        <v/>
      </c>
      <c r="D96" s="160">
        <f>$B$7*'Transformaciones'!E89</f>
        <v/>
      </c>
      <c r="E96" s="160">
        <f>$B$11*'Transformaciones'!M89</f>
        <v/>
      </c>
      <c r="F96" s="160">
        <f>$B$12*'Transformaciones'!O89</f>
        <v/>
      </c>
      <c r="G96" s="160">
        <f>$B$8*'Transformaciones'!G88</f>
        <v/>
      </c>
      <c r="H96" s="160">
        <f>$B$9*'Transformaciones'!I88</f>
        <v/>
      </c>
      <c r="I96" s="160">
        <f>$B$10*'Transformaciones'!K88</f>
        <v/>
      </c>
      <c r="J96" s="160">
        <f>$B$13*'Transformaciones'!P89</f>
        <v/>
      </c>
      <c r="K96" s="166">
        <f>SUM(C96:J96)</f>
        <v/>
      </c>
      <c r="L96" s="166">
        <f>B96-K96</f>
        <v/>
      </c>
      <c r="M96" s="167">
        <f>'Datos_fuente'!B89</f>
        <v/>
      </c>
      <c r="N96" s="167">
        <f>EXP('Transformaciones'!B88+K96)</f>
        <v/>
      </c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'Transformaciones'!A90</f>
        <v/>
      </c>
      <c r="B97" s="160">
        <f>'Transformaciones'!C90</f>
        <v/>
      </c>
      <c r="C97" s="160">
        <f>$B$6</f>
        <v/>
      </c>
      <c r="D97" s="160">
        <f>$B$7*'Transformaciones'!E90</f>
        <v/>
      </c>
      <c r="E97" s="160">
        <f>$B$11*'Transformaciones'!M90</f>
        <v/>
      </c>
      <c r="F97" s="160">
        <f>$B$12*'Transformaciones'!O90</f>
        <v/>
      </c>
      <c r="G97" s="160">
        <f>$B$8*'Transformaciones'!G89</f>
        <v/>
      </c>
      <c r="H97" s="160">
        <f>$B$9*'Transformaciones'!I89</f>
        <v/>
      </c>
      <c r="I97" s="160">
        <f>$B$10*'Transformaciones'!K89</f>
        <v/>
      </c>
      <c r="J97" s="160">
        <f>$B$13*'Transformaciones'!P90</f>
        <v/>
      </c>
      <c r="K97" s="166">
        <f>SUM(C97:J97)</f>
        <v/>
      </c>
      <c r="L97" s="166">
        <f>B97-K97</f>
        <v/>
      </c>
      <c r="M97" s="167">
        <f>'Datos_fuente'!B90</f>
        <v/>
      </c>
      <c r="N97" s="167">
        <f>EXP('Transformaciones'!B89+K97)</f>
        <v/>
      </c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'Transformaciones'!A91</f>
        <v/>
      </c>
      <c r="B98" s="160">
        <f>'Transformaciones'!C91</f>
        <v/>
      </c>
      <c r="C98" s="160">
        <f>$B$6</f>
        <v/>
      </c>
      <c r="D98" s="160">
        <f>$B$7*'Transformaciones'!E91</f>
        <v/>
      </c>
      <c r="E98" s="160">
        <f>$B$11*'Transformaciones'!M91</f>
        <v/>
      </c>
      <c r="F98" s="160">
        <f>$B$12*'Transformaciones'!O91</f>
        <v/>
      </c>
      <c r="G98" s="160">
        <f>$B$8*'Transformaciones'!G90</f>
        <v/>
      </c>
      <c r="H98" s="160">
        <f>$B$9*'Transformaciones'!I90</f>
        <v/>
      </c>
      <c r="I98" s="160">
        <f>$B$10*'Transformaciones'!K90</f>
        <v/>
      </c>
      <c r="J98" s="160">
        <f>$B$13*'Transformaciones'!P91</f>
        <v/>
      </c>
      <c r="K98" s="166">
        <f>SUM(C98:J98)</f>
        <v/>
      </c>
      <c r="L98" s="166">
        <f>B98-K98</f>
        <v/>
      </c>
      <c r="M98" s="167">
        <f>'Datos_fuente'!B91</f>
        <v/>
      </c>
      <c r="N98" s="167">
        <f>EXP('Transformaciones'!B90+K98)</f>
        <v/>
      </c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'Transformaciones'!A92</f>
        <v/>
      </c>
      <c r="B99" s="160">
        <f>'Transformaciones'!C92</f>
        <v/>
      </c>
      <c r="C99" s="160">
        <f>$B$6</f>
        <v/>
      </c>
      <c r="D99" s="160">
        <f>$B$7*'Transformaciones'!E92</f>
        <v/>
      </c>
      <c r="E99" s="160">
        <f>$B$11*'Transformaciones'!M92</f>
        <v/>
      </c>
      <c r="F99" s="160">
        <f>$B$12*'Transformaciones'!O92</f>
        <v/>
      </c>
      <c r="G99" s="160">
        <f>$B$8*'Transformaciones'!G91</f>
        <v/>
      </c>
      <c r="H99" s="160">
        <f>$B$9*'Transformaciones'!I91</f>
        <v/>
      </c>
      <c r="I99" s="160">
        <f>$B$10*'Transformaciones'!K91</f>
        <v/>
      </c>
      <c r="J99" s="160">
        <f>$B$13*'Transformaciones'!P92</f>
        <v/>
      </c>
      <c r="K99" s="166">
        <f>SUM(C99:J99)</f>
        <v/>
      </c>
      <c r="L99" s="166">
        <f>B99-K99</f>
        <v/>
      </c>
      <c r="M99" s="167">
        <f>'Datos_fuente'!B92</f>
        <v/>
      </c>
      <c r="N99" s="167">
        <f>EXP('Transformaciones'!B91+K99)</f>
        <v/>
      </c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'Transformaciones'!A93</f>
        <v/>
      </c>
      <c r="B100" s="160">
        <f>'Transformaciones'!C93</f>
        <v/>
      </c>
      <c r="C100" s="160">
        <f>$B$6</f>
        <v/>
      </c>
      <c r="D100" s="160">
        <f>$B$7*'Transformaciones'!E93</f>
        <v/>
      </c>
      <c r="E100" s="160">
        <f>$B$11*'Transformaciones'!M93</f>
        <v/>
      </c>
      <c r="F100" s="160">
        <f>$B$12*'Transformaciones'!O93</f>
        <v/>
      </c>
      <c r="G100" s="160">
        <f>$B$8*'Transformaciones'!G92</f>
        <v/>
      </c>
      <c r="H100" s="160">
        <f>$B$9*'Transformaciones'!I92</f>
        <v/>
      </c>
      <c r="I100" s="160">
        <f>$B$10*'Transformaciones'!K92</f>
        <v/>
      </c>
      <c r="J100" s="160">
        <f>$B$13*'Transformaciones'!P93</f>
        <v/>
      </c>
      <c r="K100" s="166">
        <f>SUM(C100:J100)</f>
        <v/>
      </c>
      <c r="L100" s="166">
        <f>B100-K100</f>
        <v/>
      </c>
      <c r="M100" s="167">
        <f>'Datos_fuente'!B93</f>
        <v/>
      </c>
      <c r="N100" s="167">
        <f>EXP('Transformaciones'!B92+K100)</f>
        <v/>
      </c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'Transformaciones'!A94</f>
        <v/>
      </c>
      <c r="B101" s="160">
        <f>'Transformaciones'!C94</f>
        <v/>
      </c>
      <c r="C101" s="160">
        <f>$B$6</f>
        <v/>
      </c>
      <c r="D101" s="160">
        <f>$B$7*'Transformaciones'!E94</f>
        <v/>
      </c>
      <c r="E101" s="160">
        <f>$B$11*'Transformaciones'!M94</f>
        <v/>
      </c>
      <c r="F101" s="160">
        <f>$B$12*'Transformaciones'!O94</f>
        <v/>
      </c>
      <c r="G101" s="160">
        <f>$B$8*'Transformaciones'!G93</f>
        <v/>
      </c>
      <c r="H101" s="160">
        <f>$B$9*'Transformaciones'!I93</f>
        <v/>
      </c>
      <c r="I101" s="160">
        <f>$B$10*'Transformaciones'!K93</f>
        <v/>
      </c>
      <c r="J101" s="160">
        <f>$B$13*'Transformaciones'!P94</f>
        <v/>
      </c>
      <c r="K101" s="166">
        <f>SUM(C101:J101)</f>
        <v/>
      </c>
      <c r="L101" s="166">
        <f>B101-K101</f>
        <v/>
      </c>
      <c r="M101" s="167">
        <f>'Datos_fuente'!B94</f>
        <v/>
      </c>
      <c r="N101" s="167">
        <f>EXP('Transformaciones'!B93+K101)</f>
        <v/>
      </c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'Transformaciones'!A95</f>
        <v/>
      </c>
      <c r="B102" s="160">
        <f>'Transformaciones'!C95</f>
        <v/>
      </c>
      <c r="C102" s="160">
        <f>$B$6</f>
        <v/>
      </c>
      <c r="D102" s="160">
        <f>$B$7*'Transformaciones'!E95</f>
        <v/>
      </c>
      <c r="E102" s="160">
        <f>$B$11*'Transformaciones'!M95</f>
        <v/>
      </c>
      <c r="F102" s="160">
        <f>$B$12*'Transformaciones'!O95</f>
        <v/>
      </c>
      <c r="G102" s="160">
        <f>$B$8*'Transformaciones'!G94</f>
        <v/>
      </c>
      <c r="H102" s="160">
        <f>$B$9*'Transformaciones'!I94</f>
        <v/>
      </c>
      <c r="I102" s="160">
        <f>$B$10*'Transformaciones'!K94</f>
        <v/>
      </c>
      <c r="J102" s="160">
        <f>$B$13*'Transformaciones'!P95</f>
        <v/>
      </c>
      <c r="K102" s="166">
        <f>SUM(C102:J102)</f>
        <v/>
      </c>
      <c r="L102" s="166">
        <f>B102-K102</f>
        <v/>
      </c>
      <c r="M102" s="167">
        <f>'Datos_fuente'!B95</f>
        <v/>
      </c>
      <c r="N102" s="167">
        <f>EXP('Transformaciones'!B94+K102)</f>
        <v/>
      </c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'Transformaciones'!A96</f>
        <v/>
      </c>
      <c r="B103" s="160">
        <f>'Transformaciones'!C96</f>
        <v/>
      </c>
      <c r="C103" s="160">
        <f>$B$6</f>
        <v/>
      </c>
      <c r="D103" s="160">
        <f>$B$7*'Transformaciones'!E96</f>
        <v/>
      </c>
      <c r="E103" s="160">
        <f>$B$11*'Transformaciones'!M96</f>
        <v/>
      </c>
      <c r="F103" s="160">
        <f>$B$12*'Transformaciones'!O96</f>
        <v/>
      </c>
      <c r="G103" s="160">
        <f>$B$8*'Transformaciones'!G95</f>
        <v/>
      </c>
      <c r="H103" s="160">
        <f>$B$9*'Transformaciones'!I95</f>
        <v/>
      </c>
      <c r="I103" s="160">
        <f>$B$10*'Transformaciones'!K95</f>
        <v/>
      </c>
      <c r="J103" s="160">
        <f>$B$13*'Transformaciones'!P96</f>
        <v/>
      </c>
      <c r="K103" s="166">
        <f>SUM(C103:J103)</f>
        <v/>
      </c>
      <c r="L103" s="166">
        <f>B103-K103</f>
        <v/>
      </c>
      <c r="M103" s="167">
        <f>'Datos_fuente'!B96</f>
        <v/>
      </c>
      <c r="N103" s="167">
        <f>EXP('Transformaciones'!B95+K103)</f>
        <v/>
      </c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'Transformaciones'!A97</f>
        <v/>
      </c>
      <c r="B104" s="160">
        <f>'Transformaciones'!C97</f>
        <v/>
      </c>
      <c r="C104" s="160">
        <f>$B$6</f>
        <v/>
      </c>
      <c r="D104" s="160">
        <f>$B$7*'Transformaciones'!E97</f>
        <v/>
      </c>
      <c r="E104" s="160">
        <f>$B$11*'Transformaciones'!M97</f>
        <v/>
      </c>
      <c r="F104" s="160">
        <f>$B$12*'Transformaciones'!O97</f>
        <v/>
      </c>
      <c r="G104" s="160">
        <f>$B$8*'Transformaciones'!G96</f>
        <v/>
      </c>
      <c r="H104" s="160">
        <f>$B$9*'Transformaciones'!I96</f>
        <v/>
      </c>
      <c r="I104" s="160">
        <f>$B$10*'Transformaciones'!K96</f>
        <v/>
      </c>
      <c r="J104" s="160">
        <f>$B$13*'Transformaciones'!P97</f>
        <v/>
      </c>
      <c r="K104" s="166">
        <f>SUM(C104:J104)</f>
        <v/>
      </c>
      <c r="L104" s="166">
        <f>B104-K104</f>
        <v/>
      </c>
      <c r="M104" s="167">
        <f>'Datos_fuente'!B97</f>
        <v/>
      </c>
      <c r="N104" s="167">
        <f>EXP('Transformaciones'!B96+K104)</f>
        <v/>
      </c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'Transformaciones'!A98</f>
        <v/>
      </c>
      <c r="B105" s="160">
        <f>'Transformaciones'!C98</f>
        <v/>
      </c>
      <c r="C105" s="160">
        <f>$B$6</f>
        <v/>
      </c>
      <c r="D105" s="160">
        <f>$B$7*'Transformaciones'!E98</f>
        <v/>
      </c>
      <c r="E105" s="160">
        <f>$B$11*'Transformaciones'!M98</f>
        <v/>
      </c>
      <c r="F105" s="160">
        <f>$B$12*'Transformaciones'!O98</f>
        <v/>
      </c>
      <c r="G105" s="160">
        <f>$B$8*'Transformaciones'!G97</f>
        <v/>
      </c>
      <c r="H105" s="160">
        <f>$B$9*'Transformaciones'!I97</f>
        <v/>
      </c>
      <c r="I105" s="160">
        <f>$B$10*'Transformaciones'!K97</f>
        <v/>
      </c>
      <c r="J105" s="160">
        <f>$B$13*'Transformaciones'!P98</f>
        <v/>
      </c>
      <c r="K105" s="166">
        <f>SUM(C105:J105)</f>
        <v/>
      </c>
      <c r="L105" s="166">
        <f>B105-K105</f>
        <v/>
      </c>
      <c r="M105" s="167">
        <f>'Datos_fuente'!B98</f>
        <v/>
      </c>
      <c r="N105" s="167">
        <f>EXP('Transformaciones'!B97+K105)</f>
        <v/>
      </c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'Transformaciones'!A99</f>
        <v/>
      </c>
      <c r="B106" s="160">
        <f>'Transformaciones'!C99</f>
        <v/>
      </c>
      <c r="C106" s="160">
        <f>$B$6</f>
        <v/>
      </c>
      <c r="D106" s="160">
        <f>$B$7*'Transformaciones'!E99</f>
        <v/>
      </c>
      <c r="E106" s="160">
        <f>$B$11*'Transformaciones'!M99</f>
        <v/>
      </c>
      <c r="F106" s="160">
        <f>$B$12*'Transformaciones'!O99</f>
        <v/>
      </c>
      <c r="G106" s="160">
        <f>$B$8*'Transformaciones'!G98</f>
        <v/>
      </c>
      <c r="H106" s="160">
        <f>$B$9*'Transformaciones'!I98</f>
        <v/>
      </c>
      <c r="I106" s="160">
        <f>$B$10*'Transformaciones'!K98</f>
        <v/>
      </c>
      <c r="J106" s="160">
        <f>$B$13*'Transformaciones'!P99</f>
        <v/>
      </c>
      <c r="K106" s="166">
        <f>SUM(C106:J106)</f>
        <v/>
      </c>
      <c r="L106" s="166">
        <f>B106-K106</f>
        <v/>
      </c>
      <c r="M106" s="167">
        <f>'Datos_fuente'!B99</f>
        <v/>
      </c>
      <c r="N106" s="167">
        <f>EXP('Transformaciones'!B98+K106)</f>
        <v/>
      </c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'Transformaciones'!A100</f>
        <v/>
      </c>
      <c r="B107" s="160">
        <f>'Transformaciones'!C100</f>
        <v/>
      </c>
      <c r="C107" s="160">
        <f>$B$6</f>
        <v/>
      </c>
      <c r="D107" s="160">
        <f>$B$7*'Transformaciones'!E100</f>
        <v/>
      </c>
      <c r="E107" s="160">
        <f>$B$11*'Transformaciones'!M100</f>
        <v/>
      </c>
      <c r="F107" s="160">
        <f>$B$12*'Transformaciones'!O100</f>
        <v/>
      </c>
      <c r="G107" s="160">
        <f>$B$8*'Transformaciones'!G99</f>
        <v/>
      </c>
      <c r="H107" s="160">
        <f>$B$9*'Transformaciones'!I99</f>
        <v/>
      </c>
      <c r="I107" s="160">
        <f>$B$10*'Transformaciones'!K99</f>
        <v/>
      </c>
      <c r="J107" s="160">
        <f>$B$13*'Transformaciones'!P100</f>
        <v/>
      </c>
      <c r="K107" s="166">
        <f>SUM(C107:J107)</f>
        <v/>
      </c>
      <c r="L107" s="166">
        <f>B107-K107</f>
        <v/>
      </c>
      <c r="M107" s="167">
        <f>'Datos_fuente'!B100</f>
        <v/>
      </c>
      <c r="N107" s="167">
        <f>EXP('Transformaciones'!B99+K107)</f>
        <v/>
      </c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'Transformaciones'!A101</f>
        <v/>
      </c>
      <c r="B108" s="160">
        <f>'Transformaciones'!C101</f>
        <v/>
      </c>
      <c r="C108" s="160">
        <f>$B$6</f>
        <v/>
      </c>
      <c r="D108" s="160">
        <f>$B$7*'Transformaciones'!E101</f>
        <v/>
      </c>
      <c r="E108" s="160">
        <f>$B$11*'Transformaciones'!M101</f>
        <v/>
      </c>
      <c r="F108" s="160">
        <f>$B$12*'Transformaciones'!O101</f>
        <v/>
      </c>
      <c r="G108" s="160">
        <f>$B$8*'Transformaciones'!G100</f>
        <v/>
      </c>
      <c r="H108" s="160">
        <f>$B$9*'Transformaciones'!I100</f>
        <v/>
      </c>
      <c r="I108" s="160">
        <f>$B$10*'Transformaciones'!K100</f>
        <v/>
      </c>
      <c r="J108" s="160">
        <f>$B$13*'Transformaciones'!P101</f>
        <v/>
      </c>
      <c r="K108" s="166">
        <f>SUM(C108:J108)</f>
        <v/>
      </c>
      <c r="L108" s="166">
        <f>B108-K108</f>
        <v/>
      </c>
      <c r="M108" s="167">
        <f>'Datos_fuente'!B101</f>
        <v/>
      </c>
      <c r="N108" s="167">
        <f>EXP('Transformaciones'!B100+K108)</f>
        <v/>
      </c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'Transformaciones'!A102</f>
        <v/>
      </c>
      <c r="B109" s="160">
        <f>'Transformaciones'!C102</f>
        <v/>
      </c>
      <c r="C109" s="160">
        <f>$B$6</f>
        <v/>
      </c>
      <c r="D109" s="160">
        <f>$B$7*'Transformaciones'!E102</f>
        <v/>
      </c>
      <c r="E109" s="160">
        <f>$B$11*'Transformaciones'!M102</f>
        <v/>
      </c>
      <c r="F109" s="160">
        <f>$B$12*'Transformaciones'!O102</f>
        <v/>
      </c>
      <c r="G109" s="160">
        <f>$B$8*'Transformaciones'!G101</f>
        <v/>
      </c>
      <c r="H109" s="160">
        <f>$B$9*'Transformaciones'!I101</f>
        <v/>
      </c>
      <c r="I109" s="160">
        <f>$B$10*'Transformaciones'!K101</f>
        <v/>
      </c>
      <c r="J109" s="160">
        <f>$B$13*'Transformaciones'!P102</f>
        <v/>
      </c>
      <c r="K109" s="166">
        <f>SUM(C109:J109)</f>
        <v/>
      </c>
      <c r="L109" s="166">
        <f>B109-K109</f>
        <v/>
      </c>
      <c r="M109" s="167">
        <f>'Datos_fuente'!B102</f>
        <v/>
      </c>
      <c r="N109" s="167">
        <f>EXP('Transformaciones'!B101+K109)</f>
        <v/>
      </c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'Transformaciones'!A103</f>
        <v/>
      </c>
      <c r="B110" s="160">
        <f>'Transformaciones'!C103</f>
        <v/>
      </c>
      <c r="C110" s="160">
        <f>$B$6</f>
        <v/>
      </c>
      <c r="D110" s="160">
        <f>$B$7*'Transformaciones'!E103</f>
        <v/>
      </c>
      <c r="E110" s="160">
        <f>$B$11*'Transformaciones'!M103</f>
        <v/>
      </c>
      <c r="F110" s="160">
        <f>$B$12*'Transformaciones'!O103</f>
        <v/>
      </c>
      <c r="G110" s="160">
        <f>$B$8*'Transformaciones'!G102</f>
        <v/>
      </c>
      <c r="H110" s="160">
        <f>$B$9*'Transformaciones'!I102</f>
        <v/>
      </c>
      <c r="I110" s="160">
        <f>$B$10*'Transformaciones'!K102</f>
        <v/>
      </c>
      <c r="J110" s="160">
        <f>$B$13*'Transformaciones'!P103</f>
        <v/>
      </c>
      <c r="K110" s="166">
        <f>SUM(C110:J110)</f>
        <v/>
      </c>
      <c r="L110" s="166">
        <f>B110-K110</f>
        <v/>
      </c>
      <c r="M110" s="167">
        <f>'Datos_fuente'!B103</f>
        <v/>
      </c>
      <c r="N110" s="167">
        <f>EXP('Transformaciones'!B102+K110)</f>
        <v/>
      </c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'Transformaciones'!A104</f>
        <v/>
      </c>
      <c r="B111" s="160">
        <f>'Transformaciones'!C104</f>
        <v/>
      </c>
      <c r="C111" s="160">
        <f>$B$6</f>
        <v/>
      </c>
      <c r="D111" s="160">
        <f>$B$7*'Transformaciones'!E104</f>
        <v/>
      </c>
      <c r="E111" s="160">
        <f>$B$11*'Transformaciones'!M104</f>
        <v/>
      </c>
      <c r="F111" s="160">
        <f>$B$12*'Transformaciones'!O104</f>
        <v/>
      </c>
      <c r="G111" s="160">
        <f>$B$8*'Transformaciones'!G103</f>
        <v/>
      </c>
      <c r="H111" s="160">
        <f>$B$9*'Transformaciones'!I103</f>
        <v/>
      </c>
      <c r="I111" s="160">
        <f>$B$10*'Transformaciones'!K103</f>
        <v/>
      </c>
      <c r="J111" s="160">
        <f>$B$13*'Transformaciones'!P104</f>
        <v/>
      </c>
      <c r="K111" s="166">
        <f>SUM(C111:J111)</f>
        <v/>
      </c>
      <c r="L111" s="166">
        <f>B111-K111</f>
        <v/>
      </c>
      <c r="M111" s="167">
        <f>'Datos_fuente'!B104</f>
        <v/>
      </c>
      <c r="N111" s="167">
        <f>EXP('Transformaciones'!B103+K111)</f>
        <v/>
      </c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'Transformaciones'!A105</f>
        <v/>
      </c>
      <c r="B112" s="160">
        <f>'Transformaciones'!C105</f>
        <v/>
      </c>
      <c r="C112" s="160">
        <f>$B$6</f>
        <v/>
      </c>
      <c r="D112" s="160">
        <f>$B$7*'Transformaciones'!E105</f>
        <v/>
      </c>
      <c r="E112" s="160">
        <f>$B$11*'Transformaciones'!M105</f>
        <v/>
      </c>
      <c r="F112" s="160">
        <f>$B$12*'Transformaciones'!O105</f>
        <v/>
      </c>
      <c r="G112" s="160">
        <f>$B$8*'Transformaciones'!G104</f>
        <v/>
      </c>
      <c r="H112" s="160">
        <f>$B$9*'Transformaciones'!I104</f>
        <v/>
      </c>
      <c r="I112" s="160">
        <f>$B$10*'Transformaciones'!K104</f>
        <v/>
      </c>
      <c r="J112" s="160">
        <f>$B$13*'Transformaciones'!P105</f>
        <v/>
      </c>
      <c r="K112" s="166">
        <f>SUM(C112:J112)</f>
        <v/>
      </c>
      <c r="L112" s="166">
        <f>B112-K112</f>
        <v/>
      </c>
      <c r="M112" s="167">
        <f>'Datos_fuente'!B105</f>
        <v/>
      </c>
      <c r="N112" s="167">
        <f>EXP('Transformaciones'!B104+K112)</f>
        <v/>
      </c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'Transformaciones'!A106</f>
        <v/>
      </c>
      <c r="B113" s="160">
        <f>'Transformaciones'!C106</f>
        <v/>
      </c>
      <c r="C113" s="160">
        <f>$B$6</f>
        <v/>
      </c>
      <c r="D113" s="160">
        <f>$B$7*'Transformaciones'!E106</f>
        <v/>
      </c>
      <c r="E113" s="160">
        <f>$B$11*'Transformaciones'!M106</f>
        <v/>
      </c>
      <c r="F113" s="160">
        <f>$B$12*'Transformaciones'!O106</f>
        <v/>
      </c>
      <c r="G113" s="160">
        <f>$B$8*'Transformaciones'!G105</f>
        <v/>
      </c>
      <c r="H113" s="160">
        <f>$B$9*'Transformaciones'!I105</f>
        <v/>
      </c>
      <c r="I113" s="160">
        <f>$B$10*'Transformaciones'!K105</f>
        <v/>
      </c>
      <c r="J113" s="160">
        <f>$B$13*'Transformaciones'!P106</f>
        <v/>
      </c>
      <c r="K113" s="166">
        <f>SUM(C113:J113)</f>
        <v/>
      </c>
      <c r="L113" s="166">
        <f>B113-K113</f>
        <v/>
      </c>
      <c r="M113" s="167">
        <f>'Datos_fuente'!B106</f>
        <v/>
      </c>
      <c r="N113" s="167">
        <f>EXP('Transformaciones'!B105+K113)</f>
        <v/>
      </c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'Transformaciones'!A107</f>
        <v/>
      </c>
      <c r="B114" s="160">
        <f>'Transformaciones'!C107</f>
        <v/>
      </c>
      <c r="C114" s="160">
        <f>$B$6</f>
        <v/>
      </c>
      <c r="D114" s="160">
        <f>$B$7*'Transformaciones'!E107</f>
        <v/>
      </c>
      <c r="E114" s="160">
        <f>$B$11*'Transformaciones'!M107</f>
        <v/>
      </c>
      <c r="F114" s="160">
        <f>$B$12*'Transformaciones'!O107</f>
        <v/>
      </c>
      <c r="G114" s="160">
        <f>$B$8*'Transformaciones'!G106</f>
        <v/>
      </c>
      <c r="H114" s="160">
        <f>$B$9*'Transformaciones'!I106</f>
        <v/>
      </c>
      <c r="I114" s="160">
        <f>$B$10*'Transformaciones'!K106</f>
        <v/>
      </c>
      <c r="J114" s="160">
        <f>$B$13*'Transformaciones'!P107</f>
        <v/>
      </c>
      <c r="K114" s="166">
        <f>SUM(C114:J114)</f>
        <v/>
      </c>
      <c r="L114" s="166">
        <f>B114-K114</f>
        <v/>
      </c>
      <c r="M114" s="167">
        <f>'Datos_fuente'!B107</f>
        <v/>
      </c>
      <c r="N114" s="167">
        <f>EXP('Transformaciones'!B106+K114)</f>
        <v/>
      </c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'Transformaciones'!A108</f>
        <v/>
      </c>
      <c r="B115" s="160">
        <f>'Transformaciones'!C108</f>
        <v/>
      </c>
      <c r="C115" s="160">
        <f>$B$6</f>
        <v/>
      </c>
      <c r="D115" s="160">
        <f>$B$7*'Transformaciones'!E108</f>
        <v/>
      </c>
      <c r="E115" s="160">
        <f>$B$11*'Transformaciones'!M108</f>
        <v/>
      </c>
      <c r="F115" s="160">
        <f>$B$12*'Transformaciones'!O108</f>
        <v/>
      </c>
      <c r="G115" s="160">
        <f>$B$8*'Transformaciones'!G107</f>
        <v/>
      </c>
      <c r="H115" s="160">
        <f>$B$9*'Transformaciones'!I107</f>
        <v/>
      </c>
      <c r="I115" s="160">
        <f>$B$10*'Transformaciones'!K107</f>
        <v/>
      </c>
      <c r="J115" s="160">
        <f>$B$13*'Transformaciones'!P108</f>
        <v/>
      </c>
      <c r="K115" s="166">
        <f>SUM(C115:J115)</f>
        <v/>
      </c>
      <c r="L115" s="166">
        <f>B115-K115</f>
        <v/>
      </c>
      <c r="M115" s="167">
        <f>'Datos_fuente'!B108</f>
        <v/>
      </c>
      <c r="N115" s="167">
        <f>EXP('Transformaciones'!B107+K115)</f>
        <v/>
      </c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'Transformaciones'!A109</f>
        <v/>
      </c>
      <c r="B116" s="160">
        <f>'Transformaciones'!C109</f>
        <v/>
      </c>
      <c r="C116" s="160">
        <f>$B$6</f>
        <v/>
      </c>
      <c r="D116" s="160">
        <f>$B$7*'Transformaciones'!E109</f>
        <v/>
      </c>
      <c r="E116" s="160">
        <f>$B$11*'Transformaciones'!M109</f>
        <v/>
      </c>
      <c r="F116" s="160">
        <f>$B$12*'Transformaciones'!O109</f>
        <v/>
      </c>
      <c r="G116" s="160">
        <f>$B$8*'Transformaciones'!G108</f>
        <v/>
      </c>
      <c r="H116" s="160">
        <f>$B$9*'Transformaciones'!I108</f>
        <v/>
      </c>
      <c r="I116" s="160">
        <f>$B$10*'Transformaciones'!K108</f>
        <v/>
      </c>
      <c r="J116" s="160">
        <f>$B$13*'Transformaciones'!P109</f>
        <v/>
      </c>
      <c r="K116" s="166">
        <f>SUM(C116:J116)</f>
        <v/>
      </c>
      <c r="L116" s="166">
        <f>B116-K116</f>
        <v/>
      </c>
      <c r="M116" s="167">
        <f>'Datos_fuente'!B109</f>
        <v/>
      </c>
      <c r="N116" s="167">
        <f>EXP('Transformaciones'!B108+K116)</f>
        <v/>
      </c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'Transformaciones'!A110</f>
        <v/>
      </c>
      <c r="B117" s="160">
        <f>'Transformaciones'!C110</f>
        <v/>
      </c>
      <c r="C117" s="160">
        <f>$B$6</f>
        <v/>
      </c>
      <c r="D117" s="160">
        <f>$B$7*'Transformaciones'!E110</f>
        <v/>
      </c>
      <c r="E117" s="160">
        <f>$B$11*'Transformaciones'!M110</f>
        <v/>
      </c>
      <c r="F117" s="160">
        <f>$B$12*'Transformaciones'!O110</f>
        <v/>
      </c>
      <c r="G117" s="160">
        <f>$B$8*'Transformaciones'!G109</f>
        <v/>
      </c>
      <c r="H117" s="160">
        <f>$B$9*'Transformaciones'!I109</f>
        <v/>
      </c>
      <c r="I117" s="160">
        <f>$B$10*'Transformaciones'!K109</f>
        <v/>
      </c>
      <c r="J117" s="160">
        <f>$B$13*'Transformaciones'!P110</f>
        <v/>
      </c>
      <c r="K117" s="166">
        <f>SUM(C117:J117)</f>
        <v/>
      </c>
      <c r="L117" s="166">
        <f>B117-K117</f>
        <v/>
      </c>
      <c r="M117" s="167">
        <f>'Datos_fuente'!B110</f>
        <v/>
      </c>
      <c r="N117" s="167">
        <f>EXP('Transformaciones'!B109+K117)</f>
        <v/>
      </c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'Transformaciones'!A111</f>
        <v/>
      </c>
      <c r="B118" s="160">
        <f>'Transformaciones'!C111</f>
        <v/>
      </c>
      <c r="C118" s="160">
        <f>$B$6</f>
        <v/>
      </c>
      <c r="D118" s="160">
        <f>$B$7*'Transformaciones'!E111</f>
        <v/>
      </c>
      <c r="E118" s="160">
        <f>$B$11*'Transformaciones'!M111</f>
        <v/>
      </c>
      <c r="F118" s="160">
        <f>$B$12*'Transformaciones'!O111</f>
        <v/>
      </c>
      <c r="G118" s="160">
        <f>$B$8*'Transformaciones'!G110</f>
        <v/>
      </c>
      <c r="H118" s="160">
        <f>$B$9*'Transformaciones'!I110</f>
        <v/>
      </c>
      <c r="I118" s="160">
        <f>$B$10*'Transformaciones'!K110</f>
        <v/>
      </c>
      <c r="J118" s="160">
        <f>$B$13*'Transformaciones'!P111</f>
        <v/>
      </c>
      <c r="K118" s="166">
        <f>SUM(C118:J118)</f>
        <v/>
      </c>
      <c r="L118" s="166">
        <f>B118-K118</f>
        <v/>
      </c>
      <c r="M118" s="167">
        <f>'Datos_fuente'!B111</f>
        <v/>
      </c>
      <c r="N118" s="167">
        <f>EXP('Transformaciones'!B110+K118)</f>
        <v/>
      </c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'Transformaciones'!A112</f>
        <v/>
      </c>
      <c r="B119" s="160">
        <f>'Transformaciones'!C112</f>
        <v/>
      </c>
      <c r="C119" s="160">
        <f>$B$6</f>
        <v/>
      </c>
      <c r="D119" s="160">
        <f>$B$7*'Transformaciones'!E112</f>
        <v/>
      </c>
      <c r="E119" s="160">
        <f>$B$11*'Transformaciones'!M112</f>
        <v/>
      </c>
      <c r="F119" s="160">
        <f>$B$12*'Transformaciones'!O112</f>
        <v/>
      </c>
      <c r="G119" s="160">
        <f>$B$8*'Transformaciones'!G111</f>
        <v/>
      </c>
      <c r="H119" s="160">
        <f>$B$9*'Transformaciones'!I111</f>
        <v/>
      </c>
      <c r="I119" s="160">
        <f>$B$10*'Transformaciones'!K111</f>
        <v/>
      </c>
      <c r="J119" s="160">
        <f>$B$13*'Transformaciones'!P112</f>
        <v/>
      </c>
      <c r="K119" s="166">
        <f>SUM(C119:J119)</f>
        <v/>
      </c>
      <c r="L119" s="166">
        <f>B119-K119</f>
        <v/>
      </c>
      <c r="M119" s="167">
        <f>'Datos_fuente'!B112</f>
        <v/>
      </c>
      <c r="N119" s="167">
        <f>EXP('Transformaciones'!B111+K119)</f>
        <v/>
      </c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'Transformaciones'!A113</f>
        <v/>
      </c>
      <c r="B120" s="160">
        <f>'Transformaciones'!C113</f>
        <v/>
      </c>
      <c r="C120" s="160">
        <f>$B$6</f>
        <v/>
      </c>
      <c r="D120" s="160">
        <f>$B$7*'Transformaciones'!E113</f>
        <v/>
      </c>
      <c r="E120" s="160">
        <f>$B$11*'Transformaciones'!M113</f>
        <v/>
      </c>
      <c r="F120" s="160">
        <f>$B$12*'Transformaciones'!O113</f>
        <v/>
      </c>
      <c r="G120" s="160">
        <f>$B$8*'Transformaciones'!G112</f>
        <v/>
      </c>
      <c r="H120" s="160">
        <f>$B$9*'Transformaciones'!I112</f>
        <v/>
      </c>
      <c r="I120" s="160">
        <f>$B$10*'Transformaciones'!K112</f>
        <v/>
      </c>
      <c r="J120" s="160">
        <f>$B$13*'Transformaciones'!P113</f>
        <v/>
      </c>
      <c r="K120" s="166">
        <f>SUM(C120:J120)</f>
        <v/>
      </c>
      <c r="L120" s="166">
        <f>B120-K120</f>
        <v/>
      </c>
      <c r="M120" s="167">
        <f>'Datos_fuente'!B113</f>
        <v/>
      </c>
      <c r="N120" s="167">
        <f>EXP('Transformaciones'!B112+K120)</f>
        <v/>
      </c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'Transformaciones'!A114</f>
        <v/>
      </c>
      <c r="B121" s="160">
        <f>'Transformaciones'!C114</f>
        <v/>
      </c>
      <c r="C121" s="160">
        <f>$B$6</f>
        <v/>
      </c>
      <c r="D121" s="160">
        <f>$B$7*'Transformaciones'!E114</f>
        <v/>
      </c>
      <c r="E121" s="160">
        <f>$B$11*'Transformaciones'!M114</f>
        <v/>
      </c>
      <c r="F121" s="160">
        <f>$B$12*'Transformaciones'!O114</f>
        <v/>
      </c>
      <c r="G121" s="160">
        <f>$B$8*'Transformaciones'!G113</f>
        <v/>
      </c>
      <c r="H121" s="160">
        <f>$B$9*'Transformaciones'!I113</f>
        <v/>
      </c>
      <c r="I121" s="160">
        <f>$B$10*'Transformaciones'!K113</f>
        <v/>
      </c>
      <c r="J121" s="160">
        <f>$B$13*'Transformaciones'!P114</f>
        <v/>
      </c>
      <c r="K121" s="166">
        <f>SUM(C121:J121)</f>
        <v/>
      </c>
      <c r="L121" s="166">
        <f>B121-K121</f>
        <v/>
      </c>
      <c r="M121" s="167">
        <f>'Datos_fuente'!B114</f>
        <v/>
      </c>
      <c r="N121" s="167">
        <f>EXP('Transformaciones'!B113+K121)</f>
        <v/>
      </c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'Transformaciones'!A115</f>
        <v/>
      </c>
      <c r="B122" s="160">
        <f>'Transformaciones'!C115</f>
        <v/>
      </c>
      <c r="C122" s="160">
        <f>$B$6</f>
        <v/>
      </c>
      <c r="D122" s="160">
        <f>$B$7*'Transformaciones'!E115</f>
        <v/>
      </c>
      <c r="E122" s="160">
        <f>$B$11*'Transformaciones'!M115</f>
        <v/>
      </c>
      <c r="F122" s="160">
        <f>$B$12*'Transformaciones'!O115</f>
        <v/>
      </c>
      <c r="G122" s="160">
        <f>$B$8*'Transformaciones'!G114</f>
        <v/>
      </c>
      <c r="H122" s="160">
        <f>$B$9*'Transformaciones'!I114</f>
        <v/>
      </c>
      <c r="I122" s="160">
        <f>$B$10*'Transformaciones'!K114</f>
        <v/>
      </c>
      <c r="J122" s="160">
        <f>$B$13*'Transformaciones'!P115</f>
        <v/>
      </c>
      <c r="K122" s="166">
        <f>SUM(C122:J122)</f>
        <v/>
      </c>
      <c r="L122" s="166">
        <f>B122-K122</f>
        <v/>
      </c>
      <c r="M122" s="167">
        <f>'Datos_fuente'!B115</f>
        <v/>
      </c>
      <c r="N122" s="167">
        <f>EXP('Transformaciones'!B114+K122)</f>
        <v/>
      </c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'Transformaciones'!A116</f>
        <v/>
      </c>
      <c r="B123" s="160">
        <f>'Transformaciones'!C116</f>
        <v/>
      </c>
      <c r="C123" s="160">
        <f>$B$6</f>
        <v/>
      </c>
      <c r="D123" s="160">
        <f>$B$7*'Transformaciones'!E116</f>
        <v/>
      </c>
      <c r="E123" s="160">
        <f>$B$11*'Transformaciones'!M116</f>
        <v/>
      </c>
      <c r="F123" s="160">
        <f>$B$12*'Transformaciones'!O116</f>
        <v/>
      </c>
      <c r="G123" s="160">
        <f>$B$8*'Transformaciones'!G115</f>
        <v/>
      </c>
      <c r="H123" s="160">
        <f>$B$9*'Transformaciones'!I115</f>
        <v/>
      </c>
      <c r="I123" s="160">
        <f>$B$10*'Transformaciones'!K115</f>
        <v/>
      </c>
      <c r="J123" s="160">
        <f>$B$13*'Transformaciones'!P116</f>
        <v/>
      </c>
      <c r="K123" s="166">
        <f>SUM(C123:J123)</f>
        <v/>
      </c>
      <c r="L123" s="166">
        <f>B123-K123</f>
        <v/>
      </c>
      <c r="M123" s="167">
        <f>'Datos_fuente'!B116</f>
        <v/>
      </c>
      <c r="N123" s="167">
        <f>EXP('Transformaciones'!B115+K123)</f>
        <v/>
      </c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'Transformaciones'!A117</f>
        <v/>
      </c>
      <c r="B124" s="160">
        <f>'Transformaciones'!C117</f>
        <v/>
      </c>
      <c r="C124" s="160">
        <f>$B$6</f>
        <v/>
      </c>
      <c r="D124" s="160">
        <f>$B$7*'Transformaciones'!E117</f>
        <v/>
      </c>
      <c r="E124" s="160">
        <f>$B$11*'Transformaciones'!M117</f>
        <v/>
      </c>
      <c r="F124" s="160">
        <f>$B$12*'Transformaciones'!O117</f>
        <v/>
      </c>
      <c r="G124" s="160">
        <f>$B$8*'Transformaciones'!G116</f>
        <v/>
      </c>
      <c r="H124" s="160">
        <f>$B$9*'Transformaciones'!I116</f>
        <v/>
      </c>
      <c r="I124" s="160">
        <f>$B$10*'Transformaciones'!K116</f>
        <v/>
      </c>
      <c r="J124" s="160">
        <f>$B$13*'Transformaciones'!P117</f>
        <v/>
      </c>
      <c r="K124" s="166">
        <f>SUM(C124:J124)</f>
        <v/>
      </c>
      <c r="L124" s="166">
        <f>B124-K124</f>
        <v/>
      </c>
      <c r="M124" s="167">
        <f>'Datos_fuente'!B117</f>
        <v/>
      </c>
      <c r="N124" s="167">
        <f>EXP('Transformaciones'!B116+K124)</f>
        <v/>
      </c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'Transformaciones'!A118</f>
        <v/>
      </c>
      <c r="B125" s="160">
        <f>'Transformaciones'!C118</f>
        <v/>
      </c>
      <c r="C125" s="160">
        <f>$B$6</f>
        <v/>
      </c>
      <c r="D125" s="160">
        <f>$B$7*'Transformaciones'!E118</f>
        <v/>
      </c>
      <c r="E125" s="160">
        <f>$B$11*'Transformaciones'!M118</f>
        <v/>
      </c>
      <c r="F125" s="160">
        <f>$B$12*'Transformaciones'!O118</f>
        <v/>
      </c>
      <c r="G125" s="160">
        <f>$B$8*'Transformaciones'!G117</f>
        <v/>
      </c>
      <c r="H125" s="160">
        <f>$B$9*'Transformaciones'!I117</f>
        <v/>
      </c>
      <c r="I125" s="160">
        <f>$B$10*'Transformaciones'!K117</f>
        <v/>
      </c>
      <c r="J125" s="160">
        <f>$B$13*'Transformaciones'!P118</f>
        <v/>
      </c>
      <c r="K125" s="166">
        <f>SUM(C125:J125)</f>
        <v/>
      </c>
      <c r="L125" s="166">
        <f>B125-K125</f>
        <v/>
      </c>
      <c r="M125" s="167">
        <f>'Datos_fuente'!B118</f>
        <v/>
      </c>
      <c r="N125" s="167">
        <f>EXP('Transformaciones'!B117+K125)</f>
        <v/>
      </c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'Transformaciones'!A119</f>
        <v/>
      </c>
      <c r="B126" s="160">
        <f>'Transformaciones'!C119</f>
        <v/>
      </c>
      <c r="C126" s="160">
        <f>$B$6</f>
        <v/>
      </c>
      <c r="D126" s="160">
        <f>$B$7*'Transformaciones'!E119</f>
        <v/>
      </c>
      <c r="E126" s="160">
        <f>$B$11*'Transformaciones'!M119</f>
        <v/>
      </c>
      <c r="F126" s="160">
        <f>$B$12*'Transformaciones'!O119</f>
        <v/>
      </c>
      <c r="G126" s="160">
        <f>$B$8*'Transformaciones'!G118</f>
        <v/>
      </c>
      <c r="H126" s="160">
        <f>$B$9*'Transformaciones'!I118</f>
        <v/>
      </c>
      <c r="I126" s="160">
        <f>$B$10*'Transformaciones'!K118</f>
        <v/>
      </c>
      <c r="J126" s="160">
        <f>$B$13*'Transformaciones'!P119</f>
        <v/>
      </c>
      <c r="K126" s="166">
        <f>SUM(C126:J126)</f>
        <v/>
      </c>
      <c r="L126" s="166">
        <f>B126-K126</f>
        <v/>
      </c>
      <c r="M126" s="167">
        <f>'Datos_fuente'!B119</f>
        <v/>
      </c>
      <c r="N126" s="167">
        <f>EXP('Transformaciones'!B118+K126)</f>
        <v/>
      </c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'Transformaciones'!A120</f>
        <v/>
      </c>
      <c r="B127" s="160">
        <f>'Transformaciones'!C120</f>
        <v/>
      </c>
      <c r="C127" s="160">
        <f>$B$6</f>
        <v/>
      </c>
      <c r="D127" s="160">
        <f>$B$7*'Transformaciones'!E120</f>
        <v/>
      </c>
      <c r="E127" s="160">
        <f>$B$11*'Transformaciones'!M120</f>
        <v/>
      </c>
      <c r="F127" s="160">
        <f>$B$12*'Transformaciones'!O120</f>
        <v/>
      </c>
      <c r="G127" s="160">
        <f>$B$8*'Transformaciones'!G119</f>
        <v/>
      </c>
      <c r="H127" s="160">
        <f>$B$9*'Transformaciones'!I119</f>
        <v/>
      </c>
      <c r="I127" s="160">
        <f>$B$10*'Transformaciones'!K119</f>
        <v/>
      </c>
      <c r="J127" s="160">
        <f>$B$13*'Transformaciones'!P120</f>
        <v/>
      </c>
      <c r="K127" s="166">
        <f>SUM(C127:J127)</f>
        <v/>
      </c>
      <c r="L127" s="166">
        <f>B127-K127</f>
        <v/>
      </c>
      <c r="M127" s="167">
        <f>'Datos_fuente'!B120</f>
        <v/>
      </c>
      <c r="N127" s="167">
        <f>EXP('Transformaciones'!B119+K127)</f>
        <v/>
      </c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'Transformaciones'!A121</f>
        <v/>
      </c>
      <c r="B128" s="160">
        <f>'Transformaciones'!C121</f>
        <v/>
      </c>
      <c r="C128" s="160">
        <f>$B$6</f>
        <v/>
      </c>
      <c r="D128" s="160">
        <f>$B$7*'Transformaciones'!E121</f>
        <v/>
      </c>
      <c r="E128" s="160">
        <f>$B$11*'Transformaciones'!M121</f>
        <v/>
      </c>
      <c r="F128" s="160">
        <f>$B$12*'Transformaciones'!O121</f>
        <v/>
      </c>
      <c r="G128" s="160">
        <f>$B$8*'Transformaciones'!G120</f>
        <v/>
      </c>
      <c r="H128" s="160">
        <f>$B$9*'Transformaciones'!I120</f>
        <v/>
      </c>
      <c r="I128" s="160">
        <f>$B$10*'Transformaciones'!K120</f>
        <v/>
      </c>
      <c r="J128" s="160">
        <f>$B$13*'Transformaciones'!P121</f>
        <v/>
      </c>
      <c r="K128" s="166">
        <f>SUM(C128:J128)</f>
        <v/>
      </c>
      <c r="L128" s="166">
        <f>B128-K128</f>
        <v/>
      </c>
      <c r="M128" s="167">
        <f>'Datos_fuente'!B121</f>
        <v/>
      </c>
      <c r="N128" s="167">
        <f>EXP('Transformaciones'!B120+K128)</f>
        <v/>
      </c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'Transformaciones'!A122</f>
        <v/>
      </c>
      <c r="B129" s="160">
        <f>'Transformaciones'!C122</f>
        <v/>
      </c>
      <c r="C129" s="160">
        <f>$B$6</f>
        <v/>
      </c>
      <c r="D129" s="160">
        <f>$B$7*'Transformaciones'!E122</f>
        <v/>
      </c>
      <c r="E129" s="160">
        <f>$B$11*'Transformaciones'!M122</f>
        <v/>
      </c>
      <c r="F129" s="160">
        <f>$B$12*'Transformaciones'!O122</f>
        <v/>
      </c>
      <c r="G129" s="160">
        <f>$B$8*'Transformaciones'!G121</f>
        <v/>
      </c>
      <c r="H129" s="160">
        <f>$B$9*'Transformaciones'!I121</f>
        <v/>
      </c>
      <c r="I129" s="160">
        <f>$B$10*'Transformaciones'!K121</f>
        <v/>
      </c>
      <c r="J129" s="160">
        <f>$B$13*'Transformaciones'!P122</f>
        <v/>
      </c>
      <c r="K129" s="166">
        <f>SUM(C129:J129)</f>
        <v/>
      </c>
      <c r="L129" s="166">
        <f>B129-K129</f>
        <v/>
      </c>
      <c r="M129" s="167">
        <f>'Datos_fuente'!B122</f>
        <v/>
      </c>
      <c r="N129" s="167">
        <f>EXP('Transformaciones'!B121+K129)</f>
        <v/>
      </c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'Transformaciones'!A123</f>
        <v/>
      </c>
      <c r="B130" s="160">
        <f>'Transformaciones'!C123</f>
        <v/>
      </c>
      <c r="C130" s="160">
        <f>$B$6</f>
        <v/>
      </c>
      <c r="D130" s="160">
        <f>$B$7*'Transformaciones'!E123</f>
        <v/>
      </c>
      <c r="E130" s="160">
        <f>$B$11*'Transformaciones'!M123</f>
        <v/>
      </c>
      <c r="F130" s="160">
        <f>$B$12*'Transformaciones'!O123</f>
        <v/>
      </c>
      <c r="G130" s="160">
        <f>$B$8*'Transformaciones'!G122</f>
        <v/>
      </c>
      <c r="H130" s="160">
        <f>$B$9*'Transformaciones'!I122</f>
        <v/>
      </c>
      <c r="I130" s="160">
        <f>$B$10*'Transformaciones'!K122</f>
        <v/>
      </c>
      <c r="J130" s="160">
        <f>$B$13*'Transformaciones'!P123</f>
        <v/>
      </c>
      <c r="K130" s="166">
        <f>SUM(C130:J130)</f>
        <v/>
      </c>
      <c r="L130" s="166">
        <f>B130-K130</f>
        <v/>
      </c>
      <c r="M130" s="167">
        <f>'Datos_fuente'!B123</f>
        <v/>
      </c>
      <c r="N130" s="167">
        <f>EXP('Transformaciones'!B122+K130)</f>
        <v/>
      </c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'Transformaciones'!A124</f>
        <v/>
      </c>
      <c r="B131" s="160">
        <f>'Transformaciones'!C124</f>
        <v/>
      </c>
      <c r="C131" s="160">
        <f>$B$6</f>
        <v/>
      </c>
      <c r="D131" s="160">
        <f>$B$7*'Transformaciones'!E124</f>
        <v/>
      </c>
      <c r="E131" s="160">
        <f>$B$11*'Transformaciones'!M124</f>
        <v/>
      </c>
      <c r="F131" s="160">
        <f>$B$12*'Transformaciones'!O124</f>
        <v/>
      </c>
      <c r="G131" s="160">
        <f>$B$8*'Transformaciones'!G123</f>
        <v/>
      </c>
      <c r="H131" s="160">
        <f>$B$9*'Transformaciones'!I123</f>
        <v/>
      </c>
      <c r="I131" s="160">
        <f>$B$10*'Transformaciones'!K123</f>
        <v/>
      </c>
      <c r="J131" s="160">
        <f>$B$13*'Transformaciones'!P124</f>
        <v/>
      </c>
      <c r="K131" s="166">
        <f>SUM(C131:J131)</f>
        <v/>
      </c>
      <c r="L131" s="166">
        <f>B131-K131</f>
        <v/>
      </c>
      <c r="M131" s="167">
        <f>'Datos_fuente'!B124</f>
        <v/>
      </c>
      <c r="N131" s="167">
        <f>EXP('Transformaciones'!B123+K131)</f>
        <v/>
      </c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'Transformaciones'!A125</f>
        <v/>
      </c>
      <c r="B132" s="160">
        <f>'Transformaciones'!C125</f>
        <v/>
      </c>
      <c r="C132" s="160">
        <f>$B$6</f>
        <v/>
      </c>
      <c r="D132" s="160">
        <f>$B$7*'Transformaciones'!E125</f>
        <v/>
      </c>
      <c r="E132" s="160">
        <f>$B$11*'Transformaciones'!M125</f>
        <v/>
      </c>
      <c r="F132" s="160">
        <f>$B$12*'Transformaciones'!O125</f>
        <v/>
      </c>
      <c r="G132" s="160">
        <f>$B$8*'Transformaciones'!G124</f>
        <v/>
      </c>
      <c r="H132" s="160">
        <f>$B$9*'Transformaciones'!I124</f>
        <v/>
      </c>
      <c r="I132" s="160">
        <f>$B$10*'Transformaciones'!K124</f>
        <v/>
      </c>
      <c r="J132" s="160">
        <f>$B$13*'Transformaciones'!P125</f>
        <v/>
      </c>
      <c r="K132" s="166">
        <f>SUM(C132:J132)</f>
        <v/>
      </c>
      <c r="L132" s="166">
        <f>B132-K132</f>
        <v/>
      </c>
      <c r="M132" s="167">
        <f>'Datos_fuente'!B125</f>
        <v/>
      </c>
      <c r="N132" s="167">
        <f>EXP('Transformaciones'!B124+K132)</f>
        <v/>
      </c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'Transformaciones'!A126</f>
        <v/>
      </c>
      <c r="B133" s="160">
        <f>'Transformaciones'!C126</f>
        <v/>
      </c>
      <c r="C133" s="160">
        <f>$B$6</f>
        <v/>
      </c>
      <c r="D133" s="160">
        <f>$B$7*'Transformaciones'!E126</f>
        <v/>
      </c>
      <c r="E133" s="160">
        <f>$B$11*'Transformaciones'!M126</f>
        <v/>
      </c>
      <c r="F133" s="160">
        <f>$B$12*'Transformaciones'!O126</f>
        <v/>
      </c>
      <c r="G133" s="160">
        <f>$B$8*'Transformaciones'!G125</f>
        <v/>
      </c>
      <c r="H133" s="160">
        <f>$B$9*'Transformaciones'!I125</f>
        <v/>
      </c>
      <c r="I133" s="160">
        <f>$B$10*'Transformaciones'!K125</f>
        <v/>
      </c>
      <c r="J133" s="160">
        <f>$B$13*'Transformaciones'!P126</f>
        <v/>
      </c>
      <c r="K133" s="166">
        <f>SUM(C133:J133)</f>
        <v/>
      </c>
      <c r="L133" s="166">
        <f>B133-K133</f>
        <v/>
      </c>
      <c r="M133" s="167">
        <f>'Datos_fuente'!B126</f>
        <v/>
      </c>
      <c r="N133" s="167">
        <f>EXP('Transformaciones'!B125+K133)</f>
        <v/>
      </c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'Transformaciones'!A127</f>
        <v/>
      </c>
      <c r="B134" s="160">
        <f>'Transformaciones'!C127</f>
        <v/>
      </c>
      <c r="C134" s="160">
        <f>$B$6</f>
        <v/>
      </c>
      <c r="D134" s="160">
        <f>$B$7*'Transformaciones'!E127</f>
        <v/>
      </c>
      <c r="E134" s="160">
        <f>$B$11*'Transformaciones'!M127</f>
        <v/>
      </c>
      <c r="F134" s="160">
        <f>$B$12*'Transformaciones'!O127</f>
        <v/>
      </c>
      <c r="G134" s="160">
        <f>$B$8*'Transformaciones'!G126</f>
        <v/>
      </c>
      <c r="H134" s="160">
        <f>$B$9*'Transformaciones'!I126</f>
        <v/>
      </c>
      <c r="I134" s="160">
        <f>$B$10*'Transformaciones'!K126</f>
        <v/>
      </c>
      <c r="J134" s="160">
        <f>$B$13*'Transformaciones'!P127</f>
        <v/>
      </c>
      <c r="K134" s="166">
        <f>SUM(C134:J134)</f>
        <v/>
      </c>
      <c r="L134" s="166">
        <f>B134-K134</f>
        <v/>
      </c>
      <c r="M134" s="167">
        <f>'Datos_fuente'!B127</f>
        <v/>
      </c>
      <c r="N134" s="167">
        <f>EXP('Transformaciones'!B126+K134)</f>
        <v/>
      </c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'Transformaciones'!A128</f>
        <v/>
      </c>
      <c r="B135" s="160">
        <f>'Transformaciones'!C128</f>
        <v/>
      </c>
      <c r="C135" s="160">
        <f>$B$6</f>
        <v/>
      </c>
      <c r="D135" s="160">
        <f>$B$7*'Transformaciones'!E128</f>
        <v/>
      </c>
      <c r="E135" s="160">
        <f>$B$11*'Transformaciones'!M128</f>
        <v/>
      </c>
      <c r="F135" s="160">
        <f>$B$12*'Transformaciones'!O128</f>
        <v/>
      </c>
      <c r="G135" s="160">
        <f>$B$8*'Transformaciones'!G127</f>
        <v/>
      </c>
      <c r="H135" s="160">
        <f>$B$9*'Transformaciones'!I127</f>
        <v/>
      </c>
      <c r="I135" s="160">
        <f>$B$10*'Transformaciones'!K127</f>
        <v/>
      </c>
      <c r="J135" s="160">
        <f>$B$13*'Transformaciones'!P128</f>
        <v/>
      </c>
      <c r="K135" s="166">
        <f>SUM(C135:J135)</f>
        <v/>
      </c>
      <c r="L135" s="166">
        <f>B135-K135</f>
        <v/>
      </c>
      <c r="M135" s="167">
        <f>'Datos_fuente'!B128</f>
        <v/>
      </c>
      <c r="N135" s="167">
        <f>EXP('Transformaciones'!B127+K135)</f>
        <v/>
      </c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'Transformaciones'!A129</f>
        <v/>
      </c>
      <c r="B136" s="160">
        <f>'Transformaciones'!C129</f>
        <v/>
      </c>
      <c r="C136" s="160">
        <f>$B$6</f>
        <v/>
      </c>
      <c r="D136" s="160">
        <f>$B$7*'Transformaciones'!E129</f>
        <v/>
      </c>
      <c r="E136" s="160">
        <f>$B$11*'Transformaciones'!M129</f>
        <v/>
      </c>
      <c r="F136" s="160">
        <f>$B$12*'Transformaciones'!O129</f>
        <v/>
      </c>
      <c r="G136" s="160">
        <f>$B$8*'Transformaciones'!G128</f>
        <v/>
      </c>
      <c r="H136" s="160">
        <f>$B$9*'Transformaciones'!I128</f>
        <v/>
      </c>
      <c r="I136" s="160">
        <f>$B$10*'Transformaciones'!K128</f>
        <v/>
      </c>
      <c r="J136" s="160">
        <f>$B$13*'Transformaciones'!P129</f>
        <v/>
      </c>
      <c r="K136" s="166">
        <f>SUM(C136:J136)</f>
        <v/>
      </c>
      <c r="L136" s="166">
        <f>B136-K136</f>
        <v/>
      </c>
      <c r="M136" s="167">
        <f>'Datos_fuente'!B129</f>
        <v/>
      </c>
      <c r="N136" s="167">
        <f>EXP('Transformaciones'!B128+K136)</f>
        <v/>
      </c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'Transformaciones'!A130</f>
        <v/>
      </c>
      <c r="B137" s="160">
        <f>'Transformaciones'!C130</f>
        <v/>
      </c>
      <c r="C137" s="160">
        <f>$B$6</f>
        <v/>
      </c>
      <c r="D137" s="160">
        <f>$B$7*'Transformaciones'!E130</f>
        <v/>
      </c>
      <c r="E137" s="160">
        <f>$B$11*'Transformaciones'!M130</f>
        <v/>
      </c>
      <c r="F137" s="160">
        <f>$B$12*'Transformaciones'!O130</f>
        <v/>
      </c>
      <c r="G137" s="160">
        <f>$B$8*'Transformaciones'!G129</f>
        <v/>
      </c>
      <c r="H137" s="160">
        <f>$B$9*'Transformaciones'!I129</f>
        <v/>
      </c>
      <c r="I137" s="160">
        <f>$B$10*'Transformaciones'!K129</f>
        <v/>
      </c>
      <c r="J137" s="160">
        <f>$B$13*'Transformaciones'!P130</f>
        <v/>
      </c>
      <c r="K137" s="166">
        <f>SUM(C137:J137)</f>
        <v/>
      </c>
      <c r="L137" s="166">
        <f>B137-K137</f>
        <v/>
      </c>
      <c r="M137" s="167">
        <f>'Datos_fuente'!B130</f>
        <v/>
      </c>
      <c r="N137" s="167">
        <f>EXP('Transformaciones'!B129+K137)</f>
        <v/>
      </c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'Transformaciones'!A131</f>
        <v/>
      </c>
      <c r="B138" s="160">
        <f>'Transformaciones'!C131</f>
        <v/>
      </c>
      <c r="C138" s="160">
        <f>$B$6</f>
        <v/>
      </c>
      <c r="D138" s="160">
        <f>$B$7*'Transformaciones'!E131</f>
        <v/>
      </c>
      <c r="E138" s="160">
        <f>$B$11*'Transformaciones'!M131</f>
        <v/>
      </c>
      <c r="F138" s="160">
        <f>$B$12*'Transformaciones'!O131</f>
        <v/>
      </c>
      <c r="G138" s="160">
        <f>$B$8*'Transformaciones'!G130</f>
        <v/>
      </c>
      <c r="H138" s="160">
        <f>$B$9*'Transformaciones'!I130</f>
        <v/>
      </c>
      <c r="I138" s="160">
        <f>$B$10*'Transformaciones'!K130</f>
        <v/>
      </c>
      <c r="J138" s="160">
        <f>$B$13*'Transformaciones'!P131</f>
        <v/>
      </c>
      <c r="K138" s="166">
        <f>SUM(C138:J138)</f>
        <v/>
      </c>
      <c r="L138" s="166">
        <f>B138-K138</f>
        <v/>
      </c>
      <c r="M138" s="167">
        <f>'Datos_fuente'!B131</f>
        <v/>
      </c>
      <c r="N138" s="167">
        <f>EXP('Transformaciones'!B130+K138)</f>
        <v/>
      </c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'Transformaciones'!A132</f>
        <v/>
      </c>
      <c r="B139" s="160">
        <f>'Transformaciones'!C132</f>
        <v/>
      </c>
      <c r="C139" s="160">
        <f>$B$6</f>
        <v/>
      </c>
      <c r="D139" s="160">
        <f>$B$7*'Transformaciones'!E132</f>
        <v/>
      </c>
      <c r="E139" s="160">
        <f>$B$11*'Transformaciones'!M132</f>
        <v/>
      </c>
      <c r="F139" s="160">
        <f>$B$12*'Transformaciones'!O132</f>
        <v/>
      </c>
      <c r="G139" s="160">
        <f>$B$8*'Transformaciones'!G131</f>
        <v/>
      </c>
      <c r="H139" s="160">
        <f>$B$9*'Transformaciones'!I131</f>
        <v/>
      </c>
      <c r="I139" s="160">
        <f>$B$10*'Transformaciones'!K131</f>
        <v/>
      </c>
      <c r="J139" s="160">
        <f>$B$13*'Transformaciones'!P132</f>
        <v/>
      </c>
      <c r="K139" s="166">
        <f>SUM(C139:J139)</f>
        <v/>
      </c>
      <c r="L139" s="166">
        <f>B139-K139</f>
        <v/>
      </c>
      <c r="M139" s="167">
        <f>'Datos_fuente'!B132</f>
        <v/>
      </c>
      <c r="N139" s="167">
        <f>EXP('Transformaciones'!B131+K139)</f>
        <v/>
      </c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'Transformaciones'!A133</f>
        <v/>
      </c>
      <c r="B140" s="160">
        <f>'Transformaciones'!C133</f>
        <v/>
      </c>
      <c r="C140" s="160">
        <f>$B$6</f>
        <v/>
      </c>
      <c r="D140" s="160">
        <f>$B$7*'Transformaciones'!E133</f>
        <v/>
      </c>
      <c r="E140" s="160">
        <f>$B$11*'Transformaciones'!M133</f>
        <v/>
      </c>
      <c r="F140" s="160">
        <f>$B$12*'Transformaciones'!O133</f>
        <v/>
      </c>
      <c r="G140" s="160">
        <f>$B$8*'Transformaciones'!G132</f>
        <v/>
      </c>
      <c r="H140" s="160">
        <f>$B$9*'Transformaciones'!I132</f>
        <v/>
      </c>
      <c r="I140" s="160">
        <f>$B$10*'Transformaciones'!K132</f>
        <v/>
      </c>
      <c r="J140" s="160">
        <f>$B$13*'Transformaciones'!P133</f>
        <v/>
      </c>
      <c r="K140" s="166">
        <f>SUM(C140:J140)</f>
        <v/>
      </c>
      <c r="L140" s="166">
        <f>B140-K140</f>
        <v/>
      </c>
      <c r="M140" s="167">
        <f>'Datos_fuente'!B133</f>
        <v/>
      </c>
      <c r="N140" s="167">
        <f>EXP('Transformaciones'!B132+K140)</f>
        <v/>
      </c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'Transformaciones'!A134</f>
        <v/>
      </c>
      <c r="B141" s="160">
        <f>'Transformaciones'!C134</f>
        <v/>
      </c>
      <c r="C141" s="160">
        <f>$B$6</f>
        <v/>
      </c>
      <c r="D141" s="160">
        <f>$B$7*'Transformaciones'!E134</f>
        <v/>
      </c>
      <c r="E141" s="160">
        <f>$B$11*'Transformaciones'!M134</f>
        <v/>
      </c>
      <c r="F141" s="160">
        <f>$B$12*'Transformaciones'!O134</f>
        <v/>
      </c>
      <c r="G141" s="160">
        <f>$B$8*'Transformaciones'!G133</f>
        <v/>
      </c>
      <c r="H141" s="160">
        <f>$B$9*'Transformaciones'!I133</f>
        <v/>
      </c>
      <c r="I141" s="160">
        <f>$B$10*'Transformaciones'!K133</f>
        <v/>
      </c>
      <c r="J141" s="160">
        <f>$B$13*'Transformaciones'!P134</f>
        <v/>
      </c>
      <c r="K141" s="166">
        <f>SUM(C141:J141)</f>
        <v/>
      </c>
      <c r="L141" s="166">
        <f>B141-K141</f>
        <v/>
      </c>
      <c r="M141" s="167">
        <f>'Datos_fuente'!B134</f>
        <v/>
      </c>
      <c r="N141" s="167">
        <f>EXP('Transformaciones'!B133+K141)</f>
        <v/>
      </c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'Transformaciones'!A135</f>
        <v/>
      </c>
      <c r="B142" s="160">
        <f>'Transformaciones'!C135</f>
        <v/>
      </c>
      <c r="C142" s="160">
        <f>$B$6</f>
        <v/>
      </c>
      <c r="D142" s="160">
        <f>$B$7*'Transformaciones'!E135</f>
        <v/>
      </c>
      <c r="E142" s="160">
        <f>$B$11*'Transformaciones'!M135</f>
        <v/>
      </c>
      <c r="F142" s="160">
        <f>$B$12*'Transformaciones'!O135</f>
        <v/>
      </c>
      <c r="G142" s="160">
        <f>$B$8*'Transformaciones'!G134</f>
        <v/>
      </c>
      <c r="H142" s="160">
        <f>$B$9*'Transformaciones'!I134</f>
        <v/>
      </c>
      <c r="I142" s="160">
        <f>$B$10*'Transformaciones'!K134</f>
        <v/>
      </c>
      <c r="J142" s="160">
        <f>$B$13*'Transformaciones'!P135</f>
        <v/>
      </c>
      <c r="K142" s="166">
        <f>SUM(C142:J142)</f>
        <v/>
      </c>
      <c r="L142" s="166">
        <f>B142-K142</f>
        <v/>
      </c>
      <c r="M142" s="167">
        <f>'Datos_fuente'!B135</f>
        <v/>
      </c>
      <c r="N142" s="167">
        <f>EXP('Transformaciones'!B134+K142)</f>
        <v/>
      </c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'Transformaciones'!A136</f>
        <v/>
      </c>
      <c r="B143" s="160">
        <f>'Transformaciones'!C136</f>
        <v/>
      </c>
      <c r="C143" s="160">
        <f>$B$6</f>
        <v/>
      </c>
      <c r="D143" s="160">
        <f>$B$7*'Transformaciones'!E136</f>
        <v/>
      </c>
      <c r="E143" s="160">
        <f>$B$11*'Transformaciones'!M136</f>
        <v/>
      </c>
      <c r="F143" s="160">
        <f>$B$12*'Transformaciones'!O136</f>
        <v/>
      </c>
      <c r="G143" s="160">
        <f>$B$8*'Transformaciones'!G135</f>
        <v/>
      </c>
      <c r="H143" s="160">
        <f>$B$9*'Transformaciones'!I135</f>
        <v/>
      </c>
      <c r="I143" s="160">
        <f>$B$10*'Transformaciones'!K135</f>
        <v/>
      </c>
      <c r="J143" s="160">
        <f>$B$13*'Transformaciones'!P136</f>
        <v/>
      </c>
      <c r="K143" s="166">
        <f>SUM(C143:J143)</f>
        <v/>
      </c>
      <c r="L143" s="166">
        <f>B143-K143</f>
        <v/>
      </c>
      <c r="M143" s="167">
        <f>'Datos_fuente'!B136</f>
        <v/>
      </c>
      <c r="N143" s="167">
        <f>EXP('Transformaciones'!B135+K143)</f>
        <v/>
      </c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'Transformaciones'!A137</f>
        <v/>
      </c>
      <c r="B144" s="160">
        <f>'Transformaciones'!C137</f>
        <v/>
      </c>
      <c r="C144" s="160">
        <f>$B$6</f>
        <v/>
      </c>
      <c r="D144" s="160">
        <f>$B$7*'Transformaciones'!E137</f>
        <v/>
      </c>
      <c r="E144" s="160">
        <f>$B$11*'Transformaciones'!M137</f>
        <v/>
      </c>
      <c r="F144" s="160">
        <f>$B$12*'Transformaciones'!O137</f>
        <v/>
      </c>
      <c r="G144" s="160">
        <f>$B$8*'Transformaciones'!G136</f>
        <v/>
      </c>
      <c r="H144" s="160">
        <f>$B$9*'Transformaciones'!I136</f>
        <v/>
      </c>
      <c r="I144" s="160">
        <f>$B$10*'Transformaciones'!K136</f>
        <v/>
      </c>
      <c r="J144" s="160">
        <f>$B$13*'Transformaciones'!P137</f>
        <v/>
      </c>
      <c r="K144" s="166">
        <f>SUM(C144:J144)</f>
        <v/>
      </c>
      <c r="L144" s="166">
        <f>B144-K144</f>
        <v/>
      </c>
      <c r="M144" s="167">
        <f>'Datos_fuente'!B137</f>
        <v/>
      </c>
      <c r="N144" s="167">
        <f>EXP('Transformaciones'!B136+K144)</f>
        <v/>
      </c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'Transformaciones'!A138</f>
        <v/>
      </c>
      <c r="B145" s="160">
        <f>'Transformaciones'!C138</f>
        <v/>
      </c>
      <c r="C145" s="160">
        <f>$B$6</f>
        <v/>
      </c>
      <c r="D145" s="160">
        <f>$B$7*'Transformaciones'!E138</f>
        <v/>
      </c>
      <c r="E145" s="160">
        <f>$B$11*'Transformaciones'!M138</f>
        <v/>
      </c>
      <c r="F145" s="160">
        <f>$B$12*'Transformaciones'!O138</f>
        <v/>
      </c>
      <c r="G145" s="160">
        <f>$B$8*'Transformaciones'!G137</f>
        <v/>
      </c>
      <c r="H145" s="160">
        <f>$B$9*'Transformaciones'!I137</f>
        <v/>
      </c>
      <c r="I145" s="160">
        <f>$B$10*'Transformaciones'!K137</f>
        <v/>
      </c>
      <c r="J145" s="160">
        <f>$B$13*'Transformaciones'!P138</f>
        <v/>
      </c>
      <c r="K145" s="166">
        <f>SUM(C145:J145)</f>
        <v/>
      </c>
      <c r="L145" s="166">
        <f>B145-K145</f>
        <v/>
      </c>
      <c r="M145" s="167">
        <f>'Datos_fuente'!B138</f>
        <v/>
      </c>
      <c r="N145" s="167">
        <f>EXP('Transformaciones'!B137+K145)</f>
        <v/>
      </c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'Transformaciones'!A139</f>
        <v/>
      </c>
      <c r="B146" s="160">
        <f>'Transformaciones'!C139</f>
        <v/>
      </c>
      <c r="C146" s="160">
        <f>$B$6</f>
        <v/>
      </c>
      <c r="D146" s="160">
        <f>$B$7*'Transformaciones'!E139</f>
        <v/>
      </c>
      <c r="E146" s="160">
        <f>$B$11*'Transformaciones'!M139</f>
        <v/>
      </c>
      <c r="F146" s="160">
        <f>$B$12*'Transformaciones'!O139</f>
        <v/>
      </c>
      <c r="G146" s="160">
        <f>$B$8*'Transformaciones'!G138</f>
        <v/>
      </c>
      <c r="H146" s="160">
        <f>$B$9*'Transformaciones'!I138</f>
        <v/>
      </c>
      <c r="I146" s="160">
        <f>$B$10*'Transformaciones'!K138</f>
        <v/>
      </c>
      <c r="J146" s="160">
        <f>$B$13*'Transformaciones'!P139</f>
        <v/>
      </c>
      <c r="K146" s="166">
        <f>SUM(C146:J146)</f>
        <v/>
      </c>
      <c r="L146" s="166">
        <f>B146-K146</f>
        <v/>
      </c>
      <c r="M146" s="167">
        <f>'Datos_fuente'!B139</f>
        <v/>
      </c>
      <c r="N146" s="167">
        <f>EXP('Transformaciones'!B138+K146)</f>
        <v/>
      </c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'Transformaciones'!A140</f>
        <v/>
      </c>
      <c r="B147" s="160">
        <f>'Transformaciones'!C140</f>
        <v/>
      </c>
      <c r="C147" s="160">
        <f>$B$6</f>
        <v/>
      </c>
      <c r="D147" s="160">
        <f>$B$7*'Transformaciones'!E140</f>
        <v/>
      </c>
      <c r="E147" s="160">
        <f>$B$11*'Transformaciones'!M140</f>
        <v/>
      </c>
      <c r="F147" s="160">
        <f>$B$12*'Transformaciones'!O140</f>
        <v/>
      </c>
      <c r="G147" s="160">
        <f>$B$8*'Transformaciones'!G139</f>
        <v/>
      </c>
      <c r="H147" s="160">
        <f>$B$9*'Transformaciones'!I139</f>
        <v/>
      </c>
      <c r="I147" s="160">
        <f>$B$10*'Transformaciones'!K139</f>
        <v/>
      </c>
      <c r="J147" s="160">
        <f>$B$13*'Transformaciones'!P140</f>
        <v/>
      </c>
      <c r="K147" s="166">
        <f>SUM(C147:J147)</f>
        <v/>
      </c>
      <c r="L147" s="166">
        <f>B147-K147</f>
        <v/>
      </c>
      <c r="M147" s="167">
        <f>'Datos_fuente'!B140</f>
        <v/>
      </c>
      <c r="N147" s="167">
        <f>EXP('Transformaciones'!B139+K147)</f>
        <v/>
      </c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'Transformaciones'!A141</f>
        <v/>
      </c>
      <c r="B148" s="160">
        <f>'Transformaciones'!C141</f>
        <v/>
      </c>
      <c r="C148" s="160">
        <f>$B$6</f>
        <v/>
      </c>
      <c r="D148" s="160">
        <f>$B$7*'Transformaciones'!E141</f>
        <v/>
      </c>
      <c r="E148" s="160">
        <f>$B$11*'Transformaciones'!M141</f>
        <v/>
      </c>
      <c r="F148" s="160">
        <f>$B$12*'Transformaciones'!O141</f>
        <v/>
      </c>
      <c r="G148" s="160">
        <f>$B$8*'Transformaciones'!G140</f>
        <v/>
      </c>
      <c r="H148" s="160">
        <f>$B$9*'Transformaciones'!I140</f>
        <v/>
      </c>
      <c r="I148" s="160">
        <f>$B$10*'Transformaciones'!K140</f>
        <v/>
      </c>
      <c r="J148" s="160">
        <f>$B$13*'Transformaciones'!P141</f>
        <v/>
      </c>
      <c r="K148" s="166">
        <f>SUM(C148:J148)</f>
        <v/>
      </c>
      <c r="L148" s="166">
        <f>B148-K148</f>
        <v/>
      </c>
      <c r="M148" s="167">
        <f>'Datos_fuente'!B141</f>
        <v/>
      </c>
      <c r="N148" s="167">
        <f>EXP('Transformaciones'!B140+K148)</f>
        <v/>
      </c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'Transformaciones'!A142</f>
        <v/>
      </c>
      <c r="B149" s="160">
        <f>'Transformaciones'!C142</f>
        <v/>
      </c>
      <c r="C149" s="160">
        <f>$B$6</f>
        <v/>
      </c>
      <c r="D149" s="160">
        <f>$B$7*'Transformaciones'!E142</f>
        <v/>
      </c>
      <c r="E149" s="160">
        <f>$B$11*'Transformaciones'!M142</f>
        <v/>
      </c>
      <c r="F149" s="160">
        <f>$B$12*'Transformaciones'!O142</f>
        <v/>
      </c>
      <c r="G149" s="160">
        <f>$B$8*'Transformaciones'!G141</f>
        <v/>
      </c>
      <c r="H149" s="160">
        <f>$B$9*'Transformaciones'!I141</f>
        <v/>
      </c>
      <c r="I149" s="160">
        <f>$B$10*'Transformaciones'!K141</f>
        <v/>
      </c>
      <c r="J149" s="160">
        <f>$B$13*'Transformaciones'!P142</f>
        <v/>
      </c>
      <c r="K149" s="166">
        <f>SUM(C149:J149)</f>
        <v/>
      </c>
      <c r="L149" s="166">
        <f>B149-K149</f>
        <v/>
      </c>
      <c r="M149" s="167">
        <f>'Datos_fuente'!B142</f>
        <v/>
      </c>
      <c r="N149" s="167">
        <f>EXP('Transformaciones'!B141+K149)</f>
        <v/>
      </c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'Transformaciones'!A143</f>
        <v/>
      </c>
      <c r="B150" s="160">
        <f>'Transformaciones'!C143</f>
        <v/>
      </c>
      <c r="C150" s="160">
        <f>$B$6</f>
        <v/>
      </c>
      <c r="D150" s="160">
        <f>$B$7*'Transformaciones'!E143</f>
        <v/>
      </c>
      <c r="E150" s="160">
        <f>$B$11*'Transformaciones'!M143</f>
        <v/>
      </c>
      <c r="F150" s="160">
        <f>$B$12*'Transformaciones'!O143</f>
        <v/>
      </c>
      <c r="G150" s="160">
        <f>$B$8*'Transformaciones'!G142</f>
        <v/>
      </c>
      <c r="H150" s="160">
        <f>$B$9*'Transformaciones'!I142</f>
        <v/>
      </c>
      <c r="I150" s="160">
        <f>$B$10*'Transformaciones'!K142</f>
        <v/>
      </c>
      <c r="J150" s="160">
        <f>$B$13*'Transformaciones'!P143</f>
        <v/>
      </c>
      <c r="K150" s="166">
        <f>SUM(C150:J150)</f>
        <v/>
      </c>
      <c r="L150" s="166">
        <f>B150-K150</f>
        <v/>
      </c>
      <c r="M150" s="167">
        <f>'Datos_fuente'!B143</f>
        <v/>
      </c>
      <c r="N150" s="167">
        <f>EXP('Transformaciones'!B142+K150)</f>
        <v/>
      </c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'Transformaciones'!A144</f>
        <v/>
      </c>
      <c r="B151" s="160">
        <f>'Transformaciones'!C144</f>
        <v/>
      </c>
      <c r="C151" s="160">
        <f>$B$6</f>
        <v/>
      </c>
      <c r="D151" s="160">
        <f>$B$7*'Transformaciones'!E144</f>
        <v/>
      </c>
      <c r="E151" s="160">
        <f>$B$11*'Transformaciones'!M144</f>
        <v/>
      </c>
      <c r="F151" s="160">
        <f>$B$12*'Transformaciones'!O144</f>
        <v/>
      </c>
      <c r="G151" s="160">
        <f>$B$8*'Transformaciones'!G143</f>
        <v/>
      </c>
      <c r="H151" s="160">
        <f>$B$9*'Transformaciones'!I143</f>
        <v/>
      </c>
      <c r="I151" s="160">
        <f>$B$10*'Transformaciones'!K143</f>
        <v/>
      </c>
      <c r="J151" s="160">
        <f>$B$13*'Transformaciones'!P144</f>
        <v/>
      </c>
      <c r="K151" s="166">
        <f>SUM(C151:J151)</f>
        <v/>
      </c>
      <c r="L151" s="166">
        <f>B151-K151</f>
        <v/>
      </c>
      <c r="M151" s="167">
        <f>'Datos_fuente'!B144</f>
        <v/>
      </c>
      <c r="N151" s="167">
        <f>EXP('Transformaciones'!B143+K151)</f>
        <v/>
      </c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'Transformaciones'!A145</f>
        <v/>
      </c>
      <c r="B152" s="160">
        <f>'Transformaciones'!C145</f>
        <v/>
      </c>
      <c r="C152" s="160">
        <f>$B$6</f>
        <v/>
      </c>
      <c r="D152" s="160">
        <f>$B$7*'Transformaciones'!E145</f>
        <v/>
      </c>
      <c r="E152" s="160">
        <f>$B$11*'Transformaciones'!M145</f>
        <v/>
      </c>
      <c r="F152" s="160">
        <f>$B$12*'Transformaciones'!O145</f>
        <v/>
      </c>
      <c r="G152" s="160">
        <f>$B$8*'Transformaciones'!G144</f>
        <v/>
      </c>
      <c r="H152" s="160">
        <f>$B$9*'Transformaciones'!I144</f>
        <v/>
      </c>
      <c r="I152" s="160">
        <f>$B$10*'Transformaciones'!K144</f>
        <v/>
      </c>
      <c r="J152" s="160">
        <f>$B$13*'Transformaciones'!P145</f>
        <v/>
      </c>
      <c r="K152" s="166">
        <f>SUM(C152:J152)</f>
        <v/>
      </c>
      <c r="L152" s="166">
        <f>B152-K152</f>
        <v/>
      </c>
      <c r="M152" s="167">
        <f>'Datos_fuente'!B145</f>
        <v/>
      </c>
      <c r="N152" s="167">
        <f>EXP('Transformaciones'!B144+K152)</f>
        <v/>
      </c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'Transformaciones'!A146</f>
        <v/>
      </c>
      <c r="B153" s="160">
        <f>'Transformaciones'!C146</f>
        <v/>
      </c>
      <c r="C153" s="160">
        <f>$B$6</f>
        <v/>
      </c>
      <c r="D153" s="160">
        <f>$B$7*'Transformaciones'!E146</f>
        <v/>
      </c>
      <c r="E153" s="160">
        <f>$B$11*'Transformaciones'!M146</f>
        <v/>
      </c>
      <c r="F153" s="160">
        <f>$B$12*'Transformaciones'!O146</f>
        <v/>
      </c>
      <c r="G153" s="160">
        <f>$B$8*'Transformaciones'!G145</f>
        <v/>
      </c>
      <c r="H153" s="160">
        <f>$B$9*'Transformaciones'!I145</f>
        <v/>
      </c>
      <c r="I153" s="160">
        <f>$B$10*'Transformaciones'!K145</f>
        <v/>
      </c>
      <c r="J153" s="160">
        <f>$B$13*'Transformaciones'!P146</f>
        <v/>
      </c>
      <c r="K153" s="166">
        <f>SUM(C153:J153)</f>
        <v/>
      </c>
      <c r="L153" s="166">
        <f>B153-K153</f>
        <v/>
      </c>
      <c r="M153" s="167">
        <f>'Datos_fuente'!B146</f>
        <v/>
      </c>
      <c r="N153" s="167">
        <f>EXP('Transformaciones'!B145+K153)</f>
        <v/>
      </c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'Transformaciones'!A147</f>
        <v/>
      </c>
      <c r="B154" s="160">
        <f>'Transformaciones'!C147</f>
        <v/>
      </c>
      <c r="C154" s="160">
        <f>$B$6</f>
        <v/>
      </c>
      <c r="D154" s="160">
        <f>$B$7*'Transformaciones'!E147</f>
        <v/>
      </c>
      <c r="E154" s="160">
        <f>$B$11*'Transformaciones'!M147</f>
        <v/>
      </c>
      <c r="F154" s="160">
        <f>$B$12*'Transformaciones'!O147</f>
        <v/>
      </c>
      <c r="G154" s="160">
        <f>$B$8*'Transformaciones'!G146</f>
        <v/>
      </c>
      <c r="H154" s="160">
        <f>$B$9*'Transformaciones'!I146</f>
        <v/>
      </c>
      <c r="I154" s="160">
        <f>$B$10*'Transformaciones'!K146</f>
        <v/>
      </c>
      <c r="J154" s="160">
        <f>$B$13*'Transformaciones'!P147</f>
        <v/>
      </c>
      <c r="K154" s="166">
        <f>SUM(C154:J154)</f>
        <v/>
      </c>
      <c r="L154" s="166">
        <f>B154-K154</f>
        <v/>
      </c>
      <c r="M154" s="167">
        <f>'Datos_fuente'!B147</f>
        <v/>
      </c>
      <c r="N154" s="167">
        <f>EXP('Transformaciones'!B146+K154)</f>
        <v/>
      </c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'Transformaciones'!A148</f>
        <v/>
      </c>
      <c r="B155" s="160">
        <f>'Transformaciones'!C148</f>
        <v/>
      </c>
      <c r="C155" s="160">
        <f>$B$6</f>
        <v/>
      </c>
      <c r="D155" s="160">
        <f>$B$7*'Transformaciones'!E148</f>
        <v/>
      </c>
      <c r="E155" s="160">
        <f>$B$11*'Transformaciones'!M148</f>
        <v/>
      </c>
      <c r="F155" s="160">
        <f>$B$12*'Transformaciones'!O148</f>
        <v/>
      </c>
      <c r="G155" s="160">
        <f>$B$8*'Transformaciones'!G147</f>
        <v/>
      </c>
      <c r="H155" s="160">
        <f>$B$9*'Transformaciones'!I147</f>
        <v/>
      </c>
      <c r="I155" s="160">
        <f>$B$10*'Transformaciones'!K147</f>
        <v/>
      </c>
      <c r="J155" s="160">
        <f>$B$13*'Transformaciones'!P148</f>
        <v/>
      </c>
      <c r="K155" s="166">
        <f>SUM(C155:J155)</f>
        <v/>
      </c>
      <c r="L155" s="166">
        <f>B155-K155</f>
        <v/>
      </c>
      <c r="M155" s="167">
        <f>'Datos_fuente'!B148</f>
        <v/>
      </c>
      <c r="N155" s="167">
        <f>EXP('Transformaciones'!B147+K155)</f>
        <v/>
      </c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'Transformaciones'!A149</f>
        <v/>
      </c>
      <c r="B156" s="160">
        <f>'Transformaciones'!C149</f>
        <v/>
      </c>
      <c r="C156" s="160">
        <f>$B$6</f>
        <v/>
      </c>
      <c r="D156" s="160">
        <f>$B$7*'Transformaciones'!E149</f>
        <v/>
      </c>
      <c r="E156" s="160">
        <f>$B$11*'Transformaciones'!M149</f>
        <v/>
      </c>
      <c r="F156" s="160">
        <f>$B$12*'Transformaciones'!O149</f>
        <v/>
      </c>
      <c r="G156" s="160">
        <f>$B$8*'Transformaciones'!G148</f>
        <v/>
      </c>
      <c r="H156" s="160">
        <f>$B$9*'Transformaciones'!I148</f>
        <v/>
      </c>
      <c r="I156" s="160">
        <f>$B$10*'Transformaciones'!K148</f>
        <v/>
      </c>
      <c r="J156" s="160">
        <f>$B$13*'Transformaciones'!P149</f>
        <v/>
      </c>
      <c r="K156" s="166">
        <f>SUM(C156:J156)</f>
        <v/>
      </c>
      <c r="L156" s="166">
        <f>B156-K156</f>
        <v/>
      </c>
      <c r="M156" s="167">
        <f>'Datos_fuente'!B149</f>
        <v/>
      </c>
      <c r="N156" s="167">
        <f>EXP('Transformaciones'!B148+K156)</f>
        <v/>
      </c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'Transformaciones'!A150</f>
        <v/>
      </c>
      <c r="B157" s="160">
        <f>'Transformaciones'!C150</f>
        <v/>
      </c>
      <c r="C157" s="160">
        <f>$B$6</f>
        <v/>
      </c>
      <c r="D157" s="160">
        <f>$B$7*'Transformaciones'!E150</f>
        <v/>
      </c>
      <c r="E157" s="160">
        <f>$B$11*'Transformaciones'!M150</f>
        <v/>
      </c>
      <c r="F157" s="160">
        <f>$B$12*'Transformaciones'!O150</f>
        <v/>
      </c>
      <c r="G157" s="160">
        <f>$B$8*'Transformaciones'!G149</f>
        <v/>
      </c>
      <c r="H157" s="160">
        <f>$B$9*'Transformaciones'!I149</f>
        <v/>
      </c>
      <c r="I157" s="160">
        <f>$B$10*'Transformaciones'!K149</f>
        <v/>
      </c>
      <c r="J157" s="160">
        <f>$B$13*'Transformaciones'!P150</f>
        <v/>
      </c>
      <c r="K157" s="166">
        <f>SUM(C157:J157)</f>
        <v/>
      </c>
      <c r="L157" s="166">
        <f>B157-K157</f>
        <v/>
      </c>
      <c r="M157" s="167">
        <f>'Datos_fuente'!B150</f>
        <v/>
      </c>
      <c r="N157" s="167">
        <f>EXP('Transformaciones'!B149+K157)</f>
        <v/>
      </c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'Transformaciones'!A151</f>
        <v/>
      </c>
      <c r="B158" s="160">
        <f>'Transformaciones'!C151</f>
        <v/>
      </c>
      <c r="C158" s="160">
        <f>$B$6</f>
        <v/>
      </c>
      <c r="D158" s="160">
        <f>$B$7*'Transformaciones'!E151</f>
        <v/>
      </c>
      <c r="E158" s="160">
        <f>$B$11*'Transformaciones'!M151</f>
        <v/>
      </c>
      <c r="F158" s="160">
        <f>$B$12*'Transformaciones'!O151</f>
        <v/>
      </c>
      <c r="G158" s="160">
        <f>$B$8*'Transformaciones'!G150</f>
        <v/>
      </c>
      <c r="H158" s="160">
        <f>$B$9*'Transformaciones'!I150</f>
        <v/>
      </c>
      <c r="I158" s="160">
        <f>$B$10*'Transformaciones'!K150</f>
        <v/>
      </c>
      <c r="J158" s="160">
        <f>$B$13*'Transformaciones'!P151</f>
        <v/>
      </c>
      <c r="K158" s="166">
        <f>SUM(C158:J158)</f>
        <v/>
      </c>
      <c r="L158" s="166">
        <f>B158-K158</f>
        <v/>
      </c>
      <c r="M158" s="167">
        <f>'Datos_fuente'!B151</f>
        <v/>
      </c>
      <c r="N158" s="167">
        <f>EXP('Transformaciones'!B150+K158)</f>
        <v/>
      </c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'Transformaciones'!A152</f>
        <v/>
      </c>
      <c r="B159" s="160">
        <f>'Transformaciones'!C152</f>
        <v/>
      </c>
      <c r="C159" s="160">
        <f>$B$6</f>
        <v/>
      </c>
      <c r="D159" s="160">
        <f>$B$7*'Transformaciones'!E152</f>
        <v/>
      </c>
      <c r="E159" s="160">
        <f>$B$11*'Transformaciones'!M152</f>
        <v/>
      </c>
      <c r="F159" s="160">
        <f>$B$12*'Transformaciones'!O152</f>
        <v/>
      </c>
      <c r="G159" s="160">
        <f>$B$8*'Transformaciones'!G151</f>
        <v/>
      </c>
      <c r="H159" s="160">
        <f>$B$9*'Transformaciones'!I151</f>
        <v/>
      </c>
      <c r="I159" s="160">
        <f>$B$10*'Transformaciones'!K151</f>
        <v/>
      </c>
      <c r="J159" s="160">
        <f>$B$13*'Transformaciones'!P152</f>
        <v/>
      </c>
      <c r="K159" s="166">
        <f>SUM(C159:J159)</f>
        <v/>
      </c>
      <c r="L159" s="166">
        <f>B159-K159</f>
        <v/>
      </c>
      <c r="M159" s="167">
        <f>'Datos_fuente'!B152</f>
        <v/>
      </c>
      <c r="N159" s="167">
        <f>EXP('Transformaciones'!B151+K159)</f>
        <v/>
      </c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'Transformaciones'!A153</f>
        <v/>
      </c>
      <c r="B160" s="160">
        <f>'Transformaciones'!C153</f>
        <v/>
      </c>
      <c r="C160" s="160">
        <f>$B$6</f>
        <v/>
      </c>
      <c r="D160" s="160">
        <f>$B$7*'Transformaciones'!E153</f>
        <v/>
      </c>
      <c r="E160" s="160">
        <f>$B$11*'Transformaciones'!M153</f>
        <v/>
      </c>
      <c r="F160" s="160">
        <f>$B$12*'Transformaciones'!O153</f>
        <v/>
      </c>
      <c r="G160" s="160">
        <f>$B$8*'Transformaciones'!G152</f>
        <v/>
      </c>
      <c r="H160" s="160">
        <f>$B$9*'Transformaciones'!I152</f>
        <v/>
      </c>
      <c r="I160" s="160">
        <f>$B$10*'Transformaciones'!K152</f>
        <v/>
      </c>
      <c r="J160" s="160">
        <f>$B$13*'Transformaciones'!P153</f>
        <v/>
      </c>
      <c r="K160" s="166">
        <f>SUM(C160:J160)</f>
        <v/>
      </c>
      <c r="L160" s="166">
        <f>B160-K160</f>
        <v/>
      </c>
      <c r="M160" s="167">
        <f>'Datos_fuente'!B153</f>
        <v/>
      </c>
      <c r="N160" s="167">
        <f>EXP('Transformaciones'!B152+K160)</f>
        <v/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'Transformaciones'!A154</f>
        <v/>
      </c>
      <c r="B161" s="160">
        <f>'Transformaciones'!C154</f>
        <v/>
      </c>
      <c r="C161" s="160">
        <f>$B$6</f>
        <v/>
      </c>
      <c r="D161" s="160">
        <f>$B$7*'Transformaciones'!E154</f>
        <v/>
      </c>
      <c r="E161" s="160">
        <f>$B$11*'Transformaciones'!M154</f>
        <v/>
      </c>
      <c r="F161" s="160">
        <f>$B$12*'Transformaciones'!O154</f>
        <v/>
      </c>
      <c r="G161" s="160">
        <f>$B$8*'Transformaciones'!G153</f>
        <v/>
      </c>
      <c r="H161" s="160">
        <f>$B$9*'Transformaciones'!I153</f>
        <v/>
      </c>
      <c r="I161" s="160">
        <f>$B$10*'Transformaciones'!K153</f>
        <v/>
      </c>
      <c r="J161" s="160">
        <f>$B$13*'Transformaciones'!P154</f>
        <v/>
      </c>
      <c r="K161" s="166">
        <f>SUM(C161:J161)</f>
        <v/>
      </c>
      <c r="L161" s="166">
        <f>B161-K161</f>
        <v/>
      </c>
      <c r="M161" s="167">
        <f>'Datos_fuente'!B154</f>
        <v/>
      </c>
      <c r="N161" s="167">
        <f>EXP('Transformaciones'!B153+K161)</f>
        <v/>
      </c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'Transformaciones'!A155</f>
        <v/>
      </c>
      <c r="B162" s="160">
        <f>'Transformaciones'!C155</f>
        <v/>
      </c>
      <c r="C162" s="160">
        <f>$B$6</f>
        <v/>
      </c>
      <c r="D162" s="160">
        <f>$B$7*'Transformaciones'!E155</f>
        <v/>
      </c>
      <c r="E162" s="160">
        <f>$B$11*'Transformaciones'!M155</f>
        <v/>
      </c>
      <c r="F162" s="160">
        <f>$B$12*'Transformaciones'!O155</f>
        <v/>
      </c>
      <c r="G162" s="160">
        <f>$B$8*'Transformaciones'!G154</f>
        <v/>
      </c>
      <c r="H162" s="160">
        <f>$B$9*'Transformaciones'!I154</f>
        <v/>
      </c>
      <c r="I162" s="160">
        <f>$B$10*'Transformaciones'!K154</f>
        <v/>
      </c>
      <c r="J162" s="160">
        <f>$B$13*'Transformaciones'!P155</f>
        <v/>
      </c>
      <c r="K162" s="166">
        <f>SUM(C162:J162)</f>
        <v/>
      </c>
      <c r="L162" s="166">
        <f>B162-K162</f>
        <v/>
      </c>
      <c r="M162" s="167">
        <f>'Datos_fuente'!B155</f>
        <v/>
      </c>
      <c r="N162" s="167">
        <f>EXP('Transformaciones'!B154+K162)</f>
        <v/>
      </c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'Transformaciones'!A156</f>
        <v/>
      </c>
      <c r="B163" s="160">
        <f>'Transformaciones'!C156</f>
        <v/>
      </c>
      <c r="C163" s="160">
        <f>$B$6</f>
        <v/>
      </c>
      <c r="D163" s="160">
        <f>$B$7*'Transformaciones'!E156</f>
        <v/>
      </c>
      <c r="E163" s="160">
        <f>$B$11*'Transformaciones'!M156</f>
        <v/>
      </c>
      <c r="F163" s="160">
        <f>$B$12*'Transformaciones'!O156</f>
        <v/>
      </c>
      <c r="G163" s="160">
        <f>$B$8*'Transformaciones'!G155</f>
        <v/>
      </c>
      <c r="H163" s="160">
        <f>$B$9*'Transformaciones'!I155</f>
        <v/>
      </c>
      <c r="I163" s="160">
        <f>$B$10*'Transformaciones'!K155</f>
        <v/>
      </c>
      <c r="J163" s="160">
        <f>$B$13*'Transformaciones'!P156</f>
        <v/>
      </c>
      <c r="K163" s="166">
        <f>SUM(C163:J163)</f>
        <v/>
      </c>
      <c r="L163" s="166">
        <f>B163-K163</f>
        <v/>
      </c>
      <c r="M163" s="167">
        <f>'Datos_fuente'!B156</f>
        <v/>
      </c>
      <c r="N163" s="167">
        <f>EXP('Transformaciones'!B155+K163)</f>
        <v/>
      </c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'Transformaciones'!A157</f>
        <v/>
      </c>
      <c r="B164" s="160">
        <f>'Transformaciones'!C157</f>
        <v/>
      </c>
      <c r="C164" s="160">
        <f>$B$6</f>
        <v/>
      </c>
      <c r="D164" s="160">
        <f>$B$7*'Transformaciones'!E157</f>
        <v/>
      </c>
      <c r="E164" s="160">
        <f>$B$11*'Transformaciones'!M157</f>
        <v/>
      </c>
      <c r="F164" s="160">
        <f>$B$12*'Transformaciones'!O157</f>
        <v/>
      </c>
      <c r="G164" s="160">
        <f>$B$8*'Transformaciones'!G156</f>
        <v/>
      </c>
      <c r="H164" s="160">
        <f>$B$9*'Transformaciones'!I156</f>
        <v/>
      </c>
      <c r="I164" s="160">
        <f>$B$10*'Transformaciones'!K156</f>
        <v/>
      </c>
      <c r="J164" s="160">
        <f>$B$13*'Transformaciones'!P157</f>
        <v/>
      </c>
      <c r="K164" s="166">
        <f>SUM(C164:J164)</f>
        <v/>
      </c>
      <c r="L164" s="166">
        <f>B164-K164</f>
        <v/>
      </c>
      <c r="M164" s="167">
        <f>'Datos_fuente'!B157</f>
        <v/>
      </c>
      <c r="N164" s="167">
        <f>EXP('Transformaciones'!B156+K164)</f>
        <v/>
      </c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'Transformaciones'!A158</f>
        <v/>
      </c>
      <c r="B165" s="160">
        <f>'Transformaciones'!C158</f>
        <v/>
      </c>
      <c r="C165" s="160">
        <f>$B$6</f>
        <v/>
      </c>
      <c r="D165" s="160">
        <f>$B$7*'Transformaciones'!E158</f>
        <v/>
      </c>
      <c r="E165" s="160">
        <f>$B$11*'Transformaciones'!M158</f>
        <v/>
      </c>
      <c r="F165" s="160">
        <f>$B$12*'Transformaciones'!O158</f>
        <v/>
      </c>
      <c r="G165" s="160">
        <f>$B$8*'Transformaciones'!G157</f>
        <v/>
      </c>
      <c r="H165" s="160">
        <f>$B$9*'Transformaciones'!I157</f>
        <v/>
      </c>
      <c r="I165" s="160">
        <f>$B$10*'Transformaciones'!K157</f>
        <v/>
      </c>
      <c r="J165" s="160">
        <f>$B$13*'Transformaciones'!P158</f>
        <v/>
      </c>
      <c r="K165" s="166">
        <f>SUM(C165:J165)</f>
        <v/>
      </c>
      <c r="L165" s="166">
        <f>B165-K165</f>
        <v/>
      </c>
      <c r="M165" s="167">
        <f>'Datos_fuente'!B158</f>
        <v/>
      </c>
      <c r="N165" s="167">
        <f>EXP('Transformaciones'!B157+K165)</f>
        <v/>
      </c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'Transformaciones'!A159</f>
        <v/>
      </c>
      <c r="B166" s="160">
        <f>'Transformaciones'!C159</f>
        <v/>
      </c>
      <c r="C166" s="160">
        <f>$B$6</f>
        <v/>
      </c>
      <c r="D166" s="160">
        <f>$B$7*'Transformaciones'!E159</f>
        <v/>
      </c>
      <c r="E166" s="160">
        <f>$B$11*'Transformaciones'!M159</f>
        <v/>
      </c>
      <c r="F166" s="160">
        <f>$B$12*'Transformaciones'!O159</f>
        <v/>
      </c>
      <c r="G166" s="160">
        <f>$B$8*'Transformaciones'!G158</f>
        <v/>
      </c>
      <c r="H166" s="160">
        <f>$B$9*'Transformaciones'!I158</f>
        <v/>
      </c>
      <c r="I166" s="160">
        <f>$B$10*'Transformaciones'!K158</f>
        <v/>
      </c>
      <c r="J166" s="160">
        <f>$B$13*'Transformaciones'!P159</f>
        <v/>
      </c>
      <c r="K166" s="166">
        <f>SUM(C166:J166)</f>
        <v/>
      </c>
      <c r="L166" s="166">
        <f>B166-K166</f>
        <v/>
      </c>
      <c r="M166" s="167">
        <f>'Datos_fuente'!B159</f>
        <v/>
      </c>
      <c r="N166" s="167">
        <f>EXP('Transformaciones'!B158+K166)</f>
        <v/>
      </c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'Transformaciones'!A160</f>
        <v/>
      </c>
      <c r="B167" s="160">
        <f>'Transformaciones'!C160</f>
        <v/>
      </c>
      <c r="C167" s="160">
        <f>$B$6</f>
        <v/>
      </c>
      <c r="D167" s="160">
        <f>$B$7*'Transformaciones'!E160</f>
        <v/>
      </c>
      <c r="E167" s="160">
        <f>$B$11*'Transformaciones'!M160</f>
        <v/>
      </c>
      <c r="F167" s="160">
        <f>$B$12*'Transformaciones'!O160</f>
        <v/>
      </c>
      <c r="G167" s="160">
        <f>$B$8*'Transformaciones'!G159</f>
        <v/>
      </c>
      <c r="H167" s="160">
        <f>$B$9*'Transformaciones'!I159</f>
        <v/>
      </c>
      <c r="I167" s="160">
        <f>$B$10*'Transformaciones'!K159</f>
        <v/>
      </c>
      <c r="J167" s="160">
        <f>$B$13*'Transformaciones'!P160</f>
        <v/>
      </c>
      <c r="K167" s="166">
        <f>SUM(C167:J167)</f>
        <v/>
      </c>
      <c r="L167" s="166">
        <f>B167-K167</f>
        <v/>
      </c>
      <c r="M167" s="167">
        <f>'Datos_fuente'!B160</f>
        <v/>
      </c>
      <c r="N167" s="167">
        <f>EXP('Transformaciones'!B159+K167)</f>
        <v/>
      </c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'Transformaciones'!A161</f>
        <v/>
      </c>
      <c r="B168" s="160">
        <f>'Transformaciones'!C161</f>
        <v/>
      </c>
      <c r="C168" s="160">
        <f>$B$6</f>
        <v/>
      </c>
      <c r="D168" s="160">
        <f>$B$7*'Transformaciones'!E161</f>
        <v/>
      </c>
      <c r="E168" s="160">
        <f>$B$11*'Transformaciones'!M161</f>
        <v/>
      </c>
      <c r="F168" s="160">
        <f>$B$12*'Transformaciones'!O161</f>
        <v/>
      </c>
      <c r="G168" s="160">
        <f>$B$8*'Transformaciones'!G160</f>
        <v/>
      </c>
      <c r="H168" s="160">
        <f>$B$9*'Transformaciones'!I160</f>
        <v/>
      </c>
      <c r="I168" s="160">
        <f>$B$10*'Transformaciones'!K160</f>
        <v/>
      </c>
      <c r="J168" s="160">
        <f>$B$13*'Transformaciones'!P161</f>
        <v/>
      </c>
      <c r="K168" s="166">
        <f>SUM(C168:J168)</f>
        <v/>
      </c>
      <c r="L168" s="166">
        <f>B168-K168</f>
        <v/>
      </c>
      <c r="M168" s="167">
        <f>'Datos_fuente'!B161</f>
        <v/>
      </c>
      <c r="N168" s="167">
        <f>EXP('Transformaciones'!B160+K168)</f>
        <v/>
      </c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'Transformaciones'!A162</f>
        <v/>
      </c>
      <c r="B169" s="160">
        <f>'Transformaciones'!C162</f>
        <v/>
      </c>
      <c r="C169" s="160">
        <f>$B$6</f>
        <v/>
      </c>
      <c r="D169" s="160">
        <f>$B$7*'Transformaciones'!E162</f>
        <v/>
      </c>
      <c r="E169" s="160">
        <f>$B$11*'Transformaciones'!M162</f>
        <v/>
      </c>
      <c r="F169" s="160">
        <f>$B$12*'Transformaciones'!O162</f>
        <v/>
      </c>
      <c r="G169" s="160">
        <f>$B$8*'Transformaciones'!G161</f>
        <v/>
      </c>
      <c r="H169" s="160">
        <f>$B$9*'Transformaciones'!I161</f>
        <v/>
      </c>
      <c r="I169" s="160">
        <f>$B$10*'Transformaciones'!K161</f>
        <v/>
      </c>
      <c r="J169" s="160">
        <f>$B$13*'Transformaciones'!P162</f>
        <v/>
      </c>
      <c r="K169" s="166">
        <f>SUM(C169:J169)</f>
        <v/>
      </c>
      <c r="L169" s="166">
        <f>B169-K169</f>
        <v/>
      </c>
      <c r="M169" s="167">
        <f>'Datos_fuente'!B162</f>
        <v/>
      </c>
      <c r="N169" s="167">
        <f>EXP('Transformaciones'!B161+K169)</f>
        <v/>
      </c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'Transformaciones'!A163</f>
        <v/>
      </c>
      <c r="B170" s="160">
        <f>'Transformaciones'!C163</f>
        <v/>
      </c>
      <c r="C170" s="160">
        <f>$B$6</f>
        <v/>
      </c>
      <c r="D170" s="160">
        <f>$B$7*'Transformaciones'!E163</f>
        <v/>
      </c>
      <c r="E170" s="160">
        <f>$B$11*'Transformaciones'!M163</f>
        <v/>
      </c>
      <c r="F170" s="160">
        <f>$B$12*'Transformaciones'!O163</f>
        <v/>
      </c>
      <c r="G170" s="160">
        <f>$B$8*'Transformaciones'!G162</f>
        <v/>
      </c>
      <c r="H170" s="160">
        <f>$B$9*'Transformaciones'!I162</f>
        <v/>
      </c>
      <c r="I170" s="160">
        <f>$B$10*'Transformaciones'!K162</f>
        <v/>
      </c>
      <c r="J170" s="160">
        <f>$B$13*'Transformaciones'!P163</f>
        <v/>
      </c>
      <c r="K170" s="166">
        <f>SUM(C170:J170)</f>
        <v/>
      </c>
      <c r="L170" s="166">
        <f>B170-K170</f>
        <v/>
      </c>
      <c r="M170" s="167">
        <f>'Datos_fuente'!B163</f>
        <v/>
      </c>
      <c r="N170" s="167">
        <f>EXP('Transformaciones'!B162+K170)</f>
        <v/>
      </c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'Transformaciones'!A164</f>
        <v/>
      </c>
      <c r="B171" s="160">
        <f>'Transformaciones'!C164</f>
        <v/>
      </c>
      <c r="C171" s="160">
        <f>$B$6</f>
        <v/>
      </c>
      <c r="D171" s="160">
        <f>$B$7*'Transformaciones'!E164</f>
        <v/>
      </c>
      <c r="E171" s="160">
        <f>$B$11*'Transformaciones'!M164</f>
        <v/>
      </c>
      <c r="F171" s="160">
        <f>$B$12*'Transformaciones'!O164</f>
        <v/>
      </c>
      <c r="G171" s="160">
        <f>$B$8*'Transformaciones'!G163</f>
        <v/>
      </c>
      <c r="H171" s="160">
        <f>$B$9*'Transformaciones'!I163</f>
        <v/>
      </c>
      <c r="I171" s="160">
        <f>$B$10*'Transformaciones'!K163</f>
        <v/>
      </c>
      <c r="J171" s="160">
        <f>$B$13*'Transformaciones'!P164</f>
        <v/>
      </c>
      <c r="K171" s="166">
        <f>SUM(C171:J171)</f>
        <v/>
      </c>
      <c r="L171" s="166">
        <f>B171-K171</f>
        <v/>
      </c>
      <c r="M171" s="167">
        <f>'Datos_fuente'!B164</f>
        <v/>
      </c>
      <c r="N171" s="167">
        <f>EXP('Transformaciones'!B163+K171)</f>
        <v/>
      </c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'Transformaciones'!A165</f>
        <v/>
      </c>
      <c r="B172" s="160">
        <f>'Transformaciones'!C165</f>
        <v/>
      </c>
      <c r="C172" s="160">
        <f>$B$6</f>
        <v/>
      </c>
      <c r="D172" s="160">
        <f>$B$7*'Transformaciones'!E165</f>
        <v/>
      </c>
      <c r="E172" s="160">
        <f>$B$11*'Transformaciones'!M165</f>
        <v/>
      </c>
      <c r="F172" s="160">
        <f>$B$12*'Transformaciones'!O165</f>
        <v/>
      </c>
      <c r="G172" s="160">
        <f>$B$8*'Transformaciones'!G164</f>
        <v/>
      </c>
      <c r="H172" s="160">
        <f>$B$9*'Transformaciones'!I164</f>
        <v/>
      </c>
      <c r="I172" s="160">
        <f>$B$10*'Transformaciones'!K164</f>
        <v/>
      </c>
      <c r="J172" s="160">
        <f>$B$13*'Transformaciones'!P165</f>
        <v/>
      </c>
      <c r="K172" s="166">
        <f>SUM(C172:J172)</f>
        <v/>
      </c>
      <c r="L172" s="166">
        <f>B172-K172</f>
        <v/>
      </c>
      <c r="M172" s="167">
        <f>'Datos_fuente'!B165</f>
        <v/>
      </c>
      <c r="N172" s="167">
        <f>EXP('Transformaciones'!B164+K172)</f>
        <v/>
      </c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'Transformaciones'!A166</f>
        <v/>
      </c>
      <c r="B173" s="160">
        <f>'Transformaciones'!C166</f>
        <v/>
      </c>
      <c r="C173" s="160">
        <f>$B$6</f>
        <v/>
      </c>
      <c r="D173" s="160">
        <f>$B$7*'Transformaciones'!E166</f>
        <v/>
      </c>
      <c r="E173" s="160">
        <f>$B$11*'Transformaciones'!M166</f>
        <v/>
      </c>
      <c r="F173" s="160">
        <f>$B$12*'Transformaciones'!O166</f>
        <v/>
      </c>
      <c r="G173" s="160">
        <f>$B$8*'Transformaciones'!G165</f>
        <v/>
      </c>
      <c r="H173" s="160">
        <f>$B$9*'Transformaciones'!I165</f>
        <v/>
      </c>
      <c r="I173" s="160">
        <f>$B$10*'Transformaciones'!K165</f>
        <v/>
      </c>
      <c r="J173" s="160">
        <f>$B$13*'Transformaciones'!P166</f>
        <v/>
      </c>
      <c r="K173" s="166">
        <f>SUM(C173:J173)</f>
        <v/>
      </c>
      <c r="L173" s="166">
        <f>B173-K173</f>
        <v/>
      </c>
      <c r="M173" s="167">
        <f>'Datos_fuente'!B166</f>
        <v/>
      </c>
      <c r="N173" s="167">
        <f>EXP('Transformaciones'!B165+K173)</f>
        <v/>
      </c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'Transformaciones'!A167</f>
        <v/>
      </c>
      <c r="B174" s="160">
        <f>'Transformaciones'!C167</f>
        <v/>
      </c>
      <c r="C174" s="160">
        <f>$B$6</f>
        <v/>
      </c>
      <c r="D174" s="160">
        <f>$B$7*'Transformaciones'!E167</f>
        <v/>
      </c>
      <c r="E174" s="160">
        <f>$B$11*'Transformaciones'!M167</f>
        <v/>
      </c>
      <c r="F174" s="160">
        <f>$B$12*'Transformaciones'!O167</f>
        <v/>
      </c>
      <c r="G174" s="160">
        <f>$B$8*'Transformaciones'!G166</f>
        <v/>
      </c>
      <c r="H174" s="160">
        <f>$B$9*'Transformaciones'!I166</f>
        <v/>
      </c>
      <c r="I174" s="160">
        <f>$B$10*'Transformaciones'!K166</f>
        <v/>
      </c>
      <c r="J174" s="160">
        <f>$B$13*'Transformaciones'!P167</f>
        <v/>
      </c>
      <c r="K174" s="166">
        <f>SUM(C174:J174)</f>
        <v/>
      </c>
      <c r="L174" s="166">
        <f>B174-K174</f>
        <v/>
      </c>
      <c r="M174" s="167">
        <f>'Datos_fuente'!B167</f>
        <v/>
      </c>
      <c r="N174" s="167">
        <f>EXP('Transformaciones'!B166+K174)</f>
        <v/>
      </c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'Transformaciones'!A168</f>
        <v/>
      </c>
      <c r="B175" s="160">
        <f>'Transformaciones'!C168</f>
        <v/>
      </c>
      <c r="C175" s="160">
        <f>$B$6</f>
        <v/>
      </c>
      <c r="D175" s="160">
        <f>$B$7*'Transformaciones'!E168</f>
        <v/>
      </c>
      <c r="E175" s="160">
        <f>$B$11*'Transformaciones'!M168</f>
        <v/>
      </c>
      <c r="F175" s="160">
        <f>$B$12*'Transformaciones'!O168</f>
        <v/>
      </c>
      <c r="G175" s="160">
        <f>$B$8*'Transformaciones'!G167</f>
        <v/>
      </c>
      <c r="H175" s="160">
        <f>$B$9*'Transformaciones'!I167</f>
        <v/>
      </c>
      <c r="I175" s="160">
        <f>$B$10*'Transformaciones'!K167</f>
        <v/>
      </c>
      <c r="J175" s="160">
        <f>$B$13*'Transformaciones'!P168</f>
        <v/>
      </c>
      <c r="K175" s="166">
        <f>SUM(C175:J175)</f>
        <v/>
      </c>
      <c r="L175" s="166">
        <f>B175-K175</f>
        <v/>
      </c>
      <c r="M175" s="167">
        <f>'Datos_fuente'!B168</f>
        <v/>
      </c>
      <c r="N175" s="167">
        <f>EXP('Transformaciones'!B167+K175)</f>
        <v/>
      </c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'Transformaciones'!A169</f>
        <v/>
      </c>
      <c r="B176" s="160">
        <f>'Transformaciones'!C169</f>
        <v/>
      </c>
      <c r="C176" s="160">
        <f>$B$6</f>
        <v/>
      </c>
      <c r="D176" s="160">
        <f>$B$7*'Transformaciones'!E169</f>
        <v/>
      </c>
      <c r="E176" s="160">
        <f>$B$11*'Transformaciones'!M169</f>
        <v/>
      </c>
      <c r="F176" s="160">
        <f>$B$12*'Transformaciones'!O169</f>
        <v/>
      </c>
      <c r="G176" s="160">
        <f>$B$8*'Transformaciones'!G168</f>
        <v/>
      </c>
      <c r="H176" s="160">
        <f>$B$9*'Transformaciones'!I168</f>
        <v/>
      </c>
      <c r="I176" s="160">
        <f>$B$10*'Transformaciones'!K168</f>
        <v/>
      </c>
      <c r="J176" s="160">
        <f>$B$13*'Transformaciones'!P169</f>
        <v/>
      </c>
      <c r="K176" s="166">
        <f>SUM(C176:J176)</f>
        <v/>
      </c>
      <c r="L176" s="166">
        <f>B176-K176</f>
        <v/>
      </c>
      <c r="M176" s="167">
        <f>'Datos_fuente'!B169</f>
        <v/>
      </c>
      <c r="N176" s="167">
        <f>EXP('Transformaciones'!B168+K176)</f>
        <v/>
      </c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'Transformaciones'!A170</f>
        <v/>
      </c>
      <c r="B177" s="160">
        <f>'Transformaciones'!C170</f>
        <v/>
      </c>
      <c r="C177" s="160">
        <f>$B$6</f>
        <v/>
      </c>
      <c r="D177" s="160">
        <f>$B$7*'Transformaciones'!E170</f>
        <v/>
      </c>
      <c r="E177" s="160">
        <f>$B$11*'Transformaciones'!M170</f>
        <v/>
      </c>
      <c r="F177" s="160">
        <f>$B$12*'Transformaciones'!O170</f>
        <v/>
      </c>
      <c r="G177" s="160">
        <f>$B$8*'Transformaciones'!G169</f>
        <v/>
      </c>
      <c r="H177" s="160">
        <f>$B$9*'Transformaciones'!I169</f>
        <v/>
      </c>
      <c r="I177" s="160">
        <f>$B$10*'Transformaciones'!K169</f>
        <v/>
      </c>
      <c r="J177" s="160">
        <f>$B$13*'Transformaciones'!P170</f>
        <v/>
      </c>
      <c r="K177" s="166">
        <f>SUM(C177:J177)</f>
        <v/>
      </c>
      <c r="L177" s="166">
        <f>B177-K177</f>
        <v/>
      </c>
      <c r="M177" s="167">
        <f>'Datos_fuente'!B170</f>
        <v/>
      </c>
      <c r="N177" s="167">
        <f>EXP('Transformaciones'!B169+K177)</f>
        <v/>
      </c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'Transformaciones'!A171</f>
        <v/>
      </c>
      <c r="B178" s="160">
        <f>'Transformaciones'!C171</f>
        <v/>
      </c>
      <c r="C178" s="160">
        <f>$B$6</f>
        <v/>
      </c>
      <c r="D178" s="160">
        <f>$B$7*'Transformaciones'!E171</f>
        <v/>
      </c>
      <c r="E178" s="160">
        <f>$B$11*'Transformaciones'!M171</f>
        <v/>
      </c>
      <c r="F178" s="160">
        <f>$B$12*'Transformaciones'!O171</f>
        <v/>
      </c>
      <c r="G178" s="160">
        <f>$B$8*'Transformaciones'!G170</f>
        <v/>
      </c>
      <c r="H178" s="160">
        <f>$B$9*'Transformaciones'!I170</f>
        <v/>
      </c>
      <c r="I178" s="160">
        <f>$B$10*'Transformaciones'!K170</f>
        <v/>
      </c>
      <c r="J178" s="160">
        <f>$B$13*'Transformaciones'!P171</f>
        <v/>
      </c>
      <c r="K178" s="166">
        <f>SUM(C178:J178)</f>
        <v/>
      </c>
      <c r="L178" s="166">
        <f>B178-K178</f>
        <v/>
      </c>
      <c r="M178" s="167">
        <f>'Datos_fuente'!B171</f>
        <v/>
      </c>
      <c r="N178" s="167">
        <f>EXP('Transformaciones'!B170+K178)</f>
        <v/>
      </c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'Transformaciones'!A172</f>
        <v/>
      </c>
      <c r="B179" s="160">
        <f>'Transformaciones'!C172</f>
        <v/>
      </c>
      <c r="C179" s="160">
        <f>$B$6</f>
        <v/>
      </c>
      <c r="D179" s="160">
        <f>$B$7*'Transformaciones'!E172</f>
        <v/>
      </c>
      <c r="E179" s="160">
        <f>$B$11*'Transformaciones'!M172</f>
        <v/>
      </c>
      <c r="F179" s="160">
        <f>$B$12*'Transformaciones'!O172</f>
        <v/>
      </c>
      <c r="G179" s="160">
        <f>$B$8*'Transformaciones'!G171</f>
        <v/>
      </c>
      <c r="H179" s="160">
        <f>$B$9*'Transformaciones'!I171</f>
        <v/>
      </c>
      <c r="I179" s="160">
        <f>$B$10*'Transformaciones'!K171</f>
        <v/>
      </c>
      <c r="J179" s="160">
        <f>$B$13*'Transformaciones'!P172</f>
        <v/>
      </c>
      <c r="K179" s="166">
        <f>SUM(C179:J179)</f>
        <v/>
      </c>
      <c r="L179" s="166">
        <f>B179-K179</f>
        <v/>
      </c>
      <c r="M179" s="167">
        <f>'Datos_fuente'!B172</f>
        <v/>
      </c>
      <c r="N179" s="167">
        <f>EXP('Transformaciones'!B171+K179)</f>
        <v/>
      </c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'Transformaciones'!A173</f>
        <v/>
      </c>
      <c r="B180" s="160">
        <f>'Transformaciones'!C173</f>
        <v/>
      </c>
      <c r="C180" s="160">
        <f>$B$6</f>
        <v/>
      </c>
      <c r="D180" s="160">
        <f>$B$7*'Transformaciones'!E173</f>
        <v/>
      </c>
      <c r="E180" s="160">
        <f>$B$11*'Transformaciones'!M173</f>
        <v/>
      </c>
      <c r="F180" s="160">
        <f>$B$12*'Transformaciones'!O173</f>
        <v/>
      </c>
      <c r="G180" s="160">
        <f>$B$8*'Transformaciones'!G172</f>
        <v/>
      </c>
      <c r="H180" s="160">
        <f>$B$9*'Transformaciones'!I172</f>
        <v/>
      </c>
      <c r="I180" s="160">
        <f>$B$10*'Transformaciones'!K172</f>
        <v/>
      </c>
      <c r="J180" s="160">
        <f>$B$13*'Transformaciones'!P173</f>
        <v/>
      </c>
      <c r="K180" s="166">
        <f>SUM(C180:J180)</f>
        <v/>
      </c>
      <c r="L180" s="166">
        <f>B180-K180</f>
        <v/>
      </c>
      <c r="M180" s="167">
        <f>'Datos_fuente'!B173</f>
        <v/>
      </c>
      <c r="N180" s="167">
        <f>EXP('Transformaciones'!B172+K180)</f>
        <v/>
      </c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'Transformaciones'!A174</f>
        <v/>
      </c>
      <c r="B181" s="160">
        <f>'Transformaciones'!C174</f>
        <v/>
      </c>
      <c r="C181" s="160">
        <f>$B$6</f>
        <v/>
      </c>
      <c r="D181" s="160">
        <f>$B$7*'Transformaciones'!E174</f>
        <v/>
      </c>
      <c r="E181" s="160">
        <f>$B$11*'Transformaciones'!M174</f>
        <v/>
      </c>
      <c r="F181" s="160">
        <f>$B$12*'Transformaciones'!O174</f>
        <v/>
      </c>
      <c r="G181" s="160">
        <f>$B$8*'Transformaciones'!G173</f>
        <v/>
      </c>
      <c r="H181" s="160">
        <f>$B$9*'Transformaciones'!I173</f>
        <v/>
      </c>
      <c r="I181" s="160">
        <f>$B$10*'Transformaciones'!K173</f>
        <v/>
      </c>
      <c r="J181" s="160">
        <f>$B$13*'Transformaciones'!P174</f>
        <v/>
      </c>
      <c r="K181" s="166">
        <f>SUM(C181:J181)</f>
        <v/>
      </c>
      <c r="L181" s="166">
        <f>B181-K181</f>
        <v/>
      </c>
      <c r="M181" s="167">
        <f>'Datos_fuente'!B174</f>
        <v/>
      </c>
      <c r="N181" s="167">
        <f>EXP('Transformaciones'!B173+K181)</f>
        <v/>
      </c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'Transformaciones'!A175</f>
        <v/>
      </c>
      <c r="B182" s="160">
        <f>'Transformaciones'!C175</f>
        <v/>
      </c>
      <c r="C182" s="160">
        <f>$B$6</f>
        <v/>
      </c>
      <c r="D182" s="160">
        <f>$B$7*'Transformaciones'!E175</f>
        <v/>
      </c>
      <c r="E182" s="160">
        <f>$B$11*'Transformaciones'!M175</f>
        <v/>
      </c>
      <c r="F182" s="160">
        <f>$B$12*'Transformaciones'!O175</f>
        <v/>
      </c>
      <c r="G182" s="160">
        <f>$B$8*'Transformaciones'!G174</f>
        <v/>
      </c>
      <c r="H182" s="160">
        <f>$B$9*'Transformaciones'!I174</f>
        <v/>
      </c>
      <c r="I182" s="160">
        <f>$B$10*'Transformaciones'!K174</f>
        <v/>
      </c>
      <c r="J182" s="160">
        <f>$B$13*'Transformaciones'!P175</f>
        <v/>
      </c>
      <c r="K182" s="166">
        <f>SUM(C182:J182)</f>
        <v/>
      </c>
      <c r="L182" s="166">
        <f>B182-K182</f>
        <v/>
      </c>
      <c r="M182" s="167">
        <f>'Datos_fuente'!B175</f>
        <v/>
      </c>
      <c r="N182" s="167">
        <f>EXP('Transformaciones'!B174+K182)</f>
        <v/>
      </c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'Transformaciones'!A176</f>
        <v/>
      </c>
      <c r="B183" s="160">
        <f>'Transformaciones'!C176</f>
        <v/>
      </c>
      <c r="C183" s="160">
        <f>$B$6</f>
        <v/>
      </c>
      <c r="D183" s="160">
        <f>$B$7*'Transformaciones'!E176</f>
        <v/>
      </c>
      <c r="E183" s="160">
        <f>$B$11*'Transformaciones'!M176</f>
        <v/>
      </c>
      <c r="F183" s="160">
        <f>$B$12*'Transformaciones'!O176</f>
        <v/>
      </c>
      <c r="G183" s="160">
        <f>$B$8*'Transformaciones'!G175</f>
        <v/>
      </c>
      <c r="H183" s="160">
        <f>$B$9*'Transformaciones'!I175</f>
        <v/>
      </c>
      <c r="I183" s="160">
        <f>$B$10*'Transformaciones'!K175</f>
        <v/>
      </c>
      <c r="J183" s="160">
        <f>$B$13*'Transformaciones'!P176</f>
        <v/>
      </c>
      <c r="K183" s="166">
        <f>SUM(C183:J183)</f>
        <v/>
      </c>
      <c r="L183" s="166">
        <f>B183-K183</f>
        <v/>
      </c>
      <c r="M183" s="167">
        <f>'Datos_fuente'!B176</f>
        <v/>
      </c>
      <c r="N183" s="167">
        <f>EXP('Transformaciones'!B175+K183)</f>
        <v/>
      </c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'Transformaciones'!A177</f>
        <v/>
      </c>
      <c r="B184" s="160">
        <f>'Transformaciones'!C177</f>
        <v/>
      </c>
      <c r="C184" s="160">
        <f>$B$6</f>
        <v/>
      </c>
      <c r="D184" s="160">
        <f>$B$7*'Transformaciones'!E177</f>
        <v/>
      </c>
      <c r="E184" s="160">
        <f>$B$11*'Transformaciones'!M177</f>
        <v/>
      </c>
      <c r="F184" s="160">
        <f>$B$12*'Transformaciones'!O177</f>
        <v/>
      </c>
      <c r="G184" s="160">
        <f>$B$8*'Transformaciones'!G176</f>
        <v/>
      </c>
      <c r="H184" s="160">
        <f>$B$9*'Transformaciones'!I176</f>
        <v/>
      </c>
      <c r="I184" s="160">
        <f>$B$10*'Transformaciones'!K176</f>
        <v/>
      </c>
      <c r="J184" s="160">
        <f>$B$13*'Transformaciones'!P177</f>
        <v/>
      </c>
      <c r="K184" s="166">
        <f>SUM(C184:J184)</f>
        <v/>
      </c>
      <c r="L184" s="166">
        <f>B184-K184</f>
        <v/>
      </c>
      <c r="M184" s="167">
        <f>'Datos_fuente'!B177</f>
        <v/>
      </c>
      <c r="N184" s="167">
        <f>EXP('Transformaciones'!B176+K184)</f>
        <v/>
      </c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'Transformaciones'!A178</f>
        <v/>
      </c>
      <c r="B185" s="160">
        <f>'Transformaciones'!C178</f>
        <v/>
      </c>
      <c r="C185" s="160">
        <f>$B$6</f>
        <v/>
      </c>
      <c r="D185" s="160">
        <f>$B$7*'Transformaciones'!E178</f>
        <v/>
      </c>
      <c r="E185" s="160">
        <f>$B$11*'Transformaciones'!M178</f>
        <v/>
      </c>
      <c r="F185" s="160">
        <f>$B$12*'Transformaciones'!O178</f>
        <v/>
      </c>
      <c r="G185" s="160">
        <f>$B$8*'Transformaciones'!G177</f>
        <v/>
      </c>
      <c r="H185" s="160">
        <f>$B$9*'Transformaciones'!I177</f>
        <v/>
      </c>
      <c r="I185" s="160">
        <f>$B$10*'Transformaciones'!K177</f>
        <v/>
      </c>
      <c r="J185" s="160">
        <f>$B$13*'Transformaciones'!P178</f>
        <v/>
      </c>
      <c r="K185" s="166">
        <f>SUM(C185:J185)</f>
        <v/>
      </c>
      <c r="L185" s="166">
        <f>B185-K185</f>
        <v/>
      </c>
      <c r="M185" s="167">
        <f>'Datos_fuente'!B178</f>
        <v/>
      </c>
      <c r="N185" s="167">
        <f>EXP('Transformaciones'!B177+K185)</f>
        <v/>
      </c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'Transformaciones'!A179</f>
        <v/>
      </c>
      <c r="B186" s="160">
        <f>'Transformaciones'!C179</f>
        <v/>
      </c>
      <c r="C186" s="160">
        <f>$B$6</f>
        <v/>
      </c>
      <c r="D186" s="160">
        <f>$B$7*'Transformaciones'!E179</f>
        <v/>
      </c>
      <c r="E186" s="160">
        <f>$B$11*'Transformaciones'!M179</f>
        <v/>
      </c>
      <c r="F186" s="160">
        <f>$B$12*'Transformaciones'!O179</f>
        <v/>
      </c>
      <c r="G186" s="160">
        <f>$B$8*'Transformaciones'!G178</f>
        <v/>
      </c>
      <c r="H186" s="160">
        <f>$B$9*'Transformaciones'!I178</f>
        <v/>
      </c>
      <c r="I186" s="160">
        <f>$B$10*'Transformaciones'!K178</f>
        <v/>
      </c>
      <c r="J186" s="160">
        <f>$B$13*'Transformaciones'!P179</f>
        <v/>
      </c>
      <c r="K186" s="166">
        <f>SUM(C186:J186)</f>
        <v/>
      </c>
      <c r="L186" s="166">
        <f>B186-K186</f>
        <v/>
      </c>
      <c r="M186" s="167">
        <f>'Datos_fuente'!B179</f>
        <v/>
      </c>
      <c r="N186" s="167">
        <f>EXP('Transformaciones'!B178+K186)</f>
        <v/>
      </c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'Transformaciones'!A180</f>
        <v/>
      </c>
      <c r="B187" s="160">
        <f>'Transformaciones'!C180</f>
        <v/>
      </c>
      <c r="C187" s="160">
        <f>$B$6</f>
        <v/>
      </c>
      <c r="D187" s="160">
        <f>$B$7*'Transformaciones'!E180</f>
        <v/>
      </c>
      <c r="E187" s="160">
        <f>$B$11*'Transformaciones'!M180</f>
        <v/>
      </c>
      <c r="F187" s="160">
        <f>$B$12*'Transformaciones'!O180</f>
        <v/>
      </c>
      <c r="G187" s="160">
        <f>$B$8*'Transformaciones'!G179</f>
        <v/>
      </c>
      <c r="H187" s="160">
        <f>$B$9*'Transformaciones'!I179</f>
        <v/>
      </c>
      <c r="I187" s="160">
        <f>$B$10*'Transformaciones'!K179</f>
        <v/>
      </c>
      <c r="J187" s="160">
        <f>$B$13*'Transformaciones'!P180</f>
        <v/>
      </c>
      <c r="K187" s="166">
        <f>SUM(C187:J187)</f>
        <v/>
      </c>
      <c r="L187" s="166">
        <f>B187-K187</f>
        <v/>
      </c>
      <c r="M187" s="167">
        <f>'Datos_fuente'!B180</f>
        <v/>
      </c>
      <c r="N187" s="167">
        <f>EXP('Transformaciones'!B179+K187)</f>
        <v/>
      </c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'Transformaciones'!A181</f>
        <v/>
      </c>
      <c r="B188" s="160">
        <f>'Transformaciones'!C181</f>
        <v/>
      </c>
      <c r="C188" s="160">
        <f>$B$6</f>
        <v/>
      </c>
      <c r="D188" s="160">
        <f>$B$7*'Transformaciones'!E181</f>
        <v/>
      </c>
      <c r="E188" s="160">
        <f>$B$11*'Transformaciones'!M181</f>
        <v/>
      </c>
      <c r="F188" s="160">
        <f>$B$12*'Transformaciones'!O181</f>
        <v/>
      </c>
      <c r="G188" s="160">
        <f>$B$8*'Transformaciones'!G180</f>
        <v/>
      </c>
      <c r="H188" s="160">
        <f>$B$9*'Transformaciones'!I180</f>
        <v/>
      </c>
      <c r="I188" s="160">
        <f>$B$10*'Transformaciones'!K180</f>
        <v/>
      </c>
      <c r="J188" s="160">
        <f>$B$13*'Transformaciones'!P181</f>
        <v/>
      </c>
      <c r="K188" s="166">
        <f>SUM(C188:J188)</f>
        <v/>
      </c>
      <c r="L188" s="166">
        <f>B188-K188</f>
        <v/>
      </c>
      <c r="M188" s="167">
        <f>'Datos_fuente'!B181</f>
        <v/>
      </c>
      <c r="N188" s="167">
        <f>EXP('Transformaciones'!B180+K188)</f>
        <v/>
      </c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'Transformaciones'!A182</f>
        <v/>
      </c>
      <c r="B189" s="160">
        <f>'Transformaciones'!C182</f>
        <v/>
      </c>
      <c r="C189" s="160">
        <f>$B$6</f>
        <v/>
      </c>
      <c r="D189" s="160">
        <f>$B$7*'Transformaciones'!E182</f>
        <v/>
      </c>
      <c r="E189" s="160">
        <f>$B$11*'Transformaciones'!M182</f>
        <v/>
      </c>
      <c r="F189" s="160">
        <f>$B$12*'Transformaciones'!O182</f>
        <v/>
      </c>
      <c r="G189" s="160">
        <f>$B$8*'Transformaciones'!G181</f>
        <v/>
      </c>
      <c r="H189" s="160">
        <f>$B$9*'Transformaciones'!I181</f>
        <v/>
      </c>
      <c r="I189" s="160">
        <f>$B$10*'Transformaciones'!K181</f>
        <v/>
      </c>
      <c r="J189" s="160">
        <f>$B$13*'Transformaciones'!P182</f>
        <v/>
      </c>
      <c r="K189" s="166">
        <f>SUM(C189:J189)</f>
        <v/>
      </c>
      <c r="L189" s="166">
        <f>B189-K189</f>
        <v/>
      </c>
      <c r="M189" s="167">
        <f>'Datos_fuente'!B182</f>
        <v/>
      </c>
      <c r="N189" s="167">
        <f>EXP('Transformaciones'!B181+K189)</f>
        <v/>
      </c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'Transformaciones'!A183</f>
        <v/>
      </c>
      <c r="B190" s="160">
        <f>'Transformaciones'!C183</f>
        <v/>
      </c>
      <c r="C190" s="160">
        <f>$B$6</f>
        <v/>
      </c>
      <c r="D190" s="160">
        <f>$B$7*'Transformaciones'!E183</f>
        <v/>
      </c>
      <c r="E190" s="160">
        <f>$B$11*'Transformaciones'!M183</f>
        <v/>
      </c>
      <c r="F190" s="160">
        <f>$B$12*'Transformaciones'!O183</f>
        <v/>
      </c>
      <c r="G190" s="160">
        <f>$B$8*'Transformaciones'!G182</f>
        <v/>
      </c>
      <c r="H190" s="160">
        <f>$B$9*'Transformaciones'!I182</f>
        <v/>
      </c>
      <c r="I190" s="160">
        <f>$B$10*'Transformaciones'!K182</f>
        <v/>
      </c>
      <c r="J190" s="160">
        <f>$B$13*'Transformaciones'!P183</f>
        <v/>
      </c>
      <c r="K190" s="166">
        <f>SUM(C190:J190)</f>
        <v/>
      </c>
      <c r="L190" s="166">
        <f>B190-K190</f>
        <v/>
      </c>
      <c r="M190" s="167">
        <f>'Datos_fuente'!B183</f>
        <v/>
      </c>
      <c r="N190" s="167">
        <f>EXP('Transformaciones'!B182+K190)</f>
        <v/>
      </c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'Transformaciones'!A184</f>
        <v/>
      </c>
      <c r="B191" s="160">
        <f>'Transformaciones'!C184</f>
        <v/>
      </c>
      <c r="C191" s="160">
        <f>$B$6</f>
        <v/>
      </c>
      <c r="D191" s="160">
        <f>$B$7*'Transformaciones'!E184</f>
        <v/>
      </c>
      <c r="E191" s="160">
        <f>$B$11*'Transformaciones'!M184</f>
        <v/>
      </c>
      <c r="F191" s="160">
        <f>$B$12*'Transformaciones'!O184</f>
        <v/>
      </c>
      <c r="G191" s="160">
        <f>$B$8*'Transformaciones'!G183</f>
        <v/>
      </c>
      <c r="H191" s="160">
        <f>$B$9*'Transformaciones'!I183</f>
        <v/>
      </c>
      <c r="I191" s="160">
        <f>$B$10*'Transformaciones'!K183</f>
        <v/>
      </c>
      <c r="J191" s="160">
        <f>$B$13*'Transformaciones'!P184</f>
        <v/>
      </c>
      <c r="K191" s="166">
        <f>SUM(C191:J191)</f>
        <v/>
      </c>
      <c r="L191" s="166">
        <f>B191-K191</f>
        <v/>
      </c>
      <c r="M191" s="167">
        <f>'Datos_fuente'!B184</f>
        <v/>
      </c>
      <c r="N191" s="167">
        <f>EXP('Transformaciones'!B183+K191)</f>
        <v/>
      </c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'Transformaciones'!A185</f>
        <v/>
      </c>
      <c r="B192" s="160">
        <f>'Transformaciones'!C185</f>
        <v/>
      </c>
      <c r="C192" s="160">
        <f>$B$6</f>
        <v/>
      </c>
      <c r="D192" s="160">
        <f>$B$7*'Transformaciones'!E185</f>
        <v/>
      </c>
      <c r="E192" s="160">
        <f>$B$11*'Transformaciones'!M185</f>
        <v/>
      </c>
      <c r="F192" s="160">
        <f>$B$12*'Transformaciones'!O185</f>
        <v/>
      </c>
      <c r="G192" s="160">
        <f>$B$8*'Transformaciones'!G184</f>
        <v/>
      </c>
      <c r="H192" s="160">
        <f>$B$9*'Transformaciones'!I184</f>
        <v/>
      </c>
      <c r="I192" s="160">
        <f>$B$10*'Transformaciones'!K184</f>
        <v/>
      </c>
      <c r="J192" s="160">
        <f>$B$13*'Transformaciones'!P185</f>
        <v/>
      </c>
      <c r="K192" s="166">
        <f>SUM(C192:J192)</f>
        <v/>
      </c>
      <c r="L192" s="166">
        <f>B192-K192</f>
        <v/>
      </c>
      <c r="M192" s="167">
        <f>'Datos_fuente'!B185</f>
        <v/>
      </c>
      <c r="N192" s="167">
        <f>EXP('Transformaciones'!B184+K192)</f>
        <v/>
      </c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'Transformaciones'!A186</f>
        <v/>
      </c>
      <c r="B193" s="160">
        <f>'Transformaciones'!C186</f>
        <v/>
      </c>
      <c r="C193" s="160">
        <f>$B$6</f>
        <v/>
      </c>
      <c r="D193" s="160">
        <f>$B$7*'Transformaciones'!E186</f>
        <v/>
      </c>
      <c r="E193" s="160">
        <f>$B$11*'Transformaciones'!M186</f>
        <v/>
      </c>
      <c r="F193" s="160">
        <f>$B$12*'Transformaciones'!O186</f>
        <v/>
      </c>
      <c r="G193" s="160">
        <f>$B$8*'Transformaciones'!G185</f>
        <v/>
      </c>
      <c r="H193" s="160">
        <f>$B$9*'Transformaciones'!I185</f>
        <v/>
      </c>
      <c r="I193" s="160">
        <f>$B$10*'Transformaciones'!K185</f>
        <v/>
      </c>
      <c r="J193" s="160">
        <f>$B$13*'Transformaciones'!P186</f>
        <v/>
      </c>
      <c r="K193" s="166">
        <f>SUM(C193:J193)</f>
        <v/>
      </c>
      <c r="L193" s="166">
        <f>B193-K193</f>
        <v/>
      </c>
      <c r="M193" s="167">
        <f>'Datos_fuente'!B186</f>
        <v/>
      </c>
      <c r="N193" s="167">
        <f>EXP('Transformaciones'!B185+K193)</f>
        <v/>
      </c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'Transformaciones'!A187</f>
        <v/>
      </c>
      <c r="B194" s="160">
        <f>'Transformaciones'!C187</f>
        <v/>
      </c>
      <c r="C194" s="160">
        <f>$B$6</f>
        <v/>
      </c>
      <c r="D194" s="160">
        <f>$B$7*'Transformaciones'!E187</f>
        <v/>
      </c>
      <c r="E194" s="160">
        <f>$B$11*'Transformaciones'!M187</f>
        <v/>
      </c>
      <c r="F194" s="160">
        <f>$B$12*'Transformaciones'!O187</f>
        <v/>
      </c>
      <c r="G194" s="160">
        <f>$B$8*'Transformaciones'!G186</f>
        <v/>
      </c>
      <c r="H194" s="160">
        <f>$B$9*'Transformaciones'!I186</f>
        <v/>
      </c>
      <c r="I194" s="160">
        <f>$B$10*'Transformaciones'!K186</f>
        <v/>
      </c>
      <c r="J194" s="160">
        <f>$B$13*'Transformaciones'!P187</f>
        <v/>
      </c>
      <c r="K194" s="166">
        <f>SUM(C194:J194)</f>
        <v/>
      </c>
      <c r="L194" s="166">
        <f>B194-K194</f>
        <v/>
      </c>
      <c r="M194" s="167">
        <f>'Datos_fuente'!B187</f>
        <v/>
      </c>
      <c r="N194" s="167">
        <f>EXP('Transformaciones'!B186+K194)</f>
        <v/>
      </c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'Transformaciones'!A188</f>
        <v/>
      </c>
      <c r="B195" s="160">
        <f>'Transformaciones'!C188</f>
        <v/>
      </c>
      <c r="C195" s="160">
        <f>$B$6</f>
        <v/>
      </c>
      <c r="D195" s="160">
        <f>$B$7*'Transformaciones'!E188</f>
        <v/>
      </c>
      <c r="E195" s="160">
        <f>$B$11*'Transformaciones'!M188</f>
        <v/>
      </c>
      <c r="F195" s="160">
        <f>$B$12*'Transformaciones'!O188</f>
        <v/>
      </c>
      <c r="G195" s="160">
        <f>$B$8*'Transformaciones'!G187</f>
        <v/>
      </c>
      <c r="H195" s="160">
        <f>$B$9*'Transformaciones'!I187</f>
        <v/>
      </c>
      <c r="I195" s="160">
        <f>$B$10*'Transformaciones'!K187</f>
        <v/>
      </c>
      <c r="J195" s="160">
        <f>$B$13*'Transformaciones'!P188</f>
        <v/>
      </c>
      <c r="K195" s="166">
        <f>SUM(C195:J195)</f>
        <v/>
      </c>
      <c r="L195" s="166">
        <f>B195-K195</f>
        <v/>
      </c>
      <c r="M195" s="167">
        <f>'Datos_fuente'!B188</f>
        <v/>
      </c>
      <c r="N195" s="167">
        <f>EXP('Transformaciones'!B187+K195)</f>
        <v/>
      </c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'Transformaciones'!A189</f>
        <v/>
      </c>
      <c r="B196" s="160">
        <f>'Transformaciones'!C189</f>
        <v/>
      </c>
      <c r="C196" s="160">
        <f>$B$6</f>
        <v/>
      </c>
      <c r="D196" s="160">
        <f>$B$7*'Transformaciones'!E189</f>
        <v/>
      </c>
      <c r="E196" s="160">
        <f>$B$11*'Transformaciones'!M189</f>
        <v/>
      </c>
      <c r="F196" s="160">
        <f>$B$12*'Transformaciones'!O189</f>
        <v/>
      </c>
      <c r="G196" s="160">
        <f>$B$8*'Transformaciones'!G188</f>
        <v/>
      </c>
      <c r="H196" s="160">
        <f>$B$9*'Transformaciones'!I188</f>
        <v/>
      </c>
      <c r="I196" s="160">
        <f>$B$10*'Transformaciones'!K188</f>
        <v/>
      </c>
      <c r="J196" s="160">
        <f>$B$13*'Transformaciones'!P189</f>
        <v/>
      </c>
      <c r="K196" s="166">
        <f>SUM(C196:J196)</f>
        <v/>
      </c>
      <c r="L196" s="166">
        <f>B196-K196</f>
        <v/>
      </c>
      <c r="M196" s="167">
        <f>'Datos_fuente'!B189</f>
        <v/>
      </c>
      <c r="N196" s="167">
        <f>EXP('Transformaciones'!B188+K196)</f>
        <v/>
      </c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'Transformaciones'!A190</f>
        <v/>
      </c>
      <c r="B197" s="160">
        <f>'Transformaciones'!C190</f>
        <v/>
      </c>
      <c r="C197" s="160">
        <f>$B$6</f>
        <v/>
      </c>
      <c r="D197" s="160">
        <f>$B$7*'Transformaciones'!E190</f>
        <v/>
      </c>
      <c r="E197" s="160">
        <f>$B$11*'Transformaciones'!M190</f>
        <v/>
      </c>
      <c r="F197" s="160">
        <f>$B$12*'Transformaciones'!O190</f>
        <v/>
      </c>
      <c r="G197" s="160">
        <f>$B$8*'Transformaciones'!G189</f>
        <v/>
      </c>
      <c r="H197" s="160">
        <f>$B$9*'Transformaciones'!I189</f>
        <v/>
      </c>
      <c r="I197" s="160">
        <f>$B$10*'Transformaciones'!K189</f>
        <v/>
      </c>
      <c r="J197" s="160">
        <f>$B$13*'Transformaciones'!P190</f>
        <v/>
      </c>
      <c r="K197" s="166">
        <f>SUM(C197:J197)</f>
        <v/>
      </c>
      <c r="L197" s="166">
        <f>B197-K197</f>
        <v/>
      </c>
      <c r="M197" s="167">
        <f>'Datos_fuente'!B190</f>
        <v/>
      </c>
      <c r="N197" s="167">
        <f>EXP('Transformaciones'!B189+K197)</f>
        <v/>
      </c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'Transformaciones'!A191</f>
        <v/>
      </c>
      <c r="B198" s="160">
        <f>'Transformaciones'!C191</f>
        <v/>
      </c>
      <c r="C198" s="160">
        <f>$B$6</f>
        <v/>
      </c>
      <c r="D198" s="160">
        <f>$B$7*'Transformaciones'!E191</f>
        <v/>
      </c>
      <c r="E198" s="160">
        <f>$B$11*'Transformaciones'!M191</f>
        <v/>
      </c>
      <c r="F198" s="160">
        <f>$B$12*'Transformaciones'!O191</f>
        <v/>
      </c>
      <c r="G198" s="160">
        <f>$B$8*'Transformaciones'!G190</f>
        <v/>
      </c>
      <c r="H198" s="160">
        <f>$B$9*'Transformaciones'!I190</f>
        <v/>
      </c>
      <c r="I198" s="160">
        <f>$B$10*'Transformaciones'!K190</f>
        <v/>
      </c>
      <c r="J198" s="160">
        <f>$B$13*'Transformaciones'!P191</f>
        <v/>
      </c>
      <c r="K198" s="166">
        <f>SUM(C198:J198)</f>
        <v/>
      </c>
      <c r="L198" s="166">
        <f>B198-K198</f>
        <v/>
      </c>
      <c r="M198" s="167">
        <f>'Datos_fuente'!B191</f>
        <v/>
      </c>
      <c r="N198" s="167">
        <f>EXP('Transformaciones'!B190+K198)</f>
        <v/>
      </c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'Transformaciones'!A192</f>
        <v/>
      </c>
      <c r="B199" s="160">
        <f>'Transformaciones'!C192</f>
        <v/>
      </c>
      <c r="C199" s="160">
        <f>$B$6</f>
        <v/>
      </c>
      <c r="D199" s="160">
        <f>$B$7*'Transformaciones'!E192</f>
        <v/>
      </c>
      <c r="E199" s="160">
        <f>$B$11*'Transformaciones'!M192</f>
        <v/>
      </c>
      <c r="F199" s="160">
        <f>$B$12*'Transformaciones'!O192</f>
        <v/>
      </c>
      <c r="G199" s="160">
        <f>$B$8*'Transformaciones'!G191</f>
        <v/>
      </c>
      <c r="H199" s="160">
        <f>$B$9*'Transformaciones'!I191</f>
        <v/>
      </c>
      <c r="I199" s="160">
        <f>$B$10*'Transformaciones'!K191</f>
        <v/>
      </c>
      <c r="J199" s="160">
        <f>$B$13*'Transformaciones'!P192</f>
        <v/>
      </c>
      <c r="K199" s="166">
        <f>SUM(C199:J199)</f>
        <v/>
      </c>
      <c r="L199" s="166">
        <f>B199-K199</f>
        <v/>
      </c>
      <c r="M199" s="167">
        <f>'Datos_fuente'!B192</f>
        <v/>
      </c>
      <c r="N199" s="167">
        <f>EXP('Transformaciones'!B191+K199)</f>
        <v/>
      </c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'Transformaciones'!A193</f>
        <v/>
      </c>
      <c r="B200" s="160">
        <f>'Transformaciones'!C193</f>
        <v/>
      </c>
      <c r="C200" s="160">
        <f>$B$6</f>
        <v/>
      </c>
      <c r="D200" s="160">
        <f>$B$7*'Transformaciones'!E193</f>
        <v/>
      </c>
      <c r="E200" s="160">
        <f>$B$11*'Transformaciones'!M193</f>
        <v/>
      </c>
      <c r="F200" s="160">
        <f>$B$12*'Transformaciones'!O193</f>
        <v/>
      </c>
      <c r="G200" s="160">
        <f>$B$8*'Transformaciones'!G192</f>
        <v/>
      </c>
      <c r="H200" s="160">
        <f>$B$9*'Transformaciones'!I192</f>
        <v/>
      </c>
      <c r="I200" s="160">
        <f>$B$10*'Transformaciones'!K192</f>
        <v/>
      </c>
      <c r="J200" s="160">
        <f>$B$13*'Transformaciones'!P193</f>
        <v/>
      </c>
      <c r="K200" s="166">
        <f>SUM(C200:J200)</f>
        <v/>
      </c>
      <c r="L200" s="166">
        <f>B200-K200</f>
        <v/>
      </c>
      <c r="M200" s="167">
        <f>'Datos_fuente'!B193</f>
        <v/>
      </c>
      <c r="N200" s="167">
        <f>EXP('Transformaciones'!B192+K200)</f>
        <v/>
      </c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'Transformaciones'!A194</f>
        <v/>
      </c>
      <c r="B201" s="160">
        <f>'Transformaciones'!C194</f>
        <v/>
      </c>
      <c r="C201" s="160">
        <f>$B$6</f>
        <v/>
      </c>
      <c r="D201" s="160">
        <f>$B$7*'Transformaciones'!E194</f>
        <v/>
      </c>
      <c r="E201" s="160">
        <f>$B$11*'Transformaciones'!M194</f>
        <v/>
      </c>
      <c r="F201" s="160">
        <f>$B$12*'Transformaciones'!O194</f>
        <v/>
      </c>
      <c r="G201" s="160">
        <f>$B$8*'Transformaciones'!G193</f>
        <v/>
      </c>
      <c r="H201" s="160">
        <f>$B$9*'Transformaciones'!I193</f>
        <v/>
      </c>
      <c r="I201" s="160">
        <f>$B$10*'Transformaciones'!K193</f>
        <v/>
      </c>
      <c r="J201" s="160">
        <f>$B$13*'Transformaciones'!P194</f>
        <v/>
      </c>
      <c r="K201" s="166">
        <f>SUM(C201:J201)</f>
        <v/>
      </c>
      <c r="L201" s="166">
        <f>B201-K201</f>
        <v/>
      </c>
      <c r="M201" s="167">
        <f>'Datos_fuente'!B194</f>
        <v/>
      </c>
      <c r="N201" s="167">
        <f>EXP('Transformaciones'!B193+K201)</f>
        <v/>
      </c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'Transformaciones'!A195</f>
        <v/>
      </c>
      <c r="B202" s="160">
        <f>'Transformaciones'!C195</f>
        <v/>
      </c>
      <c r="C202" s="160">
        <f>$B$6</f>
        <v/>
      </c>
      <c r="D202" s="160">
        <f>$B$7*'Transformaciones'!E195</f>
        <v/>
      </c>
      <c r="E202" s="160">
        <f>$B$11*'Transformaciones'!M195</f>
        <v/>
      </c>
      <c r="F202" s="160">
        <f>$B$12*'Transformaciones'!O195</f>
        <v/>
      </c>
      <c r="G202" s="160">
        <f>$B$8*'Transformaciones'!G194</f>
        <v/>
      </c>
      <c r="H202" s="160">
        <f>$B$9*'Transformaciones'!I194</f>
        <v/>
      </c>
      <c r="I202" s="160">
        <f>$B$10*'Transformaciones'!K194</f>
        <v/>
      </c>
      <c r="J202" s="160">
        <f>$B$13*'Transformaciones'!P195</f>
        <v/>
      </c>
      <c r="K202" s="166">
        <f>SUM(C202:J202)</f>
        <v/>
      </c>
      <c r="L202" s="166">
        <f>B202-K202</f>
        <v/>
      </c>
      <c r="M202" s="167">
        <f>'Datos_fuente'!B195</f>
        <v/>
      </c>
      <c r="N202" s="167">
        <f>EXP('Transformaciones'!B194+K202)</f>
        <v/>
      </c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'Transformaciones'!A196</f>
        <v/>
      </c>
      <c r="B203" s="160">
        <f>'Transformaciones'!C196</f>
        <v/>
      </c>
      <c r="C203" s="160">
        <f>$B$6</f>
        <v/>
      </c>
      <c r="D203" s="160">
        <f>$B$7*'Transformaciones'!E196</f>
        <v/>
      </c>
      <c r="E203" s="160">
        <f>$B$11*'Transformaciones'!M196</f>
        <v/>
      </c>
      <c r="F203" s="160">
        <f>$B$12*'Transformaciones'!O196</f>
        <v/>
      </c>
      <c r="G203" s="160">
        <f>$B$8*'Transformaciones'!G195</f>
        <v/>
      </c>
      <c r="H203" s="160">
        <f>$B$9*'Transformaciones'!I195</f>
        <v/>
      </c>
      <c r="I203" s="160">
        <f>$B$10*'Transformaciones'!K195</f>
        <v/>
      </c>
      <c r="J203" s="160">
        <f>$B$13*'Transformaciones'!P196</f>
        <v/>
      </c>
      <c r="K203" s="166">
        <f>SUM(C203:J203)</f>
        <v/>
      </c>
      <c r="L203" s="166">
        <f>B203-K203</f>
        <v/>
      </c>
      <c r="M203" s="167">
        <f>'Datos_fuente'!B196</f>
        <v/>
      </c>
      <c r="N203" s="167">
        <f>EXP('Transformaciones'!B195+K203)</f>
        <v/>
      </c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'Transformaciones'!A197</f>
        <v/>
      </c>
      <c r="B204" s="160">
        <f>'Transformaciones'!C197</f>
        <v/>
      </c>
      <c r="C204" s="160">
        <f>$B$6</f>
        <v/>
      </c>
      <c r="D204" s="160">
        <f>$B$7*'Transformaciones'!E197</f>
        <v/>
      </c>
      <c r="E204" s="160">
        <f>$B$11*'Transformaciones'!M197</f>
        <v/>
      </c>
      <c r="F204" s="160">
        <f>$B$12*'Transformaciones'!O197</f>
        <v/>
      </c>
      <c r="G204" s="160">
        <f>$B$8*'Transformaciones'!G196</f>
        <v/>
      </c>
      <c r="H204" s="160">
        <f>$B$9*'Transformaciones'!I196</f>
        <v/>
      </c>
      <c r="I204" s="160">
        <f>$B$10*'Transformaciones'!K196</f>
        <v/>
      </c>
      <c r="J204" s="160">
        <f>$B$13*'Transformaciones'!P197</f>
        <v/>
      </c>
      <c r="K204" s="166">
        <f>SUM(C204:J204)</f>
        <v/>
      </c>
      <c r="L204" s="166">
        <f>B204-K204</f>
        <v/>
      </c>
      <c r="M204" s="167">
        <f>'Datos_fuente'!B197</f>
        <v/>
      </c>
      <c r="N204" s="167">
        <f>EXP('Transformaciones'!B196+K204)</f>
        <v/>
      </c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'Transformaciones'!A198</f>
        <v/>
      </c>
      <c r="B205" s="160">
        <f>'Transformaciones'!C198</f>
        <v/>
      </c>
      <c r="C205" s="160">
        <f>$B$6</f>
        <v/>
      </c>
      <c r="D205" s="160">
        <f>$B$7*'Transformaciones'!E198</f>
        <v/>
      </c>
      <c r="E205" s="160">
        <f>$B$11*'Transformaciones'!M198</f>
        <v/>
      </c>
      <c r="F205" s="160">
        <f>$B$12*'Transformaciones'!O198</f>
        <v/>
      </c>
      <c r="G205" s="160">
        <f>$B$8*'Transformaciones'!G197</f>
        <v/>
      </c>
      <c r="H205" s="160">
        <f>$B$9*'Transformaciones'!I197</f>
        <v/>
      </c>
      <c r="I205" s="160">
        <f>$B$10*'Transformaciones'!K197</f>
        <v/>
      </c>
      <c r="J205" s="160">
        <f>$B$13*'Transformaciones'!P198</f>
        <v/>
      </c>
      <c r="K205" s="166">
        <f>SUM(C205:J205)</f>
        <v/>
      </c>
      <c r="L205" s="166">
        <f>B205-K205</f>
        <v/>
      </c>
      <c r="M205" s="167">
        <f>'Datos_fuente'!B198</f>
        <v/>
      </c>
      <c r="N205" s="167">
        <f>EXP('Transformaciones'!B197+K205)</f>
        <v/>
      </c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'Transformaciones'!A199</f>
        <v/>
      </c>
      <c r="B206" s="160">
        <f>'Transformaciones'!C199</f>
        <v/>
      </c>
      <c r="C206" s="160">
        <f>$B$6</f>
        <v/>
      </c>
      <c r="D206" s="160">
        <f>$B$7*'Transformaciones'!E199</f>
        <v/>
      </c>
      <c r="E206" s="160">
        <f>$B$11*'Transformaciones'!M199</f>
        <v/>
      </c>
      <c r="F206" s="160">
        <f>$B$12*'Transformaciones'!O199</f>
        <v/>
      </c>
      <c r="G206" s="160">
        <f>$B$8*'Transformaciones'!G198</f>
        <v/>
      </c>
      <c r="H206" s="160">
        <f>$B$9*'Transformaciones'!I198</f>
        <v/>
      </c>
      <c r="I206" s="160">
        <f>$B$10*'Transformaciones'!K198</f>
        <v/>
      </c>
      <c r="J206" s="160">
        <f>$B$13*'Transformaciones'!P199</f>
        <v/>
      </c>
      <c r="K206" s="166">
        <f>SUM(C206:J206)</f>
        <v/>
      </c>
      <c r="L206" s="166">
        <f>B206-K206</f>
        <v/>
      </c>
      <c r="M206" s="167">
        <f>'Datos_fuente'!B199</f>
        <v/>
      </c>
      <c r="N206" s="167">
        <f>EXP('Transformaciones'!B198+K206)</f>
        <v/>
      </c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'Transformaciones'!A200</f>
        <v/>
      </c>
      <c r="B207" s="160">
        <f>'Transformaciones'!C200</f>
        <v/>
      </c>
      <c r="C207" s="160">
        <f>$B$6</f>
        <v/>
      </c>
      <c r="D207" s="160">
        <f>$B$7*'Transformaciones'!E200</f>
        <v/>
      </c>
      <c r="E207" s="160">
        <f>$B$11*'Transformaciones'!M200</f>
        <v/>
      </c>
      <c r="F207" s="160">
        <f>$B$12*'Transformaciones'!O200</f>
        <v/>
      </c>
      <c r="G207" s="160">
        <f>$B$8*'Transformaciones'!G199</f>
        <v/>
      </c>
      <c r="H207" s="160">
        <f>$B$9*'Transformaciones'!I199</f>
        <v/>
      </c>
      <c r="I207" s="160">
        <f>$B$10*'Transformaciones'!K199</f>
        <v/>
      </c>
      <c r="J207" s="160">
        <f>$B$13*'Transformaciones'!P200</f>
        <v/>
      </c>
      <c r="K207" s="166">
        <f>SUM(C207:J207)</f>
        <v/>
      </c>
      <c r="L207" s="166">
        <f>B207-K207</f>
        <v/>
      </c>
      <c r="M207" s="167">
        <f>'Datos_fuente'!B200</f>
        <v/>
      </c>
      <c r="N207" s="167">
        <f>EXP('Transformaciones'!B199+K207)</f>
        <v/>
      </c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'Transformaciones'!A201</f>
        <v/>
      </c>
      <c r="B208" s="160">
        <f>'Transformaciones'!C201</f>
        <v/>
      </c>
      <c r="C208" s="160">
        <f>$B$6</f>
        <v/>
      </c>
      <c r="D208" s="160">
        <f>$B$7*'Transformaciones'!E201</f>
        <v/>
      </c>
      <c r="E208" s="160">
        <f>$B$11*'Transformaciones'!M201</f>
        <v/>
      </c>
      <c r="F208" s="160">
        <f>$B$12*'Transformaciones'!O201</f>
        <v/>
      </c>
      <c r="G208" s="160">
        <f>$B$8*'Transformaciones'!G200</f>
        <v/>
      </c>
      <c r="H208" s="160">
        <f>$B$9*'Transformaciones'!I200</f>
        <v/>
      </c>
      <c r="I208" s="160">
        <f>$B$10*'Transformaciones'!K200</f>
        <v/>
      </c>
      <c r="J208" s="160">
        <f>$B$13*'Transformaciones'!P201</f>
        <v/>
      </c>
      <c r="K208" s="166">
        <f>SUM(C208:J208)</f>
        <v/>
      </c>
      <c r="L208" s="166">
        <f>B208-K208</f>
        <v/>
      </c>
      <c r="M208" s="167">
        <f>'Datos_fuente'!B201</f>
        <v/>
      </c>
      <c r="N208" s="167">
        <f>EXP('Transformaciones'!B200+K208)</f>
        <v/>
      </c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'Transformaciones'!A202</f>
        <v/>
      </c>
      <c r="B209" s="160">
        <f>'Transformaciones'!C202</f>
        <v/>
      </c>
      <c r="C209" s="160">
        <f>$B$6</f>
        <v/>
      </c>
      <c r="D209" s="160">
        <f>$B$7*'Transformaciones'!E202</f>
        <v/>
      </c>
      <c r="E209" s="160">
        <f>$B$11*'Transformaciones'!M202</f>
        <v/>
      </c>
      <c r="F209" s="160">
        <f>$B$12*'Transformaciones'!O202</f>
        <v/>
      </c>
      <c r="G209" s="160">
        <f>$B$8*'Transformaciones'!G201</f>
        <v/>
      </c>
      <c r="H209" s="160">
        <f>$B$9*'Transformaciones'!I201</f>
        <v/>
      </c>
      <c r="I209" s="160">
        <f>$B$10*'Transformaciones'!K201</f>
        <v/>
      </c>
      <c r="J209" s="160">
        <f>$B$13*'Transformaciones'!P202</f>
        <v/>
      </c>
      <c r="K209" s="166">
        <f>SUM(C209:J209)</f>
        <v/>
      </c>
      <c r="L209" s="166">
        <f>B209-K209</f>
        <v/>
      </c>
      <c r="M209" s="167">
        <f>'Datos_fuente'!B202</f>
        <v/>
      </c>
      <c r="N209" s="167">
        <f>EXP('Transformaciones'!B201+K209)</f>
        <v/>
      </c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'Transformaciones'!A203</f>
        <v/>
      </c>
      <c r="B210" s="160">
        <f>'Transformaciones'!C203</f>
        <v/>
      </c>
      <c r="C210" s="160">
        <f>$B$6</f>
        <v/>
      </c>
      <c r="D210" s="160">
        <f>$B$7*'Transformaciones'!E203</f>
        <v/>
      </c>
      <c r="E210" s="160">
        <f>$B$11*'Transformaciones'!M203</f>
        <v/>
      </c>
      <c r="F210" s="160">
        <f>$B$12*'Transformaciones'!O203</f>
        <v/>
      </c>
      <c r="G210" s="160">
        <f>$B$8*'Transformaciones'!G202</f>
        <v/>
      </c>
      <c r="H210" s="160">
        <f>$B$9*'Transformaciones'!I202</f>
        <v/>
      </c>
      <c r="I210" s="160">
        <f>$B$10*'Transformaciones'!K202</f>
        <v/>
      </c>
      <c r="J210" s="160">
        <f>$B$13*'Transformaciones'!P203</f>
        <v/>
      </c>
      <c r="K210" s="166">
        <f>SUM(C210:J210)</f>
        <v/>
      </c>
      <c r="L210" s="166">
        <f>B210-K210</f>
        <v/>
      </c>
      <c r="M210" s="167">
        <f>'Datos_fuente'!B203</f>
        <v/>
      </c>
      <c r="N210" s="167">
        <f>EXP('Transformaciones'!B202+K210)</f>
        <v/>
      </c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'Transformaciones'!A204</f>
        <v/>
      </c>
      <c r="B211" s="160">
        <f>'Transformaciones'!C204</f>
        <v/>
      </c>
      <c r="C211" s="160">
        <f>$B$6</f>
        <v/>
      </c>
      <c r="D211" s="160">
        <f>$B$7*'Transformaciones'!E204</f>
        <v/>
      </c>
      <c r="E211" s="160">
        <f>$B$11*'Transformaciones'!M204</f>
        <v/>
      </c>
      <c r="F211" s="160">
        <f>$B$12*'Transformaciones'!O204</f>
        <v/>
      </c>
      <c r="G211" s="160">
        <f>$B$8*'Transformaciones'!G203</f>
        <v/>
      </c>
      <c r="H211" s="160">
        <f>$B$9*'Transformaciones'!I203</f>
        <v/>
      </c>
      <c r="I211" s="160">
        <f>$B$10*'Transformaciones'!K203</f>
        <v/>
      </c>
      <c r="J211" s="160">
        <f>$B$13*'Transformaciones'!P204</f>
        <v/>
      </c>
      <c r="K211" s="166">
        <f>SUM(C211:J211)</f>
        <v/>
      </c>
      <c r="L211" s="166">
        <f>B211-K211</f>
        <v/>
      </c>
      <c r="M211" s="167">
        <f>'Datos_fuente'!B204</f>
        <v/>
      </c>
      <c r="N211" s="167">
        <f>EXP('Transformaciones'!B203+K211)</f>
        <v/>
      </c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'Transformaciones'!A205</f>
        <v/>
      </c>
      <c r="B212" s="160">
        <f>'Transformaciones'!C205</f>
        <v/>
      </c>
      <c r="C212" s="160">
        <f>$B$6</f>
        <v/>
      </c>
      <c r="D212" s="160">
        <f>$B$7*'Transformaciones'!E205</f>
        <v/>
      </c>
      <c r="E212" s="160">
        <f>$B$11*'Transformaciones'!M205</f>
        <v/>
      </c>
      <c r="F212" s="160">
        <f>$B$12*'Transformaciones'!O205</f>
        <v/>
      </c>
      <c r="G212" s="160">
        <f>$B$8*'Transformaciones'!G204</f>
        <v/>
      </c>
      <c r="H212" s="160">
        <f>$B$9*'Transformaciones'!I204</f>
        <v/>
      </c>
      <c r="I212" s="160">
        <f>$B$10*'Transformaciones'!K204</f>
        <v/>
      </c>
      <c r="J212" s="160">
        <f>$B$13*'Transformaciones'!P205</f>
        <v/>
      </c>
      <c r="K212" s="166">
        <f>SUM(C212:J212)</f>
        <v/>
      </c>
      <c r="L212" s="166">
        <f>B212-K212</f>
        <v/>
      </c>
      <c r="M212" s="167">
        <f>'Datos_fuente'!B205</f>
        <v/>
      </c>
      <c r="N212" s="167">
        <f>EXP('Transformaciones'!B204+K212)</f>
        <v/>
      </c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'Transformaciones'!A206</f>
        <v/>
      </c>
      <c r="B213" s="160">
        <f>'Transformaciones'!C206</f>
        <v/>
      </c>
      <c r="C213" s="160">
        <f>$B$6</f>
        <v/>
      </c>
      <c r="D213" s="160">
        <f>$B$7*'Transformaciones'!E206</f>
        <v/>
      </c>
      <c r="E213" s="160">
        <f>$B$11*'Transformaciones'!M206</f>
        <v/>
      </c>
      <c r="F213" s="160">
        <f>$B$12*'Transformaciones'!O206</f>
        <v/>
      </c>
      <c r="G213" s="160">
        <f>$B$8*'Transformaciones'!G205</f>
        <v/>
      </c>
      <c r="H213" s="160">
        <f>$B$9*'Transformaciones'!I205</f>
        <v/>
      </c>
      <c r="I213" s="160">
        <f>$B$10*'Transformaciones'!K205</f>
        <v/>
      </c>
      <c r="J213" s="160">
        <f>$B$13*'Transformaciones'!P206</f>
        <v/>
      </c>
      <c r="K213" s="166">
        <f>SUM(C213:J213)</f>
        <v/>
      </c>
      <c r="L213" s="166">
        <f>B213-K213</f>
        <v/>
      </c>
      <c r="M213" s="167">
        <f>'Datos_fuente'!B206</f>
        <v/>
      </c>
      <c r="N213" s="167">
        <f>EXP('Transformaciones'!B205+K213)</f>
        <v/>
      </c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'Transformaciones'!A207</f>
        <v/>
      </c>
      <c r="B214" s="160">
        <f>'Transformaciones'!C207</f>
        <v/>
      </c>
      <c r="C214" s="160">
        <f>$B$6</f>
        <v/>
      </c>
      <c r="D214" s="160">
        <f>$B$7*'Transformaciones'!E207</f>
        <v/>
      </c>
      <c r="E214" s="160">
        <f>$B$11*'Transformaciones'!M207</f>
        <v/>
      </c>
      <c r="F214" s="160">
        <f>$B$12*'Transformaciones'!O207</f>
        <v/>
      </c>
      <c r="G214" s="160">
        <f>$B$8*'Transformaciones'!G206</f>
        <v/>
      </c>
      <c r="H214" s="160">
        <f>$B$9*'Transformaciones'!I206</f>
        <v/>
      </c>
      <c r="I214" s="160">
        <f>$B$10*'Transformaciones'!K206</f>
        <v/>
      </c>
      <c r="J214" s="160">
        <f>$B$13*'Transformaciones'!P207</f>
        <v/>
      </c>
      <c r="K214" s="166">
        <f>SUM(C214:J214)</f>
        <v/>
      </c>
      <c r="L214" s="166">
        <f>B214-K214</f>
        <v/>
      </c>
      <c r="M214" s="167">
        <f>'Datos_fuente'!B207</f>
        <v/>
      </c>
      <c r="N214" s="167">
        <f>EXP('Transformaciones'!B206+K214)</f>
        <v/>
      </c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'Transformaciones'!A208</f>
        <v/>
      </c>
      <c r="B215" s="160">
        <f>'Transformaciones'!C208</f>
        <v/>
      </c>
      <c r="C215" s="160">
        <f>$B$6</f>
        <v/>
      </c>
      <c r="D215" s="160">
        <f>$B$7*'Transformaciones'!E208</f>
        <v/>
      </c>
      <c r="E215" s="160">
        <f>$B$11*'Transformaciones'!M208</f>
        <v/>
      </c>
      <c r="F215" s="160">
        <f>$B$12*'Transformaciones'!O208</f>
        <v/>
      </c>
      <c r="G215" s="160">
        <f>$B$8*'Transformaciones'!G207</f>
        <v/>
      </c>
      <c r="H215" s="160">
        <f>$B$9*'Transformaciones'!I207</f>
        <v/>
      </c>
      <c r="I215" s="160">
        <f>$B$10*'Transformaciones'!K207</f>
        <v/>
      </c>
      <c r="J215" s="160">
        <f>$B$13*'Transformaciones'!P208</f>
        <v/>
      </c>
      <c r="K215" s="166">
        <f>SUM(C215:J215)</f>
        <v/>
      </c>
      <c r="L215" s="166">
        <f>B215-K215</f>
        <v/>
      </c>
      <c r="M215" s="167">
        <f>'Datos_fuente'!B208</f>
        <v/>
      </c>
      <c r="N215" s="167">
        <f>EXP('Transformaciones'!B207+K215)</f>
        <v/>
      </c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'Transformaciones'!A209</f>
        <v/>
      </c>
      <c r="B216" s="160">
        <f>'Transformaciones'!C209</f>
        <v/>
      </c>
      <c r="C216" s="160">
        <f>$B$6</f>
        <v/>
      </c>
      <c r="D216" s="160">
        <f>$B$7*'Transformaciones'!E209</f>
        <v/>
      </c>
      <c r="E216" s="160">
        <f>$B$11*'Transformaciones'!M209</f>
        <v/>
      </c>
      <c r="F216" s="160">
        <f>$B$12*'Transformaciones'!O209</f>
        <v/>
      </c>
      <c r="G216" s="160">
        <f>$B$8*'Transformaciones'!G208</f>
        <v/>
      </c>
      <c r="H216" s="160">
        <f>$B$9*'Transformaciones'!I208</f>
        <v/>
      </c>
      <c r="I216" s="160">
        <f>$B$10*'Transformaciones'!K208</f>
        <v/>
      </c>
      <c r="J216" s="160">
        <f>$B$13*'Transformaciones'!P209</f>
        <v/>
      </c>
      <c r="K216" s="166">
        <f>SUM(C216:J216)</f>
        <v/>
      </c>
      <c r="L216" s="166">
        <f>B216-K216</f>
        <v/>
      </c>
      <c r="M216" s="167">
        <f>'Datos_fuente'!B209</f>
        <v/>
      </c>
      <c r="N216" s="167">
        <f>EXP('Transformaciones'!B208+K216)</f>
        <v/>
      </c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'Transformaciones'!A210</f>
        <v/>
      </c>
      <c r="B217" s="160">
        <f>'Transformaciones'!C210</f>
        <v/>
      </c>
      <c r="C217" s="160">
        <f>$B$6</f>
        <v/>
      </c>
      <c r="D217" s="160">
        <f>$B$7*'Transformaciones'!E210</f>
        <v/>
      </c>
      <c r="E217" s="160">
        <f>$B$11*'Transformaciones'!M210</f>
        <v/>
      </c>
      <c r="F217" s="160">
        <f>$B$12*'Transformaciones'!O210</f>
        <v/>
      </c>
      <c r="G217" s="160">
        <f>$B$8*'Transformaciones'!G209</f>
        <v/>
      </c>
      <c r="H217" s="160">
        <f>$B$9*'Transformaciones'!I209</f>
        <v/>
      </c>
      <c r="I217" s="160">
        <f>$B$10*'Transformaciones'!K209</f>
        <v/>
      </c>
      <c r="J217" s="160">
        <f>$B$13*'Transformaciones'!P210</f>
        <v/>
      </c>
      <c r="K217" s="166">
        <f>SUM(C217:J217)</f>
        <v/>
      </c>
      <c r="L217" s="166">
        <f>B217-K217</f>
        <v/>
      </c>
      <c r="M217" s="167">
        <f>'Datos_fuente'!B210</f>
        <v/>
      </c>
      <c r="N217" s="167">
        <f>EXP('Transformaciones'!B209+K217)</f>
        <v/>
      </c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'Transformaciones'!A211</f>
        <v/>
      </c>
      <c r="B218" s="160">
        <f>'Transformaciones'!C211</f>
        <v/>
      </c>
      <c r="C218" s="160">
        <f>$B$6</f>
        <v/>
      </c>
      <c r="D218" s="160">
        <f>$B$7*'Transformaciones'!E211</f>
        <v/>
      </c>
      <c r="E218" s="160">
        <f>$B$11*'Transformaciones'!M211</f>
        <v/>
      </c>
      <c r="F218" s="160">
        <f>$B$12*'Transformaciones'!O211</f>
        <v/>
      </c>
      <c r="G218" s="160">
        <f>$B$8*'Transformaciones'!G210</f>
        <v/>
      </c>
      <c r="H218" s="160">
        <f>$B$9*'Transformaciones'!I210</f>
        <v/>
      </c>
      <c r="I218" s="160">
        <f>$B$10*'Transformaciones'!K210</f>
        <v/>
      </c>
      <c r="J218" s="160">
        <f>$B$13*'Transformaciones'!P211</f>
        <v/>
      </c>
      <c r="K218" s="166">
        <f>SUM(C218:J218)</f>
        <v/>
      </c>
      <c r="L218" s="166">
        <f>B218-K218</f>
        <v/>
      </c>
      <c r="M218" s="167">
        <f>'Datos_fuente'!B211</f>
        <v/>
      </c>
      <c r="N218" s="167">
        <f>EXP('Transformaciones'!B210+K218)</f>
        <v/>
      </c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'Transformaciones'!A212</f>
        <v/>
      </c>
      <c r="B219" s="160">
        <f>'Transformaciones'!C212</f>
        <v/>
      </c>
      <c r="C219" s="160">
        <f>$B$6</f>
        <v/>
      </c>
      <c r="D219" s="160">
        <f>$B$7*'Transformaciones'!E212</f>
        <v/>
      </c>
      <c r="E219" s="160">
        <f>$B$11*'Transformaciones'!M212</f>
        <v/>
      </c>
      <c r="F219" s="160">
        <f>$B$12*'Transformaciones'!O212</f>
        <v/>
      </c>
      <c r="G219" s="160">
        <f>$B$8*'Transformaciones'!G211</f>
        <v/>
      </c>
      <c r="H219" s="160">
        <f>$B$9*'Transformaciones'!I211</f>
        <v/>
      </c>
      <c r="I219" s="160">
        <f>$B$10*'Transformaciones'!K211</f>
        <v/>
      </c>
      <c r="J219" s="160">
        <f>$B$13*'Transformaciones'!P212</f>
        <v/>
      </c>
      <c r="K219" s="166">
        <f>SUM(C219:J219)</f>
        <v/>
      </c>
      <c r="L219" s="166">
        <f>B219-K219</f>
        <v/>
      </c>
      <c r="M219" s="167">
        <f>'Datos_fuente'!B212</f>
        <v/>
      </c>
      <c r="N219" s="167">
        <f>EXP('Transformaciones'!B211+K219)</f>
        <v/>
      </c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'Transformaciones'!A213</f>
        <v/>
      </c>
      <c r="B220" s="160">
        <f>'Transformaciones'!C213</f>
        <v/>
      </c>
      <c r="C220" s="160">
        <f>$B$6</f>
        <v/>
      </c>
      <c r="D220" s="160">
        <f>$B$7*'Transformaciones'!E213</f>
        <v/>
      </c>
      <c r="E220" s="160">
        <f>$B$11*'Transformaciones'!M213</f>
        <v/>
      </c>
      <c r="F220" s="160">
        <f>$B$12*'Transformaciones'!O213</f>
        <v/>
      </c>
      <c r="G220" s="160">
        <f>$B$8*'Transformaciones'!G212</f>
        <v/>
      </c>
      <c r="H220" s="160">
        <f>$B$9*'Transformaciones'!I212</f>
        <v/>
      </c>
      <c r="I220" s="160">
        <f>$B$10*'Transformaciones'!K212</f>
        <v/>
      </c>
      <c r="J220" s="160">
        <f>$B$13*'Transformaciones'!P213</f>
        <v/>
      </c>
      <c r="K220" s="166">
        <f>SUM(C220:J220)</f>
        <v/>
      </c>
      <c r="L220" s="166">
        <f>B220-K220</f>
        <v/>
      </c>
      <c r="M220" s="167">
        <f>'Datos_fuente'!B213</f>
        <v/>
      </c>
      <c r="N220" s="167">
        <f>EXP('Transformaciones'!B212+K220)</f>
        <v/>
      </c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'Transformaciones'!A214</f>
        <v/>
      </c>
      <c r="B221" s="160">
        <f>'Transformaciones'!C214</f>
        <v/>
      </c>
      <c r="C221" s="160">
        <f>$B$6</f>
        <v/>
      </c>
      <c r="D221" s="160">
        <f>$B$7*'Transformaciones'!E214</f>
        <v/>
      </c>
      <c r="E221" s="160">
        <f>$B$11*'Transformaciones'!M214</f>
        <v/>
      </c>
      <c r="F221" s="160">
        <f>$B$12*'Transformaciones'!O214</f>
        <v/>
      </c>
      <c r="G221" s="160">
        <f>$B$8*'Transformaciones'!G213</f>
        <v/>
      </c>
      <c r="H221" s="160">
        <f>$B$9*'Transformaciones'!I213</f>
        <v/>
      </c>
      <c r="I221" s="160">
        <f>$B$10*'Transformaciones'!K213</f>
        <v/>
      </c>
      <c r="J221" s="160">
        <f>$B$13*'Transformaciones'!P214</f>
        <v/>
      </c>
      <c r="K221" s="166">
        <f>SUM(C221:J221)</f>
        <v/>
      </c>
      <c r="L221" s="166">
        <f>B221-K221</f>
        <v/>
      </c>
      <c r="M221" s="167">
        <f>'Datos_fuente'!B214</f>
        <v/>
      </c>
      <c r="N221" s="167">
        <f>EXP('Transformaciones'!B213+K221)</f>
        <v/>
      </c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'Transformaciones'!A215</f>
        <v/>
      </c>
      <c r="B222" s="160">
        <f>'Transformaciones'!C215</f>
        <v/>
      </c>
      <c r="C222" s="160">
        <f>$B$6</f>
        <v/>
      </c>
      <c r="D222" s="160">
        <f>$B$7*'Transformaciones'!E215</f>
        <v/>
      </c>
      <c r="E222" s="160">
        <f>$B$11*'Transformaciones'!M215</f>
        <v/>
      </c>
      <c r="F222" s="160">
        <f>$B$12*'Transformaciones'!O215</f>
        <v/>
      </c>
      <c r="G222" s="160">
        <f>$B$8*'Transformaciones'!G214</f>
        <v/>
      </c>
      <c r="H222" s="160">
        <f>$B$9*'Transformaciones'!I214</f>
        <v/>
      </c>
      <c r="I222" s="160">
        <f>$B$10*'Transformaciones'!K214</f>
        <v/>
      </c>
      <c r="J222" s="160">
        <f>$B$13*'Transformaciones'!P215</f>
        <v/>
      </c>
      <c r="K222" s="166">
        <f>SUM(C222:J222)</f>
        <v/>
      </c>
      <c r="L222" s="166">
        <f>B222-K222</f>
        <v/>
      </c>
      <c r="M222" s="167">
        <f>'Datos_fuente'!B215</f>
        <v/>
      </c>
      <c r="N222" s="167">
        <f>EXP('Transformaciones'!B214+K222)</f>
        <v/>
      </c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'Transformaciones'!A216</f>
        <v/>
      </c>
      <c r="B223" s="160">
        <f>'Transformaciones'!C216</f>
        <v/>
      </c>
      <c r="C223" s="160">
        <f>$B$6</f>
        <v/>
      </c>
      <c r="D223" s="160">
        <f>$B$7*'Transformaciones'!E216</f>
        <v/>
      </c>
      <c r="E223" s="160">
        <f>$B$11*'Transformaciones'!M216</f>
        <v/>
      </c>
      <c r="F223" s="160">
        <f>$B$12*'Transformaciones'!O216</f>
        <v/>
      </c>
      <c r="G223" s="160">
        <f>$B$8*'Transformaciones'!G215</f>
        <v/>
      </c>
      <c r="H223" s="160">
        <f>$B$9*'Transformaciones'!I215</f>
        <v/>
      </c>
      <c r="I223" s="160">
        <f>$B$10*'Transformaciones'!K215</f>
        <v/>
      </c>
      <c r="J223" s="160">
        <f>$B$13*'Transformaciones'!P216</f>
        <v/>
      </c>
      <c r="K223" s="166">
        <f>SUM(C223:J223)</f>
        <v/>
      </c>
      <c r="L223" s="166">
        <f>B223-K223</f>
        <v/>
      </c>
      <c r="M223" s="167">
        <f>'Datos_fuente'!B216</f>
        <v/>
      </c>
      <c r="N223" s="167">
        <f>EXP('Transformaciones'!B215+K223)</f>
        <v/>
      </c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'Transformaciones'!A217</f>
        <v/>
      </c>
      <c r="B224" s="160">
        <f>'Transformaciones'!C217</f>
        <v/>
      </c>
      <c r="C224" s="160">
        <f>$B$6</f>
        <v/>
      </c>
      <c r="D224" s="160">
        <f>$B$7*'Transformaciones'!E217</f>
        <v/>
      </c>
      <c r="E224" s="160">
        <f>$B$11*'Transformaciones'!M217</f>
        <v/>
      </c>
      <c r="F224" s="160">
        <f>$B$12*'Transformaciones'!O217</f>
        <v/>
      </c>
      <c r="G224" s="160">
        <f>$B$8*'Transformaciones'!G216</f>
        <v/>
      </c>
      <c r="H224" s="160">
        <f>$B$9*'Transformaciones'!I216</f>
        <v/>
      </c>
      <c r="I224" s="160">
        <f>$B$10*'Transformaciones'!K216</f>
        <v/>
      </c>
      <c r="J224" s="160">
        <f>$B$13*'Transformaciones'!P217</f>
        <v/>
      </c>
      <c r="K224" s="166">
        <f>SUM(C224:J224)</f>
        <v/>
      </c>
      <c r="L224" s="166">
        <f>B224-K224</f>
        <v/>
      </c>
      <c r="M224" s="167">
        <f>'Datos_fuente'!B217</f>
        <v/>
      </c>
      <c r="N224" s="167">
        <f>EXP('Transformaciones'!B216+K224)</f>
        <v/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'Transformaciones'!A218</f>
        <v/>
      </c>
      <c r="B225" s="160">
        <f>'Transformaciones'!C218</f>
        <v/>
      </c>
      <c r="C225" s="160">
        <f>$B$6</f>
        <v/>
      </c>
      <c r="D225" s="160">
        <f>$B$7*'Transformaciones'!E218</f>
        <v/>
      </c>
      <c r="E225" s="160">
        <f>$B$11*'Transformaciones'!M218</f>
        <v/>
      </c>
      <c r="F225" s="160">
        <f>$B$12*'Transformaciones'!O218</f>
        <v/>
      </c>
      <c r="G225" s="160">
        <f>$B$8*'Transformaciones'!G217</f>
        <v/>
      </c>
      <c r="H225" s="160">
        <f>$B$9*'Transformaciones'!I217</f>
        <v/>
      </c>
      <c r="I225" s="160">
        <f>$B$10*'Transformaciones'!K217</f>
        <v/>
      </c>
      <c r="J225" s="160">
        <f>$B$13*'Transformaciones'!P218</f>
        <v/>
      </c>
      <c r="K225" s="166">
        <f>SUM(C225:J225)</f>
        <v/>
      </c>
      <c r="L225" s="166">
        <f>B225-K225</f>
        <v/>
      </c>
      <c r="M225" s="167">
        <f>'Datos_fuente'!B218</f>
        <v/>
      </c>
      <c r="N225" s="167">
        <f>EXP('Transformaciones'!B217+K225)</f>
        <v/>
      </c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'Transformaciones'!A219</f>
        <v/>
      </c>
      <c r="B226" s="160">
        <f>'Transformaciones'!C219</f>
        <v/>
      </c>
      <c r="C226" s="160">
        <f>$B$6</f>
        <v/>
      </c>
      <c r="D226" s="160">
        <f>$B$7*'Transformaciones'!E219</f>
        <v/>
      </c>
      <c r="E226" s="160">
        <f>$B$11*'Transformaciones'!M219</f>
        <v/>
      </c>
      <c r="F226" s="160">
        <f>$B$12*'Transformaciones'!O219</f>
        <v/>
      </c>
      <c r="G226" s="160">
        <f>$B$8*'Transformaciones'!G218</f>
        <v/>
      </c>
      <c r="H226" s="160">
        <f>$B$9*'Transformaciones'!I218</f>
        <v/>
      </c>
      <c r="I226" s="160">
        <f>$B$10*'Transformaciones'!K218</f>
        <v/>
      </c>
      <c r="J226" s="160">
        <f>$B$13*'Transformaciones'!P219</f>
        <v/>
      </c>
      <c r="K226" s="166">
        <f>SUM(C226:J226)</f>
        <v/>
      </c>
      <c r="L226" s="166">
        <f>B226-K226</f>
        <v/>
      </c>
      <c r="M226" s="167">
        <f>'Datos_fuente'!B219</f>
        <v/>
      </c>
      <c r="N226" s="167">
        <f>EXP('Transformaciones'!B218+K226)</f>
        <v/>
      </c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'Transformaciones'!A220</f>
        <v/>
      </c>
      <c r="B227" s="160">
        <f>'Transformaciones'!C220</f>
        <v/>
      </c>
      <c r="C227" s="160">
        <f>$B$6</f>
        <v/>
      </c>
      <c r="D227" s="160">
        <f>$B$7*'Transformaciones'!E220</f>
        <v/>
      </c>
      <c r="E227" s="160">
        <f>$B$11*'Transformaciones'!M220</f>
        <v/>
      </c>
      <c r="F227" s="160">
        <f>$B$12*'Transformaciones'!O220</f>
        <v/>
      </c>
      <c r="G227" s="160">
        <f>$B$8*'Transformaciones'!G219</f>
        <v/>
      </c>
      <c r="H227" s="160">
        <f>$B$9*'Transformaciones'!I219</f>
        <v/>
      </c>
      <c r="I227" s="160">
        <f>$B$10*'Transformaciones'!K219</f>
        <v/>
      </c>
      <c r="J227" s="160">
        <f>$B$13*'Transformaciones'!P220</f>
        <v/>
      </c>
      <c r="K227" s="166">
        <f>SUM(C227:J227)</f>
        <v/>
      </c>
      <c r="L227" s="166">
        <f>B227-K227</f>
        <v/>
      </c>
      <c r="M227" s="167">
        <f>'Datos_fuente'!B220</f>
        <v/>
      </c>
      <c r="N227" s="167">
        <f>EXP('Transformaciones'!B219+K227)</f>
        <v/>
      </c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'Transformaciones'!A221</f>
        <v/>
      </c>
      <c r="B228" s="160">
        <f>'Transformaciones'!C221</f>
        <v/>
      </c>
      <c r="C228" s="160">
        <f>$B$6</f>
        <v/>
      </c>
      <c r="D228" s="160">
        <f>$B$7*'Transformaciones'!E221</f>
        <v/>
      </c>
      <c r="E228" s="160">
        <f>$B$11*'Transformaciones'!M221</f>
        <v/>
      </c>
      <c r="F228" s="160">
        <f>$B$12*'Transformaciones'!O221</f>
        <v/>
      </c>
      <c r="G228" s="160">
        <f>$B$8*'Transformaciones'!G220</f>
        <v/>
      </c>
      <c r="H228" s="160">
        <f>$B$9*'Transformaciones'!I220</f>
        <v/>
      </c>
      <c r="I228" s="160">
        <f>$B$10*'Transformaciones'!K220</f>
        <v/>
      </c>
      <c r="J228" s="160">
        <f>$B$13*'Transformaciones'!P221</f>
        <v/>
      </c>
      <c r="K228" s="166">
        <f>SUM(C228:J228)</f>
        <v/>
      </c>
      <c r="L228" s="166">
        <f>B228-K228</f>
        <v/>
      </c>
      <c r="M228" s="167">
        <f>'Datos_fuente'!B221</f>
        <v/>
      </c>
      <c r="N228" s="167">
        <f>EXP('Transformaciones'!B220+K228)</f>
        <v/>
      </c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'Transformaciones'!A222</f>
        <v/>
      </c>
      <c r="B229" s="160">
        <f>'Transformaciones'!C222</f>
        <v/>
      </c>
      <c r="C229" s="160">
        <f>$B$6</f>
        <v/>
      </c>
      <c r="D229" s="160">
        <f>$B$7*'Transformaciones'!E222</f>
        <v/>
      </c>
      <c r="E229" s="160">
        <f>$B$11*'Transformaciones'!M222</f>
        <v/>
      </c>
      <c r="F229" s="160">
        <f>$B$12*'Transformaciones'!O222</f>
        <v/>
      </c>
      <c r="G229" s="160">
        <f>$B$8*'Transformaciones'!G221</f>
        <v/>
      </c>
      <c r="H229" s="160">
        <f>$B$9*'Transformaciones'!I221</f>
        <v/>
      </c>
      <c r="I229" s="160">
        <f>$B$10*'Transformaciones'!K221</f>
        <v/>
      </c>
      <c r="J229" s="160">
        <f>$B$13*'Transformaciones'!P222</f>
        <v/>
      </c>
      <c r="K229" s="166">
        <f>SUM(C229:J229)</f>
        <v/>
      </c>
      <c r="L229" s="166">
        <f>B229-K229</f>
        <v/>
      </c>
      <c r="M229" s="167">
        <f>'Datos_fuente'!B222</f>
        <v/>
      </c>
      <c r="N229" s="167">
        <f>EXP('Transformaciones'!B221+K229)</f>
        <v/>
      </c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'Transformaciones'!A223</f>
        <v/>
      </c>
      <c r="B230" s="160">
        <f>'Transformaciones'!C223</f>
        <v/>
      </c>
      <c r="C230" s="160">
        <f>$B$6</f>
        <v/>
      </c>
      <c r="D230" s="160">
        <f>$B$7*'Transformaciones'!E223</f>
        <v/>
      </c>
      <c r="E230" s="160">
        <f>$B$11*'Transformaciones'!M223</f>
        <v/>
      </c>
      <c r="F230" s="160">
        <f>$B$12*'Transformaciones'!O223</f>
        <v/>
      </c>
      <c r="G230" s="160">
        <f>$B$8*'Transformaciones'!G222</f>
        <v/>
      </c>
      <c r="H230" s="160">
        <f>$B$9*'Transformaciones'!I222</f>
        <v/>
      </c>
      <c r="I230" s="160">
        <f>$B$10*'Transformaciones'!K222</f>
        <v/>
      </c>
      <c r="J230" s="160">
        <f>$B$13*'Transformaciones'!P223</f>
        <v/>
      </c>
      <c r="K230" s="166">
        <f>SUM(C230:J230)</f>
        <v/>
      </c>
      <c r="L230" s="166">
        <f>B230-K230</f>
        <v/>
      </c>
      <c r="M230" s="167">
        <f>'Datos_fuente'!B223</f>
        <v/>
      </c>
      <c r="N230" s="167">
        <f>EXP('Transformaciones'!B222+K230)</f>
        <v/>
      </c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'Transformaciones'!A224</f>
        <v/>
      </c>
      <c r="B231" s="160">
        <f>'Transformaciones'!C224</f>
        <v/>
      </c>
      <c r="C231" s="160">
        <f>$B$6</f>
        <v/>
      </c>
      <c r="D231" s="160">
        <f>$B$7*'Transformaciones'!E224</f>
        <v/>
      </c>
      <c r="E231" s="160">
        <f>$B$11*'Transformaciones'!M224</f>
        <v/>
      </c>
      <c r="F231" s="160">
        <f>$B$12*'Transformaciones'!O224</f>
        <v/>
      </c>
      <c r="G231" s="160">
        <f>$B$8*'Transformaciones'!G223</f>
        <v/>
      </c>
      <c r="H231" s="160">
        <f>$B$9*'Transformaciones'!I223</f>
        <v/>
      </c>
      <c r="I231" s="160">
        <f>$B$10*'Transformaciones'!K223</f>
        <v/>
      </c>
      <c r="J231" s="160">
        <f>$B$13*'Transformaciones'!P224</f>
        <v/>
      </c>
      <c r="K231" s="166">
        <f>SUM(C231:J231)</f>
        <v/>
      </c>
      <c r="L231" s="166">
        <f>B231-K231</f>
        <v/>
      </c>
      <c r="M231" s="167">
        <f>'Datos_fuente'!B224</f>
        <v/>
      </c>
      <c r="N231" s="167">
        <f>EXP('Transformaciones'!B223+K231)</f>
        <v/>
      </c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'Transformaciones'!A225</f>
        <v/>
      </c>
      <c r="B232" s="160">
        <f>'Transformaciones'!C225</f>
        <v/>
      </c>
      <c r="C232" s="160">
        <f>$B$6</f>
        <v/>
      </c>
      <c r="D232" s="160">
        <f>$B$7*'Transformaciones'!E225</f>
        <v/>
      </c>
      <c r="E232" s="160">
        <f>$B$11*'Transformaciones'!M225</f>
        <v/>
      </c>
      <c r="F232" s="160">
        <f>$B$12*'Transformaciones'!O225</f>
        <v/>
      </c>
      <c r="G232" s="160">
        <f>$B$8*'Transformaciones'!G224</f>
        <v/>
      </c>
      <c r="H232" s="160">
        <f>$B$9*'Transformaciones'!I224</f>
        <v/>
      </c>
      <c r="I232" s="160">
        <f>$B$10*'Transformaciones'!K224</f>
        <v/>
      </c>
      <c r="J232" s="160">
        <f>$B$13*'Transformaciones'!P225</f>
        <v/>
      </c>
      <c r="K232" s="166">
        <f>SUM(C232:J232)</f>
        <v/>
      </c>
      <c r="L232" s="166">
        <f>B232-K232</f>
        <v/>
      </c>
      <c r="M232" s="167">
        <f>'Datos_fuente'!B225</f>
        <v/>
      </c>
      <c r="N232" s="167">
        <f>EXP('Transformaciones'!B224+K232)</f>
        <v/>
      </c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'Transformaciones'!A226</f>
        <v/>
      </c>
      <c r="B233" s="160">
        <f>'Transformaciones'!C226</f>
        <v/>
      </c>
      <c r="C233" s="160">
        <f>$B$6</f>
        <v/>
      </c>
      <c r="D233" s="160">
        <f>$B$7*'Transformaciones'!E226</f>
        <v/>
      </c>
      <c r="E233" s="160">
        <f>$B$11*'Transformaciones'!M226</f>
        <v/>
      </c>
      <c r="F233" s="160">
        <f>$B$12*'Transformaciones'!O226</f>
        <v/>
      </c>
      <c r="G233" s="160">
        <f>$B$8*'Transformaciones'!G225</f>
        <v/>
      </c>
      <c r="H233" s="160">
        <f>$B$9*'Transformaciones'!I225</f>
        <v/>
      </c>
      <c r="I233" s="160">
        <f>$B$10*'Transformaciones'!K225</f>
        <v/>
      </c>
      <c r="J233" s="160">
        <f>$B$13*'Transformaciones'!P226</f>
        <v/>
      </c>
      <c r="K233" s="166">
        <f>SUM(C233:J233)</f>
        <v/>
      </c>
      <c r="L233" s="166">
        <f>B233-K233</f>
        <v/>
      </c>
      <c r="M233" s="167">
        <f>'Datos_fuente'!B226</f>
        <v/>
      </c>
      <c r="N233" s="167">
        <f>EXP('Transformaciones'!B225+K233)</f>
        <v/>
      </c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'Transformaciones'!A227</f>
        <v/>
      </c>
      <c r="B234" s="160">
        <f>'Transformaciones'!C227</f>
        <v/>
      </c>
      <c r="C234" s="160">
        <f>$B$6</f>
        <v/>
      </c>
      <c r="D234" s="160">
        <f>$B$7*'Transformaciones'!E227</f>
        <v/>
      </c>
      <c r="E234" s="160">
        <f>$B$11*'Transformaciones'!M227</f>
        <v/>
      </c>
      <c r="F234" s="160">
        <f>$B$12*'Transformaciones'!O227</f>
        <v/>
      </c>
      <c r="G234" s="160">
        <f>$B$8*'Transformaciones'!G226</f>
        <v/>
      </c>
      <c r="H234" s="160">
        <f>$B$9*'Transformaciones'!I226</f>
        <v/>
      </c>
      <c r="I234" s="160">
        <f>$B$10*'Transformaciones'!K226</f>
        <v/>
      </c>
      <c r="J234" s="160">
        <f>$B$13*'Transformaciones'!P227</f>
        <v/>
      </c>
      <c r="K234" s="166">
        <f>SUM(C234:J234)</f>
        <v/>
      </c>
      <c r="L234" s="166">
        <f>B234-K234</f>
        <v/>
      </c>
      <c r="M234" s="167">
        <f>'Datos_fuente'!B227</f>
        <v/>
      </c>
      <c r="N234" s="167">
        <f>EXP('Transformaciones'!B226+K234)</f>
        <v/>
      </c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'Transformaciones'!A228</f>
        <v/>
      </c>
      <c r="B235" s="160">
        <f>'Transformaciones'!C228</f>
        <v/>
      </c>
      <c r="C235" s="160">
        <f>$B$6</f>
        <v/>
      </c>
      <c r="D235" s="160">
        <f>$B$7*'Transformaciones'!E228</f>
        <v/>
      </c>
      <c r="E235" s="160">
        <f>$B$11*'Transformaciones'!M228</f>
        <v/>
      </c>
      <c r="F235" s="160">
        <f>$B$12*'Transformaciones'!O228</f>
        <v/>
      </c>
      <c r="G235" s="160">
        <f>$B$8*'Transformaciones'!G227</f>
        <v/>
      </c>
      <c r="H235" s="160">
        <f>$B$9*'Transformaciones'!I227</f>
        <v/>
      </c>
      <c r="I235" s="160">
        <f>$B$10*'Transformaciones'!K227</f>
        <v/>
      </c>
      <c r="J235" s="160">
        <f>$B$13*'Transformaciones'!P228</f>
        <v/>
      </c>
      <c r="K235" s="166">
        <f>SUM(C235:J235)</f>
        <v/>
      </c>
      <c r="L235" s="166">
        <f>B235-K235</f>
        <v/>
      </c>
      <c r="M235" s="167">
        <f>'Datos_fuente'!B228</f>
        <v/>
      </c>
      <c r="N235" s="167">
        <f>EXP('Transformaciones'!B227+K235)</f>
        <v/>
      </c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'Transformaciones'!A229</f>
        <v/>
      </c>
      <c r="B236" s="160">
        <f>'Transformaciones'!C229</f>
        <v/>
      </c>
      <c r="C236" s="160">
        <f>$B$6</f>
        <v/>
      </c>
      <c r="D236" s="160">
        <f>$B$7*'Transformaciones'!E229</f>
        <v/>
      </c>
      <c r="E236" s="160">
        <f>$B$11*'Transformaciones'!M229</f>
        <v/>
      </c>
      <c r="F236" s="160">
        <f>$B$12*'Transformaciones'!O229</f>
        <v/>
      </c>
      <c r="G236" s="160">
        <f>$B$8*'Transformaciones'!G228</f>
        <v/>
      </c>
      <c r="H236" s="160">
        <f>$B$9*'Transformaciones'!I228</f>
        <v/>
      </c>
      <c r="I236" s="160">
        <f>$B$10*'Transformaciones'!K228</f>
        <v/>
      </c>
      <c r="J236" s="160">
        <f>$B$13*'Transformaciones'!P229</f>
        <v/>
      </c>
      <c r="K236" s="166">
        <f>SUM(C236:J236)</f>
        <v/>
      </c>
      <c r="L236" s="166">
        <f>B236-K236</f>
        <v/>
      </c>
      <c r="M236" s="167">
        <f>'Datos_fuente'!B229</f>
        <v/>
      </c>
      <c r="N236" s="167">
        <f>EXP('Transformaciones'!B228+K236)</f>
        <v/>
      </c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'Transformaciones'!A230</f>
        <v/>
      </c>
      <c r="B237" s="160">
        <f>'Transformaciones'!C230</f>
        <v/>
      </c>
      <c r="C237" s="160">
        <f>$B$6</f>
        <v/>
      </c>
      <c r="D237" s="160">
        <f>$B$7*'Transformaciones'!E230</f>
        <v/>
      </c>
      <c r="E237" s="160">
        <f>$B$11*'Transformaciones'!M230</f>
        <v/>
      </c>
      <c r="F237" s="160">
        <f>$B$12*'Transformaciones'!O230</f>
        <v/>
      </c>
      <c r="G237" s="160">
        <f>$B$8*'Transformaciones'!G229</f>
        <v/>
      </c>
      <c r="H237" s="160">
        <f>$B$9*'Transformaciones'!I229</f>
        <v/>
      </c>
      <c r="I237" s="160">
        <f>$B$10*'Transformaciones'!K229</f>
        <v/>
      </c>
      <c r="J237" s="160">
        <f>$B$13*'Transformaciones'!P230</f>
        <v/>
      </c>
      <c r="K237" s="166">
        <f>SUM(C237:J237)</f>
        <v/>
      </c>
      <c r="L237" s="166">
        <f>B237-K237</f>
        <v/>
      </c>
      <c r="M237" s="167">
        <f>'Datos_fuente'!B230</f>
        <v/>
      </c>
      <c r="N237" s="167">
        <f>EXP('Transformaciones'!B229+K237)</f>
        <v/>
      </c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'Transformaciones'!A231</f>
        <v/>
      </c>
      <c r="B238" s="160">
        <f>'Transformaciones'!C231</f>
        <v/>
      </c>
      <c r="C238" s="160">
        <f>$B$6</f>
        <v/>
      </c>
      <c r="D238" s="160">
        <f>$B$7*'Transformaciones'!E231</f>
        <v/>
      </c>
      <c r="E238" s="160">
        <f>$B$11*'Transformaciones'!M231</f>
        <v/>
      </c>
      <c r="F238" s="160">
        <f>$B$12*'Transformaciones'!O231</f>
        <v/>
      </c>
      <c r="G238" s="160">
        <f>$B$8*'Transformaciones'!G230</f>
        <v/>
      </c>
      <c r="H238" s="160">
        <f>$B$9*'Transformaciones'!I230</f>
        <v/>
      </c>
      <c r="I238" s="160">
        <f>$B$10*'Transformaciones'!K230</f>
        <v/>
      </c>
      <c r="J238" s="160">
        <f>$B$13*'Transformaciones'!P231</f>
        <v/>
      </c>
      <c r="K238" s="166">
        <f>SUM(C238:J238)</f>
        <v/>
      </c>
      <c r="L238" s="166">
        <f>B238-K238</f>
        <v/>
      </c>
      <c r="M238" s="167">
        <f>'Datos_fuente'!B231</f>
        <v/>
      </c>
      <c r="N238" s="167">
        <f>EXP('Transformaciones'!B230+K238)</f>
        <v/>
      </c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'Transformaciones'!A232</f>
        <v/>
      </c>
      <c r="B239" s="160">
        <f>'Transformaciones'!C232</f>
        <v/>
      </c>
      <c r="C239" s="160">
        <f>$B$6</f>
        <v/>
      </c>
      <c r="D239" s="160">
        <f>$B$7*'Transformaciones'!E232</f>
        <v/>
      </c>
      <c r="E239" s="160">
        <f>$B$11*'Transformaciones'!M232</f>
        <v/>
      </c>
      <c r="F239" s="160">
        <f>$B$12*'Transformaciones'!O232</f>
        <v/>
      </c>
      <c r="G239" s="160">
        <f>$B$8*'Transformaciones'!G231</f>
        <v/>
      </c>
      <c r="H239" s="160">
        <f>$B$9*'Transformaciones'!I231</f>
        <v/>
      </c>
      <c r="I239" s="160">
        <f>$B$10*'Transformaciones'!K231</f>
        <v/>
      </c>
      <c r="J239" s="160">
        <f>$B$13*'Transformaciones'!P232</f>
        <v/>
      </c>
      <c r="K239" s="166">
        <f>SUM(C239:J239)</f>
        <v/>
      </c>
      <c r="L239" s="166">
        <f>B239-K239</f>
        <v/>
      </c>
      <c r="M239" s="167">
        <f>'Datos_fuente'!B232</f>
        <v/>
      </c>
      <c r="N239" s="167">
        <f>EXP('Transformaciones'!B231+K239)</f>
        <v/>
      </c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'Transformaciones'!A233</f>
        <v/>
      </c>
      <c r="B240" s="160">
        <f>'Transformaciones'!C233</f>
        <v/>
      </c>
      <c r="C240" s="160">
        <f>$B$6</f>
        <v/>
      </c>
      <c r="D240" s="160">
        <f>$B$7*'Transformaciones'!E233</f>
        <v/>
      </c>
      <c r="E240" s="160">
        <f>$B$11*'Transformaciones'!M233</f>
        <v/>
      </c>
      <c r="F240" s="160">
        <f>$B$12*'Transformaciones'!O233</f>
        <v/>
      </c>
      <c r="G240" s="160">
        <f>$B$8*'Transformaciones'!G232</f>
        <v/>
      </c>
      <c r="H240" s="160">
        <f>$B$9*'Transformaciones'!I232</f>
        <v/>
      </c>
      <c r="I240" s="160">
        <f>$B$10*'Transformaciones'!K232</f>
        <v/>
      </c>
      <c r="J240" s="160">
        <f>$B$13*'Transformaciones'!P233</f>
        <v/>
      </c>
      <c r="K240" s="166">
        <f>SUM(C240:J240)</f>
        <v/>
      </c>
      <c r="L240" s="166">
        <f>B240-K240</f>
        <v/>
      </c>
      <c r="M240" s="167">
        <f>'Datos_fuente'!B233</f>
        <v/>
      </c>
      <c r="N240" s="167">
        <f>EXP('Transformaciones'!B232+K240)</f>
        <v/>
      </c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'Transformaciones'!A234</f>
        <v/>
      </c>
      <c r="B241" s="160">
        <f>'Transformaciones'!C234</f>
        <v/>
      </c>
      <c r="C241" s="160">
        <f>$B$6</f>
        <v/>
      </c>
      <c r="D241" s="160">
        <f>$B$7*'Transformaciones'!E234</f>
        <v/>
      </c>
      <c r="E241" s="160">
        <f>$B$11*'Transformaciones'!M234</f>
        <v/>
      </c>
      <c r="F241" s="160">
        <f>$B$12*'Transformaciones'!O234</f>
        <v/>
      </c>
      <c r="G241" s="160">
        <f>$B$8*'Transformaciones'!G233</f>
        <v/>
      </c>
      <c r="H241" s="160">
        <f>$B$9*'Transformaciones'!I233</f>
        <v/>
      </c>
      <c r="I241" s="160">
        <f>$B$10*'Transformaciones'!K233</f>
        <v/>
      </c>
      <c r="J241" s="160">
        <f>$B$13*'Transformaciones'!P234</f>
        <v/>
      </c>
      <c r="K241" s="166">
        <f>SUM(C241:J241)</f>
        <v/>
      </c>
      <c r="L241" s="166">
        <f>B241-K241</f>
        <v/>
      </c>
      <c r="M241" s="167">
        <f>'Datos_fuente'!B234</f>
        <v/>
      </c>
      <c r="N241" s="167">
        <f>EXP('Transformaciones'!B233+K241)</f>
        <v/>
      </c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'Transformaciones'!A235</f>
        <v/>
      </c>
      <c r="B242" s="160">
        <f>'Transformaciones'!C235</f>
        <v/>
      </c>
      <c r="C242" s="160">
        <f>$B$6</f>
        <v/>
      </c>
      <c r="D242" s="160">
        <f>$B$7*'Transformaciones'!E235</f>
        <v/>
      </c>
      <c r="E242" s="160">
        <f>$B$11*'Transformaciones'!M235</f>
        <v/>
      </c>
      <c r="F242" s="160">
        <f>$B$12*'Transformaciones'!O235</f>
        <v/>
      </c>
      <c r="G242" s="160">
        <f>$B$8*'Transformaciones'!G234</f>
        <v/>
      </c>
      <c r="H242" s="160">
        <f>$B$9*'Transformaciones'!I234</f>
        <v/>
      </c>
      <c r="I242" s="160">
        <f>$B$10*'Transformaciones'!K234</f>
        <v/>
      </c>
      <c r="J242" s="160">
        <f>$B$13*'Transformaciones'!P235</f>
        <v/>
      </c>
      <c r="K242" s="166">
        <f>SUM(C242:J242)</f>
        <v/>
      </c>
      <c r="L242" s="166">
        <f>B242-K242</f>
        <v/>
      </c>
      <c r="M242" s="167">
        <f>'Datos_fuente'!B235</f>
        <v/>
      </c>
      <c r="N242" s="167">
        <f>EXP('Transformaciones'!B234+K242)</f>
        <v/>
      </c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'Transformaciones'!A236</f>
        <v/>
      </c>
      <c r="B243" s="160">
        <f>'Transformaciones'!C236</f>
        <v/>
      </c>
      <c r="C243" s="160">
        <f>$B$6</f>
        <v/>
      </c>
      <c r="D243" s="160">
        <f>$B$7*'Transformaciones'!E236</f>
        <v/>
      </c>
      <c r="E243" s="160">
        <f>$B$11*'Transformaciones'!M236</f>
        <v/>
      </c>
      <c r="F243" s="160">
        <f>$B$12*'Transformaciones'!O236</f>
        <v/>
      </c>
      <c r="G243" s="160">
        <f>$B$8*'Transformaciones'!G235</f>
        <v/>
      </c>
      <c r="H243" s="160">
        <f>$B$9*'Transformaciones'!I235</f>
        <v/>
      </c>
      <c r="I243" s="160">
        <f>$B$10*'Transformaciones'!K235</f>
        <v/>
      </c>
      <c r="J243" s="160">
        <f>$B$13*'Transformaciones'!P236</f>
        <v/>
      </c>
      <c r="K243" s="166">
        <f>SUM(C243:J243)</f>
        <v/>
      </c>
      <c r="L243" s="166">
        <f>B243-K243</f>
        <v/>
      </c>
      <c r="M243" s="167">
        <f>'Datos_fuente'!B236</f>
        <v/>
      </c>
      <c r="N243" s="167">
        <f>EXP('Transformaciones'!B235+K243)</f>
        <v/>
      </c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'Transformaciones'!A237</f>
        <v/>
      </c>
      <c r="B244" s="160">
        <f>'Transformaciones'!C237</f>
        <v/>
      </c>
      <c r="C244" s="160">
        <f>$B$6</f>
        <v/>
      </c>
      <c r="D244" s="160">
        <f>$B$7*'Transformaciones'!E237</f>
        <v/>
      </c>
      <c r="E244" s="160">
        <f>$B$11*'Transformaciones'!M237</f>
        <v/>
      </c>
      <c r="F244" s="160">
        <f>$B$12*'Transformaciones'!O237</f>
        <v/>
      </c>
      <c r="G244" s="160">
        <f>$B$8*'Transformaciones'!G236</f>
        <v/>
      </c>
      <c r="H244" s="160">
        <f>$B$9*'Transformaciones'!I236</f>
        <v/>
      </c>
      <c r="I244" s="160">
        <f>$B$10*'Transformaciones'!K236</f>
        <v/>
      </c>
      <c r="J244" s="160">
        <f>$B$13*'Transformaciones'!P237</f>
        <v/>
      </c>
      <c r="K244" s="166">
        <f>SUM(C244:J244)</f>
        <v/>
      </c>
      <c r="L244" s="166">
        <f>B244-K244</f>
        <v/>
      </c>
      <c r="M244" s="167">
        <f>'Datos_fuente'!B237</f>
        <v/>
      </c>
      <c r="N244" s="167">
        <f>EXP('Transformaciones'!B236+K244)</f>
        <v/>
      </c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'Transformaciones'!A238</f>
        <v/>
      </c>
      <c r="B245" s="160">
        <f>'Transformaciones'!C238</f>
        <v/>
      </c>
      <c r="C245" s="160">
        <f>$B$6</f>
        <v/>
      </c>
      <c r="D245" s="160">
        <f>$B$7*'Transformaciones'!E238</f>
        <v/>
      </c>
      <c r="E245" s="160">
        <f>$B$11*'Transformaciones'!M238</f>
        <v/>
      </c>
      <c r="F245" s="160">
        <f>$B$12*'Transformaciones'!O238</f>
        <v/>
      </c>
      <c r="G245" s="160">
        <f>$B$8*'Transformaciones'!G237</f>
        <v/>
      </c>
      <c r="H245" s="160">
        <f>$B$9*'Transformaciones'!I237</f>
        <v/>
      </c>
      <c r="I245" s="160">
        <f>$B$10*'Transformaciones'!K237</f>
        <v/>
      </c>
      <c r="J245" s="160">
        <f>$B$13*'Transformaciones'!P238</f>
        <v/>
      </c>
      <c r="K245" s="166">
        <f>SUM(C245:J245)</f>
        <v/>
      </c>
      <c r="L245" s="166">
        <f>B245-K245</f>
        <v/>
      </c>
      <c r="M245" s="167">
        <f>'Datos_fuente'!B238</f>
        <v/>
      </c>
      <c r="N245" s="167">
        <f>EXP('Transformaciones'!B237+K245)</f>
        <v/>
      </c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'Transformaciones'!A239</f>
        <v/>
      </c>
      <c r="B246" s="160">
        <f>'Transformaciones'!C239</f>
        <v/>
      </c>
      <c r="C246" s="160">
        <f>$B$6</f>
        <v/>
      </c>
      <c r="D246" s="160">
        <f>$B$7*'Transformaciones'!E239</f>
        <v/>
      </c>
      <c r="E246" s="160">
        <f>$B$11*'Transformaciones'!M239</f>
        <v/>
      </c>
      <c r="F246" s="160">
        <f>$B$12*'Transformaciones'!O239</f>
        <v/>
      </c>
      <c r="G246" s="160">
        <f>$B$8*'Transformaciones'!G238</f>
        <v/>
      </c>
      <c r="H246" s="160">
        <f>$B$9*'Transformaciones'!I238</f>
        <v/>
      </c>
      <c r="I246" s="160">
        <f>$B$10*'Transformaciones'!K238</f>
        <v/>
      </c>
      <c r="J246" s="160">
        <f>$B$13*'Transformaciones'!P239</f>
        <v/>
      </c>
      <c r="K246" s="166">
        <f>SUM(C246:J246)</f>
        <v/>
      </c>
      <c r="L246" s="166">
        <f>B246-K246</f>
        <v/>
      </c>
      <c r="M246" s="167">
        <f>'Datos_fuente'!B239</f>
        <v/>
      </c>
      <c r="N246" s="167">
        <f>EXP('Transformaciones'!B238+K246)</f>
        <v/>
      </c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'Transformaciones'!A240</f>
        <v/>
      </c>
      <c r="B247" s="160">
        <f>'Transformaciones'!C240</f>
        <v/>
      </c>
      <c r="C247" s="160">
        <f>$B$6</f>
        <v/>
      </c>
      <c r="D247" s="160">
        <f>$B$7*'Transformaciones'!E240</f>
        <v/>
      </c>
      <c r="E247" s="160">
        <f>$B$11*'Transformaciones'!M240</f>
        <v/>
      </c>
      <c r="F247" s="160">
        <f>$B$12*'Transformaciones'!O240</f>
        <v/>
      </c>
      <c r="G247" s="160">
        <f>$B$8*'Transformaciones'!G239</f>
        <v/>
      </c>
      <c r="H247" s="160">
        <f>$B$9*'Transformaciones'!I239</f>
        <v/>
      </c>
      <c r="I247" s="160">
        <f>$B$10*'Transformaciones'!K239</f>
        <v/>
      </c>
      <c r="J247" s="160">
        <f>$B$13*'Transformaciones'!P240</f>
        <v/>
      </c>
      <c r="K247" s="166">
        <f>SUM(C247:J247)</f>
        <v/>
      </c>
      <c r="L247" s="166">
        <f>B247-K247</f>
        <v/>
      </c>
      <c r="M247" s="167">
        <f>'Datos_fuente'!B240</f>
        <v/>
      </c>
      <c r="N247" s="167">
        <f>EXP('Transformaciones'!B239+K247)</f>
        <v/>
      </c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'Transformaciones'!A241</f>
        <v/>
      </c>
      <c r="B248" s="160">
        <f>'Transformaciones'!C241</f>
        <v/>
      </c>
      <c r="C248" s="160">
        <f>$B$6</f>
        <v/>
      </c>
      <c r="D248" s="160">
        <f>$B$7*'Transformaciones'!E241</f>
        <v/>
      </c>
      <c r="E248" s="160">
        <f>$B$11*'Transformaciones'!M241</f>
        <v/>
      </c>
      <c r="F248" s="160">
        <f>$B$12*'Transformaciones'!O241</f>
        <v/>
      </c>
      <c r="G248" s="160">
        <f>$B$8*'Transformaciones'!G240</f>
        <v/>
      </c>
      <c r="H248" s="160">
        <f>$B$9*'Transformaciones'!I240</f>
        <v/>
      </c>
      <c r="I248" s="160">
        <f>$B$10*'Transformaciones'!K240</f>
        <v/>
      </c>
      <c r="J248" s="160">
        <f>$B$13*'Transformaciones'!P241</f>
        <v/>
      </c>
      <c r="K248" s="166">
        <f>SUM(C248:J248)</f>
        <v/>
      </c>
      <c r="L248" s="166">
        <f>B248-K248</f>
        <v/>
      </c>
      <c r="M248" s="167">
        <f>'Datos_fuente'!B241</f>
        <v/>
      </c>
      <c r="N248" s="167">
        <f>EXP('Transformaciones'!B240+K248)</f>
        <v/>
      </c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'Transformaciones'!A242</f>
        <v/>
      </c>
      <c r="B249" s="160">
        <f>'Transformaciones'!C242</f>
        <v/>
      </c>
      <c r="C249" s="160">
        <f>$B$6</f>
        <v/>
      </c>
      <c r="D249" s="160">
        <f>$B$7*'Transformaciones'!E242</f>
        <v/>
      </c>
      <c r="E249" s="160">
        <f>$B$11*'Transformaciones'!M242</f>
        <v/>
      </c>
      <c r="F249" s="160">
        <f>$B$12*'Transformaciones'!O242</f>
        <v/>
      </c>
      <c r="G249" s="160">
        <f>$B$8*'Transformaciones'!G241</f>
        <v/>
      </c>
      <c r="H249" s="160">
        <f>$B$9*'Transformaciones'!I241</f>
        <v/>
      </c>
      <c r="I249" s="160">
        <f>$B$10*'Transformaciones'!K241</f>
        <v/>
      </c>
      <c r="J249" s="160">
        <f>$B$13*'Transformaciones'!P242</f>
        <v/>
      </c>
      <c r="K249" s="166">
        <f>SUM(C249:J249)</f>
        <v/>
      </c>
      <c r="L249" s="166">
        <f>B249-K249</f>
        <v/>
      </c>
      <c r="M249" s="167">
        <f>'Datos_fuente'!B242</f>
        <v/>
      </c>
      <c r="N249" s="167">
        <f>EXP('Transformaciones'!B241+K249)</f>
        <v/>
      </c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'Transformaciones'!A243</f>
        <v/>
      </c>
      <c r="B250" s="160">
        <f>'Transformaciones'!C243</f>
        <v/>
      </c>
      <c r="C250" s="160">
        <f>$B$6</f>
        <v/>
      </c>
      <c r="D250" s="160">
        <f>$B$7*'Transformaciones'!E243</f>
        <v/>
      </c>
      <c r="E250" s="160">
        <f>$B$11*'Transformaciones'!M243</f>
        <v/>
      </c>
      <c r="F250" s="160">
        <f>$B$12*'Transformaciones'!O243</f>
        <v/>
      </c>
      <c r="G250" s="160">
        <f>$B$8*'Transformaciones'!G242</f>
        <v/>
      </c>
      <c r="H250" s="160">
        <f>$B$9*'Transformaciones'!I242</f>
        <v/>
      </c>
      <c r="I250" s="160">
        <f>$B$10*'Transformaciones'!K242</f>
        <v/>
      </c>
      <c r="J250" s="160">
        <f>$B$13*'Transformaciones'!P243</f>
        <v/>
      </c>
      <c r="K250" s="166">
        <f>SUM(C250:J250)</f>
        <v/>
      </c>
      <c r="L250" s="166">
        <f>B250-K250</f>
        <v/>
      </c>
      <c r="M250" s="167">
        <f>'Datos_fuente'!B243</f>
        <v/>
      </c>
      <c r="N250" s="167">
        <f>EXP('Transformaciones'!B242+K250)</f>
        <v/>
      </c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>
        <f>'Transformaciones'!A244</f>
        <v/>
      </c>
      <c r="B251" s="160">
        <f>'Transformaciones'!C244</f>
        <v/>
      </c>
      <c r="C251" s="160">
        <f>$B$6</f>
        <v/>
      </c>
      <c r="D251" s="160">
        <f>$B$7*'Transformaciones'!E244</f>
        <v/>
      </c>
      <c r="E251" s="160">
        <f>$B$11*'Transformaciones'!M244</f>
        <v/>
      </c>
      <c r="F251" s="160">
        <f>$B$12*'Transformaciones'!O244</f>
        <v/>
      </c>
      <c r="G251" s="160">
        <f>$B$8*'Transformaciones'!G243</f>
        <v/>
      </c>
      <c r="H251" s="160">
        <f>$B$9*'Transformaciones'!I243</f>
        <v/>
      </c>
      <c r="I251" s="160">
        <f>$B$10*'Transformaciones'!K243</f>
        <v/>
      </c>
      <c r="J251" s="160">
        <f>$B$13*'Transformaciones'!P244</f>
        <v/>
      </c>
      <c r="K251" s="166">
        <f>SUM(C251:J251)</f>
        <v/>
      </c>
      <c r="L251" s="166">
        <f>B251-K251</f>
        <v/>
      </c>
      <c r="M251" s="167">
        <f>'Datos_fuente'!B244</f>
        <v/>
      </c>
      <c r="N251" s="167">
        <f>EXP('Transformaciones'!B243+K251)</f>
        <v/>
      </c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>
        <f>'Transformaciones'!A245</f>
        <v/>
      </c>
      <c r="B252" s="160">
        <f>'Transformaciones'!C245</f>
        <v/>
      </c>
      <c r="C252" s="160">
        <f>$B$6</f>
        <v/>
      </c>
      <c r="D252" s="160">
        <f>$B$7*'Transformaciones'!E245</f>
        <v/>
      </c>
      <c r="E252" s="160">
        <f>$B$11*'Transformaciones'!M245</f>
        <v/>
      </c>
      <c r="F252" s="160">
        <f>$B$12*'Transformaciones'!O245</f>
        <v/>
      </c>
      <c r="G252" s="160">
        <f>$B$8*'Transformaciones'!G244</f>
        <v/>
      </c>
      <c r="H252" s="160">
        <f>$B$9*'Transformaciones'!I244</f>
        <v/>
      </c>
      <c r="I252" s="160">
        <f>$B$10*'Transformaciones'!K244</f>
        <v/>
      </c>
      <c r="J252" s="160">
        <f>$B$13*'Transformaciones'!P245</f>
        <v/>
      </c>
      <c r="K252" s="166">
        <f>SUM(C252:J252)</f>
        <v/>
      </c>
      <c r="L252" s="166">
        <f>B252-K252</f>
        <v/>
      </c>
      <c r="M252" s="167">
        <f>'Datos_fuente'!B245</f>
        <v/>
      </c>
      <c r="N252" s="167">
        <f>EXP('Transformaciones'!B244+K252)</f>
        <v/>
      </c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>
        <f>'Transformaciones'!A246</f>
        <v/>
      </c>
      <c r="B253" s="160">
        <f>'Transformaciones'!C246</f>
        <v/>
      </c>
      <c r="C253" s="160">
        <f>$B$6</f>
        <v/>
      </c>
      <c r="D253" s="160">
        <f>$B$7*'Transformaciones'!E246</f>
        <v/>
      </c>
      <c r="E253" s="160">
        <f>$B$11*'Transformaciones'!M246</f>
        <v/>
      </c>
      <c r="F253" s="160">
        <f>$B$12*'Transformaciones'!O246</f>
        <v/>
      </c>
      <c r="G253" s="160">
        <f>$B$8*'Transformaciones'!G245</f>
        <v/>
      </c>
      <c r="H253" s="160">
        <f>$B$9*'Transformaciones'!I245</f>
        <v/>
      </c>
      <c r="I253" s="160">
        <f>$B$10*'Transformaciones'!K245</f>
        <v/>
      </c>
      <c r="J253" s="160">
        <f>$B$13*'Transformaciones'!P246</f>
        <v/>
      </c>
      <c r="K253" s="166">
        <f>SUM(C253:J253)</f>
        <v/>
      </c>
      <c r="L253" s="166">
        <f>B253-K253</f>
        <v/>
      </c>
      <c r="M253" s="167">
        <f>'Datos_fuente'!B246</f>
        <v/>
      </c>
      <c r="N253" s="167">
        <f>EXP('Transformaciones'!B245+K253)</f>
        <v/>
      </c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>
        <f>'Transformaciones'!A247</f>
        <v/>
      </c>
      <c r="B254" s="160">
        <f>'Transformaciones'!C247</f>
        <v/>
      </c>
      <c r="C254" s="160">
        <f>$B$6</f>
        <v/>
      </c>
      <c r="D254" s="160">
        <f>$B$7*'Transformaciones'!E247</f>
        <v/>
      </c>
      <c r="E254" s="160">
        <f>$B$11*'Transformaciones'!M247</f>
        <v/>
      </c>
      <c r="F254" s="160">
        <f>$B$12*'Transformaciones'!O247</f>
        <v/>
      </c>
      <c r="G254" s="160">
        <f>$B$8*'Transformaciones'!G246</f>
        <v/>
      </c>
      <c r="H254" s="160">
        <f>$B$9*'Transformaciones'!I246</f>
        <v/>
      </c>
      <c r="I254" s="160">
        <f>$B$10*'Transformaciones'!K246</f>
        <v/>
      </c>
      <c r="J254" s="160">
        <f>$B$13*'Transformaciones'!P247</f>
        <v/>
      </c>
      <c r="K254" s="166">
        <f>SUM(C254:J254)</f>
        <v/>
      </c>
      <c r="L254" s="166">
        <f>B254-K254</f>
        <v/>
      </c>
      <c r="M254" s="167">
        <f>'Datos_fuente'!B247</f>
        <v/>
      </c>
      <c r="N254" s="167">
        <f>EXP('Transformaciones'!B246+K254)</f>
        <v/>
      </c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>
        <f>'Transformaciones'!A248</f>
        <v/>
      </c>
      <c r="B255" s="160">
        <f>'Transformaciones'!C248</f>
        <v/>
      </c>
      <c r="C255" s="160">
        <f>$B$6</f>
        <v/>
      </c>
      <c r="D255" s="160">
        <f>$B$7*'Transformaciones'!E248</f>
        <v/>
      </c>
      <c r="E255" s="160">
        <f>$B$11*'Transformaciones'!M248</f>
        <v/>
      </c>
      <c r="F255" s="160">
        <f>$B$12*'Transformaciones'!O248</f>
        <v/>
      </c>
      <c r="G255" s="160">
        <f>$B$8*'Transformaciones'!G247</f>
        <v/>
      </c>
      <c r="H255" s="160">
        <f>$B$9*'Transformaciones'!I247</f>
        <v/>
      </c>
      <c r="I255" s="160">
        <f>$B$10*'Transformaciones'!K247</f>
        <v/>
      </c>
      <c r="J255" s="160">
        <f>$B$13*'Transformaciones'!P248</f>
        <v/>
      </c>
      <c r="K255" s="166">
        <f>SUM(C255:J255)</f>
        <v/>
      </c>
      <c r="L255" s="166">
        <f>B255-K255</f>
        <v/>
      </c>
      <c r="M255" s="167">
        <f>'Datos_fuente'!B248</f>
        <v/>
      </c>
      <c r="N255" s="167">
        <f>EXP('Transformaciones'!B247+K255)</f>
        <v/>
      </c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>
        <f>'Transformaciones'!A249</f>
        <v/>
      </c>
      <c r="B256" s="160">
        <f>'Transformaciones'!C249</f>
        <v/>
      </c>
      <c r="C256" s="160">
        <f>$B$6</f>
        <v/>
      </c>
      <c r="D256" s="160">
        <f>$B$7*'Transformaciones'!E249</f>
        <v/>
      </c>
      <c r="E256" s="160">
        <f>$B$11*'Transformaciones'!M249</f>
        <v/>
      </c>
      <c r="F256" s="160">
        <f>$B$12*'Transformaciones'!O249</f>
        <v/>
      </c>
      <c r="G256" s="160">
        <f>$B$8*'Transformaciones'!G248</f>
        <v/>
      </c>
      <c r="H256" s="160">
        <f>$B$9*'Transformaciones'!I248</f>
        <v/>
      </c>
      <c r="I256" s="160">
        <f>$B$10*'Transformaciones'!K248</f>
        <v/>
      </c>
      <c r="J256" s="160">
        <f>$B$13*'Transformaciones'!P249</f>
        <v/>
      </c>
      <c r="K256" s="166">
        <f>SUM(C256:J256)</f>
        <v/>
      </c>
      <c r="L256" s="166">
        <f>B256-K256</f>
        <v/>
      </c>
      <c r="M256" s="167">
        <f>'Datos_fuente'!B249</f>
        <v/>
      </c>
      <c r="N256" s="167">
        <f>EXP('Transformaciones'!B248+K256)</f>
        <v/>
      </c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>
        <f>'Transformaciones'!A250</f>
        <v/>
      </c>
      <c r="B257" s="160">
        <f>'Transformaciones'!C250</f>
        <v/>
      </c>
      <c r="C257" s="160">
        <f>$B$6</f>
        <v/>
      </c>
      <c r="D257" s="160">
        <f>$B$7*'Transformaciones'!E250</f>
        <v/>
      </c>
      <c r="E257" s="160">
        <f>$B$11*'Transformaciones'!M250</f>
        <v/>
      </c>
      <c r="F257" s="160">
        <f>$B$12*'Transformaciones'!O250</f>
        <v/>
      </c>
      <c r="G257" s="160">
        <f>$B$8*'Transformaciones'!G249</f>
        <v/>
      </c>
      <c r="H257" s="160">
        <f>$B$9*'Transformaciones'!I249</f>
        <v/>
      </c>
      <c r="I257" s="160">
        <f>$B$10*'Transformaciones'!K249</f>
        <v/>
      </c>
      <c r="J257" s="160">
        <f>$B$13*'Transformaciones'!P250</f>
        <v/>
      </c>
      <c r="K257" s="166">
        <f>SUM(C257:J257)</f>
        <v/>
      </c>
      <c r="L257" s="166">
        <f>B257-K257</f>
        <v/>
      </c>
      <c r="M257" s="167">
        <f>'Datos_fuente'!B250</f>
        <v/>
      </c>
      <c r="N257" s="167">
        <f>EXP('Transformaciones'!B249+K257)</f>
        <v/>
      </c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W1"/>
    <mergeCell ref="A2:W3"/>
  </mergeCells>
  <conditionalFormatting sqref="E6:E13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4" t="inlineStr">
        <is>
          <t>Marco macroeconómico integral: condiciones externas, internas y regionales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Explicación histórica ex post. Integra 14 factores, incluido un bloque de 17 términos globales agrupados: expectativas y rendimientos de EE. UU., condiciones financieras, commodities, desempleo, empleo industrial y fletes. Las series candidatas incompletas se documentan, pero no se imputan ni entran al modelo balanceado.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64" t="n"/>
      <c r="P5" s="64" t="n"/>
      <c r="Q5" s="64" t="n"/>
      <c r="R5" s="64" t="n"/>
      <c r="S5" s="64" t="n"/>
      <c r="T5" s="64" t="n"/>
      <c r="U5" s="64" t="n"/>
      <c r="V5" s="64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0.0056651267225528</v>
      </c>
      <c r="C6" s="163" t="n">
        <v>0.0021877612201581</v>
      </c>
      <c r="D6" s="163" t="n">
        <v>2.589462995483253</v>
      </c>
      <c r="E6" s="163" t="n">
        <v>0.0102949812192566</v>
      </c>
      <c r="F6" s="163" t="n">
        <v>0.001351976497311</v>
      </c>
      <c r="G6" s="163" t="n">
        <v>0.0099782769477945</v>
      </c>
      <c r="H6" s="64" t="n"/>
      <c r="I6" s="67" t="inlineStr">
        <is>
          <t>R²</t>
        </is>
      </c>
      <c r="J6" s="164" t="n">
        <v>0.6077231207021747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-1152.183748797755</v>
      </c>
      <c r="N6" s="67" t="inlineStr">
        <is>
          <t>Comparación relativa</t>
        </is>
      </c>
      <c r="O6" s="64" t="n"/>
      <c r="P6" s="64" t="n"/>
      <c r="Q6" s="64" t="n"/>
      <c r="R6" s="64" t="n"/>
      <c r="S6" s="64" t="n"/>
      <c r="T6" s="64" t="n"/>
      <c r="U6" s="64" t="n"/>
      <c r="V6" s="64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0.0148188660255425</v>
      </c>
      <c r="C7" s="163" t="n">
        <v>0.0432509459981764</v>
      </c>
      <c r="D7" s="163" t="n">
        <v>0.3426252463048397</v>
      </c>
      <c r="E7" s="163" t="n">
        <v>0.7322280660728413</v>
      </c>
      <c r="F7" s="163" t="n">
        <v>-0.07044995844903509</v>
      </c>
      <c r="G7" s="163" t="n">
        <v>0.1000876905001201</v>
      </c>
      <c r="H7" s="64" t="n"/>
      <c r="I7" s="67" t="inlineStr">
        <is>
          <t>R² ajustado</t>
        </is>
      </c>
      <c r="J7" s="164" t="n">
        <v>0.5851585214505299</v>
      </c>
      <c r="K7" s="67" t="inlineStr">
        <is>
          <t>Penaliza el número de parámetros</t>
        </is>
      </c>
      <c r="L7" s="67" t="inlineStr">
        <is>
          <t>BIC</t>
        </is>
      </c>
      <c r="M7" s="165" t="n">
        <v>-1103.454803870967</v>
      </c>
      <c r="N7" s="67" t="inlineStr">
        <is>
          <t>Comparación relativa</t>
        </is>
      </c>
      <c r="O7" s="64" t="n"/>
      <c r="P7" s="64" t="n"/>
      <c r="Q7" s="64" t="n"/>
      <c r="R7" s="64" t="n"/>
      <c r="S7" s="64" t="n"/>
      <c r="T7" s="64" t="n"/>
      <c r="U7" s="64" t="n"/>
      <c r="V7" s="64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0.1970442492887683</v>
      </c>
      <c r="C8" s="163" t="n">
        <v>0.1029982302427557</v>
      </c>
      <c r="D8" s="163" t="n">
        <v>1.913083834783921</v>
      </c>
      <c r="E8" s="163" t="n">
        <v>0.0571172968252256</v>
      </c>
      <c r="F8" s="163" t="n">
        <v>-0.0060157720141639</v>
      </c>
      <c r="G8" s="163" t="n">
        <v>0.4001042705917007</v>
      </c>
      <c r="H8" s="64" t="n"/>
      <c r="I8" s="67" t="inlineStr">
        <is>
          <t>Observaciones</t>
        </is>
      </c>
      <c r="J8" s="67" t="n">
        <v>240</v>
      </c>
      <c r="K8" s="67" t="inlineStr">
        <is>
          <t>Muestra común completa</t>
        </is>
      </c>
      <c r="L8" s="67" t="inlineStr">
        <is>
          <t>MAPE condicional</t>
        </is>
      </c>
      <c r="M8" s="164" t="n">
        <v>0.01700257399880555</v>
      </c>
      <c r="N8" s="67" t="inlineStr">
        <is>
          <t>Ventana de validación</t>
        </is>
      </c>
      <c r="O8" s="64" t="n"/>
      <c r="P8" s="64" t="n"/>
      <c r="Q8" s="64" t="n"/>
      <c r="R8" s="64" t="n"/>
      <c r="S8" s="64" t="n"/>
      <c r="T8" s="64" t="n"/>
      <c r="U8" s="64" t="n"/>
      <c r="V8" s="64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0.0034486059062623</v>
      </c>
      <c r="C9" s="163" t="n">
        <v>0.0054341586314754</v>
      </c>
      <c r="D9" s="163" t="n">
        <v>0.634616348202931</v>
      </c>
      <c r="E9" s="163" t="n">
        <v>0.5263794273013872</v>
      </c>
      <c r="F9" s="163" t="n">
        <v>-0.0072647856235743</v>
      </c>
      <c r="G9" s="163" t="n">
        <v>0.0141619974360991</v>
      </c>
      <c r="H9" s="64" t="n"/>
      <c r="I9" s="67" t="inlineStr">
        <is>
          <t>Acierto dirección</t>
        </is>
      </c>
      <c r="J9" s="164" t="n">
        <v>0.8125</v>
      </c>
      <c r="K9" s="67" t="inlineStr">
        <is>
          <t>Signo del cambio mensual</t>
        </is>
      </c>
      <c r="L9" s="67" t="inlineStr">
        <is>
          <t>Inferencia</t>
        </is>
      </c>
      <c r="M9" s="67" t="inlineStr">
        <is>
          <t>HAC</t>
        </is>
      </c>
      <c r="N9" s="67" t="inlineStr">
        <is>
          <t>Errores robustos</t>
        </is>
      </c>
      <c r="O9" s="64" t="n"/>
      <c r="P9" s="64" t="n"/>
      <c r="Q9" s="64" t="n"/>
      <c r="R9" s="64" t="n"/>
      <c r="S9" s="64" t="n"/>
      <c r="T9" s="64" t="n"/>
      <c r="U9" s="64" t="n"/>
      <c r="V9" s="64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-0.0001227976770131</v>
      </c>
      <c r="C10" s="163" t="n">
        <v>0.0034165280233737</v>
      </c>
      <c r="D10" s="163" t="n">
        <v>-0.0359422419991971</v>
      </c>
      <c r="E10" s="163" t="n">
        <v>0.9713630496207072</v>
      </c>
      <c r="F10" s="163" t="n">
        <v>-0.00685844984864</v>
      </c>
      <c r="G10" s="163" t="n">
        <v>0.0066128544946137</v>
      </c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0.2024663584167092</v>
      </c>
      <c r="C11" s="163" t="n">
        <v>0.1848408007416637</v>
      </c>
      <c r="D11" s="163" t="n">
        <v>1.095355341484802</v>
      </c>
      <c r="E11" s="163" t="n">
        <v>0.2746337959007322</v>
      </c>
      <c r="F11" s="163" t="n">
        <v>-0.161945504270545</v>
      </c>
      <c r="G11" s="163" t="n">
        <v>0.5668782211039636</v>
      </c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64" t="inlineStr">
        <is>
          <t>Δ ln VIX (t)</t>
        </is>
      </c>
      <c r="B12" s="163" t="n">
        <v>0.0165587248861819</v>
      </c>
      <c r="C12" s="163" t="n">
        <v>0.0103784922452646</v>
      </c>
      <c r="D12" s="163" t="n">
        <v>1.595484632532922</v>
      </c>
      <c r="E12" s="163" t="n">
        <v>0.1121294854521429</v>
      </c>
      <c r="F12" s="163" t="n">
        <v>-0.003902372857427</v>
      </c>
      <c r="G12" s="163" t="n">
        <v>0.0370198226297908</v>
      </c>
      <c r="H12" s="64" t="n"/>
      <c r="I12" s="111" t="inlineStr">
        <is>
          <t>Diagnósticos del modelo ampliado</t>
        </is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Δ EMBIG Colombia (pp, t)</t>
        </is>
      </c>
      <c r="B13" s="163" t="n">
        <v>0.0277889348644079</v>
      </c>
      <c r="C13" s="163" t="n">
        <v>0.0107433004418884</v>
      </c>
      <c r="D13" s="163" t="n">
        <v>2.586629222064583</v>
      </c>
      <c r="E13" s="163" t="n">
        <v>0.010377291382825</v>
      </c>
      <c r="F13" s="163" t="n">
        <v>0.0066086212662808</v>
      </c>
      <c r="G13" s="163" t="n">
        <v>0.0489692484625349</v>
      </c>
      <c r="H13" s="64" t="n"/>
      <c r="I13" s="62" t="inlineStr">
        <is>
          <t>Prueba</t>
        </is>
      </c>
      <c r="J13" s="62" t="inlineStr">
        <is>
          <t>Estadístico</t>
        </is>
      </c>
      <c r="K13" s="62" t="inlineStr">
        <is>
          <t>p-valor</t>
        </is>
      </c>
      <c r="L13" s="62" t="inlineStr">
        <is>
          <t>Lectura</t>
        </is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inlineStr">
        <is>
          <t>Δ ln reservas netas sin FLAR (t−1)</t>
        </is>
      </c>
      <c r="B14" s="163" t="n">
        <v>-0.2379418863346012</v>
      </c>
      <c r="C14" s="163" t="n">
        <v>0.1199887070075647</v>
      </c>
      <c r="D14" s="163" t="n">
        <v>-1.983035672845446</v>
      </c>
      <c r="E14" s="163" t="n">
        <v>0.0486855947317898</v>
      </c>
      <c r="F14" s="163" t="n">
        <v>-0.4744984693325996</v>
      </c>
      <c r="G14" s="163" t="n">
        <v>-0.0013853033366027</v>
      </c>
      <c r="H14" s="64" t="n"/>
      <c r="I14" s="64" t="inlineStr">
        <is>
          <t>Ljung-Box (6)</t>
        </is>
      </c>
      <c r="J14" s="169" t="n">
        <v>4.008262823614989</v>
      </c>
      <c r="K14" s="169" t="n">
        <v>0.6755581661977308</v>
      </c>
      <c r="L14" s="64" t="inlineStr">
        <is>
          <t>Sin autocorrelación detectada</t>
        </is>
      </c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inlineStr">
        <is>
          <t>Δ asinh balanza comercial (t−1)</t>
        </is>
      </c>
      <c r="B15" s="163" t="n">
        <v>0.0547310307784176</v>
      </c>
      <c r="C15" s="163" t="n">
        <v>0.0117428696886156</v>
      </c>
      <c r="D15" s="163" t="n">
        <v>4.660788395827765</v>
      </c>
      <c r="E15" s="163" t="n">
        <v>5.637021674210999e-06</v>
      </c>
      <c r="F15" s="163" t="n">
        <v>0.0315800760143616</v>
      </c>
      <c r="G15" s="163" t="n">
        <v>0.07788198554247359</v>
      </c>
      <c r="H15" s="64" t="n"/>
      <c r="I15" s="64" t="inlineStr">
        <is>
          <t>Ljung-Box (12)</t>
        </is>
      </c>
      <c r="J15" s="169" t="n">
        <v>7.188651043327701</v>
      </c>
      <c r="K15" s="169" t="n">
        <v>0.8448989334977043</v>
      </c>
      <c r="L15" s="64" t="inlineStr">
        <is>
          <t>Sin autocorrelación detectada</t>
        </is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inlineStr">
        <is>
          <t>Δ asinh flujos de capital (t−1)</t>
        </is>
      </c>
      <c r="B16" s="163" t="n">
        <v>0.0005988483452401999</v>
      </c>
      <c r="C16" s="163" t="n">
        <v>0.0029253330227316</v>
      </c>
      <c r="D16" s="163" t="n">
        <v>0.2047111698349664</v>
      </c>
      <c r="E16" s="163" t="n">
        <v>0.8379989374971697</v>
      </c>
      <c r="F16" s="163" t="n">
        <v>-0.0051684176020875</v>
      </c>
      <c r="G16" s="163" t="n">
        <v>0.006366114292568</v>
      </c>
      <c r="H16" s="64" t="n"/>
      <c r="I16" s="64" t="inlineStr">
        <is>
          <t>Breusch-Godfrey (12)</t>
        </is>
      </c>
      <c r="J16" s="169" t="n">
        <v>8.38793047541043</v>
      </c>
      <c r="K16" s="169" t="n">
        <v>0.7541278932588411</v>
      </c>
      <c r="L16" s="64" t="inlineStr">
        <is>
          <t>Sin autocorrelación detectada</t>
        </is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Δ diferencial BEI 5 años (t−1)</t>
        </is>
      </c>
      <c r="B17" s="163" t="n">
        <v>-0.0017153993723854</v>
      </c>
      <c r="C17" s="163" t="n">
        <v>0.0041435318688572</v>
      </c>
      <c r="D17" s="163" t="n">
        <v>-0.4139944923021793</v>
      </c>
      <c r="E17" s="163" t="n">
        <v>0.6793067734463312</v>
      </c>
      <c r="F17" s="163" t="n">
        <v>-0.0098843326402336</v>
      </c>
      <c r="G17" s="163" t="n">
        <v>0.0064535338954627</v>
      </c>
      <c r="H17" s="64" t="n"/>
      <c r="I17" s="64" t="inlineStr">
        <is>
          <t>ARCH-LM (12)</t>
        </is>
      </c>
      <c r="J17" s="169" t="n">
        <v>15.40164838473681</v>
      </c>
      <c r="K17" s="169" t="n">
        <v>0.2202027503497359</v>
      </c>
      <c r="L17" s="64" t="inlineStr">
        <is>
          <t>Sin ARCH detectado</t>
        </is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Δ ln ISE total DANE (t)</t>
        </is>
      </c>
      <c r="B18" s="163" t="n">
        <v>-0.2100140836556087</v>
      </c>
      <c r="C18" s="163" t="n">
        <v>0.0886160689885547</v>
      </c>
      <c r="D18" s="163" t="n">
        <v>-2.36993229391312</v>
      </c>
      <c r="E18" s="163" t="n">
        <v>0.018710290545655</v>
      </c>
      <c r="F18" s="163" t="n">
        <v>-0.3847198122315971</v>
      </c>
      <c r="G18" s="163" t="n">
        <v>-0.0353083550796203</v>
      </c>
      <c r="H18" s="64" t="n"/>
      <c r="I18" s="64" t="inlineStr">
        <is>
          <t>Jarque-Bera</t>
        </is>
      </c>
      <c r="J18" s="169" t="n">
        <v>14.14494814442061</v>
      </c>
      <c r="K18" s="169" t="n">
        <v>0.0008481321710669</v>
      </c>
      <c r="L18" s="64" t="inlineStr">
        <is>
          <t>Residuos no normales</t>
        </is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Δ ln IPC Colombia (t)</t>
        </is>
      </c>
      <c r="B19" s="163" t="n">
        <v>-0.707078516610665</v>
      </c>
      <c r="C19" s="163" t="n">
        <v>0.3681024862893168</v>
      </c>
      <c r="D19" s="163" t="n">
        <v>-1.920874058033186</v>
      </c>
      <c r="E19" s="163" t="n">
        <v>0.0561214945715726</v>
      </c>
      <c r="F19" s="163" t="n">
        <v>-1.43278903155253</v>
      </c>
      <c r="G19" s="163" t="n">
        <v>0.0186319983311998</v>
      </c>
      <c r="H19" s="64" t="n"/>
      <c r="I19" s="64" t="inlineStr">
        <is>
          <t>Ramsey RESET</t>
        </is>
      </c>
      <c r="J19" s="169" t="n">
        <v>1.968523889822157</v>
      </c>
      <c r="K19" s="169" t="n">
        <v>0.1621100491049683</v>
      </c>
      <c r="L19" s="64" t="inlineStr">
        <is>
          <t>Sin evidencia de mala forma funcional</t>
        </is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Factor regional BRL, CLP, MXN y PEN (t)</t>
        </is>
      </c>
      <c r="B20" s="163" t="n">
        <v>0.0161355260845612</v>
      </c>
      <c r="C20" s="163" t="n">
        <v>0.0036326105661748</v>
      </c>
      <c r="D20" s="163" t="n">
        <v>4.441854085546021</v>
      </c>
      <c r="E20" s="163" t="n">
        <v>1.451331079429912e-05</v>
      </c>
      <c r="F20" s="163" t="n">
        <v>0.0089738692559518</v>
      </c>
      <c r="G20" s="163" t="n">
        <v>0.0232971829131706</v>
      </c>
      <c r="H20" s="64" t="n"/>
      <c r="I20" s="64" t="inlineStr">
        <is>
          <t>CUSUM estabilidad</t>
        </is>
      </c>
      <c r="J20" s="169" t="n">
        <v>0.6933061673039969</v>
      </c>
      <c r="K20" s="169" t="n">
        <v>0.7223479053510613</v>
      </c>
      <c r="L20" s="64" t="inlineStr">
        <is>
          <t>Sin inestabilidad detectada</t>
        </is>
      </c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Δ rendimiento real TIPS 10 años (t)</t>
        </is>
      </c>
      <c r="B21" s="163" t="n">
        <v>-285.7870115000308</v>
      </c>
      <c r="C21" s="163" t="n">
        <v>281.5630402494423</v>
      </c>
      <c r="D21" s="163" t="n">
        <v>-1.01500186688866</v>
      </c>
      <c r="E21" s="163" t="n">
        <v>0.3112898325548764</v>
      </c>
      <c r="F21" s="163" t="n">
        <v>-840.8858400567615</v>
      </c>
      <c r="G21" s="163" t="n">
        <v>269.3118170567</v>
      </c>
      <c r="H21" s="64" t="n"/>
      <c r="I21" s="64" t="inlineStr">
        <is>
          <t>Durbin-Watson</t>
        </is>
      </c>
      <c r="J21" s="169" t="n">
        <v>1.840155922114233</v>
      </c>
      <c r="K21" s="169" t="n"/>
      <c r="L21" s="64" t="inlineStr">
        <is>
          <t>Cercano a 2</t>
        </is>
      </c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inlineStr">
        <is>
          <t>Δ rendimiento real EE. UU. 5 años (t)</t>
        </is>
      </c>
      <c r="B22" s="163" t="n">
        <v>-0.0976447182587297</v>
      </c>
      <c r="C22" s="163" t="n">
        <v>0.06267413952430501</v>
      </c>
      <c r="D22" s="163" t="n">
        <v>-1.557974612812405</v>
      </c>
      <c r="E22" s="163" t="n">
        <v>0.120766817108552</v>
      </c>
      <c r="F22" s="163" t="n">
        <v>-0.2212061821494497</v>
      </c>
      <c r="G22" s="163" t="n">
        <v>0.0259167456319903</v>
      </c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Δ Treasury EE. UU. 2 años (t)</t>
        </is>
      </c>
      <c r="B23" s="163" t="n">
        <v>-415.4121483200399</v>
      </c>
      <c r="C23" s="163" t="n">
        <v>255.4075072474278</v>
      </c>
      <c r="D23" s="163" t="n">
        <v>-1.626468042372797</v>
      </c>
      <c r="E23" s="163" t="n">
        <v>0.1053714564759005</v>
      </c>
      <c r="F23" s="163" t="n">
        <v>-918.9455948691302</v>
      </c>
      <c r="G23" s="163" t="n">
        <v>88.12129822905041</v>
      </c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8" customHeight="1">
      <c r="A24" s="64" t="inlineStr">
        <is>
          <t>Δ Treasury EE. UU. 10 años (t)</t>
        </is>
      </c>
      <c r="B24" s="163" t="n">
        <v>701.2985246750264</v>
      </c>
      <c r="C24" s="163" t="n">
        <v>321.7207348840806</v>
      </c>
      <c r="D24" s="163" t="n">
        <v>2.179836263670452</v>
      </c>
      <c r="E24" s="163" t="n">
        <v>0.0303977400211672</v>
      </c>
      <c r="F24" s="163" t="n">
        <v>67.02918698656379</v>
      </c>
      <c r="G24" s="163" t="n">
        <v>1335.567862363489</v>
      </c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  <c r="T24" s="62" t="n"/>
      <c r="U24" s="62" t="n"/>
      <c r="V24" s="62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4" t="inlineStr">
        <is>
          <t>Δ pendiente Treasury 10Y−2Y (t)</t>
        </is>
      </c>
      <c r="B25" s="163" t="n">
        <v>-415.4571238779784</v>
      </c>
      <c r="C25" s="163" t="n">
        <v>255.4082679830748</v>
      </c>
      <c r="D25" s="163" t="n">
        <v>-1.626639290727697</v>
      </c>
      <c r="E25" s="163" t="n">
        <v>0.1053350294986459</v>
      </c>
      <c r="F25" s="163" t="n">
        <v>-918.9920702100874</v>
      </c>
      <c r="G25" s="163" t="n">
        <v>88.07782245413057</v>
      </c>
      <c r="H25" s="163" t="n"/>
      <c r="I25" s="163" t="n"/>
      <c r="J25" s="163" t="n"/>
      <c r="K25" s="163" t="n"/>
      <c r="L25" s="163" t="n"/>
      <c r="M25" s="163" t="n"/>
      <c r="N25" s="163" t="n"/>
      <c r="O25" s="163" t="n"/>
      <c r="P25" s="163" t="n"/>
      <c r="Q25" s="163" t="n"/>
      <c r="R25" s="163" t="n"/>
      <c r="S25" s="163" t="n"/>
      <c r="T25" s="163" t="n"/>
      <c r="U25" s="163" t="n"/>
      <c r="V25" s="17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64" t="inlineStr">
        <is>
          <t>Δ BEI EE. UU. 5 años (t)</t>
        </is>
      </c>
      <c r="B26" s="163" t="n">
        <v>-0.1021327054459418</v>
      </c>
      <c r="C26" s="163" t="n">
        <v>0.0614471582984475</v>
      </c>
      <c r="D26" s="163" t="n">
        <v>-1.662122517527751</v>
      </c>
      <c r="E26" s="163" t="n">
        <v>0.0980017652550315</v>
      </c>
      <c r="F26" s="163" t="n">
        <v>-0.2232751876388821</v>
      </c>
      <c r="G26" s="163" t="n">
        <v>0.0190097767469985</v>
      </c>
      <c r="H26" s="163" t="n"/>
      <c r="I26" s="163" t="n"/>
      <c r="J26" s="163" t="n"/>
      <c r="K26" s="163" t="n"/>
      <c r="L26" s="163" t="n"/>
      <c r="M26" s="163" t="n"/>
      <c r="N26" s="163" t="n"/>
      <c r="O26" s="163" t="n"/>
      <c r="P26" s="163" t="n"/>
      <c r="Q26" s="163" t="n"/>
      <c r="R26" s="163" t="n"/>
      <c r="S26" s="163" t="n"/>
      <c r="T26" s="163" t="n"/>
      <c r="U26" s="163" t="n"/>
      <c r="V26" s="17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64" t="inlineStr">
        <is>
          <t>Δ BEI EE. UU. 10 años (t)</t>
        </is>
      </c>
      <c r="B27" s="163" t="n">
        <v>-285.7188066167736</v>
      </c>
      <c r="C27" s="163" t="n">
        <v>281.5656252084818</v>
      </c>
      <c r="D27" s="163" t="n">
        <v>-1.014750314088293</v>
      </c>
      <c r="E27" s="163" t="n">
        <v>0.3114094695817517</v>
      </c>
      <c r="F27" s="163" t="n">
        <v>-840.8227313954141</v>
      </c>
      <c r="G27" s="163" t="n">
        <v>269.3851181618669</v>
      </c>
      <c r="H27" s="163" t="n"/>
      <c r="I27" s="163" t="n"/>
      <c r="J27" s="163" t="n"/>
      <c r="K27" s="163" t="n"/>
      <c r="L27" s="163" t="n"/>
      <c r="M27" s="163" t="n"/>
      <c r="N27" s="163" t="n"/>
      <c r="O27" s="163" t="n"/>
      <c r="P27" s="163" t="n"/>
      <c r="Q27" s="163" t="n"/>
      <c r="R27" s="163" t="n"/>
      <c r="S27" s="163" t="n"/>
      <c r="T27" s="163" t="n"/>
      <c r="U27" s="163" t="n"/>
      <c r="V27" s="17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Δ incertidumbre de política económica global (t)</t>
        </is>
      </c>
      <c r="B28" s="163" t="n">
        <v>-1.857848612916036e-05</v>
      </c>
      <c r="C28" s="163" t="n">
        <v>2.965611090605154e-05</v>
      </c>
      <c r="D28" s="163" t="n">
        <v>-0.6264640089867377</v>
      </c>
      <c r="E28" s="163" t="n">
        <v>0.531700872681981</v>
      </c>
      <c r="F28" s="163" t="n">
        <v>-7.704522384059303e-05</v>
      </c>
      <c r="G28" s="163" t="n">
        <v>3.988825158227229e-05</v>
      </c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7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Δ estrés financiero STLFSI (t)</t>
        </is>
      </c>
      <c r="B29" s="163" t="n">
        <v>0.0034200079849157</v>
      </c>
      <c r="C29" s="163" t="n">
        <v>0.0059199719080515</v>
      </c>
      <c r="D29" s="163" t="n">
        <v>0.5777067928758779</v>
      </c>
      <c r="E29" s="163" t="n">
        <v>0.5640899584077995</v>
      </c>
      <c r="F29" s="163" t="n">
        <v>-0.008251159751932399</v>
      </c>
      <c r="G29" s="163" t="n">
        <v>0.015091175721764</v>
      </c>
      <c r="H29" s="163" t="n"/>
      <c r="I29" s="163" t="n"/>
      <c r="J29" s="163" t="n"/>
      <c r="K29" s="163" t="n"/>
      <c r="L29" s="163" t="n"/>
      <c r="M29" s="163" t="n"/>
      <c r="N29" s="163" t="n"/>
      <c r="O29" s="163" t="n"/>
      <c r="P29" s="163" t="n"/>
      <c r="Q29" s="163" t="n"/>
      <c r="R29" s="163" t="n"/>
      <c r="S29" s="163" t="n"/>
      <c r="T29" s="163" t="n"/>
      <c r="U29" s="163" t="n"/>
      <c r="V29" s="17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Δ NFCI Chicago (t)</t>
        </is>
      </c>
      <c r="B30" s="163" t="n">
        <v>0.024820898576718</v>
      </c>
      <c r="C30" s="163" t="n">
        <v>0.0482662372440374</v>
      </c>
      <c r="D30" s="163" t="n">
        <v>0.5142497114747497</v>
      </c>
      <c r="E30" s="163" t="n">
        <v>0.6076259846358941</v>
      </c>
      <c r="F30" s="163" t="n">
        <v>-0.070335524401491</v>
      </c>
      <c r="G30" s="163" t="n">
        <v>0.1199773215549271</v>
      </c>
      <c r="H30" s="163" t="n"/>
      <c r="I30" s="163" t="n"/>
      <c r="J30" s="163" t="n"/>
      <c r="K30" s="163" t="n"/>
      <c r="L30" s="163" t="n"/>
      <c r="M30" s="163" t="n"/>
      <c r="N30" s="163" t="n"/>
      <c r="O30" s="163" t="n"/>
      <c r="P30" s="163" t="n"/>
      <c r="Q30" s="163" t="n"/>
      <c r="R30" s="163" t="n"/>
      <c r="S30" s="163" t="n"/>
      <c r="T30" s="163" t="n"/>
      <c r="U30" s="163" t="n"/>
      <c r="V30" s="17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Δ ANFCI Chicago (t)</t>
        </is>
      </c>
      <c r="B31" s="163" t="n">
        <v>-0.0476358751029673</v>
      </c>
      <c r="C31" s="163" t="n">
        <v>0.0397974918519811</v>
      </c>
      <c r="D31" s="163" t="n">
        <v>-1.19695671476332</v>
      </c>
      <c r="E31" s="163" t="n">
        <v>0.2326924298840635</v>
      </c>
      <c r="F31" s="163" t="n">
        <v>-0.1260962479095666</v>
      </c>
      <c r="G31" s="163" t="n">
        <v>0.0308244977036319</v>
      </c>
      <c r="H31" s="163" t="n"/>
      <c r="I31" s="163" t="n"/>
      <c r="J31" s="163" t="n"/>
      <c r="K31" s="163" t="n"/>
      <c r="L31" s="163" t="n"/>
      <c r="M31" s="163" t="n"/>
      <c r="N31" s="163" t="n"/>
      <c r="O31" s="163" t="n"/>
      <c r="P31" s="163" t="n"/>
      <c r="Q31" s="163" t="n"/>
      <c r="R31" s="163" t="n"/>
      <c r="S31" s="163" t="n"/>
      <c r="T31" s="163" t="n"/>
      <c r="U31" s="163" t="n"/>
      <c r="V31" s="17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Δ ln Brent global (t)</t>
        </is>
      </c>
      <c r="B32" s="163" t="n">
        <v>-0.0144651219724095</v>
      </c>
      <c r="C32" s="163" t="n">
        <v>0.0305139245832685</v>
      </c>
      <c r="D32" s="163" t="n">
        <v>-0.4740498696893662</v>
      </c>
      <c r="E32" s="163" t="n">
        <v>0.6359639830285582</v>
      </c>
      <c r="F32" s="163" t="n">
        <v>-0.07462303110648789</v>
      </c>
      <c r="G32" s="163" t="n">
        <v>0.0456927871616687</v>
      </c>
      <c r="H32" s="163" t="n"/>
      <c r="I32" s="163" t="n"/>
      <c r="J32" s="163" t="n"/>
      <c r="K32" s="163" t="n"/>
      <c r="L32" s="163" t="n"/>
      <c r="M32" s="163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17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Δ ln commodities globales (t)</t>
        </is>
      </c>
      <c r="B33" s="163" t="n">
        <v>-0.1671949372565614</v>
      </c>
      <c r="C33" s="163" t="n">
        <v>0.0628062053766992</v>
      </c>
      <c r="D33" s="163" t="n">
        <v>-2.662076720823352</v>
      </c>
      <c r="E33" s="163" t="n">
        <v>0.0083759163432553</v>
      </c>
      <c r="F33" s="163" t="n">
        <v>-0.2910167677063704</v>
      </c>
      <c r="G33" s="163" t="n">
        <v>-0.0433731068067524</v>
      </c>
      <c r="H33" s="163" t="n"/>
      <c r="I33" s="163" t="n"/>
      <c r="J33" s="163" t="n"/>
      <c r="K33" s="163" t="n"/>
      <c r="L33" s="163" t="n"/>
      <c r="M33" s="163" t="n"/>
      <c r="N33" s="163" t="n"/>
      <c r="O33" s="163" t="n"/>
      <c r="P33" s="163" t="n"/>
      <c r="Q33" s="163" t="n"/>
      <c r="R33" s="163" t="n"/>
      <c r="S33" s="163" t="n"/>
      <c r="T33" s="163" t="n"/>
      <c r="U33" s="163" t="n"/>
      <c r="V33" s="17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Δ desempleo EE. UU. (t)</t>
        </is>
      </c>
      <c r="B34" s="163" t="n">
        <v>-0.0113156315756076</v>
      </c>
      <c r="C34" s="163" t="n">
        <v>0.0054066386085002</v>
      </c>
      <c r="D34" s="163" t="n">
        <v>-2.092914358621516</v>
      </c>
      <c r="E34" s="163" t="n">
        <v>0.0375751819241173</v>
      </c>
      <c r="F34" s="163" t="n">
        <v>-0.0219747676445648</v>
      </c>
      <c r="G34" s="163" t="n">
        <v>-0.0006564955066504</v>
      </c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7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Δ ln empleo manufacturero EE. UU. (t)</t>
        </is>
      </c>
      <c r="B35" s="163" t="n">
        <v>0.0891665542684966</v>
      </c>
      <c r="C35" s="163" t="n">
        <v>0.5727755486646101</v>
      </c>
      <c r="D35" s="163" t="n">
        <v>0.1556745124270454</v>
      </c>
      <c r="E35" s="163" t="n">
        <v>0.8764412919170566</v>
      </c>
      <c r="F35" s="163" t="n">
        <v>-1.040054936620323</v>
      </c>
      <c r="G35" s="163" t="n">
        <v>1.218388045157316</v>
      </c>
      <c r="H35" s="163" t="n"/>
      <c r="I35" s="163" t="n"/>
      <c r="J35" s="163" t="n"/>
      <c r="K35" s="163" t="n"/>
      <c r="L35" s="163" t="n"/>
      <c r="M35" s="163" t="n"/>
      <c r="N35" s="163" t="n"/>
      <c r="O35" s="163" t="n"/>
      <c r="P35" s="163" t="n"/>
      <c r="Q35" s="163" t="n"/>
      <c r="R35" s="163" t="n"/>
      <c r="S35" s="163" t="n"/>
      <c r="T35" s="163" t="n"/>
      <c r="U35" s="163" t="n"/>
      <c r="V35" s="17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Δ ln producción industrial EE. UU. (t)</t>
        </is>
      </c>
      <c r="B36" s="163" t="n">
        <v>-0.5794178016293209</v>
      </c>
      <c r="C36" s="163" t="n">
        <v>0.3524150940432595</v>
      </c>
      <c r="D36" s="163" t="n">
        <v>-1.644134463656646</v>
      </c>
      <c r="E36" s="163" t="n">
        <v>0.1016662891426049</v>
      </c>
      <c r="F36" s="163" t="n">
        <v>-1.27420077348463</v>
      </c>
      <c r="G36" s="163" t="n">
        <v>0.1153651702259879</v>
      </c>
      <c r="H36" s="163" t="n"/>
      <c r="I36" s="163" t="n"/>
      <c r="J36" s="163" t="n"/>
      <c r="K36" s="163" t="n"/>
      <c r="L36" s="163" t="n"/>
      <c r="M36" s="163" t="n"/>
      <c r="N36" s="163" t="n"/>
      <c r="O36" s="163" t="n"/>
      <c r="P36" s="163" t="n"/>
      <c r="Q36" s="163" t="n"/>
      <c r="R36" s="163" t="n"/>
      <c r="S36" s="163" t="n"/>
      <c r="T36" s="163" t="n"/>
      <c r="U36" s="163" t="n"/>
      <c r="V36" s="17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Δ ln fletes/logística EE. UU. (t)</t>
        </is>
      </c>
      <c r="B37" s="163" t="n">
        <v>0.2488352611323952</v>
      </c>
      <c r="C37" s="163" t="n">
        <v>0.1307820473305825</v>
      </c>
      <c r="D37" s="163" t="n">
        <v>1.90267140032917</v>
      </c>
      <c r="E37" s="163" t="n">
        <v>0.058471368030339</v>
      </c>
      <c r="F37" s="163" t="n">
        <v>-0.009000288608587001</v>
      </c>
      <c r="G37" s="163" t="n">
        <v>0.5066708108733775</v>
      </c>
      <c r="H37" s="163" t="n"/>
      <c r="I37" s="163" t="n"/>
      <c r="J37" s="163" t="n"/>
      <c r="K37" s="163" t="n"/>
      <c r="L37" s="163" t="n"/>
      <c r="M37" s="163" t="n"/>
      <c r="N37" s="163" t="n"/>
      <c r="O37" s="163" t="n"/>
      <c r="P37" s="163" t="n"/>
      <c r="Q37" s="163" t="n"/>
      <c r="R37" s="163" t="n"/>
      <c r="S37" s="163" t="n"/>
      <c r="T37" s="163" t="n"/>
      <c r="U37" s="163" t="n"/>
      <c r="V37" s="17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Dummy pandemia 2020</t>
        </is>
      </c>
      <c r="B38" s="163" t="n">
        <v>-0.0026698014677354</v>
      </c>
      <c r="C38" s="163" t="n">
        <v>0.0105211435509411</v>
      </c>
      <c r="D38" s="163" t="n">
        <v>-0.253755825572464</v>
      </c>
      <c r="E38" s="163" t="n">
        <v>0.7999360677780623</v>
      </c>
      <c r="F38" s="163" t="n">
        <v>-0.0234121348898729</v>
      </c>
      <c r="G38" s="163" t="n">
        <v>0.0180725319544019</v>
      </c>
      <c r="H38" s="163" t="n"/>
      <c r="I38" s="163" t="n"/>
      <c r="J38" s="163" t="n"/>
      <c r="K38" s="163" t="n"/>
      <c r="L38" s="163" t="n"/>
      <c r="M38" s="163" t="n"/>
      <c r="N38" s="163" t="n"/>
      <c r="O38" s="163" t="n"/>
      <c r="P38" s="163" t="n"/>
      <c r="Q38" s="163" t="n"/>
      <c r="R38" s="163" t="n"/>
      <c r="S38" s="163" t="n"/>
      <c r="T38" s="163" t="n"/>
      <c r="U38" s="163" t="n"/>
      <c r="V38" s="17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Mes</t>
        </is>
      </c>
      <c r="B39" s="163" t="inlineStr">
        <is>
          <t>Δln TRM observado</t>
        </is>
      </c>
      <c r="C39" s="163" t="inlineStr">
        <is>
          <t>Δln TRM ajustado</t>
        </is>
      </c>
      <c r="D39" s="163" t="inlineStr">
        <is>
          <t>Residuo</t>
        </is>
      </c>
      <c r="E39" s="170" t="inlineStr">
        <is>
          <t>TRM observada</t>
        </is>
      </c>
      <c r="F39" s="170" t="inlineStr">
        <is>
          <t>TRM ajustada 1 paso</t>
        </is>
      </c>
      <c r="G39" s="163" t="inlineStr">
        <is>
          <t>Intercepto</t>
        </is>
      </c>
      <c r="H39" s="163" t="inlineStr">
        <is>
          <t>Δ ln términos de intercambio (t)</t>
        </is>
      </c>
      <c r="I39" s="163" t="inlineStr">
        <is>
          <t>Δ ln remesas 12m (t−1)</t>
        </is>
      </c>
      <c r="J39" s="163" t="inlineStr">
        <is>
          <t>Δ diferencial tasas (t−1)</t>
        </is>
      </c>
      <c r="K39" s="163" t="inlineStr">
        <is>
          <t>Δ déficit fiscal 12m/PIB (t−1)</t>
        </is>
      </c>
      <c r="L39" s="163" t="inlineStr">
        <is>
          <t>Δ ln índice dólar amplio (t)</t>
        </is>
      </c>
      <c r="M39" s="163" t="inlineStr">
        <is>
          <t>Δ ln VIX (t)</t>
        </is>
      </c>
      <c r="N39" s="163" t="inlineStr">
        <is>
          <t>Δ EMBIG Colombia (pp, t)</t>
        </is>
      </c>
      <c r="O39" s="163" t="inlineStr">
        <is>
          <t>Δ ln reservas netas sin FLAR (t−1)</t>
        </is>
      </c>
      <c r="P39" s="163" t="inlineStr">
        <is>
          <t>Δ asinh balanza comercial (t−1)</t>
        </is>
      </c>
      <c r="Q39" s="163" t="inlineStr">
        <is>
          <t>Δ asinh flujos de capital (t−1)</t>
        </is>
      </c>
      <c r="R39" s="163" t="inlineStr">
        <is>
          <t>Δ diferencial BEI 5 años (t−1)</t>
        </is>
      </c>
      <c r="S39" s="163" t="inlineStr">
        <is>
          <t>Factor regional BRL, CLP, MXN y PEN (t)</t>
        </is>
      </c>
      <c r="T39" s="163" t="inlineStr">
        <is>
          <t>Δ rendimiento real TIPS 10 años (t)</t>
        </is>
      </c>
      <c r="U39" s="163" t="inlineStr">
        <is>
          <t>Δ rendimiento real EE. UU. 5 años (t)</t>
        </is>
      </c>
      <c r="V39" s="171" t="inlineStr">
        <is>
          <t>Δ Treasury EE. UU. 2 años (t)</t>
        </is>
      </c>
      <c r="W39" s="171" t="inlineStr">
        <is>
          <t>Δ Treasury EE. UU. 10 años (t)</t>
        </is>
      </c>
      <c r="X39" s="171" t="inlineStr">
        <is>
          <t>Δ pendiente Treasury 10Y−2Y (t)</t>
        </is>
      </c>
      <c r="Y39" s="171" t="inlineStr">
        <is>
          <t>Δ BEI EE. UU. 5 años (t)</t>
        </is>
      </c>
      <c r="Z39" s="171" t="inlineStr">
        <is>
          <t>Δ BEI EE. UU. 10 años (t)</t>
        </is>
      </c>
      <c r="AA39" s="171" t="inlineStr">
        <is>
          <t>Δ incertidumbre de política económica global (t)</t>
        </is>
      </c>
      <c r="AB39" s="171" t="inlineStr">
        <is>
          <t>Δ estrés financiero STLFSI (t)</t>
        </is>
      </c>
      <c r="AC39" s="171" t="inlineStr">
        <is>
          <t>Δ NFCI Chicago (t)</t>
        </is>
      </c>
      <c r="AD39" s="171" t="inlineStr">
        <is>
          <t>Δ ANFCI Chicago (t)</t>
        </is>
      </c>
      <c r="AE39" s="171" t="inlineStr">
        <is>
          <t>Δ ln Brent global (t)</t>
        </is>
      </c>
      <c r="AF39" s="171" t="inlineStr">
        <is>
          <t>Δ ln commodities globales (t)</t>
        </is>
      </c>
      <c r="AG39" s="171" t="inlineStr">
        <is>
          <t>Δ desempleo EE. UU. (t)</t>
        </is>
      </c>
      <c r="AH39" s="171" t="inlineStr">
        <is>
          <t>Δ ln empleo manufacturero EE. UU. (t)</t>
        </is>
      </c>
      <c r="AI39" s="171" t="inlineStr">
        <is>
          <t>Δ ln producción industrial EE. UU. (t)</t>
        </is>
      </c>
      <c r="AJ39" s="171" t="inlineStr">
        <is>
          <t>Δ ln fletes/logística EE. UU. (t)</t>
        </is>
      </c>
      <c r="AK39" s="171" t="inlineStr">
        <is>
          <t>Dummy pandemia 2020</t>
        </is>
      </c>
      <c r="AL39" s="171" t="inlineStr">
        <is>
          <t>Ajuste total de contribuciones</t>
        </is>
      </c>
      <c r="AM39" s="171" t="inlineStr">
        <is>
          <t>Diferencia de control</t>
        </is>
      </c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2006-05</t>
        </is>
      </c>
      <c r="B40" s="163" t="n">
        <v>0.035138419257481</v>
      </c>
      <c r="C40" s="163" t="n">
        <v>0.0115170104333351</v>
      </c>
      <c r="D40" s="163" t="n">
        <v>0.0236214088241458</v>
      </c>
      <c r="E40" s="170" t="n">
        <v>2418.64935483871</v>
      </c>
      <c r="F40" s="170" t="n">
        <v>2362.186935907597</v>
      </c>
      <c r="G40" s="163" t="n">
        <v>0.0024858950183927</v>
      </c>
      <c r="H40" s="163" t="n">
        <v>-0.0001125199696628</v>
      </c>
      <c r="I40" s="163" t="n">
        <v>0.0010509050765036</v>
      </c>
      <c r="J40" s="163" t="n">
        <v>-0.0002177265143718</v>
      </c>
      <c r="K40" s="163" t="n">
        <v>1.934208661395341e-05</v>
      </c>
      <c r="L40" s="163" t="n">
        <v>-0.0036604345854458</v>
      </c>
      <c r="M40" s="163" t="n">
        <v>0.0029114847563955</v>
      </c>
      <c r="N40" s="163" t="n">
        <v>0.003681311825287</v>
      </c>
      <c r="O40" s="163" t="n">
        <v>0.000777438509475</v>
      </c>
      <c r="P40" s="163" t="n">
        <v>0.0022370239738109</v>
      </c>
      <c r="Q40" s="163" t="n">
        <v>-7.244654584268261e-05</v>
      </c>
      <c r="R40" s="163" t="n">
        <v>-0.0003057725762875</v>
      </c>
      <c r="S40" s="163" t="n">
        <v>-0.0028364374745431</v>
      </c>
      <c r="T40" s="163" t="n">
        <v>-12.73317592241219</v>
      </c>
      <c r="U40" s="163" t="n">
        <v>-0.0040232563257185</v>
      </c>
      <c r="V40" s="171" t="n">
        <v>-25.75056053069435</v>
      </c>
      <c r="W40" s="171" t="n">
        <v>79.99879363035365</v>
      </c>
      <c r="X40" s="171" t="n">
        <v>-13.07973338411476</v>
      </c>
      <c r="Y40" s="171" t="n">
        <v>-0.005258165067666</v>
      </c>
      <c r="Z40" s="171" t="n">
        <v>-28.41971484813272</v>
      </c>
      <c r="AA40" s="171" t="n">
        <v>0.0001058902795574</v>
      </c>
      <c r="AB40" s="171" t="n">
        <v>0.0002132131971058</v>
      </c>
      <c r="AC40" s="171" t="n">
        <v>0.0006796601602463</v>
      </c>
      <c r="AD40" s="171" t="n">
        <v>-0.001714844936841</v>
      </c>
      <c r="AE40" s="171" t="n">
        <v>0.0001688569592394</v>
      </c>
      <c r="AF40" s="171" t="n">
        <v>-0.0054907747980489</v>
      </c>
      <c r="AG40" s="171" t="n">
        <v>0.0009454329670333</v>
      </c>
      <c r="AH40" s="171" t="n">
        <v>-9.137682256917532e-05</v>
      </c>
      <c r="AI40" s="171" t="n">
        <v>-0.0001378507780271</v>
      </c>
      <c r="AJ40" s="171" t="n">
        <v>0.004553217019062</v>
      </c>
      <c r="AK40" s="171" t="n">
        <v>0</v>
      </c>
      <c r="AL40" s="171" t="n">
        <v>0.0115170104333405</v>
      </c>
      <c r="AM40" s="171" t="n">
        <v>-5.4001941807158e-15</v>
      </c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Mes</t>
        </is>
      </c>
      <c r="B41" s="163" t="inlineStr">
        <is>
          <t>Δln TRM observado</t>
        </is>
      </c>
      <c r="C41" s="163" t="inlineStr">
        <is>
          <t>Δln TRM ajustado</t>
        </is>
      </c>
      <c r="D41" s="163" t="inlineStr">
        <is>
          <t>Residuo</t>
        </is>
      </c>
      <c r="E41" s="170" t="inlineStr">
        <is>
          <t>TRM observada</t>
        </is>
      </c>
      <c r="F41" s="170" t="inlineStr">
        <is>
          <t>TRM ajustada 1 paso</t>
        </is>
      </c>
      <c r="G41" s="163" t="inlineStr">
        <is>
          <t>Intercepto</t>
        </is>
      </c>
      <c r="H41" s="163" t="inlineStr">
        <is>
          <t>Δ ln términos de intercambio (t)</t>
        </is>
      </c>
      <c r="I41" s="163" t="inlineStr">
        <is>
          <t>Δ ln remesas 12m (t−1)</t>
        </is>
      </c>
      <c r="J41" s="163" t="inlineStr">
        <is>
          <t>Δ diferencial tasas (t−1)</t>
        </is>
      </c>
      <c r="K41" s="163" t="inlineStr">
        <is>
          <t>Δ déficit fiscal 12m/PIB (t−1)</t>
        </is>
      </c>
      <c r="L41" s="163" t="inlineStr">
        <is>
          <t>Δ ln índice dólar amplio (t)</t>
        </is>
      </c>
      <c r="M41" s="163" t="inlineStr">
        <is>
          <t>Δ ln VIX (t)</t>
        </is>
      </c>
      <c r="N41" s="163" t="inlineStr">
        <is>
          <t>Δ EMBIG Colombia (pp, t)</t>
        </is>
      </c>
      <c r="O41" s="163" t="inlineStr">
        <is>
          <t>Δ ln reservas netas sin FLAR (t−1)</t>
        </is>
      </c>
      <c r="P41" s="163" t="inlineStr">
        <is>
          <t>Δ asinh balanza comercial (t−1)</t>
        </is>
      </c>
      <c r="Q41" s="163" t="inlineStr">
        <is>
          <t>Δ asinh flujos de capital (t−1)</t>
        </is>
      </c>
      <c r="R41" s="163" t="inlineStr">
        <is>
          <t>Δ diferencial BEI 5 años (t−1)</t>
        </is>
      </c>
      <c r="S41" s="163" t="inlineStr">
        <is>
          <t>Δ ln ISE total DANE (t)</t>
        </is>
      </c>
      <c r="T41" s="163" t="inlineStr">
        <is>
          <t>Δ ln IPC Colombia (t)</t>
        </is>
      </c>
      <c r="U41" s="163" t="inlineStr">
        <is>
          <t>Factor regional BRL, CLP, MXN y PEN (t)</t>
        </is>
      </c>
      <c r="V41" s="171" t="inlineStr">
        <is>
          <t>Δ rendimiento real TIPS 10 años (t)</t>
        </is>
      </c>
      <c r="W41" s="171" t="inlineStr">
        <is>
          <t>Δ rendimiento real EE. UU. 5 años (t)</t>
        </is>
      </c>
      <c r="X41" s="171" t="inlineStr">
        <is>
          <t>Δ Treasury EE. UU. 2 años (t)</t>
        </is>
      </c>
      <c r="Y41" s="171" t="inlineStr">
        <is>
          <t>Δ Treasury EE. UU. 10 años (t)</t>
        </is>
      </c>
      <c r="Z41" s="171" t="inlineStr">
        <is>
          <t>Δ pendiente Treasury 10Y−2Y (t)</t>
        </is>
      </c>
      <c r="AA41" s="171" t="inlineStr">
        <is>
          <t>Δ BEI EE. UU. 5 años (t)</t>
        </is>
      </c>
      <c r="AB41" s="171" t="inlineStr">
        <is>
          <t>Δ BEI EE. UU. 10 años (t)</t>
        </is>
      </c>
      <c r="AC41" s="171" t="inlineStr">
        <is>
          <t>Δ incertidumbre de política económica global (t)</t>
        </is>
      </c>
      <c r="AD41" s="171" t="inlineStr">
        <is>
          <t>Δ estrés financiero STLFSI (t)</t>
        </is>
      </c>
      <c r="AE41" s="171" t="inlineStr">
        <is>
          <t>Δ NFCI Chicago (t)</t>
        </is>
      </c>
      <c r="AF41" s="171" t="inlineStr">
        <is>
          <t>Δ ANFCI Chicago (t)</t>
        </is>
      </c>
      <c r="AG41" s="171" t="inlineStr">
        <is>
          <t>Δ ln Brent global (t)</t>
        </is>
      </c>
      <c r="AH41" s="171" t="inlineStr">
        <is>
          <t>Δ ln commodities globales (t)</t>
        </is>
      </c>
      <c r="AI41" s="171" t="inlineStr">
        <is>
          <t>Δ desempleo EE. UU. (t)</t>
        </is>
      </c>
      <c r="AJ41" s="171" t="inlineStr">
        <is>
          <t>Δ ln empleo manufacturero EE. UU. (t)</t>
        </is>
      </c>
      <c r="AK41" s="171" t="inlineStr">
        <is>
          <t>Δ ln producción industrial EE. UU. (t)</t>
        </is>
      </c>
      <c r="AL41" s="171" t="inlineStr">
        <is>
          <t>Δ ln fletes/logística EE. UU. (t)</t>
        </is>
      </c>
      <c r="AM41" s="171" t="inlineStr">
        <is>
          <t>Dummy pandemia 2020</t>
        </is>
      </c>
      <c r="AN41" s="1" t="inlineStr">
        <is>
          <t>Ajuste total de contribuciones</t>
        </is>
      </c>
      <c r="AO41" s="1" t="inlineStr">
        <is>
          <t>Diferencia de control</t>
        </is>
      </c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2006-05</t>
        </is>
      </c>
      <c r="B42" s="163" t="n">
        <v>0.035138419257481</v>
      </c>
      <c r="C42" s="163" t="n">
        <v>0.009712862996579599</v>
      </c>
      <c r="D42" s="163" t="n">
        <v>0.0254255562609013</v>
      </c>
      <c r="E42" s="170" t="n">
        <v>2418.64935483871</v>
      </c>
      <c r="F42" s="170" t="n">
        <v>2357.92904448892</v>
      </c>
      <c r="G42" s="163" t="n">
        <v>0.0056651267225528</v>
      </c>
      <c r="H42" s="163" t="n">
        <v>-9.915237228681012e-05</v>
      </c>
      <c r="I42" s="163" t="n">
        <v>0.0012322178742251</v>
      </c>
      <c r="J42" s="163" t="n">
        <v>-0.0006897211812524</v>
      </c>
      <c r="K42" s="163" t="n">
        <v>-8.930603119381901e-05</v>
      </c>
      <c r="L42" s="163" t="n">
        <v>-0.0045815224288483</v>
      </c>
      <c r="M42" s="163" t="n">
        <v>0.0032935827166195</v>
      </c>
      <c r="N42" s="163" t="n">
        <v>0.0041290732564832</v>
      </c>
      <c r="O42" s="163" t="n">
        <v>0.0007363253560384</v>
      </c>
      <c r="P42" s="163" t="n">
        <v>0.0022474118660679</v>
      </c>
      <c r="Q42" s="163" t="n">
        <v>-6.527928743640477e-05</v>
      </c>
      <c r="R42" s="163" t="n">
        <v>-0.0002183554226933</v>
      </c>
      <c r="S42" s="163" t="n">
        <v>-0.0027166957482767</v>
      </c>
      <c r="T42" s="163" t="n">
        <v>-0.0023494905040282</v>
      </c>
      <c r="U42" s="163" t="n">
        <v>-0.0026034496189478</v>
      </c>
      <c r="V42" s="171" t="n">
        <v>-10.56268794504117</v>
      </c>
      <c r="W42" s="171" t="n">
        <v>-0.0042612155048109</v>
      </c>
      <c r="X42" s="171" t="n">
        <v>-32.91310451139672</v>
      </c>
      <c r="Y42" s="171" t="n">
        <v>83.78413474292586</v>
      </c>
      <c r="Z42" s="171" t="n">
        <v>-16.71757920772597</v>
      </c>
      <c r="AA42" s="171" t="n">
        <v>-0.00530885802908</v>
      </c>
      <c r="AB42" s="171" t="n">
        <v>-23.57465873394989</v>
      </c>
      <c r="AC42" s="171" t="n">
        <v>0.0001402675702751</v>
      </c>
      <c r="AD42" s="171" t="n">
        <v>0.0001904260446001</v>
      </c>
      <c r="AE42" s="171" t="n">
        <v>0.0006019067904854</v>
      </c>
      <c r="AF42" s="171" t="n">
        <v>-0.0017387094412583</v>
      </c>
      <c r="AG42" s="171" t="n">
        <v>9.978336607860634e-05</v>
      </c>
      <c r="AH42" s="171" t="n">
        <v>-0.0059771354330189</v>
      </c>
      <c r="AI42" s="171" t="n">
        <v>0.001168565272813</v>
      </c>
      <c r="AJ42" s="171" t="n">
        <v>-0.0001443078630553</v>
      </c>
      <c r="AK42" s="171" t="n">
        <v>-0.0001472384976379</v>
      </c>
      <c r="AL42" s="171" t="n">
        <v>0.0050942687120678</v>
      </c>
      <c r="AM42" s="171" t="n">
        <v>-0</v>
      </c>
      <c r="AN42" s="1" t="n">
        <v>0.009712862996593401</v>
      </c>
      <c r="AO42" s="1" t="n">
        <v>-1.380145997487148e-14</v>
      </c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64" t="inlineStr">
        <is>
          <t>2006-06</t>
        </is>
      </c>
      <c r="B43" s="163" t="n">
        <v>0.0498284485215041</v>
      </c>
      <c r="C43" s="163" t="n">
        <v>0.0311603866979548</v>
      </c>
      <c r="D43" s="163" t="n">
        <v>0.0186680618235493</v>
      </c>
      <c r="E43" s="170" t="n">
        <v>2542.22</v>
      </c>
      <c r="F43" s="170" t="n">
        <v>2495.201913604834</v>
      </c>
      <c r="G43" s="163" t="n">
        <v>0.0056651267225528</v>
      </c>
      <c r="H43" s="163" t="n">
        <v>-2.62610114220702e-05</v>
      </c>
      <c r="I43" s="163" t="n">
        <v>0.0054435326623833</v>
      </c>
      <c r="J43" s="163" t="n">
        <v>0.0003170492526725</v>
      </c>
      <c r="K43" s="163" t="n">
        <v>6.006665991327706e-05</v>
      </c>
      <c r="L43" s="163" t="n">
        <v>0.0024373069674794</v>
      </c>
      <c r="M43" s="163" t="n">
        <v>0.0026064563657334</v>
      </c>
      <c r="N43" s="163" t="n">
        <v>0.0118685112915952</v>
      </c>
      <c r="O43" s="163" t="n">
        <v>0.008187598253972</v>
      </c>
      <c r="P43" s="163" t="n">
        <v>-0.0032799438391551</v>
      </c>
      <c r="Q43" s="163" t="n">
        <v>-0.0003008224529064</v>
      </c>
      <c r="R43" s="163" t="n">
        <v>-0.000694503485801</v>
      </c>
      <c r="S43" s="163" t="n">
        <v>0.0012320108369396</v>
      </c>
      <c r="T43" s="163" t="n">
        <v>-0.0022248079654597</v>
      </c>
      <c r="U43" s="163" t="n">
        <v>0.0113688968687645</v>
      </c>
      <c r="V43" s="171" t="n">
        <v>-23.90322564186256</v>
      </c>
      <c r="W43" s="171" t="n">
        <v>-0.0144689943515785</v>
      </c>
      <c r="X43" s="171" t="n">
        <v>-63.82392246789066</v>
      </c>
      <c r="Y43" s="171" t="n">
        <v>-2.552726629817625</v>
      </c>
      <c r="Z43" s="171" t="n">
        <v>65.33998051509936</v>
      </c>
      <c r="AA43" s="171" t="n">
        <v>0.0080317159562688</v>
      </c>
      <c r="AB43" s="171" t="n">
        <v>24.93468025344576</v>
      </c>
      <c r="AC43" s="171" t="n">
        <v>-0.000185364987505</v>
      </c>
      <c r="AD43" s="171" t="n">
        <v>0.0005153952033268</v>
      </c>
      <c r="AE43" s="171" t="n">
        <v>0.0013725956912925</v>
      </c>
      <c r="AF43" s="171" t="n">
        <v>-0.0029296063188324</v>
      </c>
      <c r="AG43" s="171" t="n">
        <v>0.0002553813191367</v>
      </c>
      <c r="AH43" s="171" t="n">
        <v>0.003834253795014</v>
      </c>
      <c r="AI43" s="171" t="n">
        <v>0.0001563820283748</v>
      </c>
      <c r="AJ43" s="171" t="n">
        <v>6.277124811758129e-05</v>
      </c>
      <c r="AK43" s="171" t="n">
        <v>-0.0018317767782314</v>
      </c>
      <c r="AL43" s="171" t="n">
        <v>-0.0010986122089698</v>
      </c>
      <c r="AM43" s="171" t="n">
        <v>-0</v>
      </c>
      <c r="AN43" s="1" t="n">
        <v>0.0311603866979481</v>
      </c>
      <c r="AO43" s="1" t="n">
        <v>6.699502064222429e-15</v>
      </c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4" t="inlineStr">
        <is>
          <t>2006-07</t>
        </is>
      </c>
      <c r="B44" s="163" t="n">
        <v>-0.0112825853891891</v>
      </c>
      <c r="C44" s="163" t="n">
        <v>-0.0130877484958589</v>
      </c>
      <c r="D44" s="163" t="n">
        <v>0.0018051631066698</v>
      </c>
      <c r="E44" s="170" t="n">
        <v>2513.698387096775</v>
      </c>
      <c r="F44" s="170" t="n">
        <v>2509.164844629983</v>
      </c>
      <c r="G44" s="163" t="n">
        <v>0.0056651267225528</v>
      </c>
      <c r="H44" s="163" t="n">
        <v>0.000270220781696</v>
      </c>
      <c r="I44" s="163" t="n">
        <v>0.0038868080856181</v>
      </c>
      <c r="J44" s="163" t="n">
        <v>0.0001427648681624</v>
      </c>
      <c r="K44" s="163" t="n">
        <v>-1.654954231094851e-05</v>
      </c>
      <c r="L44" s="163" t="n">
        <v>-0.0005217655124991</v>
      </c>
      <c r="M44" s="163" t="n">
        <v>-0.0016370787534231</v>
      </c>
      <c r="N44" s="163" t="n">
        <v>-0.0008426904273817</v>
      </c>
      <c r="O44" s="163" t="n">
        <v>0.0021974239829684</v>
      </c>
      <c r="P44" s="163" t="n">
        <v>-0.0020089916667173</v>
      </c>
      <c r="Q44" s="163" t="n">
        <v>0.0002601207292198</v>
      </c>
      <c r="R44" s="163" t="n">
        <v>7.364104419486368e-05</v>
      </c>
      <c r="S44" s="163" t="n">
        <v>-0.0024626201205405</v>
      </c>
      <c r="T44" s="163" t="n">
        <v>-0.0029167540601581</v>
      </c>
      <c r="U44" s="163" t="n">
        <v>-0.0120893791170629</v>
      </c>
      <c r="V44" s="171" t="n">
        <v>6.44449710932565</v>
      </c>
      <c r="W44" s="171" t="n">
        <v>-0.000359332563192</v>
      </c>
      <c r="X44" s="171" t="n">
        <v>1.379168332422344</v>
      </c>
      <c r="Y44" s="171" t="n">
        <v>-13.22649017537044</v>
      </c>
      <c r="Z44" s="171" t="n">
        <v>6.458488719245113</v>
      </c>
      <c r="AA44" s="171" t="n">
        <v>0.0031610072335519</v>
      </c>
      <c r="AB44" s="171" t="n">
        <v>-1.051445208349636</v>
      </c>
      <c r="AC44" s="171" t="n">
        <v>6.627503356855356e-05</v>
      </c>
      <c r="AD44" s="171" t="n">
        <v>-0.0001669818898635</v>
      </c>
      <c r="AE44" s="171" t="n">
        <v>5.460597686877929e-05</v>
      </c>
      <c r="AF44" s="171" t="n">
        <v>0.0008812636894048</v>
      </c>
      <c r="AG44" s="171" t="n">
        <v>-0.0010415546926779</v>
      </c>
      <c r="AH44" s="171" t="n">
        <v>-0.0061695617560399</v>
      </c>
      <c r="AI44" s="171" t="n">
        <v>-0.0012159777691147</v>
      </c>
      <c r="AJ44" s="171" t="n">
        <v>-0.000157011053545</v>
      </c>
      <c r="AK44" s="171" t="n">
        <v>0.0002970944530282</v>
      </c>
      <c r="AL44" s="171" t="n">
        <v>-0.0026566294451924</v>
      </c>
      <c r="AM44" s="171" t="n">
        <v>-0</v>
      </c>
      <c r="AN44" s="1" t="n">
        <v>-0.0130877484958601</v>
      </c>
      <c r="AO44" s="1" t="n">
        <v>1.198693921899974e-15</v>
      </c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64" t="inlineStr">
        <is>
          <t>2006-08</t>
        </is>
      </c>
      <c r="B45" s="163" t="n">
        <v>-0.0508871477413537</v>
      </c>
      <c r="C45" s="163" t="n">
        <v>-0.0336299461081087</v>
      </c>
      <c r="D45" s="163" t="n">
        <v>-0.017257201633245</v>
      </c>
      <c r="E45" s="170" t="n">
        <v>2388.983548387097</v>
      </c>
      <c r="F45" s="170" t="n">
        <v>2430.568507156228</v>
      </c>
      <c r="G45" s="163" t="n">
        <v>0.0056651267225528</v>
      </c>
      <c r="H45" s="163" t="n">
        <v>-0.0003801453716827</v>
      </c>
      <c r="I45" s="163" t="n">
        <v>0.0027469992651372</v>
      </c>
      <c r="J45" s="163" t="n">
        <v>-0.0002873838255218</v>
      </c>
      <c r="K45" s="163" t="n">
        <v>1.642424058827743e-05</v>
      </c>
      <c r="L45" s="163" t="n">
        <v>-0.0014965751803965</v>
      </c>
      <c r="M45" s="163" t="n">
        <v>-0.002283515791676</v>
      </c>
      <c r="N45" s="163" t="n">
        <v>-0.008838952511840499</v>
      </c>
      <c r="O45" s="163" t="n">
        <v>-0.0037090719574198</v>
      </c>
      <c r="P45" s="163" t="n">
        <v>-0.008378668053132201</v>
      </c>
      <c r="Q45" s="163" t="n">
        <v>0.0003882791511803</v>
      </c>
      <c r="R45" s="163" t="n">
        <v>0.000105685225241</v>
      </c>
      <c r="S45" s="163" t="n">
        <v>-0.0029340730337773</v>
      </c>
      <c r="T45" s="163" t="n">
        <v>-0.0026728285392725</v>
      </c>
      <c r="U45" s="163" t="n">
        <v>-0.0057449363555883</v>
      </c>
      <c r="V45" s="171" t="n">
        <v>61.7671467955017</v>
      </c>
      <c r="W45" s="171" t="n">
        <v>0.0183679479516496</v>
      </c>
      <c r="X45" s="171" t="n">
        <v>89.32192013177499</v>
      </c>
      <c r="Y45" s="171" t="n">
        <v>-147.9599627359372</v>
      </c>
      <c r="Z45" s="171" t="n">
        <v>-1.679900880400605</v>
      </c>
      <c r="AA45" s="171" t="n">
        <v>0.0030353840058533</v>
      </c>
      <c r="AB45" s="171" t="n">
        <v>-1.471451854076381</v>
      </c>
      <c r="AC45" s="171" t="n">
        <v>0.0001720535021935</v>
      </c>
      <c r="AD45" s="171" t="n">
        <v>-0.0002899311769212</v>
      </c>
      <c r="AE45" s="171" t="n">
        <v>-0.0011789926823941</v>
      </c>
      <c r="AF45" s="171" t="n">
        <v>0.0035369637263953</v>
      </c>
      <c r="AG45" s="171" t="n">
        <v>8.741840371852387e-05</v>
      </c>
      <c r="AH45" s="171" t="n">
        <v>-0.0008689392927054</v>
      </c>
      <c r="AI45" s="171" t="n">
        <v>0.0012381564070029</v>
      </c>
      <c r="AJ45" s="171" t="n">
        <v>-0.0001950784632394</v>
      </c>
      <c r="AK45" s="171" t="n">
        <v>-0.0025373510219136</v>
      </c>
      <c r="AL45" s="171" t="n">
        <v>-0.0049453983146334</v>
      </c>
      <c r="AM45" s="171" t="n">
        <v>-0</v>
      </c>
      <c r="AN45" s="1" t="n">
        <v>-0.0336299461080666</v>
      </c>
      <c r="AO45" s="1" t="n">
        <v>-4.210520820890906e-14</v>
      </c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64" t="inlineStr">
        <is>
          <t>2006-09</t>
        </is>
      </c>
      <c r="B46" s="163" t="n">
        <v>0.0040625550759312</v>
      </c>
      <c r="C46" s="163" t="n">
        <v>0.0241619548341293</v>
      </c>
      <c r="D46" s="163" t="n">
        <v>-0.0200993997581981</v>
      </c>
      <c r="E46" s="170" t="n">
        <v>2398.708666666666</v>
      </c>
      <c r="F46" s="170" t="n">
        <v>2447.409055845307</v>
      </c>
      <c r="G46" s="163" t="n">
        <v>0.0056651267225528</v>
      </c>
      <c r="H46" s="163" t="n">
        <v>-0.0007293052393801</v>
      </c>
      <c r="I46" s="163" t="n">
        <v>0.0018568069478161</v>
      </c>
      <c r="J46" s="163" t="n">
        <v>0.0002436273204746</v>
      </c>
      <c r="K46" s="163" t="n">
        <v>-2.280047122211101e-06</v>
      </c>
      <c r="L46" s="163" t="n">
        <v>0.0005537119026083</v>
      </c>
      <c r="M46" s="163" t="n">
        <v>-0.0015148252059108</v>
      </c>
      <c r="N46" s="163" t="n">
        <v>0.0027386196677967</v>
      </c>
      <c r="O46" s="163" t="n">
        <v>-0.0047153906623756</v>
      </c>
      <c r="P46" s="163" t="n">
        <v>0.0059131507235268</v>
      </c>
      <c r="Q46" s="163" t="n">
        <v>-7.667251683204657e-05</v>
      </c>
      <c r="R46" s="163" t="n">
        <v>-0.0006895625732917</v>
      </c>
      <c r="S46" s="163" t="n">
        <v>-0.0017246452699182</v>
      </c>
      <c r="T46" s="163" t="n">
        <v>-0.0020847538933724</v>
      </c>
      <c r="U46" s="163" t="n">
        <v>0.0020386667201437</v>
      </c>
      <c r="V46" s="171" t="n">
        <v>-8.182082139245924</v>
      </c>
      <c r="W46" s="171" t="n">
        <v>-0.0107028375683393</v>
      </c>
      <c r="X46" s="171" t="n">
        <v>55.86462570607894</v>
      </c>
      <c r="Y46" s="171" t="n">
        <v>-110.4685436068101</v>
      </c>
      <c r="Z46" s="171" t="n">
        <v>9.573586234082196</v>
      </c>
      <c r="AA46" s="171" t="n">
        <v>0.0269916313952534</v>
      </c>
      <c r="AB46" s="171" t="n">
        <v>53.18655585171228</v>
      </c>
      <c r="AC46" s="171" t="n">
        <v>6.379480567031083e-05</v>
      </c>
      <c r="AD46" s="171" t="n">
        <v>0.0002417261643738</v>
      </c>
      <c r="AE46" s="171" t="n">
        <v>-0.0003996164670851</v>
      </c>
      <c r="AF46" s="171" t="n">
        <v>0.0010503710460204</v>
      </c>
      <c r="AG46" s="171" t="n">
        <v>0.0024177614602794</v>
      </c>
      <c r="AH46" s="171" t="n">
        <v>0.0138500470368266</v>
      </c>
      <c r="AI46" s="171" t="n">
        <v>0.0011244343096681</v>
      </c>
      <c r="AJ46" s="171" t="n">
        <v>-0.0002144489146525</v>
      </c>
      <c r="AK46" s="171" t="n">
        <v>0.0009635499930502</v>
      </c>
      <c r="AL46" s="171" t="n">
        <v>0.0071612211589299</v>
      </c>
      <c r="AM46" s="171" t="n">
        <v>-0</v>
      </c>
      <c r="AN46" s="1" t="n">
        <v>0.0241619548341148</v>
      </c>
      <c r="AO46" s="1" t="n">
        <v>1.449881881221415e-14</v>
      </c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64" t="inlineStr">
        <is>
          <t>2006-10</t>
        </is>
      </c>
      <c r="B47" s="163" t="n">
        <v>-0.0155079992185447</v>
      </c>
      <c r="C47" s="163" t="n">
        <v>-0.0067591923744798</v>
      </c>
      <c r="D47" s="163" t="n">
        <v>-0.0087488068440648</v>
      </c>
      <c r="E47" s="170" t="n">
        <v>2361.796451612903</v>
      </c>
      <c r="F47" s="170" t="n">
        <v>2382.550004610601</v>
      </c>
      <c r="G47" s="163" t="n">
        <v>0.0056651267225528</v>
      </c>
      <c r="H47" s="163" t="n">
        <v>-5.573628018808899e-05</v>
      </c>
      <c r="I47" s="163" t="n">
        <v>0.0018657547345993</v>
      </c>
      <c r="J47" s="163" t="n">
        <v>0.0005840380970283</v>
      </c>
      <c r="K47" s="163" t="n">
        <v>2.838543708142122e-05</v>
      </c>
      <c r="L47" s="163" t="n">
        <v>0.0006895986527129</v>
      </c>
      <c r="M47" s="163" t="n">
        <v>-0.0012385749253377</v>
      </c>
      <c r="N47" s="163" t="n">
        <v>-0.007027232164954</v>
      </c>
      <c r="O47" s="163" t="n">
        <v>-0.0004897546098679</v>
      </c>
      <c r="P47" s="163" t="n">
        <v>-0.0014271754949957</v>
      </c>
      <c r="Q47" s="163" t="n">
        <v>-0.0001488628222534</v>
      </c>
      <c r="R47" s="163" t="n">
        <v>-0.0007907899008804</v>
      </c>
      <c r="S47" s="163" t="n">
        <v>0.0001145476496855</v>
      </c>
      <c r="T47" s="163" t="n">
        <v>0.0010416086095926</v>
      </c>
      <c r="U47" s="163" t="n">
        <v>-0.0065585248327945</v>
      </c>
      <c r="V47" s="171" t="n">
        <v>-26.27239996719785</v>
      </c>
      <c r="W47" s="171" t="n">
        <v>-0.0130336169931752</v>
      </c>
      <c r="X47" s="171" t="n">
        <v>-11.09565848162809</v>
      </c>
      <c r="Y47" s="171" t="n">
        <v>7.048050172983785</v>
      </c>
      <c r="Z47" s="171" t="n">
        <v>6.9242992465371</v>
      </c>
      <c r="AA47" s="171" t="n">
        <v>0.0116747895595256</v>
      </c>
      <c r="AB47" s="171" t="n">
        <v>23.39465588578153</v>
      </c>
      <c r="AC47" s="171" t="n">
        <v>-5.494773057560468e-05</v>
      </c>
      <c r="AD47" s="171" t="n">
        <v>-0.0002596812062946</v>
      </c>
      <c r="AE47" s="171" t="n">
        <v>-0.0003139843669954</v>
      </c>
      <c r="AF47" s="171" t="n">
        <v>0.0029034065875258</v>
      </c>
      <c r="AG47" s="171" t="n">
        <v>0.0010029506007127</v>
      </c>
      <c r="AH47" s="171" t="n">
        <v>0.0025449096396532</v>
      </c>
      <c r="AI47" s="171" t="n">
        <v>0.0016933842652896</v>
      </c>
      <c r="AJ47" s="171" t="n">
        <v>-0.0003289815582295</v>
      </c>
      <c r="AK47" s="171" t="n">
        <v>0.0006648679959213</v>
      </c>
      <c r="AL47" s="171" t="n">
        <v>-0.004451554516304</v>
      </c>
      <c r="AM47" s="171" t="n">
        <v>-0</v>
      </c>
      <c r="AN47" s="1" t="n">
        <v>-0.0067591923744782</v>
      </c>
      <c r="AO47" s="1" t="n">
        <v>-1.600282406588605e-15</v>
      </c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64" t="inlineStr">
        <is>
          <t>2006-11</t>
        </is>
      </c>
      <c r="B48" s="163" t="n">
        <v>-0.030679472123352</v>
      </c>
      <c r="C48" s="163" t="n">
        <v>-0.0168360702781815</v>
      </c>
      <c r="D48" s="163" t="n">
        <v>-0.0138434018451705</v>
      </c>
      <c r="E48" s="170" t="n">
        <v>2290.438000000001</v>
      </c>
      <c r="F48" s="170" t="n">
        <v>2322.36593939606</v>
      </c>
      <c r="G48" s="163" t="n">
        <v>0.0056651267225528</v>
      </c>
      <c r="H48" s="163" t="n">
        <v>-3.727432501466781e-05</v>
      </c>
      <c r="I48" s="163" t="n">
        <v>0.0024072068264144</v>
      </c>
      <c r="J48" s="163" t="n">
        <v>0.0008899628145193</v>
      </c>
      <c r="K48" s="163" t="n">
        <v>-2.96733020986032e-05</v>
      </c>
      <c r="L48" s="163" t="n">
        <v>-0.0016591459495056</v>
      </c>
      <c r="M48" s="163" t="n">
        <v>-0.0007317221494988</v>
      </c>
      <c r="N48" s="163" t="n">
        <v>0.0023367967954161</v>
      </c>
      <c r="O48" s="163" t="n">
        <v>-0.0019306071817551</v>
      </c>
      <c r="P48" s="163" t="n">
        <v>-0.0043934898579964</v>
      </c>
      <c r="Q48" s="163" t="n">
        <v>0.0002118143639707</v>
      </c>
      <c r="R48" s="163" t="n">
        <v>-0.000239085597114</v>
      </c>
      <c r="S48" s="163" t="n">
        <v>-0.0024801042575031</v>
      </c>
      <c r="T48" s="163" t="n">
        <v>-0.0016196177291755</v>
      </c>
      <c r="U48" s="163" t="n">
        <v>-0.0029605101288075</v>
      </c>
      <c r="V48" s="171" t="n">
        <v>34.16012148459872</v>
      </c>
      <c r="W48" s="171" t="n">
        <v>0.009996866255328699</v>
      </c>
      <c r="X48" s="171" t="n">
        <v>22.94321295171576</v>
      </c>
      <c r="Y48" s="171" t="n">
        <v>-93.84075558676496</v>
      </c>
      <c r="Z48" s="171" t="n">
        <v>32.64300631735381</v>
      </c>
      <c r="AA48" s="171" t="n">
        <v>0.0001940521403472</v>
      </c>
      <c r="AB48" s="171" t="n">
        <v>4.08292174655367</v>
      </c>
      <c r="AC48" s="171" t="n">
        <v>4.265806200116517e-05</v>
      </c>
      <c r="AD48" s="171" t="n">
        <v>2.137504990572392e-05</v>
      </c>
      <c r="AE48" s="171" t="n">
        <v>-0.0002854403336322</v>
      </c>
      <c r="AF48" s="171" t="n">
        <v>0.0001071807189816</v>
      </c>
      <c r="AG48" s="171" t="n">
        <v>-0.000236570453882</v>
      </c>
      <c r="AH48" s="171" t="n">
        <v>-0.0041097666033624</v>
      </c>
      <c r="AI48" s="171" t="n">
        <v>-0.0013111422306656</v>
      </c>
      <c r="AJ48" s="171" t="n">
        <v>-0.000215761463553</v>
      </c>
      <c r="AK48" s="171" t="n">
        <v>0.0002436061492441</v>
      </c>
      <c r="AL48" s="171" t="n">
        <v>-0.0052197180702848</v>
      </c>
      <c r="AM48" s="171" t="n">
        <v>-0</v>
      </c>
      <c r="AN48" s="1" t="n">
        <v>-0.0168360702781739</v>
      </c>
      <c r="AO48" s="1" t="n">
        <v>-7.601558271730369e-15</v>
      </c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64" t="inlineStr">
        <is>
          <t>2006-12</t>
        </is>
      </c>
      <c r="B49" s="163" t="n">
        <v>-0.0130661400756748</v>
      </c>
      <c r="C49" s="163" t="n">
        <v>-0.0100596734383826</v>
      </c>
      <c r="D49" s="163" t="n">
        <v>-0.0030064666372921</v>
      </c>
      <c r="E49" s="170" t="n">
        <v>2260.705483870968</v>
      </c>
      <c r="F49" s="170" t="n">
        <v>2267.512446811207</v>
      </c>
      <c r="G49" s="163" t="n">
        <v>0.0056651267225528</v>
      </c>
      <c r="H49" s="163" t="n">
        <v>0.0004344267174937</v>
      </c>
      <c r="I49" s="163" t="n">
        <v>0.0019950905847615</v>
      </c>
      <c r="J49" s="163" t="n">
        <v>0.0008343401386118</v>
      </c>
      <c r="K49" s="163" t="n">
        <v>4.802825203217576e-05</v>
      </c>
      <c r="L49" s="163" t="n">
        <v>-0.0014967354924201</v>
      </c>
      <c r="M49" s="163" t="n">
        <v>0.0002233206182677</v>
      </c>
      <c r="N49" s="163" t="n">
        <v>-0.0023229624771935</v>
      </c>
      <c r="O49" s="163" t="n">
        <v>-0.0049322934014844</v>
      </c>
      <c r="P49" s="163" t="n">
        <v>0.0042312496408818</v>
      </c>
      <c r="Q49" s="163" t="n">
        <v>5.507703061426425e-06</v>
      </c>
      <c r="R49" s="163" t="n">
        <v>0.0006652618418951</v>
      </c>
      <c r="S49" s="163" t="n">
        <v>0.0015222259506081</v>
      </c>
      <c r="T49" s="163" t="n">
        <v>-0.001615916346875</v>
      </c>
      <c r="U49" s="163" t="n">
        <v>-0.0041141733350285</v>
      </c>
      <c r="V49" s="171" t="n">
        <v>11.83158227610124</v>
      </c>
      <c r="W49" s="171" t="n">
        <v>0.0122153542541671</v>
      </c>
      <c r="X49" s="171" t="n">
        <v>27.82430569447629</v>
      </c>
      <c r="Y49" s="171" t="n">
        <v>-21.55791664851077</v>
      </c>
      <c r="Z49" s="171" t="n">
        <v>-15.05533525509018</v>
      </c>
      <c r="AA49" s="171" t="n">
        <v>-0.0077324671293122</v>
      </c>
      <c r="AB49" s="171" t="n">
        <v>-3.048619666601025</v>
      </c>
      <c r="AC49" s="171" t="n">
        <v>2.576278671530664e-05</v>
      </c>
      <c r="AD49" s="171" t="n">
        <v>0.0001181954759586</v>
      </c>
      <c r="AE49" s="171" t="n">
        <v>0.0001725052451081</v>
      </c>
      <c r="AF49" s="171" t="n">
        <v>-0.0055352886869648</v>
      </c>
      <c r="AG49" s="171" t="n">
        <v>-0.0008857700128319</v>
      </c>
      <c r="AH49" s="171" t="n">
        <v>-0.0028359977990136</v>
      </c>
      <c r="AI49" s="171" t="n">
        <v>0.0005071666072187</v>
      </c>
      <c r="AJ49" s="171" t="n">
        <v>-0.0001589818812007</v>
      </c>
      <c r="AK49" s="171" t="n">
        <v>-0.0058792008714915</v>
      </c>
      <c r="AL49" s="171" t="n">
        <v>0.0047701510805506</v>
      </c>
      <c r="AM49" s="171" t="n">
        <v>-0</v>
      </c>
      <c r="AN49" s="1" t="n">
        <v>-0.0100596734383837</v>
      </c>
      <c r="AO49" s="1" t="n">
        <v>1.101549407245273e-15</v>
      </c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64" t="inlineStr">
        <is>
          <t>2007-01</t>
        </is>
      </c>
      <c r="B50" s="163" t="n">
        <v>-0.0108979190687854</v>
      </c>
      <c r="C50" s="163" t="n">
        <v>-0.0053110010687432</v>
      </c>
      <c r="D50" s="163" t="n">
        <v>-0.0055869180000421</v>
      </c>
      <c r="E50" s="170" t="n">
        <v>2236.202258064517</v>
      </c>
      <c r="F50" s="170" t="n">
        <v>2248.7307018176</v>
      </c>
      <c r="G50" s="163" t="n">
        <v>0.0056651267225528</v>
      </c>
      <c r="H50" s="163" t="n">
        <v>-0.0006576951185697</v>
      </c>
      <c r="I50" s="163" t="n">
        <v>0.0013987269060202</v>
      </c>
      <c r="J50" s="163" t="n">
        <v>0.0004238447904148</v>
      </c>
      <c r="K50" s="163" t="n">
        <v>9.723743679302911e-06</v>
      </c>
      <c r="L50" s="163" t="n">
        <v>0.0021610875035997</v>
      </c>
      <c r="M50" s="163" t="n">
        <v>0.0001173795564638</v>
      </c>
      <c r="N50" s="163" t="n">
        <v>-0.0045331059585231</v>
      </c>
      <c r="O50" s="163" t="n">
        <v>0.0002639167583114</v>
      </c>
      <c r="P50" s="163" t="n">
        <v>-0.008571959955990201</v>
      </c>
      <c r="Q50" s="163" t="n">
        <v>-3.770187607317789e-05</v>
      </c>
      <c r="R50" s="163" t="n">
        <v>-0.0001015027110551</v>
      </c>
      <c r="S50" s="163" t="n">
        <v>-0.0012537783244141</v>
      </c>
      <c r="T50" s="163" t="n">
        <v>-0.005398010506836</v>
      </c>
      <c r="U50" s="163" t="n">
        <v>0.0018789245064742</v>
      </c>
      <c r="V50" s="171" t="n">
        <v>-53.20496793096065</v>
      </c>
      <c r="W50" s="171" t="n">
        <v>-0.0184919567438382</v>
      </c>
      <c r="X50" s="171" t="n">
        <v>-84.1998883429891</v>
      </c>
      <c r="Y50" s="171" t="n">
        <v>136.7672382821239</v>
      </c>
      <c r="Z50" s="171" t="n">
        <v>3.185309768772463</v>
      </c>
      <c r="AA50" s="171" t="n">
        <v>-0.0031130048619922</v>
      </c>
      <c r="AB50" s="171" t="n">
        <v>-2.531468626624576</v>
      </c>
      <c r="AC50" s="171" t="n">
        <v>-0.0001316360056195</v>
      </c>
      <c r="AD50" s="171" t="n">
        <v>-0.0003574250345035</v>
      </c>
      <c r="AE50" s="171" t="n">
        <v>-0.0010102105720724</v>
      </c>
      <c r="AF50" s="171" t="n">
        <v>0.0026414092744595</v>
      </c>
      <c r="AG50" s="171" t="n">
        <v>0.0021936861475929</v>
      </c>
      <c r="AH50" s="171" t="n">
        <v>0.0066470052410836</v>
      </c>
      <c r="AI50" s="171" t="n">
        <v>-0.0016317140732026</v>
      </c>
      <c r="AJ50" s="171" t="n">
        <v>-3.183041988208437e-05</v>
      </c>
      <c r="AK50" s="171" t="n">
        <v>0.0019664613484904</v>
      </c>
      <c r="AL50" s="171" t="n">
        <v>-0.0015799117274079</v>
      </c>
      <c r="AM50" s="171" t="n">
        <v>-0</v>
      </c>
      <c r="AN50" s="1" t="n">
        <v>-0.0053110010687502</v>
      </c>
      <c r="AO50" s="1" t="n">
        <v>7.000476587304405e-15</v>
      </c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inlineStr">
        <is>
          <t>2007-02</t>
        </is>
      </c>
      <c r="B51" s="163" t="n">
        <v>-0.0038678616028011</v>
      </c>
      <c r="C51" s="163" t="n">
        <v>-0.0182811678503015</v>
      </c>
      <c r="D51" s="163" t="n">
        <v>0.0144133062475003</v>
      </c>
      <c r="E51" s="170" t="n">
        <v>2227.569642857143</v>
      </c>
      <c r="F51" s="170" t="n">
        <v>2195.69327318627</v>
      </c>
      <c r="G51" s="163" t="n">
        <v>0.0056651267225528</v>
      </c>
      <c r="H51" s="163" t="n">
        <v>0.0005542689359308</v>
      </c>
      <c r="I51" s="163" t="n">
        <v>0.0019500742060634</v>
      </c>
      <c r="J51" s="163" t="n">
        <v>0.0005217407000119</v>
      </c>
      <c r="K51" s="163" t="n">
        <v>8.585485973539953e-05</v>
      </c>
      <c r="L51" s="163" t="n">
        <v>-0.00074089211138</v>
      </c>
      <c r="M51" s="163" t="n">
        <v>0.0001682358855211</v>
      </c>
      <c r="N51" s="163" t="n">
        <v>-0.000425895632161</v>
      </c>
      <c r="O51" s="163" t="n">
        <v>-0.0150969723476967</v>
      </c>
      <c r="P51" s="163" t="n">
        <v>0.0105774568038843</v>
      </c>
      <c r="Q51" s="163" t="n">
        <v>0.0003706285222886</v>
      </c>
      <c r="R51" s="163" t="n">
        <v>6.367678399314402e-05</v>
      </c>
      <c r="S51" s="163" t="n">
        <v>-0.0027509071036098</v>
      </c>
      <c r="T51" s="163" t="n">
        <v>-0.0083032775473155</v>
      </c>
      <c r="U51" s="163" t="n">
        <v>-0.002624202652933</v>
      </c>
      <c r="V51" s="171" t="n">
        <v>21.75982305561237</v>
      </c>
      <c r="W51" s="171" t="n">
        <v>0.0128236808489189</v>
      </c>
      <c r="X51" s="171" t="n">
        <v>11.31582692023786</v>
      </c>
      <c r="Y51" s="171" t="n">
        <v>-25.8709025752621</v>
      </c>
      <c r="Z51" s="171" t="n">
        <v>4.008745788298616</v>
      </c>
      <c r="AA51" s="171" t="n">
        <v>-0.0090887894576343</v>
      </c>
      <c r="AB51" s="171" t="n">
        <v>-11.21446315970836</v>
      </c>
      <c r="AC51" s="171" t="n">
        <v>0.0001691589740546</v>
      </c>
      <c r="AD51" s="171" t="n">
        <v>-0.0002764392454207</v>
      </c>
      <c r="AE51" s="171" t="n">
        <v>-0.0003599030293624</v>
      </c>
      <c r="AF51" s="171" t="n">
        <v>0.0027509717871963</v>
      </c>
      <c r="AG51" s="171" t="n">
        <v>-0.0010080503268467</v>
      </c>
      <c r="AH51" s="171" t="n">
        <v>-0.0088047421104479</v>
      </c>
      <c r="AI51" s="171" t="n">
        <v>0.000615570357713</v>
      </c>
      <c r="AJ51" s="171" t="n">
        <v>-7.006694627448651e-05</v>
      </c>
      <c r="AK51" s="171" t="n">
        <v>-0.005432327185926</v>
      </c>
      <c r="AL51" s="171" t="n">
        <v>0.0013548232804612</v>
      </c>
      <c r="AM51" s="171" t="n">
        <v>-0</v>
      </c>
      <c r="AN51" s="1" t="n">
        <v>-0.0182811678503025</v>
      </c>
      <c r="AO51" s="1" t="n">
        <v>9.992007221626409e-16</v>
      </c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64" t="inlineStr">
        <is>
          <t>2007-03</t>
        </is>
      </c>
      <c r="B52" s="163" t="n">
        <v>-0.0111616578196507</v>
      </c>
      <c r="C52" s="163" t="n">
        <v>-0.0131358784808766</v>
      </c>
      <c r="D52" s="163" t="n">
        <v>0.0019742206612258</v>
      </c>
      <c r="E52" s="170" t="n">
        <v>2202.844516129032</v>
      </c>
      <c r="F52" s="170" t="n">
        <v>2198.499904993467</v>
      </c>
      <c r="G52" s="163" t="n">
        <v>0.0056651267225528</v>
      </c>
      <c r="H52" s="163" t="n">
        <v>3.986477258231037e-05</v>
      </c>
      <c r="I52" s="163" t="n">
        <v>0.0017717727360231</v>
      </c>
      <c r="J52" s="163" t="n">
        <v>0.0008366047761309</v>
      </c>
      <c r="K52" s="163" t="n">
        <v>-9.15251329094515e-08</v>
      </c>
      <c r="L52" s="163" t="n">
        <v>-0.0009674656221001</v>
      </c>
      <c r="M52" s="163" t="n">
        <v>0.0050823502983338</v>
      </c>
      <c r="N52" s="163" t="n">
        <v>0.0021789051200501</v>
      </c>
      <c r="O52" s="163" t="n">
        <v>-0.0160032050549767</v>
      </c>
      <c r="P52" s="163" t="n">
        <v>-0.0049394712489077</v>
      </c>
      <c r="Q52" s="163" t="n">
        <v>8.266629830964684e-05</v>
      </c>
      <c r="R52" s="163" t="n">
        <v>-0.0004858992725186</v>
      </c>
      <c r="S52" s="163" t="n">
        <v>-0.0010080778506688</v>
      </c>
      <c r="T52" s="163" t="n">
        <v>-0.008542142877163801</v>
      </c>
      <c r="U52" s="163" t="n">
        <v>-0.001526688404643</v>
      </c>
      <c r="V52" s="171" t="n">
        <v>52.50193188267053</v>
      </c>
      <c r="W52" s="171" t="n">
        <v>0.029484799125406</v>
      </c>
      <c r="X52" s="171" t="n">
        <v>114.3671185539903</v>
      </c>
      <c r="Y52" s="171" t="n">
        <v>-110.8612707806282</v>
      </c>
      <c r="Z52" s="171" t="n">
        <v>-48.70199873773717</v>
      </c>
      <c r="AA52" s="171" t="n">
        <v>-0.0073893012390138</v>
      </c>
      <c r="AB52" s="171" t="n">
        <v>-7.320115825521732</v>
      </c>
      <c r="AC52" s="171" t="n">
        <v>-0.0001779317352048</v>
      </c>
      <c r="AD52" s="171" t="n">
        <v>0.0008459731751487</v>
      </c>
      <c r="AE52" s="171" t="n">
        <v>0.0012559374679819</v>
      </c>
      <c r="AF52" s="171" t="n">
        <v>-0.0034107286573724</v>
      </c>
      <c r="AG52" s="171" t="n">
        <v>-0.001087685428987</v>
      </c>
      <c r="AH52" s="171" t="n">
        <v>-0.0038260151130551</v>
      </c>
      <c r="AI52" s="171" t="n">
        <v>0.0018510110131378</v>
      </c>
      <c r="AJ52" s="171" t="n">
        <v>-0.0001849863004787</v>
      </c>
      <c r="AK52" s="171" t="n">
        <v>-0.0010340081492297</v>
      </c>
      <c r="AL52" s="171" t="n">
        <v>0.0026877157192143</v>
      </c>
      <c r="AM52" s="171" t="n">
        <v>-0</v>
      </c>
      <c r="AN52" s="1" t="n">
        <v>-0.0131358784808428</v>
      </c>
      <c r="AO52" s="1" t="n">
        <v>-3.380108692940809e-14</v>
      </c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64" t="inlineStr">
        <is>
          <t>2007-04</t>
        </is>
      </c>
      <c r="B53" s="163" t="n">
        <v>-0.0266562450243359</v>
      </c>
      <c r="C53" s="163" t="n">
        <v>-0.0561891935084857</v>
      </c>
      <c r="D53" s="163" t="n">
        <v>0.0295329484841498</v>
      </c>
      <c r="E53" s="170" t="n">
        <v>2144.900666666667</v>
      </c>
      <c r="F53" s="170" t="n">
        <v>2082.481670995135</v>
      </c>
      <c r="G53" s="163" t="n">
        <v>0.0056651267225528</v>
      </c>
      <c r="H53" s="163" t="n">
        <v>0.0005054154762198</v>
      </c>
      <c r="I53" s="163" t="n">
        <v>0.0007283234071219</v>
      </c>
      <c r="J53" s="163" t="n">
        <v>0.0009366461317987</v>
      </c>
      <c r="K53" s="163" t="n">
        <v>-2.001133854329331e-05</v>
      </c>
      <c r="L53" s="163" t="n">
        <v>-0.0028998383101789</v>
      </c>
      <c r="M53" s="163" t="n">
        <v>-0.0026337989687276</v>
      </c>
      <c r="N53" s="163" t="n">
        <v>-0.0079649583436036</v>
      </c>
      <c r="O53" s="163" t="n">
        <v>-0.0182514834124236</v>
      </c>
      <c r="P53" s="163" t="n">
        <v>-0.0032964331753139</v>
      </c>
      <c r="Q53" s="163" t="n">
        <v>0.0001033958514186</v>
      </c>
      <c r="R53" s="163" t="n">
        <v>-7.782081847820301e-06</v>
      </c>
      <c r="S53" s="163" t="n">
        <v>0.0022155786353534</v>
      </c>
      <c r="T53" s="163" t="n">
        <v>-0.0062288269617303</v>
      </c>
      <c r="U53" s="163" t="n">
        <v>-0.008640801042595399</v>
      </c>
      <c r="V53" s="171" t="n">
        <v>-22.5457373372374</v>
      </c>
      <c r="W53" s="171" t="n">
        <v>-0.007528407777748</v>
      </c>
      <c r="X53" s="171" t="n">
        <v>-38.44639432701975</v>
      </c>
      <c r="Y53" s="171" t="n">
        <v>90.64984729949418</v>
      </c>
      <c r="Z53" s="171" t="n">
        <v>-15.25139362641944</v>
      </c>
      <c r="AA53" s="171" t="n">
        <v>-0.0036073271563506</v>
      </c>
      <c r="AB53" s="171" t="n">
        <v>-14.39165628928689</v>
      </c>
      <c r="AC53" s="171" t="n">
        <v>8.485723539494001e-05</v>
      </c>
      <c r="AD53" s="171" t="n">
        <v>-0.0005045537780146</v>
      </c>
      <c r="AE53" s="171" t="n">
        <v>0.0007111187442229001</v>
      </c>
      <c r="AF53" s="171" t="n">
        <v>-0.0011742243212881</v>
      </c>
      <c r="AG53" s="171" t="n">
        <v>-0.0012146165578545</v>
      </c>
      <c r="AH53" s="171" t="n">
        <v>-0.009251588993644901</v>
      </c>
      <c r="AI53" s="171" t="n">
        <v>-0.0014041567222171</v>
      </c>
      <c r="AJ53" s="171" t="n">
        <v>-0.000159779554399</v>
      </c>
      <c r="AK53" s="171" t="n">
        <v>-0.003878282387742</v>
      </c>
      <c r="AL53" s="171" t="n">
        <v>-0.0031385043590446</v>
      </c>
      <c r="AM53" s="171" t="n">
        <v>-0</v>
      </c>
      <c r="AN53" s="1" t="n">
        <v>-0.0561891935084822</v>
      </c>
      <c r="AO53" s="1" t="n">
        <v>-3.50414142147315e-15</v>
      </c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64" t="inlineStr">
        <is>
          <t>2007-05</t>
        </is>
      </c>
      <c r="B54" s="163" t="n">
        <v>-0.0652493663263706</v>
      </c>
      <c r="C54" s="163" t="n">
        <v>-0.0269979881479603</v>
      </c>
      <c r="D54" s="163" t="n">
        <v>-0.0382513781784103</v>
      </c>
      <c r="E54" s="170" t="n">
        <v>2009.415483870968</v>
      </c>
      <c r="F54" s="170" t="n">
        <v>2087.767376127873</v>
      </c>
      <c r="G54" s="163" t="n">
        <v>0.0056651267225528</v>
      </c>
      <c r="H54" s="163" t="n">
        <v>0.0004279918815336</v>
      </c>
      <c r="I54" s="163" t="n">
        <v>0.0017129336147617</v>
      </c>
      <c r="J54" s="163" t="n">
        <v>0.0007297695079058</v>
      </c>
      <c r="K54" s="163" t="n">
        <v>2.973694280337144e-05</v>
      </c>
      <c r="L54" s="163" t="n">
        <v>-0.0019350750863143</v>
      </c>
      <c r="M54" s="163" t="n">
        <v>0.0004605139434408</v>
      </c>
      <c r="N54" s="163" t="n">
        <v>-0.0034537676188621</v>
      </c>
      <c r="O54" s="163" t="n">
        <v>-0.0096080962091035</v>
      </c>
      <c r="P54" s="163" t="n">
        <v>0.0046078766553563</v>
      </c>
      <c r="Q54" s="163" t="n">
        <v>-0.0002653159783399</v>
      </c>
      <c r="R54" s="163" t="n">
        <v>9.693900318648162e-05</v>
      </c>
      <c r="S54" s="163" t="n">
        <v>-0.0030246824197171</v>
      </c>
      <c r="T54" s="163" t="n">
        <v>-0.0022113497824354</v>
      </c>
      <c r="U54" s="163" t="n">
        <v>-0.009760912238715501</v>
      </c>
      <c r="V54" s="171" t="n">
        <v>-33.70286226619859</v>
      </c>
      <c r="W54" s="171" t="n">
        <v>-0.0169276883573334</v>
      </c>
      <c r="X54" s="171" t="n">
        <v>-41.61183489721816</v>
      </c>
      <c r="Y54" s="171" t="n">
        <v>36.85323747167271</v>
      </c>
      <c r="Z54" s="171" t="n">
        <v>19.78365278194546</v>
      </c>
      <c r="AA54" s="171" t="n">
        <v>0.010153012248381</v>
      </c>
      <c r="AB54" s="171" t="n">
        <v>18.67743838853853</v>
      </c>
      <c r="AC54" s="171" t="n">
        <v>2.53707806579814e-05</v>
      </c>
      <c r="AD54" s="171" t="n">
        <v>0.0002045164774979</v>
      </c>
      <c r="AE54" s="171" t="n">
        <v>0.0008128844283875</v>
      </c>
      <c r="AF54" s="171" t="n">
        <v>-0.0042634108217155</v>
      </c>
      <c r="AG54" s="171" t="n">
        <v>5.874197626172598e-05</v>
      </c>
      <c r="AH54" s="171" t="n">
        <v>-0.0004649076217284</v>
      </c>
      <c r="AI54" s="171" t="n">
        <v>0.0007420791187283</v>
      </c>
      <c r="AJ54" s="171" t="n">
        <v>-0.0001088138696158</v>
      </c>
      <c r="AK54" s="171" t="n">
        <v>-0.0005584365861714</v>
      </c>
      <c r="AL54" s="171" t="n">
        <v>0.0002254964006899</v>
      </c>
      <c r="AM54" s="171" t="n">
        <v>-0</v>
      </c>
      <c r="AN54" s="1" t="n">
        <v>-0.0269979881479586</v>
      </c>
      <c r="AO54" s="1" t="n">
        <v>-1.700029006457271e-15</v>
      </c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64" t="inlineStr">
        <is>
          <t>2007-06</t>
        </is>
      </c>
      <c r="B55" s="163" t="n">
        <v>-0.0436795832776164</v>
      </c>
      <c r="C55" s="163" t="n">
        <v>-0.0177655105586762</v>
      </c>
      <c r="D55" s="163" t="n">
        <v>-0.0259140727189401</v>
      </c>
      <c r="E55" s="170" t="n">
        <v>1923.534333333333</v>
      </c>
      <c r="F55" s="170" t="n">
        <v>1974.032421568014</v>
      </c>
      <c r="G55" s="163" t="n">
        <v>0.0056651267225528</v>
      </c>
      <c r="H55" s="163" t="n">
        <v>4.052952785300017e-05</v>
      </c>
      <c r="I55" s="163" t="n">
        <v>-0.0013450476543172</v>
      </c>
      <c r="J55" s="163" t="n">
        <v>0.0011124535181491</v>
      </c>
      <c r="K55" s="163" t="n">
        <v>7.105717493675439e-05</v>
      </c>
      <c r="L55" s="163" t="n">
        <v>-0.000594314235324</v>
      </c>
      <c r="M55" s="163" t="n">
        <v>0.0019366900369427</v>
      </c>
      <c r="N55" s="163" t="n">
        <v>-0.0060077030611624</v>
      </c>
      <c r="O55" s="163" t="n">
        <v>-0.0075030571666021</v>
      </c>
      <c r="P55" s="163" t="n">
        <v>-0.0027030346192868</v>
      </c>
      <c r="Q55" s="163" t="n">
        <v>3.020388308238104e-06</v>
      </c>
      <c r="R55" s="163" t="n">
        <v>-5.50308412828256e-05</v>
      </c>
      <c r="S55" s="163" t="n">
        <v>-0.0013110449745798</v>
      </c>
      <c r="T55" s="163" t="n">
        <v>-0.000772341438463</v>
      </c>
      <c r="U55" s="163" t="n">
        <v>-0.0022446434141632</v>
      </c>
      <c r="V55" s="171" t="n">
        <v>-90.68307661907475</v>
      </c>
      <c r="W55" s="171" t="n">
        <v>-0.0355680650729248</v>
      </c>
      <c r="X55" s="171" t="n">
        <v>-88.94804919828708</v>
      </c>
      <c r="Y55" s="171" t="n">
        <v>250.0129240466466</v>
      </c>
      <c r="Z55" s="171" t="n">
        <v>-59.15320075487045</v>
      </c>
      <c r="AA55" s="171" t="n">
        <v>0.0005464099741357</v>
      </c>
      <c r="AB55" s="171" t="n">
        <v>-11.19160565517913</v>
      </c>
      <c r="AC55" s="171" t="n">
        <v>1.076251701462253e-05</v>
      </c>
      <c r="AD55" s="171" t="n">
        <v>0.00071645747276</v>
      </c>
      <c r="AE55" s="171" t="n">
        <v>0.0007346985978708</v>
      </c>
      <c r="AF55" s="171" t="n">
        <v>-0.0030415506253244</v>
      </c>
      <c r="AG55" s="171" t="n">
        <v>-0.0008023378672904</v>
      </c>
      <c r="AH55" s="171" t="n">
        <v>-0.00040836785336</v>
      </c>
      <c r="AI55" s="171" t="n">
        <v>-0.0012031911054343</v>
      </c>
      <c r="AJ55" s="171" t="n">
        <v>-0.0001217728513506</v>
      </c>
      <c r="AK55" s="171" t="n">
        <v>-0.0003302499351838</v>
      </c>
      <c r="AL55" s="171" t="n">
        <v>-0.0015827830084102</v>
      </c>
      <c r="AM55" s="171" t="n">
        <v>-0</v>
      </c>
      <c r="AN55" s="1" t="n">
        <v>-0.017765510558677</v>
      </c>
      <c r="AO55" s="1" t="n">
        <v>7.979727989493313e-16</v>
      </c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64" t="inlineStr">
        <is>
          <t>2007-07</t>
        </is>
      </c>
      <c r="B56" s="163" t="n">
        <v>0.014610042929533</v>
      </c>
      <c r="C56" s="163" t="n">
        <v>0.0055677718607738</v>
      </c>
      <c r="D56" s="163" t="n">
        <v>0.009042271068759201</v>
      </c>
      <c r="E56" s="170" t="n">
        <v>1951.843548387098</v>
      </c>
      <c r="F56" s="170" t="n">
        <v>1934.274003941392</v>
      </c>
      <c r="G56" s="163" t="n">
        <v>0.0056651267225528</v>
      </c>
      <c r="H56" s="163" t="n">
        <v>0.0001726036993252</v>
      </c>
      <c r="I56" s="163" t="n">
        <v>-0.000369881794942</v>
      </c>
      <c r="J56" s="163" t="n">
        <v>0.0009567100256082</v>
      </c>
      <c r="K56" s="163" t="n">
        <v>-2.719249714586351e-05</v>
      </c>
      <c r="L56" s="163" t="n">
        <v>-0.0026736747183287</v>
      </c>
      <c r="M56" s="163" t="n">
        <v>0.0023945880106716</v>
      </c>
      <c r="N56" s="163" t="n">
        <v>0.0075234631446756</v>
      </c>
      <c r="O56" s="163" t="n">
        <v>0.0048874202596136</v>
      </c>
      <c r="P56" s="163" t="n">
        <v>0.0040764622561713</v>
      </c>
      <c r="Q56" s="163" t="n">
        <v>-0.0006423493628887</v>
      </c>
      <c r="R56" s="163" t="n">
        <v>0.0011389470272323</v>
      </c>
      <c r="S56" s="163" t="n">
        <v>-0.0001372064852515</v>
      </c>
      <c r="T56" s="163" t="n">
        <v>-0.0012119774970011</v>
      </c>
      <c r="U56" s="163" t="n">
        <v>-0.0074785939295716</v>
      </c>
      <c r="V56" s="171" t="n">
        <v>15.51251898422164</v>
      </c>
      <c r="W56" s="171" t="n">
        <v>0.0056731581308322</v>
      </c>
      <c r="X56" s="171" t="n">
        <v>67.05998310330412</v>
      </c>
      <c r="Y56" s="171" t="n">
        <v>-69.12699557721707</v>
      </c>
      <c r="Z56" s="171" t="n">
        <v>-26.11438843559809</v>
      </c>
      <c r="AA56" s="171" t="n">
        <v>0.008510718344810301</v>
      </c>
      <c r="AB56" s="171" t="n">
        <v>12.65162875699076</v>
      </c>
      <c r="AC56" s="171" t="n">
        <v>0.0001868605556384</v>
      </c>
      <c r="AD56" s="171" t="n">
        <v>0.0005635660157943</v>
      </c>
      <c r="AE56" s="171" t="n">
        <v>0.0031994138265389</v>
      </c>
      <c r="AF56" s="171" t="n">
        <v>-0.0024842108866197</v>
      </c>
      <c r="AG56" s="171" t="n">
        <v>-0.0011510271551954</v>
      </c>
      <c r="AH56" s="171" t="n">
        <v>-0.0033011986235857</v>
      </c>
      <c r="AI56" s="171" t="n">
        <v>-0.0009257318192004</v>
      </c>
      <c r="AJ56" s="171" t="n">
        <v>-0.000141208220838</v>
      </c>
      <c r="AK56" s="171" t="n">
        <v>0.0006948822376456</v>
      </c>
      <c r="AL56" s="171" t="n">
        <v>-0.0022787271071198</v>
      </c>
      <c r="AM56" s="171" t="n">
        <v>-0</v>
      </c>
      <c r="AN56" s="1" t="n">
        <v>0.005567771860776</v>
      </c>
      <c r="AO56" s="1" t="n">
        <v>-2.199629367538591e-15</v>
      </c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64" t="inlineStr">
        <is>
          <t>2007-08</t>
        </is>
      </c>
      <c r="B57" s="163" t="n">
        <v>0.0520302166624437</v>
      </c>
      <c r="C57" s="163" t="n">
        <v>0.0127794158948037</v>
      </c>
      <c r="D57" s="163" t="n">
        <v>0.03925080076764</v>
      </c>
      <c r="E57" s="170" t="n">
        <v>2056.086774193549</v>
      </c>
      <c r="F57" s="170" t="n">
        <v>1976.947031132924</v>
      </c>
      <c r="G57" s="163" t="n">
        <v>0.0056651267225528</v>
      </c>
      <c r="H57" s="163" t="n">
        <v>-0.0004413024234276</v>
      </c>
      <c r="I57" s="163" t="n">
        <v>0.0027204306047095</v>
      </c>
      <c r="J57" s="163" t="n">
        <v>0.0005384275027841</v>
      </c>
      <c r="K57" s="163" t="n">
        <v>-2.860170421591535e-05</v>
      </c>
      <c r="L57" s="163" t="n">
        <v>0.0012006879456332</v>
      </c>
      <c r="M57" s="163" t="n">
        <v>0.0061392279358963</v>
      </c>
      <c r="N57" s="163" t="n">
        <v>0.0141668648964874</v>
      </c>
      <c r="O57" s="163" t="n">
        <v>-0.0023835759764801</v>
      </c>
      <c r="P57" s="163" t="n">
        <v>-0.0048668314059916</v>
      </c>
      <c r="Q57" s="163" t="n">
        <v>0.0004644546551411</v>
      </c>
      <c r="R57" s="163" t="n">
        <v>0.0001055068201958</v>
      </c>
      <c r="S57" s="163" t="n">
        <v>-0.0026236608848386</v>
      </c>
      <c r="T57" s="163" t="n">
        <v>0.0009914633780737001</v>
      </c>
      <c r="U57" s="163" t="n">
        <v>0.0070197268825581</v>
      </c>
      <c r="V57" s="171" t="n">
        <v>56.70300095172109</v>
      </c>
      <c r="W57" s="171" t="n">
        <v>0.0202563968027734</v>
      </c>
      <c r="X57" s="171" t="n">
        <v>210.2027011714233</v>
      </c>
      <c r="Y57" s="171" t="n">
        <v>-231.084876865668</v>
      </c>
      <c r="Z57" s="171" t="n">
        <v>-73.32859782158705</v>
      </c>
      <c r="AA57" s="171" t="n">
        <v>0.0250368114130181</v>
      </c>
      <c r="AB57" s="171" t="n">
        <v>37.45773554745902</v>
      </c>
      <c r="AC57" s="171" t="n">
        <v>-0.0005753627104798</v>
      </c>
      <c r="AD57" s="171" t="n">
        <v>0.0044734901445493</v>
      </c>
      <c r="AE57" s="171" t="n">
        <v>0.0109683550810517</v>
      </c>
      <c r="AF57" s="171" t="n">
        <v>-0.0333189128407704</v>
      </c>
      <c r="AG57" s="171" t="n">
        <v>0.0012091298426121</v>
      </c>
      <c r="AH57" s="171" t="n">
        <v>0.0052931586071054</v>
      </c>
      <c r="AI57" s="171" t="n">
        <v>0.0002558464299244</v>
      </c>
      <c r="AJ57" s="171" t="n">
        <v>-0.000386253817199</v>
      </c>
      <c r="AK57" s="171" t="n">
        <v>-0.0011159625040573</v>
      </c>
      <c r="AL57" s="171" t="n">
        <v>0.0020517911487254</v>
      </c>
      <c r="AM57" s="171" t="n">
        <v>-0</v>
      </c>
      <c r="AN57" s="1" t="n">
        <v>0.0127794158947986</v>
      </c>
      <c r="AO57" s="1" t="n">
        <v>5.100087019371813e-15</v>
      </c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64" t="inlineStr">
        <is>
          <t>2007-09</t>
        </is>
      </c>
      <c r="B58" s="163" t="n">
        <v>0.027479120012904</v>
      </c>
      <c r="C58" s="163" t="n">
        <v>-0.0159612745749756</v>
      </c>
      <c r="D58" s="163" t="n">
        <v>0.0434403945878797</v>
      </c>
      <c r="E58" s="170" t="n">
        <v>2113.369666666666</v>
      </c>
      <c r="F58" s="170" t="n">
        <v>2023.529527411928</v>
      </c>
      <c r="G58" s="163" t="n">
        <v>0.0056651267225528</v>
      </c>
      <c r="H58" s="163" t="n">
        <v>0.000603590704816</v>
      </c>
      <c r="I58" s="163" t="n">
        <v>0.0038021068077586</v>
      </c>
      <c r="J58" s="163" t="n">
        <v>0.0016341942181611</v>
      </c>
      <c r="K58" s="163" t="n">
        <v>1.462230821252091e-05</v>
      </c>
      <c r="L58" s="163" t="n">
        <v>-0.0028787738061644</v>
      </c>
      <c r="M58" s="163" t="n">
        <v>-0.0019849587186336</v>
      </c>
      <c r="N58" s="163" t="n">
        <v>-0.0016214239386102</v>
      </c>
      <c r="O58" s="163" t="n">
        <v>0.001003921641642</v>
      </c>
      <c r="P58" s="163" t="n">
        <v>0.00439872461647</v>
      </c>
      <c r="Q58" s="163" t="n">
        <v>-0.0003097730787373</v>
      </c>
      <c r="R58" s="163" t="n">
        <v>-0.0007590334477671</v>
      </c>
      <c r="S58" s="163" t="n">
        <v>-0.0011046675049018</v>
      </c>
      <c r="T58" s="163" t="n">
        <v>-0.0006611300309719</v>
      </c>
      <c r="U58" s="163" t="n">
        <v>-0.009095337482180599</v>
      </c>
      <c r="V58" s="171" t="n">
        <v>51.69601251024063</v>
      </c>
      <c r="W58" s="171" t="n">
        <v>0.0239844721458917</v>
      </c>
      <c r="X58" s="171" t="n">
        <v>125.2301462325591</v>
      </c>
      <c r="Y58" s="171" t="n">
        <v>-107.4389339802141</v>
      </c>
      <c r="Z58" s="171" t="n">
        <v>-61.59608864327297</v>
      </c>
      <c r="AA58" s="171" t="n">
        <v>-0.0012674668745841</v>
      </c>
      <c r="AB58" s="171" t="n">
        <v>-7.911553755218395</v>
      </c>
      <c r="AC58" s="171" t="n">
        <v>-0.0003811302115452</v>
      </c>
      <c r="AD58" s="171" t="n">
        <v>0.0013327429116418</v>
      </c>
      <c r="AE58" s="171" t="n">
        <v>0.0030120160422847</v>
      </c>
      <c r="AF58" s="171" t="n">
        <v>-0.0081481164363625</v>
      </c>
      <c r="AG58" s="171" t="n">
        <v>-0.0012547865270193</v>
      </c>
      <c r="AH58" s="171" t="n">
        <v>-0.0080045322357376</v>
      </c>
      <c r="AI58" s="171" t="n">
        <v>-0.001318836860137</v>
      </c>
      <c r="AJ58" s="171" t="n">
        <v>-0.0002390265881969</v>
      </c>
      <c r="AK58" s="171" t="n">
        <v>-0.0012841107394407</v>
      </c>
      <c r="AL58" s="171" t="n">
        <v>-0.0006820523076929</v>
      </c>
      <c r="AM58" s="171" t="n">
        <v>-0</v>
      </c>
      <c r="AN58" s="1" t="n">
        <v>-0.0159612745749776</v>
      </c>
      <c r="AO58" s="1" t="n">
        <v>2.001870891277235e-15</v>
      </c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64" t="inlineStr">
        <is>
          <t>2007-10</t>
        </is>
      </c>
      <c r="B59" s="163" t="n">
        <v>-0.0545935743923537</v>
      </c>
      <c r="C59" s="163" t="n">
        <v>-0.0311989492546791</v>
      </c>
      <c r="D59" s="163" t="n">
        <v>-0.0233946251376746</v>
      </c>
      <c r="E59" s="170" t="n">
        <v>2001.086129032258</v>
      </c>
      <c r="F59" s="170" t="n">
        <v>2048.452690034836</v>
      </c>
      <c r="G59" s="163" t="n">
        <v>0.0056651267225528</v>
      </c>
      <c r="H59" s="163" t="n">
        <v>0.0004401205100026</v>
      </c>
      <c r="I59" s="163" t="n">
        <v>0.0036538546706791</v>
      </c>
      <c r="J59" s="163" t="n">
        <v>0.0002758884725009</v>
      </c>
      <c r="K59" s="163" t="n">
        <v>-2.950888002203689e-05</v>
      </c>
      <c r="L59" s="163" t="n">
        <v>-0.004510284496113</v>
      </c>
      <c r="M59" s="163" t="n">
        <v>-0.0024761484501133</v>
      </c>
      <c r="N59" s="163" t="n">
        <v>-0.0055553705437629</v>
      </c>
      <c r="O59" s="163" t="n">
        <v>-0.0051181685310325</v>
      </c>
      <c r="P59" s="163" t="n">
        <v>-0.0049419911218217</v>
      </c>
      <c r="Q59" s="163" t="n">
        <v>0.0004180530535096</v>
      </c>
      <c r="R59" s="163" t="n">
        <v>-0.0003802831294748</v>
      </c>
      <c r="S59" s="163" t="n">
        <v>-0.0010037406397482</v>
      </c>
      <c r="T59" s="163" t="n">
        <v>-0</v>
      </c>
      <c r="U59" s="163" t="n">
        <v>-0.0267953867008528</v>
      </c>
      <c r="V59" s="171" t="n">
        <v>15.74686433365167</v>
      </c>
      <c r="W59" s="171" t="n">
        <v>0.0132611291867181</v>
      </c>
      <c r="X59" s="171" t="n">
        <v>18.21582270383391</v>
      </c>
      <c r="Y59" s="171" t="n">
        <v>4.312985926751327</v>
      </c>
      <c r="Z59" s="171" t="n">
        <v>-20.77285619389894</v>
      </c>
      <c r="AA59" s="171" t="n">
        <v>-0.0137920005434199</v>
      </c>
      <c r="AB59" s="171" t="n">
        <v>-17.49741971721127</v>
      </c>
      <c r="AC59" s="171" t="n">
        <v>0.0003700834436928</v>
      </c>
      <c r="AD59" s="171" t="n">
        <v>-0.0016783689185974</v>
      </c>
      <c r="AE59" s="171" t="n">
        <v>-0.0043622729248582</v>
      </c>
      <c r="AF59" s="171" t="n">
        <v>0.0150886634388648</v>
      </c>
      <c r="AG59" s="171" t="n">
        <v>-0.0009374089001396</v>
      </c>
      <c r="AH59" s="171" t="n">
        <v>-0.009518516056502399</v>
      </c>
      <c r="AI59" s="171" t="n">
        <v>0.0002644463099219</v>
      </c>
      <c r="AJ59" s="171" t="n">
        <v>-0.0001813118649073</v>
      </c>
      <c r="AK59" s="171" t="n">
        <v>0.0016311952847111</v>
      </c>
      <c r="AL59" s="171" t="n">
        <v>0.0036161982268259</v>
      </c>
      <c r="AM59" s="171" t="n">
        <v>-0</v>
      </c>
      <c r="AN59" s="1" t="n">
        <v>-0.0311989492546783</v>
      </c>
      <c r="AO59" s="1" t="n">
        <v>-8.014422459012849e-16</v>
      </c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64" t="inlineStr">
        <is>
          <t>2007-11</t>
        </is>
      </c>
      <c r="B60" s="163" t="n">
        <v>0.022371041441997</v>
      </c>
      <c r="C60" s="163" t="n">
        <v>-0.0113261632751819</v>
      </c>
      <c r="D60" s="163" t="n">
        <v>0.033697204717179</v>
      </c>
      <c r="E60" s="170" t="n">
        <v>2046.357</v>
      </c>
      <c r="F60" s="170" t="n">
        <v>1978.549369238849</v>
      </c>
      <c r="G60" s="163" t="n">
        <v>0.0056651267225528</v>
      </c>
      <c r="H60" s="163" t="n">
        <v>-8.718794243206669e-05</v>
      </c>
      <c r="I60" s="163" t="n">
        <v>0.0045055477639303</v>
      </c>
      <c r="J60" s="163" t="n">
        <v>0.0006207490631271999</v>
      </c>
      <c r="K60" s="163" t="n">
        <v>-8.525657775247116e-06</v>
      </c>
      <c r="L60" s="163" t="n">
        <v>-0.0030399498146692</v>
      </c>
      <c r="M60" s="163" t="n">
        <v>0.0048251525800973</v>
      </c>
      <c r="N60" s="163" t="n">
        <v>0.010074861859438</v>
      </c>
      <c r="O60" s="163" t="n">
        <v>-0.0013082763438711</v>
      </c>
      <c r="P60" s="163" t="n">
        <v>-0.0013765002795992</v>
      </c>
      <c r="Q60" s="163" t="n">
        <v>-0.0001503242461554</v>
      </c>
      <c r="R60" s="163" t="n">
        <v>3.463811225566209e-05</v>
      </c>
      <c r="S60" s="163" t="n">
        <v>-0.0019027700913071</v>
      </c>
      <c r="T60" s="163" t="n">
        <v>-0.0034060253903444</v>
      </c>
      <c r="U60" s="163" t="n">
        <v>-0.0026015275936437</v>
      </c>
      <c r="V60" s="171" t="n">
        <v>124.1087254841183</v>
      </c>
      <c r="W60" s="171" t="n">
        <v>0.063890892051052</v>
      </c>
      <c r="X60" s="171" t="n">
        <v>262.2206103840588</v>
      </c>
      <c r="Y60" s="171" t="n">
        <v>-265.9534395125101</v>
      </c>
      <c r="Z60" s="171" t="n">
        <v>-104.6951952172506</v>
      </c>
      <c r="AA60" s="171" t="n">
        <v>-0.0125766213486132</v>
      </c>
      <c r="AB60" s="171" t="n">
        <v>-15.7288203042534</v>
      </c>
      <c r="AC60" s="171" t="n">
        <v>-6.419610097070068e-05</v>
      </c>
      <c r="AD60" s="171" t="n">
        <v>0.002499889036654</v>
      </c>
      <c r="AE60" s="171" t="n">
        <v>0.0070540993755032</v>
      </c>
      <c r="AF60" s="171" t="n">
        <v>-0.021078874733063</v>
      </c>
      <c r="AG60" s="171" t="n">
        <v>-0.0016696325411276</v>
      </c>
      <c r="AH60" s="171" t="n">
        <v>-0.0094912394620329</v>
      </c>
      <c r="AI60" s="171" t="n">
        <v>-5.239137419505984e-05</v>
      </c>
      <c r="AJ60" s="171" t="n">
        <v>-3.241595057632954e-05</v>
      </c>
      <c r="AK60" s="171" t="n">
        <v>-0.0030823338893441</v>
      </c>
      <c r="AL60" s="171" t="n">
        <v>-0.0004491612431332</v>
      </c>
      <c r="AM60" s="171" t="n">
        <v>-0</v>
      </c>
      <c r="AN60" s="1" t="n">
        <v>-0.0113261632751948</v>
      </c>
      <c r="AO60" s="1" t="n">
        <v>1.289940376736354e-14</v>
      </c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64" t="inlineStr">
        <is>
          <t>2007-12</t>
        </is>
      </c>
      <c r="B61" s="163" t="n">
        <v>-0.0160205149595125</v>
      </c>
      <c r="C61" s="163" t="n">
        <v>-0.008930069298361199</v>
      </c>
      <c r="D61" s="163" t="n">
        <v>-0.0070904456611512</v>
      </c>
      <c r="E61" s="170" t="n">
        <v>2013.834516129032</v>
      </c>
      <c r="F61" s="170" t="n">
        <v>2028.164242373997</v>
      </c>
      <c r="G61" s="163" t="n">
        <v>0.0056651267225528</v>
      </c>
      <c r="H61" s="163" t="n">
        <v>0.0001376437828873</v>
      </c>
      <c r="I61" s="163" t="n">
        <v>0.0056265657977306</v>
      </c>
      <c r="J61" s="163" t="n">
        <v>0.0010748155074517</v>
      </c>
      <c r="K61" s="163" t="n">
        <v>-9.40264157314694e-06</v>
      </c>
      <c r="L61" s="163" t="n">
        <v>0.0021528452611575</v>
      </c>
      <c r="M61" s="163" t="n">
        <v>-0.002762860135644</v>
      </c>
      <c r="N61" s="163" t="n">
        <v>-0.0025292742663384</v>
      </c>
      <c r="O61" s="163" t="n">
        <v>-0.0025334190604937</v>
      </c>
      <c r="P61" s="163" t="n">
        <v>0.0070104323160643</v>
      </c>
      <c r="Q61" s="163" t="n">
        <v>-9.175703955202528e-05</v>
      </c>
      <c r="R61" s="163" t="n">
        <v>-2.068125696026232e-05</v>
      </c>
      <c r="S61" s="163" t="n">
        <v>0.0009739229096335</v>
      </c>
      <c r="T61" s="163" t="n">
        <v>-0.0033896970531437</v>
      </c>
      <c r="U61" s="163" t="n">
        <v>-0.0052496124848112</v>
      </c>
      <c r="V61" s="171" t="n">
        <v>-6.00152724150062</v>
      </c>
      <c r="W61" s="171" t="n">
        <v>0.007860399819827699</v>
      </c>
      <c r="X61" s="171" t="n">
        <v>91.18296655624876</v>
      </c>
      <c r="Y61" s="171" t="n">
        <v>-35.76622475842646</v>
      </c>
      <c r="Z61" s="171" t="n">
        <v>-70.00452537343935</v>
      </c>
      <c r="AA61" s="171" t="n">
        <v>0.0101111378391482</v>
      </c>
      <c r="AB61" s="171" t="n">
        <v>20.57175407640771</v>
      </c>
      <c r="AC61" s="171" t="n">
        <v>-0.00025678811958</v>
      </c>
      <c r="AD61" s="171" t="n">
        <v>0.0013374283225811</v>
      </c>
      <c r="AE61" s="171" t="n">
        <v>0.0069324769724773</v>
      </c>
      <c r="AF61" s="171" t="n">
        <v>-0.0199951585744705</v>
      </c>
      <c r="AG61" s="171" t="n">
        <v>0.0002347246860882</v>
      </c>
      <c r="AH61" s="171" t="n">
        <v>-0.0001913380857362</v>
      </c>
      <c r="AI61" s="171" t="n">
        <v>-0.0031848976632705</v>
      </c>
      <c r="AJ61" s="171" t="n">
        <v>-7.784639644858208e-05</v>
      </c>
      <c r="AK61" s="171" t="n">
        <v>-0.0001981157479994</v>
      </c>
      <c r="AL61" s="171" t="n">
        <v>0</v>
      </c>
      <c r="AM61" s="171" t="n">
        <v>-0</v>
      </c>
      <c r="AN61" s="1" t="n">
        <v>-0.008930069298373399</v>
      </c>
      <c r="AO61" s="1" t="n">
        <v>1.220031020654488e-14</v>
      </c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4" t="inlineStr">
        <is>
          <t>2008-01</t>
        </is>
      </c>
      <c r="B62" s="163" t="n">
        <v>-0.0153368926205867</v>
      </c>
      <c r="C62" s="163" t="n">
        <v>0.0067006052035593</v>
      </c>
      <c r="D62" s="163" t="n">
        <v>-0.0220374978241461</v>
      </c>
      <c r="E62" s="170" t="n">
        <v>1983.184193548387</v>
      </c>
      <c r="F62" s="170" t="n">
        <v>2027.373735993374</v>
      </c>
      <c r="G62" s="163" t="n">
        <v>0.0056651267225528</v>
      </c>
      <c r="H62" s="163" t="n">
        <v>-0.0001763327027657</v>
      </c>
      <c r="I62" s="163" t="n">
        <v>0.0023227084534276</v>
      </c>
      <c r="J62" s="163" t="n">
        <v>0.0015806110403702</v>
      </c>
      <c r="K62" s="163" t="n">
        <v>9.895961455534136e-06</v>
      </c>
      <c r="L62" s="163" t="n">
        <v>-0.0013719749031576</v>
      </c>
      <c r="M62" s="163" t="n">
        <v>0.0029135107929718</v>
      </c>
      <c r="N62" s="163" t="n">
        <v>0.0143955888041894</v>
      </c>
      <c r="O62" s="163" t="n">
        <v>-0.0007540231533106</v>
      </c>
      <c r="P62" s="163" t="n">
        <v>-0.0098881950152074</v>
      </c>
      <c r="Q62" s="163" t="n">
        <v>8.427170579974187e-05</v>
      </c>
      <c r="R62" s="163" t="n">
        <v>-7.947559824299363e-05</v>
      </c>
      <c r="S62" s="163" t="n">
        <v>-0.0017872063856943</v>
      </c>
      <c r="T62" s="163" t="n">
        <v>-0.0074869751378603</v>
      </c>
      <c r="U62" s="163" t="n">
        <v>-0.0099112913470931</v>
      </c>
      <c r="V62" s="171" t="n">
        <v>91.43755432943485</v>
      </c>
      <c r="W62" s="171" t="n">
        <v>0.0404621159967706</v>
      </c>
      <c r="X62" s="171" t="n">
        <v>266.3996565961585</v>
      </c>
      <c r="Y62" s="171" t="n">
        <v>-247.7056519004663</v>
      </c>
      <c r="Z62" s="171" t="n">
        <v>-119.6807336755292</v>
      </c>
      <c r="AA62" s="171" t="n">
        <v>0.009461573832511999</v>
      </c>
      <c r="AB62" s="171" t="n">
        <v>9.503007508073845</v>
      </c>
      <c r="AC62" s="171" t="n">
        <v>-0.0007062147039847</v>
      </c>
      <c r="AD62" s="171" t="n">
        <v>-0.0012589049392474</v>
      </c>
      <c r="AE62" s="171" t="n">
        <v>-0.0030033287277828</v>
      </c>
      <c r="AF62" s="171" t="n">
        <v>0.0126473248398378</v>
      </c>
      <c r="AG62" s="171" t="n">
        <v>-0.0001977062208144</v>
      </c>
      <c r="AH62" s="171" t="n">
        <v>-0.0073212813409727</v>
      </c>
      <c r="AI62" s="171" t="n">
        <v>0.0006499698777028</v>
      </c>
      <c r="AJ62" s="171" t="n">
        <v>-0.0001428951496021</v>
      </c>
      <c r="AK62" s="171" t="n">
        <v>0.0007645342902274</v>
      </c>
      <c r="AL62" s="171" t="n">
        <v>0.0059963205398269</v>
      </c>
      <c r="AM62" s="171" t="n">
        <v>-0</v>
      </c>
      <c r="AN62" s="1" t="n">
        <v>0.0067006052036317</v>
      </c>
      <c r="AO62" s="1" t="n">
        <v>-7.240041899336802e-14</v>
      </c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64" t="inlineStr">
        <is>
          <t>2008-02</t>
        </is>
      </c>
      <c r="B63" s="163" t="n">
        <v>-0.0400673317586681</v>
      </c>
      <c r="C63" s="163" t="n">
        <v>-0.0363672685829074</v>
      </c>
      <c r="D63" s="163" t="n">
        <v>-0.0037000631757607</v>
      </c>
      <c r="E63" s="170" t="n">
        <v>1905.294137931035</v>
      </c>
      <c r="F63" s="170" t="n">
        <v>1912.356904894053</v>
      </c>
      <c r="G63" s="163" t="n">
        <v>0.0056651267225528</v>
      </c>
      <c r="H63" s="163" t="n">
        <v>0.0004952446157024</v>
      </c>
      <c r="I63" s="163" t="n">
        <v>0.0033318583645712</v>
      </c>
      <c r="J63" s="163" t="n">
        <v>0.0010345817718787</v>
      </c>
      <c r="K63" s="163" t="n">
        <v>3.002622294205355e-05</v>
      </c>
      <c r="L63" s="163" t="n">
        <v>-0.0017141669051158</v>
      </c>
      <c r="M63" s="163" t="n">
        <v>-0.0002326560681369</v>
      </c>
      <c r="N63" s="163" t="n">
        <v>0.0028070851594916</v>
      </c>
      <c r="O63" s="163" t="n">
        <v>-0.0047156204834108</v>
      </c>
      <c r="P63" s="163" t="n">
        <v>0.0022661226272793</v>
      </c>
      <c r="Q63" s="163" t="n">
        <v>0.0001585560649516</v>
      </c>
      <c r="R63" s="163" t="n">
        <v>-0.0008473568515811</v>
      </c>
      <c r="S63" s="163" t="n">
        <v>5.735396765998963e-05</v>
      </c>
      <c r="T63" s="163" t="n">
        <v>-0.010605573139064</v>
      </c>
      <c r="U63" s="163" t="n">
        <v>-0.0150662075904378</v>
      </c>
      <c r="V63" s="171" t="n">
        <v>18.30465808657696</v>
      </c>
      <c r="W63" s="171" t="n">
        <v>0.0204681881966766</v>
      </c>
      <c r="X63" s="171" t="n">
        <v>208.8318410819672</v>
      </c>
      <c r="Y63" s="171" t="n">
        <v>-4.761816982543481</v>
      </c>
      <c r="Z63" s="171" t="n">
        <v>-206.0376514448058</v>
      </c>
      <c r="AA63" s="171" t="n">
        <v>-0.0008313602223299</v>
      </c>
      <c r="AB63" s="171" t="n">
        <v>-16.36025886687642</v>
      </c>
      <c r="AC63" s="171" t="n">
        <v>0.0006762364587666</v>
      </c>
      <c r="AD63" s="171" t="n">
        <v>-0.0003720284685991</v>
      </c>
      <c r="AE63" s="171" t="n">
        <v>0.0041376437927389</v>
      </c>
      <c r="AF63" s="171" t="n">
        <v>-0.0096962823772089</v>
      </c>
      <c r="AG63" s="171" t="n">
        <v>-0.0004341301482111</v>
      </c>
      <c r="AH63" s="171" t="n">
        <v>-0.0074600782875404</v>
      </c>
      <c r="AI63" s="171" t="n">
        <v>0.0007058690976864</v>
      </c>
      <c r="AJ63" s="171" t="n">
        <v>-0.000175684879344</v>
      </c>
      <c r="AK63" s="171" t="n">
        <v>0.0022769168103077</v>
      </c>
      <c r="AL63" s="171" t="n">
        <v>-0.005098807353536</v>
      </c>
      <c r="AM63" s="171" t="n">
        <v>-0</v>
      </c>
      <c r="AN63" s="1" t="n">
        <v>-0.0363672685828763</v>
      </c>
      <c r="AO63" s="1" t="n">
        <v>-3.11001224773122e-14</v>
      </c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64" t="inlineStr">
        <is>
          <t>2008-03</t>
        </is>
      </c>
      <c r="B64" s="163" t="n">
        <v>-0.0329741357249533</v>
      </c>
      <c r="C64" s="163" t="n">
        <v>-0.0418525661472265</v>
      </c>
      <c r="D64" s="163" t="n">
        <v>0.0088784304222732</v>
      </c>
      <c r="E64" s="170" t="n">
        <v>1843.493225806452</v>
      </c>
      <c r="F64" s="170" t="n">
        <v>1827.198342997769</v>
      </c>
      <c r="G64" s="163" t="n">
        <v>0.0056651267225528</v>
      </c>
      <c r="H64" s="163" t="n">
        <v>0.0005667894078671</v>
      </c>
      <c r="I64" s="163" t="n">
        <v>0.0025136118981021</v>
      </c>
      <c r="J64" s="163" t="n">
        <v>0.0034593084763162</v>
      </c>
      <c r="K64" s="163" t="n">
        <v>-1.64315754350381e-05</v>
      </c>
      <c r="L64" s="163" t="n">
        <v>-0.0041619389172294</v>
      </c>
      <c r="M64" s="163" t="n">
        <v>0.0010384208072828</v>
      </c>
      <c r="N64" s="163" t="n">
        <v>0.003903683707143</v>
      </c>
      <c r="O64" s="163" t="n">
        <v>-0.0052327066522621</v>
      </c>
      <c r="P64" s="163" t="n">
        <v>0.0001402473569324</v>
      </c>
      <c r="Q64" s="163" t="n">
        <v>5.011546372273841e-05</v>
      </c>
      <c r="R64" s="163" t="n">
        <v>-0.0005542405033128</v>
      </c>
      <c r="S64" s="163" t="n">
        <v>0.0031859550680245</v>
      </c>
      <c r="T64" s="163" t="n">
        <v>-0.005718503521755</v>
      </c>
      <c r="U64" s="163" t="n">
        <v>-0.021890094209582</v>
      </c>
      <c r="V64" s="171" t="n">
        <v>89.73712161100967</v>
      </c>
      <c r="W64" s="171" t="n">
        <v>0.0410596040277958</v>
      </c>
      <c r="X64" s="171" t="n">
        <v>147.8867248019343</v>
      </c>
      <c r="Y64" s="171" t="n">
        <v>-159.5454143635685</v>
      </c>
      <c r="Z64" s="171" t="n">
        <v>-53.38624041832025</v>
      </c>
      <c r="AA64" s="171" t="n">
        <v>-0.0127665881807427</v>
      </c>
      <c r="AB64" s="171" t="n">
        <v>-24.71467677235092</v>
      </c>
      <c r="AC64" s="171" t="n">
        <v>-0.0003685953069539</v>
      </c>
      <c r="AD64" s="171" t="n">
        <v>0.0029745177448006</v>
      </c>
      <c r="AE64" s="171" t="n">
        <v>0.008123880104159801</v>
      </c>
      <c r="AF64" s="171" t="n">
        <v>-0.02632834816941</v>
      </c>
      <c r="AG64" s="171" t="n">
        <v>-0.0012606351422713</v>
      </c>
      <c r="AH64" s="171" t="n">
        <v>-0.009793969703931</v>
      </c>
      <c r="AI64" s="171" t="n">
        <v>-0.0020795867709651</v>
      </c>
      <c r="AJ64" s="171" t="n">
        <v>-0.0002609118299636</v>
      </c>
      <c r="AK64" s="171" t="n">
        <v>0.0017663627099475</v>
      </c>
      <c r="AL64" s="171" t="n">
        <v>-0.0033824978622906</v>
      </c>
      <c r="AM64" s="171" t="n">
        <v>-0</v>
      </c>
      <c r="AN64" s="1" t="n">
        <v>-0.041852566147226</v>
      </c>
      <c r="AO64" s="1" t="n">
        <v>-4.996003610813204e-16</v>
      </c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64" t="inlineStr">
        <is>
          <t>2008-04</t>
        </is>
      </c>
      <c r="B65" s="163" t="n">
        <v>-0.0265998621386023</v>
      </c>
      <c r="C65" s="163" t="n">
        <v>-0.0216089741939069</v>
      </c>
      <c r="D65" s="163" t="n">
        <v>-0.0049908879446953</v>
      </c>
      <c r="E65" s="170" t="n">
        <v>1795.103</v>
      </c>
      <c r="F65" s="170" t="n">
        <v>1804.084552239162</v>
      </c>
      <c r="G65" s="163" t="n">
        <v>0.0056651267225528</v>
      </c>
      <c r="H65" s="163" t="n">
        <v>-0.0001689240179793</v>
      </c>
      <c r="I65" s="163" t="n">
        <v>0.0021746920119869</v>
      </c>
      <c r="J65" s="163" t="n">
        <v>0.0019894888555782</v>
      </c>
      <c r="K65" s="163" t="n">
        <v>2.748637706468093e-05</v>
      </c>
      <c r="L65" s="163" t="n">
        <v>-0.0006827152025623</v>
      </c>
      <c r="M65" s="163" t="n">
        <v>-0.0037869246765511</v>
      </c>
      <c r="N65" s="163" t="n">
        <v>-0.0133224484483067</v>
      </c>
      <c r="O65" s="163" t="n">
        <v>-0.0031054569621637</v>
      </c>
      <c r="P65" s="163" t="n">
        <v>0.0109840621777871</v>
      </c>
      <c r="Q65" s="163" t="n">
        <v>-0.0001771058816123</v>
      </c>
      <c r="R65" s="163" t="n">
        <v>-0.000123363087087</v>
      </c>
      <c r="S65" s="163" t="n">
        <v>-0.0028480150042762</v>
      </c>
      <c r="T65" s="163" t="n">
        <v>-0.0049398477070645</v>
      </c>
      <c r="U65" s="163" t="n">
        <v>-0.0118281092226589</v>
      </c>
      <c r="V65" s="171" t="n">
        <v>-77.52544260961338</v>
      </c>
      <c r="W65" s="171" t="n">
        <v>-0.0378817566720654</v>
      </c>
      <c r="X65" s="171" t="n">
        <v>-178.7393850576636</v>
      </c>
      <c r="Y65" s="171" t="n">
        <v>115.7142565713794</v>
      </c>
      <c r="Z65" s="171" t="n">
        <v>110.2083112511114</v>
      </c>
      <c r="AA65" s="171" t="n">
        <v>0.0030731731068683</v>
      </c>
      <c r="AB65" s="171" t="n">
        <v>30.36333757916449</v>
      </c>
      <c r="AC65" s="171" t="n">
        <v>0.0004961013151069</v>
      </c>
      <c r="AD65" s="171" t="n">
        <v>-0.0011388968590568</v>
      </c>
      <c r="AE65" s="171" t="n">
        <v>-0.0039341124244098</v>
      </c>
      <c r="AF65" s="171" t="n">
        <v>0.0155531132211188</v>
      </c>
      <c r="AG65" s="171" t="n">
        <v>-0.0007393743889068</v>
      </c>
      <c r="AH65" s="171" t="n">
        <v>-0.0063514487817555</v>
      </c>
      <c r="AI65" s="171" t="n">
        <v>0.0005281005256336</v>
      </c>
      <c r="AJ65" s="171" t="n">
        <v>-0.0003993662691729</v>
      </c>
      <c r="AK65" s="171" t="n">
        <v>0.0037499566211254</v>
      </c>
      <c r="AL65" s="171" t="n">
        <v>0.0044998560986774</v>
      </c>
      <c r="AM65" s="171" t="n">
        <v>-0</v>
      </c>
      <c r="AN65" s="1" t="n">
        <v>-0.0216089741939025</v>
      </c>
      <c r="AO65" s="1" t="n">
        <v>-4.399258735077183e-15</v>
      </c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64" t="inlineStr">
        <is>
          <t>2008-05</t>
        </is>
      </c>
      <c r="B66" s="163" t="n">
        <v>-0.0111740228322823</v>
      </c>
      <c r="C66" s="163" t="n">
        <v>-0.0037358964653463</v>
      </c>
      <c r="D66" s="163" t="n">
        <v>-0.0074381263669359</v>
      </c>
      <c r="E66" s="170" t="n">
        <v>1775.156129032257</v>
      </c>
      <c r="F66" s="170" t="n">
        <v>1788.409192518633</v>
      </c>
      <c r="G66" s="163" t="n">
        <v>0.0056651267225528</v>
      </c>
      <c r="H66" s="163" t="n">
        <v>0.0005177958551494</v>
      </c>
      <c r="I66" s="163" t="n">
        <v>0.0037329733518472</v>
      </c>
      <c r="J66" s="163" t="n">
        <v>0.0011380399490665</v>
      </c>
      <c r="K66" s="163" t="n">
        <v>8.12105569790754e-05</v>
      </c>
      <c r="L66" s="163" t="n">
        <v>0.0006467999923776</v>
      </c>
      <c r="M66" s="163" t="n">
        <v>-0.0027136942109199</v>
      </c>
      <c r="N66" s="163" t="n">
        <v>-0.0102061178956552</v>
      </c>
      <c r="O66" s="163" t="n">
        <v>-0.0008510006009602</v>
      </c>
      <c r="P66" s="163" t="n">
        <v>-0.007822209592202501</v>
      </c>
      <c r="Q66" s="163" t="n">
        <v>5.356879548257657e-05</v>
      </c>
      <c r="R66" s="163" t="n">
        <v>0.0011180017609474</v>
      </c>
      <c r="S66" s="163" t="n">
        <v>0.0020354825646067</v>
      </c>
      <c r="T66" s="163" t="n">
        <v>-0.0065678240810313</v>
      </c>
      <c r="U66" s="163" t="n">
        <v>0.0104253141040698</v>
      </c>
      <c r="V66" s="171" t="n">
        <v>-27.92996463389797</v>
      </c>
      <c r="W66" s="171" t="n">
        <v>-0.0173223683085351</v>
      </c>
      <c r="X66" s="171" t="n">
        <v>-165.5168163766367</v>
      </c>
      <c r="Y66" s="171" t="n">
        <v>143.7661975583805</v>
      </c>
      <c r="Z66" s="171" t="n">
        <v>80.36602604295608</v>
      </c>
      <c r="AA66" s="171" t="n">
        <v>-0.0137439981718604</v>
      </c>
      <c r="AB66" s="171" t="n">
        <v>-30.64905638578124</v>
      </c>
      <c r="AC66" s="171" t="n">
        <v>0.0002471254489442</v>
      </c>
      <c r="AD66" s="171" t="n">
        <v>-0.0023769397495963</v>
      </c>
      <c r="AE66" s="171" t="n">
        <v>-0.0064683261690927</v>
      </c>
      <c r="AF66" s="171" t="n">
        <v>0.0180063607889216</v>
      </c>
      <c r="AG66" s="171" t="n">
        <v>-0.0017146021012591</v>
      </c>
      <c r="AH66" s="171" t="n">
        <v>-0.0113114715601085</v>
      </c>
      <c r="AI66" s="171" t="n">
        <v>-0.0053240046563233</v>
      </c>
      <c r="AJ66" s="171" t="n">
        <v>-0.0002233763948308</v>
      </c>
      <c r="AK66" s="171" t="n">
        <v>0.0035258447974772</v>
      </c>
      <c r="AL66" s="171" t="n">
        <v>-0.0006698126820512</v>
      </c>
      <c r="AM66" s="171" t="n">
        <v>-0</v>
      </c>
      <c r="AN66" s="1" t="n">
        <v>-0.0037358964653403</v>
      </c>
      <c r="AO66" s="1" t="n">
        <v>-5.999974822534782e-15</v>
      </c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64" t="inlineStr">
        <is>
          <t>2008-06</t>
        </is>
      </c>
      <c r="B67" s="163" t="n">
        <v>-0.0244462631242914</v>
      </c>
      <c r="C67" s="163" t="n">
        <v>0.0004427592677012</v>
      </c>
      <c r="D67" s="163" t="n">
        <v>-0.0248890223919926</v>
      </c>
      <c r="E67" s="170" t="n">
        <v>1732.286333333334</v>
      </c>
      <c r="F67" s="170" t="n">
        <v>1775.942269882733</v>
      </c>
      <c r="G67" s="163" t="n">
        <v>0.0056651267225528</v>
      </c>
      <c r="H67" s="163" t="n">
        <v>0.0002080068759425</v>
      </c>
      <c r="I67" s="163" t="n">
        <v>0.0027329633700833</v>
      </c>
      <c r="J67" s="163" t="n">
        <v>0.0010345817718787</v>
      </c>
      <c r="K67" s="163" t="n">
        <v>-5.868720926395208e-05</v>
      </c>
      <c r="L67" s="163" t="n">
        <v>0.0005782811654049</v>
      </c>
      <c r="M67" s="163" t="n">
        <v>0.0031290747434908</v>
      </c>
      <c r="N67" s="163" t="n">
        <v>0.0004372847542516</v>
      </c>
      <c r="O67" s="163" t="n">
        <v>-0.0017980010794216</v>
      </c>
      <c r="P67" s="163" t="n">
        <v>0.0018296658357313</v>
      </c>
      <c r="Q67" s="163" t="n">
        <v>-0.0001292452215459</v>
      </c>
      <c r="R67" s="163" t="n">
        <v>-0.0004029086503623</v>
      </c>
      <c r="S67" s="163" t="n">
        <v>-0.0009794862959636001</v>
      </c>
      <c r="T67" s="163" t="n">
        <v>-0.0060959875617701</v>
      </c>
      <c r="U67" s="163" t="n">
        <v>0.01292196404882</v>
      </c>
      <c r="V67" s="171" t="n">
        <v>-48.17511652856022</v>
      </c>
      <c r="W67" s="171" t="n">
        <v>-0.0172041205547238</v>
      </c>
      <c r="X67" s="171" t="n">
        <v>-136.2967258638051</v>
      </c>
      <c r="Y67" s="171" t="n">
        <v>153.9490521366619</v>
      </c>
      <c r="Z67" s="171" t="n">
        <v>45.11033451067095</v>
      </c>
      <c r="AA67" s="171" t="n">
        <v>-0.0159030835649876</v>
      </c>
      <c r="AB67" s="171" t="n">
        <v>-14.55737319712469</v>
      </c>
      <c r="AC67" s="171" t="n">
        <v>-0.0001724194983702</v>
      </c>
      <c r="AD67" s="171" t="n">
        <v>0.0009648184526245</v>
      </c>
      <c r="AE67" s="171" t="n">
        <v>0.0029065272233336</v>
      </c>
      <c r="AF67" s="171" t="n">
        <v>-0.0073597427034084</v>
      </c>
      <c r="AG67" s="171" t="n">
        <v>-0.0010806279389324</v>
      </c>
      <c r="AH67" s="171" t="n">
        <v>-0.0077221700788969</v>
      </c>
      <c r="AI67" s="171" t="n">
        <v>-0.001026101471276</v>
      </c>
      <c r="AJ67" s="171" t="n">
        <v>-0.0004021715428436</v>
      </c>
      <c r="AK67" s="171" t="n">
        <v>0.0013480153236716</v>
      </c>
      <c r="AL67" s="171" t="n">
        <v>-0.0031498554911424</v>
      </c>
      <c r="AM67" s="171" t="n">
        <v>-0</v>
      </c>
      <c r="AN67" s="1" t="n">
        <v>0.0004427592677046</v>
      </c>
      <c r="AO67" s="1" t="n">
        <v>-3.400003802805918e-15</v>
      </c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64" t="inlineStr">
        <is>
          <t>2008-07</t>
        </is>
      </c>
      <c r="B68" s="163" t="n">
        <v>0.0277582452987914</v>
      </c>
      <c r="C68" s="163" t="n">
        <v>-0.0108605054913594</v>
      </c>
      <c r="D68" s="163" t="n">
        <v>0.0386187507901508</v>
      </c>
      <c r="E68" s="170" t="n">
        <v>1781.045161290322</v>
      </c>
      <c r="F68" s="170" t="n">
        <v>1713.574621344044</v>
      </c>
      <c r="G68" s="163" t="n">
        <v>0.0056651267225528</v>
      </c>
      <c r="H68" s="163" t="n">
        <v>-0.0002042998425209</v>
      </c>
      <c r="I68" s="163" t="n">
        <v>0.0011456189111341</v>
      </c>
      <c r="J68" s="163" t="n">
        <v>-6.897211812524612e-05</v>
      </c>
      <c r="K68" s="163" t="n">
        <v>8.403645018017492e-05</v>
      </c>
      <c r="L68" s="163" t="n">
        <v>-0.0014445854704373</v>
      </c>
      <c r="M68" s="163" t="n">
        <v>0.0015784154613205</v>
      </c>
      <c r="N68" s="163" t="n">
        <v>0.0102548649073127</v>
      </c>
      <c r="O68" s="163" t="n">
        <v>-0.0049425995271643</v>
      </c>
      <c r="P68" s="163" t="n">
        <v>-0.0043406232902401</v>
      </c>
      <c r="Q68" s="163" t="n">
        <v>0.0003220099118548</v>
      </c>
      <c r="R68" s="163" t="n">
        <v>-0.0009467269680567</v>
      </c>
      <c r="S68" s="163" t="n">
        <v>-0.0032787320201297</v>
      </c>
      <c r="T68" s="163" t="n">
        <v>-0.0033868402148803</v>
      </c>
      <c r="U68" s="163" t="n">
        <v>-0.0088457618651575</v>
      </c>
      <c r="V68" s="171" t="n">
        <v>16.99861144402182</v>
      </c>
      <c r="W68" s="171" t="n">
        <v>0.0125564272550448</v>
      </c>
      <c r="X68" s="171" t="n">
        <v>83.34413931744974</v>
      </c>
      <c r="Y68" s="171" t="n">
        <v>-64.37219157992102</v>
      </c>
      <c r="Z68" s="171" t="n">
        <v>-45.21835336287919</v>
      </c>
      <c r="AA68" s="171" t="n">
        <v>0.00546001443314</v>
      </c>
      <c r="AB68" s="171" t="n">
        <v>9.231574641788034</v>
      </c>
      <c r="AC68" s="171" t="n">
        <v>-0.0001606816108338</v>
      </c>
      <c r="AD68" s="171" t="n">
        <v>0.0008689556288074</v>
      </c>
      <c r="AE68" s="171" t="n">
        <v>0.0026434256984204</v>
      </c>
      <c r="AF68" s="171" t="n">
        <v>-0.0077289207354564</v>
      </c>
      <c r="AG68" s="171" t="n">
        <v>-4.322511744318543e-05</v>
      </c>
      <c r="AH68" s="171" t="n">
        <v>-0.0013257832527073</v>
      </c>
      <c r="AI68" s="171" t="n">
        <v>-0.002784776930757</v>
      </c>
      <c r="AJ68" s="171" t="n">
        <v>-0.0004969723837507</v>
      </c>
      <c r="AK68" s="171" t="n">
        <v>0.0020773300803304</v>
      </c>
      <c r="AL68" s="171" t="n">
        <v>0.0027023099368069</v>
      </c>
      <c r="AM68" s="171" t="n">
        <v>-0</v>
      </c>
      <c r="AN68" s="1" t="n">
        <v>-0.0108605054913707</v>
      </c>
      <c r="AO68" s="1" t="n">
        <v>1.129998872251292e-14</v>
      </c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64" t="inlineStr">
        <is>
          <t>2008-08</t>
        </is>
      </c>
      <c r="B69" s="163" t="n">
        <v>0.0366207902430071</v>
      </c>
      <c r="C69" s="163" t="n">
        <v>0.0223032817544298</v>
      </c>
      <c r="D69" s="163" t="n">
        <v>0.0143175084885773</v>
      </c>
      <c r="E69" s="170" t="n">
        <v>1847.477419354839</v>
      </c>
      <c r="F69" s="170" t="n">
        <v>1821.214603401262</v>
      </c>
      <c r="G69" s="163" t="n">
        <v>0.0056651267225528</v>
      </c>
      <c r="H69" s="163" t="n">
        <v>-0.0011990435497826</v>
      </c>
      <c r="I69" s="163" t="n">
        <v>0.00395358290979</v>
      </c>
      <c r="J69" s="163" t="n">
        <v>7.675929275229538e-05</v>
      </c>
      <c r="K69" s="163" t="n">
        <v>1.561550587375127e-05</v>
      </c>
      <c r="L69" s="163" t="n">
        <v>0.0057517621699848</v>
      </c>
      <c r="M69" s="163" t="n">
        <v>-0.0026733593639283</v>
      </c>
      <c r="N69" s="163" t="n">
        <v>0.0012312281699758</v>
      </c>
      <c r="O69" s="163" t="n">
        <v>-0.0051313435984997</v>
      </c>
      <c r="P69" s="163" t="n">
        <v>-0.0023181739770393</v>
      </c>
      <c r="Q69" s="163" t="n">
        <v>-7.305781367507543e-05</v>
      </c>
      <c r="R69" s="163" t="n">
        <v>-0.0012869168539681</v>
      </c>
      <c r="S69" s="163" t="n">
        <v>0.0007920638812587</v>
      </c>
      <c r="T69" s="163" t="n">
        <v>-0.0013297683074389</v>
      </c>
      <c r="U69" s="163" t="n">
        <v>0.0088285992573765</v>
      </c>
      <c r="V69" s="171" t="n">
        <v>-30.60778893165329</v>
      </c>
      <c r="W69" s="171" t="n">
        <v>-0.0300399093487069</v>
      </c>
      <c r="X69" s="171" t="n">
        <v>63.43343504847003</v>
      </c>
      <c r="Y69" s="171" t="n">
        <v>-85.57244598084642</v>
      </c>
      <c r="Z69" s="171" t="n">
        <v>-12.7503791318152</v>
      </c>
      <c r="AA69" s="171" t="n">
        <v>0.047892068237711</v>
      </c>
      <c r="AB69" s="171" t="n">
        <v>65.46389297203515</v>
      </c>
      <c r="AC69" s="171" t="n">
        <v>0.000111662275182</v>
      </c>
      <c r="AD69" s="171" t="n">
        <v>-0.0001079696520837</v>
      </c>
      <c r="AE69" s="171" t="n">
        <v>-0.0005659164875491</v>
      </c>
      <c r="AF69" s="171" t="n">
        <v>0.0044277545908208</v>
      </c>
      <c r="AG69" s="171" t="n">
        <v>0.002295479234229</v>
      </c>
      <c r="AH69" s="171" t="n">
        <v>0.0184499834214991</v>
      </c>
      <c r="AI69" s="171" t="n">
        <v>-0.003124359034341</v>
      </c>
      <c r="AJ69" s="171" t="n">
        <v>-0.000473033227536</v>
      </c>
      <c r="AK69" s="171" t="n">
        <v>0.0091689482181552</v>
      </c>
      <c r="AL69" s="171" t="n">
        <v>-0.0047484771084561</v>
      </c>
      <c r="AM69" s="171" t="n">
        <v>-0</v>
      </c>
      <c r="AN69" s="1" t="n">
        <v>0.0223032817544389</v>
      </c>
      <c r="AO69" s="1" t="n">
        <v>-9.10035935497433e-15</v>
      </c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64" t="inlineStr">
        <is>
          <t>2008-09</t>
        </is>
      </c>
      <c r="B70" s="163" t="n">
        <v>0.1118837281753144</v>
      </c>
      <c r="C70" s="163" t="n">
        <v>0.0616687804829598</v>
      </c>
      <c r="D70" s="163" t="n">
        <v>0.0502149476923545</v>
      </c>
      <c r="E70" s="170" t="n">
        <v>2066.187</v>
      </c>
      <c r="F70" s="170" t="n">
        <v>1964.995454285358</v>
      </c>
      <c r="G70" s="163" t="n">
        <v>0.0056651267225528</v>
      </c>
      <c r="H70" s="163" t="n">
        <v>-0.0002963263073212</v>
      </c>
      <c r="I70" s="163" t="n">
        <v>-0.0017467299522898</v>
      </c>
      <c r="J70" s="163" t="n">
        <v>0.0007853921838132</v>
      </c>
      <c r="K70" s="163" t="n">
        <v>-5.824219911316513e-05</v>
      </c>
      <c r="L70" s="163" t="n">
        <v>0.0052135917798687</v>
      </c>
      <c r="M70" s="163" t="n">
        <v>0.0062789305356826</v>
      </c>
      <c r="N70" s="163" t="n">
        <v>0.0134782349013344</v>
      </c>
      <c r="O70" s="163" t="n">
        <v>-0.0029707380611827</v>
      </c>
      <c r="P70" s="163" t="n">
        <v>0.0012577500427387</v>
      </c>
      <c r="Q70" s="163" t="n">
        <v>-0.0001388344720176</v>
      </c>
      <c r="R70" s="163" t="n">
        <v>0.0007069584932341999</v>
      </c>
      <c r="S70" s="163" t="n">
        <v>-0.0010262769249189</v>
      </c>
      <c r="T70" s="163" t="n">
        <v>0.0013297683074389</v>
      </c>
      <c r="U70" s="163" t="n">
        <v>0.0310047146378684</v>
      </c>
      <c r="V70" s="171" t="n">
        <v>-49.67264046882035</v>
      </c>
      <c r="W70" s="171" t="n">
        <v>-0.039568569179985</v>
      </c>
      <c r="X70" s="171" t="n">
        <v>143.0222485451065</v>
      </c>
      <c r="Y70" s="171" t="n">
        <v>-139.9230816431614</v>
      </c>
      <c r="Z70" s="171" t="n">
        <v>-60.14157325257615</v>
      </c>
      <c r="AA70" s="171" t="n">
        <v>0.067699685131897</v>
      </c>
      <c r="AB70" s="171" t="n">
        <v>106.6674020742401</v>
      </c>
      <c r="AC70" s="171" t="n">
        <v>-0.0013414335810754</v>
      </c>
      <c r="AD70" s="171" t="n">
        <v>0.0051880495128776</v>
      </c>
      <c r="AE70" s="171" t="n">
        <v>0.0164450863520045</v>
      </c>
      <c r="AF70" s="171" t="n">
        <v>-0.0357721604085733</v>
      </c>
      <c r="AG70" s="171" t="n">
        <v>0.0022045898978089</v>
      </c>
      <c r="AH70" s="171" t="n">
        <v>0.0145119428478681</v>
      </c>
      <c r="AI70" s="171" t="n">
        <v>-0.0014159249790557</v>
      </c>
      <c r="AJ70" s="171" t="n">
        <v>-0.0005427400484494</v>
      </c>
      <c r="AK70" s="171" t="n">
        <v>0.0261013816906915</v>
      </c>
      <c r="AL70" s="171" t="n">
        <v>-0.0036797012294624</v>
      </c>
      <c r="AM70" s="171" t="n">
        <v>-0</v>
      </c>
      <c r="AN70" s="1" t="n">
        <v>0.0616687804829704</v>
      </c>
      <c r="AO70" s="1" t="n">
        <v>-1.060262988517024e-14</v>
      </c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64" t="inlineStr">
        <is>
          <t>2008-10</t>
        </is>
      </c>
      <c r="B71" s="163" t="n">
        <v>0.1023481517395445</v>
      </c>
      <c r="C71" s="163" t="n">
        <v>0.1408420509552672</v>
      </c>
      <c r="D71" s="163" t="n">
        <v>-0.0384938992157226</v>
      </c>
      <c r="E71" s="170" t="n">
        <v>2288.858064516129</v>
      </c>
      <c r="F71" s="170" t="n">
        <v>2378.682898780937</v>
      </c>
      <c r="G71" s="163" t="n">
        <v>0.0056651267225528</v>
      </c>
      <c r="H71" s="163" t="n">
        <v>-0.0013266373117392</v>
      </c>
      <c r="I71" s="163" t="n">
        <v>0.0030648935308933</v>
      </c>
      <c r="J71" s="163" t="n">
        <v>0.0006552351221898001</v>
      </c>
      <c r="K71" s="163" t="n">
        <v>1.128930182247879e-05</v>
      </c>
      <c r="L71" s="163" t="n">
        <v>0.0144980086942929</v>
      </c>
      <c r="M71" s="163" t="n">
        <v>0.01166826096185</v>
      </c>
      <c r="N71" s="163" t="n">
        <v>0.0733331318664899</v>
      </c>
      <c r="O71" s="163" t="n">
        <v>-0.0044218885778231</v>
      </c>
      <c r="P71" s="163" t="n">
        <v>0.00100248254976</v>
      </c>
      <c r="Q71" s="163" t="n">
        <v>5.635707835903802e-05</v>
      </c>
      <c r="R71" s="163" t="n">
        <v>-0.0008727225089307</v>
      </c>
      <c r="S71" s="163" t="n">
        <v>0.0008382691202988</v>
      </c>
      <c r="T71" s="163" t="n">
        <v>-0.002453006854389</v>
      </c>
      <c r="U71" s="163" t="n">
        <v>0.080970692554483</v>
      </c>
      <c r="V71" s="171" t="n">
        <v>-257.8570468661328</v>
      </c>
      <c r="W71" s="171" t="n">
        <v>-0.1172478718963523</v>
      </c>
      <c r="X71" s="171" t="n">
        <v>192.7180038486329</v>
      </c>
      <c r="Y71" s="171" t="n">
        <v>89.69608130593612</v>
      </c>
      <c r="Z71" s="171" t="n">
        <v>-245.8758350534652</v>
      </c>
      <c r="AA71" s="171" t="n">
        <v>0.1387653884769875</v>
      </c>
      <c r="AB71" s="171" t="n">
        <v>221.252072279831</v>
      </c>
      <c r="AC71" s="171" t="n">
        <v>-0.0008475505372122</v>
      </c>
      <c r="AD71" s="171" t="n">
        <v>0.0183020701310372</v>
      </c>
      <c r="AE71" s="171" t="n">
        <v>0.0273538712764721</v>
      </c>
      <c r="AF71" s="171" t="n">
        <v>-0.06931258006857249</v>
      </c>
      <c r="AG71" s="171" t="n">
        <v>0.0044304098492789</v>
      </c>
      <c r="AH71" s="171" t="n">
        <v>0.0336164883470707</v>
      </c>
      <c r="AI71" s="171" t="n">
        <v>-0.0035801526742065</v>
      </c>
      <c r="AJ71" s="171" t="n">
        <v>-0.0008712423415138</v>
      </c>
      <c r="AK71" s="171" t="n">
        <v>-0.0057317866598425</v>
      </c>
      <c r="AL71" s="171" t="n">
        <v>0</v>
      </c>
      <c r="AM71" s="171" t="n">
        <v>-0</v>
      </c>
      <c r="AN71" s="1" t="n">
        <v>0.1408420509552808</v>
      </c>
      <c r="AO71" s="1" t="n">
        <v>-1.360023205165817e-14</v>
      </c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64" t="inlineStr">
        <is>
          <t>2008-11</t>
        </is>
      </c>
      <c r="B72" s="163" t="n">
        <v>0.0193849620155912</v>
      </c>
      <c r="C72" s="163" t="n">
        <v>0.0488526332245435</v>
      </c>
      <c r="D72" s="163" t="n">
        <v>-0.0294676712089522</v>
      </c>
      <c r="E72" s="170" t="n">
        <v>2333.660333333334</v>
      </c>
      <c r="F72" s="170" t="n">
        <v>2403.451104371936</v>
      </c>
      <c r="G72" s="163" t="n">
        <v>0.0056651267225528</v>
      </c>
      <c r="H72" s="163" t="n">
        <v>-0.0017154538332702</v>
      </c>
      <c r="I72" s="163" t="n">
        <v>-0.0002646106726044</v>
      </c>
      <c r="J72" s="163" t="n">
        <v>0.0028968289612603</v>
      </c>
      <c r="K72" s="163" t="n">
        <v>7.851403799272094e-06</v>
      </c>
      <c r="L72" s="163" t="n">
        <v>0.0055540547748144</v>
      </c>
      <c r="M72" s="163" t="n">
        <v>0.0003988726842249</v>
      </c>
      <c r="N72" s="163" t="n">
        <v>0.0042384166741018</v>
      </c>
      <c r="O72" s="163" t="n">
        <v>0.0067624652060494</v>
      </c>
      <c r="P72" s="163" t="n">
        <v>0.0031304963726806</v>
      </c>
      <c r="Q72" s="163" t="n">
        <v>-0.0005753305343643</v>
      </c>
      <c r="R72" s="163" t="n">
        <v>-0.00231499607134</v>
      </c>
      <c r="S72" s="163" t="n">
        <v>0.0048471538396842</v>
      </c>
      <c r="T72" s="163" t="n">
        <v>-0.0019359464238206</v>
      </c>
      <c r="U72" s="163" t="n">
        <v>0.0160227103556488</v>
      </c>
      <c r="V72" s="171" t="n">
        <v>-38.88418078469408</v>
      </c>
      <c r="W72" s="171" t="n">
        <v>-0.09144134930775261</v>
      </c>
      <c r="X72" s="171" t="n">
        <v>165.9529991323728</v>
      </c>
      <c r="Y72" s="171" t="n">
        <v>-201.5672219620961</v>
      </c>
      <c r="Z72" s="171" t="n">
        <v>-46.5602798730049</v>
      </c>
      <c r="AA72" s="171" t="n">
        <v>0.1400405561575623</v>
      </c>
      <c r="AB72" s="171" t="n">
        <v>120.9982002577176</v>
      </c>
      <c r="AC72" s="171" t="n">
        <v>0.0011949496493414</v>
      </c>
      <c r="AD72" s="171" t="n">
        <v>-0.0060286874755699</v>
      </c>
      <c r="AE72" s="171" t="n">
        <v>0.0129738836860505</v>
      </c>
      <c r="AF72" s="171" t="n">
        <v>-0.0180277969327179</v>
      </c>
      <c r="AG72" s="171" t="n">
        <v>0.0044977349055236</v>
      </c>
      <c r="AH72" s="171" t="n">
        <v>0.0275494794450265</v>
      </c>
      <c r="AI72" s="171" t="n">
        <v>-0.0035500530942153</v>
      </c>
      <c r="AJ72" s="171" t="n">
        <v>-0.000763393600235</v>
      </c>
      <c r="AK72" s="171" t="n">
        <v>0.0076996821429837</v>
      </c>
      <c r="AL72" s="171" t="n">
        <v>-0.0075267821061608</v>
      </c>
      <c r="AM72" s="171" t="n">
        <v>-0</v>
      </c>
      <c r="AN72" s="1" t="n">
        <v>0.0488526332245375</v>
      </c>
      <c r="AO72" s="1" t="n">
        <v>6.002143226879753e-15</v>
      </c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64" t="inlineStr">
        <is>
          <t>2008-12</t>
        </is>
      </c>
      <c r="B73" s="163" t="n">
        <v>-0.0358367479191592</v>
      </c>
      <c r="C73" s="163" t="n">
        <v>-0.0255554294295601</v>
      </c>
      <c r="D73" s="163" t="n">
        <v>-0.0102813184895991</v>
      </c>
      <c r="E73" s="170" t="n">
        <v>2251.510322580646</v>
      </c>
      <c r="F73" s="170" t="n">
        <v>2274.778224684012</v>
      </c>
      <c r="G73" s="163" t="n">
        <v>0.0056651267225528</v>
      </c>
      <c r="H73" s="163" t="n">
        <v>0.0011335747077013</v>
      </c>
      <c r="I73" s="163" t="n">
        <v>-0.0056380506570267</v>
      </c>
      <c r="J73" s="163" t="n">
        <v>0.0020001914256321</v>
      </c>
      <c r="K73" s="163" t="n">
        <v>-7.772578155059866e-05</v>
      </c>
      <c r="L73" s="163" t="n">
        <v>-0.0022313006303681</v>
      </c>
      <c r="M73" s="163" t="n">
        <v>-0.0029617607790247</v>
      </c>
      <c r="N73" s="163" t="n">
        <v>-0.0037068022680001</v>
      </c>
      <c r="O73" s="163" t="n">
        <v>-0.0019942659495137</v>
      </c>
      <c r="P73" s="163" t="n">
        <v>-0.0008850080195267</v>
      </c>
      <c r="Q73" s="163" t="n">
        <v>0.0004456815307465</v>
      </c>
      <c r="R73" s="163" t="n">
        <v>-0.0022731103561367</v>
      </c>
      <c r="S73" s="163" t="n">
        <v>-0.0022121659223291</v>
      </c>
      <c r="T73" s="163" t="n">
        <v>-0.0031473142659612</v>
      </c>
      <c r="U73" s="163" t="n">
        <v>0.010452340319945</v>
      </c>
      <c r="V73" s="171" t="n">
        <v>205.289383970817</v>
      </c>
      <c r="W73" s="171" t="n">
        <v>0.1883312738943424</v>
      </c>
      <c r="X73" s="171" t="n">
        <v>162.7879739743224</v>
      </c>
      <c r="Y73" s="171" t="n">
        <v>-778.6587649319287</v>
      </c>
      <c r="Z73" s="171" t="n">
        <v>298.4810160788947</v>
      </c>
      <c r="AA73" s="171" t="n">
        <v>-0.1183605710142475</v>
      </c>
      <c r="AB73" s="171" t="n">
        <v>111.9929149107701</v>
      </c>
      <c r="AC73" s="171" t="n">
        <v>-1.540156500107408e-05</v>
      </c>
      <c r="AD73" s="171" t="n">
        <v>-0.0021474230137286</v>
      </c>
      <c r="AE73" s="171" t="n">
        <v>-0.0021532129515302</v>
      </c>
      <c r="AF73" s="171" t="n">
        <v>-0.001333804502883</v>
      </c>
      <c r="AG73" s="171" t="n">
        <v>0.0039397399422613</v>
      </c>
      <c r="AH73" s="171" t="n">
        <v>0.0194007639957201</v>
      </c>
      <c r="AI73" s="171" t="n">
        <v>-0.0063712663586458</v>
      </c>
      <c r="AJ73" s="171" t="n">
        <v>-0.0012685111097401</v>
      </c>
      <c r="AK73" s="171" t="n">
        <v>0.0165737808584636</v>
      </c>
      <c r="AL73" s="171" t="n">
        <v>-0.0092442105572556</v>
      </c>
      <c r="AM73" s="171" t="n">
        <v>-0</v>
      </c>
      <c r="AN73" s="1" t="n">
        <v>-0.0255554294295039</v>
      </c>
      <c r="AO73" s="1" t="n">
        <v>-5.62015711746966e-14</v>
      </c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64" t="inlineStr">
        <is>
          <t>2009-01</t>
        </is>
      </c>
      <c r="B74" s="163" t="n">
        <v>0.0008860374223349</v>
      </c>
      <c r="C74" s="163" t="n">
        <v>0.0113500668161522</v>
      </c>
      <c r="D74" s="163" t="n">
        <v>-0.0104640293938173</v>
      </c>
      <c r="E74" s="170" t="n">
        <v>2253.506129032258</v>
      </c>
      <c r="F74" s="170" t="n">
        <v>2277.210689719855</v>
      </c>
      <c r="G74" s="163" t="n">
        <v>0.0056651267225528</v>
      </c>
      <c r="H74" s="163" t="n">
        <v>-0.0015976409550966</v>
      </c>
      <c r="I74" s="163" t="n">
        <v>0.000197352242381</v>
      </c>
      <c r="J74" s="163" t="n">
        <v>0.0002369525993657</v>
      </c>
      <c r="K74" s="163" t="n">
        <v>1.192151880012787e-06</v>
      </c>
      <c r="L74" s="163" t="n">
        <v>0.001396592064537</v>
      </c>
      <c r="M74" s="163" t="n">
        <v>-0.0026396079628489</v>
      </c>
      <c r="N74" s="163" t="n">
        <v>-0.0092554727128432</v>
      </c>
      <c r="O74" s="163" t="n">
        <v>-0.0042479235078444</v>
      </c>
      <c r="P74" s="163" t="n">
        <v>-0.010510925826224</v>
      </c>
      <c r="Q74" s="163" t="n">
        <v>0.0001745605458919</v>
      </c>
      <c r="R74" s="163" t="n">
        <v>0.00089445949027</v>
      </c>
      <c r="S74" s="163" t="n">
        <v>0.0019334429757687</v>
      </c>
      <c r="T74" s="163" t="n">
        <v>-0.0041411759228808</v>
      </c>
      <c r="U74" s="163" t="n">
        <v>-0.0027130724228202</v>
      </c>
      <c r="V74" s="171" t="n">
        <v>73.73304896700793</v>
      </c>
      <c r="W74" s="171" t="n">
        <v>0.0172655390825085</v>
      </c>
      <c r="X74" s="171" t="n">
        <v>5.777967570983415</v>
      </c>
      <c r="Y74" s="171" t="n">
        <v>70.92933278563218</v>
      </c>
      <c r="Z74" s="171" t="n">
        <v>-47.79834210216136</v>
      </c>
      <c r="AA74" s="171" t="n">
        <v>-0.0256863754196543</v>
      </c>
      <c r="AB74" s="171" t="n">
        <v>-102.6119093331216</v>
      </c>
      <c r="AC74" s="171" t="n">
        <v>-2.610277301147033e-05</v>
      </c>
      <c r="AD74" s="171" t="n">
        <v>-0.0065375846637254</v>
      </c>
      <c r="AE74" s="171" t="n">
        <v>-0.0150451876722776</v>
      </c>
      <c r="AF74" s="171" t="n">
        <v>0.0384731145269115</v>
      </c>
      <c r="AG74" s="171" t="n">
        <v>-0.0012124751529187</v>
      </c>
      <c r="AH74" s="171" t="n">
        <v>-0.0042873469276087</v>
      </c>
      <c r="AI74" s="171" t="n">
        <v>-0.0051825592616282</v>
      </c>
      <c r="AJ74" s="171" t="n">
        <v>-0.00203665629246</v>
      </c>
      <c r="AK74" s="171" t="n">
        <v>0.0146356187320558</v>
      </c>
      <c r="AL74" s="171" t="n">
        <v>-0.0045016651847108</v>
      </c>
      <c r="AM74" s="171" t="n">
        <v>-0</v>
      </c>
      <c r="AN74" s="1" t="n">
        <v>0.0113500668161343</v>
      </c>
      <c r="AO74" s="1" t="n">
        <v>1.790061154860467e-14</v>
      </c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64" t="inlineStr">
        <is>
          <t>2009-02</t>
        </is>
      </c>
      <c r="B75" s="163" t="n">
        <v>0.1087290127010724</v>
      </c>
      <c r="C75" s="163" t="n">
        <v>0.068570344354155</v>
      </c>
      <c r="D75" s="163" t="n">
        <v>0.0401586683469174</v>
      </c>
      <c r="E75" s="170" t="n">
        <v>2512.344285714285</v>
      </c>
      <c r="F75" s="170" t="n">
        <v>2413.450888584417</v>
      </c>
      <c r="G75" s="163" t="n">
        <v>0.0056651267225528</v>
      </c>
      <c r="H75" s="163" t="n">
        <v>8.804594618596241e-05</v>
      </c>
      <c r="I75" s="163" t="n">
        <v>-0.0025523396557647</v>
      </c>
      <c r="J75" s="163" t="n">
        <v>-0.0011335901349939</v>
      </c>
      <c r="K75" s="163" t="n">
        <v>6.963229286745158e-05</v>
      </c>
      <c r="L75" s="163" t="n">
        <v>0.0052214103713262</v>
      </c>
      <c r="M75" s="163" t="n">
        <v>0.000325677642504</v>
      </c>
      <c r="N75" s="163" t="n">
        <v>-0.0070040747192337</v>
      </c>
      <c r="O75" s="163" t="n">
        <v>0.0040801446600524</v>
      </c>
      <c r="P75" s="163" t="n">
        <v>0.0184886808055966</v>
      </c>
      <c r="Q75" s="163" t="n">
        <v>-0.0005470531624558</v>
      </c>
      <c r="R75" s="163" t="n">
        <v>0.0017638505523091</v>
      </c>
      <c r="S75" s="163" t="n">
        <v>-0.0039783956473376</v>
      </c>
      <c r="T75" s="163" t="n">
        <v>-0.0059170095636562</v>
      </c>
      <c r="U75" s="163" t="n">
        <v>0.0107457740293273</v>
      </c>
      <c r="V75" s="171" t="n">
        <v>45.69448526873988</v>
      </c>
      <c r="W75" s="171" t="n">
        <v>0.0288569435870024</v>
      </c>
      <c r="X75" s="171" t="n">
        <v>-69.89849431277486</v>
      </c>
      <c r="Y75" s="171" t="n">
        <v>247.2077299479469</v>
      </c>
      <c r="Z75" s="171" t="n">
        <v>-76.54382050327882</v>
      </c>
      <c r="AA75" s="171" t="n">
        <v>-0.0582774323909816</v>
      </c>
      <c r="AB75" s="171" t="n">
        <v>-146.3994593223686</v>
      </c>
      <c r="AC75" s="171" t="n">
        <v>-2.602845906695334e-05</v>
      </c>
      <c r="AD75" s="171" t="n">
        <v>-0.0009944699218538001</v>
      </c>
      <c r="AE75" s="171" t="n">
        <v>-0.005270717812766</v>
      </c>
      <c r="AF75" s="171" t="n">
        <v>0.009829662827497299</v>
      </c>
      <c r="AG75" s="171" t="n">
        <v>3.827839066070156e-05</v>
      </c>
      <c r="AH75" s="171" t="n">
        <v>0.0057848662656722</v>
      </c>
      <c r="AI75" s="171" t="n">
        <v>-0.0055999929104524</v>
      </c>
      <c r="AJ75" s="171" t="n">
        <v>-0.0012951434472957</v>
      </c>
      <c r="AK75" s="171" t="n">
        <v>0.0035368674561638</v>
      </c>
      <c r="AL75" s="171" t="n">
        <v>0.0062305523658709</v>
      </c>
      <c r="AM75" s="171" t="n">
        <v>-0</v>
      </c>
      <c r="AN75" s="1" t="n">
        <v>0.0685703443541862</v>
      </c>
      <c r="AO75" s="1" t="n">
        <v>-3.11972669919669e-14</v>
      </c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64" t="inlineStr">
        <is>
          <t>2009-03</t>
        </is>
      </c>
      <c r="B76" s="163" t="n">
        <v>-0.017145994497894</v>
      </c>
      <c r="C76" s="163" t="n">
        <v>-0.0156432779082055</v>
      </c>
      <c r="D76" s="163" t="n">
        <v>-0.0015027165896884</v>
      </c>
      <c r="E76" s="170" t="n">
        <v>2469.634838709678</v>
      </c>
      <c r="F76" s="170" t="n">
        <v>2473.348789761319</v>
      </c>
      <c r="G76" s="163" t="n">
        <v>0.0056651267225528</v>
      </c>
      <c r="H76" s="163" t="n">
        <v>0.0017604645121153</v>
      </c>
      <c r="I76" s="163" t="n">
        <v>0.0007037614418418</v>
      </c>
      <c r="J76" s="163" t="n">
        <v>-0.0019041231182434</v>
      </c>
      <c r="K76" s="163" t="n">
        <v>1.678705567008315e-05</v>
      </c>
      <c r="L76" s="163" t="n">
        <v>0.0009142170564734</v>
      </c>
      <c r="M76" s="163" t="n">
        <v>-0.0002840563411475</v>
      </c>
      <c r="N76" s="163" t="n">
        <v>0.0015726010866449</v>
      </c>
      <c r="O76" s="163" t="n">
        <v>0.0028332841806226</v>
      </c>
      <c r="P76" s="163" t="n">
        <v>-0.0058242128319469</v>
      </c>
      <c r="Q76" s="163" t="n">
        <v>5.811437732126694e-05</v>
      </c>
      <c r="R76" s="163" t="n">
        <v>0.0019118140046159</v>
      </c>
      <c r="S76" s="163" t="n">
        <v>0.0010407334069307</v>
      </c>
      <c r="T76" s="163" t="n">
        <v>-0.0034868331430187</v>
      </c>
      <c r="U76" s="163" t="n">
        <v>-0.010706087202311</v>
      </c>
      <c r="V76" s="171" t="n">
        <v>12.29455723473134</v>
      </c>
      <c r="W76" s="171" t="n">
        <v>0.0060735014756929</v>
      </c>
      <c r="X76" s="171" t="n">
        <v>18.23617789910144</v>
      </c>
      <c r="Y76" s="171" t="n">
        <v>-35.38051056985516</v>
      </c>
      <c r="Z76" s="171" t="n">
        <v>2.725398732639589</v>
      </c>
      <c r="AA76" s="171" t="n">
        <v>-0.0006670286992674</v>
      </c>
      <c r="AB76" s="171" t="n">
        <v>2.125747921228828</v>
      </c>
      <c r="AC76" s="171" t="n">
        <v>0.0002846224074987</v>
      </c>
      <c r="AD76" s="171" t="n">
        <v>-0.0002100910905133</v>
      </c>
      <c r="AE76" s="171" t="n">
        <v>-0.0019918771107816</v>
      </c>
      <c r="AF76" s="171" t="n">
        <v>-0.0032630574445532</v>
      </c>
      <c r="AG76" s="171" t="n">
        <v>-0.0010357025899297</v>
      </c>
      <c r="AH76" s="171" t="n">
        <v>2.65086359977178e-05</v>
      </c>
      <c r="AI76" s="171" t="n">
        <v>-0.0049765016106364</v>
      </c>
      <c r="AJ76" s="171" t="n">
        <v>-0.0012703554309566</v>
      </c>
      <c r="AK76" s="171" t="n">
        <v>0.009143036549972301</v>
      </c>
      <c r="AL76" s="171" t="n">
        <v>-0.0133991420548912</v>
      </c>
      <c r="AM76" s="171" t="n">
        <v>-0</v>
      </c>
      <c r="AN76" s="1" t="n">
        <v>-0.0156432779082089</v>
      </c>
      <c r="AO76" s="1" t="n">
        <v>3.400058012914542e-15</v>
      </c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64" t="inlineStr">
        <is>
          <t>2009-04</t>
        </is>
      </c>
      <c r="B77" s="163" t="n">
        <v>-0.0392380702733232</v>
      </c>
      <c r="C77" s="163" t="n">
        <v>-0.0374914258769514</v>
      </c>
      <c r="D77" s="163" t="n">
        <v>-0.0017466443963718</v>
      </c>
      <c r="E77" s="170" t="n">
        <v>2374.607666666667</v>
      </c>
      <c r="F77" s="170" t="n">
        <v>2378.758886137979</v>
      </c>
      <c r="G77" s="163" t="n">
        <v>0.0056651267225528</v>
      </c>
      <c r="H77" s="163" t="n">
        <v>-0.0001961722484091</v>
      </c>
      <c r="I77" s="163" t="n">
        <v>-0.000148039143617</v>
      </c>
      <c r="J77" s="163" t="n">
        <v>-0.0041509613810424</v>
      </c>
      <c r="K77" s="163" t="n">
        <v>-1.673987970205066e-05</v>
      </c>
      <c r="L77" s="163" t="n">
        <v>-0.0054023588976719</v>
      </c>
      <c r="M77" s="163" t="n">
        <v>-0.0026964678629508</v>
      </c>
      <c r="N77" s="163" t="n">
        <v>-0.0183028030084213</v>
      </c>
      <c r="O77" s="163" t="n">
        <v>-0.0050372477202361</v>
      </c>
      <c r="P77" s="163" t="n">
        <v>0.0038017522173846</v>
      </c>
      <c r="Q77" s="163" t="n">
        <v>0.0004419804826471</v>
      </c>
      <c r="R77" s="163" t="n">
        <v>0.001453598872013</v>
      </c>
      <c r="S77" s="163" t="n">
        <v>-0.0017217791744304</v>
      </c>
      <c r="T77" s="163" t="n">
        <v>-0.0022820206269904</v>
      </c>
      <c r="U77" s="163" t="n">
        <v>-0.0313109733966341</v>
      </c>
      <c r="V77" s="171" t="n">
        <v>40.43028851690935</v>
      </c>
      <c r="W77" s="171" t="n">
        <v>0.011403926645437</v>
      </c>
      <c r="X77" s="171" t="n">
        <v>1.753454678058855</v>
      </c>
      <c r="Y77" s="171" t="n">
        <v>75.45270826978614</v>
      </c>
      <c r="Z77" s="171" t="n">
        <v>-46.45641559203556</v>
      </c>
      <c r="AA77" s="171" t="n">
        <v>-0.0162373639099121</v>
      </c>
      <c r="AB77" s="171" t="n">
        <v>-71.16398316403983</v>
      </c>
      <c r="AC77" s="171" t="n">
        <v>0.0005511493695076</v>
      </c>
      <c r="AD77" s="171" t="n">
        <v>-0.0034435718399318</v>
      </c>
      <c r="AE77" s="171" t="n">
        <v>-0.0114982812656646</v>
      </c>
      <c r="AF77" s="171" t="n">
        <v>0.0321780336320544</v>
      </c>
      <c r="AG77" s="171" t="n">
        <v>-0.0010896793741862</v>
      </c>
      <c r="AH77" s="171" t="n">
        <v>-0.0032798044999566</v>
      </c>
      <c r="AI77" s="171" t="n">
        <v>-0.0033820159653176</v>
      </c>
      <c r="AJ77" s="171" t="n">
        <v>-0.001318391276498</v>
      </c>
      <c r="AK77" s="171" t="n">
        <v>0.0048237198681558</v>
      </c>
      <c r="AL77" s="171" t="n">
        <v>-0.0023487508941008</v>
      </c>
      <c r="AM77" s="171" t="n">
        <v>-0</v>
      </c>
      <c r="AN77" s="1" t="n">
        <v>-0.0374914258769551</v>
      </c>
      <c r="AO77" s="1" t="n">
        <v>3.698430450782553e-15</v>
      </c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64" t="inlineStr">
        <is>
          <t>2009-05</t>
        </is>
      </c>
      <c r="B78" s="163" t="n">
        <v>-0.064034175645296</v>
      </c>
      <c r="C78" s="163" t="n">
        <v>-0.0547827987129482</v>
      </c>
      <c r="D78" s="163" t="n">
        <v>-0.009251376932347699</v>
      </c>
      <c r="E78" s="170" t="n">
        <v>2227.317741935484</v>
      </c>
      <c r="F78" s="170" t="n">
        <v>2248.01910833724</v>
      </c>
      <c r="G78" s="163" t="n">
        <v>0.0056651267225528</v>
      </c>
      <c r="H78" s="163" t="n">
        <v>0.0013598112367961</v>
      </c>
      <c r="I78" s="163" t="n">
        <v>-0.0027606662019565</v>
      </c>
      <c r="J78" s="163" t="n">
        <v>-0.0025664302663701</v>
      </c>
      <c r="K78" s="163" t="n">
        <v>4.264630541673832e-05</v>
      </c>
      <c r="L78" s="163" t="n">
        <v>-0.0064631687972777</v>
      </c>
      <c r="M78" s="163" t="n">
        <v>-0.0028847912228771</v>
      </c>
      <c r="N78" s="163" t="n">
        <v>-0.0264187358682797</v>
      </c>
      <c r="O78" s="163" t="n">
        <v>0.0043032972993993</v>
      </c>
      <c r="P78" s="163" t="n">
        <v>-0.0076990837374749</v>
      </c>
      <c r="Q78" s="163" t="n">
        <v>-0.0002162964547416</v>
      </c>
      <c r="R78" s="163" t="n">
        <v>0.0011346302383431</v>
      </c>
      <c r="S78" s="163" t="n">
        <v>5.206849949633551e-05</v>
      </c>
      <c r="T78" s="163" t="n">
        <v>-9.905141385022056e-05</v>
      </c>
      <c r="U78" s="163" t="n">
        <v>-0.0247093206494339</v>
      </c>
      <c r="V78" s="171" t="n">
        <v>-42.69086377787461</v>
      </c>
      <c r="W78" s="171" t="n">
        <v>0.0038550134768546</v>
      </c>
      <c r="X78" s="171" t="n">
        <v>-0.9791264335903104</v>
      </c>
      <c r="Y78" s="171" t="n">
        <v>256.5770782376052</v>
      </c>
      <c r="Z78" s="171" t="n">
        <v>-151.0186645296452</v>
      </c>
      <c r="AA78" s="171" t="n">
        <v>-0.0322107147762465</v>
      </c>
      <c r="AB78" s="171" t="n">
        <v>-61.85240725639915</v>
      </c>
      <c r="AC78" s="171" t="n">
        <v>-1.902436979626023e-05</v>
      </c>
      <c r="AD78" s="171" t="n">
        <v>-0.0035522254936126</v>
      </c>
      <c r="AE78" s="171" t="n">
        <v>-0.0135261486793825</v>
      </c>
      <c r="AF78" s="171" t="n">
        <v>0.0305274505597365</v>
      </c>
      <c r="AG78" s="171" t="n">
        <v>-0.0019193748484659</v>
      </c>
      <c r="AH78" s="171" t="n">
        <v>-0.0138073763232754</v>
      </c>
      <c r="AI78" s="171" t="n">
        <v>-0.0040443198814379</v>
      </c>
      <c r="AJ78" s="171" t="n">
        <v>-0.0012478365597484</v>
      </c>
      <c r="AK78" s="171" t="n">
        <v>0.0058816184956096</v>
      </c>
      <c r="AL78" s="171" t="n">
        <v>0.0005238639011333</v>
      </c>
      <c r="AM78" s="171" t="n">
        <v>-0</v>
      </c>
      <c r="AN78" s="1" t="n">
        <v>-0.0547827987129422</v>
      </c>
      <c r="AO78" s="1" t="n">
        <v>-6.002143226879753e-15</v>
      </c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64" t="inlineStr">
        <is>
          <t>2009-06</t>
        </is>
      </c>
      <c r="B79" s="163" t="n">
        <v>-0.0638922362952794</v>
      </c>
      <c r="C79" s="163" t="n">
        <v>-0.0213479350142397</v>
      </c>
      <c r="D79" s="163" t="n">
        <v>-0.0425443012810396</v>
      </c>
      <c r="E79" s="170" t="n">
        <v>2089.460333333333</v>
      </c>
      <c r="F79" s="170" t="n">
        <v>2180.273047705452</v>
      </c>
      <c r="G79" s="163" t="n">
        <v>0.0056651267225528</v>
      </c>
      <c r="H79" s="163" t="n">
        <v>0.0006530561253793</v>
      </c>
      <c r="I79" s="163" t="n">
        <v>-0.0027156155706016</v>
      </c>
      <c r="J79" s="163" t="n">
        <v>-0.0032183280280055</v>
      </c>
      <c r="K79" s="163" t="n">
        <v>-0.000101153116602</v>
      </c>
      <c r="L79" s="163" t="n">
        <v>-0.0031569175572088</v>
      </c>
      <c r="M79" s="163" t="n">
        <v>-0.0015386494176382</v>
      </c>
      <c r="N79" s="163" t="n">
        <v>-0.0069279859690097</v>
      </c>
      <c r="O79" s="163" t="n">
        <v>-0.0017317791139694</v>
      </c>
      <c r="P79" s="163" t="n">
        <v>0.009521092967274899</v>
      </c>
      <c r="Q79" s="163" t="n">
        <v>0.0001242511727107</v>
      </c>
      <c r="R79" s="163" t="n">
        <v>0.000840141105185</v>
      </c>
      <c r="S79" s="163" t="n">
        <v>0.00044772340576</v>
      </c>
      <c r="T79" s="163" t="n">
        <v>0.000396288936595</v>
      </c>
      <c r="U79" s="163" t="n">
        <v>-0.0100395715655739</v>
      </c>
      <c r="V79" s="171" t="n">
        <v>-41.51627916060947</v>
      </c>
      <c r="W79" s="171" t="n">
        <v>-0.0106432742902015</v>
      </c>
      <c r="X79" s="171" t="n">
        <v>-105.759778840799</v>
      </c>
      <c r="Y79" s="171" t="n">
        <v>300.7308333511448</v>
      </c>
      <c r="Z79" s="171" t="n">
        <v>-72.38509469326004</v>
      </c>
      <c r="AA79" s="171" t="n">
        <v>-0.0472782506779809</v>
      </c>
      <c r="AB79" s="171" t="n">
        <v>-81.01556761618613</v>
      </c>
      <c r="AC79" s="171" t="n">
        <v>-0.0002414460057345</v>
      </c>
      <c r="AD79" s="171" t="n">
        <v>-0.0014107532937777</v>
      </c>
      <c r="AE79" s="171" t="n">
        <v>-0.0064608798995197</v>
      </c>
      <c r="AF79" s="171" t="n">
        <v>0.0135476428792839</v>
      </c>
      <c r="AG79" s="171" t="n">
        <v>-0.0026049768958198</v>
      </c>
      <c r="AH79" s="171" t="n">
        <v>-0.0125968983367176</v>
      </c>
      <c r="AI79" s="171" t="n">
        <v>-2.489438946639938e-06</v>
      </c>
      <c r="AJ79" s="171" t="n">
        <v>-0.0010368760844695</v>
      </c>
      <c r="AK79" s="171" t="n">
        <v>0.0021878445615631</v>
      </c>
      <c r="AL79" s="171" t="n">
        <v>0.0028617020810427</v>
      </c>
      <c r="AM79" s="171" t="n">
        <v>-0</v>
      </c>
      <c r="AN79" s="1" t="n">
        <v>-0.0213479350142331</v>
      </c>
      <c r="AO79" s="1" t="n">
        <v>-6.602357549567728e-15</v>
      </c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64" t="inlineStr">
        <is>
          <t>2009-07</t>
        </is>
      </c>
      <c r="B80" s="163" t="n">
        <v>-0.0194369836274823</v>
      </c>
      <c r="C80" s="163" t="n">
        <v>-0.0034540461032707</v>
      </c>
      <c r="D80" s="163" t="n">
        <v>-0.0159829375242116</v>
      </c>
      <c r="E80" s="170" t="n">
        <v>2049.239677419354</v>
      </c>
      <c r="F80" s="170" t="n">
        <v>2082.255690757725</v>
      </c>
      <c r="G80" s="163" t="n">
        <v>0.0056651267225528</v>
      </c>
      <c r="H80" s="163" t="n">
        <v>-0.0009042203013003</v>
      </c>
      <c r="I80" s="163" t="n">
        <v>-0.0021360217513485</v>
      </c>
      <c r="J80" s="163" t="n">
        <v>-0.0043456142597299</v>
      </c>
      <c r="K80" s="163" t="n">
        <v>-9.255643348271169e-05</v>
      </c>
      <c r="L80" s="163" t="n">
        <v>-0.0008070206905522</v>
      </c>
      <c r="M80" s="163" t="n">
        <v>-0.0017848918571674</v>
      </c>
      <c r="N80" s="163" t="n">
        <v>1.757402995377319e-05</v>
      </c>
      <c r="O80" s="163" t="n">
        <v>-0.0013949209860681</v>
      </c>
      <c r="P80" s="163" t="n">
        <v>-0.0005686828629891</v>
      </c>
      <c r="Q80" s="163" t="n">
        <v>3.011523175487008e-05</v>
      </c>
      <c r="R80" s="163" t="n">
        <v>-0.0002613780792205</v>
      </c>
      <c r="S80" s="163" t="n">
        <v>-0.005220298110567</v>
      </c>
      <c r="T80" s="163" t="n">
        <v>0.000297362526263</v>
      </c>
      <c r="U80" s="163" t="n">
        <v>-0.0026941136118492</v>
      </c>
      <c r="V80" s="171" t="n">
        <v>11.30001843471125</v>
      </c>
      <c r="W80" s="171" t="n">
        <v>0.0001327968168318</v>
      </c>
      <c r="X80" s="171" t="n">
        <v>68.5430044728066</v>
      </c>
      <c r="Y80" s="171" t="n">
        <v>-111.8921796119007</v>
      </c>
      <c r="Z80" s="171" t="n">
        <v>-2.264241325135056</v>
      </c>
      <c r="AA80" s="171" t="n">
        <v>0.0246977308309376</v>
      </c>
      <c r="AB80" s="171" t="n">
        <v>34.28625679401286</v>
      </c>
      <c r="AC80" s="171" t="n">
        <v>0.0002070758063956</v>
      </c>
      <c r="AD80" s="171" t="n">
        <v>-0.0012783989847615</v>
      </c>
      <c r="AE80" s="171" t="n">
        <v>-0.0055027932144584</v>
      </c>
      <c r="AF80" s="171" t="n">
        <v>0.0140335288053341</v>
      </c>
      <c r="AG80" s="171" t="n">
        <v>0.0009079219775477</v>
      </c>
      <c r="AH80" s="171" t="n">
        <v>0.0059036624708368</v>
      </c>
      <c r="AI80" s="171" t="n">
        <v>0.0001140615662821</v>
      </c>
      <c r="AJ80" s="171" t="n">
        <v>-0.0004502792726154</v>
      </c>
      <c r="AK80" s="171" t="n">
        <v>-0.0065051021330133</v>
      </c>
      <c r="AL80" s="171" t="n">
        <v>0.0056265251661775</v>
      </c>
      <c r="AM80" s="171" t="n">
        <v>-0</v>
      </c>
      <c r="AN80" s="1" t="n">
        <v>-0.0034540461032804</v>
      </c>
      <c r="AO80" s="1" t="n">
        <v>9.700139996793311e-15</v>
      </c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64" t="inlineStr">
        <is>
          <t>2009-08</t>
        </is>
      </c>
      <c r="B81" s="163" t="n">
        <v>-0.0155511956342415</v>
      </c>
      <c r="C81" s="163" t="n">
        <v>-0.047189555571169</v>
      </c>
      <c r="D81" s="163" t="n">
        <v>0.0316383599369274</v>
      </c>
      <c r="E81" s="170" t="n">
        <v>2017.618064516128</v>
      </c>
      <c r="F81" s="170" t="n">
        <v>1954.783175705397</v>
      </c>
      <c r="G81" s="163" t="n">
        <v>0.0056651267225528</v>
      </c>
      <c r="H81" s="163" t="n">
        <v>0.0007020581834209</v>
      </c>
      <c r="I81" s="163" t="n">
        <v>-0.0066552379504658</v>
      </c>
      <c r="J81" s="163" t="n">
        <v>-0.001092058536983</v>
      </c>
      <c r="K81" s="163" t="n">
        <v>-4.210072380840345e-05</v>
      </c>
      <c r="L81" s="163" t="n">
        <v>-0.0027435433456865</v>
      </c>
      <c r="M81" s="163" t="n">
        <v>-0.0005309448901733</v>
      </c>
      <c r="N81" s="163" t="n">
        <v>-0.0101334681111142</v>
      </c>
      <c r="O81" s="163" t="n">
        <v>-0.0039694205223855</v>
      </c>
      <c r="P81" s="163" t="n">
        <v>-0.0120562859344956</v>
      </c>
      <c r="Q81" s="163" t="n">
        <v>0.0001889490482298</v>
      </c>
      <c r="R81" s="163" t="n">
        <v>-0.0002327415382917</v>
      </c>
      <c r="S81" s="163" t="n">
        <v>0.004682038069224</v>
      </c>
      <c r="T81" s="163" t="n">
        <v>-0.000297362526263</v>
      </c>
      <c r="U81" s="163" t="n">
        <v>-0.0150563438859697</v>
      </c>
      <c r="V81" s="171" t="n">
        <v>13.98070060258146</v>
      </c>
      <c r="W81" s="171" t="n">
        <v>-0.0108268463605279</v>
      </c>
      <c r="X81" s="171" t="n">
        <v>-39.94187806097182</v>
      </c>
      <c r="Y81" s="171" t="n">
        <v>17.44129430866818</v>
      </c>
      <c r="Z81" s="171" t="n">
        <v>29.61378379002221</v>
      </c>
      <c r="AA81" s="171" t="n">
        <v>0.0002716729964861</v>
      </c>
      <c r="AB81" s="171" t="n">
        <v>-21.08033355218561</v>
      </c>
      <c r="AC81" s="171" t="n">
        <v>5.759330700039702e-05</v>
      </c>
      <c r="AD81" s="171" t="n">
        <v>-0.0012998424348269</v>
      </c>
      <c r="AE81" s="171" t="n">
        <v>-0.0064174433270104</v>
      </c>
      <c r="AF81" s="171" t="n">
        <v>0.0167035196048554</v>
      </c>
      <c r="AG81" s="171" t="n">
        <v>-0.001707469536542</v>
      </c>
      <c r="AH81" s="171" t="n">
        <v>-0.0090564066464973</v>
      </c>
      <c r="AI81" s="171" t="n">
        <v>-0.0022831549830103</v>
      </c>
      <c r="AJ81" s="171" t="n">
        <v>-0.0003219289389945</v>
      </c>
      <c r="AK81" s="171" t="n">
        <v>-0.0063198728469986</v>
      </c>
      <c r="AL81" s="171" t="n">
        <v>0.0020148714226779</v>
      </c>
      <c r="AM81" s="171" t="n">
        <v>-0</v>
      </c>
      <c r="AN81" s="1" t="n">
        <v>-0.0471895555711704</v>
      </c>
      <c r="AO81" s="1" t="n">
        <v>1.394717674685353e-15</v>
      </c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64" t="inlineStr">
        <is>
          <t>2009-09</t>
        </is>
      </c>
      <c r="B82" s="163" t="n">
        <v>-0.0198147230759282</v>
      </c>
      <c r="C82" s="163" t="n">
        <v>-0.0067352232962642</v>
      </c>
      <c r="D82" s="163" t="n">
        <v>-0.0130794997796639</v>
      </c>
      <c r="E82" s="170" t="n">
        <v>1978.032999999999</v>
      </c>
      <c r="F82" s="170" t="n">
        <v>2004.074616595851</v>
      </c>
      <c r="G82" s="163" t="n">
        <v>0.0056651267225528</v>
      </c>
      <c r="H82" s="163" t="n">
        <v>0.0004076053450799</v>
      </c>
      <c r="I82" s="163" t="n">
        <v>-0.0029513842925875</v>
      </c>
      <c r="J82" s="163" t="n">
        <v>0</v>
      </c>
      <c r="K82" s="163" t="n">
        <v>4.54191673090294e-05</v>
      </c>
      <c r="L82" s="163" t="n">
        <v>-0.0015273442939885</v>
      </c>
      <c r="M82" s="163" t="n">
        <v>-0.0002704575510242</v>
      </c>
      <c r="N82" s="163" t="n">
        <v>-0.0030080619752576</v>
      </c>
      <c r="O82" s="163" t="n">
        <v>-0.0107658025581069</v>
      </c>
      <c r="P82" s="163" t="n">
        <v>0.0092676897728252</v>
      </c>
      <c r="Q82" s="163" t="n">
        <v>0.0001190894662956</v>
      </c>
      <c r="R82" s="163" t="n">
        <v>-0.0006316041129856</v>
      </c>
      <c r="S82" s="163" t="n">
        <v>-0.0025944611710665</v>
      </c>
      <c r="T82" s="163" t="n">
        <v>0.0006940405263497</v>
      </c>
      <c r="U82" s="163" t="n">
        <v>-0.0025109025672704</v>
      </c>
      <c r="V82" s="171" t="n">
        <v>37.69816468696912</v>
      </c>
      <c r="W82" s="171" t="n">
        <v>0.0257596531238355</v>
      </c>
      <c r="X82" s="171" t="n">
        <v>66.07130219030236</v>
      </c>
      <c r="Y82" s="171" t="n">
        <v>-129.9085387108021</v>
      </c>
      <c r="Z82" s="171" t="n">
        <v>10.88082207436432</v>
      </c>
      <c r="AA82" s="171" t="n">
        <v>-0.0063220144671037</v>
      </c>
      <c r="AB82" s="171" t="n">
        <v>15.23738395687256</v>
      </c>
      <c r="AC82" s="171" t="n">
        <v>-8.540530073575009e-05</v>
      </c>
      <c r="AD82" s="171" t="n">
        <v>-0.0010239503906837</v>
      </c>
      <c r="AE82" s="171" t="n">
        <v>-0.0035121571486056</v>
      </c>
      <c r="AF82" s="171" t="n">
        <v>0.0085268216434311</v>
      </c>
      <c r="AG82" s="171" t="n">
        <v>0.0010040818890367</v>
      </c>
      <c r="AH82" s="171" t="n">
        <v>0.0051008363942737</v>
      </c>
      <c r="AI82" s="171" t="n">
        <v>-0.0031764109395888</v>
      </c>
      <c r="AJ82" s="171" t="n">
        <v>-0.0002460617063923</v>
      </c>
      <c r="AK82" s="171" t="n">
        <v>-0.005084826333215</v>
      </c>
      <c r="AL82" s="171" t="n">
        <v>0.0012510597551081</v>
      </c>
      <c r="AM82" s="171" t="n">
        <v>-0</v>
      </c>
      <c r="AN82" s="1" t="n">
        <v>-0.0067352232962647</v>
      </c>
      <c r="AO82" s="1" t="n">
        <v>4.996003610813204e-16</v>
      </c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64" t="inlineStr">
        <is>
          <t>2009-10</t>
        </is>
      </c>
      <c r="B83" s="163" t="n">
        <v>-0.0395122899830004</v>
      </c>
      <c r="C83" s="163" t="n">
        <v>-0.0408006567491832</v>
      </c>
      <c r="D83" s="163" t="n">
        <v>0.0012883667661827</v>
      </c>
      <c r="E83" s="170" t="n">
        <v>1901.400322580645</v>
      </c>
      <c r="F83" s="170" t="n">
        <v>1898.952198975004</v>
      </c>
      <c r="G83" s="163" t="n">
        <v>0.0056651267225528</v>
      </c>
      <c r="H83" s="163" t="n">
        <v>0.0006112951039036</v>
      </c>
      <c r="I83" s="163" t="n">
        <v>-0.0075349315764951</v>
      </c>
      <c r="J83" s="163" t="n">
        <v>-0.0001379442362504</v>
      </c>
      <c r="K83" s="163" t="n">
        <v>-1.48199564364989e-05</v>
      </c>
      <c r="L83" s="163" t="n">
        <v>-0.0030579866402704</v>
      </c>
      <c r="M83" s="163" t="n">
        <v>-0.0004541701756175</v>
      </c>
      <c r="N83" s="163" t="n">
        <v>-0.008879827822581199</v>
      </c>
      <c r="O83" s="163" t="n">
        <v>0.001099339229844</v>
      </c>
      <c r="P83" s="163" t="n">
        <v>-0.010538833989017</v>
      </c>
      <c r="Q83" s="163" t="n">
        <v>-0.0002837316585276</v>
      </c>
      <c r="R83" s="163" t="n">
        <v>-0.0002957815959361</v>
      </c>
      <c r="S83" s="163" t="n">
        <v>-0.000831963105192</v>
      </c>
      <c r="T83" s="163" t="n">
        <v>0.0008933400008422</v>
      </c>
      <c r="U83" s="163" t="n">
        <v>-0.0133892833172299</v>
      </c>
      <c r="V83" s="171" t="n">
        <v>45.31724641355984</v>
      </c>
      <c r="W83" s="171" t="n">
        <v>0.0188775557362419</v>
      </c>
      <c r="X83" s="171" t="n">
        <v>2.966873563301718</v>
      </c>
      <c r="Y83" s="171" t="n">
        <v>-10.01454293235927</v>
      </c>
      <c r="Z83" s="171" t="n">
        <v>2.966363864488827</v>
      </c>
      <c r="AA83" s="171" t="n">
        <v>-0.0160501546608297</v>
      </c>
      <c r="AB83" s="171" t="n">
        <v>-41.22636660673427</v>
      </c>
      <c r="AC83" s="171" t="n">
        <v>0.0002694642206659</v>
      </c>
      <c r="AD83" s="171" t="n">
        <v>-0.0001005824348363</v>
      </c>
      <c r="AE83" s="171" t="n">
        <v>-0.0025056697113196</v>
      </c>
      <c r="AF83" s="171" t="n">
        <v>0.0043896458907384</v>
      </c>
      <c r="AG83" s="171" t="n">
        <v>-0.0010560367862962</v>
      </c>
      <c r="AH83" s="171" t="n">
        <v>-0.0102237107355972</v>
      </c>
      <c r="AI83" s="171" t="n">
        <v>-0.002095881280434</v>
      </c>
      <c r="AJ83" s="171" t="n">
        <v>-0.0004090393096215</v>
      </c>
      <c r="AK83" s="171" t="n">
        <v>-0.0015596951753076</v>
      </c>
      <c r="AL83" s="171" t="n">
        <v>-0.0027606817430185</v>
      </c>
      <c r="AM83" s="171" t="n">
        <v>-0</v>
      </c>
      <c r="AN83" s="1" t="n">
        <v>-0.0408006567491823</v>
      </c>
      <c r="AO83" s="1" t="n">
        <v>-9.020562075079397e-16</v>
      </c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64" t="inlineStr">
        <is>
          <t>2009-11</t>
        </is>
      </c>
      <c r="B84" s="163" t="n">
        <v>0.0389288804901202</v>
      </c>
      <c r="C84" s="163" t="n">
        <v>0.0103676365655042</v>
      </c>
      <c r="D84" s="163" t="n">
        <v>0.0285612439246159</v>
      </c>
      <c r="E84" s="170" t="n">
        <v>1976.879333333334</v>
      </c>
      <c r="F84" s="170" t="n">
        <v>1921.215892912296</v>
      </c>
      <c r="G84" s="163" t="n">
        <v>0.0056651267225528</v>
      </c>
      <c r="H84" s="163" t="n">
        <v>-8.373078579085007e-05</v>
      </c>
      <c r="I84" s="163" t="n">
        <v>-0.0041108327185431</v>
      </c>
      <c r="J84" s="163" t="n">
        <v>-0.0014484144806301</v>
      </c>
      <c r="K84" s="163" t="n">
        <v>-6.418903119693114e-05</v>
      </c>
      <c r="L84" s="163" t="n">
        <v>-0.0010123403854008</v>
      </c>
      <c r="M84" s="163" t="n">
        <v>-0.0003193688677358</v>
      </c>
      <c r="N84" s="163" t="n">
        <v>-0.0013978676325732</v>
      </c>
      <c r="O84" s="163" t="n">
        <v>-0.000597546565683</v>
      </c>
      <c r="P84" s="163" t="n">
        <v>0.0061575813390202</v>
      </c>
      <c r="Q84" s="163" t="n">
        <v>3.404477773844818e-05</v>
      </c>
      <c r="R84" s="163" t="n">
        <v>0.0008007964774087</v>
      </c>
      <c r="S84" s="163" t="n">
        <v>0.0001326231831946</v>
      </c>
      <c r="T84" s="163" t="n">
        <v>0.0004967881301884</v>
      </c>
      <c r="U84" s="163" t="n">
        <v>-0.0131373965041329</v>
      </c>
      <c r="V84" s="171" t="n">
        <v>59.46370348281139</v>
      </c>
      <c r="W84" s="171" t="n">
        <v>0.0339969615561419</v>
      </c>
      <c r="X84" s="171" t="n">
        <v>60.60447831841061</v>
      </c>
      <c r="Y84" s="171" t="n">
        <v>10.52649085537197</v>
      </c>
      <c r="Z84" s="171" t="n">
        <v>-66.84705123196683</v>
      </c>
      <c r="AA84" s="171" t="n">
        <v>-0.0251083043068303</v>
      </c>
      <c r="AB84" s="171" t="n">
        <v>-63.73815138006984</v>
      </c>
      <c r="AC84" s="171" t="n">
        <v>-0.0002342208324789</v>
      </c>
      <c r="AD84" s="171" t="n">
        <v>-0.000371378667082</v>
      </c>
      <c r="AE84" s="171" t="n">
        <v>-0.0013539800173599</v>
      </c>
      <c r="AF84" s="171" t="n">
        <v>0.004303901315553</v>
      </c>
      <c r="AG84" s="171" t="n">
        <v>-0.0007537664758228</v>
      </c>
      <c r="AH84" s="171" t="n">
        <v>-0.0063147842051334</v>
      </c>
      <c r="AI84" s="171" t="n">
        <v>0.0016283193837299</v>
      </c>
      <c r="AJ84" s="171" t="n">
        <v>-0.000224610765787</v>
      </c>
      <c r="AK84" s="171" t="n">
        <v>-0.0025081404518506</v>
      </c>
      <c r="AL84" s="171" t="n">
        <v>0.006722321816705</v>
      </c>
      <c r="AM84" s="171" t="n">
        <v>-0</v>
      </c>
      <c r="AN84" s="1" t="n">
        <v>0.010367636565508</v>
      </c>
      <c r="AO84" s="1" t="n">
        <v>-3.799044412389208e-15</v>
      </c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64" t="inlineStr">
        <is>
          <t>2009-12</t>
        </is>
      </c>
      <c r="B85" s="163" t="n">
        <v>0.0205936490394567</v>
      </c>
      <c r="C85" s="163" t="n">
        <v>0.0055848715412179</v>
      </c>
      <c r="D85" s="163" t="n">
        <v>0.0150087774982387</v>
      </c>
      <c r="E85" s="170" t="n">
        <v>2018.012580645162</v>
      </c>
      <c r="F85" s="170" t="n">
        <v>1987.950838151176</v>
      </c>
      <c r="G85" s="163" t="n">
        <v>0.0056651267225528</v>
      </c>
      <c r="H85" s="163" t="n">
        <v>-4.252742973033101e-05</v>
      </c>
      <c r="I85" s="163" t="n">
        <v>0.0011261856301463</v>
      </c>
      <c r="J85" s="163" t="n">
        <v>-0.0004023373557306</v>
      </c>
      <c r="K85" s="163" t="n">
        <v>3.104593782472346e-05</v>
      </c>
      <c r="L85" s="163" t="n">
        <v>0.0010098323412403</v>
      </c>
      <c r="M85" s="163" t="n">
        <v>-0.0018770721034626</v>
      </c>
      <c r="N85" s="163" t="n">
        <v>-0.001445830089322</v>
      </c>
      <c r="O85" s="163" t="n">
        <v>-0.0023948403950637</v>
      </c>
      <c r="P85" s="163" t="n">
        <v>0.0021539070245084</v>
      </c>
      <c r="Q85" s="163" t="n">
        <v>-6.736895751571359e-05</v>
      </c>
      <c r="R85" s="163" t="n">
        <v>0.0018261359369436</v>
      </c>
      <c r="S85" s="163" t="n">
        <v>-0.0031338968478305</v>
      </c>
      <c r="T85" s="163" t="n">
        <v>-0.0005961038851956</v>
      </c>
      <c r="U85" s="163" t="n">
        <v>-0.0041705312497508</v>
      </c>
      <c r="V85" s="171" t="n">
        <v>-25.51792225683771</v>
      </c>
      <c r="W85" s="171" t="n">
        <v>0.0051158997237296</v>
      </c>
      <c r="X85" s="171" t="n">
        <v>-29.65502703212268</v>
      </c>
      <c r="Y85" s="171" t="n">
        <v>131.4023045683597</v>
      </c>
      <c r="Z85" s="171" t="n">
        <v>-48.18471722736793</v>
      </c>
      <c r="AA85" s="171" t="n">
        <v>-0.0165781807479852</v>
      </c>
      <c r="AB85" s="171" t="n">
        <v>-28.02330055297314</v>
      </c>
      <c r="AC85" s="171" t="n">
        <v>4.999470617357059e-05</v>
      </c>
      <c r="AD85" s="171" t="n">
        <v>-0.0009263091627143999</v>
      </c>
      <c r="AE85" s="171" t="n">
        <v>-0.00242003761123</v>
      </c>
      <c r="AF85" s="171" t="n">
        <v>0.006549932826658</v>
      </c>
      <c r="AG85" s="171" t="n">
        <v>0.0004222720558163</v>
      </c>
      <c r="AH85" s="171" t="n">
        <v>-0.003246067726875</v>
      </c>
      <c r="AI85" s="171" t="n">
        <v>-0.0007796470155593</v>
      </c>
      <c r="AJ85" s="171" t="n">
        <v>-0.000256281698081</v>
      </c>
      <c r="AK85" s="171" t="n">
        <v>-0.0023465609867246</v>
      </c>
      <c r="AL85" s="171" t="n">
        <v>0.0009806328401168001</v>
      </c>
      <c r="AM85" s="171" t="n">
        <v>-0</v>
      </c>
      <c r="AN85" s="1" t="n">
        <v>0.0055848715412146</v>
      </c>
      <c r="AO85" s="1" t="n">
        <v>3.300311413045875e-15</v>
      </c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64" t="inlineStr">
        <is>
          <t>2010-01</t>
        </is>
      </c>
      <c r="B86" s="163" t="n">
        <v>-0.0172871133082255</v>
      </c>
      <c r="C86" s="163" t="n">
        <v>-0.0032536858918454</v>
      </c>
      <c r="D86" s="163" t="n">
        <v>-0.0140334274163801</v>
      </c>
      <c r="E86" s="170" t="n">
        <v>1983.426774193548</v>
      </c>
      <c r="F86" s="170" t="n">
        <v>2011.457271822998</v>
      </c>
      <c r="G86" s="163" t="n">
        <v>0.0056651267225528</v>
      </c>
      <c r="H86" s="163" t="n">
        <v>0.0005286222226005</v>
      </c>
      <c r="I86" s="163" t="n">
        <v>-0.0011724270327675</v>
      </c>
      <c r="J86" s="163" t="n">
        <v>-0.0013219655974005</v>
      </c>
      <c r="K86" s="163" t="n">
        <v>-9.593401003349708e-05</v>
      </c>
      <c r="L86" s="163" t="n">
        <v>0.0003983162746803</v>
      </c>
      <c r="M86" s="163" t="n">
        <v>-0.0004716068579529</v>
      </c>
      <c r="N86" s="163" t="n">
        <v>0.000440135303753</v>
      </c>
      <c r="O86" s="163" t="n">
        <v>0.0007944475739439</v>
      </c>
      <c r="P86" s="163" t="n">
        <v>-0.0038356303612918</v>
      </c>
      <c r="Q86" s="163" t="n">
        <v>-0.0001313146326084</v>
      </c>
      <c r="R86" s="163" t="n">
        <v>0.0001554770884662</v>
      </c>
      <c r="S86" s="163" t="n">
        <v>0.0030046493052662</v>
      </c>
      <c r="T86" s="163" t="n">
        <v>-0.0048494622611283</v>
      </c>
      <c r="U86" s="163" t="n">
        <v>-0.0024197616613442</v>
      </c>
      <c r="V86" s="171" t="n">
        <v>-2.912169647185354</v>
      </c>
      <c r="W86" s="171" t="n">
        <v>0.0013595074123162</v>
      </c>
      <c r="X86" s="171" t="n">
        <v>-22.59925169290679</v>
      </c>
      <c r="Y86" s="171" t="n">
        <v>100.3978967924768</v>
      </c>
      <c r="Z86" s="171" t="n">
        <v>-36.87597431540925</v>
      </c>
      <c r="AA86" s="171" t="n">
        <v>-0.0161042849947161</v>
      </c>
      <c r="AB86" s="171" t="n">
        <v>-37.99202971583246</v>
      </c>
      <c r="AC86" s="171" t="n">
        <v>-0.0002974044059555</v>
      </c>
      <c r="AD86" s="171" t="n">
        <v>-0.0004014405372694</v>
      </c>
      <c r="AE86" s="171" t="n">
        <v>-0.0023716368590054</v>
      </c>
      <c r="AF86" s="171" t="n">
        <v>0.0076003038726784</v>
      </c>
      <c r="AG86" s="171" t="n">
        <v>-0.0003286451187841</v>
      </c>
      <c r="AH86" s="171" t="n">
        <v>-0.0070386802444252</v>
      </c>
      <c r="AI86" s="171" t="n">
        <v>0.0021877642088279</v>
      </c>
      <c r="AJ86" s="171" t="n">
        <v>-0.0001401011092029</v>
      </c>
      <c r="AK86" s="171" t="n">
        <v>-0.0062812589157883</v>
      </c>
      <c r="AL86" s="171" t="n">
        <v>0.0034020975798419</v>
      </c>
      <c r="AM86" s="171" t="n">
        <v>-0</v>
      </c>
      <c r="AN86" s="1" t="n">
        <v>-0.0032536858918488</v>
      </c>
      <c r="AO86" s="1" t="n">
        <v>3.400058012914542e-15</v>
      </c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64" t="inlineStr">
        <is>
          <t>2010-02</t>
        </is>
      </c>
      <c r="B87" s="163" t="n">
        <v>-0.0161129948648071</v>
      </c>
      <c r="C87" s="163" t="n">
        <v>0.0152253166411851</v>
      </c>
      <c r="D87" s="163" t="n">
        <v>-0.0313383115059922</v>
      </c>
      <c r="E87" s="170" t="n">
        <v>1951.723928571428</v>
      </c>
      <c r="F87" s="170" t="n">
        <v>2013.856135377265</v>
      </c>
      <c r="G87" s="163" t="n">
        <v>0.0056651267225528</v>
      </c>
      <c r="H87" s="163" t="n">
        <v>-0.0003889341690059</v>
      </c>
      <c r="I87" s="163" t="n">
        <v>-0.0026152912988595</v>
      </c>
      <c r="J87" s="163" t="n">
        <v>3.448605906262459e-05</v>
      </c>
      <c r="K87" s="163" t="n">
        <v>6.299615007462054e-05</v>
      </c>
      <c r="L87" s="163" t="n">
        <v>0.0031433899023212</v>
      </c>
      <c r="M87" s="163" t="n">
        <v>0.001455637447953</v>
      </c>
      <c r="N87" s="163" t="n">
        <v>0.0070544196077218</v>
      </c>
      <c r="O87" s="163" t="n">
        <v>0.0009077683991673</v>
      </c>
      <c r="P87" s="163" t="n">
        <v>-0.0057792772807364</v>
      </c>
      <c r="Q87" s="163" t="n">
        <v>0.000158840434973</v>
      </c>
      <c r="R87" s="163" t="n">
        <v>-0.0010501642200233</v>
      </c>
      <c r="S87" s="163" t="n">
        <v>-0.0030896165373175</v>
      </c>
      <c r="T87" s="163" t="n">
        <v>-0.0057953554241639</v>
      </c>
      <c r="U87" s="163" t="n">
        <v>0.0121890699636174</v>
      </c>
      <c r="V87" s="171" t="n">
        <v>-12.63464377841632</v>
      </c>
      <c r="W87" s="171" t="n">
        <v>0.0002056397766528</v>
      </c>
      <c r="X87" s="171" t="n">
        <v>29.95329295461647</v>
      </c>
      <c r="Y87" s="171" t="n">
        <v>-29.53168087406512</v>
      </c>
      <c r="Z87" s="171" t="n">
        <v>-12.46371371633946</v>
      </c>
      <c r="AA87" s="171" t="n">
        <v>0.0120955763059629</v>
      </c>
      <c r="AB87" s="171" t="n">
        <v>24.66039019909376</v>
      </c>
      <c r="AC87" s="171" t="n">
        <v>9.084879717159421e-05</v>
      </c>
      <c r="AD87" s="171" t="n">
        <v>0.0003440699033224</v>
      </c>
      <c r="AE87" s="171" t="n">
        <v>-0.0004951769266055</v>
      </c>
      <c r="AF87" s="171" t="n">
        <v>0.0004263410821715</v>
      </c>
      <c r="AG87" s="171" t="n">
        <v>0.0004661252510877</v>
      </c>
      <c r="AH87" s="171" t="n">
        <v>0.0039633606815425</v>
      </c>
      <c r="AI87" s="171" t="n">
        <v>-0.0002540359288724</v>
      </c>
      <c r="AJ87" s="171" t="n">
        <v>-6.233788894534287e-05</v>
      </c>
      <c r="AK87" s="171" t="n">
        <v>-0.0021704666902893</v>
      </c>
      <c r="AL87" s="171" t="n">
        <v>0.0050174916313117</v>
      </c>
      <c r="AM87" s="171" t="n">
        <v>-0</v>
      </c>
      <c r="AN87" s="1" t="n">
        <v>0.0152253166411809</v>
      </c>
      <c r="AO87" s="1" t="n">
        <v>4.201500258815827e-15</v>
      </c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64" t="inlineStr">
        <is>
          <t>2010-03</t>
        </is>
      </c>
      <c r="B88" s="163" t="n">
        <v>-0.0221377276904322</v>
      </c>
      <c r="C88" s="163" t="n">
        <v>-0.0438080489533584</v>
      </c>
      <c r="D88" s="163" t="n">
        <v>0.0216703212629262</v>
      </c>
      <c r="E88" s="170" t="n">
        <v>1908.991935483871</v>
      </c>
      <c r="F88" s="170" t="n">
        <v>1868.068480628845</v>
      </c>
      <c r="G88" s="163" t="n">
        <v>0.0056651267225528</v>
      </c>
      <c r="H88" s="163" t="n">
        <v>0.0004708991931969</v>
      </c>
      <c r="I88" s="163" t="n">
        <v>-0.0050188348519943</v>
      </c>
      <c r="J88" s="163" t="n">
        <v>-6.897211812524765e-05</v>
      </c>
      <c r="K88" s="163" t="n">
        <v>6.230718589096556e-05</v>
      </c>
      <c r="L88" s="163" t="n">
        <v>-0.0015951783764545</v>
      </c>
      <c r="M88" s="163" t="n">
        <v>-0.0039397624467842</v>
      </c>
      <c r="N88" s="163" t="n">
        <v>-0.012810698972492</v>
      </c>
      <c r="O88" s="163" t="n">
        <v>0.0005081867716789</v>
      </c>
      <c r="P88" s="163" t="n">
        <v>-0.0003575578766553</v>
      </c>
      <c r="Q88" s="163" t="n">
        <v>5.773456798475839e-05</v>
      </c>
      <c r="R88" s="163" t="n">
        <v>-0.0013444868909244</v>
      </c>
      <c r="S88" s="163" t="n">
        <v>-0.0009527720943427001</v>
      </c>
      <c r="T88" s="163" t="n">
        <v>-0.0017586596462968</v>
      </c>
      <c r="U88" s="163" t="n">
        <v>-0.0129933495757218</v>
      </c>
      <c r="V88" s="171" t="n">
        <v>-25.52363799706775</v>
      </c>
      <c r="W88" s="171" t="n">
        <v>-0.014208771177419</v>
      </c>
      <c r="X88" s="171" t="n">
        <v>-42.31138895498935</v>
      </c>
      <c r="Y88" s="171" t="n">
        <v>25.48518838669049</v>
      </c>
      <c r="Z88" s="171" t="n">
        <v>27.21659618524644</v>
      </c>
      <c r="AA88" s="171" t="n">
        <v>0.0077774055197084</v>
      </c>
      <c r="AB88" s="171" t="n">
        <v>15.13738237455674</v>
      </c>
      <c r="AC88" s="171" t="n">
        <v>-3.752854198090624e-06</v>
      </c>
      <c r="AD88" s="171" t="n">
        <v>-0.0010946590557719</v>
      </c>
      <c r="AE88" s="171" t="n">
        <v>-0.0035183623732497</v>
      </c>
      <c r="AF88" s="171" t="n">
        <v>0.0088840907067034</v>
      </c>
      <c r="AG88" s="171" t="n">
        <v>-0.0009626709761755</v>
      </c>
      <c r="AH88" s="171" t="n">
        <v>-0.0059517131189191</v>
      </c>
      <c r="AI88" s="171" t="n">
        <v>-0.0013068422906669</v>
      </c>
      <c r="AJ88" s="171" t="n">
        <v>0</v>
      </c>
      <c r="AK88" s="171" t="n">
        <v>-0.0039593710821343</v>
      </c>
      <c r="AL88" s="171" t="n">
        <v>0.0004726217206799</v>
      </c>
      <c r="AM88" s="171" t="n">
        <v>-0</v>
      </c>
      <c r="AN88" s="1" t="n">
        <v>-0.0438080489533573</v>
      </c>
      <c r="AO88" s="1" t="n">
        <v>-1.103284130721249e-15</v>
      </c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64" t="inlineStr">
        <is>
          <t>2010-04</t>
        </is>
      </c>
      <c r="B89" s="163" t="n">
        <v>0.0147968390551058</v>
      </c>
      <c r="C89" s="163" t="n">
        <v>-0.0048959311247421</v>
      </c>
      <c r="D89" s="163" t="n">
        <v>0.019692770179848</v>
      </c>
      <c r="E89" s="170" t="n">
        <v>1937.449</v>
      </c>
      <c r="F89" s="170" t="n">
        <v>1899.668484560533</v>
      </c>
      <c r="G89" s="163" t="n">
        <v>0.0056651267225528</v>
      </c>
      <c r="H89" s="163" t="n">
        <v>0.000464499031014</v>
      </c>
      <c r="I89" s="163" t="n">
        <v>-0.00124835489684</v>
      </c>
      <c r="J89" s="163" t="n">
        <v>-0.0001034581771878</v>
      </c>
      <c r="K89" s="163" t="n">
        <v>4.098365624687474e-06</v>
      </c>
      <c r="L89" s="163" t="n">
        <v>-0.0011132893293355</v>
      </c>
      <c r="M89" s="163" t="n">
        <v>-0.0003228928871547</v>
      </c>
      <c r="N89" s="163" t="n">
        <v>-0.0045093862484516</v>
      </c>
      <c r="O89" s="163" t="n">
        <v>-0.0027755792034482</v>
      </c>
      <c r="P89" s="163" t="n">
        <v>0.0038427847016306</v>
      </c>
      <c r="Q89" s="163" t="n">
        <v>0.0001852002600859</v>
      </c>
      <c r="R89" s="163" t="n">
        <v>0.000387550224506</v>
      </c>
      <c r="S89" s="163" t="n">
        <v>-0.0012719112224667</v>
      </c>
      <c r="T89" s="163" t="n">
        <v>-0.003212892419351</v>
      </c>
      <c r="U89" s="163" t="n">
        <v>-0.0073550746222776</v>
      </c>
      <c r="V89" s="171" t="n">
        <v>2.100534534525217</v>
      </c>
      <c r="W89" s="171" t="n">
        <v>-0.0057757827297221</v>
      </c>
      <c r="X89" s="171" t="n">
        <v>-42.2698477401573</v>
      </c>
      <c r="Y89" s="171" t="n">
        <v>83.75608280193836</v>
      </c>
      <c r="Z89" s="171" t="n">
        <v>-7.336972807685194</v>
      </c>
      <c r="AA89" s="171" t="n">
        <v>-0.0091071733446146</v>
      </c>
      <c r="AB89" s="171" t="n">
        <v>-36.22343030287459</v>
      </c>
      <c r="AC89" s="171" t="n">
        <v>8.072352223120203e-05</v>
      </c>
      <c r="AD89" s="171" t="n">
        <v>0.0001321149084572</v>
      </c>
      <c r="AE89" s="171" t="n">
        <v>-0.0020179390542871</v>
      </c>
      <c r="AF89" s="171" t="n">
        <v>0.007514559297493</v>
      </c>
      <c r="AG89" s="171" t="n">
        <v>-0.001059460484928</v>
      </c>
      <c r="AH89" s="171" t="n">
        <v>-0.0089770745624897</v>
      </c>
      <c r="AI89" s="171" t="n">
        <v>-0.0011225106523002</v>
      </c>
      <c r="AJ89" s="171" t="n">
        <v>0.0002801779344311</v>
      </c>
      <c r="AK89" s="171" t="n">
        <v>-0.0019622309485154</v>
      </c>
      <c r="AL89" s="171" t="n">
        <v>0.0021157589441117</v>
      </c>
      <c r="AM89" s="171" t="n">
        <v>-0</v>
      </c>
      <c r="AN89" s="1" t="n">
        <v>-0.004895931124738</v>
      </c>
      <c r="AO89" s="1" t="n">
        <v>-4.100018935471184e-15</v>
      </c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64" t="inlineStr">
        <is>
          <t>2010-05</t>
        </is>
      </c>
      <c r="B90" s="163" t="n">
        <v>0.0235378012081364</v>
      </c>
      <c r="C90" s="163" t="n">
        <v>0.0385038773815904</v>
      </c>
      <c r="D90" s="163" t="n">
        <v>-0.014966076173454</v>
      </c>
      <c r="E90" s="170" t="n">
        <v>1983.593225806452</v>
      </c>
      <c r="F90" s="170" t="n">
        <v>2013.503091511133</v>
      </c>
      <c r="G90" s="163" t="n">
        <v>0.0056651267225528</v>
      </c>
      <c r="H90" s="163" t="n">
        <v>-0.0008503062728496</v>
      </c>
      <c r="I90" s="163" t="n">
        <v>-0.0011391917731713</v>
      </c>
      <c r="J90" s="163" t="n">
        <v>-0.0001379442362504</v>
      </c>
      <c r="K90" s="163" t="n">
        <v>-5.863820381173633e-05</v>
      </c>
      <c r="L90" s="163" t="n">
        <v>0.0062229821362575</v>
      </c>
      <c r="M90" s="163" t="n">
        <v>0.0100290464592821</v>
      </c>
      <c r="N90" s="163" t="n">
        <v>0.0161939717176288</v>
      </c>
      <c r="O90" s="163" t="n">
        <v>-0.0037444528624483</v>
      </c>
      <c r="P90" s="163" t="n">
        <v>0.0051690620738076</v>
      </c>
      <c r="Q90" s="163" t="n">
        <v>-9.072509872248252e-05</v>
      </c>
      <c r="R90" s="163" t="n">
        <v>0.0016293507142441</v>
      </c>
      <c r="S90" s="163" t="n">
        <v>0.0004587760563864</v>
      </c>
      <c r="T90" s="163" t="n">
        <v>-0.0007766893727387</v>
      </c>
      <c r="U90" s="163" t="n">
        <v>0.012342119018639</v>
      </c>
      <c r="V90" s="171" t="n">
        <v>55.41695939997097</v>
      </c>
      <c r="W90" s="171" t="n">
        <v>0.0205986415402703</v>
      </c>
      <c r="X90" s="171" t="n">
        <v>95.52402350619312</v>
      </c>
      <c r="Y90" s="171" t="n">
        <v>-299.3282363017949</v>
      </c>
      <c r="Z90" s="171" t="n">
        <v>81.78688940661884</v>
      </c>
      <c r="AA90" s="171" t="n">
        <v>0.0194470884439617</v>
      </c>
      <c r="AB90" s="171" t="n">
        <v>66.54676724911272</v>
      </c>
      <c r="AC90" s="171" t="n">
        <v>-0.0006870509955424</v>
      </c>
      <c r="AD90" s="171" t="n">
        <v>0.003675465481349</v>
      </c>
      <c r="AE90" s="171" t="n">
        <v>0.0061692343412432</v>
      </c>
      <c r="AF90" s="171" t="n">
        <v>-0.0157198387839792</v>
      </c>
      <c r="AG90" s="171" t="n">
        <v>0.0015982092426654</v>
      </c>
      <c r="AH90" s="171" t="n">
        <v>0.0102412741628964</v>
      </c>
      <c r="AI90" s="171" t="n">
        <v>0.0033607425779554</v>
      </c>
      <c r="AJ90" s="171" t="n">
        <v>0.0002793003200434</v>
      </c>
      <c r="AK90" s="171" t="n">
        <v>-0.0077749361288122</v>
      </c>
      <c r="AL90" s="171" t="n">
        <v>0</v>
      </c>
      <c r="AM90" s="171" t="n">
        <v>-0</v>
      </c>
      <c r="AN90" s="1" t="n">
        <v>0.0385038773816181</v>
      </c>
      <c r="AO90" s="1" t="n">
        <v>-2.770006446439766e-14</v>
      </c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64" t="inlineStr">
        <is>
          <t>2010-06</t>
        </is>
      </c>
      <c r="B91" s="163" t="n">
        <v>-0.0290254912570953</v>
      </c>
      <c r="C91" s="163" t="n">
        <v>-0.0149309976597623</v>
      </c>
      <c r="D91" s="163" t="n">
        <v>-0.0140944935973329</v>
      </c>
      <c r="E91" s="170" t="n">
        <v>1926.846</v>
      </c>
      <c r="F91" s="170" t="n">
        <v>1954.196209517257</v>
      </c>
      <c r="G91" s="163" t="n">
        <v>0.0056651267225528</v>
      </c>
      <c r="H91" s="163" t="n">
        <v>0.0004451346966333</v>
      </c>
      <c r="I91" s="163" t="n">
        <v>-0.0005964773827986</v>
      </c>
      <c r="J91" s="163" t="n">
        <v>-0.0016130576013162</v>
      </c>
      <c r="K91" s="163" t="n">
        <v>1.883866515731295e-06</v>
      </c>
      <c r="L91" s="163" t="n">
        <v>0.0011201436093211</v>
      </c>
      <c r="M91" s="163" t="n">
        <v>-0.0010783826172949</v>
      </c>
      <c r="N91" s="163" t="n">
        <v>-0.0022237162812492</v>
      </c>
      <c r="O91" s="163" t="n">
        <v>-0.0002601602770133</v>
      </c>
      <c r="P91" s="163" t="n">
        <v>-0.0057499537629911</v>
      </c>
      <c r="Q91" s="163" t="n">
        <v>-7.008915973560707e-05</v>
      </c>
      <c r="R91" s="163" t="n">
        <v>-3.725424039548385e-05</v>
      </c>
      <c r="S91" s="163" t="n">
        <v>-0.0006899814362621</v>
      </c>
      <c r="T91" s="163" t="n">
        <v>-0.0007758371554528</v>
      </c>
      <c r="U91" s="163" t="n">
        <v>-0.0016490320312742</v>
      </c>
      <c r="V91" s="171" t="n">
        <v>14.34079223707151</v>
      </c>
      <c r="W91" s="171" t="n">
        <v>0.0063425126744957</v>
      </c>
      <c r="X91" s="171" t="n">
        <v>44.01499417524984</v>
      </c>
      <c r="Y91" s="171" t="n">
        <v>-151.417364462585</v>
      </c>
      <c r="Z91" s="171" t="n">
        <v>45.67951077038372</v>
      </c>
      <c r="AA91" s="171" t="n">
        <v>0.0121211094823243</v>
      </c>
      <c r="AB91" s="171" t="n">
        <v>47.35217782059787</v>
      </c>
      <c r="AC91" s="171" t="n">
        <v>0.0001752322811702</v>
      </c>
      <c r="AD91" s="171" t="n">
        <v>8.840720641007262e-05</v>
      </c>
      <c r="AE91" s="171" t="n">
        <v>0.0029909182784945</v>
      </c>
      <c r="AF91" s="171" t="n">
        <v>-0.0058353947001134</v>
      </c>
      <c r="AG91" s="171" t="n">
        <v>0.0002274055567964</v>
      </c>
      <c r="AH91" s="171" t="n">
        <v>0.0032769992127355</v>
      </c>
      <c r="AI91" s="171" t="n">
        <v>0.0037800998841474</v>
      </c>
      <c r="AJ91" s="171" t="n">
        <v>0.0001393227693898</v>
      </c>
      <c r="AK91" s="171" t="n">
        <v>-0.0010704756685904</v>
      </c>
      <c r="AL91" s="171" t="n">
        <v>0.0002339776957841</v>
      </c>
      <c r="AM91" s="171" t="n">
        <v>-0</v>
      </c>
      <c r="AN91" s="1" t="n">
        <v>-0.014930997659776</v>
      </c>
      <c r="AO91" s="1" t="n">
        <v>1.370084601326482e-14</v>
      </c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64" t="inlineStr">
        <is>
          <t>2010-07</t>
        </is>
      </c>
      <c r="B92" s="163" t="n">
        <v>-0.0275898376431333</v>
      </c>
      <c r="C92" s="163" t="n">
        <v>-0.0235226259477901</v>
      </c>
      <c r="D92" s="163" t="n">
        <v>-0.0040672116953431</v>
      </c>
      <c r="E92" s="170" t="n">
        <v>1874.41129032258</v>
      </c>
      <c r="F92" s="170" t="n">
        <v>1882.05044233797</v>
      </c>
      <c r="G92" s="163" t="n">
        <v>0.0056651267225528</v>
      </c>
      <c r="H92" s="163" t="n">
        <v>-0.0004270321158959</v>
      </c>
      <c r="I92" s="163" t="n">
        <v>0.0003043021655015</v>
      </c>
      <c r="J92" s="163" t="n">
        <v>-4.227323368966772e-05</v>
      </c>
      <c r="K92" s="163" t="n">
        <v>-3.594606162702056e-05</v>
      </c>
      <c r="L92" s="163" t="n">
        <v>-0.0034134355220418</v>
      </c>
      <c r="M92" s="163" t="n">
        <v>-0.0026025690285959</v>
      </c>
      <c r="N92" s="163" t="n">
        <v>-0.0066693443674579</v>
      </c>
      <c r="O92" s="163" t="n">
        <v>-0.0042588377663933</v>
      </c>
      <c r="P92" s="163" t="n">
        <v>-0.0091451862543205</v>
      </c>
      <c r="Q92" s="163" t="n">
        <v>0.0002814317960098</v>
      </c>
      <c r="R92" s="163" t="n">
        <v>-0.0002089367688533</v>
      </c>
      <c r="S92" s="163" t="n">
        <v>-0.0002528517114236</v>
      </c>
      <c r="T92" s="163" t="n">
        <v>0.0002908391827986</v>
      </c>
      <c r="U92" s="163" t="n">
        <v>-0.0060229536022779</v>
      </c>
      <c r="V92" s="171" t="n">
        <v>4.535439872505503</v>
      </c>
      <c r="W92" s="171" t="n">
        <v>0.0003973163585947</v>
      </c>
      <c r="X92" s="171" t="n">
        <v>44.81383173646928</v>
      </c>
      <c r="Y92" s="171" t="n">
        <v>-135.1121737638906</v>
      </c>
      <c r="Z92" s="171" t="n">
        <v>35.22660953361375</v>
      </c>
      <c r="AA92" s="171" t="n">
        <v>0.0234333279375169</v>
      </c>
      <c r="AB92" s="171" t="n">
        <v>50.5122278217794</v>
      </c>
      <c r="AC92" s="171" t="n">
        <v>-0.0002027098621552</v>
      </c>
      <c r="AD92" s="171" t="n">
        <v>-0.0007287524014657</v>
      </c>
      <c r="AE92" s="171" t="n">
        <v>-0.003342133993355</v>
      </c>
      <c r="AF92" s="171" t="n">
        <v>0.008493476530859001</v>
      </c>
      <c r="AG92" s="171" t="n">
        <v>-0.0001576217602089</v>
      </c>
      <c r="AH92" s="171" t="n">
        <v>-0.0001055833924889</v>
      </c>
      <c r="AI92" s="171" t="n">
        <v>0.0001904420794174</v>
      </c>
      <c r="AJ92" s="171" t="n">
        <v>0.0001313830289762</v>
      </c>
      <c r="AK92" s="171" t="n">
        <v>-0.0021959040892703</v>
      </c>
      <c r="AL92" s="171" t="n">
        <v>0.0011665997042066</v>
      </c>
      <c r="AM92" s="171" t="n">
        <v>-0</v>
      </c>
      <c r="AN92" s="1" t="n">
        <v>-0.0235226259477869</v>
      </c>
      <c r="AO92" s="1" t="n">
        <v>-3.198830089701232e-15</v>
      </c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64" t="inlineStr">
        <is>
          <t>2010-08</t>
        </is>
      </c>
      <c r="B93" s="163" t="n">
        <v>-0.0287986528971018</v>
      </c>
      <c r="C93" s="163" t="n">
        <v>-0.0255671891590607</v>
      </c>
      <c r="D93" s="163" t="n">
        <v>-0.003231463738041</v>
      </c>
      <c r="E93" s="170" t="n">
        <v>1821.20064516129</v>
      </c>
      <c r="F93" s="170" t="n">
        <v>1827.095308071033</v>
      </c>
      <c r="G93" s="163" t="n">
        <v>0.0056651267225528</v>
      </c>
      <c r="H93" s="163" t="n">
        <v>0.0003155975813249</v>
      </c>
      <c r="I93" s="163" t="n">
        <v>0.0013718918239657</v>
      </c>
      <c r="J93" s="163" t="n">
        <v>0</v>
      </c>
      <c r="K93" s="163" t="n">
        <v>1.326328935191182e-05</v>
      </c>
      <c r="L93" s="163" t="n">
        <v>-0.0016625951828589</v>
      </c>
      <c r="M93" s="163" t="n">
        <v>-0.00053937323599</v>
      </c>
      <c r="N93" s="163" t="n">
        <v>-0.0092461365094302</v>
      </c>
      <c r="O93" s="163" t="n">
        <v>-0.0023566945978317</v>
      </c>
      <c r="P93" s="163" t="n">
        <v>-0.0015998800320017</v>
      </c>
      <c r="Q93" s="163" t="n">
        <v>-9.582050880692604e-05</v>
      </c>
      <c r="R93" s="163" t="n">
        <v>-0.0007371874034173</v>
      </c>
      <c r="S93" s="163" t="n">
        <v>-0.0001429829349805</v>
      </c>
      <c r="T93" s="163" t="n">
        <v>-0.0007753054686992</v>
      </c>
      <c r="U93" s="163" t="n">
        <v>-0.0113593862702539</v>
      </c>
      <c r="V93" s="171" t="n">
        <v>62.62450783000176</v>
      </c>
      <c r="W93" s="171" t="n">
        <v>0.0206406287691215</v>
      </c>
      <c r="X93" s="171" t="n">
        <v>39.96763361416767</v>
      </c>
      <c r="Y93" s="171" t="n">
        <v>-219.3591655331013</v>
      </c>
      <c r="Z93" s="171" t="n">
        <v>89.97970388949274</v>
      </c>
      <c r="AA93" s="171" t="n">
        <v>0.0087854553224599</v>
      </c>
      <c r="AB93" s="171" t="n">
        <v>26.76042342772704</v>
      </c>
      <c r="AC93" s="171" t="n">
        <v>0.0004631059237415</v>
      </c>
      <c r="AD93" s="171" t="n">
        <v>-0.0004322548092135</v>
      </c>
      <c r="AE93" s="171" t="n">
        <v>-0.0020377957731485</v>
      </c>
      <c r="AF93" s="171" t="n">
        <v>0.0039037599646881</v>
      </c>
      <c r="AG93" s="171" t="n">
        <v>-0.0002766683041163</v>
      </c>
      <c r="AH93" s="171" t="n">
        <v>-0.004615100369687</v>
      </c>
      <c r="AI93" s="171" t="n">
        <v>-0.0013048054769833</v>
      </c>
      <c r="AJ93" s="171" t="n">
        <v>-6.180319378842726e-05</v>
      </c>
      <c r="AK93" s="171" t="n">
        <v>-0.0021194730017085</v>
      </c>
      <c r="AL93" s="171" t="n">
        <v>-0.0004659837712573</v>
      </c>
      <c r="AM93" s="171" t="n">
        <v>-0</v>
      </c>
      <c r="AN93" s="1" t="n">
        <v>-0.0255671891590692</v>
      </c>
      <c r="AO93" s="1" t="n">
        <v>8.500145032286355e-15</v>
      </c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64" t="inlineStr">
        <is>
          <t>2010-09</t>
        </is>
      </c>
      <c r="B94" s="163" t="n">
        <v>-0.008507592957902099</v>
      </c>
      <c r="C94" s="163" t="n">
        <v>-0.0006505229790633</v>
      </c>
      <c r="D94" s="163" t="n">
        <v>-0.007857069978838799</v>
      </c>
      <c r="E94" s="170" t="n">
        <v>1805.772333333333</v>
      </c>
      <c r="F94" s="170" t="n">
        <v>1820.016297556561</v>
      </c>
      <c r="G94" s="163" t="n">
        <v>0.0056651267225528</v>
      </c>
      <c r="H94" s="163" t="n">
        <v>-2.238781645842105e-05</v>
      </c>
      <c r="I94" s="163" t="n">
        <v>0.0016540572567757</v>
      </c>
      <c r="J94" s="163" t="n">
        <v>-3.448605906262306e-05</v>
      </c>
      <c r="K94" s="163" t="n">
        <v>-1.381489502415294e-05</v>
      </c>
      <c r="L94" s="163" t="n">
        <v>-0.0019973413304964</v>
      </c>
      <c r="M94" s="163" t="n">
        <v>-0.001562516294374</v>
      </c>
      <c r="N94" s="163" t="n">
        <v>0.0027788934864407</v>
      </c>
      <c r="O94" s="163" t="n">
        <v>-0.000328866577459</v>
      </c>
      <c r="P94" s="163" t="n">
        <v>0.0050329567784987</v>
      </c>
      <c r="Q94" s="163" t="n">
        <v>-0.0001400234469482</v>
      </c>
      <c r="R94" s="163" t="n">
        <v>9.27877539417977e-05</v>
      </c>
      <c r="S94" s="163" t="n">
        <v>-0.0026429156135361</v>
      </c>
      <c r="T94" s="163" t="n">
        <v>0.0009692647393189</v>
      </c>
      <c r="U94" s="163" t="n">
        <v>-0.0091226431652623</v>
      </c>
      <c r="V94" s="171" t="n">
        <v>32.22877286088146</v>
      </c>
      <c r="W94" s="171" t="n">
        <v>-0.0002282933512889</v>
      </c>
      <c r="X94" s="171" t="n">
        <v>16.80549846028722</v>
      </c>
      <c r="Y94" s="171" t="n">
        <v>-35.78025072892005</v>
      </c>
      <c r="Z94" s="171" t="n">
        <v>4.387227228151412</v>
      </c>
      <c r="AA94" s="171" t="n">
        <v>0.0058532253491069</v>
      </c>
      <c r="AB94" s="171" t="n">
        <v>-17.64313630858576</v>
      </c>
      <c r="AC94" s="171" t="n">
        <v>-0.0001893890876006</v>
      </c>
      <c r="AD94" s="171" t="n">
        <v>-0.0009422121998442</v>
      </c>
      <c r="AE94" s="171" t="n">
        <v>-0.0009431941459152</v>
      </c>
      <c r="AF94" s="171" t="n">
        <v>0.0019649798479974</v>
      </c>
      <c r="AG94" s="171" t="n">
        <v>-0.0001496212035552</v>
      </c>
      <c r="AH94" s="171" t="n">
        <v>-0.0032028421630906</v>
      </c>
      <c r="AI94" s="171" t="n">
        <v>-0.0007956020560809</v>
      </c>
      <c r="AJ94" s="171" t="n">
        <v>8.496835198808292e-05</v>
      </c>
      <c r="AK94" s="171" t="n">
        <v>-0.0017054729968104</v>
      </c>
      <c r="AL94" s="171" t="n">
        <v>0.0011633273228327</v>
      </c>
      <c r="AM94" s="171" t="n">
        <v>-0</v>
      </c>
      <c r="AN94" s="1" t="n">
        <v>-0.0006505229790806</v>
      </c>
      <c r="AO94" s="1" t="n">
        <v>1.72999635450477e-14</v>
      </c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64" t="inlineStr">
        <is>
          <t>2010-10</t>
        </is>
      </c>
      <c r="B95" s="163" t="n">
        <v>0.00156860345015</v>
      </c>
      <c r="C95" s="163" t="n">
        <v>-0.0047399918410177</v>
      </c>
      <c r="D95" s="163" t="n">
        <v>0.0063085952911678</v>
      </c>
      <c r="E95" s="170" t="n">
        <v>1808.607096774193</v>
      </c>
      <c r="F95" s="170" t="n">
        <v>1797.233240808727</v>
      </c>
      <c r="G95" s="163" t="n">
        <v>0.0056651267225528</v>
      </c>
      <c r="H95" s="163" t="n">
        <v>0.0004776544867471</v>
      </c>
      <c r="I95" s="163" t="n">
        <v>0.0008295667058778</v>
      </c>
      <c r="J95" s="163" t="n">
        <v>0</v>
      </c>
      <c r="K95" s="163" t="n">
        <v>3.886919859500121e-05</v>
      </c>
      <c r="L95" s="163" t="n">
        <v>-0.0056065519894279</v>
      </c>
      <c r="M95" s="163" t="n">
        <v>-0.0016570517242531</v>
      </c>
      <c r="N95" s="163" t="n">
        <v>-0.0048991531270693</v>
      </c>
      <c r="O95" s="163" t="n">
        <v>-0.0051495283389973</v>
      </c>
      <c r="P95" s="163" t="n">
        <v>-0.008445062734409901</v>
      </c>
      <c r="Q95" s="163" t="n">
        <v>0.0002568104904854</v>
      </c>
      <c r="R95" s="163" t="n">
        <v>3.185199290893222e-05</v>
      </c>
      <c r="S95" s="163" t="n">
        <v>-0.001684998505957</v>
      </c>
      <c r="T95" s="163" t="n">
        <v>0.000582197247063</v>
      </c>
      <c r="U95" s="163" t="n">
        <v>-0.0101114701768925</v>
      </c>
      <c r="V95" s="171" t="n">
        <v>109.7559301925638</v>
      </c>
      <c r="W95" s="171" t="n">
        <v>0.0445190587509843</v>
      </c>
      <c r="X95" s="171" t="n">
        <v>43.20286342528414</v>
      </c>
      <c r="Y95" s="171" t="n">
        <v>-75.47374722552622</v>
      </c>
      <c r="Z95" s="171" t="n">
        <v>1.503954788438171</v>
      </c>
      <c r="AA95" s="171" t="n">
        <v>-0.0232811502064024</v>
      </c>
      <c r="AB95" s="171" t="n">
        <v>-78.98124971307477</v>
      </c>
      <c r="AC95" s="171" t="n">
        <v>0.0001174903462808</v>
      </c>
      <c r="AD95" s="171" t="n">
        <v>-0.0006293156693043</v>
      </c>
      <c r="AE95" s="171" t="n">
        <v>-0.0024448585098067</v>
      </c>
      <c r="AF95" s="171" t="n">
        <v>0.0056496147872119</v>
      </c>
      <c r="AG95" s="171" t="n">
        <v>-0.000869816935862</v>
      </c>
      <c r="AH95" s="171" t="n">
        <v>-0.0087777768477176</v>
      </c>
      <c r="AI95" s="171" t="n">
        <v>0.0001026327783907</v>
      </c>
      <c r="AJ95" s="171" t="n">
        <v>-7.721050727387214e-06</v>
      </c>
      <c r="AK95" s="171" t="n">
        <v>0.0016442088229359</v>
      </c>
      <c r="AL95" s="171" t="n">
        <v>0.0011579139606596</v>
      </c>
      <c r="AM95" s="171" t="n">
        <v>-0</v>
      </c>
      <c r="AN95" s="1" t="n">
        <v>-0.0047399918410221</v>
      </c>
      <c r="AO95" s="1" t="n">
        <v>4.400126096815171e-15</v>
      </c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64" t="inlineStr">
        <is>
          <t>2010-11</t>
        </is>
      </c>
      <c r="B96" s="163" t="n">
        <v>0.0296278817810202</v>
      </c>
      <c r="C96" s="163" t="n">
        <v>0.0037515620127613</v>
      </c>
      <c r="D96" s="163" t="n">
        <v>0.0258763197682589</v>
      </c>
      <c r="E96" s="170" t="n">
        <v>1862.994</v>
      </c>
      <c r="F96" s="170" t="n">
        <v>1815.404941750091</v>
      </c>
      <c r="G96" s="163" t="n">
        <v>0.0056651267225528</v>
      </c>
      <c r="H96" s="163" t="n">
        <v>0.0002474051550982</v>
      </c>
      <c r="I96" s="163" t="n">
        <v>0.0004385613697801</v>
      </c>
      <c r="J96" s="163" t="n">
        <v>0</v>
      </c>
      <c r="K96" s="163" t="n">
        <v>2.737324314837573e-05</v>
      </c>
      <c r="L96" s="163" t="n">
        <v>0.0006282513217795</v>
      </c>
      <c r="M96" s="163" t="n">
        <v>-0.0002271903994372</v>
      </c>
      <c r="N96" s="163" t="n">
        <v>-0.0018080852424764</v>
      </c>
      <c r="O96" s="163" t="n">
        <v>-0.0047722110860189</v>
      </c>
      <c r="P96" s="163" t="n">
        <v>0.0067667896533224</v>
      </c>
      <c r="Q96" s="163" t="n">
        <v>-3.566108187323945e-05</v>
      </c>
      <c r="R96" s="163" t="n">
        <v>0.0008658130877387</v>
      </c>
      <c r="S96" s="163" t="n">
        <v>-0.0002107657782566</v>
      </c>
      <c r="T96" s="163" t="n">
        <v>-0.0013577153029916</v>
      </c>
      <c r="U96" s="163" t="n">
        <v>0.0004455066347986</v>
      </c>
      <c r="V96" s="171" t="n">
        <v>-40.29596862150434</v>
      </c>
      <c r="W96" s="171" t="n">
        <v>-0.0116197214727888</v>
      </c>
      <c r="X96" s="171" t="n">
        <v>-32.40214756896312</v>
      </c>
      <c r="Y96" s="171" t="n">
        <v>156.3895710025308</v>
      </c>
      <c r="Z96" s="171" t="n">
        <v>-60.24128296230688</v>
      </c>
      <c r="AA96" s="171" t="n">
        <v>-0.0049534362141282</v>
      </c>
      <c r="AB96" s="171" t="n">
        <v>-23.42894214257539</v>
      </c>
      <c r="AC96" s="171" t="n">
        <v>-7.2530409848242e-05</v>
      </c>
      <c r="AD96" s="171" t="n">
        <v>-3.254137597647361e-05</v>
      </c>
      <c r="AE96" s="171" t="n">
        <v>-0.0012596606027684</v>
      </c>
      <c r="AF96" s="171" t="n">
        <v>0.003163022106837</v>
      </c>
      <c r="AG96" s="171" t="n">
        <v>-0.0004496498549059</v>
      </c>
      <c r="AH96" s="171" t="n">
        <v>-0.0052854245540269</v>
      </c>
      <c r="AI96" s="171" t="n">
        <v>-0.0023892956071895</v>
      </c>
      <c r="AJ96" s="171" t="n">
        <v>0.0001774152363655</v>
      </c>
      <c r="AK96" s="171" t="n">
        <v>-0.0005036210026841</v>
      </c>
      <c r="AL96" s="171" t="n">
        <v>-0.0009258997143566</v>
      </c>
      <c r="AM96" s="171" t="n">
        <v>-0</v>
      </c>
      <c r="AN96" s="1" t="n">
        <v>0.0037515620127612</v>
      </c>
      <c r="AO96" s="1" t="n">
        <v>1.001802807376606e-16</v>
      </c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64" t="inlineStr">
        <is>
          <t>2010-12</t>
        </is>
      </c>
      <c r="B97" s="163" t="n">
        <v>0.0313537921857207</v>
      </c>
      <c r="C97" s="163" t="n">
        <v>-0.0237582795501708</v>
      </c>
      <c r="D97" s="163" t="n">
        <v>0.0551120717358916</v>
      </c>
      <c r="E97" s="170" t="n">
        <v>1922.331290322581</v>
      </c>
      <c r="F97" s="170" t="n">
        <v>1819.254117344212</v>
      </c>
      <c r="G97" s="163" t="n">
        <v>0.0056651267225528</v>
      </c>
      <c r="H97" s="163" t="n">
        <v>0.0001098223641748</v>
      </c>
      <c r="I97" s="163" t="n">
        <v>0.0009918571766779</v>
      </c>
      <c r="J97" s="163" t="n">
        <v>0</v>
      </c>
      <c r="K97" s="163" t="n">
        <v>1.888796246051024e-05</v>
      </c>
      <c r="L97" s="163" t="n">
        <v>0.0015019849464824</v>
      </c>
      <c r="M97" s="163" t="n">
        <v>-0.0022244915072746</v>
      </c>
      <c r="N97" s="163" t="n">
        <v>0.0025295619364715</v>
      </c>
      <c r="O97" s="163" t="n">
        <v>-0.0002750580001972</v>
      </c>
      <c r="P97" s="163" t="n">
        <v>0.0002916847270574</v>
      </c>
      <c r="Q97" s="163" t="n">
        <v>-0.0002821997323244</v>
      </c>
      <c r="R97" s="163" t="n">
        <v>-7.554268273202707e-05</v>
      </c>
      <c r="S97" s="163" t="n">
        <v>-0.0038827923875509</v>
      </c>
      <c r="T97" s="163" t="n">
        <v>-0.0045390704645435</v>
      </c>
      <c r="U97" s="163" t="n">
        <v>-0.0036352718460416</v>
      </c>
      <c r="V97" s="171" t="n">
        <v>-108.0532111780466</v>
      </c>
      <c r="W97" s="171" t="n">
        <v>-0.0400831568452085</v>
      </c>
      <c r="X97" s="171" t="n">
        <v>-68.20319733548079</v>
      </c>
      <c r="Y97" s="171" t="n">
        <v>370.2225041611931</v>
      </c>
      <c r="Z97" s="171" t="n">
        <v>-151.1142196681371</v>
      </c>
      <c r="AA97" s="171" t="n">
        <v>-0.0177761973828661</v>
      </c>
      <c r="AB97" s="171" t="n">
        <v>-42.80639160732503</v>
      </c>
      <c r="AC97" s="171" t="n">
        <v>-5.530815320651048e-05</v>
      </c>
      <c r="AD97" s="171" t="n">
        <v>-0.0003864096021757</v>
      </c>
      <c r="AE97" s="171" t="n">
        <v>-0.0010139337068589</v>
      </c>
      <c r="AF97" s="171" t="n">
        <v>0.0031249134067546</v>
      </c>
      <c r="AG97" s="171" t="n">
        <v>-0.0010107995716738</v>
      </c>
      <c r="AH97" s="171" t="n">
        <v>-0.0093836031318516</v>
      </c>
      <c r="AI97" s="171" t="n">
        <v>0.0035023011289663</v>
      </c>
      <c r="AJ97" s="171" t="n">
        <v>6.162699460413502e-05</v>
      </c>
      <c r="AK97" s="171" t="n">
        <v>-0.005642271549915</v>
      </c>
      <c r="AL97" s="171" t="n">
        <v>0.0032256874443933</v>
      </c>
      <c r="AM97" s="171" t="n">
        <v>-0</v>
      </c>
      <c r="AN97" s="1" t="n">
        <v>-0.023758279550182</v>
      </c>
      <c r="AO97" s="1" t="n">
        <v>1.119937476090627e-14</v>
      </c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64" t="inlineStr">
        <is>
          <t>2011-01</t>
        </is>
      </c>
      <c r="B98" s="163" t="n">
        <v>-0.0291646777848582</v>
      </c>
      <c r="C98" s="163" t="n">
        <v>-0.0139247131366693</v>
      </c>
      <c r="D98" s="163" t="n">
        <v>-0.0152399646481888</v>
      </c>
      <c r="E98" s="170" t="n">
        <v>1867.076774193549</v>
      </c>
      <c r="F98" s="170" t="n">
        <v>1895.748884261392</v>
      </c>
      <c r="G98" s="163" t="n">
        <v>0.0056651267225528</v>
      </c>
      <c r="H98" s="163" t="n">
        <v>2.644809915966981e-05</v>
      </c>
      <c r="I98" s="163" t="n">
        <v>0.0004496920275365</v>
      </c>
      <c r="J98" s="163" t="n">
        <v>3.448605906262306e-05</v>
      </c>
      <c r="K98" s="163" t="n">
        <v>-8.853765354908252e-05</v>
      </c>
      <c r="L98" s="163" t="n">
        <v>-0.002394966689178</v>
      </c>
      <c r="M98" s="163" t="n">
        <v>-0.0002411774502062</v>
      </c>
      <c r="N98" s="163" t="n">
        <v>-0.0041620114867313</v>
      </c>
      <c r="O98" s="163" t="n">
        <v>-0.0049073036725954</v>
      </c>
      <c r="P98" s="163" t="n">
        <v>-0.0069683837868438</v>
      </c>
      <c r="Q98" s="163" t="n">
        <v>0.0004393939957586</v>
      </c>
      <c r="R98" s="163" t="n">
        <v>-0.0007862970685708</v>
      </c>
      <c r="S98" s="163" t="n">
        <v>-0.0005016473799657</v>
      </c>
      <c r="T98" s="163" t="n">
        <v>-0.0064206256196605</v>
      </c>
      <c r="U98" s="163" t="n">
        <v>-0.0036436425208905</v>
      </c>
      <c r="V98" s="171" t="n">
        <v>-4.689764858715515</v>
      </c>
      <c r="W98" s="171" t="n">
        <v>0.0137679052744808</v>
      </c>
      <c r="X98" s="171" t="n">
        <v>1.529547530114372</v>
      </c>
      <c r="Y98" s="171" t="n">
        <v>72.29686490874872</v>
      </c>
      <c r="Z98" s="171" t="n">
        <v>-44.35835711645177</v>
      </c>
      <c r="AA98" s="171" t="n">
        <v>-0.020523567159362</v>
      </c>
      <c r="AB98" s="171" t="n">
        <v>-24.76610615754189</v>
      </c>
      <c r="AC98" s="171" t="n">
        <v>0.0003599395902663</v>
      </c>
      <c r="AD98" s="171" t="n">
        <v>-0.000367958659097</v>
      </c>
      <c r="AE98" s="171" t="n">
        <v>-0.0021197047384517</v>
      </c>
      <c r="AF98" s="171" t="n">
        <v>0.0050327302046284</v>
      </c>
      <c r="AG98" s="171" t="n">
        <v>-0.0007815378049046</v>
      </c>
      <c r="AH98" s="171" t="n">
        <v>-0.0062311835392107</v>
      </c>
      <c r="AI98" s="171" t="n">
        <v>0.0038662118404378</v>
      </c>
      <c r="AJ98" s="171" t="n">
        <v>0.0002076772097108</v>
      </c>
      <c r="AK98" s="171" t="n">
        <v>0.0012216190802287</v>
      </c>
      <c r="AL98" s="171" t="n">
        <v>0.0029582958348143</v>
      </c>
      <c r="AM98" s="171" t="n">
        <v>-0</v>
      </c>
      <c r="AN98" s="1" t="n">
        <v>-0.0139247131366716</v>
      </c>
      <c r="AO98" s="1" t="n">
        <v>2.300243329145246e-15</v>
      </c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64" t="inlineStr">
        <is>
          <t>2011-02</t>
        </is>
      </c>
      <c r="B99" s="163" t="n">
        <v>0.00815839472064</v>
      </c>
      <c r="C99" s="163" t="n">
        <v>-0.0186204029968122</v>
      </c>
      <c r="D99" s="163" t="n">
        <v>0.0267787977174523</v>
      </c>
      <c r="E99" s="170" t="n">
        <v>1882.371428571428</v>
      </c>
      <c r="F99" s="170" t="n">
        <v>1832.63272843436</v>
      </c>
      <c r="G99" s="163" t="n">
        <v>0.0056651267225528</v>
      </c>
      <c r="H99" s="163" t="n">
        <v>0.000458776735478</v>
      </c>
      <c r="I99" s="163" t="n">
        <v>0.0012807476523015</v>
      </c>
      <c r="J99" s="163" t="n">
        <v>3.448605906262459e-05</v>
      </c>
      <c r="K99" s="163" t="n">
        <v>9.52497430783764e-05</v>
      </c>
      <c r="L99" s="163" t="n">
        <v>-0.0016118415966292</v>
      </c>
      <c r="M99" s="163" t="n">
        <v>0.0001091353333632</v>
      </c>
      <c r="N99" s="163" t="n">
        <v>0.0014417164064177</v>
      </c>
      <c r="O99" s="163" t="n">
        <v>-0.0036875308665991</v>
      </c>
      <c r="P99" s="163" t="n">
        <v>-0.0026106288791145</v>
      </c>
      <c r="Q99" s="163" t="n">
        <v>-0.000137002896921</v>
      </c>
      <c r="R99" s="163" t="n">
        <v>-0.0005980594522705</v>
      </c>
      <c r="S99" s="163" t="n">
        <v>-0.0001782785768335</v>
      </c>
      <c r="T99" s="163" t="n">
        <v>-0.0042798615095836</v>
      </c>
      <c r="U99" s="163" t="n">
        <v>-0.009163493520336401</v>
      </c>
      <c r="V99" s="171" t="n">
        <v>-50.69575796999044</v>
      </c>
      <c r="W99" s="171" t="n">
        <v>-0.0178535555758626</v>
      </c>
      <c r="X99" s="171" t="n">
        <v>-65.68995383814453</v>
      </c>
      <c r="Y99" s="171" t="n">
        <v>127.8607470187507</v>
      </c>
      <c r="Z99" s="171" t="n">
        <v>-10.04575325536946</v>
      </c>
      <c r="AA99" s="171" t="n">
        <v>-0.0082267894236706</v>
      </c>
      <c r="AB99" s="171" t="n">
        <v>-1.4057365285546</v>
      </c>
      <c r="AC99" s="171" t="n">
        <v>0.0003276427499794</v>
      </c>
      <c r="AD99" s="171" t="n">
        <v>-1.923754491515123e-05</v>
      </c>
      <c r="AE99" s="171" t="n">
        <v>-0.0004033396018716</v>
      </c>
      <c r="AF99" s="171" t="n">
        <v>0.0021317054108577</v>
      </c>
      <c r="AG99" s="171" t="n">
        <v>-0.0010396067617999</v>
      </c>
      <c r="AH99" s="171" t="n">
        <v>-0.0059595679316533</v>
      </c>
      <c r="AI99" s="171" t="n">
        <v>0.0008761693528992</v>
      </c>
      <c r="AJ99" s="171" t="n">
        <v>0.0002378492295603</v>
      </c>
      <c r="AK99" s="171" t="n">
        <v>0.0023053574941078</v>
      </c>
      <c r="AL99" s="171" t="n">
        <v>-0.001360998440079</v>
      </c>
      <c r="AM99" s="171" t="n">
        <v>-0</v>
      </c>
      <c r="AN99" s="1" t="n">
        <v>-0.0186204029968181</v>
      </c>
      <c r="AO99" s="1" t="n">
        <v>5.901529265273098e-15</v>
      </c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64" t="inlineStr">
        <is>
          <t>2011-03</t>
        </is>
      </c>
      <c r="B100" s="163" t="n">
        <v>-0.0002957291835663</v>
      </c>
      <c r="C100" s="163" t="n">
        <v>0.009617606327619901</v>
      </c>
      <c r="D100" s="163" t="n">
        <v>-0.0099133355111863</v>
      </c>
      <c r="E100" s="170" t="n">
        <v>1881.814838709677</v>
      </c>
      <c r="F100" s="170" t="n">
        <v>1900.562673830073</v>
      </c>
      <c r="G100" s="163" t="n">
        <v>0.0056651267225528</v>
      </c>
      <c r="H100" s="163" t="n">
        <v>0.0009460831556144</v>
      </c>
      <c r="I100" s="163" t="n">
        <v>0.0022837029770747</v>
      </c>
      <c r="J100" s="163" t="n">
        <v>6.527718322568069e-05</v>
      </c>
      <c r="K100" s="163" t="n">
        <v>-6.6907661235538e-06</v>
      </c>
      <c r="L100" s="163" t="n">
        <v>-0.0020703090987576</v>
      </c>
      <c r="M100" s="163" t="n">
        <v>0.0028658915980482</v>
      </c>
      <c r="N100" s="163" t="n">
        <v>0.0011616982987881</v>
      </c>
      <c r="O100" s="163" t="n">
        <v>-0.0033985554336199</v>
      </c>
      <c r="P100" s="163" t="n">
        <v>0.0149053348549239</v>
      </c>
      <c r="Q100" s="163" t="n">
        <v>-0.0002280569314915</v>
      </c>
      <c r="R100" s="163" t="n">
        <v>0.0001858061606442</v>
      </c>
      <c r="S100" s="163" t="n">
        <v>-0.0018035197728578</v>
      </c>
      <c r="T100" s="163" t="n">
        <v>-0.0018938768965647</v>
      </c>
      <c r="U100" s="163" t="n">
        <v>-0.0001508871686503</v>
      </c>
      <c r="V100" s="171" t="n">
        <v>78.29906804974391</v>
      </c>
      <c r="W100" s="171" t="n">
        <v>0.0327210282581832</v>
      </c>
      <c r="X100" s="171" t="n">
        <v>31.25602545174813</v>
      </c>
      <c r="Y100" s="171" t="n">
        <v>-113.5893220416138</v>
      </c>
      <c r="Z100" s="171" t="n">
        <v>36.02844178269834</v>
      </c>
      <c r="AA100" s="171" t="n">
        <v>-0.0194756856014866</v>
      </c>
      <c r="AB100" s="171" t="n">
        <v>-32.00336352914473</v>
      </c>
      <c r="AC100" s="171" t="n">
        <v>-0.0006173742411636</v>
      </c>
      <c r="AD100" s="171" t="n">
        <v>0.0004478500456247</v>
      </c>
      <c r="AE100" s="171" t="n">
        <v>0.0010114516170012</v>
      </c>
      <c r="AF100" s="171" t="n">
        <v>-0.0050374937921387</v>
      </c>
      <c r="AG100" s="171" t="n">
        <v>-0.0014489214717287</v>
      </c>
      <c r="AH100" s="171" t="n">
        <v>-0.0055663189108292</v>
      </c>
      <c r="AI100" s="171" t="n">
        <v>0.0006456699377041</v>
      </c>
      <c r="AJ100" s="171" t="n">
        <v>0.0001684121546242</v>
      </c>
      <c r="AK100" s="171" t="n">
        <v>-0.0059963896559065</v>
      </c>
      <c r="AL100" s="171" t="n">
        <v>0.003388639673123</v>
      </c>
      <c r="AM100" s="171" t="n">
        <v>-0</v>
      </c>
      <c r="AN100" s="1" t="n">
        <v>0.0096176063276203</v>
      </c>
      <c r="AO100" s="1" t="n">
        <v>-3.989863994746656e-16</v>
      </c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64" t="inlineStr">
        <is>
          <t>2011-04</t>
        </is>
      </c>
      <c r="B101" s="163" t="n">
        <v>-0.0390015225756004</v>
      </c>
      <c r="C101" s="163" t="n">
        <v>-0.0319687396627336</v>
      </c>
      <c r="D101" s="163" t="n">
        <v>-0.0070327829128667</v>
      </c>
      <c r="E101" s="170" t="n">
        <v>1809.834</v>
      </c>
      <c r="F101" s="170" t="n">
        <v>1822.607031964624</v>
      </c>
      <c r="G101" s="163" t="n">
        <v>0.0056651267225528</v>
      </c>
      <c r="H101" s="163" t="n">
        <v>0.0006289826832567</v>
      </c>
      <c r="I101" s="163" t="n">
        <v>-9.783726580770822e-05</v>
      </c>
      <c r="J101" s="163" t="n">
        <v>0.001178445850065</v>
      </c>
      <c r="K101" s="163" t="n">
        <v>2.892929023662534e-05</v>
      </c>
      <c r="L101" s="163" t="n">
        <v>-0.0036149001770079</v>
      </c>
      <c r="M101" s="163" t="n">
        <v>-0.0040327725168966</v>
      </c>
      <c r="N101" s="163" t="n">
        <v>-0.0010022427439709</v>
      </c>
      <c r="O101" s="163" t="n">
        <v>-0.0043014393346793</v>
      </c>
      <c r="P101" s="163" t="n">
        <v>-0.0143653808925668</v>
      </c>
      <c r="Q101" s="163" t="n">
        <v>0.0003075057668599</v>
      </c>
      <c r="R101" s="163" t="n">
        <v>0.0010138651044419</v>
      </c>
      <c r="S101" s="163" t="n">
        <v>-0.0003010778196541</v>
      </c>
      <c r="T101" s="163" t="n">
        <v>-0.0008505924503005</v>
      </c>
      <c r="U101" s="163" t="n">
        <v>-0.008637145565773699</v>
      </c>
      <c r="V101" s="171" t="n">
        <v>28.69673118575258</v>
      </c>
      <c r="W101" s="171" t="n">
        <v>0.005296161638107</v>
      </c>
      <c r="X101" s="171" t="n">
        <v>-15.41552941200839</v>
      </c>
      <c r="Y101" s="171" t="n">
        <v>28.50778502803972</v>
      </c>
      <c r="Z101" s="171" t="n">
        <v>-1.470718218528084</v>
      </c>
      <c r="AA101" s="171" t="n">
        <v>-0.0112100857497465</v>
      </c>
      <c r="AB101" s="171" t="n">
        <v>-40.30635204942826</v>
      </c>
      <c r="AC101" s="171" t="n">
        <v>0.0002165136773492</v>
      </c>
      <c r="AD101" s="171" t="n">
        <v>-0.0008054631805674</v>
      </c>
      <c r="AE101" s="171" t="n">
        <v>-0.0008017150240279</v>
      </c>
      <c r="AF101" s="171" t="n">
        <v>0.0025509011117638</v>
      </c>
      <c r="AG101" s="171" t="n">
        <v>-0.001048213335368</v>
      </c>
      <c r="AH101" s="171" t="n">
        <v>-0.0083906422147999</v>
      </c>
      <c r="AI101" s="171" t="n">
        <v>-0.0020661211693901</v>
      </c>
      <c r="AJ101" s="171" t="n">
        <v>0.000229141519632</v>
      </c>
      <c r="AK101" s="171" t="n">
        <v>0.0018747059390013</v>
      </c>
      <c r="AL101" s="171" t="n">
        <v>-0.0013499233530182</v>
      </c>
      <c r="AM101" s="171" t="n">
        <v>-0</v>
      </c>
      <c r="AN101" s="1" t="n">
        <v>-0.0319687396627326</v>
      </c>
      <c r="AO101" s="1" t="n">
        <v>-9.992007221626409e-16</v>
      </c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64" t="inlineStr">
        <is>
          <t>2011-05</t>
        </is>
      </c>
      <c r="B102" s="163" t="n">
        <v>-0.0051658869036277</v>
      </c>
      <c r="C102" s="163" t="n">
        <v>-0.0076608303698026</v>
      </c>
      <c r="D102" s="163" t="n">
        <v>0.0024949434661749</v>
      </c>
      <c r="E102" s="170" t="n">
        <v>1800.508709677419</v>
      </c>
      <c r="F102" s="170" t="n">
        <v>1796.022141430795</v>
      </c>
      <c r="G102" s="163" t="n">
        <v>0.0056651267225528</v>
      </c>
      <c r="H102" s="163" t="n">
        <v>-0.0003496277153648</v>
      </c>
      <c r="I102" s="163" t="n">
        <v>-0.0004622351373997</v>
      </c>
      <c r="J102" s="163" t="n">
        <v>0.0007219823332788</v>
      </c>
      <c r="K102" s="163" t="n">
        <v>7.169869846671162e-05</v>
      </c>
      <c r="L102" s="163" t="n">
        <v>5.831295769121025e-05</v>
      </c>
      <c r="M102" s="163" t="n">
        <v>0.0006667541193742</v>
      </c>
      <c r="N102" s="163" t="n">
        <v>-0.0010929111395807</v>
      </c>
      <c r="O102" s="163" t="n">
        <v>-0.0055853916546124</v>
      </c>
      <c r="P102" s="163" t="n">
        <v>-0.0011352343264391</v>
      </c>
      <c r="Q102" s="163" t="n">
        <v>5.565998607952507e-05</v>
      </c>
      <c r="R102" s="163" t="n">
        <v>0.0009252508239303</v>
      </c>
      <c r="S102" s="163" t="n">
        <v>-0.0008852713511252</v>
      </c>
      <c r="T102" s="163" t="n">
        <v>-0.0019807454890962</v>
      </c>
      <c r="U102" s="163" t="n">
        <v>-0.0052184660117965</v>
      </c>
      <c r="V102" s="171" t="n">
        <v>24.27160509968612</v>
      </c>
      <c r="W102" s="171" t="n">
        <v>0.018819847707751</v>
      </c>
      <c r="X102" s="171" t="n">
        <v>74.46761253214702</v>
      </c>
      <c r="Y102" s="171" t="n">
        <v>-200.8729364226679</v>
      </c>
      <c r="Z102" s="171" t="n">
        <v>44.52453996600294</v>
      </c>
      <c r="AA102" s="171" t="n">
        <v>0.0136735266051026</v>
      </c>
      <c r="AB102" s="171" t="n">
        <v>57.57233953327982</v>
      </c>
      <c r="AC102" s="171" t="n">
        <v>0.0004564120951892</v>
      </c>
      <c r="AD102" s="171" t="n">
        <v>0.0003219595516999</v>
      </c>
      <c r="AE102" s="171" t="n">
        <v>7.446269573014605e-06</v>
      </c>
      <c r="AF102" s="171" t="n">
        <v>0.0008312460205467</v>
      </c>
      <c r="AG102" s="171" t="n">
        <v>0.0010046224073609</v>
      </c>
      <c r="AH102" s="171" t="n">
        <v>0.0064581160842954</v>
      </c>
      <c r="AI102" s="171" t="n">
        <v>0.0008820534813186</v>
      </c>
      <c r="AJ102" s="171" t="n">
        <v>6.100508526232012e-05</v>
      </c>
      <c r="AK102" s="171" t="n">
        <v>-0.0006984029480357</v>
      </c>
      <c r="AL102" s="171" t="n">
        <v>-0.0040942739937736</v>
      </c>
      <c r="AM102" s="171" t="n">
        <v>-0</v>
      </c>
      <c r="AN102" s="1" t="n">
        <v>-0.0076608303698023</v>
      </c>
      <c r="AO102" s="1" t="n">
        <v>-3.001071613439876e-16</v>
      </c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64" t="inlineStr">
        <is>
          <t>2011-06</t>
        </is>
      </c>
      <c r="B103" s="163" t="n">
        <v>-0.009682544074980299</v>
      </c>
      <c r="C103" s="163" t="n">
        <v>0.0043250822516993</v>
      </c>
      <c r="D103" s="163" t="n">
        <v>-0.0140076263266797</v>
      </c>
      <c r="E103" s="170" t="n">
        <v>1783.159333333334</v>
      </c>
      <c r="F103" s="170" t="n">
        <v>1808.312922707625</v>
      </c>
      <c r="G103" s="163" t="n">
        <v>0.0056651267225528</v>
      </c>
      <c r="H103" s="163" t="n">
        <v>-0.0002201881640361</v>
      </c>
      <c r="I103" s="163" t="n">
        <v>0.0009591517045589</v>
      </c>
      <c r="J103" s="163" t="n">
        <v>0.0008966375356282</v>
      </c>
      <c r="K103" s="163" t="n">
        <v>3.76784402261823e-05</v>
      </c>
      <c r="L103" s="163" t="n">
        <v>-1.199332458900428e-05</v>
      </c>
      <c r="M103" s="163" t="n">
        <v>0.0020612170587252</v>
      </c>
      <c r="N103" s="163" t="n">
        <v>-0.0008210367119029001</v>
      </c>
      <c r="O103" s="163" t="n">
        <v>-0.0019862997959587</v>
      </c>
      <c r="P103" s="163" t="n">
        <v>0.0024669493589917</v>
      </c>
      <c r="Q103" s="163" t="n">
        <v>-0.0002079971443072</v>
      </c>
      <c r="R103" s="163" t="n">
        <v>-0.0002251096220812</v>
      </c>
      <c r="S103" s="163" t="n">
        <v>-0.0007326133461428</v>
      </c>
      <c r="T103" s="163" t="n">
        <v>-0.0022569356040103</v>
      </c>
      <c r="U103" s="163" t="n">
        <v>-0.0019332724446865</v>
      </c>
      <c r="V103" s="171" t="n">
        <v>6.606252557834718</v>
      </c>
      <c r="W103" s="171" t="n">
        <v>0.0039269776342113</v>
      </c>
      <c r="X103" s="171" t="n">
        <v>60.14461707022034</v>
      </c>
      <c r="Y103" s="171" t="n">
        <v>-116.6259446534567</v>
      </c>
      <c r="Z103" s="171" t="n">
        <v>8.936482734615375</v>
      </c>
      <c r="AA103" s="171" t="n">
        <v>0.0226908231689249</v>
      </c>
      <c r="AB103" s="171" t="n">
        <v>40.90921873138966</v>
      </c>
      <c r="AC103" s="171" t="n">
        <v>-0.0005766149004449</v>
      </c>
      <c r="AD103" s="171" t="n">
        <v>0.0005893528760006</v>
      </c>
      <c r="AE103" s="171" t="n">
        <v>0.0011355561098848</v>
      </c>
      <c r="AF103" s="171" t="n">
        <v>-0.0025247013804572</v>
      </c>
      <c r="AG103" s="171" t="n">
        <v>0.0001461557303141</v>
      </c>
      <c r="AH103" s="171" t="n">
        <v>0.0017977494891468</v>
      </c>
      <c r="AI103" s="171" t="n">
        <v>0.0003787341888355</v>
      </c>
      <c r="AJ103" s="171" t="n">
        <v>9.904433072799688e-05</v>
      </c>
      <c r="AK103" s="171" t="n">
        <v>-0.0017500242556181</v>
      </c>
      <c r="AL103" s="171" t="n">
        <v>0.0040942739937736</v>
      </c>
      <c r="AM103" s="171" t="n">
        <v>-0</v>
      </c>
      <c r="AN103" s="1" t="n">
        <v>0.0043250822516917</v>
      </c>
      <c r="AO103" s="1" t="n">
        <v>7.60069090999238e-15</v>
      </c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64" t="inlineStr">
        <is>
          <t>2011-07</t>
        </is>
      </c>
      <c r="B104" s="163" t="n">
        <v>-0.0121676896475957</v>
      </c>
      <c r="C104" s="163" t="n">
        <v>-0.001368842969482</v>
      </c>
      <c r="D104" s="163" t="n">
        <v>-0.0107988466781136</v>
      </c>
      <c r="E104" s="170" t="n">
        <v>1761.593870967742</v>
      </c>
      <c r="F104" s="170" t="n">
        <v>1780.720138034968</v>
      </c>
      <c r="G104" s="163" t="n">
        <v>0.0056651267225528</v>
      </c>
      <c r="H104" s="163" t="n">
        <v>-2.076142793868336e-05</v>
      </c>
      <c r="I104" s="163" t="n">
        <v>0.0003649934213837</v>
      </c>
      <c r="J104" s="163" t="n">
        <v>0.0011782736846396</v>
      </c>
      <c r="K104" s="163" t="n">
        <v>7.551931587541981e-05</v>
      </c>
      <c r="L104" s="163" t="n">
        <v>-0.001457102494592</v>
      </c>
      <c r="M104" s="163" t="n">
        <v>6.412683707049006e-05</v>
      </c>
      <c r="N104" s="163" t="n">
        <v>-0.0010899036790975</v>
      </c>
      <c r="O104" s="163" t="n">
        <v>-0.0029637270189986</v>
      </c>
      <c r="P104" s="163" t="n">
        <v>-0.000889102291435</v>
      </c>
      <c r="Q104" s="163" t="n">
        <v>9.204776326021161e-05</v>
      </c>
      <c r="R104" s="163" t="n">
        <v>-7.233093936066362e-05</v>
      </c>
      <c r="S104" s="163" t="n">
        <v>-0.0010960060937269</v>
      </c>
      <c r="T104" s="163" t="n">
        <v>-0.0010320261478804</v>
      </c>
      <c r="U104" s="163" t="n">
        <v>-0.0096259580179647</v>
      </c>
      <c r="V104" s="171" t="n">
        <v>37.71102510248654</v>
      </c>
      <c r="W104" s="171" t="n">
        <v>0.0112823589712049</v>
      </c>
      <c r="X104" s="171" t="n">
        <v>1.642955046605775</v>
      </c>
      <c r="Y104" s="171" t="n">
        <v>0.5119479230126973</v>
      </c>
      <c r="Z104" s="171" t="n">
        <v>-1.944339339748946</v>
      </c>
      <c r="AA104" s="171" t="n">
        <v>-0.007818258601886801</v>
      </c>
      <c r="AB104" s="171" t="n">
        <v>-37.90917126191356</v>
      </c>
      <c r="AC104" s="171" t="n">
        <v>-0.0005238018379255</v>
      </c>
      <c r="AD104" s="171" t="n">
        <v>-0.0003992004320392</v>
      </c>
      <c r="AE104" s="171" t="n">
        <v>0.0016270099017038</v>
      </c>
      <c r="AF104" s="171" t="n">
        <v>-0.0022603222736357</v>
      </c>
      <c r="AG104" s="171" t="n">
        <v>-0.000393605759658</v>
      </c>
      <c r="AH104" s="171" t="n">
        <v>-0.0026791945824873</v>
      </c>
      <c r="AI104" s="171" t="n">
        <v>0.0013404497164464</v>
      </c>
      <c r="AJ104" s="171" t="n">
        <v>0.0001445594865119</v>
      </c>
      <c r="AK104" s="171" t="n">
        <v>-0.0028478708655387</v>
      </c>
      <c r="AL104" s="171" t="n">
        <v>-0.0004516067684819</v>
      </c>
      <c r="AM104" s="171" t="n">
        <v>-0</v>
      </c>
      <c r="AN104" s="1" t="n">
        <v>-0.0013688429694827</v>
      </c>
      <c r="AO104" s="1" t="n">
        <v>6.999609225566417e-16</v>
      </c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64" t="inlineStr">
        <is>
          <t>2011-08</t>
        </is>
      </c>
      <c r="B105" s="163" t="n">
        <v>0.013513083781766</v>
      </c>
      <c r="C105" s="163" t="n">
        <v>0.0196858898701585</v>
      </c>
      <c r="D105" s="163" t="n">
        <v>-0.0061728060883924</v>
      </c>
      <c r="E105" s="170" t="n">
        <v>1785.56</v>
      </c>
      <c r="F105" s="170" t="n">
        <v>1796.616003816981</v>
      </c>
      <c r="G105" s="163" t="n">
        <v>0.0056651267225528</v>
      </c>
      <c r="H105" s="163" t="n">
        <v>-0.0003877873802082</v>
      </c>
      <c r="I105" s="163" t="n">
        <v>-0.0010722792594446</v>
      </c>
      <c r="J105" s="163" t="n">
        <v>0.0006150013866167</v>
      </c>
      <c r="K105" s="163" t="n">
        <v>4.021097800738518e-05</v>
      </c>
      <c r="L105" s="163" t="n">
        <v>0.0013569147418315</v>
      </c>
      <c r="M105" s="163" t="n">
        <v>0.0099325601596297</v>
      </c>
      <c r="N105" s="163" t="n">
        <v>0.0083677488337049</v>
      </c>
      <c r="O105" s="163" t="n">
        <v>-0.0071134946410178</v>
      </c>
      <c r="P105" s="163" t="n">
        <v>0.0144038758234506</v>
      </c>
      <c r="Q105" s="163" t="n">
        <v>3.216396715731196e-05</v>
      </c>
      <c r="R105" s="163" t="n">
        <v>0.000528281009858</v>
      </c>
      <c r="S105" s="163" t="n">
        <v>-0.0040831217490758</v>
      </c>
      <c r="T105" s="163" t="n">
        <v>0.0002813123238264</v>
      </c>
      <c r="U105" s="163" t="n">
        <v>0.009253852162647401</v>
      </c>
      <c r="V105" s="171" t="n">
        <v>139.5449393362695</v>
      </c>
      <c r="W105" s="171" t="n">
        <v>0.0250777024115165</v>
      </c>
      <c r="X105" s="171" t="n">
        <v>73.13953989396782</v>
      </c>
      <c r="Y105" s="171" t="n">
        <v>-490.8809153315314</v>
      </c>
      <c r="Z105" s="171" t="n">
        <v>217.653832628434</v>
      </c>
      <c r="AA105" s="171" t="n">
        <v>0.0268476242805747</v>
      </c>
      <c r="AB105" s="171" t="n">
        <v>60.47809979657254</v>
      </c>
      <c r="AC105" s="171" t="n">
        <v>-0.0011497481925892</v>
      </c>
      <c r="AD105" s="171" t="n">
        <v>0.0035492842867455</v>
      </c>
      <c r="AE105" s="171" t="n">
        <v>0.0055896663594769</v>
      </c>
      <c r="AF105" s="171" t="n">
        <v>-0.0155197681085467</v>
      </c>
      <c r="AG105" s="171" t="n">
        <v>0.0008601651580629</v>
      </c>
      <c r="AH105" s="171" t="n">
        <v>0.0042407439407212</v>
      </c>
      <c r="AI105" s="171" t="n">
        <v>-0.0004996982903788</v>
      </c>
      <c r="AJ105" s="171" t="n">
        <v>0.000144325501638</v>
      </c>
      <c r="AK105" s="171" t="n">
        <v>-0.0038985801242813</v>
      </c>
      <c r="AL105" s="171" t="n">
        <v>0.0011274838552589</v>
      </c>
      <c r="AM105" s="171" t="n">
        <v>-0</v>
      </c>
      <c r="AN105" s="1" t="n">
        <v>0.0196858898701611</v>
      </c>
      <c r="AO105" s="1" t="n">
        <v>-2.602085213965211e-15</v>
      </c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64" t="inlineStr">
        <is>
          <t>2011-09</t>
        </is>
      </c>
      <c r="B106" s="163" t="n">
        <v>0.0263962574768283</v>
      </c>
      <c r="C106" s="163" t="n">
        <v>0.026898218774472</v>
      </c>
      <c r="D106" s="163" t="n">
        <v>-0.0005019612976436</v>
      </c>
      <c r="E106" s="170" t="n">
        <v>1833.319666666666</v>
      </c>
      <c r="F106" s="170" t="n">
        <v>1834.24015319052</v>
      </c>
      <c r="G106" s="163" t="n">
        <v>0.0056651267225528</v>
      </c>
      <c r="H106" s="163" t="n">
        <v>0.0004865430199027</v>
      </c>
      <c r="I106" s="163" t="n">
        <v>0.0015771333454637</v>
      </c>
      <c r="J106" s="163" t="n">
        <v>0.0007586932993777</v>
      </c>
      <c r="K106" s="163" t="n">
        <v>-6.805060144238998e-05</v>
      </c>
      <c r="L106" s="163" t="n">
        <v>0.0064818774828505</v>
      </c>
      <c r="M106" s="163" t="n">
        <v>0.0006947018849971</v>
      </c>
      <c r="N106" s="163" t="n">
        <v>0.0122249345865952</v>
      </c>
      <c r="O106" s="163" t="n">
        <v>-0.0015543409761777</v>
      </c>
      <c r="P106" s="163" t="n">
        <v>-0.0014686970777493</v>
      </c>
      <c r="Q106" s="163" t="n">
        <v>-0.000345506837669</v>
      </c>
      <c r="R106" s="163" t="n">
        <v>-0.0002513243971101</v>
      </c>
      <c r="S106" s="163" t="n">
        <v>0.0012091486939914</v>
      </c>
      <c r="T106" s="163" t="n">
        <v>-0.0021538730491184</v>
      </c>
      <c r="U106" s="163" t="n">
        <v>0.0251750727648991</v>
      </c>
      <c r="V106" s="171" t="n">
        <v>16.46076028837878</v>
      </c>
      <c r="W106" s="171" t="n">
        <v>-0.0031820460786154</v>
      </c>
      <c r="X106" s="171" t="n">
        <v>7.895323290970677</v>
      </c>
      <c r="Y106" s="171" t="n">
        <v>-229.8856563884737</v>
      </c>
      <c r="Z106" s="171" t="n">
        <v>128.2931598535197</v>
      </c>
      <c r="AA106" s="171" t="n">
        <v>0.0156691996695164</v>
      </c>
      <c r="AB106" s="171" t="n">
        <v>77.20407873591834</v>
      </c>
      <c r="AC106" s="171" t="n">
        <v>0.0003869898660704</v>
      </c>
      <c r="AD106" s="171" t="n">
        <v>0.0004158729709657</v>
      </c>
      <c r="AE106" s="171" t="n">
        <v>0.0040954482651584</v>
      </c>
      <c r="AF106" s="171" t="n">
        <v>-0.009317577170140401</v>
      </c>
      <c r="AG106" s="171" t="n">
        <v>-0.0003390529645781</v>
      </c>
      <c r="AH106" s="171" t="n">
        <v>0.0022955135804595</v>
      </c>
      <c r="AI106" s="171" t="n">
        <v>-0.0010793980959972</v>
      </c>
      <c r="AJ106" s="171" t="n">
        <v>3.035457195906758e-05</v>
      </c>
      <c r="AK106" s="171" t="n">
        <v>0.0004794233807066</v>
      </c>
      <c r="AL106" s="171" t="n">
        <v>0.0013462716038361</v>
      </c>
      <c r="AM106" s="171" t="n">
        <v>-0</v>
      </c>
      <c r="AN106" s="1" t="n">
        <v>0.0268982187744738</v>
      </c>
      <c r="AO106" s="1" t="n">
        <v>-1.800642968063926e-15</v>
      </c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64" t="inlineStr">
        <is>
          <t>2011-10</t>
        </is>
      </c>
      <c r="B107" s="163" t="n">
        <v>0.0397222933141589</v>
      </c>
      <c r="C107" s="163" t="n">
        <v>0.0291301237034034</v>
      </c>
      <c r="D107" s="163" t="n">
        <v>0.0105921696107555</v>
      </c>
      <c r="E107" s="170" t="n">
        <v>1907.609032258064</v>
      </c>
      <c r="F107" s="170" t="n">
        <v>1887.509948207152</v>
      </c>
      <c r="G107" s="163" t="n">
        <v>0.0056651267225528</v>
      </c>
      <c r="H107" s="163" t="n">
        <v>-0.0001075480845318</v>
      </c>
      <c r="I107" s="163" t="n">
        <v>0.0004334880076813</v>
      </c>
      <c r="J107" s="163" t="n">
        <v>6.897211812524612e-05</v>
      </c>
      <c r="K107" s="163" t="n">
        <v>1.684230434297327e-05</v>
      </c>
      <c r="L107" s="163" t="n">
        <v>0.0019862886230506</v>
      </c>
      <c r="M107" s="163" t="n">
        <v>-0.0017688049659112</v>
      </c>
      <c r="N107" s="163" t="n">
        <v>-0.0021461238007837</v>
      </c>
      <c r="O107" s="163" t="n">
        <v>-0.0005790871151414</v>
      </c>
      <c r="P107" s="163" t="n">
        <v>0.0113952362216401</v>
      </c>
      <c r="Q107" s="163" t="n">
        <v>-0.0001357718105876</v>
      </c>
      <c r="R107" s="163" t="n">
        <v>-0.0002128908361614</v>
      </c>
      <c r="S107" s="163" t="n">
        <v>-0.0007373311625578</v>
      </c>
      <c r="T107" s="163" t="n">
        <v>-0.0014011732901683</v>
      </c>
      <c r="U107" s="163" t="n">
        <v>0.009784896475936699</v>
      </c>
      <c r="V107" s="171" t="n">
        <v>-30.97388209338484</v>
      </c>
      <c r="W107" s="171" t="n">
        <v>-0.007883639262773299</v>
      </c>
      <c r="X107" s="171" t="n">
        <v>-28.69293249661349</v>
      </c>
      <c r="Y107" s="171" t="n">
        <v>123.9615272215577</v>
      </c>
      <c r="Z107" s="171" t="n">
        <v>-44.74057767041943</v>
      </c>
      <c r="AA107" s="171" t="n">
        <v>-0.008200234920254601</v>
      </c>
      <c r="AB107" s="171" t="n">
        <v>-19.53745199645494</v>
      </c>
      <c r="AC107" s="171" t="n">
        <v>0.0005186370187816</v>
      </c>
      <c r="AD107" s="171" t="n">
        <v>-0.0006250064592433</v>
      </c>
      <c r="AE107" s="171" t="n">
        <v>-0.0006515485876388</v>
      </c>
      <c r="AF107" s="171" t="n">
        <v>0.0023627394051071</v>
      </c>
      <c r="AG107" s="171" t="n">
        <v>0.0004272511876937</v>
      </c>
      <c r="AH107" s="171" t="n">
        <v>0.0054966964823416</v>
      </c>
      <c r="AI107" s="171" t="n">
        <v>0.0020013957567777</v>
      </c>
      <c r="AJ107" s="171" t="n">
        <v>7.584125171740887e-05</v>
      </c>
      <c r="AK107" s="171" t="n">
        <v>-0.0040075064824838</v>
      </c>
      <c r="AL107" s="171" t="n">
        <v>0.0006704142208856</v>
      </c>
      <c r="AM107" s="171" t="n">
        <v>-0</v>
      </c>
      <c r="AN107" s="1" t="n">
        <v>0.0291301237033894</v>
      </c>
      <c r="AO107" s="1" t="n">
        <v>1.399921845113283e-14</v>
      </c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64" t="inlineStr">
        <is>
          <t>2011-11</t>
        </is>
      </c>
      <c r="B108" s="163" t="n">
        <v>0.0062010688376066</v>
      </c>
      <c r="C108" s="163" t="n">
        <v>0.0026344228656319</v>
      </c>
      <c r="D108" s="163" t="n">
        <v>0.0035666459719746</v>
      </c>
      <c r="E108" s="170" t="n">
        <v>1919.475000000001</v>
      </c>
      <c r="F108" s="170" t="n">
        <v>1912.641106506769</v>
      </c>
      <c r="G108" s="163" t="n">
        <v>0.0056651267225528</v>
      </c>
      <c r="H108" s="163" t="n">
        <v>0.0004891574203855</v>
      </c>
      <c r="I108" s="163" t="n">
        <v>0.0003558808189154</v>
      </c>
      <c r="J108" s="163" t="n">
        <v>3.448605906262306e-05</v>
      </c>
      <c r="K108" s="163" t="n">
        <v>-1.399387105442941e-05</v>
      </c>
      <c r="L108" s="163" t="n">
        <v>0.0014584008252931</v>
      </c>
      <c r="M108" s="163" t="n">
        <v>-0.0004536253572964</v>
      </c>
      <c r="N108" s="163" t="n">
        <v>-0.0027927278046633</v>
      </c>
      <c r="O108" s="163" t="n">
        <v>-0.0022264203023678</v>
      </c>
      <c r="P108" s="163" t="n">
        <v>-0.008923887546735799</v>
      </c>
      <c r="Q108" s="163" t="n">
        <v>0.0002529457118127</v>
      </c>
      <c r="R108" s="163" t="n">
        <v>-0.000433178365757</v>
      </c>
      <c r="S108" s="163" t="n">
        <v>-0.0009522755917078999</v>
      </c>
      <c r="T108" s="163" t="n">
        <v>-0.0009325753351485</v>
      </c>
      <c r="U108" s="163" t="n">
        <v>-0.0008577607339565</v>
      </c>
      <c r="V108" s="171" t="n">
        <v>52.72770362175567</v>
      </c>
      <c r="W108" s="171" t="n">
        <v>0.0213353709395324</v>
      </c>
      <c r="X108" s="171" t="n">
        <v>11.21612800464109</v>
      </c>
      <c r="Y108" s="171" t="n">
        <v>-97.1298456674912</v>
      </c>
      <c r="Z108" s="171" t="n">
        <v>46.32346931239456</v>
      </c>
      <c r="AA108" s="171" t="n">
        <v>-0.0066386258539862</v>
      </c>
      <c r="AB108" s="171" t="n">
        <v>-13.1430651043716</v>
      </c>
      <c r="AC108" s="171" t="n">
        <v>-0.0004731383062513</v>
      </c>
      <c r="AD108" s="171" t="n">
        <v>0.0009319521758895</v>
      </c>
      <c r="AE108" s="171" t="n">
        <v>-0.0003661082540065</v>
      </c>
      <c r="AF108" s="171" t="n">
        <v>0.0008217188455261</v>
      </c>
      <c r="AG108" s="171" t="n">
        <v>-0.0001599387980711</v>
      </c>
      <c r="AH108" s="171" t="n">
        <v>-0.0018656225219188</v>
      </c>
      <c r="AI108" s="171" t="n">
        <v>0.0033385639400672</v>
      </c>
      <c r="AJ108" s="171" t="n">
        <v>-6.82542230577898e-05</v>
      </c>
      <c r="AK108" s="171" t="n">
        <v>5.017250703615299e-05</v>
      </c>
      <c r="AL108" s="171" t="n">
        <v>0.0006686128370198</v>
      </c>
      <c r="AM108" s="171" t="n">
        <v>-0</v>
      </c>
      <c r="AN108" s="1" t="n">
        <v>0.0026344228656394</v>
      </c>
      <c r="AO108" s="1" t="n">
        <v>-7.500076948385725e-15</v>
      </c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64" t="inlineStr">
        <is>
          <t>2011-12</t>
        </is>
      </c>
      <c r="B109" s="163" t="n">
        <v>0.0072032057901756</v>
      </c>
      <c r="C109" s="163" t="n">
        <v>0.0237604104208025</v>
      </c>
      <c r="D109" s="163" t="n">
        <v>-0.0165572046306268</v>
      </c>
      <c r="E109" s="170" t="n">
        <v>1933.351290322581</v>
      </c>
      <c r="F109" s="170" t="n">
        <v>1965.628657369063</v>
      </c>
      <c r="G109" s="163" t="n">
        <v>0.0056651267225528</v>
      </c>
      <c r="H109" s="163" t="n">
        <v>-0.000625708184643</v>
      </c>
      <c r="I109" s="163" t="n">
        <v>-0.0003299594390012</v>
      </c>
      <c r="J109" s="163" t="n">
        <v>5.172908859393766e-05</v>
      </c>
      <c r="K109" s="163" t="n">
        <v>-0.0001287465407321</v>
      </c>
      <c r="L109" s="163" t="n">
        <v>0.002076234862346</v>
      </c>
      <c r="M109" s="163" t="n">
        <v>-0.0040260883956641</v>
      </c>
      <c r="N109" s="163" t="n">
        <v>-0.0027536308183822</v>
      </c>
      <c r="O109" s="163" t="n">
        <v>0.0010931188217235</v>
      </c>
      <c r="P109" s="163" t="n">
        <v>0.0114035317242236</v>
      </c>
      <c r="Q109" s="163" t="n">
        <v>-0.0004490099460878</v>
      </c>
      <c r="R109" s="163" t="n">
        <v>-0.000440098867895</v>
      </c>
      <c r="S109" s="163" t="n">
        <v>-0.0002208920537946</v>
      </c>
      <c r="T109" s="163" t="n">
        <v>-0.0029760023586953</v>
      </c>
      <c r="U109" s="163" t="n">
        <v>0.0040435022711771</v>
      </c>
      <c r="V109" s="171" t="n">
        <v>9.410566186879914</v>
      </c>
      <c r="W109" s="171" t="n">
        <v>-0.0073140776211701</v>
      </c>
      <c r="X109" s="171" t="n">
        <v>-1.513346456329909</v>
      </c>
      <c r="Y109" s="171" t="n">
        <v>-24.825967773496</v>
      </c>
      <c r="Z109" s="171" t="n">
        <v>16.22360068743507</v>
      </c>
      <c r="AA109" s="171" t="n">
        <v>0.0093430998941947</v>
      </c>
      <c r="AB109" s="171" t="n">
        <v>0.7085826404095458</v>
      </c>
      <c r="AC109" s="171" t="n">
        <v>0.0002720261939031</v>
      </c>
      <c r="AD109" s="171" t="n">
        <v>-0.0009493600165327</v>
      </c>
      <c r="AE109" s="171" t="n">
        <v>-0.0002779940640592</v>
      </c>
      <c r="AF109" s="171" t="n">
        <v>-0.0007264470953202</v>
      </c>
      <c r="AG109" s="171" t="n">
        <v>0.0003834866646824</v>
      </c>
      <c r="AH109" s="171" t="n">
        <v>0.0032453634021696</v>
      </c>
      <c r="AI109" s="171" t="n">
        <v>0.0002159022504626</v>
      </c>
      <c r="AJ109" s="171" t="n">
        <v>0.0002273111893913</v>
      </c>
      <c r="AK109" s="171" t="n">
        <v>-0.0030664307566494</v>
      </c>
      <c r="AL109" s="171" t="n">
        <v>0.006589138595396</v>
      </c>
      <c r="AM109" s="171" t="n">
        <v>-0</v>
      </c>
      <c r="AN109" s="1" t="n">
        <v>0.0237604104208072</v>
      </c>
      <c r="AO109" s="1" t="n">
        <v>-4.701100619897147e-15</v>
      </c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64" t="inlineStr">
        <is>
          <t>2012-01</t>
        </is>
      </c>
      <c r="B110" s="163" t="n">
        <v>-0.0422966563226632</v>
      </c>
      <c r="C110" s="163" t="n">
        <v>-0.0345738244114459</v>
      </c>
      <c r="D110" s="163" t="n">
        <v>-0.0077228319112172</v>
      </c>
      <c r="E110" s="170" t="n">
        <v>1853.282258064516</v>
      </c>
      <c r="F110" s="170" t="n">
        <v>1867.650254828116</v>
      </c>
      <c r="G110" s="163" t="n">
        <v>0.0056651267225528</v>
      </c>
      <c r="H110" s="163" t="n">
        <v>0.0004137838810073</v>
      </c>
      <c r="I110" s="163" t="n">
        <v>-0.0019798081637858</v>
      </c>
      <c r="J110" s="163" t="n">
        <v>0.0008104223879716</v>
      </c>
      <c r="K110" s="163" t="n">
        <v>-2.152120450975679e-05</v>
      </c>
      <c r="L110" s="163" t="n">
        <v>-0.0012319151353207</v>
      </c>
      <c r="M110" s="163" t="n">
        <v>-0.0035387815183121</v>
      </c>
      <c r="N110" s="163" t="n">
        <v>0.0027788934864407</v>
      </c>
      <c r="O110" s="163" t="n">
        <v>0.00211595254258</v>
      </c>
      <c r="P110" s="163" t="n">
        <v>-0.0155921417007917</v>
      </c>
      <c r="Q110" s="163" t="n">
        <v>0.0002061556196102</v>
      </c>
      <c r="R110" s="163" t="n">
        <v>-0.0001377322992318</v>
      </c>
      <c r="S110" s="163" t="n">
        <v>-0.0017361893358671</v>
      </c>
      <c r="T110" s="163" t="n">
        <v>-0.0051780533397207</v>
      </c>
      <c r="U110" s="163" t="n">
        <v>-0.0136548929520658</v>
      </c>
      <c r="V110" s="171" t="n">
        <v>21.88311157237345</v>
      </c>
      <c r="W110" s="171" t="n">
        <v>0.0140515631810225</v>
      </c>
      <c r="X110" s="171" t="n">
        <v>6.913704384490432</v>
      </c>
      <c r="Y110" s="171" t="n">
        <v>-8.135062886230346</v>
      </c>
      <c r="Z110" s="171" t="n">
        <v>-2.098058475583791</v>
      </c>
      <c r="AA110" s="171" t="n">
        <v>-0.0089345690724109</v>
      </c>
      <c r="AB110" s="171" t="n">
        <v>-18.56600805395789</v>
      </c>
      <c r="AC110" s="171" t="n">
        <v>0.0004227348733829</v>
      </c>
      <c r="AD110" s="171" t="n">
        <v>-0.0008257951280377</v>
      </c>
      <c r="AE110" s="171" t="n">
        <v>-0.0037367862807249</v>
      </c>
      <c r="AF110" s="171" t="n">
        <v>0.008252915361589</v>
      </c>
      <c r="AG110" s="171" t="n">
        <v>-0.0003727743717824</v>
      </c>
      <c r="AH110" s="171" t="n">
        <v>-0.0029102881205271</v>
      </c>
      <c r="AI110" s="171" t="n">
        <v>0.0039674867430395</v>
      </c>
      <c r="AJ110" s="171" t="n">
        <v>0.0002795547354446</v>
      </c>
      <c r="AK110" s="171" t="n">
        <v>-0.0034455407615553</v>
      </c>
      <c r="AL110" s="171" t="n">
        <v>-0.007928165653301599</v>
      </c>
      <c r="AM110" s="171" t="n">
        <v>-0</v>
      </c>
      <c r="AN110" s="1" t="n">
        <v>-0.0345738244114493</v>
      </c>
      <c r="AO110" s="1" t="n">
        <v>3.400058012914542e-15</v>
      </c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64" t="inlineStr">
        <is>
          <t>2012-02</t>
        </is>
      </c>
      <c r="B111" s="163" t="n">
        <v>-0.038798436750282</v>
      </c>
      <c r="C111" s="163" t="n">
        <v>-0.0247496715667335</v>
      </c>
      <c r="D111" s="163" t="n">
        <v>-0.0140487651835484</v>
      </c>
      <c r="E111" s="170" t="n">
        <v>1782.754827586207</v>
      </c>
      <c r="F111" s="170" t="n">
        <v>1807.977087505164</v>
      </c>
      <c r="G111" s="163" t="n">
        <v>0.0056651267225528</v>
      </c>
      <c r="H111" s="163" t="n">
        <v>0.0001886984496169</v>
      </c>
      <c r="I111" s="163" t="n">
        <v>0.0001536347016282</v>
      </c>
      <c r="J111" s="163" t="n">
        <v>-6.674721108894984e-06</v>
      </c>
      <c r="K111" s="163" t="n">
        <v>2.297374870396226e-05</v>
      </c>
      <c r="L111" s="163" t="n">
        <v>-0.0037588963626513</v>
      </c>
      <c r="M111" s="163" t="n">
        <v>-0.0015499563990336</v>
      </c>
      <c r="N111" s="163" t="n">
        <v>-0.0059926657587466</v>
      </c>
      <c r="O111" s="163" t="n">
        <v>-0.0015997018424068</v>
      </c>
      <c r="P111" s="163" t="n">
        <v>-0.0019595665928132</v>
      </c>
      <c r="Q111" s="163" t="n">
        <v>0.0002782173223213</v>
      </c>
      <c r="R111" s="163" t="n">
        <v>0.0001009624173344</v>
      </c>
      <c r="S111" s="163" t="n">
        <v>-0.0003656434138751</v>
      </c>
      <c r="T111" s="163" t="n">
        <v>-0.0043167881408328</v>
      </c>
      <c r="U111" s="163" t="n">
        <v>-0.019643660295887</v>
      </c>
      <c r="V111" s="171" t="n">
        <v>41.86779718475451</v>
      </c>
      <c r="W111" s="171" t="n">
        <v>0.0187966082648054</v>
      </c>
      <c r="X111" s="171" t="n">
        <v>-15.57795556200151</v>
      </c>
      <c r="Y111" s="171" t="n">
        <v>0.7012985246751049</v>
      </c>
      <c r="Z111" s="171" t="n">
        <v>15.1641850215462</v>
      </c>
      <c r="AA111" s="171" t="n">
        <v>-0.01925201497656</v>
      </c>
      <c r="AB111" s="171" t="n">
        <v>-42.14352397597409</v>
      </c>
      <c r="AC111" s="171" t="n">
        <v>0.0002535220217185</v>
      </c>
      <c r="AD111" s="171" t="n">
        <v>-0.0010323294102468</v>
      </c>
      <c r="AE111" s="171" t="n">
        <v>-0.0030281496263596</v>
      </c>
      <c r="AF111" s="171" t="n">
        <v>0.0075741041413718</v>
      </c>
      <c r="AG111" s="171" t="n">
        <v>-0.0010873469783391</v>
      </c>
      <c r="AH111" s="171" t="n">
        <v>-0.0050884373284355</v>
      </c>
      <c r="AI111" s="171" t="n">
        <v>-0.00031729030938</v>
      </c>
      <c r="AJ111" s="171" t="n">
        <v>0.0001582771760539</v>
      </c>
      <c r="AK111" s="171" t="n">
        <v>-0.0018602230448169</v>
      </c>
      <c r="AL111" s="171" t="n">
        <v>0.0011163556684315</v>
      </c>
      <c r="AM111" s="171" t="n">
        <v>-0</v>
      </c>
      <c r="AN111" s="1" t="n">
        <v>-0.024749671566732</v>
      </c>
      <c r="AO111" s="1" t="n">
        <v>-1.502270530195915e-15</v>
      </c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64" t="inlineStr">
        <is>
          <t>2012-03</t>
        </is>
      </c>
      <c r="B112" s="163" t="n">
        <v>-0.0092549630361693</v>
      </c>
      <c r="C112" s="163" t="n">
        <v>0.0145136601572739</v>
      </c>
      <c r="D112" s="163" t="n">
        <v>-0.0237686231934432</v>
      </c>
      <c r="E112" s="170" t="n">
        <v>1766.331612903225</v>
      </c>
      <c r="F112" s="170" t="n">
        <v>1808.817802372673</v>
      </c>
      <c r="G112" s="163" t="n">
        <v>0.0056651267225528</v>
      </c>
      <c r="H112" s="163" t="n">
        <v>0.0001426496024396</v>
      </c>
      <c r="I112" s="163" t="n">
        <v>-0.0008530456234747</v>
      </c>
      <c r="J112" s="163" t="n">
        <v>0.0008545561042692</v>
      </c>
      <c r="K112" s="163" t="n">
        <v>7.662791636389724e-06</v>
      </c>
      <c r="L112" s="163" t="n">
        <v>0.0012356654495228</v>
      </c>
      <c r="M112" s="163" t="n">
        <v>-0.0021605025771339</v>
      </c>
      <c r="N112" s="163" t="n">
        <v>-0.0073586543101984</v>
      </c>
      <c r="O112" s="163" t="n">
        <v>-0.0021847946734859</v>
      </c>
      <c r="P112" s="163" t="n">
        <v>0.0115089625712602</v>
      </c>
      <c r="Q112" s="163" t="n">
        <v>-0.0001379214561715</v>
      </c>
      <c r="R112" s="163" t="n">
        <v>0.0006490481066486001</v>
      </c>
      <c r="S112" s="163" t="n">
        <v>-0.001757927546055</v>
      </c>
      <c r="T112" s="163" t="n">
        <v>-0.0008236209627932</v>
      </c>
      <c r="U112" s="163" t="n">
        <v>0.0033554518911215</v>
      </c>
      <c r="V112" s="171" t="n">
        <v>-32.33279933306748</v>
      </c>
      <c r="W112" s="171" t="n">
        <v>-0.0083837755096945</v>
      </c>
      <c r="X112" s="171" t="n">
        <v>-27.64360140995704</v>
      </c>
      <c r="Y112" s="171" t="n">
        <v>143.9274962190557</v>
      </c>
      <c r="Z112" s="171" t="n">
        <v>-57.61559393939801</v>
      </c>
      <c r="AA112" s="171" t="n">
        <v>-0.010255144953827</v>
      </c>
      <c r="AB112" s="171" t="n">
        <v>-26.31184490133874</v>
      </c>
      <c r="AC112" s="171" t="n">
        <v>0.0001610011607953</v>
      </c>
      <c r="AD112" s="171" t="n">
        <v>-0.0005923111829075</v>
      </c>
      <c r="AE112" s="171" t="n">
        <v>-0.0010983247620197</v>
      </c>
      <c r="AF112" s="171" t="n">
        <v>0.0032178033632054</v>
      </c>
      <c r="AG112" s="171" t="n">
        <v>-0.000723253087027</v>
      </c>
      <c r="AH112" s="171" t="n">
        <v>-0.0033917231728032</v>
      </c>
      <c r="AI112" s="171" t="n">
        <v>0.0007019086266349</v>
      </c>
      <c r="AJ112" s="171" t="n">
        <v>0.0002932000126322</v>
      </c>
      <c r="AK112" s="171" t="n">
        <v>0.0030078591042126</v>
      </c>
      <c r="AL112" s="171" t="n">
        <v>-0.0002228708264819</v>
      </c>
      <c r="AM112" s="171" t="n">
        <v>-0</v>
      </c>
      <c r="AN112" s="1" t="n">
        <v>0.0145136601572585</v>
      </c>
      <c r="AO112" s="1" t="n">
        <v>1.539914029624612e-14</v>
      </c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64" t="inlineStr">
        <is>
          <t>2012-04</t>
        </is>
      </c>
      <c r="B113" s="163" t="n">
        <v>0.0044723739744636</v>
      </c>
      <c r="C113" s="163" t="n">
        <v>0.0133319795166226</v>
      </c>
      <c r="D113" s="163" t="n">
        <v>-0.008859605542159</v>
      </c>
      <c r="E113" s="170" t="n">
        <v>1774.248999999999</v>
      </c>
      <c r="F113" s="170" t="n">
        <v>1790.037985087041</v>
      </c>
      <c r="G113" s="163" t="n">
        <v>0.0056651267225528</v>
      </c>
      <c r="H113" s="163" t="n">
        <v>-0.0002812101618918</v>
      </c>
      <c r="I113" s="163" t="n">
        <v>-0.0010034148426894</v>
      </c>
      <c r="J113" s="163" t="n">
        <v>0.000669505215595</v>
      </c>
      <c r="K113" s="163" t="n">
        <v>-1.966574991945955e-05</v>
      </c>
      <c r="L113" s="163" t="n">
        <v>0.000679766883541</v>
      </c>
      <c r="M113" s="163" t="n">
        <v>0.0016144882806415</v>
      </c>
      <c r="N113" s="163" t="n">
        <v>-0.0004487131040876</v>
      </c>
      <c r="O113" s="163" t="n">
        <v>-0.0021899891496116</v>
      </c>
      <c r="P113" s="163" t="n">
        <v>0.003761605086987</v>
      </c>
      <c r="Q113" s="163" t="n">
        <v>-9.658996012443432e-06</v>
      </c>
      <c r="R113" s="163" t="n">
        <v>0.0009320111966969</v>
      </c>
      <c r="S113" s="163" t="n">
        <v>0.001798106069209</v>
      </c>
      <c r="T113" s="163" t="n">
        <v>-0.0010053467321182</v>
      </c>
      <c r="U113" s="163" t="n">
        <v>0.0040452907144687</v>
      </c>
      <c r="V113" s="171" t="n">
        <v>20.70412583513124</v>
      </c>
      <c r="W113" s="171" t="n">
        <v>0.0028297439351379</v>
      </c>
      <c r="X113" s="171" t="n">
        <v>21.86729548756689</v>
      </c>
      <c r="Y113" s="171" t="n">
        <v>-84.06465415279553</v>
      </c>
      <c r="Z113" s="171" t="n">
        <v>27.93118243831645</v>
      </c>
      <c r="AA113" s="171" t="n">
        <v>0.0095524719403589</v>
      </c>
      <c r="AB113" s="171" t="n">
        <v>13.54878580976747</v>
      </c>
      <c r="AC113" s="171" t="n">
        <v>5.644144086038886e-05</v>
      </c>
      <c r="AD113" s="171" t="n">
        <v>0.0003622301457223</v>
      </c>
      <c r="AE113" s="171" t="n">
        <v>0.0005584702179761</v>
      </c>
      <c r="AF113" s="171" t="n">
        <v>-0.0009074634207115</v>
      </c>
      <c r="AG113" s="171" t="n">
        <v>0.0007117415275239</v>
      </c>
      <c r="AH113" s="171" t="n">
        <v>0.0027550898466859</v>
      </c>
      <c r="AI113" s="171" t="n">
        <v>5.001509156418174e-05</v>
      </c>
      <c r="AJ113" s="171" t="n">
        <v>0.0001275040316994</v>
      </c>
      <c r="AK113" s="171" t="n">
        <v>-0.0041531268760303</v>
      </c>
      <c r="AL113" s="171" t="n">
        <v>0.0004455422159559</v>
      </c>
      <c r="AM113" s="171" t="n">
        <v>-0</v>
      </c>
      <c r="AN113" s="1" t="n">
        <v>0.0133319795166154</v>
      </c>
      <c r="AO113" s="1" t="n">
        <v>7.199102425303749e-15</v>
      </c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64" t="inlineStr">
        <is>
          <t>2012-05</t>
        </is>
      </c>
      <c r="B114" s="163" t="n">
        <v>0.0106673116500832</v>
      </c>
      <c r="C114" s="163" t="n">
        <v>0.0299312168632896</v>
      </c>
      <c r="D114" s="163" t="n">
        <v>-0.0192639052132063</v>
      </c>
      <c r="E114" s="170" t="n">
        <v>1793.276774193548</v>
      </c>
      <c r="F114" s="170" t="n">
        <v>1828.157175702833</v>
      </c>
      <c r="G114" s="163" t="n">
        <v>0.0056651267225528</v>
      </c>
      <c r="H114" s="163" t="n">
        <v>-0.0014015999993677</v>
      </c>
      <c r="I114" s="163" t="n">
        <v>0.0011016764787511</v>
      </c>
      <c r="J114" s="163" t="n">
        <v>-3.448605906262306e-05</v>
      </c>
      <c r="K114" s="163" t="n">
        <v>0.0001068778896475</v>
      </c>
      <c r="L114" s="163" t="n">
        <v>0.0037050279289359</v>
      </c>
      <c r="M114" s="163" t="n">
        <v>0.0027176056089674</v>
      </c>
      <c r="N114" s="163" t="n">
        <v>0.0074552591712836</v>
      </c>
      <c r="O114" s="163" t="n">
        <v>-0.0030888935803868</v>
      </c>
      <c r="P114" s="163" t="n">
        <v>0.0030600384548811</v>
      </c>
      <c r="Q114" s="163" t="n">
        <v>4.422910426765357e-05</v>
      </c>
      <c r="R114" s="163" t="n">
        <v>0.0002664721864369</v>
      </c>
      <c r="S114" s="163" t="n">
        <v>-0.0017227024523107</v>
      </c>
      <c r="T114" s="163" t="n">
        <v>-0.0021885346848678</v>
      </c>
      <c r="U114" s="163" t="n">
        <v>0.0178765886343879</v>
      </c>
      <c r="V114" s="171" t="n">
        <v>36.45327646487493</v>
      </c>
      <c r="W114" s="171" t="n">
        <v>0.0064015877290423</v>
      </c>
      <c r="X114" s="171" t="n">
        <v>2.868420884149896</v>
      </c>
      <c r="Y114" s="171" t="n">
        <v>-175.1002156408605</v>
      </c>
      <c r="Z114" s="171" t="n">
        <v>100.8605259638568</v>
      </c>
      <c r="AA114" s="171" t="n">
        <v>0.0068817016929475</v>
      </c>
      <c r="AB114" s="171" t="n">
        <v>34.89198066404033</v>
      </c>
      <c r="AC114" s="171" t="n">
        <v>-0.0005531558460096</v>
      </c>
      <c r="AD114" s="171" t="n">
        <v>0.0004072374508038</v>
      </c>
      <c r="AE114" s="171" t="n">
        <v>0.0024014219372974</v>
      </c>
      <c r="AF114" s="171" t="n">
        <v>-0.0050374937921387</v>
      </c>
      <c r="AG114" s="171" t="n">
        <v>0.0011441467509099</v>
      </c>
      <c r="AH114" s="171" t="n">
        <v>0.0100285248599989</v>
      </c>
      <c r="AI114" s="171" t="n">
        <v>-3.485214525287873e-05</v>
      </c>
      <c r="AJ114" s="171" t="n">
        <v>8.240555906433467e-05</v>
      </c>
      <c r="AK114" s="171" t="n">
        <v>-0.0013364551665152</v>
      </c>
      <c r="AL114" s="171" t="n">
        <v>0.0019951263676277</v>
      </c>
      <c r="AM114" s="171" t="n">
        <v>-0</v>
      </c>
      <c r="AN114" s="1" t="n">
        <v>0.0299312168632871</v>
      </c>
      <c r="AO114" s="1" t="n">
        <v>2.498001805406602e-15</v>
      </c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64" t="inlineStr">
        <is>
          <t>2012-06</t>
        </is>
      </c>
      <c r="B115" s="163" t="n">
        <v>-0.0004072188990962</v>
      </c>
      <c r="C115" s="163" t="n">
        <v>0.0238180593367432</v>
      </c>
      <c r="D115" s="163" t="n">
        <v>-0.0242252782358395</v>
      </c>
      <c r="E115" s="170" t="n">
        <v>1792.546666666667</v>
      </c>
      <c r="F115" s="170" t="n">
        <v>1836.501872337694</v>
      </c>
      <c r="G115" s="163" t="n">
        <v>0.0056651267225528</v>
      </c>
      <c r="H115" s="163" t="n">
        <v>-0.0010572534235621</v>
      </c>
      <c r="I115" s="163" t="n">
        <v>0.0002264960478503</v>
      </c>
      <c r="J115" s="163" t="n">
        <v>-6.897211812524918e-05</v>
      </c>
      <c r="K115" s="163" t="n">
        <v>1.236077446128189e-05</v>
      </c>
      <c r="L115" s="163" t="n">
        <v>0.0030159280155013</v>
      </c>
      <c r="M115" s="163" t="n">
        <v>0.0001015031456007</v>
      </c>
      <c r="N115" s="163" t="n">
        <v>-0.0004286284984261</v>
      </c>
      <c r="O115" s="163" t="n">
        <v>-0.0008114791967425</v>
      </c>
      <c r="P115" s="163" t="n">
        <v>0.0045108984592229</v>
      </c>
      <c r="Q115" s="163" t="n">
        <v>-0.0002370315655301</v>
      </c>
      <c r="R115" s="163" t="n">
        <v>-0.0002425385106383</v>
      </c>
      <c r="S115" s="163" t="n">
        <v>-0.0001637948390626</v>
      </c>
      <c r="T115" s="163" t="n">
        <v>-0.0005460768838375</v>
      </c>
      <c r="U115" s="163" t="n">
        <v>0.0075144775354431</v>
      </c>
      <c r="V115" s="171" t="n">
        <v>45.47214297379291</v>
      </c>
      <c r="W115" s="171" t="n">
        <v>-0.0073780349116296</v>
      </c>
      <c r="X115" s="171" t="n">
        <v>-2.868420884149896</v>
      </c>
      <c r="Y115" s="171" t="n">
        <v>-126.7947732612448</v>
      </c>
      <c r="Z115" s="171" t="n">
        <v>77.98130215189654</v>
      </c>
      <c r="AA115" s="171" t="n">
        <v>0.0128636142509163</v>
      </c>
      <c r="AB115" s="171" t="n">
        <v>6.197240915517815</v>
      </c>
      <c r="AC115" s="171" t="n">
        <v>-0.0004408860543311</v>
      </c>
      <c r="AD115" s="171" t="n">
        <v>0.0001391601249062</v>
      </c>
      <c r="AE115" s="171" t="n">
        <v>0.0014185143536594</v>
      </c>
      <c r="AF115" s="171" t="n">
        <v>-0.0039537776335462</v>
      </c>
      <c r="AG115" s="171" t="n">
        <v>0.0021415903899097</v>
      </c>
      <c r="AH115" s="171" t="n">
        <v>0.0111293749607029</v>
      </c>
      <c r="AI115" s="171" t="n">
        <v>0.0011126660528295</v>
      </c>
      <c r="AJ115" s="171" t="n">
        <v>7.484811508804876e-05</v>
      </c>
      <c r="AK115" s="171" t="n">
        <v>-3.203707552905254e-05</v>
      </c>
      <c r="AL115" s="171" t="n">
        <v>0.0017601152865345</v>
      </c>
      <c r="AM115" s="171" t="n">
        <v>-0</v>
      </c>
      <c r="AN115" s="1" t="n">
        <v>0.0238180593367628</v>
      </c>
      <c r="AO115" s="1" t="n">
        <v>-1.960237527853792e-14</v>
      </c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64" t="inlineStr">
        <is>
          <t>2012-07</t>
        </is>
      </c>
      <c r="B116" s="163" t="n">
        <v>-0.0048800145119756</v>
      </c>
      <c r="C116" s="163" t="n">
        <v>-0.0237080180563904</v>
      </c>
      <c r="D116" s="163" t="n">
        <v>0.0188280035444148</v>
      </c>
      <c r="E116" s="170" t="n">
        <v>1783.820322580645</v>
      </c>
      <c r="F116" s="170" t="n">
        <v>1750.548748753984</v>
      </c>
      <c r="G116" s="163" t="n">
        <v>0.0056651267225528</v>
      </c>
      <c r="H116" s="163" t="n">
        <v>0.0001497285424823</v>
      </c>
      <c r="I116" s="163" t="n">
        <v>-0.000338381976384</v>
      </c>
      <c r="J116" s="163" t="n">
        <v>0</v>
      </c>
      <c r="K116" s="163" t="n">
        <v>4.41722578797205e-05</v>
      </c>
      <c r="L116" s="163" t="n">
        <v>-0.0010263496030038</v>
      </c>
      <c r="M116" s="163" t="n">
        <v>-0.0030603348896531</v>
      </c>
      <c r="N116" s="163" t="n">
        <v>-0.0060600328735694</v>
      </c>
      <c r="O116" s="163" t="n">
        <v>-0.0041777609804563</v>
      </c>
      <c r="P116" s="163" t="n">
        <v>-0.0035676951550384</v>
      </c>
      <c r="Q116" s="163" t="n">
        <v>0.0003469738766612</v>
      </c>
      <c r="R116" s="163" t="n">
        <v>-3.197668926664098e-05</v>
      </c>
      <c r="S116" s="163" t="n">
        <v>0.0012761303484618</v>
      </c>
      <c r="T116" s="163" t="n">
        <v>0.0001819787724911</v>
      </c>
      <c r="U116" s="163" t="n">
        <v>-0.0167530779786527</v>
      </c>
      <c r="V116" s="171" t="n">
        <v>28.98709078943662</v>
      </c>
      <c r="W116" s="171" t="n">
        <v>0.0097644718258729</v>
      </c>
      <c r="X116" s="171" t="n">
        <v>18.19920621790095</v>
      </c>
      <c r="Y116" s="171" t="n">
        <v>-67.12128179664676</v>
      </c>
      <c r="Z116" s="171" t="n">
        <v>21.56637930050591</v>
      </c>
      <c r="AA116" s="171" t="n">
        <v>-0.0008262535870576</v>
      </c>
      <c r="AB116" s="171" t="n">
        <v>-1.63145438578168</v>
      </c>
      <c r="AC116" s="171" t="n">
        <v>0.0005873216820011</v>
      </c>
      <c r="AD116" s="171" t="n">
        <v>-0.0006617373450013</v>
      </c>
      <c r="AE116" s="171" t="n">
        <v>-0.0019956002455681</v>
      </c>
      <c r="AF116" s="171" t="n">
        <v>0.0054185807929625</v>
      </c>
      <c r="AG116" s="171" t="n">
        <v>-0.0010922411583901</v>
      </c>
      <c r="AH116" s="171" t="n">
        <v>-0.0057310914148172</v>
      </c>
      <c r="AI116" s="171" t="n">
        <v>-8.090676576558693e-05</v>
      </c>
      <c r="AJ116" s="171" t="n">
        <v>0.0001943115688911</v>
      </c>
      <c r="AK116" s="171" t="n">
        <v>-0.0012149140917379</v>
      </c>
      <c r="AL116" s="171" t="n">
        <v>-0.0006585851073327</v>
      </c>
      <c r="AM116" s="171" t="n">
        <v>-0</v>
      </c>
      <c r="AN116" s="1" t="n">
        <v>-0.023708018056389</v>
      </c>
      <c r="AO116" s="1" t="n">
        <v>-1.40165656858926e-15</v>
      </c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64" t="inlineStr">
        <is>
          <t>2012-08</t>
        </is>
      </c>
      <c r="B117" s="163" t="n">
        <v>0.0120931125286452</v>
      </c>
      <c r="C117" s="163" t="n">
        <v>-0.01352180563955</v>
      </c>
      <c r="D117" s="163" t="n">
        <v>0.0256149181681952</v>
      </c>
      <c r="E117" s="170" t="n">
        <v>1805.523225806453</v>
      </c>
      <c r="F117" s="170" t="n">
        <v>1759.862194497899</v>
      </c>
      <c r="G117" s="163" t="n">
        <v>0.0056651267225528</v>
      </c>
      <c r="H117" s="163" t="n">
        <v>-0.0006034505652693</v>
      </c>
      <c r="I117" s="163" t="n">
        <v>0.0005330770346234</v>
      </c>
      <c r="J117" s="163" t="n">
        <v>-5.562267590745922e-05</v>
      </c>
      <c r="K117" s="163" t="n">
        <v>-1.136042964365188e-05</v>
      </c>
      <c r="L117" s="163" t="n">
        <v>-0.0019119302276318</v>
      </c>
      <c r="M117" s="163" t="n">
        <v>-0.0018699103209244</v>
      </c>
      <c r="N117" s="163" t="n">
        <v>-0.0061613450641065</v>
      </c>
      <c r="O117" s="163" t="n">
        <v>-0.0030841286162557</v>
      </c>
      <c r="P117" s="163" t="n">
        <v>-0.0011056279179505</v>
      </c>
      <c r="Q117" s="163" t="n">
        <v>-6.499126334744646e-05</v>
      </c>
      <c r="R117" s="163" t="n">
        <v>0.0004947741776328</v>
      </c>
      <c r="S117" s="163" t="n">
        <v>0.0028401260672944</v>
      </c>
      <c r="T117" s="163" t="n">
        <v>-0.0002729505984911</v>
      </c>
      <c r="U117" s="163" t="n">
        <v>-0.0086303838983322</v>
      </c>
      <c r="V117" s="171" t="n">
        <v>-4.64489629791002</v>
      </c>
      <c r="W117" s="171" t="n">
        <v>0.0043500721984263</v>
      </c>
      <c r="X117" s="171" t="n">
        <v>-8.557905667541135</v>
      </c>
      <c r="Y117" s="171" t="n">
        <v>106.3098433554873</v>
      </c>
      <c r="Z117" s="171" t="n">
        <v>-54.42488322801518</v>
      </c>
      <c r="AA117" s="171" t="n">
        <v>-0.0141913394217136</v>
      </c>
      <c r="AB117" s="171" t="n">
        <v>-38.6691832875142</v>
      </c>
      <c r="AC117" s="171" t="n">
        <v>0.0006280643020823</v>
      </c>
      <c r="AD117" s="171" t="n">
        <v>-0.0006555129304688</v>
      </c>
      <c r="AE117" s="171" t="n">
        <v>-0.0021991316138972</v>
      </c>
      <c r="AF117" s="171" t="n">
        <v>0.0043944094782487</v>
      </c>
      <c r="AG117" s="171" t="n">
        <v>-0.0014394272986437</v>
      </c>
      <c r="AH117" s="171" t="n">
        <v>-0.0048022398927962</v>
      </c>
      <c r="AI117" s="171" t="n">
        <v>0.0007457001208325</v>
      </c>
      <c r="AJ117" s="171" t="n">
        <v>-2.9866539977171e-05</v>
      </c>
      <c r="AK117" s="171" t="n">
        <v>0.0024847002483474</v>
      </c>
      <c r="AL117" s="171" t="n">
        <v>-0.0015435112210364</v>
      </c>
      <c r="AM117" s="171" t="n">
        <v>-0</v>
      </c>
      <c r="AN117" s="1" t="n">
        <v>-0.0135218056395473</v>
      </c>
      <c r="AO117" s="1" t="n">
        <v>-2.699229728619912e-15</v>
      </c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64" t="inlineStr">
        <is>
          <t>2012-09</t>
        </is>
      </c>
      <c r="B118" s="163" t="n">
        <v>-0.0015391826890036</v>
      </c>
      <c r="C118" s="163" t="n">
        <v>0.0113685182084548</v>
      </c>
      <c r="D118" s="163" t="n">
        <v>-0.0129077008974584</v>
      </c>
      <c r="E118" s="170" t="n">
        <v>1802.746333333333</v>
      </c>
      <c r="F118" s="170" t="n">
        <v>1826.166468683322</v>
      </c>
      <c r="G118" s="163" t="n">
        <v>0.0056651267225528</v>
      </c>
      <c r="H118" s="163" t="n">
        <v>0.0012359255098609</v>
      </c>
      <c r="I118" s="163" t="n">
        <v>-0.0011129819823503</v>
      </c>
      <c r="J118" s="163" t="n">
        <v>-0.0008421273132389</v>
      </c>
      <c r="K118" s="163" t="n">
        <v>-1.84037925206516e-06</v>
      </c>
      <c r="L118" s="163" t="n">
        <v>-0.003416066525422</v>
      </c>
      <c r="M118" s="163" t="n">
        <v>-0.0004328635662428</v>
      </c>
      <c r="N118" s="163" t="n">
        <v>-0.0006343126436441</v>
      </c>
      <c r="O118" s="163" t="n">
        <v>-0.003790960858983</v>
      </c>
      <c r="P118" s="163" t="n">
        <v>0.0061362462377202</v>
      </c>
      <c r="Q118" s="163" t="n">
        <v>-9.86767507005957e-05</v>
      </c>
      <c r="R118" s="163" t="n">
        <v>0.0004026034180059</v>
      </c>
      <c r="S118" s="163" t="n">
        <v>-0.004148882982541</v>
      </c>
      <c r="T118" s="163" t="n">
        <v>-0.0020891281023451</v>
      </c>
      <c r="U118" s="163" t="n">
        <v>-0.007952239488143199</v>
      </c>
      <c r="V118" s="171" t="n">
        <v>36.43955868832293</v>
      </c>
      <c r="W118" s="171" t="n">
        <v>0.0271803837745</v>
      </c>
      <c r="X118" s="171" t="n">
        <v>5.580231388383085</v>
      </c>
      <c r="Y118" s="171" t="n">
        <v>31.48830375790865</v>
      </c>
      <c r="Z118" s="171" t="n">
        <v>-24.22945946456367</v>
      </c>
      <c r="AA118" s="171" t="n">
        <v>-0.0238357307969739</v>
      </c>
      <c r="AB118" s="171" t="n">
        <v>-49.26077944879786</v>
      </c>
      <c r="AC118" s="171" t="n">
        <v>-0.00065648938586</v>
      </c>
      <c r="AD118" s="171" t="n">
        <v>-0.0007709724000395</v>
      </c>
      <c r="AE118" s="171" t="n">
        <v>-0.0018714957526845</v>
      </c>
      <c r="AF118" s="171" t="n">
        <v>0.0046802247288665</v>
      </c>
      <c r="AG118" s="171" t="n">
        <v>6.291973505015842e-05</v>
      </c>
      <c r="AH118" s="171" t="n">
        <v>-0.0015818525691915</v>
      </c>
      <c r="AI118" s="171" t="n">
        <v>0.0025594827060866</v>
      </c>
      <c r="AJ118" s="171" t="n">
        <v>-4.481857559475271e-05</v>
      </c>
      <c r="AK118" s="171" t="n">
        <v>0.0004252695216816</v>
      </c>
      <c r="AL118" s="171" t="n">
        <v>-0.001553145325793</v>
      </c>
      <c r="AM118" s="171" t="n">
        <v>-0</v>
      </c>
      <c r="AN118" s="1" t="n">
        <v>0.0113685182084478</v>
      </c>
      <c r="AO118" s="1" t="n">
        <v>6.999609225566417e-15</v>
      </c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64" t="inlineStr">
        <is>
          <t>2012-10</t>
        </is>
      </c>
      <c r="B119" s="163" t="n">
        <v>0.0009174199923371</v>
      </c>
      <c r="C119" s="163" t="n">
        <v>-0.013211366784505</v>
      </c>
      <c r="D119" s="163" t="n">
        <v>0.0141287867768422</v>
      </c>
      <c r="E119" s="170" t="n">
        <v>1804.400967741936</v>
      </c>
      <c r="F119" s="170" t="n">
        <v>1779.086225620506</v>
      </c>
      <c r="G119" s="163" t="n">
        <v>0.0056651267225528</v>
      </c>
      <c r="H119" s="163" t="n">
        <v>7.512527750771995e-05</v>
      </c>
      <c r="I119" s="163" t="n">
        <v>-0.001285268936741</v>
      </c>
      <c r="J119" s="163" t="n">
        <v>-0.0007575808458594999</v>
      </c>
      <c r="K119" s="163" t="n">
        <v>-1.258059035957578e-05</v>
      </c>
      <c r="L119" s="163" t="n">
        <v>-0.000498142578865</v>
      </c>
      <c r="M119" s="163" t="n">
        <v>0.0010406925858921</v>
      </c>
      <c r="N119" s="163" t="n">
        <v>-0.0044039420687289</v>
      </c>
      <c r="O119" s="163" t="n">
        <v>-0.0037443919289823</v>
      </c>
      <c r="P119" s="163" t="n">
        <v>-0.0016113843636317</v>
      </c>
      <c r="Q119" s="163" t="n">
        <v>5.744638196997018e-05</v>
      </c>
      <c r="R119" s="163" t="n">
        <v>-0.0001849688298586</v>
      </c>
      <c r="S119" s="163" t="n">
        <v>-0.0003098027443775</v>
      </c>
      <c r="T119" s="163" t="n">
        <v>-0.001087534461937</v>
      </c>
      <c r="U119" s="163" t="n">
        <v>-0.0028404864910388</v>
      </c>
      <c r="V119" s="171" t="n">
        <v>10.1205754382506</v>
      </c>
      <c r="W119" s="171" t="n">
        <v>-0.000470647542007</v>
      </c>
      <c r="X119" s="171" t="n">
        <v>-9.089217805242455</v>
      </c>
      <c r="Y119" s="171" t="n">
        <v>16.15090502326578</v>
      </c>
      <c r="Z119" s="171" t="n">
        <v>-0.4819302636984757</v>
      </c>
      <c r="AA119" s="171" t="n">
        <v>-0.0035562608036276</v>
      </c>
      <c r="AB119" s="171" t="n">
        <v>-16.69740705868426</v>
      </c>
      <c r="AC119" s="171" t="n">
        <v>3.50018678673384e-05</v>
      </c>
      <c r="AD119" s="171" t="n">
        <v>-0.0003700448639678</v>
      </c>
      <c r="AE119" s="171" t="n">
        <v>-0.0009121680226943</v>
      </c>
      <c r="AF119" s="171" t="n">
        <v>0.0035369637263953</v>
      </c>
      <c r="AG119" s="171" t="n">
        <v>0.0001485332933746</v>
      </c>
      <c r="AH119" s="171" t="n">
        <v>0.0017155722168499</v>
      </c>
      <c r="AI119" s="171" t="n">
        <v>-0.0008219674776521</v>
      </c>
      <c r="AJ119" s="171" t="n">
        <v>5.228614850374739e-05</v>
      </c>
      <c r="AK119" s="171" t="n">
        <v>-0.0020093996651512</v>
      </c>
      <c r="AL119" s="171" t="n">
        <v>-0.0035868766811192</v>
      </c>
      <c r="AM119" s="171" t="n">
        <v>-0</v>
      </c>
      <c r="AN119" s="1" t="n">
        <v>-0.0132113667845065</v>
      </c>
      <c r="AO119" s="1" t="n">
        <v>1.500535806719938e-15</v>
      </c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64" t="inlineStr">
        <is>
          <t>2012-11</t>
        </is>
      </c>
      <c r="B120" s="163" t="n">
        <v>0.009164642875816699</v>
      </c>
      <c r="C120" s="163" t="n">
        <v>0.0190765277048402</v>
      </c>
      <c r="D120" s="163" t="n">
        <v>-0.0099118848290234</v>
      </c>
      <c r="E120" s="170" t="n">
        <v>1821.013666666667</v>
      </c>
      <c r="F120" s="170" t="n">
        <v>1839.153093849841</v>
      </c>
      <c r="G120" s="163" t="n">
        <v>0.0056651267225528</v>
      </c>
      <c r="H120" s="163" t="n">
        <v>-0.0002672831445021</v>
      </c>
      <c r="I120" s="163" t="n">
        <v>0.0001203137762803</v>
      </c>
      <c r="J120" s="163" t="n">
        <v>-6.897211812524918e-05</v>
      </c>
      <c r="K120" s="163" t="n">
        <v>-4.46307468272609e-05</v>
      </c>
      <c r="L120" s="163" t="n">
        <v>0.0015964588036611</v>
      </c>
      <c r="M120" s="163" t="n">
        <v>0.0004275369632662</v>
      </c>
      <c r="N120" s="163" t="n">
        <v>0.0033808040123576</v>
      </c>
      <c r="O120" s="163" t="n">
        <v>-0.0037285516609016</v>
      </c>
      <c r="P120" s="163" t="n">
        <v>0.0064743111571732</v>
      </c>
      <c r="Q120" s="163" t="n">
        <v>-1.654454294963404e-06</v>
      </c>
      <c r="R120" s="163" t="n">
        <v>-4.277842248177387e-05</v>
      </c>
      <c r="S120" s="163" t="n">
        <v>-0.0016311787690468</v>
      </c>
      <c r="T120" s="163" t="n">
        <v>0.0009061625187566</v>
      </c>
      <c r="U120" s="163" t="n">
        <v>0.0055980100741841</v>
      </c>
      <c r="V120" s="171" t="n">
        <v>6.83859739818423</v>
      </c>
      <c r="W120" s="171" t="n">
        <v>-0.008076194647179499</v>
      </c>
      <c r="X120" s="171" t="n">
        <v>3.798113272090107</v>
      </c>
      <c r="Y120" s="171" t="n">
        <v>-64.65271098979068</v>
      </c>
      <c r="Z120" s="171" t="n">
        <v>34.50371413806614</v>
      </c>
      <c r="AA120" s="171" t="n">
        <v>0.0128983393707679</v>
      </c>
      <c r="AB120" s="171" t="n">
        <v>19.50316573966096</v>
      </c>
      <c r="AC120" s="171" t="n">
        <v>-0.000254748201803</v>
      </c>
      <c r="AD120" s="171" t="n">
        <v>0.0003148801351711</v>
      </c>
      <c r="AE120" s="171" t="n">
        <v>8.687314501850373e-06</v>
      </c>
      <c r="AF120" s="171" t="n">
        <v>-0.0005478125636841</v>
      </c>
      <c r="AG120" s="171" t="n">
        <v>0.0003475413219317</v>
      </c>
      <c r="AH120" s="171" t="n">
        <v>0.0021027626199855</v>
      </c>
      <c r="AI120" s="171" t="n">
        <v>0.0016363534821486</v>
      </c>
      <c r="AJ120" s="171" t="n">
        <v>-8.217771910506698e-05</v>
      </c>
      <c r="AK120" s="171" t="n">
        <v>-0.0021212130118175</v>
      </c>
      <c r="AL120" s="171" t="n">
        <v>0.0035868766811192</v>
      </c>
      <c r="AM120" s="171" t="n">
        <v>-0</v>
      </c>
      <c r="AN120" s="1" t="n">
        <v>0.019076527704844</v>
      </c>
      <c r="AO120" s="1" t="n">
        <v>-3.799044412389208e-15</v>
      </c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64" t="inlineStr">
        <is>
          <t>2012-12</t>
        </is>
      </c>
      <c r="B121" s="163" t="n">
        <v>-0.0157848916446132</v>
      </c>
      <c r="C121" s="163" t="n">
        <v>-0.0149848524606814</v>
      </c>
      <c r="D121" s="163" t="n">
        <v>-0.0008000391839318</v>
      </c>
      <c r="E121" s="170" t="n">
        <v>1792.494838709676</v>
      </c>
      <c r="F121" s="170" t="n">
        <v>1793.929478625192</v>
      </c>
      <c r="G121" s="163" t="n">
        <v>0.0056651267225528</v>
      </c>
      <c r="H121" s="163" t="n">
        <v>-4.531630977418043e-05</v>
      </c>
      <c r="I121" s="163" t="n">
        <v>-0.0013186131257929</v>
      </c>
      <c r="J121" s="163" t="n">
        <v>-0.0001436919127609</v>
      </c>
      <c r="K121" s="163" t="n">
        <v>0.0001158737708732</v>
      </c>
      <c r="L121" s="163" t="n">
        <v>-0.0013205542507759</v>
      </c>
      <c r="M121" s="163" t="n">
        <v>0.000589296428821</v>
      </c>
      <c r="N121" s="163" t="n">
        <v>-0.0018550016260137</v>
      </c>
      <c r="O121" s="163" t="n">
        <v>-0.0032112579276571</v>
      </c>
      <c r="P121" s="163" t="n">
        <v>-0.0036019459966955</v>
      </c>
      <c r="Q121" s="163" t="n">
        <v>-5.850148173450939e-05</v>
      </c>
      <c r="R121" s="163" t="n">
        <v>-0.000224933978071</v>
      </c>
      <c r="S121" s="163" t="n">
        <v>0.0004750636160378</v>
      </c>
      <c r="T121" s="163" t="n">
        <v>-0.0006344356788233</v>
      </c>
      <c r="U121" s="163" t="n">
        <v>-0.008079875102362501</v>
      </c>
      <c r="V121" s="171" t="n">
        <v>-4.286805172500465</v>
      </c>
      <c r="W121" s="171" t="n">
        <v>0.001611137851269</v>
      </c>
      <c r="X121" s="171" t="n">
        <v>4.569533631520443</v>
      </c>
      <c r="Y121" s="171" t="n">
        <v>45.58440410387684</v>
      </c>
      <c r="Z121" s="171" t="n">
        <v>-31.57474141472638</v>
      </c>
      <c r="AA121" s="171" t="n">
        <v>-0.0048513035086822</v>
      </c>
      <c r="AB121" s="171" t="n">
        <v>-14.28594033083876</v>
      </c>
      <c r="AC121" s="171" t="n">
        <v>-8.910241947545296e-05</v>
      </c>
      <c r="AD121" s="171" t="n">
        <v>-0.0004761335116599</v>
      </c>
      <c r="AE121" s="171" t="n">
        <v>-0.0007036724746499</v>
      </c>
      <c r="AF121" s="171" t="n">
        <v>0.0010837161585925</v>
      </c>
      <c r="AG121" s="171" t="n">
        <v>-5.758178901354606e-05</v>
      </c>
      <c r="AH121" s="171" t="n">
        <v>-0.0008580541559133</v>
      </c>
      <c r="AI121" s="171" t="n">
        <v>-0.0023642880614074</v>
      </c>
      <c r="AJ121" s="171" t="n">
        <v>6.724194783595649e-05</v>
      </c>
      <c r="AK121" s="171" t="n">
        <v>-0.0013713352861547</v>
      </c>
      <c r="AL121" s="171" t="n">
        <v>0.0002224723090816</v>
      </c>
      <c r="AM121" s="171" t="n">
        <v>-0</v>
      </c>
      <c r="AN121" s="1" t="n">
        <v>-0.014984852460682</v>
      </c>
      <c r="AO121" s="1" t="n">
        <v>6.002143226879753e-16</v>
      </c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64" t="inlineStr">
        <is>
          <t>2013-01</t>
        </is>
      </c>
      <c r="B122" s="163" t="n">
        <v>-0.0128138673185782</v>
      </c>
      <c r="C122" s="163" t="n">
        <v>-0.0251297641529929</v>
      </c>
      <c r="D122" s="163" t="n">
        <v>0.0123158968344146</v>
      </c>
      <c r="E122" s="170" t="n">
        <v>1769.672580645162</v>
      </c>
      <c r="F122" s="170" t="n">
        <v>1748.011139550444</v>
      </c>
      <c r="G122" s="163" t="n">
        <v>0.0056651267225528</v>
      </c>
      <c r="H122" s="163" t="n">
        <v>8.076179943694539e-05</v>
      </c>
      <c r="I122" s="163" t="n">
        <v>-0.000855873469127</v>
      </c>
      <c r="J122" s="163" t="n">
        <v>-0.0009409502674344</v>
      </c>
      <c r="K122" s="163" t="n">
        <v>-0.0001570178617746</v>
      </c>
      <c r="L122" s="163" t="n">
        <v>-0.0001222908679649</v>
      </c>
      <c r="M122" s="163" t="n">
        <v>-0.0041071172752869</v>
      </c>
      <c r="N122" s="163" t="n">
        <v>-0.0010304344170218</v>
      </c>
      <c r="O122" s="163" t="n">
        <v>-0.0036913568713064</v>
      </c>
      <c r="P122" s="163" t="n">
        <v>-0.0106687544204574</v>
      </c>
      <c r="Q122" s="163" t="n">
        <v>0.0001443194343947</v>
      </c>
      <c r="R122" s="163" t="n">
        <v>0.0007507109026199</v>
      </c>
      <c r="S122" s="163" t="n">
        <v>-0.0049788170597426</v>
      </c>
      <c r="T122" s="163" t="n">
        <v>-0.0020805754002476</v>
      </c>
      <c r="U122" s="163" t="n">
        <v>-0.0089532442949174</v>
      </c>
      <c r="V122" s="171" t="n">
        <v>-42.56197383568807</v>
      </c>
      <c r="W122" s="171" t="n">
        <v>-0.0013465206647878</v>
      </c>
      <c r="X122" s="171" t="n">
        <v>-3.422165277860476</v>
      </c>
      <c r="Y122" s="171" t="n">
        <v>137.2861991903831</v>
      </c>
      <c r="Z122" s="171" t="n">
        <v>-77.90651986959857</v>
      </c>
      <c r="AA122" s="171" t="n">
        <v>-0.0097485667348151</v>
      </c>
      <c r="AB122" s="171" t="n">
        <v>-13.38021171386349</v>
      </c>
      <c r="AC122" s="171" t="n">
        <v>5.731462970845987e-05</v>
      </c>
      <c r="AD122" s="171" t="n">
        <v>-0.0004392145254628</v>
      </c>
      <c r="AE122" s="171" t="n">
        <v>-0.0011603770084615</v>
      </c>
      <c r="AF122" s="171" t="n">
        <v>0.0020245246918761</v>
      </c>
      <c r="AG122" s="171" t="n">
        <v>-0.0004507913578306</v>
      </c>
      <c r="AH122" s="171" t="n">
        <v>-0.0039451152385914</v>
      </c>
      <c r="AI122" s="171" t="n">
        <v>0.0006216807987638</v>
      </c>
      <c r="AJ122" s="171" t="n">
        <v>0.0001716105084486</v>
      </c>
      <c r="AK122" s="171" t="n">
        <v>-0.0001420226173773</v>
      </c>
      <c r="AL122" s="171" t="n">
        <v>0.0048447333392856</v>
      </c>
      <c r="AM122" s="171" t="n">
        <v>-0</v>
      </c>
      <c r="AN122" s="1" t="n">
        <v>-0.025129764152983</v>
      </c>
      <c r="AO122" s="1" t="n">
        <v>-9.898332153923661e-15</v>
      </c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64" t="inlineStr">
        <is>
          <t>2013-02</t>
        </is>
      </c>
      <c r="B123" s="163" t="n">
        <v>0.0117270916791465</v>
      </c>
      <c r="C123" s="163" t="n">
        <v>0.018484454192515</v>
      </c>
      <c r="D123" s="163" t="n">
        <v>-0.0067573625133685</v>
      </c>
      <c r="E123" s="170" t="n">
        <v>1790.547857142857</v>
      </c>
      <c r="F123" s="170" t="n">
        <v>1802.688210298784</v>
      </c>
      <c r="G123" s="163" t="n">
        <v>0.0056651267225528</v>
      </c>
      <c r="H123" s="163" t="n">
        <v>0.0002509947295816</v>
      </c>
      <c r="I123" s="163" t="n">
        <v>0.001722807626595</v>
      </c>
      <c r="J123" s="163" t="n">
        <v>-0.0006541226686717</v>
      </c>
      <c r="K123" s="163" t="n">
        <v>0.0001039545352417</v>
      </c>
      <c r="L123" s="163" t="n">
        <v>0.0016105336000889</v>
      </c>
      <c r="M123" s="163" t="n">
        <v>0.0006814622537772</v>
      </c>
      <c r="N123" s="163" t="n">
        <v>0.0052424429728985</v>
      </c>
      <c r="O123" s="163" t="n">
        <v>-0.0025010795330214</v>
      </c>
      <c r="P123" s="163" t="n">
        <v>0.0056490584559308</v>
      </c>
      <c r="Q123" s="163" t="n">
        <v>-9.390727007895572e-05</v>
      </c>
      <c r="R123" s="163" t="n">
        <v>0.0003750440003635</v>
      </c>
      <c r="S123" s="163" t="n">
        <v>0.0013717253053654</v>
      </c>
      <c r="T123" s="163" t="n">
        <v>-0.0031543928526492</v>
      </c>
      <c r="U123" s="163" t="n">
        <v>-0.0007194052716402</v>
      </c>
      <c r="V123" s="171" t="n">
        <v>-10.87276685251867</v>
      </c>
      <c r="W123" s="171" t="n">
        <v>0.0001620902323094</v>
      </c>
      <c r="X123" s="171" t="n">
        <v>-0.8848278759216937</v>
      </c>
      <c r="Y123" s="171" t="n">
        <v>48.7051825386806</v>
      </c>
      <c r="Z123" s="171" t="n">
        <v>-27.96857357946543</v>
      </c>
      <c r="AA123" s="171" t="n">
        <v>-0.0043641305037051</v>
      </c>
      <c r="AB123" s="171" t="n">
        <v>-8.974427715832777</v>
      </c>
      <c r="AC123" s="171" t="n">
        <v>0.000816728828724</v>
      </c>
      <c r="AD123" s="171" t="n">
        <v>0.0001344063138071</v>
      </c>
      <c r="AE123" s="171" t="n">
        <v>-0.0004591866236692</v>
      </c>
      <c r="AF123" s="171" t="n">
        <v>0.0005120856573569</v>
      </c>
      <c r="AG123" s="171" t="n">
        <v>-0.0003905000843577</v>
      </c>
      <c r="AH123" s="171" t="n">
        <v>-0.0014512203565204</v>
      </c>
      <c r="AI123" s="171" t="n">
        <v>0.0027516221302405</v>
      </c>
      <c r="AJ123" s="171" t="n">
        <v>8.940497500562055e-05</v>
      </c>
      <c r="AK123" s="171" t="n">
        <v>-0.0027035664633995</v>
      </c>
      <c r="AL123" s="171" t="n">
        <v>0.0032499625383672</v>
      </c>
      <c r="AM123" s="171" t="n">
        <v>-0</v>
      </c>
      <c r="AN123" s="1" t="n">
        <v>0.0184844541925136</v>
      </c>
      <c r="AO123" s="1" t="n">
        <v>1.40165656858926e-15</v>
      </c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64" t="inlineStr">
        <is>
          <t>2013-03</t>
        </is>
      </c>
      <c r="B124" s="163" t="n">
        <v>0.0128741753373953</v>
      </c>
      <c r="C124" s="163" t="n">
        <v>0.0204933976754302</v>
      </c>
      <c r="D124" s="163" t="n">
        <v>-0.0076192223380349</v>
      </c>
      <c r="E124" s="170" t="n">
        <v>1813.74870967742</v>
      </c>
      <c r="F124" s="170" t="n">
        <v>1827.620844692935</v>
      </c>
      <c r="G124" s="163" t="n">
        <v>0.0056651267225528</v>
      </c>
      <c r="H124" s="163" t="n">
        <v>-0.0004847187473259</v>
      </c>
      <c r="I124" s="163" t="n">
        <v>0.0007268965801209</v>
      </c>
      <c r="J124" s="163" t="n">
        <v>-0.0009363680184192</v>
      </c>
      <c r="K124" s="163" t="n">
        <v>-2.590870963585619e-05</v>
      </c>
      <c r="L124" s="163" t="n">
        <v>0.0018980805735051</v>
      </c>
      <c r="M124" s="163" t="n">
        <v>-0.001272743086006</v>
      </c>
      <c r="N124" s="163" t="n">
        <v>0.002920484725988</v>
      </c>
      <c r="O124" s="163" t="n">
        <v>-0.0041939587860542</v>
      </c>
      <c r="P124" s="163" t="n">
        <v>0.0103567221468056</v>
      </c>
      <c r="Q124" s="163" t="n">
        <v>-0.0001084242996119</v>
      </c>
      <c r="R124" s="163" t="n">
        <v>0.0004441040207346</v>
      </c>
      <c r="S124" s="163" t="n">
        <v>0.0007065815492408</v>
      </c>
      <c r="T124" s="163" t="n">
        <v>-0.0014373345396369</v>
      </c>
      <c r="U124" s="163" t="n">
        <v>-0.0010234930107204</v>
      </c>
      <c r="V124" s="171" t="n">
        <v>4.136481204451441</v>
      </c>
      <c r="W124" s="171" t="n">
        <v>0.0039184825437228</v>
      </c>
      <c r="X124" s="171" t="n">
        <v>4.722405302102209</v>
      </c>
      <c r="Y124" s="171" t="n">
        <v>-18.73168359406996</v>
      </c>
      <c r="Z124" s="171" t="n">
        <v>6.373112280288151</v>
      </c>
      <c r="AA124" s="171" t="n">
        <v>-0.0012582749310939</v>
      </c>
      <c r="AB124" s="171" t="n">
        <v>3.497198192989253</v>
      </c>
      <c r="AC124" s="171" t="n">
        <v>-0.0004079463984241</v>
      </c>
      <c r="AD124" s="171" t="n">
        <v>-0.0001755661099056</v>
      </c>
      <c r="AE124" s="171" t="n">
        <v>-0.0002333164466211</v>
      </c>
      <c r="AF124" s="171" t="n">
        <v>0.0030486960065899</v>
      </c>
      <c r="AG124" s="171" t="n">
        <v>0.0009766739947954001</v>
      </c>
      <c r="AH124" s="171" t="n">
        <v>0.0041760400693474</v>
      </c>
      <c r="AI124" s="171" t="n">
        <v>0.0022227295103966</v>
      </c>
      <c r="AJ124" s="171" t="n">
        <v>2.233724388992953e-05</v>
      </c>
      <c r="AK124" s="171" t="n">
        <v>-0.0023295421164092</v>
      </c>
      <c r="AL124" s="171" t="n">
        <v>-0.0002153485734861</v>
      </c>
      <c r="AM124" s="171" t="n">
        <v>-0</v>
      </c>
      <c r="AN124" s="1" t="n">
        <v>0.0204933976754304</v>
      </c>
      <c r="AO124" s="1" t="n">
        <v>-1.97758476261356e-16</v>
      </c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64" t="inlineStr">
        <is>
          <t>2013-04</t>
        </is>
      </c>
      <c r="B125" s="163" t="n">
        <v>0.0090465567170854</v>
      </c>
      <c r="C125" s="163" t="n">
        <v>-0.0121700711558746</v>
      </c>
      <c r="D125" s="163" t="n">
        <v>0.0212166278729601</v>
      </c>
      <c r="E125" s="170" t="n">
        <v>1830.231333333333</v>
      </c>
      <c r="F125" s="170" t="n">
        <v>1791.809033323892</v>
      </c>
      <c r="G125" s="163" t="n">
        <v>0.0056651267225528</v>
      </c>
      <c r="H125" s="163" t="n">
        <v>-0.0007231947369772</v>
      </c>
      <c r="I125" s="163" t="n">
        <v>-0.0002109167009793</v>
      </c>
      <c r="J125" s="163" t="n">
        <v>-0.0010382369762954</v>
      </c>
      <c r="K125" s="163" t="n">
        <v>-5.693178164359347e-05</v>
      </c>
      <c r="L125" s="163" t="n">
        <v>-0.0008020411053819</v>
      </c>
      <c r="M125" s="163" t="n">
        <v>0.001148304968768</v>
      </c>
      <c r="N125" s="163" t="n">
        <v>-0.0027385935159664</v>
      </c>
      <c r="O125" s="163" t="n">
        <v>-0.0048838781702085</v>
      </c>
      <c r="P125" s="163" t="n">
        <v>0.0068266921742633</v>
      </c>
      <c r="Q125" s="163" t="n">
        <v>0.0001294628492066</v>
      </c>
      <c r="R125" s="163" t="n">
        <v>-0.0001232557567228</v>
      </c>
      <c r="S125" s="163" t="n">
        <v>-0.0044584471062348</v>
      </c>
      <c r="T125" s="163" t="n">
        <v>-0.001792569135042</v>
      </c>
      <c r="U125" s="163" t="n">
        <v>-0.0032219438994958</v>
      </c>
      <c r="V125" s="171" t="n">
        <v>19.22574962464158</v>
      </c>
      <c r="W125" s="171" t="n">
        <v>-0.0046381241172896</v>
      </c>
      <c r="X125" s="171" t="n">
        <v>9.856484043189589</v>
      </c>
      <c r="Y125" s="171" t="n">
        <v>-139.144640280772</v>
      </c>
      <c r="Z125" s="171" t="n">
        <v>72.57205039900525</v>
      </c>
      <c r="AA125" s="171" t="n">
        <v>0.0158867423321162</v>
      </c>
      <c r="AB125" s="171" t="n">
        <v>37.46916429972363</v>
      </c>
      <c r="AC125" s="171" t="n">
        <v>0.0001656086253553</v>
      </c>
      <c r="AD125" s="171" t="n">
        <v>0.0001276859981168</v>
      </c>
      <c r="AE125" s="171" t="n">
        <v>-0.0008153665182451</v>
      </c>
      <c r="AF125" s="171" t="n">
        <v>0.0028224255998508</v>
      </c>
      <c r="AG125" s="171" t="n">
        <v>0.0008550229173961</v>
      </c>
      <c r="AH125" s="171" t="n">
        <v>0.0033568050047772</v>
      </c>
      <c r="AI125" s="171" t="n">
        <v>-0.0012366853748981</v>
      </c>
      <c r="AJ125" s="171" t="n">
        <v>7.444504639472991e-06</v>
      </c>
      <c r="AK125" s="171" t="n">
        <v>0.0005002371867496</v>
      </c>
      <c r="AL125" s="171" t="n">
        <v>-0.001729530932345</v>
      </c>
      <c r="AM125" s="171" t="n">
        <v>-0</v>
      </c>
      <c r="AN125" s="1" t="n">
        <v>-0.0121700711558565</v>
      </c>
      <c r="AO125" s="1" t="n">
        <v>-1.810010474834201e-14</v>
      </c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64" t="inlineStr">
        <is>
          <t>2013-05</t>
        </is>
      </c>
      <c r="B126" s="163" t="n">
        <v>0.0096190099740409</v>
      </c>
      <c r="C126" s="163" t="n">
        <v>-0.0141916483375135</v>
      </c>
      <c r="D126" s="163" t="n">
        <v>0.0238106583115544</v>
      </c>
      <c r="E126" s="170" t="n">
        <v>1847.92129032258</v>
      </c>
      <c r="F126" s="170" t="n">
        <v>1804.440772018997</v>
      </c>
      <c r="G126" s="163" t="n">
        <v>0.0056651267225528</v>
      </c>
      <c r="H126" s="163" t="n">
        <v>-3.781289631553031e-05</v>
      </c>
      <c r="I126" s="163" t="n">
        <v>0.0027549542796465</v>
      </c>
      <c r="J126" s="163" t="n">
        <v>-0.001425052956749</v>
      </c>
      <c r="K126" s="163" t="n">
        <v>-9.92807338320028e-05</v>
      </c>
      <c r="L126" s="163" t="n">
        <v>0.0010555605417456</v>
      </c>
      <c r="M126" s="163" t="n">
        <v>-0.0005712550922714001</v>
      </c>
      <c r="N126" s="163" t="n">
        <v>0.0009550386903005</v>
      </c>
      <c r="O126" s="163" t="n">
        <v>-0.0045222086862631</v>
      </c>
      <c r="P126" s="163" t="n">
        <v>-0.0161755805100463</v>
      </c>
      <c r="Q126" s="163" t="n">
        <v>8.724561096823032e-05</v>
      </c>
      <c r="R126" s="163" t="n">
        <v>-0.0002924648398477</v>
      </c>
      <c r="S126" s="163" t="n">
        <v>-0.00172908773118</v>
      </c>
      <c r="T126" s="163" t="n">
        <v>-0.0019665913265674</v>
      </c>
      <c r="U126" s="163" t="n">
        <v>0.0109125857240788</v>
      </c>
      <c r="V126" s="171" t="n">
        <v>-84.95676226964865</v>
      </c>
      <c r="W126" s="171" t="n">
        <v>-0.0233458756884796</v>
      </c>
      <c r="X126" s="171" t="n">
        <v>-7.553023680754956</v>
      </c>
      <c r="Y126" s="171" t="n">
        <v>118.5825675373002</v>
      </c>
      <c r="Z126" s="171" t="n">
        <v>-62.69663456442567</v>
      </c>
      <c r="AA126" s="171" t="n">
        <v>0.0110946757925926</v>
      </c>
      <c r="AB126" s="171" t="n">
        <v>36.62343663213802</v>
      </c>
      <c r="AC126" s="171" t="n">
        <v>0.0005192315303377</v>
      </c>
      <c r="AD126" s="171" t="n">
        <v>7.614647778414974e-05</v>
      </c>
      <c r="AE126" s="171" t="n">
        <v>-0.0004753202077441</v>
      </c>
      <c r="AF126" s="171" t="n">
        <v>0.0013218955341073</v>
      </c>
      <c r="AG126" s="171" t="n">
        <v>-4.393068978271673e-05</v>
      </c>
      <c r="AH126" s="171" t="n">
        <v>0.0010374692985379</v>
      </c>
      <c r="AI126" s="171" t="n">
        <v>-0.0002784776930757</v>
      </c>
      <c r="AJ126" s="171" t="n">
        <v>0</v>
      </c>
      <c r="AK126" s="171" t="n">
        <v>-0.0004523359691019</v>
      </c>
      <c r="AL126" s="171" t="n">
        <v>0.00216004187214</v>
      </c>
      <c r="AM126" s="171" t="n">
        <v>-0</v>
      </c>
      <c r="AN126" s="1" t="n">
        <v>-0.0141916483375228</v>
      </c>
      <c r="AO126" s="1" t="n">
        <v>9.30158727818764e-15</v>
      </c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64" t="inlineStr">
        <is>
          <t>2013-06</t>
        </is>
      </c>
      <c r="B127" s="163" t="n">
        <v>0.0329629753799025</v>
      </c>
      <c r="C127" s="163" t="n">
        <v>0.0398339119046872</v>
      </c>
      <c r="D127" s="163" t="n">
        <v>-0.0068709365247846</v>
      </c>
      <c r="E127" s="170" t="n">
        <v>1909.849333333333</v>
      </c>
      <c r="F127" s="170" t="n">
        <v>1923.01697207617</v>
      </c>
      <c r="G127" s="163" t="n">
        <v>0.0056651267225528</v>
      </c>
      <c r="H127" s="163" t="n">
        <v>0.0001169072984797</v>
      </c>
      <c r="I127" s="163" t="n">
        <v>0.0019963209973214</v>
      </c>
      <c r="J127" s="163" t="n">
        <v>0.0001379442362504</v>
      </c>
      <c r="K127" s="163" t="n">
        <v>-4.312167027198728e-06</v>
      </c>
      <c r="L127" s="163" t="n">
        <v>0.0016445757399679</v>
      </c>
      <c r="M127" s="163" t="n">
        <v>0.0040873482055705</v>
      </c>
      <c r="N127" s="163" t="n">
        <v>0.0123962813786445</v>
      </c>
      <c r="O127" s="163" t="n">
        <v>-0.0024774852442735</v>
      </c>
      <c r="P127" s="163" t="n">
        <v>0.0093202929523022</v>
      </c>
      <c r="Q127" s="163" t="n">
        <v>-0.0003136494404852</v>
      </c>
      <c r="R127" s="163" t="n">
        <v>-0.0004382756437525</v>
      </c>
      <c r="S127" s="163" t="n">
        <v>0.0013426666272511</v>
      </c>
      <c r="T127" s="163" t="n">
        <v>-0.0016049708403006</v>
      </c>
      <c r="U127" s="163" t="n">
        <v>0.0322157664515496</v>
      </c>
      <c r="V127" s="171" t="n">
        <v>-173.3298224747687</v>
      </c>
      <c r="W127" s="171" t="n">
        <v>-0.0538422740950461</v>
      </c>
      <c r="X127" s="171" t="n">
        <v>-34.49790185723773</v>
      </c>
      <c r="Y127" s="171" t="n">
        <v>260.7568174446682</v>
      </c>
      <c r="Z127" s="171" t="n">
        <v>-119.9715536622438</v>
      </c>
      <c r="AA127" s="171" t="n">
        <v>0.0192846974423027</v>
      </c>
      <c r="AB127" s="171" t="n">
        <v>67.05248953682442</v>
      </c>
      <c r="AC127" s="171" t="n">
        <v>-0.0003718855568474</v>
      </c>
      <c r="AD127" s="171" t="n">
        <v>0.00177527484485</v>
      </c>
      <c r="AE127" s="171" t="n">
        <v>0.0015550292958313</v>
      </c>
      <c r="AF127" s="171" t="n">
        <v>-0.0057043960435803</v>
      </c>
      <c r="AG127" s="171" t="n">
        <v>-5.068619743468547e-05</v>
      </c>
      <c r="AH127" s="171" t="n">
        <v>0.0027505656521932</v>
      </c>
      <c r="AI127" s="171" t="n">
        <v>0.0006365042761279</v>
      </c>
      <c r="AJ127" s="171" t="n">
        <v>2.977180470691802e-05</v>
      </c>
      <c r="AK127" s="171" t="n">
        <v>-0.0012010078506814</v>
      </c>
      <c r="AL127" s="171" t="n">
        <v>0.0008587938157907</v>
      </c>
      <c r="AM127" s="171" t="n">
        <v>-0</v>
      </c>
      <c r="AN127" s="1" t="n">
        <v>0.0398339119047172</v>
      </c>
      <c r="AO127" s="1" t="n">
        <v>-2.999683834659095e-14</v>
      </c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64" t="inlineStr">
        <is>
          <t>2013-07</t>
        </is>
      </c>
      <c r="B128" s="163" t="n">
        <v>-0.0043589145530562</v>
      </c>
      <c r="C128" s="163" t="n">
        <v>0.0015453481813389</v>
      </c>
      <c r="D128" s="163" t="n">
        <v>-0.0059042627343951</v>
      </c>
      <c r="E128" s="170" t="n">
        <v>1901.542580645161</v>
      </c>
      <c r="F128" s="170" t="n">
        <v>1912.802997158938</v>
      </c>
      <c r="G128" s="163" t="n">
        <v>0.0056651267225528</v>
      </c>
      <c r="H128" s="163" t="n">
        <v>0.0002458691790155</v>
      </c>
      <c r="I128" s="163" t="n">
        <v>0.0025323334853254</v>
      </c>
      <c r="J128" s="163" t="n">
        <v>6.897211812524765e-05</v>
      </c>
      <c r="K128" s="163" t="n">
        <v>-9.376795708042694e-06</v>
      </c>
      <c r="L128" s="163" t="n">
        <v>0.0012738761922152</v>
      </c>
      <c r="M128" s="163" t="n">
        <v>-0.0035074732667295</v>
      </c>
      <c r="N128" s="163" t="n">
        <v>-0.0029117970879662</v>
      </c>
      <c r="O128" s="163" t="n">
        <v>-0.001799303796589</v>
      </c>
      <c r="P128" s="163" t="n">
        <v>-0.0012854180263599</v>
      </c>
      <c r="Q128" s="163" t="n">
        <v>6.648828416616594e-05</v>
      </c>
      <c r="R128" s="163" t="n">
        <v>-0.0010556718961799</v>
      </c>
      <c r="S128" s="163" t="n">
        <v>-0.0033978582700674</v>
      </c>
      <c r="T128" s="163" t="n">
        <v>-0.0003561659899568</v>
      </c>
      <c r="U128" s="163" t="n">
        <v>0.0044979584510365</v>
      </c>
      <c r="V128" s="171" t="n">
        <v>-59.58659189775642</v>
      </c>
      <c r="W128" s="171" t="n">
        <v>-0.0131776429526068</v>
      </c>
      <c r="X128" s="171" t="n">
        <v>-3.077788606903175</v>
      </c>
      <c r="Y128" s="171" t="n">
        <v>197.9555345600197</v>
      </c>
      <c r="Z128" s="171" t="n">
        <v>-114.1925450691011</v>
      </c>
      <c r="AA128" s="171" t="n">
        <v>-0.0066110500235158</v>
      </c>
      <c r="AB128" s="171" t="n">
        <v>-21.07747636411929</v>
      </c>
      <c r="AC128" s="171" t="n">
        <v>0.0003482537224911</v>
      </c>
      <c r="AD128" s="171" t="n">
        <v>-0.0009983858309965</v>
      </c>
      <c r="AE128" s="171" t="n">
        <v>6.825747108597273e-05</v>
      </c>
      <c r="AF128" s="171" t="n">
        <v>0.0001667255628603</v>
      </c>
      <c r="AG128" s="171" t="n">
        <v>-0.0006880826091297</v>
      </c>
      <c r="AH128" s="171" t="n">
        <v>-0.001970735230841</v>
      </c>
      <c r="AI128" s="171" t="n">
        <v>0.0022404950519703</v>
      </c>
      <c r="AJ128" s="171" t="n">
        <v>-0.0001489585282419</v>
      </c>
      <c r="AK128" s="171" t="n">
        <v>0.0018001074405558</v>
      </c>
      <c r="AL128" s="171" t="n">
        <v>-0.0006438173349185</v>
      </c>
      <c r="AM128" s="171" t="n">
        <v>-0</v>
      </c>
      <c r="AN128" s="1" t="n">
        <v>0.0015453481813321</v>
      </c>
      <c r="AO128" s="1" t="n">
        <v>6.800116025829084e-15</v>
      </c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64" t="inlineStr">
        <is>
          <t>2013-08</t>
        </is>
      </c>
      <c r="B129" s="163" t="n">
        <v>0.0002953023456955</v>
      </c>
      <c r="C129" s="163" t="n">
        <v>0.0046335955971569</v>
      </c>
      <c r="D129" s="163" t="n">
        <v>-0.0043382932514614</v>
      </c>
      <c r="E129" s="170" t="n">
        <v>1902.104193548388</v>
      </c>
      <c r="F129" s="170" t="n">
        <v>1910.374004797641</v>
      </c>
      <c r="G129" s="163" t="n">
        <v>0.0056651267225528</v>
      </c>
      <c r="H129" s="163" t="n">
        <v>0.0001890585128611</v>
      </c>
      <c r="I129" s="163" t="n">
        <v>0.0029964573099543</v>
      </c>
      <c r="J129" s="163" t="n">
        <v>0</v>
      </c>
      <c r="K129" s="163" t="n">
        <v>-4.095976314300217e-05</v>
      </c>
      <c r="L129" s="163" t="n">
        <v>-0.0003399853143574</v>
      </c>
      <c r="M129" s="163" t="n">
        <v>0.0002766706137553</v>
      </c>
      <c r="N129" s="163" t="n">
        <v>0.0037328337998691</v>
      </c>
      <c r="O129" s="163" t="n">
        <v>-0.0040877843647999</v>
      </c>
      <c r="P129" s="163" t="n">
        <v>-0.0124375411952617</v>
      </c>
      <c r="Q129" s="163" t="n">
        <v>0.0002837021974437</v>
      </c>
      <c r="R129" s="163" t="n">
        <v>0.0002739870183835</v>
      </c>
      <c r="S129" s="163" t="n">
        <v>0.0034863531856936</v>
      </c>
      <c r="T129" s="163" t="n">
        <v>-0.0006228591123551</v>
      </c>
      <c r="U129" s="163" t="n">
        <v>0.0099416585884139</v>
      </c>
      <c r="V129" s="171" t="n">
        <v>-26.50017221536334</v>
      </c>
      <c r="W129" s="171" t="n">
        <v>-0.0118948842888419</v>
      </c>
      <c r="X129" s="171" t="n">
        <v>-6.420194752286216</v>
      </c>
      <c r="Y129" s="171" t="n">
        <v>108.7012713246293</v>
      </c>
      <c r="Z129" s="171" t="n">
        <v>-57.97704163717201</v>
      </c>
      <c r="AA129" s="171" t="n">
        <v>0.000464703809779</v>
      </c>
      <c r="AB129" s="171" t="n">
        <v>-17.79456727609275</v>
      </c>
      <c r="AC129" s="171" t="n">
        <v>-0.0002037874143507</v>
      </c>
      <c r="AD129" s="171" t="n">
        <v>0.0002129296971408</v>
      </c>
      <c r="AE129" s="171" t="n">
        <v>-0.0005609523078338</v>
      </c>
      <c r="AF129" s="171" t="n">
        <v>0.0021936320484916</v>
      </c>
      <c r="AG129" s="171" t="n">
        <v>-0.0004417486728577</v>
      </c>
      <c r="AH129" s="171" t="n">
        <v>-0.0025877274012044</v>
      </c>
      <c r="AI129" s="171" t="n">
        <v>0.0008844297639494</v>
      </c>
      <c r="AJ129" s="171" t="n">
        <v>0.0002233445793303</v>
      </c>
      <c r="AK129" s="171" t="n">
        <v>-0.003340611455974</v>
      </c>
      <c r="AL129" s="171" t="n">
        <v>0.0010721053255589</v>
      </c>
      <c r="AM129" s="171" t="n">
        <v>-0</v>
      </c>
      <c r="AN129" s="1" t="n">
        <v>0.0046335955971545</v>
      </c>
      <c r="AO129" s="1" t="n">
        <v>2.399989929013913e-15</v>
      </c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64" t="inlineStr">
        <is>
          <t>2013-09</t>
        </is>
      </c>
      <c r="B130" s="163" t="n">
        <v>0.0091104170542442</v>
      </c>
      <c r="C130" s="163" t="n">
        <v>-0.0013107129877678</v>
      </c>
      <c r="D130" s="163" t="n">
        <v>0.010421130042012</v>
      </c>
      <c r="E130" s="170" t="n">
        <v>1919.512333333333</v>
      </c>
      <c r="F130" s="170" t="n">
        <v>1899.612714041781</v>
      </c>
      <c r="G130" s="163" t="n">
        <v>0.0056651267225528</v>
      </c>
      <c r="H130" s="163" t="n">
        <v>-0.000170597234747</v>
      </c>
      <c r="I130" s="163" t="n">
        <v>0.0011819574126141</v>
      </c>
      <c r="J130" s="163" t="n">
        <v>3.448605906262306e-05</v>
      </c>
      <c r="K130" s="163" t="n">
        <v>1.782794827900785e-06</v>
      </c>
      <c r="L130" s="163" t="n">
        <v>-0.0005285334357967</v>
      </c>
      <c r="M130" s="163" t="n">
        <v>0.000552352463441</v>
      </c>
      <c r="N130" s="163" t="n">
        <v>-0.0004372847542516</v>
      </c>
      <c r="O130" s="163" t="n">
        <v>-0.0032375674622866</v>
      </c>
      <c r="P130" s="163" t="n">
        <v>0.0116031305116</v>
      </c>
      <c r="Q130" s="163" t="n">
        <v>-0.0002201865312227</v>
      </c>
      <c r="R130" s="163" t="n">
        <v>-5.801803952015064e-05</v>
      </c>
      <c r="S130" s="163" t="n">
        <v>-0.0029852304357842</v>
      </c>
      <c r="T130" s="163" t="n">
        <v>-0.0020426825588793</v>
      </c>
      <c r="U130" s="163" t="n">
        <v>-0.0082382342633904</v>
      </c>
      <c r="V130" s="171" t="n">
        <v>-31.80037813064294</v>
      </c>
      <c r="W130" s="171" t="n">
        <v>-0.0157429649907002</v>
      </c>
      <c r="X130" s="171" t="n">
        <v>-19.78857309737342</v>
      </c>
      <c r="Y130" s="171" t="n">
        <v>50.65479243727702</v>
      </c>
      <c r="Z130" s="171" t="n">
        <v>-10.21609067615944</v>
      </c>
      <c r="AA130" s="171" t="n">
        <v>0.008750730202608199</v>
      </c>
      <c r="AB130" s="171" t="n">
        <v>11.15731939838502</v>
      </c>
      <c r="AC130" s="171" t="n">
        <v>-0.0003448538595294</v>
      </c>
      <c r="AD130" s="171" t="n">
        <v>-0.0001373475206742</v>
      </c>
      <c r="AE130" s="171" t="n">
        <v>4.591866236692891e-05</v>
      </c>
      <c r="AF130" s="171" t="n">
        <v>-8.574457518534231e-05</v>
      </c>
      <c r="AG130" s="171" t="n">
        <v>-4.101815903195998e-05</v>
      </c>
      <c r="AH130" s="171" t="n">
        <v>0.00062999510061</v>
      </c>
      <c r="AI130" s="171" t="n">
        <v>1.516294631131306e-05</v>
      </c>
      <c r="AJ130" s="171" t="n">
        <v>0.0001337387115841</v>
      </c>
      <c r="AK130" s="171" t="n">
        <v>-0.0029386301189119</v>
      </c>
      <c r="AL130" s="171" t="n">
        <v>0.0002138678783415</v>
      </c>
      <c r="AM130" s="171" t="n">
        <v>-0</v>
      </c>
      <c r="AN130" s="1" t="n">
        <v>-0.0013107129877658</v>
      </c>
      <c r="AO130" s="1" t="n">
        <v>-1.999919327366761e-15</v>
      </c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64" t="inlineStr">
        <is>
          <t>2013-10</t>
        </is>
      </c>
      <c r="B131" s="163" t="n">
        <v>-0.0180736922094082</v>
      </c>
      <c r="C131" s="163" t="n">
        <v>0.0010956561542495</v>
      </c>
      <c r="D131" s="163" t="n">
        <v>-0.0191693483636577</v>
      </c>
      <c r="E131" s="170" t="n">
        <v>1885.131290322581</v>
      </c>
      <c r="F131" s="170" t="n">
        <v>1921.616611406609</v>
      </c>
      <c r="G131" s="163" t="n">
        <v>0.0056651267225528</v>
      </c>
      <c r="H131" s="163" t="n">
        <v>-6.286240803752482e-05</v>
      </c>
      <c r="I131" s="163" t="n">
        <v>0.0018911836604461</v>
      </c>
      <c r="J131" s="163" t="n">
        <v>0</v>
      </c>
      <c r="K131" s="163" t="n">
        <v>2.135784005967099e-05</v>
      </c>
      <c r="L131" s="163" t="n">
        <v>-0.002114931379221</v>
      </c>
      <c r="M131" s="163" t="n">
        <v>0.0007877389435305</v>
      </c>
      <c r="N131" s="163" t="n">
        <v>-0.0028001810762955</v>
      </c>
      <c r="O131" s="163" t="n">
        <v>-0.0054311401027508</v>
      </c>
      <c r="P131" s="163" t="n">
        <v>-0.0077280252273989</v>
      </c>
      <c r="Q131" s="163" t="n">
        <v>0.0002397508352154</v>
      </c>
      <c r="R131" s="163" t="n">
        <v>0.0003736072620713</v>
      </c>
      <c r="S131" s="163" t="n">
        <v>-0.0012698856912679</v>
      </c>
      <c r="T131" s="163" t="n">
        <v>0.001864823542318</v>
      </c>
      <c r="U131" s="163" t="n">
        <v>-0.007867816764378401</v>
      </c>
      <c r="V131" s="171" t="n">
        <v>67.26397417469325</v>
      </c>
      <c r="W131" s="171" t="n">
        <v>0.0233326936515147</v>
      </c>
      <c r="X131" s="171" t="n">
        <v>28.47442570659715</v>
      </c>
      <c r="Y131" s="171" t="n">
        <v>-135.7643813918383</v>
      </c>
      <c r="Z131" s="171" t="n">
        <v>51.95291334094115</v>
      </c>
      <c r="AA131" s="171" t="n">
        <v>-0.0009978365322068001</v>
      </c>
      <c r="AB131" s="171" t="n">
        <v>-11.93447455238253</v>
      </c>
      <c r="AC131" s="171" t="n">
        <v>-0.000547898134435</v>
      </c>
      <c r="AD131" s="171" t="n">
        <v>-0.0003584168368191</v>
      </c>
      <c r="AE131" s="171" t="n">
        <v>-0.0009431941459152</v>
      </c>
      <c r="AF131" s="171" t="n">
        <v>0.0016077107847251</v>
      </c>
      <c r="AG131" s="171" t="n">
        <v>0.0003302554007946</v>
      </c>
      <c r="AH131" s="171" t="n">
        <v>0.0025682520532317</v>
      </c>
      <c r="AI131" s="171" t="n">
        <v>-0.000335847945164</v>
      </c>
      <c r="AJ131" s="171" t="n">
        <v>0.0001705969615906</v>
      </c>
      <c r="AK131" s="171" t="n">
        <v>0.0004571846077371</v>
      </c>
      <c r="AL131" s="171" t="n">
        <v>-0.0002138678783415</v>
      </c>
      <c r="AM131" s="171" t="n">
        <v>-0</v>
      </c>
      <c r="AN131" s="1" t="n">
        <v>0.0010956561542432</v>
      </c>
      <c r="AO131" s="1" t="n">
        <v>6.300081983878769e-15</v>
      </c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64" t="inlineStr">
        <is>
          <t>2013-11</t>
        </is>
      </c>
      <c r="B132" s="163" t="n">
        <v>0.0192403218100016</v>
      </c>
      <c r="C132" s="163" t="n">
        <v>0.0204934974107494</v>
      </c>
      <c r="D132" s="163" t="n">
        <v>-0.0012531756007477</v>
      </c>
      <c r="E132" s="170" t="n">
        <v>1921.753</v>
      </c>
      <c r="F132" s="170" t="n">
        <v>1924.162803608432</v>
      </c>
      <c r="G132" s="163" t="n">
        <v>0.0056651267225528</v>
      </c>
      <c r="H132" s="163" t="n">
        <v>-9.759378784934034e-05</v>
      </c>
      <c r="I132" s="163" t="n">
        <v>0.0006720925451053999</v>
      </c>
      <c r="J132" s="163" t="n">
        <v>-3.448605906262306e-05</v>
      </c>
      <c r="K132" s="163" t="n">
        <v>-1.095558275512324e-05</v>
      </c>
      <c r="L132" s="163" t="n">
        <v>0.0019049350750051</v>
      </c>
      <c r="M132" s="163" t="n">
        <v>-0.00291085029688</v>
      </c>
      <c r="N132" s="163" t="n">
        <v>0.0032897956429541</v>
      </c>
      <c r="O132" s="163" t="n">
        <v>-0.0012570854663444</v>
      </c>
      <c r="P132" s="163" t="n">
        <v>-0.0095239015166893</v>
      </c>
      <c r="Q132" s="163" t="n">
        <v>-0.0001374216665459</v>
      </c>
      <c r="R132" s="163" t="n">
        <v>7.628825864271891e-05</v>
      </c>
      <c r="S132" s="163" t="n">
        <v>-0.0011027474703417</v>
      </c>
      <c r="T132" s="163" t="n">
        <v>0.0015132296053675</v>
      </c>
      <c r="U132" s="163" t="n">
        <v>0.013970520273596</v>
      </c>
      <c r="V132" s="171" t="n">
        <v>-34.08267320448217</v>
      </c>
      <c r="W132" s="171" t="n">
        <v>-0.0027682277626349</v>
      </c>
      <c r="X132" s="171" t="n">
        <v>13.19805936427599</v>
      </c>
      <c r="Y132" s="171" t="n">
        <v>71.89011176443704</v>
      </c>
      <c r="Z132" s="171" t="n">
        <v>-55.79173716557373</v>
      </c>
      <c r="AA132" s="171" t="n">
        <v>0.0024624195283016</v>
      </c>
      <c r="AB132" s="171" t="n">
        <v>4.782932822764783</v>
      </c>
      <c r="AC132" s="171" t="n">
        <v>0.0011904908126704</v>
      </c>
      <c r="AD132" s="171" t="n">
        <v>-0.0004116321610644</v>
      </c>
      <c r="AE132" s="171" t="n">
        <v>-0.0011827158171806</v>
      </c>
      <c r="AF132" s="171" t="n">
        <v>0.0031939854256539</v>
      </c>
      <c r="AG132" s="171" t="n">
        <v>0.0001714205282191</v>
      </c>
      <c r="AH132" s="171" t="n">
        <v>0.0018481169490178</v>
      </c>
      <c r="AI132" s="171" t="n">
        <v>0.0033940105347877</v>
      </c>
      <c r="AJ132" s="171" t="n">
        <v>0.0001554779021106</v>
      </c>
      <c r="AK132" s="171" t="n">
        <v>-0.001353145512457</v>
      </c>
      <c r="AL132" s="171" t="n">
        <v>0.0050827692846684</v>
      </c>
      <c r="AM132" s="171" t="n">
        <v>-0</v>
      </c>
      <c r="AN132" s="1" t="n">
        <v>0.0204934974107494</v>
      </c>
      <c r="AO132" s="1" t="n">
        <v>0</v>
      </c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64" t="inlineStr">
        <is>
          <t>2013-12</t>
        </is>
      </c>
      <c r="B133" s="163" t="n">
        <v>0.0058127138526771</v>
      </c>
      <c r="C133" s="163" t="n">
        <v>0.007986670283915399</v>
      </c>
      <c r="D133" s="163" t="n">
        <v>-0.0021739564312383</v>
      </c>
      <c r="E133" s="170" t="n">
        <v>1932.956129032258</v>
      </c>
      <c r="F133" s="170" t="n">
        <v>1937.162862411028</v>
      </c>
      <c r="G133" s="163" t="n">
        <v>0.0056651267225528</v>
      </c>
      <c r="H133" s="163" t="n">
        <v>4.004472124795541e-05</v>
      </c>
      <c r="I133" s="163" t="n">
        <v>0.001519299518302</v>
      </c>
      <c r="J133" s="163" t="n">
        <v>3.448605906262306e-05</v>
      </c>
      <c r="K133" s="163" t="n">
        <v>3.901390729105595e-06</v>
      </c>
      <c r="L133" s="163" t="n">
        <v>0.0003473993873159</v>
      </c>
      <c r="M133" s="163" t="n">
        <v>0.0015502149080364</v>
      </c>
      <c r="N133" s="163" t="n">
        <v>-0.0016817719021836</v>
      </c>
      <c r="O133" s="163" t="n">
        <v>-0.0006830633805956</v>
      </c>
      <c r="P133" s="163" t="n">
        <v>0.0134159307671589</v>
      </c>
      <c r="Q133" s="163" t="n">
        <v>-0.0003330671678225</v>
      </c>
      <c r="R133" s="163" t="n">
        <v>-0.0001187610451444</v>
      </c>
      <c r="S133" s="163" t="n">
        <v>-0.0014086905032021</v>
      </c>
      <c r="T133" s="163" t="n">
        <v>-0.0018688134783935</v>
      </c>
      <c r="U133" s="163" t="n">
        <v>0.0013541144640314</v>
      </c>
      <c r="V133" s="171" t="n">
        <v>-54.49272420477985</v>
      </c>
      <c r="W133" s="171" t="n">
        <v>-0.0281970312875944</v>
      </c>
      <c r="X133" s="171" t="n">
        <v>-15.08610757839058</v>
      </c>
      <c r="Y133" s="171" t="n">
        <v>128.6742533073738</v>
      </c>
      <c r="Z133" s="171" t="n">
        <v>-61.13867034988328</v>
      </c>
      <c r="AA133" s="171" t="n">
        <v>0.008542379483498499</v>
      </c>
      <c r="AB133" s="171" t="n">
        <v>2.05717540764067</v>
      </c>
      <c r="AC133" s="171" t="n">
        <v>-0.0003309199949326</v>
      </c>
      <c r="AD133" s="171" t="n">
        <v>5.278782324717496e-05</v>
      </c>
      <c r="AE133" s="171" t="n">
        <v>-0.0004616687135269</v>
      </c>
      <c r="AF133" s="171" t="n">
        <v>0.0015696020846427</v>
      </c>
      <c r="AG133" s="171" t="n">
        <v>-0.0003925135167013</v>
      </c>
      <c r="AH133" s="171" t="n">
        <v>-0.0036320238492653</v>
      </c>
      <c r="AI133" s="171" t="n">
        <v>0.0029288249207145</v>
      </c>
      <c r="AJ133" s="171" t="n">
        <v>4.437250863825128e-05</v>
      </c>
      <c r="AK133" s="171" t="n">
        <v>-0.0011597996047771</v>
      </c>
      <c r="AL133" s="171" t="n">
        <v>-0.0027402719918311</v>
      </c>
      <c r="AM133" s="171" t="n">
        <v>-0</v>
      </c>
      <c r="AN133" s="1" t="n">
        <v>0.007986670283915399</v>
      </c>
      <c r="AO133" s="1" t="n">
        <v>0</v>
      </c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64" t="inlineStr">
        <is>
          <t>2014-01</t>
        </is>
      </c>
      <c r="B134" s="163" t="n">
        <v>0.0125088759691207</v>
      </c>
      <c r="C134" s="163" t="n">
        <v>0.0040047348153661</v>
      </c>
      <c r="D134" s="163" t="n">
        <v>0.008504141153754601</v>
      </c>
      <c r="E134" s="170" t="n">
        <v>1957.287096774193</v>
      </c>
      <c r="F134" s="170" t="n">
        <v>1940.712626730464</v>
      </c>
      <c r="G134" s="163" t="n">
        <v>0.0056651267225528</v>
      </c>
      <c r="H134" s="163" t="n">
        <v>-0.000483025223966</v>
      </c>
      <c r="I134" s="163" t="n">
        <v>0.0025432859857325</v>
      </c>
      <c r="J134" s="163" t="n">
        <v>-3.448605906262306e-05</v>
      </c>
      <c r="K134" s="163" t="n">
        <v>0.0001149502353544</v>
      </c>
      <c r="L134" s="163" t="n">
        <v>0.0020047213463164</v>
      </c>
      <c r="M134" s="163" t="n">
        <v>5.657315629866625e-05</v>
      </c>
      <c r="N134" s="163" t="n">
        <v>0.0013883483663482</v>
      </c>
      <c r="O134" s="163" t="n">
        <v>-0.0011777115629747</v>
      </c>
      <c r="P134" s="163" t="n">
        <v>-0.012582036010789</v>
      </c>
      <c r="Q134" s="163" t="n">
        <v>0.0002207312955578</v>
      </c>
      <c r="R134" s="163" t="n">
        <v>-0.0003096587949874</v>
      </c>
      <c r="S134" s="163" t="n">
        <v>-0.0005153551013126</v>
      </c>
      <c r="T134" s="163" t="n">
        <v>-0.0034576035480648</v>
      </c>
      <c r="U134" s="163" t="n">
        <v>0.0081456134319647</v>
      </c>
      <c r="V134" s="171" t="n">
        <v>30.48375736866226</v>
      </c>
      <c r="W134" s="171" t="n">
        <v>-0.0001859838948674</v>
      </c>
      <c r="X134" s="171" t="n">
        <v>-22.35332770110133</v>
      </c>
      <c r="Y134" s="171" t="n">
        <v>-30.7168753807662</v>
      </c>
      <c r="Z134" s="171" t="n">
        <v>40.55276986172946</v>
      </c>
      <c r="AA134" s="171" t="n">
        <v>-0.0070042609394826</v>
      </c>
      <c r="AB134" s="171" t="n">
        <v>-17.9602841839303</v>
      </c>
      <c r="AC134" s="171" t="n">
        <v>0.0001181591717814</v>
      </c>
      <c r="AD134" s="171" t="n">
        <v>3.613238436063536e-05</v>
      </c>
      <c r="AE134" s="171" t="n">
        <v>0.0001787104697523</v>
      </c>
      <c r="AF134" s="171" t="n">
        <v>0.0001548165940846</v>
      </c>
      <c r="AG134" s="171" t="n">
        <v>0.0003488320443608</v>
      </c>
      <c r="AH134" s="171" t="n">
        <v>0.0016192002327137</v>
      </c>
      <c r="AI134" s="171" t="n">
        <v>0.0022727446019607</v>
      </c>
      <c r="AJ134" s="171" t="n">
        <v>-1.478838286306032e-05</v>
      </c>
      <c r="AK134" s="171" t="n">
        <v>0.0020615454027597</v>
      </c>
      <c r="AL134" s="171" t="n">
        <v>-0.0031998117020538</v>
      </c>
      <c r="AM134" s="171" t="n">
        <v>-0</v>
      </c>
      <c r="AN134" s="1" t="n">
        <v>0.0040047348153639</v>
      </c>
      <c r="AO134" s="1" t="n">
        <v>2.20049672927658e-15</v>
      </c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64" t="inlineStr">
        <is>
          <t>2014-02</t>
        </is>
      </c>
      <c r="B135" s="163" t="n">
        <v>0.0406511839497119</v>
      </c>
      <c r="C135" s="163" t="n">
        <v>0.0029099603222885</v>
      </c>
      <c r="D135" s="163" t="n">
        <v>0.0377412236274233</v>
      </c>
      <c r="E135" s="170" t="n">
        <v>2038.492500000001</v>
      </c>
      <c r="F135" s="170" t="n">
        <v>1962.99101963473</v>
      </c>
      <c r="G135" s="163" t="n">
        <v>0.0056651267225528</v>
      </c>
      <c r="H135" s="163" t="n">
        <v>2.208260595801871e-05</v>
      </c>
      <c r="I135" s="163" t="n">
        <v>0.0010346507454969</v>
      </c>
      <c r="J135" s="163" t="n">
        <v>6.897211812524765e-05</v>
      </c>
      <c r="K135" s="163" t="n">
        <v>-6.371256271582494e-06</v>
      </c>
      <c r="L135" s="163" t="n">
        <v>0.000387212705003</v>
      </c>
      <c r="M135" s="163" t="n">
        <v>0.0013707458202845</v>
      </c>
      <c r="N135" s="163" t="n">
        <v>0.001712644137839</v>
      </c>
      <c r="O135" s="163" t="n">
        <v>-0.0004236702455669</v>
      </c>
      <c r="P135" s="163" t="n">
        <v>0.008711946929439799</v>
      </c>
      <c r="Q135" s="163" t="n">
        <v>-0.0001239051675244</v>
      </c>
      <c r="R135" s="163" t="n">
        <v>-0.0001974562372382</v>
      </c>
      <c r="S135" s="163" t="n">
        <v>-0.0030727547179616</v>
      </c>
      <c r="T135" s="163" t="n">
        <v>-0.004408234456649</v>
      </c>
      <c r="U135" s="163" t="n">
        <v>0.0044445092878082</v>
      </c>
      <c r="V135" s="171" t="n">
        <v>22.80580351770248</v>
      </c>
      <c r="W135" s="171" t="n">
        <v>0.0163059258493491</v>
      </c>
      <c r="X135" s="171" t="n">
        <v>27.81932074869642</v>
      </c>
      <c r="Y135" s="171" t="n">
        <v>-104.2339997224491</v>
      </c>
      <c r="Z135" s="171" t="n">
        <v>33.92622873587584</v>
      </c>
      <c r="AA135" s="171" t="n">
        <v>-0.0036880119936529</v>
      </c>
      <c r="AB135" s="171" t="n">
        <v>19.66316827136639</v>
      </c>
      <c r="AC135" s="171" t="n">
        <v>0.0002632497170557</v>
      </c>
      <c r="AD135" s="171" t="n">
        <v>-0.0001163315716069</v>
      </c>
      <c r="AE135" s="171" t="n">
        <v>-4.964179715345826e-06</v>
      </c>
      <c r="AF135" s="171" t="n">
        <v>9.527175020593472e-05</v>
      </c>
      <c r="AG135" s="171" t="n">
        <v>-0.0001043801662624</v>
      </c>
      <c r="AH135" s="171" t="n">
        <v>-0.0037806876885941</v>
      </c>
      <c r="AI135" s="171" t="n">
        <v>-0.0016426902358309</v>
      </c>
      <c r="AJ135" s="171" t="n">
        <v>0.0001920579328375</v>
      </c>
      <c r="AK135" s="171" t="n">
        <v>-0.0043627202321438</v>
      </c>
      <c r="AL135" s="171" t="n">
        <v>0.0040461909572782</v>
      </c>
      <c r="AM135" s="171" t="n">
        <v>-0</v>
      </c>
      <c r="AN135" s="1" t="n">
        <v>0.0029099603222928</v>
      </c>
      <c r="AO135" s="1" t="n">
        <v>-4.299945816077511e-15</v>
      </c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64" t="inlineStr">
        <is>
          <t>2014-03</t>
        </is>
      </c>
      <c r="B136" s="163" t="n">
        <v>-0.0092550301823024</v>
      </c>
      <c r="C136" s="163" t="n">
        <v>-0.0110571722602738</v>
      </c>
      <c r="D136" s="163" t="n">
        <v>0.0018021420779713</v>
      </c>
      <c r="E136" s="170" t="n">
        <v>2019.713225806452</v>
      </c>
      <c r="F136" s="170" t="n">
        <v>2016.076693375049</v>
      </c>
      <c r="G136" s="163" t="n">
        <v>0.0056651267225528</v>
      </c>
      <c r="H136" s="163" t="n">
        <v>0.0002445365816061</v>
      </c>
      <c r="I136" s="163" t="n">
        <v>0.0005737006702045</v>
      </c>
      <c r="J136" s="163" t="n">
        <v>0</v>
      </c>
      <c r="K136" s="163" t="n">
        <v>-1.412208974402539e-05</v>
      </c>
      <c r="L136" s="163" t="n">
        <v>-0.0004385010267994</v>
      </c>
      <c r="M136" s="163" t="n">
        <v>-0.000692172421809</v>
      </c>
      <c r="N136" s="163" t="n">
        <v>-0.0031924193028754</v>
      </c>
      <c r="O136" s="163" t="n">
        <v>-0.0017159308507654</v>
      </c>
      <c r="P136" s="163" t="n">
        <v>0.002947579006369</v>
      </c>
      <c r="Q136" s="163" t="n">
        <v>4.367449456578058e-05</v>
      </c>
      <c r="R136" s="163" t="n">
        <v>-8.799312002335692e-05</v>
      </c>
      <c r="S136" s="163" t="n">
        <v>0.0024563273614782</v>
      </c>
      <c r="T136" s="163" t="n">
        <v>-0.0028069150533965</v>
      </c>
      <c r="U136" s="163" t="n">
        <v>-0.002964585465523</v>
      </c>
      <c r="V136" s="171" t="n">
        <v>-1.031405324503635</v>
      </c>
      <c r="W136" s="171" t="n">
        <v>-0.011795677255091</v>
      </c>
      <c r="X136" s="171" t="n">
        <v>-29.9952495815968</v>
      </c>
      <c r="Y136" s="171" t="n">
        <v>9.7199975519957</v>
      </c>
      <c r="Z136" s="171" t="n">
        <v>24.2377686070412</v>
      </c>
      <c r="AA136" s="171" t="n">
        <v>-0.0002992488269565</v>
      </c>
      <c r="AB136" s="171" t="n">
        <v>-2.928617767821956</v>
      </c>
      <c r="AC136" s="171" t="n">
        <v>-0.0002378529265171</v>
      </c>
      <c r="AD136" s="171" t="n">
        <v>-0.0001276517980369</v>
      </c>
      <c r="AE136" s="171" t="n">
        <v>-0.000173746290037</v>
      </c>
      <c r="AF136" s="171" t="n">
        <v>-0.0006073574075628</v>
      </c>
      <c r="AG136" s="171" t="n">
        <v>0.0001898565321857</v>
      </c>
      <c r="AH136" s="171" t="n">
        <v>0.0007025215570586</v>
      </c>
      <c r="AI136" s="171" t="n">
        <v>0.0002927353888609</v>
      </c>
      <c r="AJ136" s="171" t="n">
        <v>8.850279065895226e-05</v>
      </c>
      <c r="AK136" s="171" t="n">
        <v>-0.0055824937623268</v>
      </c>
      <c r="AL136" s="171" t="n">
        <v>0.0039814491171493</v>
      </c>
      <c r="AM136" s="171" t="n">
        <v>-0</v>
      </c>
      <c r="AN136" s="1" t="n">
        <v>-0.0110571722602687</v>
      </c>
      <c r="AO136" s="1" t="n">
        <v>-5.100087019371813e-15</v>
      </c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64" t="inlineStr">
        <is>
          <t>2014-04</t>
        </is>
      </c>
      <c r="B137" s="163" t="n">
        <v>-0.0411131072140413</v>
      </c>
      <c r="C137" s="163" t="n">
        <v>-0.0243118248762862</v>
      </c>
      <c r="D137" s="163" t="n">
        <v>-0.0168012823377551</v>
      </c>
      <c r="E137" s="170" t="n">
        <v>1938.360333333333</v>
      </c>
      <c r="F137" s="170" t="n">
        <v>1971.202394376475</v>
      </c>
      <c r="G137" s="163" t="n">
        <v>0.0056651267225528</v>
      </c>
      <c r="H137" s="163" t="n">
        <v>-0.0002157825475689</v>
      </c>
      <c r="I137" s="163" t="n">
        <v>0.0002010667102306</v>
      </c>
      <c r="J137" s="163" t="n">
        <v>-3.448605906262459e-05</v>
      </c>
      <c r="K137" s="163" t="n">
        <v>-3.139857635257953e-06</v>
      </c>
      <c r="L137" s="163" t="n">
        <v>-0.0009568489970943</v>
      </c>
      <c r="M137" s="163" t="n">
        <v>-0.000728480848591</v>
      </c>
      <c r="N137" s="163" t="n">
        <v>-0.0042284894393244</v>
      </c>
      <c r="O137" s="163" t="n">
        <v>-0.0014629155717794</v>
      </c>
      <c r="P137" s="163" t="n">
        <v>-0.007685819431227</v>
      </c>
      <c r="Q137" s="163" t="n">
        <v>0.0001271374553337</v>
      </c>
      <c r="R137" s="163" t="n">
        <v>0.0002189270914411</v>
      </c>
      <c r="S137" s="163" t="n">
        <v>-0.0008530532656216</v>
      </c>
      <c r="T137" s="163" t="n">
        <v>-0.0032316658212476</v>
      </c>
      <c r="U137" s="163" t="n">
        <v>-0.0108579292079892</v>
      </c>
      <c r="V137" s="171" t="n">
        <v>3.674363606855898</v>
      </c>
      <c r="W137" s="171" t="n">
        <v>-0.0029293415477618</v>
      </c>
      <c r="X137" s="171" t="n">
        <v>-7.516882823851111</v>
      </c>
      <c r="Y137" s="171" t="n">
        <v>-12.68649031137119</v>
      </c>
      <c r="Z137" s="171" t="n">
        <v>15.03539331314402</v>
      </c>
      <c r="AA137" s="171" t="n">
        <v>-0.0032100309321659</v>
      </c>
      <c r="AB137" s="171" t="n">
        <v>1.497166546671805</v>
      </c>
      <c r="AC137" s="171" t="n">
        <v>7.377516841889587e-05</v>
      </c>
      <c r="AD137" s="171" t="n">
        <v>-3.685058603746782e-05</v>
      </c>
      <c r="AE137" s="171" t="n">
        <v>0.0002109776379021</v>
      </c>
      <c r="AF137" s="171" t="n">
        <v>-0.0017268004724825</v>
      </c>
      <c r="AG137" s="171" t="n">
        <v>-3.682883496694413e-05</v>
      </c>
      <c r="AH137" s="171" t="n">
        <v>-0.0014610892884089</v>
      </c>
      <c r="AI137" s="171" t="n">
        <v>0.0047300471549197</v>
      </c>
      <c r="AJ137" s="171" t="n">
        <v>9.577899747527117e-05</v>
      </c>
      <c r="AK137" s="171" t="n">
        <v>-0.0005626878307048</v>
      </c>
      <c r="AL137" s="171" t="n">
        <v>0.0010372472756907</v>
      </c>
      <c r="AM137" s="171" t="n">
        <v>-0</v>
      </c>
      <c r="AN137" s="1" t="n">
        <v>-0.0243118248762834</v>
      </c>
      <c r="AO137" s="1" t="n">
        <v>-2.799843690226567e-15</v>
      </c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64" t="inlineStr">
        <is>
          <t>2014-05</t>
        </is>
      </c>
      <c r="B138" s="163" t="n">
        <v>-0.011936326924113</v>
      </c>
      <c r="C138" s="163" t="n">
        <v>-0.000171066029171</v>
      </c>
      <c r="D138" s="163" t="n">
        <v>-0.011765260894942</v>
      </c>
      <c r="E138" s="170" t="n">
        <v>1915.360967741935</v>
      </c>
      <c r="F138" s="170" t="n">
        <v>1938.028774088077</v>
      </c>
      <c r="G138" s="163" t="n">
        <v>0.0056651267225528</v>
      </c>
      <c r="H138" s="163" t="n">
        <v>-0.0005570961475694</v>
      </c>
      <c r="I138" s="163" t="n">
        <v>-0.0031346445165145</v>
      </c>
      <c r="J138" s="163" t="n">
        <v>5.172908859393613e-05</v>
      </c>
      <c r="K138" s="163" t="n">
        <v>-2.264668656988673e-05</v>
      </c>
      <c r="L138" s="163" t="n">
        <v>-0.0007023899090205</v>
      </c>
      <c r="M138" s="163" t="n">
        <v>-0.002142071262348</v>
      </c>
      <c r="N138" s="163" t="n">
        <v>-0.0020968014488598</v>
      </c>
      <c r="O138" s="163" t="n">
        <v>-0.0018407118976199</v>
      </c>
      <c r="P138" s="163" t="n">
        <v>0.007070398673948</v>
      </c>
      <c r="Q138" s="163" t="n">
        <v>6.5238666249788e-06</v>
      </c>
      <c r="R138" s="163" t="n">
        <v>0.0002926101656251</v>
      </c>
      <c r="S138" s="163" t="n">
        <v>0.0003411179065466</v>
      </c>
      <c r="T138" s="163" t="n">
        <v>-0.0033904364644288</v>
      </c>
      <c r="U138" s="163" t="n">
        <v>-0.004240342400271</v>
      </c>
      <c r="V138" s="171" t="n">
        <v>49.94470970376838</v>
      </c>
      <c r="W138" s="171" t="n">
        <v>0.022969748233747</v>
      </c>
      <c r="X138" s="171" t="n">
        <v>11.67100430705152</v>
      </c>
      <c r="Y138" s="171" t="n">
        <v>-102.522831322242</v>
      </c>
      <c r="Z138" s="171" t="n">
        <v>49.06548632998929</v>
      </c>
      <c r="AA138" s="171" t="n">
        <v>-0.012985152170397</v>
      </c>
      <c r="AB138" s="171" t="n">
        <v>-8.162986305041153</v>
      </c>
      <c r="AC138" s="171" t="n">
        <v>5.939542015492573e-05</v>
      </c>
      <c r="AD138" s="171" t="n">
        <v>-0.0002725917364377</v>
      </c>
      <c r="AE138" s="171" t="n">
        <v>-0.000166300020464</v>
      </c>
      <c r="AF138" s="171" t="n">
        <v>-0.0005049402760914</v>
      </c>
      <c r="AG138" s="171" t="n">
        <v>-0.0002375248045309</v>
      </c>
      <c r="AH138" s="171" t="n">
        <v>0.0019934058755021</v>
      </c>
      <c r="AI138" s="171" t="n">
        <v>-0.0006070836340313</v>
      </c>
      <c r="AJ138" s="171" t="n">
        <v>8.096348708925893e-05</v>
      </c>
      <c r="AK138" s="171" t="n">
        <v>-0.0022170071665293</v>
      </c>
      <c r="AL138" s="171" t="n">
        <v>0.0010329415460901</v>
      </c>
      <c r="AM138" s="171" t="n">
        <v>-0</v>
      </c>
      <c r="AN138" s="1" t="n">
        <v>-0.0001710660291623</v>
      </c>
      <c r="AO138" s="1" t="n">
        <v>-8.699990597729745e-15</v>
      </c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64" t="inlineStr">
        <is>
          <t>2014-06</t>
        </is>
      </c>
      <c r="B139" s="163" t="n">
        <v>-0.0148969892311239</v>
      </c>
      <c r="C139" s="163" t="n">
        <v>-0.008732746684401301</v>
      </c>
      <c r="D139" s="163" t="n">
        <v>-0.0061642425467225</v>
      </c>
      <c r="E139" s="170" t="n">
        <v>1887.039333333333</v>
      </c>
      <c r="F139" s="170" t="n">
        <v>1898.707427012068</v>
      </c>
      <c r="G139" s="163" t="n">
        <v>0.0056651267225528</v>
      </c>
      <c r="H139" s="163" t="n">
        <v>0.0012775573977097</v>
      </c>
      <c r="I139" s="163" t="n">
        <v>-0.0028447948648056</v>
      </c>
      <c r="J139" s="163" t="n">
        <v>0.000775936328909</v>
      </c>
      <c r="K139" s="163" t="n">
        <v>-2.144164553917162e-05</v>
      </c>
      <c r="L139" s="163" t="n">
        <v>0.0003398808304033</v>
      </c>
      <c r="M139" s="163" t="n">
        <v>-0.0012883131869365</v>
      </c>
      <c r="N139" s="163" t="n">
        <v>-0.0027127293558112</v>
      </c>
      <c r="O139" s="163" t="n">
        <v>-0.0020895734339358</v>
      </c>
      <c r="P139" s="163" t="n">
        <v>-0.0026096327615694</v>
      </c>
      <c r="Q139" s="163" t="n">
        <v>2.29700702118852e-05</v>
      </c>
      <c r="R139" s="163" t="n">
        <v>-6.555665982916843e-05</v>
      </c>
      <c r="S139" s="163" t="n">
        <v>0.0008110078806397</v>
      </c>
      <c r="T139" s="163" t="n">
        <v>-0.000693469239463</v>
      </c>
      <c r="U139" s="163" t="n">
        <v>0.0006198990689199</v>
      </c>
      <c r="V139" s="171" t="n">
        <v>-0.4083896394335478</v>
      </c>
      <c r="W139" s="171" t="n">
        <v>-0.0050216725706099</v>
      </c>
      <c r="X139" s="171" t="n">
        <v>-26.30929758955308</v>
      </c>
      <c r="Y139" s="171" t="n">
        <v>27.71531769515704</v>
      </c>
      <c r="Z139" s="171" t="n">
        <v>9.892034119534712</v>
      </c>
      <c r="AA139" s="171" t="n">
        <v>-0.0035511541683553</v>
      </c>
      <c r="AB139" s="171" t="n">
        <v>-10.88588653209908</v>
      </c>
      <c r="AC139" s="171" t="n">
        <v>0.0002807970972047</v>
      </c>
      <c r="AD139" s="171" t="n">
        <v>-0.0003377086884705</v>
      </c>
      <c r="AE139" s="171" t="n">
        <v>-0.0002370395814076</v>
      </c>
      <c r="AF139" s="171" t="n">
        <v>0.0016005654034597</v>
      </c>
      <c r="AG139" s="171" t="n">
        <v>-0.0002948886782256</v>
      </c>
      <c r="AH139" s="171" t="n">
        <v>-0.0002643838766439</v>
      </c>
      <c r="AI139" s="171" t="n">
        <v>0.0026143635192283</v>
      </c>
      <c r="AJ139" s="171" t="n">
        <v>0.0001910765101908</v>
      </c>
      <c r="AK139" s="171" t="n">
        <v>-0.0019830034943734</v>
      </c>
      <c r="AL139" s="171" t="n">
        <v>-0.0026946189139057</v>
      </c>
      <c r="AM139" s="171" t="n">
        <v>-0</v>
      </c>
      <c r="AN139" s="1" t="n">
        <v>-0.008732746684405599</v>
      </c>
      <c r="AO139" s="1" t="n">
        <v>4.298644773470528e-15</v>
      </c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64" t="inlineStr">
        <is>
          <t>2014-07</t>
        </is>
      </c>
      <c r="B140" s="163" t="n">
        <v>-0.0156999881945711</v>
      </c>
      <c r="C140" s="163" t="n">
        <v>-0.0021860842743512</v>
      </c>
      <c r="D140" s="163" t="n">
        <v>-0.0135139039202199</v>
      </c>
      <c r="E140" s="170" t="n">
        <v>1857.644193548388</v>
      </c>
      <c r="F140" s="170" t="n">
        <v>1882.918612084677</v>
      </c>
      <c r="G140" s="163" t="n">
        <v>0.0056651267225528</v>
      </c>
      <c r="H140" s="163" t="n">
        <v>-0.0013183766318937</v>
      </c>
      <c r="I140" s="163" t="n">
        <v>-0.0034357360419933</v>
      </c>
      <c r="J140" s="163" t="n">
        <v>0.0009713573302639001</v>
      </c>
      <c r="K140" s="163" t="n">
        <v>-5.193572000884093e-05</v>
      </c>
      <c r="L140" s="163" t="n">
        <v>-0.0004829557084211</v>
      </c>
      <c r="M140" s="163" t="n">
        <v>0.0010491696331336</v>
      </c>
      <c r="N140" s="163" t="n">
        <v>0.0003446288195399</v>
      </c>
      <c r="O140" s="163" t="n">
        <v>-0.0024466194986714</v>
      </c>
      <c r="P140" s="163" t="n">
        <v>0.0017556334795746</v>
      </c>
      <c r="Q140" s="163" t="n">
        <v>6.330135659497651e-05</v>
      </c>
      <c r="R140" s="163" t="n">
        <v>2.151175701000363e-07</v>
      </c>
      <c r="S140" s="163" t="n">
        <v>-0.0025573821747561</v>
      </c>
      <c r="T140" s="163" t="n">
        <v>-0.001038930295807</v>
      </c>
      <c r="U140" s="163" t="n">
        <v>-0.0013728407014776</v>
      </c>
      <c r="V140" s="171" t="n">
        <v>25.71482950776128</v>
      </c>
      <c r="W140" s="171" t="n">
        <v>-0.0019592412718614</v>
      </c>
      <c r="X140" s="171" t="n">
        <v>-22.42519400276074</v>
      </c>
      <c r="Y140" s="171" t="n">
        <v>-39.48310693920416</v>
      </c>
      <c r="Z140" s="171" t="n">
        <v>45.81661162126344</v>
      </c>
      <c r="AA140" s="171" t="n">
        <v>-4.391706334174788e-05</v>
      </c>
      <c r="AB140" s="171" t="n">
        <v>-9.623009406852916</v>
      </c>
      <c r="AC140" s="171" t="n">
        <v>-4.51642997799888e-05</v>
      </c>
      <c r="AD140" s="171" t="n">
        <v>0.0002953176894974</v>
      </c>
      <c r="AE140" s="171" t="n">
        <v>0.0008377053269642</v>
      </c>
      <c r="AF140" s="171" t="n">
        <v>-0.0019887977855488</v>
      </c>
      <c r="AG140" s="171" t="n">
        <v>0.0006655197336354999</v>
      </c>
      <c r="AH140" s="171" t="n">
        <v>0.0035511728583458</v>
      </c>
      <c r="AI140" s="171" t="n">
        <v>-0.0010835848796801</v>
      </c>
      <c r="AJ140" s="171" t="n">
        <v>0.0001393743470886</v>
      </c>
      <c r="AK140" s="171" t="n">
        <v>-0.001284478340808</v>
      </c>
      <c r="AL140" s="171" t="n">
        <v>0.0014545735180472</v>
      </c>
      <c r="AM140" s="171" t="n">
        <v>-0</v>
      </c>
      <c r="AN140" s="1" t="n">
        <v>-0.0021860842743414</v>
      </c>
      <c r="AO140" s="1" t="n">
        <v>-9.800320277530972e-15</v>
      </c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64" t="inlineStr">
        <is>
          <t>2014-08</t>
        </is>
      </c>
      <c r="B141" s="163" t="n">
        <v>0.0215575194429851</v>
      </c>
      <c r="C141" s="163" t="n">
        <v>0.0206068393337658</v>
      </c>
      <c r="D141" s="163" t="n">
        <v>0.0009506801092192</v>
      </c>
      <c r="E141" s="170" t="n">
        <v>1898.125161290323</v>
      </c>
      <c r="F141" s="170" t="n">
        <v>1896.321508938727</v>
      </c>
      <c r="G141" s="163" t="n">
        <v>0.0056651267225528</v>
      </c>
      <c r="H141" s="163" t="n">
        <v>0.0002873130415861</v>
      </c>
      <c r="I141" s="163" t="n">
        <v>-0.00224733751958</v>
      </c>
      <c r="J141" s="163" t="n">
        <v>0.0007529456228672</v>
      </c>
      <c r="K141" s="163" t="n">
        <v>6.681432979282647e-06</v>
      </c>
      <c r="L141" s="163" t="n">
        <v>0.0021022049772743</v>
      </c>
      <c r="M141" s="163" t="n">
        <v>0.0015364224666654</v>
      </c>
      <c r="N141" s="163" t="n">
        <v>0.0022490051011381</v>
      </c>
      <c r="O141" s="163" t="n">
        <v>-0.0030672127219152</v>
      </c>
      <c r="P141" s="163" t="n">
        <v>-0.0045960215157635</v>
      </c>
      <c r="Q141" s="163" t="n">
        <v>5.259166079204706e-05</v>
      </c>
      <c r="R141" s="163" t="n">
        <v>0.0001165911887851</v>
      </c>
      <c r="S141" s="163" t="n">
        <v>0.0011572560842522</v>
      </c>
      <c r="T141" s="163" t="n">
        <v>-0.001469209693479</v>
      </c>
      <c r="U141" s="163" t="n">
        <v>0.0116426050767829</v>
      </c>
      <c r="V141" s="171" t="n">
        <v>15.92833908595421</v>
      </c>
      <c r="W141" s="171" t="n">
        <v>-0.0059918704912286</v>
      </c>
      <c r="X141" s="171" t="n">
        <v>14.11695103635993</v>
      </c>
      <c r="Y141" s="171" t="n">
        <v>-85.7477706120154</v>
      </c>
      <c r="Z141" s="171" t="n">
        <v>36.6807094671867</v>
      </c>
      <c r="AA141" s="171" t="n">
        <v>0.0132241427011405</v>
      </c>
      <c r="AB141" s="171" t="n">
        <v>19.01172939228006</v>
      </c>
      <c r="AC141" s="171" t="n">
        <v>-6.460111196831635e-05</v>
      </c>
      <c r="AD141" s="171" t="n">
        <v>0.0003716693677607</v>
      </c>
      <c r="AE141" s="171" t="n">
        <v>0.0007545553167322</v>
      </c>
      <c r="AF141" s="171" t="n">
        <v>-0.0012504417214528</v>
      </c>
      <c r="AG141" s="171" t="n">
        <v>0.0007165440499936</v>
      </c>
      <c r="AH141" s="171" t="n">
        <v>0.0057251271088647</v>
      </c>
      <c r="AI141" s="171" t="n">
        <v>0.0011363157228225</v>
      </c>
      <c r="AJ141" s="171" t="n">
        <v>0.0001245189689821</v>
      </c>
      <c r="AK141" s="171" t="n">
        <v>0.0010927525794098</v>
      </c>
      <c r="AL141" s="171" t="n">
        <v>0.0006207951522558</v>
      </c>
      <c r="AM141" s="171" t="n">
        <v>-0</v>
      </c>
      <c r="AN141" s="1" t="n">
        <v>0.0206068393337558</v>
      </c>
      <c r="AO141" s="1" t="n">
        <v>1.000241556248227e-14</v>
      </c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64" t="inlineStr">
        <is>
          <t>2014-09</t>
        </is>
      </c>
      <c r="B142" s="163" t="n">
        <v>0.0390517563277885</v>
      </c>
      <c r="C142" s="163" t="n">
        <v>0.0176165393534811</v>
      </c>
      <c r="D142" s="163" t="n">
        <v>0.0214352169743074</v>
      </c>
      <c r="E142" s="170" t="n">
        <v>1973.716666666666</v>
      </c>
      <c r="F142" s="170" t="n">
        <v>1931.859829510017</v>
      </c>
      <c r="G142" s="163" t="n">
        <v>0.0056651267225528</v>
      </c>
      <c r="H142" s="163" t="n">
        <v>-0.0005549069234764</v>
      </c>
      <c r="I142" s="163" t="n">
        <v>-0.0026998725333359</v>
      </c>
      <c r="J142" s="163" t="n">
        <v>0.0008621514765655</v>
      </c>
      <c r="K142" s="163" t="n">
        <v>-3.792766519748689e-05</v>
      </c>
      <c r="L142" s="163" t="n">
        <v>0.0032702024067578</v>
      </c>
      <c r="M142" s="163" t="n">
        <v>-3.100392755578373e-05</v>
      </c>
      <c r="N142" s="163" t="n">
        <v>-0.0004619459302135</v>
      </c>
      <c r="O142" s="163" t="n">
        <v>-0.003144055762059</v>
      </c>
      <c r="P142" s="163" t="n">
        <v>0.0055382878600396</v>
      </c>
      <c r="Q142" s="163" t="n">
        <v>8.094872335441318e-05</v>
      </c>
      <c r="R142" s="163" t="n">
        <v>-0.0002287866287458</v>
      </c>
      <c r="S142" s="163" t="n">
        <v>-0.003705844515339</v>
      </c>
      <c r="T142" s="163" t="n">
        <v>-0.0009490409188422</v>
      </c>
      <c r="U142" s="163" t="n">
        <v>0.0123600925042163</v>
      </c>
      <c r="V142" s="171" t="n">
        <v>-67.77210348114028</v>
      </c>
      <c r="W142" s="171" t="n">
        <v>-0.0299908819356692</v>
      </c>
      <c r="X142" s="171" t="n">
        <v>-39.1675498165033</v>
      </c>
      <c r="Y142" s="171" t="n">
        <v>80.15140838510878</v>
      </c>
      <c r="Z142" s="171" t="n">
        <v>-8.309142477559575</v>
      </c>
      <c r="AA142" s="171" t="n">
        <v>0.0168273845492733</v>
      </c>
      <c r="AB142" s="171" t="n">
        <v>35.10341258093685</v>
      </c>
      <c r="AC142" s="171" t="n">
        <v>-0.0004374657550347</v>
      </c>
      <c r="AD142" s="171" t="n">
        <v>0.0003479858124651</v>
      </c>
      <c r="AE142" s="171" t="n">
        <v>0.0007657247210917</v>
      </c>
      <c r="AF142" s="171" t="n">
        <v>-0.0002381793755148</v>
      </c>
      <c r="AG142" s="171" t="n">
        <v>0.0006577214196369</v>
      </c>
      <c r="AH142" s="171" t="n">
        <v>0.0054090325616779</v>
      </c>
      <c r="AI142" s="171" t="n">
        <v>0.0013406760290779</v>
      </c>
      <c r="AJ142" s="171" t="n">
        <v>0.0001389627916172</v>
      </c>
      <c r="AK142" s="171" t="n">
        <v>-0.0016608451367208</v>
      </c>
      <c r="AL142" s="171" t="n">
        <v>0.0024678079403947</v>
      </c>
      <c r="AM142" s="171" t="n">
        <v>-0</v>
      </c>
      <c r="AN142" s="1" t="n">
        <v>0.0176165393534866</v>
      </c>
      <c r="AO142" s="1" t="n">
        <v>-5.502542865798432e-15</v>
      </c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64" t="inlineStr">
        <is>
          <t>2014-10</t>
        </is>
      </c>
      <c r="B143" s="163" t="n">
        <v>0.0372223309158572</v>
      </c>
      <c r="C143" s="163" t="n">
        <v>0.0288852626760373</v>
      </c>
      <c r="D143" s="163" t="n">
        <v>0.0083370682398199</v>
      </c>
      <c r="E143" s="170" t="n">
        <v>2048.567419354838</v>
      </c>
      <c r="F143" s="170" t="n">
        <v>2031.55937013364</v>
      </c>
      <c r="G143" s="163" t="n">
        <v>0.0056651267225528</v>
      </c>
      <c r="H143" s="163" t="n">
        <v>-0.0013032590879531</v>
      </c>
      <c r="I143" s="163" t="n">
        <v>-0.0005188923767584001</v>
      </c>
      <c r="J143" s="163" t="n">
        <v>0.0008621514765655</v>
      </c>
      <c r="K143" s="163" t="n">
        <v>2.327346394301358e-05</v>
      </c>
      <c r="L143" s="163" t="n">
        <v>0.0027588710199304</v>
      </c>
      <c r="M143" s="163" t="n">
        <v>0.0048584925885792</v>
      </c>
      <c r="N143" s="163" t="n">
        <v>0.0061871569206011</v>
      </c>
      <c r="O143" s="163" t="n">
        <v>-0.0020366242926569</v>
      </c>
      <c r="P143" s="163" t="n">
        <v>0.0024122062664202</v>
      </c>
      <c r="Q143" s="163" t="n">
        <v>-0.0002103124728318</v>
      </c>
      <c r="R143" s="163" t="n">
        <v>-0.000238692588664</v>
      </c>
      <c r="S143" s="163" t="n">
        <v>-0.0010371945067967</v>
      </c>
      <c r="T143" s="163" t="n">
        <v>-0.0011199540222571</v>
      </c>
      <c r="U143" s="163" t="n">
        <v>0.0099199126926238</v>
      </c>
      <c r="V143" s="171" t="n">
        <v>21.96587549090385</v>
      </c>
      <c r="W143" s="171" t="n">
        <v>0.0031829639389671</v>
      </c>
      <c r="X143" s="171" t="n">
        <v>50.3529373221687</v>
      </c>
      <c r="Y143" s="171" t="n">
        <v>-161.4389203801911</v>
      </c>
      <c r="Z143" s="171" t="n">
        <v>45.27651736022202</v>
      </c>
      <c r="AA143" s="171" t="n">
        <v>0.0199475387006469</v>
      </c>
      <c r="AB143" s="171" t="n">
        <v>43.80926461854988</v>
      </c>
      <c r="AC143" s="171" t="n">
        <v>0.0001613727305178</v>
      </c>
      <c r="AD143" s="171" t="n">
        <v>0.0007901928449147001</v>
      </c>
      <c r="AE143" s="171" t="n">
        <v>0.0013093023999218</v>
      </c>
      <c r="AF143" s="171" t="n">
        <v>-0.0027628807559721</v>
      </c>
      <c r="AG143" s="171" t="n">
        <v>0.001516946235892</v>
      </c>
      <c r="AH143" s="171" t="n">
        <v>0.009412764262035399</v>
      </c>
      <c r="AI143" s="171" t="n">
        <v>0.0018359612231423</v>
      </c>
      <c r="AJ143" s="171" t="n">
        <v>0.0002335541759778</v>
      </c>
      <c r="AK143" s="171" t="n">
        <v>-6.745914065572885e-05</v>
      </c>
      <c r="AL143" s="171" t="n">
        <v>0.0014283326039513</v>
      </c>
      <c r="AM143" s="171" t="n">
        <v>-0</v>
      </c>
      <c r="AN143" s="1" t="n">
        <v>0.0288852626760365</v>
      </c>
      <c r="AO143" s="1" t="n">
        <v>8.014422459012849e-16</v>
      </c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64" t="inlineStr">
        <is>
          <t>2014-11</t>
        </is>
      </c>
      <c r="B144" s="163" t="n">
        <v>0.0383630627774289</v>
      </c>
      <c r="C144" s="163" t="n">
        <v>0.0177295549332106</v>
      </c>
      <c r="D144" s="163" t="n">
        <v>0.0206335078442183</v>
      </c>
      <c r="E144" s="170" t="n">
        <v>2128.683666666666</v>
      </c>
      <c r="F144" s="170" t="n">
        <v>2085.211489601289</v>
      </c>
      <c r="G144" s="163" t="n">
        <v>0.0056651267225528</v>
      </c>
      <c r="H144" s="163" t="n">
        <v>-0.000373788602258</v>
      </c>
      <c r="I144" s="163" t="n">
        <v>-0.0009130449812477</v>
      </c>
      <c r="J144" s="163" t="n">
        <v>0</v>
      </c>
      <c r="K144" s="163" t="n">
        <v>4.379707912209812e-05</v>
      </c>
      <c r="L144" s="163" t="n">
        <v>0.0034510203986875</v>
      </c>
      <c r="M144" s="163" t="n">
        <v>-0.0049244184804499</v>
      </c>
      <c r="N144" s="163" t="n">
        <v>-0.0003817958007457</v>
      </c>
      <c r="O144" s="163" t="n">
        <v>-0.001299840142494</v>
      </c>
      <c r="P144" s="163" t="n">
        <v>-0.0019542944748466</v>
      </c>
      <c r="Q144" s="163" t="n">
        <v>-1.709420467241138e-05</v>
      </c>
      <c r="R144" s="163" t="n">
        <v>-0.0004021556937785</v>
      </c>
      <c r="S144" s="163" t="n">
        <v>0.0022973744174378</v>
      </c>
      <c r="T144" s="163" t="n">
        <v>-0.0009462698270650001</v>
      </c>
      <c r="U144" s="163" t="n">
        <v>0.008312990212265199</v>
      </c>
      <c r="V144" s="171" t="n">
        <v>-17.56589866184939</v>
      </c>
      <c r="W144" s="171" t="n">
        <v>-0.007638990421176</v>
      </c>
      <c r="X144" s="171" t="n">
        <v>-33.96700513168469</v>
      </c>
      <c r="Y144" s="171" t="n">
        <v>15.05687932477273</v>
      </c>
      <c r="Z144" s="171" t="n">
        <v>25.05621914108092</v>
      </c>
      <c r="AA144" s="171" t="n">
        <v>0.0003656350854964</v>
      </c>
      <c r="AB144" s="171" t="n">
        <v>11.42875226467095</v>
      </c>
      <c r="AC144" s="171" t="n">
        <v>-0.0001190880960879</v>
      </c>
      <c r="AD144" s="171" t="n">
        <v>-0.0004115124607849</v>
      </c>
      <c r="AE144" s="171" t="n">
        <v>-0.0001923619639695</v>
      </c>
      <c r="AF144" s="171" t="n">
        <v>0.0014171672843132</v>
      </c>
      <c r="AG144" s="171" t="n">
        <v>0.001385874207468</v>
      </c>
      <c r="AH144" s="171" t="n">
        <v>0.0077897650005847</v>
      </c>
      <c r="AI144" s="171" t="n">
        <v>-0.0002161285630941</v>
      </c>
      <c r="AJ144" s="171" t="n">
        <v>0.0001965866117208</v>
      </c>
      <c r="AK144" s="171" t="n">
        <v>-0.0035697286324032</v>
      </c>
      <c r="AL144" s="171" t="n">
        <v>0.0012177932681219</v>
      </c>
      <c r="AM144" s="171" t="n">
        <v>-0</v>
      </c>
      <c r="AN144" s="1" t="n">
        <v>0.0177295549332103</v>
      </c>
      <c r="AO144" s="1" t="n">
        <v>3.018418848199644e-16</v>
      </c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64" t="inlineStr">
        <is>
          <t>2014-12</t>
        </is>
      </c>
      <c r="B145" s="163" t="n">
        <v>0.0956097289836277</v>
      </c>
      <c r="C145" s="163" t="n">
        <v>0.0386327352545643</v>
      </c>
      <c r="D145" s="163" t="n">
        <v>0.0569769937290633</v>
      </c>
      <c r="E145" s="170" t="n">
        <v>2342.253548387097</v>
      </c>
      <c r="F145" s="170" t="n">
        <v>2212.529712231633</v>
      </c>
      <c r="G145" s="163" t="n">
        <v>0.0056651267225528</v>
      </c>
      <c r="H145" s="163" t="n">
        <v>-0.0015290239482434</v>
      </c>
      <c r="I145" s="163" t="n">
        <v>-0.0017578761449055</v>
      </c>
      <c r="J145" s="163" t="n">
        <v>0</v>
      </c>
      <c r="K145" s="163" t="n">
        <v>2.024528370647741e-05</v>
      </c>
      <c r="L145" s="163" t="n">
        <v>0.0047034115832631</v>
      </c>
      <c r="M145" s="163" t="n">
        <v>0.0032199230719706</v>
      </c>
      <c r="N145" s="163" t="n">
        <v>0.0074860974095596</v>
      </c>
      <c r="O145" s="163" t="n">
        <v>-7.845608588054747e-05</v>
      </c>
      <c r="P145" s="163" t="n">
        <v>0.0067390510462532</v>
      </c>
      <c r="Q145" s="163" t="n">
        <v>-0.0002898260063778</v>
      </c>
      <c r="R145" s="163" t="n">
        <v>-3.84769171136473e-05</v>
      </c>
      <c r="S145" s="163" t="n">
        <v>-0.0026506945823779</v>
      </c>
      <c r="T145" s="163" t="n">
        <v>-0.0018887489819114</v>
      </c>
      <c r="U145" s="163" t="n">
        <v>0.0207460988178794</v>
      </c>
      <c r="V145" s="171" t="n">
        <v>-18.54729125934049</v>
      </c>
      <c r="W145" s="171" t="n">
        <v>-0.0217432329276991</v>
      </c>
      <c r="X145" s="171" t="n">
        <v>-44.96130304912289</v>
      </c>
      <c r="Y145" s="171" t="n">
        <v>-82.95660248380888</v>
      </c>
      <c r="Z145" s="171" t="n">
        <v>94.10519312960088</v>
      </c>
      <c r="AA145" s="171" t="n">
        <v>0.0207564297277787</v>
      </c>
      <c r="AB145" s="171" t="n">
        <v>52.33797099606056</v>
      </c>
      <c r="AC145" s="171" t="n">
        <v>0.0001464170491839</v>
      </c>
      <c r="AD145" s="171" t="n">
        <v>0.0007593272728509</v>
      </c>
      <c r="AE145" s="171" t="n">
        <v>0.001210018805615</v>
      </c>
      <c r="AF145" s="171" t="n">
        <v>-0.0031916036318988</v>
      </c>
      <c r="AG145" s="171" t="n">
        <v>0.0035071052532749</v>
      </c>
      <c r="AH145" s="171" t="n">
        <v>0.0166347376329826</v>
      </c>
      <c r="AI145" s="171" t="n">
        <v>0.0023479935519385</v>
      </c>
      <c r="AJ145" s="171" t="n">
        <v>4.36271170417496e-05</v>
      </c>
      <c r="AK145" s="171" t="n">
        <v>5.028286223364437e-05</v>
      </c>
      <c r="AL145" s="171" t="n">
        <v>-0.0002025521162982</v>
      </c>
      <c r="AM145" s="171" t="n">
        <v>-0</v>
      </c>
      <c r="AN145" s="1" t="n">
        <v>0.0386327352545577</v>
      </c>
      <c r="AO145" s="1" t="n">
        <v>6.598888102615774e-15</v>
      </c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64" t="inlineStr">
        <is>
          <t>2015-01</t>
        </is>
      </c>
      <c r="B146" s="163" t="n">
        <v>0.023212090319638</v>
      </c>
      <c r="C146" s="163" t="n">
        <v>0.0423334476872551</v>
      </c>
      <c r="D146" s="163" t="n">
        <v>-0.0191213573676171</v>
      </c>
      <c r="E146" s="170" t="n">
        <v>2397.25806451613</v>
      </c>
      <c r="F146" s="170" t="n">
        <v>2443.537949695164</v>
      </c>
      <c r="G146" s="163" t="n">
        <v>0.0056651267225528</v>
      </c>
      <c r="H146" s="163" t="n">
        <v>-0.0017490348942733</v>
      </c>
      <c r="I146" s="163" t="n">
        <v>0.0014548317310343</v>
      </c>
      <c r="J146" s="163" t="n">
        <v>-0.0001034581771878</v>
      </c>
      <c r="K146" s="163" t="n">
        <v>5.436005421793701e-05</v>
      </c>
      <c r="L146" s="163" t="n">
        <v>0.0045715760573301</v>
      </c>
      <c r="M146" s="163" t="n">
        <v>0.0026496911751248</v>
      </c>
      <c r="N146" s="163" t="n">
        <v>0.0082702286585596</v>
      </c>
      <c r="O146" s="163" t="n">
        <v>0.0002869776282493</v>
      </c>
      <c r="P146" s="163" t="n">
        <v>-0.0048105270309908</v>
      </c>
      <c r="Q146" s="163" t="n">
        <v>-3.396296268789782e-05</v>
      </c>
      <c r="R146" s="163" t="n">
        <v>-0.0011737256468967</v>
      </c>
      <c r="S146" s="163" t="n">
        <v>9.487252074746636e-05</v>
      </c>
      <c r="T146" s="163" t="n">
        <v>-0.0045295569633318</v>
      </c>
      <c r="U146" s="163" t="n">
        <v>0.0072543990827057</v>
      </c>
      <c r="V146" s="171" t="n">
        <v>67.43287429848975</v>
      </c>
      <c r="W146" s="171" t="n">
        <v>0.0194757272802949</v>
      </c>
      <c r="X146" s="171" t="n">
        <v>34.87592691220895</v>
      </c>
      <c r="Y146" s="171" t="n">
        <v>-228.4620203833833</v>
      </c>
      <c r="Z146" s="171" t="n">
        <v>100.4658416961727</v>
      </c>
      <c r="AA146" s="171" t="n">
        <v>0.0067458651947044</v>
      </c>
      <c r="AB146" s="171" t="n">
        <v>25.66326321031861</v>
      </c>
      <c r="AC146" s="171" t="n">
        <v>-0.0003249934578574</v>
      </c>
      <c r="AD146" s="171" t="n">
        <v>0.0007295561033422001</v>
      </c>
      <c r="AE146" s="171" t="n">
        <v>0.0020700629412982</v>
      </c>
      <c r="AF146" s="171" t="n">
        <v>-0.0043324828406148</v>
      </c>
      <c r="AG146" s="171" t="n">
        <v>0.0038527138632443</v>
      </c>
      <c r="AH146" s="171" t="n">
        <v>0.0166064707549285</v>
      </c>
      <c r="AI146" s="171" t="n">
        <v>-0.000424449340401</v>
      </c>
      <c r="AJ146" s="171" t="n">
        <v>-7.269703992349905e-06</v>
      </c>
      <c r="AK146" s="171" t="n">
        <v>0.0045603146678848</v>
      </c>
      <c r="AL146" s="171" t="n">
        <v>-0.0004055995374506</v>
      </c>
      <c r="AM146" s="171" t="n">
        <v>-0</v>
      </c>
      <c r="AN146" s="1" t="n">
        <v>0.0423334476872675</v>
      </c>
      <c r="AO146" s="1" t="n">
        <v>-1.239980340628222e-14</v>
      </c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64" t="inlineStr">
        <is>
          <t>2015-02</t>
        </is>
      </c>
      <c r="B147" s="163" t="n">
        <v>0.0097197830098805</v>
      </c>
      <c r="C147" s="163" t="n">
        <v>0.008908653069356599</v>
      </c>
      <c r="D147" s="163" t="n">
        <v>0.0008111299405238</v>
      </c>
      <c r="E147" s="170" t="n">
        <v>2420.672500000001</v>
      </c>
      <c r="F147" s="170" t="n">
        <v>2418.70981616247</v>
      </c>
      <c r="G147" s="163" t="n">
        <v>0.0056651267225528</v>
      </c>
      <c r="H147" s="163" t="n">
        <v>0.0006234742408201</v>
      </c>
      <c r="I147" s="163" t="n">
        <v>-0.0001719322765519</v>
      </c>
      <c r="J147" s="163" t="n">
        <v>3.448605906262306e-05</v>
      </c>
      <c r="K147" s="163" t="n">
        <v>-3.351082592906217e-05</v>
      </c>
      <c r="L147" s="163" t="n">
        <v>0.0027285426896478</v>
      </c>
      <c r="M147" s="163" t="n">
        <v>-0.0030488730588946</v>
      </c>
      <c r="N147" s="163" t="n">
        <v>-0.0060440933330087</v>
      </c>
      <c r="O147" s="163" t="n">
        <v>0.0012903158154837</v>
      </c>
      <c r="P147" s="163" t="n">
        <v>0.0035211486546383</v>
      </c>
      <c r="Q147" s="163" t="n">
        <v>-0.0001478344585357</v>
      </c>
      <c r="R147" s="163" t="n">
        <v>0.0001372625326806</v>
      </c>
      <c r="S147" s="163" t="n">
        <v>-0.0010882986157936</v>
      </c>
      <c r="T147" s="163" t="n">
        <v>-0.008131323151337</v>
      </c>
      <c r="U147" s="163" t="n">
        <v>0.0164034605317227</v>
      </c>
      <c r="V147" s="171" t="n">
        <v>4.14391166675045</v>
      </c>
      <c r="W147" s="171" t="n">
        <v>0.0054167431006847</v>
      </c>
      <c r="X147" s="171" t="n">
        <v>-28.01830316774175</v>
      </c>
      <c r="Y147" s="171" t="n">
        <v>65.75374967353052</v>
      </c>
      <c r="Z147" s="171" t="n">
        <v>-10.93483150046835</v>
      </c>
      <c r="AA147" s="171" t="n">
        <v>-0.0156886048835511</v>
      </c>
      <c r="AB147" s="171" t="n">
        <v>-30.93191800433192</v>
      </c>
      <c r="AC147" s="171" t="n">
        <v>0.0002425978718745</v>
      </c>
      <c r="AD147" s="171" t="n">
        <v>-0.0009073110183582</v>
      </c>
      <c r="AE147" s="171" t="n">
        <v>0.0002072545031155</v>
      </c>
      <c r="AF147" s="171" t="n">
        <v>-0.0011813697025535</v>
      </c>
      <c r="AG147" s="171" t="n">
        <v>-0.002833865056857</v>
      </c>
      <c r="AH147" s="171" t="n">
        <v>-0.0045714988226903</v>
      </c>
      <c r="AI147" s="171" t="n">
        <v>0.0019271652136417</v>
      </c>
      <c r="AJ147" s="171" t="n">
        <v>7.2670382399323e-05</v>
      </c>
      <c r="AK147" s="171" t="n">
        <v>0.0037116762699253</v>
      </c>
      <c r="AL147" s="171" t="n">
        <v>-0.0018334240537994</v>
      </c>
      <c r="AM147" s="171" t="n">
        <v>-0</v>
      </c>
      <c r="AN147" s="1" t="n">
        <v>0.0089086530693477</v>
      </c>
      <c r="AO147" s="1" t="n">
        <v>8.89913143176102e-15</v>
      </c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64" t="inlineStr">
        <is>
          <t>2015-03</t>
        </is>
      </c>
      <c r="B148" s="163" t="n">
        <v>0.0658202425325686</v>
      </c>
      <c r="C148" s="163" t="n">
        <v>0.0505903158031931</v>
      </c>
      <c r="D148" s="163" t="n">
        <v>0.0152299267293755</v>
      </c>
      <c r="E148" s="170" t="n">
        <v>2585.362258064516</v>
      </c>
      <c r="F148" s="170" t="n">
        <v>2546.285702163423</v>
      </c>
      <c r="G148" s="163" t="n">
        <v>0.0056651267225528</v>
      </c>
      <c r="H148" s="163" t="n">
        <v>0.0009340194659382</v>
      </c>
      <c r="I148" s="163" t="n">
        <v>0.0015233711825072</v>
      </c>
      <c r="J148" s="163" t="n">
        <v>0</v>
      </c>
      <c r="K148" s="163" t="n">
        <v>-2.580244537463653e-06</v>
      </c>
      <c r="L148" s="163" t="n">
        <v>0.0041844956214341</v>
      </c>
      <c r="M148" s="163" t="n">
        <v>-0.0011772777340857</v>
      </c>
      <c r="N148" s="163" t="n">
        <v>0.0039220292160902</v>
      </c>
      <c r="O148" s="163" t="n">
        <v>6.01665036337007e-05</v>
      </c>
      <c r="P148" s="163" t="n">
        <v>0.0025679725802105</v>
      </c>
      <c r="Q148" s="163" t="n">
        <v>9.31320365990891e-05</v>
      </c>
      <c r="R148" s="163" t="n">
        <v>0.0006945810023466</v>
      </c>
      <c r="S148" s="163" t="n">
        <v>0.0010733482051015</v>
      </c>
      <c r="T148" s="163" t="n">
        <v>-0.0041145947488752</v>
      </c>
      <c r="U148" s="163" t="n">
        <v>0.0165466482554261</v>
      </c>
      <c r="V148" s="171" t="n">
        <v>-5.975520623454146</v>
      </c>
      <c r="W148" s="171" t="n">
        <v>0.0067089537731771</v>
      </c>
      <c r="X148" s="171" t="n">
        <v>-8.934684486067408</v>
      </c>
      <c r="Y148" s="171" t="n">
        <v>47.31661145982413</v>
      </c>
      <c r="Z148" s="171" t="n">
        <v>-19.09025484219308</v>
      </c>
      <c r="AA148" s="171" t="n">
        <v>-0.0117616023591546</v>
      </c>
      <c r="AB148" s="171" t="n">
        <v>-13.30306763607696</v>
      </c>
      <c r="AC148" s="171" t="n">
        <v>7.390521782180008e-05</v>
      </c>
      <c r="AD148" s="171" t="n">
        <v>0.0001632198810801</v>
      </c>
      <c r="AE148" s="171" t="n">
        <v>-0.0004715970729576</v>
      </c>
      <c r="AF148" s="171" t="n">
        <v>0.0004644497822539</v>
      </c>
      <c r="AG148" s="171" t="n">
        <v>0.000561004491616</v>
      </c>
      <c r="AH148" s="171" t="n">
        <v>0.005664429101405</v>
      </c>
      <c r="AI148" s="171" t="n">
        <v>0.0002727067209721</v>
      </c>
      <c r="AJ148" s="171" t="n">
        <v>7.986907394113732e-05</v>
      </c>
      <c r="AK148" s="171" t="n">
        <v>0.0019472430423549</v>
      </c>
      <c r="AL148" s="171" t="n">
        <v>0.0018334240537994</v>
      </c>
      <c r="AM148" s="171" t="n">
        <v>-0</v>
      </c>
      <c r="AN148" s="1" t="n">
        <v>0.0505903158031882</v>
      </c>
      <c r="AO148" s="1" t="n">
        <v>4.898859096158503e-15</v>
      </c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64" t="inlineStr">
        <is>
          <t>2015-04</t>
        </is>
      </c>
      <c r="B149" s="163" t="n">
        <v>-0.0314779050256994</v>
      </c>
      <c r="C149" s="163" t="n">
        <v>0.0010317445358501</v>
      </c>
      <c r="D149" s="163" t="n">
        <v>-0.0325096495615496</v>
      </c>
      <c r="E149" s="170" t="n">
        <v>2505.248</v>
      </c>
      <c r="F149" s="170" t="n">
        <v>2588.031067975743</v>
      </c>
      <c r="G149" s="163" t="n">
        <v>0.0056651267225528</v>
      </c>
      <c r="H149" s="163" t="n">
        <v>0.0003207890706972</v>
      </c>
      <c r="I149" s="163" t="n">
        <v>0.0045950722116544</v>
      </c>
      <c r="J149" s="163" t="n">
        <v>0</v>
      </c>
      <c r="K149" s="163" t="n">
        <v>-5.095390460442948e-06</v>
      </c>
      <c r="L149" s="163" t="n">
        <v>-0.0019183298463543</v>
      </c>
      <c r="M149" s="163" t="n">
        <v>-0.0015430274111678</v>
      </c>
      <c r="N149" s="163" t="n">
        <v>-0.0017052300939523</v>
      </c>
      <c r="O149" s="163" t="n">
        <v>0.0007172530159639</v>
      </c>
      <c r="P149" s="163" t="n">
        <v>-0.0013928265639349</v>
      </c>
      <c r="Q149" s="163" t="n">
        <v>-6.873617724538889e-05</v>
      </c>
      <c r="R149" s="163" t="n">
        <v>-0.000303930849881</v>
      </c>
      <c r="S149" s="163" t="n">
        <v>-0.002191026088806</v>
      </c>
      <c r="T149" s="163" t="n">
        <v>-0.0037577334674957</v>
      </c>
      <c r="U149" s="163" t="n">
        <v>-0.0051994400288699</v>
      </c>
      <c r="V149" s="171" t="n">
        <v>58.32649980665048</v>
      </c>
      <c r="W149" s="171" t="n">
        <v>0.0297816585978562</v>
      </c>
      <c r="X149" s="171" t="n">
        <v>41.7302273594896</v>
      </c>
      <c r="Y149" s="171" t="n">
        <v>-75.55089006324067</v>
      </c>
      <c r="Z149" s="171" t="n">
        <v>3.020373290592856</v>
      </c>
      <c r="AA149" s="171" t="n">
        <v>-0.0143455598069369</v>
      </c>
      <c r="AB149" s="171" t="n">
        <v>-27.5318642055923</v>
      </c>
      <c r="AC149" s="171" t="n">
        <v>0.0001962148234045</v>
      </c>
      <c r="AD149" s="171" t="n">
        <v>-0.0004976111618052</v>
      </c>
      <c r="AE149" s="171" t="n">
        <v>-0.0002047724132579</v>
      </c>
      <c r="AF149" s="171" t="n">
        <v>0.0001429076253089</v>
      </c>
      <c r="AG149" s="171" t="n">
        <v>-0.000912455233311</v>
      </c>
      <c r="AH149" s="171" t="n">
        <v>-0.0018827945369305</v>
      </c>
      <c r="AI149" s="171" t="n">
        <v>2.636542157117268e-05</v>
      </c>
      <c r="AJ149" s="171" t="n">
        <v>3.628048805737483e-05</v>
      </c>
      <c r="AK149" s="171" t="n">
        <v>0.0031704319475666</v>
      </c>
      <c r="AL149" s="171" t="n">
        <v>-0.0020379742183243</v>
      </c>
      <c r="AM149" s="171" t="n">
        <v>-0</v>
      </c>
      <c r="AN149" s="1" t="n">
        <v>0.0010317445358495</v>
      </c>
      <c r="AO149" s="1" t="n">
        <v>5.999974822534782e-16</v>
      </c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64" t="inlineStr">
        <is>
          <t>2015-05</t>
        </is>
      </c>
      <c r="B150" s="163" t="n">
        <v>-0.0274003827018907</v>
      </c>
      <c r="C150" s="163" t="n">
        <v>-0.0063175277175197</v>
      </c>
      <c r="D150" s="163" t="n">
        <v>-0.021082854984371</v>
      </c>
      <c r="E150" s="170" t="n">
        <v>2437.535161290322</v>
      </c>
      <c r="F150" s="170" t="n">
        <v>2489.470914880453</v>
      </c>
      <c r="G150" s="163" t="n">
        <v>0.0056651267225528</v>
      </c>
      <c r="H150" s="163" t="n">
        <v>0.0006022867507439</v>
      </c>
      <c r="I150" s="163" t="n">
        <v>0.0016664886599426</v>
      </c>
      <c r="J150" s="163" t="n">
        <v>-3.448605906262306e-05</v>
      </c>
      <c r="K150" s="163" t="n">
        <v>-4.195841956536189e-06</v>
      </c>
      <c r="L150" s="163" t="n">
        <v>-0.0018085410353066</v>
      </c>
      <c r="M150" s="163" t="n">
        <v>-0.0001928596791843</v>
      </c>
      <c r="N150" s="163" t="n">
        <v>-0.0018826702624588</v>
      </c>
      <c r="O150" s="163" t="n">
        <v>-0.0013118286947979</v>
      </c>
      <c r="P150" s="163" t="n">
        <v>-0.0033405151459751</v>
      </c>
      <c r="Q150" s="163" t="n">
        <v>0.0003069094081928</v>
      </c>
      <c r="R150" s="163" t="n">
        <v>0.0005725394353691</v>
      </c>
      <c r="S150" s="163" t="n">
        <v>0.0003036098060799</v>
      </c>
      <c r="T150" s="163" t="n">
        <v>-0.0018298713148259</v>
      </c>
      <c r="U150" s="163" t="n">
        <v>0.0011755725984145</v>
      </c>
      <c r="V150" s="171" t="n">
        <v>-72.92764401119855</v>
      </c>
      <c r="W150" s="171" t="n">
        <v>-0.0158362156966373</v>
      </c>
      <c r="X150" s="171" t="n">
        <v>-28.66343823408273</v>
      </c>
      <c r="Y150" s="171" t="n">
        <v>184.0908627271942</v>
      </c>
      <c r="Z150" s="171" t="n">
        <v>-80.39095347038882</v>
      </c>
      <c r="AA150" s="171" t="n">
        <v>-0.0022234289975581</v>
      </c>
      <c r="AB150" s="171" t="n">
        <v>-2.091461664434781</v>
      </c>
      <c r="AC150" s="171" t="n">
        <v>-6.610968504200409e-05</v>
      </c>
      <c r="AD150" s="171" t="n">
        <v>9.709402669175885e-05</v>
      </c>
      <c r="AE150" s="171" t="n">
        <v>-8.687314501851475e-05</v>
      </c>
      <c r="AF150" s="171" t="n">
        <v>-0.0005597215324598</v>
      </c>
      <c r="AG150" s="171" t="n">
        <v>-0.0010656403240854</v>
      </c>
      <c r="AH150" s="171" t="n">
        <v>-0.0051017454226947</v>
      </c>
      <c r="AI150" s="171" t="n">
        <v>-0.0016026329000533</v>
      </c>
      <c r="AJ150" s="171" t="n">
        <v>0.0001087529763652</v>
      </c>
      <c r="AK150" s="171" t="n">
        <v>0.0025615303813538</v>
      </c>
      <c r="AL150" s="171" t="n">
        <v>0.0002045501645249</v>
      </c>
      <c r="AM150" s="171" t="n">
        <v>-0</v>
      </c>
      <c r="AN150" s="1" t="n">
        <v>-0.0063175277175047</v>
      </c>
      <c r="AO150" s="1" t="n">
        <v>-1.500015389677145e-14</v>
      </c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64" t="inlineStr">
        <is>
          <t>2015-06</t>
        </is>
      </c>
      <c r="B151" s="163" t="n">
        <v>0.0499872800488212</v>
      </c>
      <c r="C151" s="163" t="n">
        <v>0.0410292890361448</v>
      </c>
      <c r="D151" s="163" t="n">
        <v>0.008957991012676299</v>
      </c>
      <c r="E151" s="170" t="n">
        <v>2562.477666666667</v>
      </c>
      <c r="F151" s="170" t="n">
        <v>2539.625522225883</v>
      </c>
      <c r="G151" s="163" t="n">
        <v>0.0056651267225528</v>
      </c>
      <c r="H151" s="163" t="n">
        <v>-0.0001337593248064</v>
      </c>
      <c r="I151" s="163" t="n">
        <v>0.0013647929301674</v>
      </c>
      <c r="J151" s="163" t="n">
        <v>0</v>
      </c>
      <c r="K151" s="163" t="n">
        <v>2.558485873680973e-05</v>
      </c>
      <c r="L151" s="163" t="n">
        <v>0.0014783636671671</v>
      </c>
      <c r="M151" s="163" t="n">
        <v>0.0011982977353103</v>
      </c>
      <c r="N151" s="163" t="n">
        <v>0.0044215684023433</v>
      </c>
      <c r="O151" s="163" t="n">
        <v>0.0008464794781585</v>
      </c>
      <c r="P151" s="163" t="n">
        <v>0.0068562596042098</v>
      </c>
      <c r="Q151" s="163" t="n">
        <v>-0.0004005353448417</v>
      </c>
      <c r="R151" s="163" t="n">
        <v>0.0001701142907494</v>
      </c>
      <c r="S151" s="163" t="n">
        <v>0.0002947565133889</v>
      </c>
      <c r="T151" s="163" t="n">
        <v>-0.0007472209524717</v>
      </c>
      <c r="U151" s="163" t="n">
        <v>0.009839767497197</v>
      </c>
      <c r="V151" s="171" t="n">
        <v>-47.36262405486558</v>
      </c>
      <c r="W151" s="171" t="n">
        <v>-0.0148331212704372</v>
      </c>
      <c r="X151" s="171" t="n">
        <v>-33.08176184361471</v>
      </c>
      <c r="Y151" s="171" t="n">
        <v>116.5137368895092</v>
      </c>
      <c r="Z151" s="171" t="n">
        <v>-35.93704121544514</v>
      </c>
      <c r="AA151" s="171" t="n">
        <v>0.000691438415869</v>
      </c>
      <c r="AB151" s="171" t="n">
        <v>-0.1171447107128833</v>
      </c>
      <c r="AC151" s="171" t="n">
        <v>-0.0002785472425345</v>
      </c>
      <c r="AD151" s="171" t="n">
        <v>0.0002606388085304</v>
      </c>
      <c r="AE151" s="171" t="n">
        <v>8.687314501851475e-05</v>
      </c>
      <c r="AF151" s="171" t="n">
        <v>1.19089687757458e-05</v>
      </c>
      <c r="AG151" s="171" t="n">
        <v>0.0005985633453043</v>
      </c>
      <c r="AH151" s="171" t="n">
        <v>0.0034666379879986</v>
      </c>
      <c r="AI151" s="171" t="n">
        <v>0.0037636922183628</v>
      </c>
      <c r="AJ151" s="171" t="n">
        <v>7.245484444637452e-06</v>
      </c>
      <c r="AK151" s="171" t="n">
        <v>0.0018234538512384</v>
      </c>
      <c r="AL151" s="171" t="n">
        <v>-0.0006141556251336</v>
      </c>
      <c r="AM151" s="171" t="n">
        <v>-0</v>
      </c>
      <c r="AN151" s="1" t="n">
        <v>0.0410292890361583</v>
      </c>
      <c r="AO151" s="1" t="n">
        <v>-1.350308753700347e-14</v>
      </c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64" t="inlineStr">
        <is>
          <t>2015-07</t>
        </is>
      </c>
      <c r="B152" s="163" t="n">
        <v>0.0640724189579104</v>
      </c>
      <c r="C152" s="163" t="n">
        <v>0.0362465607840146</v>
      </c>
      <c r="D152" s="163" t="n">
        <v>0.0278258581738958</v>
      </c>
      <c r="E152" s="170" t="n">
        <v>2732.035806451614</v>
      </c>
      <c r="F152" s="170" t="n">
        <v>2657.062501308193</v>
      </c>
      <c r="G152" s="163" t="n">
        <v>0.0056651267225528</v>
      </c>
      <c r="H152" s="163" t="n">
        <v>-0.0009098165902236</v>
      </c>
      <c r="I152" s="163" t="n">
        <v>0.0044832721821173</v>
      </c>
      <c r="J152" s="163" t="n">
        <v>-3.448605906262306e-05</v>
      </c>
      <c r="K152" s="163" t="n">
        <v>-1.19815347133392e-05</v>
      </c>
      <c r="L152" s="163" t="n">
        <v>0.0036744611514893</v>
      </c>
      <c r="M152" s="163" t="n">
        <v>1.521483628738249e-05</v>
      </c>
      <c r="N152" s="163" t="n">
        <v>0.0047620129290371</v>
      </c>
      <c r="O152" s="163" t="n">
        <v>0.0001503890406082</v>
      </c>
      <c r="P152" s="163" t="n">
        <v>0.0020129032636027</v>
      </c>
      <c r="Q152" s="163" t="n">
        <v>0.0001632008165981</v>
      </c>
      <c r="R152" s="163" t="n">
        <v>9.707964813530368e-05</v>
      </c>
      <c r="S152" s="163" t="n">
        <v>-0.0036273447691462</v>
      </c>
      <c r="T152" s="163" t="n">
        <v>-0.0013264461934077</v>
      </c>
      <c r="U152" s="163" t="n">
        <v>0.0133747892794914</v>
      </c>
      <c r="V152" s="171" t="n">
        <v>-1.688715450953681</v>
      </c>
      <c r="W152" s="171" t="n">
        <v>-0.0083885503364173</v>
      </c>
      <c r="X152" s="171" t="n">
        <v>8.685852609223742</v>
      </c>
      <c r="Y152" s="171" t="n">
        <v>-27.41375932954699</v>
      </c>
      <c r="Z152" s="171" t="n">
        <v>7.553010512101682</v>
      </c>
      <c r="AA152" s="171" t="n">
        <v>0.0140207778036189</v>
      </c>
      <c r="AB152" s="171" t="n">
        <v>12.85734629775479</v>
      </c>
      <c r="AC152" s="171" t="n">
        <v>-7.232604650082131e-05</v>
      </c>
      <c r="AD152" s="171" t="n">
        <v>0.0003792446854473</v>
      </c>
      <c r="AE152" s="171" t="n">
        <v>0.0005733627571221</v>
      </c>
      <c r="AF152" s="171" t="n">
        <v>-0.0017744363475855</v>
      </c>
      <c r="AG152" s="171" t="n">
        <v>0.0012056607079253</v>
      </c>
      <c r="AH152" s="171" t="n">
        <v>0.0094574276835511</v>
      </c>
      <c r="AI152" s="171" t="n">
        <v>0.0002094523404644</v>
      </c>
      <c r="AJ152" s="171" t="n">
        <v>0.0001158477522516</v>
      </c>
      <c r="AK152" s="171" t="n">
        <v>-0.0037442314566379</v>
      </c>
      <c r="AL152" s="171" t="n">
        <v>0.0020413179378617</v>
      </c>
      <c r="AM152" s="171" t="n">
        <v>-0</v>
      </c>
      <c r="AN152" s="1" t="n">
        <v>0.0362465607840152</v>
      </c>
      <c r="AO152" s="1" t="n">
        <v>-5.967448757360216e-16</v>
      </c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64" t="inlineStr">
        <is>
          <t>2015-08</t>
        </is>
      </c>
      <c r="B153" s="163" t="n">
        <v>0.09775226933140679</v>
      </c>
      <c r="C153" s="163" t="n">
        <v>0.0552835536477407</v>
      </c>
      <c r="D153" s="163" t="n">
        <v>0.042468715683666</v>
      </c>
      <c r="E153" s="170" t="n">
        <v>3012.58741935484</v>
      </c>
      <c r="F153" s="170" t="n">
        <v>2887.325385845851</v>
      </c>
      <c r="G153" s="163" t="n">
        <v>0.0056651267225528</v>
      </c>
      <c r="H153" s="163" t="n">
        <v>-0.0012327670691618</v>
      </c>
      <c r="I153" s="163" t="n">
        <v>0.0049942248099246</v>
      </c>
      <c r="J153" s="163" t="n">
        <v>0</v>
      </c>
      <c r="K153" s="163" t="n">
        <v>-6.43061403617163e-06</v>
      </c>
      <c r="L153" s="163" t="n">
        <v>0.003440760925292</v>
      </c>
      <c r="M153" s="163" t="n">
        <v>0.0050136548372088</v>
      </c>
      <c r="N153" s="163" t="n">
        <v>0.0093688408971432</v>
      </c>
      <c r="O153" s="163" t="n">
        <v>0.0006592370336391999</v>
      </c>
      <c r="P153" s="163" t="n">
        <v>-0.0030276881794605</v>
      </c>
      <c r="Q153" s="163" t="n">
        <v>-0.0001347808348035</v>
      </c>
      <c r="R153" s="163" t="n">
        <v>-3.64415529879831e-05</v>
      </c>
      <c r="S153" s="163" t="n">
        <v>0.0028950051668735</v>
      </c>
      <c r="T153" s="163" t="n">
        <v>-0.003387703726166</v>
      </c>
      <c r="U153" s="163" t="n">
        <v>0.0279371342273729</v>
      </c>
      <c r="V153" s="171" t="n">
        <v>-14.88321598489862</v>
      </c>
      <c r="W153" s="171" t="n">
        <v>-0.0170963207857662</v>
      </c>
      <c r="X153" s="171" t="n">
        <v>-12.41749993758265</v>
      </c>
      <c r="Y153" s="171" t="n">
        <v>-110.391400769096</v>
      </c>
      <c r="Z153" s="171" t="n">
        <v>77.81511930234537</v>
      </c>
      <c r="AA153" s="171" t="n">
        <v>0.0271601503592393</v>
      </c>
      <c r="AB153" s="171" t="n">
        <v>59.85237561008176</v>
      </c>
      <c r="AC153" s="171" t="n">
        <v>6.210787912978289e-05</v>
      </c>
      <c r="AD153" s="171" t="n">
        <v>0.0009479749132988</v>
      </c>
      <c r="AE153" s="171" t="n">
        <v>0.0017970330569543</v>
      </c>
      <c r="AF153" s="171" t="n">
        <v>-0.0032630574445532</v>
      </c>
      <c r="AG153" s="171" t="n">
        <v>0.0028286569818675</v>
      </c>
      <c r="AH153" s="171" t="n">
        <v>0.0110702777712518</v>
      </c>
      <c r="AI153" s="171" t="n">
        <v>0.0022064350009277</v>
      </c>
      <c r="AJ153" s="171" t="n">
        <v>-3.618625684516422e-05</v>
      </c>
      <c r="AK153" s="171" t="n">
        <v>0.0010656752841212</v>
      </c>
      <c r="AL153" s="171" t="n">
        <v>0.0010144133948201</v>
      </c>
      <c r="AM153" s="171" t="n">
        <v>-0</v>
      </c>
      <c r="AN153" s="1" t="n">
        <v>0.0552835536477381</v>
      </c>
      <c r="AO153" s="1" t="n">
        <v>2.602085213965211e-15</v>
      </c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64" t="inlineStr">
        <is>
          <t>2015-09</t>
        </is>
      </c>
      <c r="B154" s="163" t="n">
        <v>0.0177075267346111</v>
      </c>
      <c r="C154" s="163" t="n">
        <v>0.0344646360449483</v>
      </c>
      <c r="D154" s="163" t="n">
        <v>-0.0167571093103371</v>
      </c>
      <c r="E154" s="170" t="n">
        <v>3066.408000000003</v>
      </c>
      <c r="F154" s="170" t="n">
        <v>3118.225073713346</v>
      </c>
      <c r="G154" s="163" t="n">
        <v>0.0056651267225528</v>
      </c>
      <c r="H154" s="163" t="n">
        <v>5.166535673433568e-05</v>
      </c>
      <c r="I154" s="163" t="n">
        <v>0.0080266427774007</v>
      </c>
      <c r="J154" s="163" t="n">
        <v>-3.448605906262306e-05</v>
      </c>
      <c r="K154" s="163" t="n">
        <v>2.22225442449793e-05</v>
      </c>
      <c r="L154" s="163" t="n">
        <v>0.0016035980986416</v>
      </c>
      <c r="M154" s="163" t="n">
        <v>0.003757600211585</v>
      </c>
      <c r="N154" s="163" t="n">
        <v>0.0041719491822409</v>
      </c>
      <c r="O154" s="163" t="n">
        <v>0.0007249991956407</v>
      </c>
      <c r="P154" s="163" t="n">
        <v>0.002641215975991</v>
      </c>
      <c r="Q154" s="163" t="n">
        <v>-6.732194584449911e-05</v>
      </c>
      <c r="R154" s="163" t="n">
        <v>-0.0014807723281334</v>
      </c>
      <c r="S154" s="163" t="n">
        <v>-0.0022540196199937</v>
      </c>
      <c r="T154" s="163" t="n">
        <v>-0.005010393214988</v>
      </c>
      <c r="U154" s="163" t="n">
        <v>0.0114224879381424</v>
      </c>
      <c r="V154" s="171" t="n">
        <v>-26.94571416629189</v>
      </c>
      <c r="W154" s="171" t="n">
        <v>-0.0022318653252397</v>
      </c>
      <c r="X154" s="171" t="n">
        <v>-6.52778649870111</v>
      </c>
      <c r="Y154" s="171" t="n">
        <v>4.01142756114127</v>
      </c>
      <c r="Z154" s="171" t="n">
        <v>4.154571238779788</v>
      </c>
      <c r="AA154" s="171" t="n">
        <v>0.0075864173605245</v>
      </c>
      <c r="AB154" s="171" t="n">
        <v>25.30611470204758</v>
      </c>
      <c r="AC154" s="171" t="n">
        <v>-0.0006211716837284</v>
      </c>
      <c r="AD154" s="171" t="n">
        <v>0.0003673943577795</v>
      </c>
      <c r="AE154" s="171" t="n">
        <v>0.0011665822331057</v>
      </c>
      <c r="AF154" s="171" t="n">
        <v>-0.0025127924116815</v>
      </c>
      <c r="AG154" s="171" t="n">
        <v>-0.0003405841354251</v>
      </c>
      <c r="AH154" s="171" t="n">
        <v>0.0007368457274777</v>
      </c>
      <c r="AI154" s="171" t="n">
        <v>0.000378507876204</v>
      </c>
      <c r="AJ154" s="171" t="n">
        <v>5.789096406471008e-05</v>
      </c>
      <c r="AK154" s="171" t="n">
        <v>0.0016194490012227</v>
      </c>
      <c r="AL154" s="171" t="n">
        <v>0.0004046102698497</v>
      </c>
      <c r="AM154" s="171" t="n">
        <v>-0</v>
      </c>
      <c r="AN154" s="1" t="n">
        <v>0.0344646360449454</v>
      </c>
      <c r="AO154" s="1" t="n">
        <v>2.900457651833221e-15</v>
      </c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64" t="inlineStr">
        <is>
          <t>2015-10</t>
        </is>
      </c>
      <c r="B155" s="163" t="n">
        <v>-0.0456845538988366</v>
      </c>
      <c r="C155" s="163" t="n">
        <v>-0.0151303884010668</v>
      </c>
      <c r="D155" s="163" t="n">
        <v>-0.0305541654977697</v>
      </c>
      <c r="E155" s="170" t="n">
        <v>2929.472258064516</v>
      </c>
      <c r="F155" s="170" t="n">
        <v>3020.361286739628</v>
      </c>
      <c r="G155" s="163" t="n">
        <v>0.0056651267225528</v>
      </c>
      <c r="H155" s="163" t="n">
        <v>-0.0001724529156382</v>
      </c>
      <c r="I155" s="163" t="n">
        <v>0.004521984651161</v>
      </c>
      <c r="J155" s="163" t="n">
        <v>8.621514765656073e-05</v>
      </c>
      <c r="K155" s="163" t="n">
        <v>-2.831714402040222e-05</v>
      </c>
      <c r="L155" s="163" t="n">
        <v>-0.0017383597491584</v>
      </c>
      <c r="M155" s="163" t="n">
        <v>-0.0061745750868285</v>
      </c>
      <c r="N155" s="163" t="n">
        <v>-0.0022989027933283</v>
      </c>
      <c r="O155" s="163" t="n">
        <v>-0.0001176088804208</v>
      </c>
      <c r="P155" s="163" t="n">
        <v>-0.0043136819067959</v>
      </c>
      <c r="Q155" s="163" t="n">
        <v>7.148377967899324e-05</v>
      </c>
      <c r="R155" s="163" t="n">
        <v>-0.0011432176654662</v>
      </c>
      <c r="S155" s="163" t="n">
        <v>-0.0001115634123515</v>
      </c>
      <c r="T155" s="163" t="n">
        <v>-0.0048125735166232</v>
      </c>
      <c r="U155" s="163" t="n">
        <v>-0.0028495973500558</v>
      </c>
      <c r="V155" s="171" t="n">
        <v>22.45457128056893</v>
      </c>
      <c r="W155" s="171" t="n">
        <v>0.0120428160370039</v>
      </c>
      <c r="X155" s="171" t="n">
        <v>28.48522642245348</v>
      </c>
      <c r="Y155" s="171" t="n">
        <v>-72.13556624807335</v>
      </c>
      <c r="Z155" s="171" t="n">
        <v>14.24187020653704</v>
      </c>
      <c r="AA155" s="171" t="n">
        <v>-0.0019456280387451</v>
      </c>
      <c r="AB155" s="171" t="n">
        <v>6.940109812721472</v>
      </c>
      <c r="AC155" s="171" t="n">
        <v>0.0006975478402054</v>
      </c>
      <c r="AD155" s="171" t="n">
        <v>-0.0002805432550026</v>
      </c>
      <c r="AE155" s="171" t="n">
        <v>-0.0010027643024994</v>
      </c>
      <c r="AF155" s="171" t="n">
        <v>0.0021459961733886</v>
      </c>
      <c r="AG155" s="171" t="n">
        <v>-0.0002430056442948</v>
      </c>
      <c r="AH155" s="171" t="n">
        <v>-0.0002492534761007</v>
      </c>
      <c r="AI155" s="171" t="n">
        <v>-0.0009492683328777</v>
      </c>
      <c r="AJ155" s="171" t="n">
        <v>5.785340301483815e-05</v>
      </c>
      <c r="AK155" s="171" t="n">
        <v>0.0028131890304978</v>
      </c>
      <c r="AL155" s="171" t="n">
        <v>-0.0010127619235987</v>
      </c>
      <c r="AM155" s="171" t="n">
        <v>-0</v>
      </c>
      <c r="AN155" s="1" t="n">
        <v>-0.0151303884010628</v>
      </c>
      <c r="AO155" s="1" t="n">
        <v>-3.99853761212654e-15</v>
      </c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64" t="inlineStr">
        <is>
          <t>2015-11</t>
        </is>
      </c>
      <c r="B156" s="163" t="n">
        <v>0.0242486711350542</v>
      </c>
      <c r="C156" s="163" t="n">
        <v>0.0240341410756027</v>
      </c>
      <c r="D156" s="163" t="n">
        <v>0.0002145300594515</v>
      </c>
      <c r="E156" s="170" t="n">
        <v>3001.376333333332</v>
      </c>
      <c r="F156" s="170" t="n">
        <v>3000.732516951557</v>
      </c>
      <c r="G156" s="163" t="n">
        <v>0.0056651267225528</v>
      </c>
      <c r="H156" s="163" t="n">
        <v>-0.0003063477392638</v>
      </c>
      <c r="I156" s="163" t="n">
        <v>0.0016171840414762</v>
      </c>
      <c r="J156" s="163" t="n">
        <v>0.0008449084470342</v>
      </c>
      <c r="K156" s="163" t="n">
        <v>-4.250460284378489e-06</v>
      </c>
      <c r="L156" s="163" t="n">
        <v>0.0032674502998999</v>
      </c>
      <c r="M156" s="163" t="n">
        <v>-0.0005816759241101</v>
      </c>
      <c r="N156" s="163" t="n">
        <v>-0.0005762294285736</v>
      </c>
      <c r="O156" s="163" t="n">
        <v>-0.0005084766128484</v>
      </c>
      <c r="P156" s="163" t="n">
        <v>-0.0041456278090393</v>
      </c>
      <c r="Q156" s="163" t="n">
        <v>0.0002723297612347</v>
      </c>
      <c r="R156" s="163" t="n">
        <v>-0.0003151559785783</v>
      </c>
      <c r="S156" s="163" t="n">
        <v>0.0022902720277237</v>
      </c>
      <c r="T156" s="163" t="n">
        <v>-0.0042954068002605</v>
      </c>
      <c r="U156" s="163" t="n">
        <v>0.0098756181521006</v>
      </c>
      <c r="V156" s="171" t="n">
        <v>-34.63824315483824</v>
      </c>
      <c r="W156" s="171" t="n">
        <v>-0.0188755051971585</v>
      </c>
      <c r="X156" s="171" t="n">
        <v>-99.68853029310161</v>
      </c>
      <c r="Y156" s="171" t="n">
        <v>135.4628230262283</v>
      </c>
      <c r="Z156" s="171" t="n">
        <v>19.45170253996698</v>
      </c>
      <c r="AA156" s="171" t="n">
        <v>-0.00939927288219</v>
      </c>
      <c r="AB156" s="171" t="n">
        <v>-20.56032532414304</v>
      </c>
      <c r="AC156" s="171" t="n">
        <v>0.0002038803067814</v>
      </c>
      <c r="AD156" s="171" t="n">
        <v>-0.0004832300282286</v>
      </c>
      <c r="AE156" s="171" t="n">
        <v>-0.0003685903438642</v>
      </c>
      <c r="AF156" s="171" t="n">
        <v>0.0007359742703408</v>
      </c>
      <c r="AG156" s="171" t="n">
        <v>0.0012999287833114</v>
      </c>
      <c r="AH156" s="171" t="n">
        <v>0.0101194885992999</v>
      </c>
      <c r="AI156" s="171" t="n">
        <v>-7.819101418744341e-05</v>
      </c>
      <c r="AJ156" s="171" t="n">
        <v>-3.615397781712868e-05</v>
      </c>
      <c r="AK156" s="171" t="n">
        <v>0.0042758316630118</v>
      </c>
      <c r="AL156" s="171" t="n">
        <v>-0.0038865319151165</v>
      </c>
      <c r="AM156" s="171" t="n">
        <v>-0</v>
      </c>
      <c r="AN156" s="1" t="n">
        <v>0.0240341410755924</v>
      </c>
      <c r="AO156" s="1" t="n">
        <v>1.030078800035028e-14</v>
      </c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64" t="inlineStr">
        <is>
          <t>2015-12</t>
        </is>
      </c>
      <c r="B157" s="163" t="n">
        <v>0.0777983225593796</v>
      </c>
      <c r="C157" s="163" t="n">
        <v>0.0468215074935115</v>
      </c>
      <c r="D157" s="163" t="n">
        <v>0.0309768150658681</v>
      </c>
      <c r="E157" s="170" t="n">
        <v>3244.201612903228</v>
      </c>
      <c r="F157" s="170" t="n">
        <v>3145.247139345935</v>
      </c>
      <c r="G157" s="163" t="n">
        <v>0.0056651267225528</v>
      </c>
      <c r="H157" s="163" t="n">
        <v>-0.0010607005554178</v>
      </c>
      <c r="I157" s="163" t="n">
        <v>0.0030280406651401</v>
      </c>
      <c r="J157" s="163" t="n">
        <v>0.0016380878054746</v>
      </c>
      <c r="K157" s="163" t="n">
        <v>-2.207405691200471e-05</v>
      </c>
      <c r="L157" s="163" t="n">
        <v>0.0019737077892388</v>
      </c>
      <c r="M157" s="163" t="n">
        <v>0.0017578173481798</v>
      </c>
      <c r="N157" s="163" t="n">
        <v>0.009269882371332</v>
      </c>
      <c r="O157" s="163" t="n">
        <v>0.0003486339804644</v>
      </c>
      <c r="P157" s="163" t="n">
        <v>0.0097889495649641</v>
      </c>
      <c r="Q157" s="163" t="n">
        <v>-0.0003343273339549</v>
      </c>
      <c r="R157" s="163" t="n">
        <v>-0.0001078268142273</v>
      </c>
      <c r="S157" s="163" t="n">
        <v>-0.001365874285544</v>
      </c>
      <c r="T157" s="163" t="n">
        <v>-0.004349779028427</v>
      </c>
      <c r="U157" s="163" t="n">
        <v>0.009608644065814799</v>
      </c>
      <c r="V157" s="171" t="n">
        <v>-10.02969516859358</v>
      </c>
      <c r="W157" s="171" t="n">
        <v>-0.0053961400651321</v>
      </c>
      <c r="X157" s="171" t="n">
        <v>-40.70623641388072</v>
      </c>
      <c r="Y157" s="171" t="n">
        <v>-14.32752885911091</v>
      </c>
      <c r="Z157" s="171" t="n">
        <v>49.19843260963019</v>
      </c>
      <c r="AA157" s="171" t="n">
        <v>0.0028270332867436</v>
      </c>
      <c r="AB157" s="171" t="n">
        <v>15.86596533142946</v>
      </c>
      <c r="AC157" s="171" t="n">
        <v>-0.000135790155118</v>
      </c>
      <c r="AD157" s="171" t="n">
        <v>0.0011198816146606</v>
      </c>
      <c r="AE157" s="171" t="n">
        <v>0.0017064367771493</v>
      </c>
      <c r="AF157" s="171" t="n">
        <v>-0.0049541310107086</v>
      </c>
      <c r="AG157" s="171" t="n">
        <v>0.0022062514510854</v>
      </c>
      <c r="AH157" s="171" t="n">
        <v>0.0098715461636082</v>
      </c>
      <c r="AI157" s="171" t="n">
        <v>0.0007492079666209</v>
      </c>
      <c r="AJ157" s="171" t="n">
        <v>2.892435489432968e-05</v>
      </c>
      <c r="AK157" s="171" t="n">
        <v>0.0028484893206569</v>
      </c>
      <c r="AL157" s="171" t="n">
        <v>-0.0008260099240752</v>
      </c>
      <c r="AM157" s="171" t="n">
        <v>-0</v>
      </c>
      <c r="AN157" s="1" t="n">
        <v>0.0468215074934952</v>
      </c>
      <c r="AO157" s="1" t="n">
        <v>1.629946178027808e-14</v>
      </c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64" t="inlineStr">
        <is>
          <t>2016-01</t>
        </is>
      </c>
      <c r="B158" s="163" t="n">
        <v>0.0079803816811043</v>
      </c>
      <c r="C158" s="163" t="n">
        <v>0.0453496055664018</v>
      </c>
      <c r="D158" s="163" t="n">
        <v>-0.0373692238852974</v>
      </c>
      <c r="E158" s="170" t="n">
        <v>3270.195161290325</v>
      </c>
      <c r="F158" s="170" t="n">
        <v>3394.711872991154</v>
      </c>
      <c r="G158" s="163" t="n">
        <v>0.0056651267225528</v>
      </c>
      <c r="H158" s="163" t="n">
        <v>-0.0015592614672025</v>
      </c>
      <c r="I158" s="163" t="n">
        <v>0.0020950597707768</v>
      </c>
      <c r="J158" s="163" t="n">
        <v>0.0008404586329616</v>
      </c>
      <c r="K158" s="163" t="n">
        <v>-4.247557093689546e-06</v>
      </c>
      <c r="L158" s="163" t="n">
        <v>0.0043486302765049</v>
      </c>
      <c r="M158" s="163" t="n">
        <v>0.0045444578449897</v>
      </c>
      <c r="N158" s="163" t="n">
        <v>0.0149197237868286</v>
      </c>
      <c r="O158" s="163" t="n">
        <v>0.0001357066393699</v>
      </c>
      <c r="P158" s="163" t="n">
        <v>-0.0056555281466557</v>
      </c>
      <c r="Q158" s="163" t="n">
        <v>7.35872599876047e-05</v>
      </c>
      <c r="R158" s="163" t="n">
        <v>1.950023577275843e-05</v>
      </c>
      <c r="S158" s="163" t="n">
        <v>-0.0006519838764145</v>
      </c>
      <c r="T158" s="163" t="n">
        <v>-0.009095922195085201</v>
      </c>
      <c r="U158" s="163" t="n">
        <v>0.0203861935932215</v>
      </c>
      <c r="V158" s="171" t="n">
        <v>17.85139988633791</v>
      </c>
      <c r="W158" s="171" t="n">
        <v>0.0128993555055694</v>
      </c>
      <c r="X158" s="171" t="n">
        <v>34.58430758408829</v>
      </c>
      <c r="Y158" s="171" t="n">
        <v>-110.4334786805764</v>
      </c>
      <c r="Z158" s="171" t="n">
        <v>30.83107316298483</v>
      </c>
      <c r="AA158" s="171" t="n">
        <v>0.0049136044590042</v>
      </c>
      <c r="AB158" s="171" t="n">
        <v>27.14328662859348</v>
      </c>
      <c r="AC158" s="171" t="n">
        <v>-0.0006026117760854</v>
      </c>
      <c r="AD158" s="171" t="n">
        <v>0.0010546107622685</v>
      </c>
      <c r="AE158" s="171" t="n">
        <v>0.001799515146812</v>
      </c>
      <c r="AF158" s="171" t="n">
        <v>-0.0033273658759422</v>
      </c>
      <c r="AG158" s="171" t="n">
        <v>0.0030880795961348</v>
      </c>
      <c r="AH158" s="171" t="n">
        <v>0.0100163782391591</v>
      </c>
      <c r="AI158" s="171" t="n">
        <v>0.0020389636536087</v>
      </c>
      <c r="AJ158" s="171" t="n">
        <v>0.000151699120289</v>
      </c>
      <c r="AK158" s="171" t="n">
        <v>-0.003028347327082</v>
      </c>
      <c r="AL158" s="171" t="n">
        <v>0.003695641114053</v>
      </c>
      <c r="AM158" s="171" t="n">
        <v>-0</v>
      </c>
      <c r="AN158" s="1" t="n">
        <v>0.0453496055664025</v>
      </c>
      <c r="AO158" s="1" t="n">
        <v>-7.008282842946301e-16</v>
      </c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64" t="inlineStr">
        <is>
          <t>2016-02</t>
        </is>
      </c>
      <c r="B159" s="163" t="n">
        <v>0.0255892573355254</v>
      </c>
      <c r="C159" s="163" t="n">
        <v>0.0062137971140732</v>
      </c>
      <c r="D159" s="163" t="n">
        <v>0.0193754602214521</v>
      </c>
      <c r="E159" s="170" t="n">
        <v>3354.956896551724</v>
      </c>
      <c r="F159" s="170" t="n">
        <v>3290.578754716676</v>
      </c>
      <c r="G159" s="163" t="n">
        <v>0.0056651267225528</v>
      </c>
      <c r="H159" s="163" t="n">
        <v>0.0012955652900773</v>
      </c>
      <c r="I159" s="163" t="n">
        <v>0.0023819218576561</v>
      </c>
      <c r="J159" s="163" t="n">
        <v>0.0002113661684483</v>
      </c>
      <c r="K159" s="163" t="n">
        <v>-1.19708329485472e-05</v>
      </c>
      <c r="L159" s="163" t="n">
        <v>-0.0016807637571418</v>
      </c>
      <c r="M159" s="163" t="n">
        <v>-0.0008603786932679</v>
      </c>
      <c r="N159" s="163" t="n">
        <v>0.0071589589341165</v>
      </c>
      <c r="O159" s="163" t="n">
        <v>-1.619112952661675e-05</v>
      </c>
      <c r="P159" s="163" t="n">
        <v>0.005061970087293</v>
      </c>
      <c r="Q159" s="163" t="n">
        <v>4.080348603832935e-05</v>
      </c>
      <c r="R159" s="163" t="n">
        <v>-0.0003436385095977</v>
      </c>
      <c r="S159" s="163" t="n">
        <v>-0.0031666888222283</v>
      </c>
      <c r="T159" s="163" t="n">
        <v>-0.0089803959932786</v>
      </c>
      <c r="U159" s="163" t="n">
        <v>0.002384945213989</v>
      </c>
      <c r="V159" s="171" t="n">
        <v>55.23205520353046</v>
      </c>
      <c r="W159" s="171" t="n">
        <v>0.0184934214146121</v>
      </c>
      <c r="X159" s="171" t="n">
        <v>68.94761590527028</v>
      </c>
      <c r="Y159" s="171" t="n">
        <v>-214.429036904636</v>
      </c>
      <c r="Z159" s="171" t="n">
        <v>58.07675134690254</v>
      </c>
      <c r="AA159" s="171" t="n">
        <v>0.0109312634638791</v>
      </c>
      <c r="AB159" s="171" t="n">
        <v>32.14336574438698</v>
      </c>
      <c r="AC159" s="171" t="n">
        <v>-4.248899777738987e-05</v>
      </c>
      <c r="AD159" s="171" t="n">
        <v>0.0003138199326958</v>
      </c>
      <c r="AE159" s="171" t="n">
        <v>0.0002606194350555</v>
      </c>
      <c r="AF159" s="171" t="n">
        <v>-0.0005430489761738</v>
      </c>
      <c r="AG159" s="171" t="n">
        <v>-0.0006819637511919</v>
      </c>
      <c r="AH159" s="171" t="n">
        <v>-0.0033331384516945</v>
      </c>
      <c r="AI159" s="171" t="n">
        <v>-0.0005351162172104</v>
      </c>
      <c r="AJ159" s="171" t="n">
        <v>-0.0001227841449991</v>
      </c>
      <c r="AK159" s="171" t="n">
        <v>0.0030119668841768</v>
      </c>
      <c r="AL159" s="171" t="n">
        <v>-0.0014306789537942</v>
      </c>
      <c r="AM159" s="171" t="n">
        <v>-0</v>
      </c>
      <c r="AN159" s="1" t="n">
        <v>0.0062137971140728</v>
      </c>
      <c r="AO159" s="1" t="n">
        <v>3.99853761212654e-16</v>
      </c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64" t="inlineStr">
        <is>
          <t>2016-03</t>
        </is>
      </c>
      <c r="B160" s="163" t="n">
        <v>-0.0697928837773602</v>
      </c>
      <c r="C160" s="163" t="n">
        <v>-0.0603328700532196</v>
      </c>
      <c r="D160" s="163" t="n">
        <v>-0.0094600137241406</v>
      </c>
      <c r="E160" s="170" t="n">
        <v>3128.789032258063</v>
      </c>
      <c r="F160" s="170" t="n">
        <v>3158.52786253283</v>
      </c>
      <c r="G160" s="163" t="n">
        <v>0.0056651267225528</v>
      </c>
      <c r="H160" s="163" t="n">
        <v>0.0014262647318679</v>
      </c>
      <c r="I160" s="163" t="n">
        <v>0.0034821364660243</v>
      </c>
      <c r="J160" s="163" t="n">
        <v>0.0009620421304021</v>
      </c>
      <c r="K160" s="163" t="n">
        <v>-3.695136875010273e-05</v>
      </c>
      <c r="L160" s="163" t="n">
        <v>-0.0042761309194343</v>
      </c>
      <c r="M160" s="163" t="n">
        <v>-0.0058147359446522</v>
      </c>
      <c r="N160" s="163" t="n">
        <v>-0.0233110615714537</v>
      </c>
      <c r="O160" s="163" t="n">
        <v>-0.0005852970288526</v>
      </c>
      <c r="P160" s="163" t="n">
        <v>0.0005491568182404</v>
      </c>
      <c r="Q160" s="163" t="n">
        <v>1.058852371367691e-05</v>
      </c>
      <c r="R160" s="163" t="n">
        <v>-0.0002480323098388</v>
      </c>
      <c r="S160" s="163" t="n">
        <v>0.0014025737797679</v>
      </c>
      <c r="T160" s="163" t="n">
        <v>-0.0066224575239943</v>
      </c>
      <c r="U160" s="163" t="n">
        <v>-0.029874074211176</v>
      </c>
      <c r="V160" s="171" t="n">
        <v>38.50322669836464</v>
      </c>
      <c r="W160" s="171" t="n">
        <v>0.0167638209911515</v>
      </c>
      <c r="X160" s="171" t="n">
        <v>-58.78081898728564</v>
      </c>
      <c r="Y160" s="171" t="n">
        <v>76.85530531913605</v>
      </c>
      <c r="Z160" s="171" t="n">
        <v>13.25723682294633</v>
      </c>
      <c r="AA160" s="171" t="n">
        <v>-0.0332533875661442</v>
      </c>
      <c r="AB160" s="171" t="n">
        <v>-69.80681883261008</v>
      </c>
      <c r="AC160" s="171" t="n">
        <v>-0.0002125936167759</v>
      </c>
      <c r="AD160" s="171" t="n">
        <v>-0.0019453860420197</v>
      </c>
      <c r="AE160" s="171" t="n">
        <v>-0.0012534553781242</v>
      </c>
      <c r="AF160" s="171" t="n">
        <v>0.0024056116926998</v>
      </c>
      <c r="AG160" s="171" t="n">
        <v>-0.0024839304023962</v>
      </c>
      <c r="AH160" s="171" t="n">
        <v>-0.0121856006422163</v>
      </c>
      <c r="AI160" s="171" t="n">
        <v>-0.0011115344896719</v>
      </c>
      <c r="AJ160" s="171" t="n">
        <v>-0.0001736306676391</v>
      </c>
      <c r="AK160" s="171" t="n">
        <v>0.0043152497019886</v>
      </c>
      <c r="AL160" s="171" t="n">
        <v>-0.0020582024797861</v>
      </c>
      <c r="AM160" s="171" t="n">
        <v>-0</v>
      </c>
      <c r="AN160" s="1" t="n">
        <v>-0.0603328700531987</v>
      </c>
      <c r="AO160" s="1" t="n">
        <v>-2.089994843856857e-14</v>
      </c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64" t="inlineStr">
        <is>
          <t>2016-04</t>
        </is>
      </c>
      <c r="B161" s="163" t="n">
        <v>-0.0427917042111971</v>
      </c>
      <c r="C161" s="163" t="n">
        <v>-0.0288455384975043</v>
      </c>
      <c r="D161" s="163" t="n">
        <v>-0.0139461657136927</v>
      </c>
      <c r="E161" s="170" t="n">
        <v>2997.727000000002</v>
      </c>
      <c r="F161" s="170" t="n">
        <v>3039.826679713525</v>
      </c>
      <c r="G161" s="163" t="n">
        <v>0.0056651267225528</v>
      </c>
      <c r="H161" s="163" t="n">
        <v>0.0003126727663098</v>
      </c>
      <c r="I161" s="163" t="n">
        <v>-0.0008142176176902</v>
      </c>
      <c r="J161" s="163" t="n">
        <v>0.0009714020841409999</v>
      </c>
      <c r="K161" s="163" t="n">
        <v>1.976230334720898e-05</v>
      </c>
      <c r="L161" s="163" t="n">
        <v>-0.0034239010538134</v>
      </c>
      <c r="M161" s="163" t="n">
        <v>-0.0017025566017099</v>
      </c>
      <c r="N161" s="163" t="n">
        <v>-0.0062510719938259</v>
      </c>
      <c r="O161" s="163" t="n">
        <v>-0.0018998655642376</v>
      </c>
      <c r="P161" s="163" t="n">
        <v>-0.005964290839315</v>
      </c>
      <c r="Q161" s="163" t="n">
        <v>0.0002817370933707</v>
      </c>
      <c r="R161" s="163" t="n">
        <v>0.0012257245847665</v>
      </c>
      <c r="S161" s="163" t="n">
        <v>0.0008173290915927</v>
      </c>
      <c r="T161" s="163" t="n">
        <v>-0.003481056563002</v>
      </c>
      <c r="U161" s="163" t="n">
        <v>-0.0193076425550148</v>
      </c>
      <c r="V161" s="171" t="n">
        <v>41.95267592717001</v>
      </c>
      <c r="W161" s="171" t="n">
        <v>0.0186138368811687</v>
      </c>
      <c r="X161" s="171" t="n">
        <v>44.40963571615388</v>
      </c>
      <c r="Y161" s="171" t="n">
        <v>-58.80388129400095</v>
      </c>
      <c r="Z161" s="171" t="n">
        <v>-9.576286705387409</v>
      </c>
      <c r="AA161" s="171" t="n">
        <v>-0.007436282283519</v>
      </c>
      <c r="AB161" s="171" t="n">
        <v>-17.98314168845973</v>
      </c>
      <c r="AC161" s="171" t="n">
        <v>0.000312285773345</v>
      </c>
      <c r="AD161" s="171" t="n">
        <v>-0.0001244027904513</v>
      </c>
      <c r="AE161" s="171" t="n">
        <v>-0.0007098776992941</v>
      </c>
      <c r="AF161" s="171" t="n">
        <v>-0.0005382853886635</v>
      </c>
      <c r="AG161" s="171" t="n">
        <v>-0.0012235800394322</v>
      </c>
      <c r="AH161" s="171" t="n">
        <v>-0.0059005341641841</v>
      </c>
      <c r="AI161" s="171" t="n">
        <v>-0.000331661161481</v>
      </c>
      <c r="AJ161" s="171" t="n">
        <v>8.685759686902065e-05</v>
      </c>
      <c r="AK161" s="171" t="n">
        <v>-0.0019563842513028</v>
      </c>
      <c r="AL161" s="171" t="n">
        <v>0.0049113816961698</v>
      </c>
      <c r="AM161" s="171" t="n">
        <v>-0</v>
      </c>
      <c r="AN161" s="1" t="n">
        <v>-0.0288455384975083</v>
      </c>
      <c r="AO161" s="1" t="n">
        <v>4.000272335602517e-15</v>
      </c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64" t="inlineStr">
        <is>
          <t>2016-05</t>
        </is>
      </c>
      <c r="B162" s="163" t="n">
        <v>-0.00140826167822</v>
      </c>
      <c r="C162" s="163" t="n">
        <v>0.0077436667553026</v>
      </c>
      <c r="D162" s="163" t="n">
        <v>-0.009151928433522701</v>
      </c>
      <c r="E162" s="170" t="n">
        <v>2993.508387096776</v>
      </c>
      <c r="F162" s="170" t="n">
        <v>3021.030509770071</v>
      </c>
      <c r="G162" s="163" t="n">
        <v>0.0056651267225528</v>
      </c>
      <c r="H162" s="163" t="n">
        <v>0.0009226621547105</v>
      </c>
      <c r="I162" s="163" t="n">
        <v>0.0018086638281406</v>
      </c>
      <c r="J162" s="163" t="n">
        <v>0.0005495520379656</v>
      </c>
      <c r="K162" s="163" t="n">
        <v>-3.86146421285856e-05</v>
      </c>
      <c r="L162" s="163" t="n">
        <v>0.0020569981439003</v>
      </c>
      <c r="M162" s="163" t="n">
        <v>0.0006275659066819999</v>
      </c>
      <c r="N162" s="163" t="n">
        <v>0.0012276453692263</v>
      </c>
      <c r="O162" s="163" t="n">
        <v>-0.0003423197072857</v>
      </c>
      <c r="P162" s="163" t="n">
        <v>0.0051962486985611</v>
      </c>
      <c r="Q162" s="163" t="n">
        <v>-0.0002437435736263</v>
      </c>
      <c r="R162" s="163" t="n">
        <v>2.001967730268072e-05</v>
      </c>
      <c r="S162" s="163" t="n">
        <v>-0.0009088114235963</v>
      </c>
      <c r="T162" s="163" t="n">
        <v>-0.0036175652066912</v>
      </c>
      <c r="U162" s="163" t="n">
        <v>0.009416736812153499</v>
      </c>
      <c r="V162" s="171" t="n">
        <v>-6.12412986943416</v>
      </c>
      <c r="W162" s="171" t="n">
        <v>-0.0003720263765657</v>
      </c>
      <c r="X162" s="171" t="n">
        <v>-19.97924727345232</v>
      </c>
      <c r="Y162" s="171" t="n">
        <v>0.6662335984412796</v>
      </c>
      <c r="Z162" s="171" t="n">
        <v>19.58464881960789</v>
      </c>
      <c r="AA162" s="171" t="n">
        <v>-0.0039402797761044</v>
      </c>
      <c r="AB162" s="171" t="n">
        <v>5.848663971445352</v>
      </c>
      <c r="AC162" s="171" t="n">
        <v>0.0003080684569937</v>
      </c>
      <c r="AD162" s="171" t="n">
        <v>-0.0001413318299766</v>
      </c>
      <c r="AE162" s="171" t="n">
        <v>9.556045952036512e-05</v>
      </c>
      <c r="AF162" s="171" t="n">
        <v>-0.0005335218011532</v>
      </c>
      <c r="AG162" s="171" t="n">
        <v>-0.0016917398630053</v>
      </c>
      <c r="AH162" s="171" t="n">
        <v>-0.0066416621025247</v>
      </c>
      <c r="AI162" s="171" t="n">
        <v>0.0026213792108052</v>
      </c>
      <c r="AJ162" s="171" t="n">
        <v>-0.0001593036150471</v>
      </c>
      <c r="AK162" s="171" t="n">
        <v>0.0013154926319651</v>
      </c>
      <c r="AL162" s="171" t="n">
        <v>-0.0016263800455085</v>
      </c>
      <c r="AM162" s="171" t="n">
        <v>-0</v>
      </c>
      <c r="AN162" s="1" t="n">
        <v>0.0077436667553027</v>
      </c>
      <c r="AO162" s="1" t="n">
        <v>-1.006139616066548e-16</v>
      </c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64" t="inlineStr">
        <is>
          <t>2016-06</t>
        </is>
      </c>
      <c r="B163" s="163" t="n">
        <v>-0.0002170666873002</v>
      </c>
      <c r="C163" s="163" t="n">
        <v>-0.0033085925651386</v>
      </c>
      <c r="D163" s="163" t="n">
        <v>0.0030915258778384</v>
      </c>
      <c r="E163" s="170" t="n">
        <v>2992.858666666666</v>
      </c>
      <c r="F163" s="170" t="n">
        <v>2983.620454094443</v>
      </c>
      <c r="G163" s="163" t="n">
        <v>0.0056651267225528</v>
      </c>
      <c r="H163" s="163" t="n">
        <v>0.0003136867126886</v>
      </c>
      <c r="I163" s="163" t="n">
        <v>0.0026996623804121</v>
      </c>
      <c r="J163" s="163" t="n">
        <v>0.0016964916151774</v>
      </c>
      <c r="K163" s="163" t="n">
        <v>-8.189152634466087e-06</v>
      </c>
      <c r="L163" s="163" t="n">
        <v>0.0007620684911357</v>
      </c>
      <c r="M163" s="163" t="n">
        <v>0.0029735356087417</v>
      </c>
      <c r="N163" s="163" t="n">
        <v>-0.0029052068267335</v>
      </c>
      <c r="O163" s="163" t="n">
        <v>-0.0012019896858378</v>
      </c>
      <c r="P163" s="163" t="n">
        <v>0.009349288942881799</v>
      </c>
      <c r="Q163" s="163" t="n">
        <v>-0.0001474389669074</v>
      </c>
      <c r="R163" s="163" t="n">
        <v>0.0002145964435213</v>
      </c>
      <c r="S163" s="163" t="n">
        <v>-0.0001363212795323</v>
      </c>
      <c r="T163" s="163" t="n">
        <v>-0.0033699646471623</v>
      </c>
      <c r="U163" s="163" t="n">
        <v>-0.0036895148711131</v>
      </c>
      <c r="V163" s="171" t="n">
        <v>10.80675005286217</v>
      </c>
      <c r="W163" s="171" t="n">
        <v>0.0048378075661287</v>
      </c>
      <c r="X163" s="171" t="n">
        <v>35.23775089339569</v>
      </c>
      <c r="Y163" s="171" t="n">
        <v>-113.6804908498217</v>
      </c>
      <c r="Z163" s="171" t="n">
        <v>32.10361833342304</v>
      </c>
      <c r="AA163" s="171" t="n">
        <v>0.0086373628995633</v>
      </c>
      <c r="AB163" s="171" t="n">
        <v>35.51199047439879</v>
      </c>
      <c r="AC163" s="171" t="n">
        <v>-0.0019408572889411</v>
      </c>
      <c r="AD163" s="171" t="n">
        <v>0.0005038526763777</v>
      </c>
      <c r="AE163" s="171" t="n">
        <v>0.000521238870111</v>
      </c>
      <c r="AF163" s="171" t="n">
        <v>-0.0014767121281919</v>
      </c>
      <c r="AG163" s="171" t="n">
        <v>-0.0004583735623026</v>
      </c>
      <c r="AH163" s="171" t="n">
        <v>-0.0043380388786823</v>
      </c>
      <c r="AI163" s="171" t="n">
        <v>-0.0006583434450688</v>
      </c>
      <c r="AJ163" s="171" t="n">
        <v>0.0001303604826762</v>
      </c>
      <c r="AK163" s="171" t="n">
        <v>-0.0027305576637689</v>
      </c>
      <c r="AL163" s="171" t="n">
        <v>0.0018289321618067</v>
      </c>
      <c r="AM163" s="171" t="n">
        <v>-0</v>
      </c>
      <c r="AN163" s="1" t="n">
        <v>-0.0033085925651367</v>
      </c>
      <c r="AO163" s="1" t="n">
        <v>-1.899955887063598e-15</v>
      </c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64" t="inlineStr">
        <is>
          <t>2016-07</t>
        </is>
      </c>
      <c r="B164" s="163" t="n">
        <v>-0.0107020662851642</v>
      </c>
      <c r="C164" s="163" t="n">
        <v>-0.0174528089743262</v>
      </c>
      <c r="D164" s="163" t="n">
        <v>0.0067507426891619</v>
      </c>
      <c r="E164" s="170" t="n">
        <v>2960.999677419356</v>
      </c>
      <c r="F164" s="170" t="n">
        <v>2941.078049044481</v>
      </c>
      <c r="G164" s="163" t="n">
        <v>0.0056651267225528</v>
      </c>
      <c r="H164" s="163" t="n">
        <v>-0.000485693338789</v>
      </c>
      <c r="I164" s="163" t="n">
        <v>0.0002769803593873</v>
      </c>
      <c r="J164" s="163" t="n">
        <v>0.0010853838158741</v>
      </c>
      <c r="K164" s="163" t="n">
        <v>5.529395250256522e-06</v>
      </c>
      <c r="L164" s="163" t="n">
        <v>0.0016586272653675</v>
      </c>
      <c r="M164" s="163" t="n">
        <v>-0.004979199723415</v>
      </c>
      <c r="N164" s="163" t="n">
        <v>-0.0086043444423237</v>
      </c>
      <c r="O164" s="163" t="n">
        <v>0.0025535375174105</v>
      </c>
      <c r="P164" s="163" t="n">
        <v>-0.008811831436286201</v>
      </c>
      <c r="Q164" s="163" t="n">
        <v>-0.0001702607453008</v>
      </c>
      <c r="R164" s="163" t="n">
        <v>0.0002898282445384</v>
      </c>
      <c r="S164" s="163" t="n">
        <v>0.0046058223578688</v>
      </c>
      <c r="T164" s="163" t="n">
        <v>-0.0036580992130383</v>
      </c>
      <c r="U164" s="163" t="n">
        <v>-0.0132165151350023</v>
      </c>
      <c r="V164" s="171" t="n">
        <v>38.75014667630067</v>
      </c>
      <c r="W164" s="171" t="n">
        <v>0.004633730104968</v>
      </c>
      <c r="X164" s="171" t="n">
        <v>24.45282069871084</v>
      </c>
      <c r="Y164" s="171" t="n">
        <v>-98.24491032172448</v>
      </c>
      <c r="Z164" s="171" t="n">
        <v>33.74633580123653</v>
      </c>
      <c r="AA164" s="171" t="n">
        <v>0.004842111565192</v>
      </c>
      <c r="AB164" s="171" t="n">
        <v>1.285734629775466</v>
      </c>
      <c r="AC164" s="171" t="n">
        <v>0.0004784889102565</v>
      </c>
      <c r="AD164" s="171" t="n">
        <v>-0.0002491817817809</v>
      </c>
      <c r="AE164" s="171" t="n">
        <v>0.0001377559871007</v>
      </c>
      <c r="AF164" s="171" t="n">
        <v>-0.0006383207263797</v>
      </c>
      <c r="AG164" s="171" t="n">
        <v>0.0010233616474535</v>
      </c>
      <c r="AH164" s="171" t="n">
        <v>0.0011427051171506</v>
      </c>
      <c r="AI164" s="171" t="n">
        <v>0.0007472843092531</v>
      </c>
      <c r="AJ164" s="171" t="n">
        <v>0.0001518467414482</v>
      </c>
      <c r="AK164" s="171" t="n">
        <v>-0.000678731377336</v>
      </c>
      <c r="AL164" s="171" t="n">
        <v>0.0046137645852337</v>
      </c>
      <c r="AM164" s="171" t="n">
        <v>-0</v>
      </c>
      <c r="AN164" s="1" t="n">
        <v>-0.0174528089743331</v>
      </c>
      <c r="AO164" s="1" t="n">
        <v>6.900729987435739e-15</v>
      </c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64" t="inlineStr">
        <is>
          <t>2016-08</t>
        </is>
      </c>
      <c r="B165" s="163" t="n">
        <v>-0.0027843198110462</v>
      </c>
      <c r="C165" s="163" t="n">
        <v>-0.0065858830209581</v>
      </c>
      <c r="D165" s="163" t="n">
        <v>0.0038015632099119</v>
      </c>
      <c r="E165" s="170" t="n">
        <v>2952.766774193547</v>
      </c>
      <c r="F165" s="170" t="n">
        <v>2941.56295416536</v>
      </c>
      <c r="G165" s="163" t="n">
        <v>0.0056651267225528</v>
      </c>
      <c r="H165" s="163" t="n">
        <v>0.0002337054974592</v>
      </c>
      <c r="I165" s="163" t="n">
        <v>-0.0022470910632294</v>
      </c>
      <c r="J165" s="163" t="n">
        <v>0.0005977583570854</v>
      </c>
      <c r="K165" s="163" t="n">
        <v>-4.800658622392574e-05</v>
      </c>
      <c r="L165" s="163" t="n">
        <v>-0.0018788140763459</v>
      </c>
      <c r="M165" s="163" t="n">
        <v>-0.0009836963661</v>
      </c>
      <c r="N165" s="163" t="n">
        <v>-0.0043570518370219</v>
      </c>
      <c r="O165" s="163" t="n">
        <v>-0.000334274630576</v>
      </c>
      <c r="P165" s="163" t="n">
        <v>0.00589816270775</v>
      </c>
      <c r="Q165" s="163" t="n">
        <v>0.0002290204863877</v>
      </c>
      <c r="R165" s="163" t="n">
        <v>-7.830461725143094e-05</v>
      </c>
      <c r="S165" s="163" t="n">
        <v>-0.0073601552430358</v>
      </c>
      <c r="T165" s="163" t="n">
        <v>0.0022078378080249</v>
      </c>
      <c r="U165" s="163" t="n">
        <v>-0.0003466898887925</v>
      </c>
      <c r="V165" s="171" t="n">
        <v>-14.22101890055188</v>
      </c>
      <c r="W165" s="171" t="n">
        <v>-0.0143112981315907</v>
      </c>
      <c r="X165" s="171" t="n">
        <v>-26.95650971663573</v>
      </c>
      <c r="Y165" s="171" t="n">
        <v>36.83219851593232</v>
      </c>
      <c r="Z165" s="171" t="n">
        <v>5.139204622370589</v>
      </c>
      <c r="AA165" s="171" t="n">
        <v>0.0086833226170139</v>
      </c>
      <c r="AB165" s="171" t="n">
        <v>-0.7885839062622589</v>
      </c>
      <c r="AC165" s="171" t="n">
        <v>0.0012948090122857</v>
      </c>
      <c r="AD165" s="171" t="n">
        <v>0.0001809526224818</v>
      </c>
      <c r="AE165" s="171" t="n">
        <v>-0.0001377559871007</v>
      </c>
      <c r="AF165" s="171" t="n">
        <v>-0.0002072160566979</v>
      </c>
      <c r="AG165" s="171" t="n">
        <v>-0.0002839429103874</v>
      </c>
      <c r="AH165" s="171" t="n">
        <v>-0.0005666557153199</v>
      </c>
      <c r="AI165" s="171" t="n">
        <v>-0.0004267124667161</v>
      </c>
      <c r="AJ165" s="171" t="n">
        <v>-0.0001663218314586</v>
      </c>
      <c r="AK165" s="171" t="n">
        <v>0.0008738893297565</v>
      </c>
      <c r="AL165" s="171" t="n">
        <v>-0.0040070956269508</v>
      </c>
      <c r="AM165" s="171" t="n">
        <v>-0</v>
      </c>
      <c r="AN165" s="1" t="n">
        <v>-0.0065858830209585</v>
      </c>
      <c r="AO165" s="1" t="n">
        <v>4.007211229506424e-16</v>
      </c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64" t="inlineStr">
        <is>
          <t>2016-09</t>
        </is>
      </c>
      <c r="B166" s="163" t="n">
        <v>-0.0096993393205959</v>
      </c>
      <c r="C166" s="163" t="n">
        <v>0.0121403826754894</v>
      </c>
      <c r="D166" s="163" t="n">
        <v>-0.0218397219960853</v>
      </c>
      <c r="E166" s="170" t="n">
        <v>2924.265333333333</v>
      </c>
      <c r="F166" s="170" t="n">
        <v>2988.83297856636</v>
      </c>
      <c r="G166" s="163" t="n">
        <v>0.0056651267225528</v>
      </c>
      <c r="H166" s="163" t="n">
        <v>7.578662400333904e-05</v>
      </c>
      <c r="I166" s="163" t="n">
        <v>-0.0018807032522768</v>
      </c>
      <c r="J166" s="163" t="n">
        <v>0.0008276654175029</v>
      </c>
      <c r="K166" s="163" t="n">
        <v>-3.411284997836173e-05</v>
      </c>
      <c r="L166" s="163" t="n">
        <v>0.0015898270411422</v>
      </c>
      <c r="M166" s="163" t="n">
        <v>0.0022677923437244</v>
      </c>
      <c r="N166" s="163" t="n">
        <v>-0.0007436011424191</v>
      </c>
      <c r="O166" s="163" t="n">
        <v>0.00027634590467</v>
      </c>
      <c r="P166" s="163" t="n">
        <v>-0.0101215315047813</v>
      </c>
      <c r="Q166" s="163" t="n">
        <v>3.290244487453994e-05</v>
      </c>
      <c r="R166" s="163" t="n">
        <v>0.0002355708349445</v>
      </c>
      <c r="S166" s="163" t="n">
        <v>-0.000774103597041</v>
      </c>
      <c r="T166" s="163" t="n">
        <v>0.0003813594378678</v>
      </c>
      <c r="U166" s="163" t="n">
        <v>0.0118785011238203</v>
      </c>
      <c r="V166" s="171" t="n">
        <v>-7.845739405411493</v>
      </c>
      <c r="W166" s="171" t="n">
        <v>9.705884994917684e-05</v>
      </c>
      <c r="X166" s="171" t="n">
        <v>-13.94164710976884</v>
      </c>
      <c r="Y166" s="171" t="n">
        <v>51.86803888496497</v>
      </c>
      <c r="Z166" s="171" t="n">
        <v>-16.78197506192703</v>
      </c>
      <c r="AA166" s="171" t="n">
        <v>-0.0047021897587311</v>
      </c>
      <c r="AB166" s="171" t="n">
        <v>-13.28592450768003</v>
      </c>
      <c r="AC166" s="171" t="n">
        <v>-3.427730690830085e-05</v>
      </c>
      <c r="AD166" s="171" t="n">
        <v>0.0002957280904556</v>
      </c>
      <c r="AE166" s="171" t="n">
        <v>0.0004753202077441</v>
      </c>
      <c r="AF166" s="171" t="n">
        <v>-0.0028319527748714</v>
      </c>
      <c r="AG166" s="171" t="n">
        <v>-0.0002268804110067</v>
      </c>
      <c r="AH166" s="171" t="n">
        <v>-4.05177653666335e-05</v>
      </c>
      <c r="AI166" s="171" t="n">
        <v>-0.0014831398306148</v>
      </c>
      <c r="AJ166" s="171" t="n">
        <v>-1.447744024425032e-05</v>
      </c>
      <c r="AK166" s="171" t="n">
        <v>0.0006116862089872</v>
      </c>
      <c r="AL166" s="171" t="n">
        <v>-0.0024356011200897</v>
      </c>
      <c r="AM166" s="171" t="n">
        <v>-0</v>
      </c>
      <c r="AN166" s="1" t="n">
        <v>0.0121403826754873</v>
      </c>
      <c r="AO166" s="1" t="n">
        <v>2.100750129407913e-15</v>
      </c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64" t="inlineStr">
        <is>
          <t>2016-10</t>
        </is>
      </c>
      <c r="B167" s="163" t="n">
        <v>0.0017504887083177</v>
      </c>
      <c r="C167" s="163" t="n">
        <v>0.0128605124326348</v>
      </c>
      <c r="D167" s="163" t="n">
        <v>-0.011110023724317</v>
      </c>
      <c r="E167" s="170" t="n">
        <v>2929.388709677419</v>
      </c>
      <c r="F167" s="170" t="n">
        <v>2962.115750206678</v>
      </c>
      <c r="G167" s="163" t="n">
        <v>0.0056651267225528</v>
      </c>
      <c r="H167" s="163" t="n">
        <v>0.0006439840856096</v>
      </c>
      <c r="I167" s="163" t="n">
        <v>-0.0014930044465846</v>
      </c>
      <c r="J167" s="163" t="n">
        <v>0</v>
      </c>
      <c r="K167" s="163" t="n">
        <v>-1.856459009085758e-05</v>
      </c>
      <c r="L167" s="163" t="n">
        <v>0.0020764665288645</v>
      </c>
      <c r="M167" s="163" t="n">
        <v>0.0004204921175575</v>
      </c>
      <c r="N167" s="163" t="n">
        <v>-0.0006291607330772</v>
      </c>
      <c r="O167" s="163" t="n">
        <v>-0.0003514185174188</v>
      </c>
      <c r="P167" s="163" t="n">
        <v>0.0046624678332121</v>
      </c>
      <c r="Q167" s="163" t="n">
        <v>-8.533848740753041e-05</v>
      </c>
      <c r="R167" s="163" t="n">
        <v>0.0008592995197269</v>
      </c>
      <c r="S167" s="163" t="n">
        <v>0.0022518696025487</v>
      </c>
      <c r="T167" s="163" t="n">
        <v>0.0004579029949195</v>
      </c>
      <c r="U167" s="163" t="n">
        <v>-0.0059282568046232</v>
      </c>
      <c r="V167" s="171" t="n">
        <v>5.205324627461558</v>
      </c>
      <c r="W167" s="171" t="n">
        <v>0.0086973127000233</v>
      </c>
      <c r="X167" s="171" t="n">
        <v>-29.92961446216224</v>
      </c>
      <c r="Y167" s="171" t="n">
        <v>93.98802827694706</v>
      </c>
      <c r="Z167" s="171" t="n">
        <v>-25.7483707094616</v>
      </c>
      <c r="AA167" s="171" t="n">
        <v>-0.0186882424424984</v>
      </c>
      <c r="AB167" s="171" t="n">
        <v>-43.49783111933759</v>
      </c>
      <c r="AC167" s="171" t="n">
        <v>0.0001736902668215</v>
      </c>
      <c r="AD167" s="171" t="n">
        <v>-0.0006690219620092</v>
      </c>
      <c r="AE167" s="171" t="n">
        <v>-0.0005683985774068</v>
      </c>
      <c r="AF167" s="171" t="n">
        <v>0.0017958724913818</v>
      </c>
      <c r="AG167" s="171" t="n">
        <v>-0.0008898642844468</v>
      </c>
      <c r="AH167" s="171" t="n">
        <v>-0.0056858304776577</v>
      </c>
      <c r="AI167" s="171" t="n">
        <v>0.0008951796139463</v>
      </c>
      <c r="AJ167" s="171" t="n">
        <v>-7.239601698353913e-06</v>
      </c>
      <c r="AK167" s="171" t="n">
        <v>-9.035672861070457e-05</v>
      </c>
      <c r="AL167" s="171" t="n">
        <v>0.0018289321618067</v>
      </c>
      <c r="AM167" s="171" t="n">
        <v>-0</v>
      </c>
      <c r="AN167" s="1" t="n">
        <v>0.0128605124326342</v>
      </c>
      <c r="AO167" s="1" t="n">
        <v>6.002143226879753e-16</v>
      </c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64" t="inlineStr">
        <is>
          <t>2016-11</t>
        </is>
      </c>
      <c r="B168" s="163" t="n">
        <v>0.0599121255411452</v>
      </c>
      <c r="C168" s="163" t="n">
        <v>0.0545717530390984</v>
      </c>
      <c r="D168" s="163" t="n">
        <v>0.0053403725020468</v>
      </c>
      <c r="E168" s="170" t="n">
        <v>3110.258666666669</v>
      </c>
      <c r="F168" s="170" t="n">
        <v>3093.692999595867</v>
      </c>
      <c r="G168" s="163" t="n">
        <v>0.0056651267225528</v>
      </c>
      <c r="H168" s="163" t="n">
        <v>-0.0003421006895153</v>
      </c>
      <c r="I168" s="163" t="n">
        <v>0.0013064166331715</v>
      </c>
      <c r="J168" s="163" t="n">
        <v>0</v>
      </c>
      <c r="K168" s="163" t="n">
        <v>-1.327008104587535e-05</v>
      </c>
      <c r="L168" s="163" t="n">
        <v>0.0046439212119741</v>
      </c>
      <c r="M168" s="163" t="n">
        <v>0.0007230139109521</v>
      </c>
      <c r="N168" s="163" t="n">
        <v>0.0062753670441637</v>
      </c>
      <c r="O168" s="163" t="n">
        <v>0.0007065485112639</v>
      </c>
      <c r="P168" s="163" t="n">
        <v>0.007545756384003</v>
      </c>
      <c r="Q168" s="163" t="n">
        <v>-0.0002030269035325</v>
      </c>
      <c r="R168" s="163" t="n">
        <v>-8.719507979632525e-05</v>
      </c>
      <c r="S168" s="163" t="n">
        <v>-0.0013476820186239</v>
      </c>
      <c r="T168" s="163" t="n">
        <v>-0.0008392624327873</v>
      </c>
      <c r="U168" s="163" t="n">
        <v>0.0151425586171632</v>
      </c>
      <c r="V168" s="171" t="n">
        <v>-63.58761005875684</v>
      </c>
      <c r="W168" s="171" t="n">
        <v>-0.0190407200604523</v>
      </c>
      <c r="X168" s="171" t="n">
        <v>-56.70375824568548</v>
      </c>
      <c r="Y168" s="171" t="n">
        <v>264.7401930648224</v>
      </c>
      <c r="Z168" s="171" t="n">
        <v>-100.1251668545928</v>
      </c>
      <c r="AA168" s="171" t="n">
        <v>-0.0131751190025264</v>
      </c>
      <c r="AB168" s="171" t="n">
        <v>-44.28641502559992</v>
      </c>
      <c r="AC168" s="171" t="n">
        <v>-0.00188029142416</v>
      </c>
      <c r="AD168" s="171" t="n">
        <v>-0.0002403410611399</v>
      </c>
      <c r="AE168" s="171" t="n">
        <v>-0.001210018805615</v>
      </c>
      <c r="AF168" s="171" t="n">
        <v>0.0053233090427565</v>
      </c>
      <c r="AG168" s="171" t="n">
        <v>0.0014709440507477</v>
      </c>
      <c r="AH168" s="171" t="n">
        <v>0.0018744023362611</v>
      </c>
      <c r="AI168" s="171" t="n">
        <v>0.0022399292703915</v>
      </c>
      <c r="AJ168" s="171" t="n">
        <v>-3.620682807224546e-05</v>
      </c>
      <c r="AK168" s="171" t="n">
        <v>0.0024222032337608</v>
      </c>
      <c r="AL168" s="171" t="n">
        <v>0.0004046102698497</v>
      </c>
      <c r="AM168" s="171" t="n">
        <v>-0</v>
      </c>
      <c r="AN168" s="1" t="n">
        <v>0.054571753039131</v>
      </c>
      <c r="AO168" s="1" t="n">
        <v>-3.259892356055616e-14</v>
      </c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64" t="inlineStr">
        <is>
          <t>2016-12</t>
        </is>
      </c>
      <c r="B169" s="163" t="n">
        <v>-0.0328110431481629</v>
      </c>
      <c r="C169" s="163" t="n">
        <v>-0.0144841539970186</v>
      </c>
      <c r="D169" s="163" t="n">
        <v>-0.0183268891511443</v>
      </c>
      <c r="E169" s="170" t="n">
        <v>3009.863870967741</v>
      </c>
      <c r="F169" s="170" t="n">
        <v>3065.533883393275</v>
      </c>
      <c r="G169" s="163" t="n">
        <v>0.0056651267225528</v>
      </c>
      <c r="H169" s="163" t="n">
        <v>0.0008463133887821</v>
      </c>
      <c r="I169" s="163" t="n">
        <v>0.0030416793056859</v>
      </c>
      <c r="J169" s="163" t="n">
        <v>-3.448605906262306e-05</v>
      </c>
      <c r="K169" s="163" t="n">
        <v>-2.949914687217244e-05</v>
      </c>
      <c r="L169" s="163" t="n">
        <v>0.0031101153358263</v>
      </c>
      <c r="M169" s="163" t="n">
        <v>-0.0033143426165688</v>
      </c>
      <c r="N169" s="163" t="n">
        <v>-0.0067072383695457</v>
      </c>
      <c r="O169" s="163" t="n">
        <v>0.0011380565761987</v>
      </c>
      <c r="P169" s="163" t="n">
        <v>0.0002605183038158</v>
      </c>
      <c r="Q169" s="163" t="n">
        <v>-7.632066921099538e-05</v>
      </c>
      <c r="R169" s="163" t="n">
        <v>-0.000234246374907</v>
      </c>
      <c r="S169" s="163" t="n">
        <v>-0.0013045675529082</v>
      </c>
      <c r="T169" s="163" t="n">
        <v>-0.0028916294746503</v>
      </c>
      <c r="U169" s="163" t="n">
        <v>0.0016294209607045</v>
      </c>
      <c r="V169" s="171" t="n">
        <v>-67.50003424619226</v>
      </c>
      <c r="W169" s="171" t="n">
        <v>-0.0208564235964733</v>
      </c>
      <c r="X169" s="171" t="n">
        <v>-90.215056250663</v>
      </c>
      <c r="Y169" s="171" t="n">
        <v>245.3843537837917</v>
      </c>
      <c r="Z169" s="171" t="n">
        <v>-55.14777862356279</v>
      </c>
      <c r="AA169" s="171" t="n">
        <v>-0.015263732828896</v>
      </c>
      <c r="AB169" s="171" t="n">
        <v>-32.48908550039332</v>
      </c>
      <c r="AC169" s="171" t="n">
        <v>0.0007862972684444</v>
      </c>
      <c r="AD169" s="171" t="n">
        <v>-0.0006629514478359</v>
      </c>
      <c r="AE169" s="171" t="n">
        <v>-0.0010412366952933</v>
      </c>
      <c r="AF169" s="171" t="n">
        <v>0.0023698847863726</v>
      </c>
      <c r="AG169" s="171" t="n">
        <v>-0.002536599721591</v>
      </c>
      <c r="AH169" s="171" t="n">
        <v>-0.009120696323067799</v>
      </c>
      <c r="AI169" s="171" t="n">
        <v>-1.719975999492573e-05</v>
      </c>
      <c r="AJ169" s="171" t="n">
        <v>9.41071900213866e-05</v>
      </c>
      <c r="AK169" s="171" t="n">
        <v>-0.0039473385803562</v>
      </c>
      <c r="AL169" s="171" t="n">
        <v>0.002213672401512</v>
      </c>
      <c r="AM169" s="171" t="n">
        <v>-0</v>
      </c>
      <c r="AN169" s="1" t="n">
        <v>-0.0144841539970311</v>
      </c>
      <c r="AO169" s="1" t="n">
        <v>1.250041736788887e-14</v>
      </c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64" t="inlineStr">
        <is>
          <t>2017-01</t>
        </is>
      </c>
      <c r="B170" s="163" t="n">
        <v>-0.0230094130000804</v>
      </c>
      <c r="C170" s="163" t="n">
        <v>-0.0216282910246534</v>
      </c>
      <c r="D170" s="163" t="n">
        <v>-0.0013811219754269</v>
      </c>
      <c r="E170" s="170" t="n">
        <v>2941.399354838711</v>
      </c>
      <c r="F170" s="170" t="n">
        <v>2945.464592774708</v>
      </c>
      <c r="G170" s="163" t="n">
        <v>0.0056651267225528</v>
      </c>
      <c r="H170" s="163" t="n">
        <v>0.0007754187615289</v>
      </c>
      <c r="I170" s="163" t="n">
        <v>-0.0011488669691509</v>
      </c>
      <c r="J170" s="163" t="n">
        <v>-0.0008098661612125</v>
      </c>
      <c r="K170" s="163" t="n">
        <v>8.772301105713768e-05</v>
      </c>
      <c r="L170" s="163" t="n">
        <v>-0.0002045354811375</v>
      </c>
      <c r="M170" s="163" t="n">
        <v>-0.0011885701625419</v>
      </c>
      <c r="N170" s="163" t="n">
        <v>-0.0045220175824809</v>
      </c>
      <c r="O170" s="163" t="n">
        <v>0.0003446222193476</v>
      </c>
      <c r="P170" s="163" t="n">
        <v>-0.0117327160797732</v>
      </c>
      <c r="Q170" s="163" t="n">
        <v>0.0003140225615241</v>
      </c>
      <c r="R170" s="163" t="n">
        <v>0.0005017407019192</v>
      </c>
      <c r="S170" s="163" t="n">
        <v>0.0026503360940559</v>
      </c>
      <c r="T170" s="163" t="n">
        <v>-0.0072529258226573</v>
      </c>
      <c r="U170" s="163" t="n">
        <v>-0.0074755889646399</v>
      </c>
      <c r="V170" s="171" t="n">
        <v>38.63554608468915</v>
      </c>
      <c r="W170" s="171" t="n">
        <v>0.0114337082845059</v>
      </c>
      <c r="X170" s="171" t="n">
        <v>-4.083501417985995</v>
      </c>
      <c r="Y170" s="171" t="n">
        <v>-41.65713236569634</v>
      </c>
      <c r="Z170" s="171" t="n">
        <v>28.76625125731121</v>
      </c>
      <c r="AA170" s="171" t="n">
        <v>-0.0076139931909949</v>
      </c>
      <c r="AB170" s="171" t="n">
        <v>-21.65462835348521</v>
      </c>
      <c r="AC170" s="171" t="n">
        <v>-0.0011663016237303</v>
      </c>
      <c r="AD170" s="171" t="n">
        <v>-2.977116950869186e-05</v>
      </c>
      <c r="AE170" s="171" t="n">
        <v>-0.0006341739586351</v>
      </c>
      <c r="AF170" s="171" t="n">
        <v>-9.527175020593472e-05</v>
      </c>
      <c r="AG170" s="171" t="n">
        <v>-0.0003400932236051</v>
      </c>
      <c r="AH170" s="171" t="n">
        <v>-0.0062141375911845</v>
      </c>
      <c r="AI170" s="171" t="n">
        <v>-0.0003021273630687</v>
      </c>
      <c r="AJ170" s="171" t="n">
        <v>7.232262077779237e-05</v>
      </c>
      <c r="AK170" s="171" t="n">
        <v>0.0015251353465953</v>
      </c>
      <c r="AL170" s="171" t="n">
        <v>-0.0008026950868089</v>
      </c>
      <c r="AM170" s="171" t="n">
        <v>-0</v>
      </c>
      <c r="AN170" s="1" t="n">
        <v>-0.0216282910246521</v>
      </c>
      <c r="AO170" s="1" t="n">
        <v>-1.301042606982605e-15</v>
      </c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64" t="inlineStr">
        <is>
          <t>2017-02</t>
        </is>
      </c>
      <c r="B171" s="163" t="n">
        <v>-0.0212455779394806</v>
      </c>
      <c r="C171" s="163" t="n">
        <v>-0.0230732554833436</v>
      </c>
      <c r="D171" s="163" t="n">
        <v>0.0018276775438629</v>
      </c>
      <c r="E171" s="170" t="n">
        <v>2879.566785714286</v>
      </c>
      <c r="F171" s="170" t="n">
        <v>2874.308672695211</v>
      </c>
      <c r="G171" s="163" t="n">
        <v>0.0056651267225528</v>
      </c>
      <c r="H171" s="163" t="n">
        <v>-0.0001356901069676</v>
      </c>
      <c r="I171" s="163" t="n">
        <v>0.0010392314977484</v>
      </c>
      <c r="J171" s="163" t="n">
        <v>-0.0008799507328559</v>
      </c>
      <c r="K171" s="163" t="n">
        <v>6.317069158869731e-06</v>
      </c>
      <c r="L171" s="163" t="n">
        <v>-0.0028831308056654</v>
      </c>
      <c r="M171" s="163" t="n">
        <v>-0.0001115993088742</v>
      </c>
      <c r="N171" s="163" t="n">
        <v>-0.0033940394536665</v>
      </c>
      <c r="O171" s="163" t="n">
        <v>-0.0015597234857672</v>
      </c>
      <c r="P171" s="163" t="n">
        <v>0.0006367696757274</v>
      </c>
      <c r="Q171" s="163" t="n">
        <v>0.0002445985914842</v>
      </c>
      <c r="R171" s="163" t="n">
        <v>9.923639294069068e-05</v>
      </c>
      <c r="S171" s="163" t="n">
        <v>-0.0017340254009709</v>
      </c>
      <c r="T171" s="163" t="n">
        <v>-0.0070304556947755</v>
      </c>
      <c r="U171" s="163" t="n">
        <v>-0.0237049425852553</v>
      </c>
      <c r="V171" s="171" t="n">
        <v>6.001527241500636</v>
      </c>
      <c r="W171" s="171" t="n">
        <v>0.0015880155819853</v>
      </c>
      <c r="X171" s="171" t="n">
        <v>2.263996208344199</v>
      </c>
      <c r="Y171" s="171" t="n">
        <v>-9.502595009346576</v>
      </c>
      <c r="Z171" s="171" t="n">
        <v>3.36935727465043</v>
      </c>
      <c r="AA171" s="171" t="n">
        <v>-0.0001368578252975</v>
      </c>
      <c r="AB171" s="171" t="n">
        <v>-2.128605109294951</v>
      </c>
      <c r="AC171" s="171" t="n">
        <v>0.0011465898499472</v>
      </c>
      <c r="AD171" s="171" t="n">
        <v>-0.0002919831817121</v>
      </c>
      <c r="AE171" s="171" t="n">
        <v>-0.0002233880871904</v>
      </c>
      <c r="AF171" s="171" t="n">
        <v>0.0005835394700113</v>
      </c>
      <c r="AG171" s="171" t="n">
        <v>-7.739689122171167e-05</v>
      </c>
      <c r="AH171" s="171" t="n">
        <v>-0.000939607526374</v>
      </c>
      <c r="AI171" s="171" t="n">
        <v>0.0012902083122507</v>
      </c>
      <c r="AJ171" s="171" t="n">
        <v>0.0001155943176228</v>
      </c>
      <c r="AK171" s="171" t="n">
        <v>0.002330893112058</v>
      </c>
      <c r="AL171" s="171" t="n">
        <v>0.0016028091560224</v>
      </c>
      <c r="AM171" s="171" t="n">
        <v>-0</v>
      </c>
      <c r="AN171" s="1" t="n">
        <v>-0.0230732554833444</v>
      </c>
      <c r="AO171" s="1" t="n">
        <v>8.014422459012849e-16</v>
      </c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64" t="inlineStr">
        <is>
          <t>2017-03</t>
        </is>
      </c>
      <c r="B172" s="163" t="n">
        <v>0.0215470128828316</v>
      </c>
      <c r="C172" s="163" t="n">
        <v>0.0044972443356775</v>
      </c>
      <c r="D172" s="163" t="n">
        <v>0.0170497685471541</v>
      </c>
      <c r="E172" s="170" t="n">
        <v>2942.286129032259</v>
      </c>
      <c r="F172" s="170" t="n">
        <v>2892.546064749396</v>
      </c>
      <c r="G172" s="163" t="n">
        <v>0.0056651267225528</v>
      </c>
      <c r="H172" s="163" t="n">
        <v>-0.000443227228408</v>
      </c>
      <c r="I172" s="163" t="n">
        <v>-0.0022418179231835</v>
      </c>
      <c r="J172" s="163" t="n">
        <v>-9.60683073887383e-05</v>
      </c>
      <c r="K172" s="163" t="n">
        <v>-1.195725505786949e-05</v>
      </c>
      <c r="L172" s="163" t="n">
        <v>-0.0008115946894225</v>
      </c>
      <c r="M172" s="163" t="n">
        <v>0.0005192438736344</v>
      </c>
      <c r="N172" s="163" t="n">
        <v>-0.0011290765056864</v>
      </c>
      <c r="O172" s="163" t="n">
        <v>-2.020680471822028e-05</v>
      </c>
      <c r="P172" s="163" t="n">
        <v>0.0084802896050689</v>
      </c>
      <c r="Q172" s="163" t="n">
        <v>-0.0002739541544977</v>
      </c>
      <c r="R172" s="163" t="n">
        <v>0.000100281303603</v>
      </c>
      <c r="S172" s="163" t="n">
        <v>0.0016070987199689</v>
      </c>
      <c r="T172" s="163" t="n">
        <v>-0.0033410607916113</v>
      </c>
      <c r="U172" s="163" t="n">
        <v>-0.0028746807843866</v>
      </c>
      <c r="V172" s="171" t="n">
        <v>-24.47822910900062</v>
      </c>
      <c r="W172" s="171" t="n">
        <v>-0.0158399457248747</v>
      </c>
      <c r="X172" s="171" t="n">
        <v>-46.52200649036129</v>
      </c>
      <c r="Y172" s="171" t="n">
        <v>44.03453436434469</v>
      </c>
      <c r="Z172" s="171" t="n">
        <v>20.43633592355769</v>
      </c>
      <c r="AA172" s="171" t="n">
        <v>0.0051393177380398</v>
      </c>
      <c r="AB172" s="171" t="n">
        <v>6.53153191925941</v>
      </c>
      <c r="AC172" s="171" t="n">
        <v>-0.0008947956274387</v>
      </c>
      <c r="AD172" s="171" t="n">
        <v>-0.0005379672560272</v>
      </c>
      <c r="AE172" s="171" t="n">
        <v>0.0001873977842542</v>
      </c>
      <c r="AF172" s="171" t="n">
        <v>0.0009312813582630001</v>
      </c>
      <c r="AG172" s="171" t="n">
        <v>0.000891734682677</v>
      </c>
      <c r="AH172" s="171" t="n">
        <v>0.008128513903273101</v>
      </c>
      <c r="AI172" s="171" t="n">
        <v>0.0023298885414176</v>
      </c>
      <c r="AJ172" s="171" t="n">
        <v>7.938425492609481e-05</v>
      </c>
      <c r="AK172" s="171" t="n">
        <v>-0.0038109706171412</v>
      </c>
      <c r="AL172" s="171" t="n">
        <v>0.0005984017179621</v>
      </c>
      <c r="AM172" s="171" t="n">
        <v>-0</v>
      </c>
      <c r="AN172" s="1" t="n">
        <v>0.0044972443356911</v>
      </c>
      <c r="AO172" s="1" t="n">
        <v>-1.360023205165817e-14</v>
      </c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64" t="inlineStr">
        <is>
          <t>2017-04</t>
        </is>
      </c>
      <c r="B173" s="163" t="n">
        <v>-0.0221532318710053</v>
      </c>
      <c r="C173" s="163" t="n">
        <v>-0.0101781690464539</v>
      </c>
      <c r="D173" s="163" t="n">
        <v>-0.0119750628245513</v>
      </c>
      <c r="E173" s="170" t="n">
        <v>2877.821666666668</v>
      </c>
      <c r="F173" s="170" t="n">
        <v>2912.490930928795</v>
      </c>
      <c r="G173" s="163" t="n">
        <v>0.0056651267225528</v>
      </c>
      <c r="H173" s="163" t="n">
        <v>6.176516102047715e-05</v>
      </c>
      <c r="I173" s="163" t="n">
        <v>0.0024545616511755</v>
      </c>
      <c r="J173" s="163" t="n">
        <v>-0.0013879446858222</v>
      </c>
      <c r="K173" s="163" t="n">
        <v>-1.334117494765852e-05</v>
      </c>
      <c r="L173" s="163" t="n">
        <v>-0.0015570903573653</v>
      </c>
      <c r="M173" s="163" t="n">
        <v>0.0016397259230271</v>
      </c>
      <c r="N173" s="163" t="n">
        <v>0.0004482476015084</v>
      </c>
      <c r="O173" s="163" t="n">
        <v>0.0002730635092325</v>
      </c>
      <c r="P173" s="163" t="n">
        <v>-0.0027076864938265</v>
      </c>
      <c r="Q173" s="163" t="n">
        <v>-4.693042672871736e-05</v>
      </c>
      <c r="R173" s="163" t="n">
        <v>0.0006687880237407</v>
      </c>
      <c r="S173" s="163" t="n">
        <v>-0.0001127045859788</v>
      </c>
      <c r="T173" s="163" t="n">
        <v>-0.0033253479535327</v>
      </c>
      <c r="U173" s="163" t="n">
        <v>-0.0076512566593635</v>
      </c>
      <c r="V173" s="171" t="n">
        <v>27.03516550089141</v>
      </c>
      <c r="W173" s="171" t="n">
        <v>0.00987847203444</v>
      </c>
      <c r="X173" s="171" t="n">
        <v>29.90552055755968</v>
      </c>
      <c r="Y173" s="171" t="n">
        <v>-129.2984089943346</v>
      </c>
      <c r="Z173" s="171" t="n">
        <v>46.68907158140728</v>
      </c>
      <c r="AA173" s="171" t="n">
        <v>0.0089978913497874</v>
      </c>
      <c r="AB173" s="171" t="n">
        <v>25.64897726998774</v>
      </c>
      <c r="AC173" s="171" t="n">
        <v>0.0010946815597023</v>
      </c>
      <c r="AD173" s="171" t="n">
        <v>-1.299603034268004e-05</v>
      </c>
      <c r="AE173" s="171" t="n">
        <v>-0.0003239127264261</v>
      </c>
      <c r="AF173" s="171" t="n">
        <v>0.0008074280829952</v>
      </c>
      <c r="AG173" s="171" t="n">
        <v>-0.0002001539133581</v>
      </c>
      <c r="AH173" s="171" t="n">
        <v>-0.0004188840942822</v>
      </c>
      <c r="AI173" s="171" t="n">
        <v>0.0002961300783336</v>
      </c>
      <c r="AJ173" s="171" t="n">
        <v>4.32707324579116e-05</v>
      </c>
      <c r="AK173" s="171" t="n">
        <v>-0.0058706248903976</v>
      </c>
      <c r="AL173" s="171" t="n">
        <v>0.0007956370044214</v>
      </c>
      <c r="AM173" s="171" t="n">
        <v>-0</v>
      </c>
      <c r="AN173" s="1" t="n">
        <v>-0.0101781690464659</v>
      </c>
      <c r="AO173" s="1" t="n">
        <v>1.199908228333157e-14</v>
      </c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64" t="inlineStr">
        <is>
          <t>2017-05</t>
        </is>
      </c>
      <c r="B174" s="163" t="n">
        <v>0.0157865048678118</v>
      </c>
      <c r="C174" s="163" t="n">
        <v>0.0145781346052818</v>
      </c>
      <c r="D174" s="163" t="n">
        <v>0.0012083702625299</v>
      </c>
      <c r="E174" s="170" t="n">
        <v>2923.612903225806</v>
      </c>
      <c r="F174" s="170" t="n">
        <v>2920.082229944311</v>
      </c>
      <c r="G174" s="163" t="n">
        <v>0.0056651267225528</v>
      </c>
      <c r="H174" s="163" t="n">
        <v>-0.0001525029419366</v>
      </c>
      <c r="I174" s="163" t="n">
        <v>7.149729074001195e-05</v>
      </c>
      <c r="J174" s="163" t="n">
        <v>-0.0011024414364858</v>
      </c>
      <c r="K174" s="163" t="n">
        <v>2.758610791358681e-05</v>
      </c>
      <c r="L174" s="163" t="n">
        <v>-0.0009028753492013</v>
      </c>
      <c r="M174" s="163" t="n">
        <v>-0.003147565629681</v>
      </c>
      <c r="N174" s="163" t="n">
        <v>-0.0005932333486271</v>
      </c>
      <c r="O174" s="163" t="n">
        <v>-2.06845459940928e-05</v>
      </c>
      <c r="P174" s="163" t="n">
        <v>0.005558138954563</v>
      </c>
      <c r="Q174" s="163" t="n">
        <v>-7.100745141027147e-05</v>
      </c>
      <c r="R174" s="163" t="n">
        <v>0.0001797006814668</v>
      </c>
      <c r="S174" s="163" t="n">
        <v>-0.0012194689534503</v>
      </c>
      <c r="T174" s="163" t="n">
        <v>-0.0015464932321071</v>
      </c>
      <c r="U174" s="163" t="n">
        <v>0.0075658045890386</v>
      </c>
      <c r="V174" s="171" t="n">
        <v>-21.65265292629984</v>
      </c>
      <c r="W174" s="171" t="n">
        <v>-0.0014319597932642</v>
      </c>
      <c r="X174" s="171" t="n">
        <v>-25.24459625340882</v>
      </c>
      <c r="Y174" s="171" t="n">
        <v>4.39714174971257</v>
      </c>
      <c r="Z174" s="171" t="n">
        <v>22.64241325134982</v>
      </c>
      <c r="AA174" s="171" t="n">
        <v>0.0002103933732186</v>
      </c>
      <c r="AB174" s="171" t="n">
        <v>19.8574570598658</v>
      </c>
      <c r="AC174" s="171" t="n">
        <v>0.0005899969840037</v>
      </c>
      <c r="AD174" s="171" t="n">
        <v>-0.00066202804568</v>
      </c>
      <c r="AE174" s="171" t="n">
        <v>-0.000899757573406</v>
      </c>
      <c r="AF174" s="171" t="n">
        <v>0.0016910735661553</v>
      </c>
      <c r="AG174" s="171" t="n">
        <v>0.0005585798550996</v>
      </c>
      <c r="AH174" s="171" t="n">
        <v>0.0033347683093395</v>
      </c>
      <c r="AI174" s="171" t="n">
        <v>0.0005407740329982</v>
      </c>
      <c r="AJ174" s="171" t="n">
        <v>7.20712569697249e-05</v>
      </c>
      <c r="AK174" s="171" t="n">
        <v>-0.0006889457743679</v>
      </c>
      <c r="AL174" s="171" t="n">
        <v>0.001188705737312</v>
      </c>
      <c r="AM174" s="171" t="n">
        <v>-0</v>
      </c>
      <c r="AN174" s="1" t="n">
        <v>0.0145781346052825</v>
      </c>
      <c r="AO174" s="1" t="n">
        <v>-7.008282842946301e-16</v>
      </c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64" t="inlineStr">
        <is>
          <t>2017-06</t>
        </is>
      </c>
      <c r="B175" s="163" t="n">
        <v>0.0113883476559122</v>
      </c>
      <c r="C175" s="163" t="n">
        <v>-0.008027776154093801</v>
      </c>
      <c r="D175" s="163" t="n">
        <v>0.019416123810006</v>
      </c>
      <c r="E175" s="170" t="n">
        <v>2957.098333333333</v>
      </c>
      <c r="F175" s="170" t="n">
        <v>2900.236748087812</v>
      </c>
      <c r="G175" s="163" t="n">
        <v>0.0056651267225528</v>
      </c>
      <c r="H175" s="163" t="n">
        <v>-0.0001734629388202</v>
      </c>
      <c r="I175" s="163" t="n">
        <v>0.002477564316633</v>
      </c>
      <c r="J175" s="163" t="n">
        <v>-0.0017587890121938</v>
      </c>
      <c r="K175" s="163" t="n">
        <v>-4.643637177105411e-06</v>
      </c>
      <c r="L175" s="163" t="n">
        <v>-0.002673541956699</v>
      </c>
      <c r="M175" s="163" t="n">
        <v>-0.0005401862045168</v>
      </c>
      <c r="N175" s="163" t="n">
        <v>0.0004997614768105</v>
      </c>
      <c r="O175" s="163" t="n">
        <v>-0.001096390273352</v>
      </c>
      <c r="P175" s="163" t="n">
        <v>-0.0026596488954829</v>
      </c>
      <c r="Q175" s="163" t="n">
        <v>0.0001017118003374</v>
      </c>
      <c r="R175" s="163" t="n">
        <v>-0.0004085794301016</v>
      </c>
      <c r="S175" s="163" t="n">
        <v>-0.0026390956366586</v>
      </c>
      <c r="T175" s="163" t="n">
        <v>-0.0008087199927843</v>
      </c>
      <c r="U175" s="163" t="n">
        <v>-0.0055096531598196</v>
      </c>
      <c r="V175" s="171" t="n">
        <v>2.468056631314275</v>
      </c>
      <c r="W175" s="171" t="n">
        <v>-0.0049710437841928</v>
      </c>
      <c r="X175" s="171" t="n">
        <v>-16.80342139954566</v>
      </c>
      <c r="Y175" s="171" t="n">
        <v>-81.92569365253669</v>
      </c>
      <c r="Z175" s="171" t="n">
        <v>65.34101915790903</v>
      </c>
      <c r="AA175" s="171" t="n">
        <v>0.0116053393198223</v>
      </c>
      <c r="AB175" s="171" t="n">
        <v>30.90906049980255</v>
      </c>
      <c r="AC175" s="171" t="n">
        <v>-0.0005056692354634</v>
      </c>
      <c r="AD175" s="171" t="n">
        <v>-0.0001945471542219</v>
      </c>
      <c r="AE175" s="171" t="n">
        <v>-0.0006974672500057</v>
      </c>
      <c r="AF175" s="171" t="n">
        <v>0.0017220368849722</v>
      </c>
      <c r="AG175" s="171" t="n">
        <v>0.0011849523847379</v>
      </c>
      <c r="AH175" s="171" t="n">
        <v>0.0050416546406672</v>
      </c>
      <c r="AI175" s="171" t="n">
        <v>0.0005890917798261</v>
      </c>
      <c r="AJ175" s="171" t="n">
        <v>9.360562942186716e-05</v>
      </c>
      <c r="AK175" s="171" t="n">
        <v>-0.0011906957936643</v>
      </c>
      <c r="AL175" s="171" t="n">
        <v>-0.0001977236982318</v>
      </c>
      <c r="AM175" s="171" t="n">
        <v>-0</v>
      </c>
      <c r="AN175" s="1" t="n">
        <v>-0.0080277761540932</v>
      </c>
      <c r="AO175" s="1" t="n">
        <v>-6.002143226879753e-16</v>
      </c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64" t="inlineStr">
        <is>
          <t>2017-07</t>
        </is>
      </c>
      <c r="B176" s="163" t="n">
        <v>0.0265246621666319</v>
      </c>
      <c r="C176" s="163" t="n">
        <v>0.0056908805624021</v>
      </c>
      <c r="D176" s="163" t="n">
        <v>0.0208337816042298</v>
      </c>
      <c r="E176" s="170" t="n">
        <v>3036.58387096774</v>
      </c>
      <c r="F176" s="170" t="n">
        <v>2973.974802196997</v>
      </c>
      <c r="G176" s="163" t="n">
        <v>0.0056651267225528</v>
      </c>
      <c r="H176" s="163" t="n">
        <v>8.337106712687421e-05</v>
      </c>
      <c r="I176" s="163" t="n">
        <v>0.0035385208891803</v>
      </c>
      <c r="J176" s="163" t="n">
        <v>-0.0013104702443797</v>
      </c>
      <c r="K176" s="163" t="n">
        <v>-2.503748490697527e-05</v>
      </c>
      <c r="L176" s="163" t="n">
        <v>-0.0030751586237588</v>
      </c>
      <c r="M176" s="163" t="n">
        <v>-0.0003971076277634</v>
      </c>
      <c r="N176" s="163" t="n">
        <v>0.0010369723745939</v>
      </c>
      <c r="O176" s="163" t="n">
        <v>-0.0004124731855392</v>
      </c>
      <c r="P176" s="163" t="n">
        <v>0.004516187869976</v>
      </c>
      <c r="Q176" s="163" t="n">
        <v>-9.601367393471614e-05</v>
      </c>
      <c r="R176" s="163" t="n">
        <v>-4.579704632906093e-05</v>
      </c>
      <c r="S176" s="163" t="n">
        <v>0.0029326923902923</v>
      </c>
      <c r="T176" s="163" t="n">
        <v>0.0003674853347152</v>
      </c>
      <c r="U176" s="163" t="n">
        <v>-0.01028739005079</v>
      </c>
      <c r="V176" s="171" t="n">
        <v>-25.09724377590972</v>
      </c>
      <c r="W176" s="171" t="n">
        <v>-0.0087036596067101</v>
      </c>
      <c r="X176" s="171" t="n">
        <v>-12.5579092437148</v>
      </c>
      <c r="Y176" s="171" t="n">
        <v>91.99634046687002</v>
      </c>
      <c r="Z176" s="171" t="n">
        <v>-41.94247394110132</v>
      </c>
      <c r="AA176" s="171" t="n">
        <v>-0.0008957038267608999</v>
      </c>
      <c r="AB176" s="171" t="n">
        <v>-12.38876745490332</v>
      </c>
      <c r="AC176" s="171" t="n">
        <v>0.0001256091447192</v>
      </c>
      <c r="AD176" s="171" t="n">
        <v>-8.871500712871516e-05</v>
      </c>
      <c r="AE176" s="171" t="n">
        <v>-0.0003139843669954</v>
      </c>
      <c r="AF176" s="171" t="n">
        <v>0.0020054703418349</v>
      </c>
      <c r="AG176" s="171" t="n">
        <v>-0.000643822096492</v>
      </c>
      <c r="AH176" s="171" t="n">
        <v>-0.003961995124276</v>
      </c>
      <c r="AI176" s="171" t="n">
        <v>-0.0003592713025255</v>
      </c>
      <c r="AJ176" s="171" t="n">
        <v>0</v>
      </c>
      <c r="AK176" s="171" t="n">
        <v>0.0013874538680995</v>
      </c>
      <c r="AL176" s="171" t="n">
        <v>0.0047025385867329</v>
      </c>
      <c r="AM176" s="171" t="n">
        <v>-0</v>
      </c>
      <c r="AN176" s="1" t="n">
        <v>0.0056908805623994</v>
      </c>
      <c r="AO176" s="1" t="n">
        <v>2.7000970903579e-15</v>
      </c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64" t="inlineStr">
        <is>
          <t>2017-08</t>
        </is>
      </c>
      <c r="B177" s="163" t="n">
        <v>-0.0210927155992033</v>
      </c>
      <c r="C177" s="163" t="n">
        <v>-0.0111911928691454</v>
      </c>
      <c r="D177" s="163" t="n">
        <v>-0.0099015227300578</v>
      </c>
      <c r="E177" s="170" t="n">
        <v>2973.204838709677</v>
      </c>
      <c r="F177" s="170" t="n">
        <v>3002.790322960287</v>
      </c>
      <c r="G177" s="163" t="n">
        <v>0.0056651267225528</v>
      </c>
      <c r="H177" s="163" t="n">
        <v>0.0001844000335509</v>
      </c>
      <c r="I177" s="163" t="n">
        <v>0.0040127334593172</v>
      </c>
      <c r="J177" s="163" t="n">
        <v>-0.0020480269269125</v>
      </c>
      <c r="K177" s="163" t="n">
        <v>1.080739920635379e-06</v>
      </c>
      <c r="L177" s="163" t="n">
        <v>-0.0021160577079544</v>
      </c>
      <c r="M177" s="163" t="n">
        <v>0.0025530947931698</v>
      </c>
      <c r="N177" s="163" t="n">
        <v>0.0001668486772397</v>
      </c>
      <c r="O177" s="163" t="n">
        <v>-0.0014901446375713</v>
      </c>
      <c r="P177" s="163" t="n">
        <v>-0.0074963769272073</v>
      </c>
      <c r="Q177" s="163" t="n">
        <v>0.0002463879578644</v>
      </c>
      <c r="R177" s="163" t="n">
        <v>-7.461772262774565e-05</v>
      </c>
      <c r="S177" s="163" t="n">
        <v>-0.0021376671770381</v>
      </c>
      <c r="T177" s="163" t="n">
        <v>-0.0010284780236717</v>
      </c>
      <c r="U177" s="163" t="n">
        <v>-0.0071245134652963</v>
      </c>
      <c r="V177" s="171" t="n">
        <v>32.15732610800648</v>
      </c>
      <c r="W177" s="171" t="n">
        <v>0.0067141484721885</v>
      </c>
      <c r="X177" s="171" t="n">
        <v>15.48656488937108</v>
      </c>
      <c r="Y177" s="171" t="n">
        <v>-76.35037038137014</v>
      </c>
      <c r="Z177" s="171" t="n">
        <v>29.74132912705283</v>
      </c>
      <c r="AA177" s="171" t="n">
        <v>0.0027289858895155</v>
      </c>
      <c r="AB177" s="171" t="n">
        <v>-1.042873644151204</v>
      </c>
      <c r="AC177" s="171" t="n">
        <v>0.0004416663507485</v>
      </c>
      <c r="AD177" s="171" t="n">
        <v>0.0005017151713870999</v>
      </c>
      <c r="AE177" s="171" t="n">
        <v>0.0002109776379021</v>
      </c>
      <c r="AF177" s="171" t="n">
        <v>-0.0011670789400226</v>
      </c>
      <c r="AG177" s="171" t="n">
        <v>-0.0009318212680658</v>
      </c>
      <c r="AH177" s="171" t="n">
        <v>-0.0043256156504194</v>
      </c>
      <c r="AI177" s="171" t="n">
        <v>-0.0007364213029405</v>
      </c>
      <c r="AJ177" s="171" t="n">
        <v>0.0003232627864569</v>
      </c>
      <c r="AK177" s="171" t="n">
        <v>0.0024041003438819</v>
      </c>
      <c r="AL177" s="171" t="n">
        <v>0.0013549989358452</v>
      </c>
      <c r="AM177" s="171" t="n">
        <v>-0</v>
      </c>
      <c r="AN177" s="1" t="n">
        <v>-0.0111911928691487</v>
      </c>
      <c r="AO177" s="1" t="n">
        <v>3.299444051307887e-15</v>
      </c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64" t="inlineStr">
        <is>
          <t>2017-09</t>
        </is>
      </c>
      <c r="B178" s="163" t="n">
        <v>-0.0190556113214341</v>
      </c>
      <c r="C178" s="163" t="n">
        <v>-0.0106536337523238</v>
      </c>
      <c r="D178" s="163" t="n">
        <v>-0.0084019775691102</v>
      </c>
      <c r="E178" s="170" t="n">
        <v>2917.085</v>
      </c>
      <c r="F178" s="170" t="n">
        <v>2941.697534930705</v>
      </c>
      <c r="G178" s="163" t="n">
        <v>0.0056651267225528</v>
      </c>
      <c r="H178" s="163" t="n">
        <v>0.0005890766027531</v>
      </c>
      <c r="I178" s="163" t="n">
        <v>0.0018168646641382</v>
      </c>
      <c r="J178" s="163" t="n">
        <v>-0.0009522602115356</v>
      </c>
      <c r="K178" s="163" t="n">
        <v>6.894997914706422e-05</v>
      </c>
      <c r="L178" s="163" t="n">
        <v>-0.0019465932769324</v>
      </c>
      <c r="M178" s="163" t="n">
        <v>-0.0022755431901423</v>
      </c>
      <c r="N178" s="163" t="n">
        <v>-0.0031971658600727</v>
      </c>
      <c r="O178" s="163" t="n">
        <v>-0.0001877520126454</v>
      </c>
      <c r="P178" s="163" t="n">
        <v>-0.0013113972191382</v>
      </c>
      <c r="Q178" s="163" t="n">
        <v>-0.0001268271850239</v>
      </c>
      <c r="R178" s="163" t="n">
        <v>-0.0002133623665431</v>
      </c>
      <c r="S178" s="163" t="n">
        <v>-8.119736988698674e-05</v>
      </c>
      <c r="T178" s="163" t="n">
        <v>-0.0002935763034124</v>
      </c>
      <c r="U178" s="163" t="n">
        <v>-0.0054392643771997</v>
      </c>
      <c r="V178" s="171" t="n">
        <v>18.71276193899901</v>
      </c>
      <c r="W178" s="171" t="n">
        <v>0.0045149941275654</v>
      </c>
      <c r="X178" s="171" t="n">
        <v>-20.47151066921156</v>
      </c>
      <c r="Y178" s="171" t="n">
        <v>-5.000258480932995</v>
      </c>
      <c r="Z178" s="171" t="n">
        <v>23.43718272932842</v>
      </c>
      <c r="AA178" s="171" t="n">
        <v>-0.0068653604600761</v>
      </c>
      <c r="AB178" s="171" t="n">
        <v>-16.67169236608877</v>
      </c>
      <c r="AC178" s="171" t="n">
        <v>-0.0003095361573979</v>
      </c>
      <c r="AD178" s="171" t="n">
        <v>-0.0003474044111077</v>
      </c>
      <c r="AE178" s="171" t="n">
        <v>0.0001228634479547</v>
      </c>
      <c r="AF178" s="171" t="n">
        <v>-0.001686309978645</v>
      </c>
      <c r="AG178" s="171" t="n">
        <v>-0.001193913225893</v>
      </c>
      <c r="AH178" s="171" t="n">
        <v>-0.0045216268768763</v>
      </c>
      <c r="AI178" s="171" t="n">
        <v>0.0017679542773729</v>
      </c>
      <c r="AJ178" s="171" t="n">
        <v>5.734644736205555e-05</v>
      </c>
      <c r="AK178" s="171" t="n">
        <v>-0.000597751513506</v>
      </c>
      <c r="AL178" s="171" t="n">
        <v>-0.0001931201192257</v>
      </c>
      <c r="AM178" s="171" t="n">
        <v>-0</v>
      </c>
      <c r="AN178" s="1" t="n">
        <v>-0.0106536337523239</v>
      </c>
      <c r="AO178" s="1" t="n">
        <v>1.006139616066548e-16</v>
      </c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64" t="inlineStr">
        <is>
          <t>2017-10</t>
        </is>
      </c>
      <c r="B179" s="163" t="n">
        <v>0.0124926853188975</v>
      </c>
      <c r="C179" s="163" t="n">
        <v>0.019895305420097</v>
      </c>
      <c r="D179" s="163" t="n">
        <v>-0.0074026201011994</v>
      </c>
      <c r="E179" s="170" t="n">
        <v>2953.755806451612</v>
      </c>
      <c r="F179" s="170" t="n">
        <v>2975.702469743123</v>
      </c>
      <c r="G179" s="163" t="n">
        <v>0.0056651267225528</v>
      </c>
      <c r="H179" s="163" t="n">
        <v>0.0004383166051033</v>
      </c>
      <c r="I179" s="163" t="n">
        <v>0.0016153304406336</v>
      </c>
      <c r="J179" s="163" t="n">
        <v>-0.0008276654175029</v>
      </c>
      <c r="K179" s="163" t="n">
        <v>2.789158776645127e-05</v>
      </c>
      <c r="L179" s="163" t="n">
        <v>0.0037499815332601</v>
      </c>
      <c r="M179" s="163" t="n">
        <v>-0.0005033933148474</v>
      </c>
      <c r="N179" s="163" t="n">
        <v>-0.0010634380268457</v>
      </c>
      <c r="O179" s="163" t="n">
        <v>0.0002705160196413</v>
      </c>
      <c r="P179" s="163" t="n">
        <v>0.0010745390435678</v>
      </c>
      <c r="Q179" s="163" t="n">
        <v>-6.669081803799382e-05</v>
      </c>
      <c r="R179" s="163" t="n">
        <v>3.225658528760264e-05</v>
      </c>
      <c r="S179" s="163" t="n">
        <v>0.0011612821492259</v>
      </c>
      <c r="T179" s="163" t="n">
        <v>-7.337503421844837e-05</v>
      </c>
      <c r="U179" s="163" t="n">
        <v>0.009576291194914301</v>
      </c>
      <c r="V179" s="171" t="n">
        <v>-37.17946126109651</v>
      </c>
      <c r="W179" s="171" t="n">
        <v>-0.0130867357199079</v>
      </c>
      <c r="X179" s="171" t="n">
        <v>-68.55131271577297</v>
      </c>
      <c r="Y179" s="171" t="n">
        <v>110.8051668986541</v>
      </c>
      <c r="Z179" s="171" t="n">
        <v>2.918170838118933</v>
      </c>
      <c r="AA179" s="171" t="n">
        <v>-0.0050484196301929</v>
      </c>
      <c r="AB179" s="171" t="n">
        <v>-7.971554704607993</v>
      </c>
      <c r="AC179" s="171" t="n">
        <v>0.0002303546495154</v>
      </c>
      <c r="AD179" s="171" t="n">
        <v>-0.0004065363491669</v>
      </c>
      <c r="AE179" s="171" t="n">
        <v>-0.0006192814194891</v>
      </c>
      <c r="AF179" s="171" t="n">
        <v>0.0020316700731415</v>
      </c>
      <c r="AG179" s="171" t="n">
        <v>-0.0003448560970548</v>
      </c>
      <c r="AH179" s="171" t="n">
        <v>-0.0021434421834306</v>
      </c>
      <c r="AI179" s="171" t="n">
        <v>0.0016928184837109</v>
      </c>
      <c r="AJ179" s="171" t="n">
        <v>0.0001002676217911</v>
      </c>
      <c r="AK179" s="171" t="n">
        <v>-0.0070955045631923</v>
      </c>
      <c r="AL179" s="171" t="n">
        <v>0.0024989459882892</v>
      </c>
      <c r="AM179" s="171" t="n">
        <v>-0</v>
      </c>
      <c r="AN179" s="1" t="n">
        <v>0.0198953054201116</v>
      </c>
      <c r="AO179" s="1" t="n">
        <v>-1.459943277382081e-14</v>
      </c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64" t="inlineStr">
        <is>
          <t>2017-11</t>
        </is>
      </c>
      <c r="B180" s="163" t="n">
        <v>0.0200136172378364</v>
      </c>
      <c r="C180" s="163" t="n">
        <v>0.0035922041830277</v>
      </c>
      <c r="D180" s="163" t="n">
        <v>0.0164214130548086</v>
      </c>
      <c r="E180" s="170" t="n">
        <v>3013.466666666667</v>
      </c>
      <c r="F180" s="170" t="n">
        <v>2964.385380785613</v>
      </c>
      <c r="G180" s="163" t="n">
        <v>0.0056651267225528</v>
      </c>
      <c r="H180" s="163" t="n">
        <v>-0.0001383178568273</v>
      </c>
      <c r="I180" s="163" t="n">
        <v>0.0037006172495437</v>
      </c>
      <c r="J180" s="163" t="n">
        <v>-5.562267590745616e-05</v>
      </c>
      <c r="K180" s="163" t="n">
        <v>2.460830227598765e-05</v>
      </c>
      <c r="L180" s="163" t="n">
        <v>0.0005002995448032</v>
      </c>
      <c r="M180" s="163" t="n">
        <v>0.0006651675568787999</v>
      </c>
      <c r="N180" s="163" t="n">
        <v>0.0002147326784976</v>
      </c>
      <c r="O180" s="163" t="n">
        <v>0.0005350300626365</v>
      </c>
      <c r="P180" s="163" t="n">
        <v>0.0066609388893592</v>
      </c>
      <c r="Q180" s="163" t="n">
        <v>-0.0001610231162743</v>
      </c>
      <c r="R180" s="163" t="n">
        <v>5.158987651047595e-05</v>
      </c>
      <c r="S180" s="163" t="n">
        <v>-0.0009081511834133</v>
      </c>
      <c r="T180" s="163" t="n">
        <v>-0.0013194502376371</v>
      </c>
      <c r="U180" s="163" t="n">
        <v>0.0024583475761541</v>
      </c>
      <c r="V180" s="171" t="n">
        <v>0.6804588743815795</v>
      </c>
      <c r="W180" s="171" t="n">
        <v>-0.0046497438387624</v>
      </c>
      <c r="X180" s="171" t="n">
        <v>-61.12789762529383</v>
      </c>
      <c r="Y180" s="171" t="n">
        <v>-4.677661159582239</v>
      </c>
      <c r="Z180" s="171" t="n">
        <v>63.90104476654797</v>
      </c>
      <c r="AA180" s="171" t="n">
        <v>-0.0021887038777065</v>
      </c>
      <c r="AB180" s="171" t="n">
        <v>1.222876492319809</v>
      </c>
      <c r="AC180" s="171" t="n">
        <v>-0.0002786958704235</v>
      </c>
      <c r="AD180" s="171" t="n">
        <v>-1.564653653098967e-05</v>
      </c>
      <c r="AE180" s="171" t="n">
        <v>-0.0003723134786507</v>
      </c>
      <c r="AF180" s="171" t="n">
        <v>0.0019649798479974</v>
      </c>
      <c r="AG180" s="171" t="n">
        <v>-0.0012536552477076</v>
      </c>
      <c r="AH180" s="171" t="n">
        <v>-0.0069794516048359</v>
      </c>
      <c r="AI180" s="171" t="n">
        <v>-0.0011180975559857</v>
      </c>
      <c r="AJ180" s="171" t="n">
        <v>0.0001073046231653</v>
      </c>
      <c r="AK180" s="171" t="n">
        <v>-0.0013805829844853</v>
      </c>
      <c r="AL180" s="171" t="n">
        <v>0.0030415689445096</v>
      </c>
      <c r="AM180" s="171" t="n">
        <v>-0</v>
      </c>
      <c r="AN180" s="1" t="n">
        <v>0.0035922041830131</v>
      </c>
      <c r="AO180" s="1" t="n">
        <v>1.46003001355588e-14</v>
      </c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64" t="inlineStr">
        <is>
          <t>2017-12</t>
        </is>
      </c>
      <c r="B181" s="163" t="n">
        <v>-0.0072286426154963</v>
      </c>
      <c r="C181" s="163" t="n">
        <v>-0.0007831288349218</v>
      </c>
      <c r="D181" s="163" t="n">
        <v>-0.0064455137805745</v>
      </c>
      <c r="E181" s="170" t="n">
        <v>2991.761935483872</v>
      </c>
      <c r="F181" s="170" t="n">
        <v>3011.107657851401</v>
      </c>
      <c r="G181" s="163" t="n">
        <v>0.0056651267225528</v>
      </c>
      <c r="H181" s="163" t="n">
        <v>0.0007516448417408</v>
      </c>
      <c r="I181" s="163" t="n">
        <v>0.0017332131848616</v>
      </c>
      <c r="J181" s="163" t="n">
        <v>-0.0009559683899295</v>
      </c>
      <c r="K181" s="163" t="n">
        <v>-2.237665304490565e-05</v>
      </c>
      <c r="L181" s="163" t="n">
        <v>-0.0005247055970063</v>
      </c>
      <c r="M181" s="163" t="n">
        <v>-0.0004393258450589</v>
      </c>
      <c r="N181" s="163" t="n">
        <v>-0.0035710585777054</v>
      </c>
      <c r="O181" s="163" t="n">
        <v>6.314791283523971e-05</v>
      </c>
      <c r="P181" s="163" t="n">
        <v>-0.0052099780717951</v>
      </c>
      <c r="Q181" s="163" t="n">
        <v>8.53506877179421e-05</v>
      </c>
      <c r="R181" s="163" t="n">
        <v>0.0001411446554811</v>
      </c>
      <c r="S181" s="163" t="n">
        <v>-0.0026882367110567</v>
      </c>
      <c r="T181" s="163" t="n">
        <v>-0.002704495478347</v>
      </c>
      <c r="U181" s="163" t="n">
        <v>0.0026338902938217</v>
      </c>
      <c r="V181" s="171" t="n">
        <v>-2.082244165789228</v>
      </c>
      <c r="W181" s="171" t="n">
        <v>-0.0116057582780778</v>
      </c>
      <c r="X181" s="171" t="n">
        <v>-61.20267181199156</v>
      </c>
      <c r="Y181" s="171" t="n">
        <v>34.48284845827085</v>
      </c>
      <c r="Z181" s="171" t="n">
        <v>40.78417947972951</v>
      </c>
      <c r="AA181" s="171" t="n">
        <v>-0.0013420237495596</v>
      </c>
      <c r="AB181" s="171" t="n">
        <v>-11.96590362111046</v>
      </c>
      <c r="AC181" s="171" t="n">
        <v>0.0002249111530796</v>
      </c>
      <c r="AD181" s="171" t="n">
        <v>0.0002292944353486</v>
      </c>
      <c r="AE181" s="171" t="n">
        <v>-0.0001452022566738</v>
      </c>
      <c r="AF181" s="171" t="n">
        <v>0.0002429429630251</v>
      </c>
      <c r="AG181" s="171" t="n">
        <v>-0.0003778125226633</v>
      </c>
      <c r="AH181" s="171" t="n">
        <v>-0.0020810255609917</v>
      </c>
      <c r="AI181" s="171" t="n">
        <v>0.0008257016360719999</v>
      </c>
      <c r="AJ181" s="171" t="n">
        <v>0.0002070901562589</v>
      </c>
      <c r="AK181" s="171" t="n">
        <v>-0.0011317985616388</v>
      </c>
      <c r="AL181" s="171" t="n">
        <v>0.0030048396667147</v>
      </c>
      <c r="AM181" s="171" t="n">
        <v>-0</v>
      </c>
      <c r="AN181" s="1" t="n">
        <v>-0.0007831288349208</v>
      </c>
      <c r="AO181" s="1" t="n">
        <v>-9.999596636833807e-16</v>
      </c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64" t="inlineStr">
        <is>
          <t>2018-01</t>
        </is>
      </c>
      <c r="B182" s="163" t="n">
        <v>-0.042048054995095</v>
      </c>
      <c r="C182" s="163" t="n">
        <v>-0.0255665745871213</v>
      </c>
      <c r="D182" s="163" t="n">
        <v>-0.0164814804079736</v>
      </c>
      <c r="E182" s="170" t="n">
        <v>2868.572258064516</v>
      </c>
      <c r="F182" s="170" t="n">
        <v>2916.24233315547</v>
      </c>
      <c r="G182" s="163" t="n">
        <v>0.0056651267225528</v>
      </c>
      <c r="H182" s="163" t="n">
        <v>0.0001968258784434</v>
      </c>
      <c r="I182" s="163" t="n">
        <v>0.0027452227427453</v>
      </c>
      <c r="J182" s="163" t="n">
        <v>-0.0012300027732335</v>
      </c>
      <c r="K182" s="163" t="n">
        <v>-3.129568175629626e-05</v>
      </c>
      <c r="L182" s="163" t="n">
        <v>-0.004652976621581</v>
      </c>
      <c r="M182" s="163" t="n">
        <v>0.001239568076611</v>
      </c>
      <c r="N182" s="163" t="n">
        <v>-0.0037161227803149</v>
      </c>
      <c r="O182" s="163" t="n">
        <v>-0.0011707777150897</v>
      </c>
      <c r="P182" s="163" t="n">
        <v>-0.003398034928598</v>
      </c>
      <c r="Q182" s="163" t="n">
        <v>0.0001987441623897</v>
      </c>
      <c r="R182" s="163" t="n">
        <v>-0.0001209385122662</v>
      </c>
      <c r="S182" s="163" t="n">
        <v>0.00249140391924</v>
      </c>
      <c r="T182" s="163" t="n">
        <v>-0.0044363004373577</v>
      </c>
      <c r="U182" s="163" t="n">
        <v>-0.0161639134597878</v>
      </c>
      <c r="V182" s="171" t="n">
        <v>-10.57411942550115</v>
      </c>
      <c r="W182" s="171" t="n">
        <v>-0.0028549362724487</v>
      </c>
      <c r="X182" s="171" t="n">
        <v>-78.05594266933539</v>
      </c>
      <c r="Y182" s="171" t="n">
        <v>127.1524355088293</v>
      </c>
      <c r="Z182" s="171" t="n">
        <v>2.739939731975275</v>
      </c>
      <c r="AA182" s="171" t="n">
        <v>-0.0174309888384588</v>
      </c>
      <c r="AB182" s="171" t="n">
        <v>-41.23208098286664</v>
      </c>
      <c r="AC182" s="171" t="n">
        <v>-0.0005371226124801</v>
      </c>
      <c r="AD182" s="171" t="n">
        <v>-3.375547881111851e-05</v>
      </c>
      <c r="AE182" s="171" t="n">
        <v>-0.00012782762767</v>
      </c>
      <c r="AF182" s="171" t="n">
        <v>0.0007574104141371</v>
      </c>
      <c r="AG182" s="171" t="n">
        <v>-0.001020094906984</v>
      </c>
      <c r="AH182" s="171" t="n">
        <v>-0.008603730044723701</v>
      </c>
      <c r="AI182" s="171" t="n">
        <v>6.563066313855223e-06</v>
      </c>
      <c r="AJ182" s="171" t="n">
        <v>0.0001852590095051</v>
      </c>
      <c r="AK182" s="171" t="n">
        <v>5.710603336102031e-06</v>
      </c>
      <c r="AL182" s="171" t="n">
        <v>-0.0037617535921874</v>
      </c>
      <c r="AM182" s="171" t="n">
        <v>-0</v>
      </c>
      <c r="AN182" s="1" t="n">
        <v>-0.0255665745871218</v>
      </c>
      <c r="AO182" s="1" t="n">
        <v>4.996003610813204e-16</v>
      </c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64" t="inlineStr">
        <is>
          <t>2018-02</t>
        </is>
      </c>
      <c r="B183" s="163" t="n">
        <v>-0.0029044024219917</v>
      </c>
      <c r="C183" s="163" t="n">
        <v>0.0209593185278604</v>
      </c>
      <c r="D183" s="163" t="n">
        <v>-0.0238637209498521</v>
      </c>
      <c r="E183" s="170" t="n">
        <v>2860.252857142857</v>
      </c>
      <c r="F183" s="170" t="n">
        <v>2929.330074767292</v>
      </c>
      <c r="G183" s="163" t="n">
        <v>0.0056651267225528</v>
      </c>
      <c r="H183" s="163" t="n">
        <v>-0.0006445402095458</v>
      </c>
      <c r="I183" s="163" t="n">
        <v>0.0032001901144706</v>
      </c>
      <c r="J183" s="163" t="n">
        <v>-0.0004349693255963</v>
      </c>
      <c r="K183" s="163" t="n">
        <v>9.812190480215221e-05</v>
      </c>
      <c r="L183" s="163" t="n">
        <v>-0.0013247701828541</v>
      </c>
      <c r="M183" s="163" t="n">
        <v>0.011730144068856</v>
      </c>
      <c r="N183" s="163" t="n">
        <v>0.003608936888695</v>
      </c>
      <c r="O183" s="163" t="n">
        <v>-0.0007725333599624</v>
      </c>
      <c r="P183" s="163" t="n">
        <v>-0.0047383929864768</v>
      </c>
      <c r="Q183" s="163" t="n">
        <v>8.56047591564896e-05</v>
      </c>
      <c r="R183" s="163" t="n">
        <v>0.0002529180691849</v>
      </c>
      <c r="S183" s="163" t="n">
        <v>-0.0017178143794013</v>
      </c>
      <c r="T183" s="163" t="n">
        <v>-0.0049847887317689</v>
      </c>
      <c r="U183" s="163" t="n">
        <v>-0.0013007438041569</v>
      </c>
      <c r="V183" s="171" t="n">
        <v>-62.12095111573869</v>
      </c>
      <c r="W183" s="171" t="n">
        <v>-0.0184522153435069</v>
      </c>
      <c r="X183" s="171" t="n">
        <v>-59.55348558316109</v>
      </c>
      <c r="Y183" s="171" t="n">
        <v>192.9552760790868</v>
      </c>
      <c r="Z183" s="171" t="n">
        <v>-54.74852432751611</v>
      </c>
      <c r="AA183" s="171" t="n">
        <v>-0.0029199740486994</v>
      </c>
      <c r="AB183" s="171" t="n">
        <v>-16.50597545825091</v>
      </c>
      <c r="AC183" s="171" t="n">
        <v>0.0009337175558793</v>
      </c>
      <c r="AD183" s="171" t="n">
        <v>0.0013976717632354</v>
      </c>
      <c r="AE183" s="171" t="n">
        <v>0.0011665822331057</v>
      </c>
      <c r="AF183" s="171" t="n">
        <v>-0.0029176973500567</v>
      </c>
      <c r="AG183" s="171" t="n">
        <v>0.0008095575208434</v>
      </c>
      <c r="AH183" s="171" t="n">
        <v>0.0027219419351982</v>
      </c>
      <c r="AI183" s="171" t="n">
        <v>-0.0001172299431232</v>
      </c>
      <c r="AJ183" s="171" t="n">
        <v>0.0001706673543159</v>
      </c>
      <c r="AK183" s="171" t="n">
        <v>-0.0014031150833303</v>
      </c>
      <c r="AL183" s="171" t="n">
        <v>0.0045073279661002</v>
      </c>
      <c r="AM183" s="171" t="n">
        <v>-0</v>
      </c>
      <c r="AN183" s="1" t="n">
        <v>0.0209593185278592</v>
      </c>
      <c r="AO183" s="1" t="n">
        <v>1.200428645375951e-15</v>
      </c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64" t="inlineStr">
        <is>
          <t>2018-03</t>
        </is>
      </c>
      <c r="B184" s="163" t="n">
        <v>-0.00431739137922</v>
      </c>
      <c r="C184" s="163" t="n">
        <v>0.0155428337252446</v>
      </c>
      <c r="D184" s="163" t="n">
        <v>-0.0198602251044646</v>
      </c>
      <c r="E184" s="170" t="n">
        <v>2847.930645161291</v>
      </c>
      <c r="F184" s="170" t="n">
        <v>2905.05657813768</v>
      </c>
      <c r="G184" s="163" t="n">
        <v>0.0056651267225528</v>
      </c>
      <c r="H184" s="163" t="n">
        <v>8.975851153631211e-05</v>
      </c>
      <c r="I184" s="163" t="n">
        <v>0.0026661616173804</v>
      </c>
      <c r="J184" s="163" t="n">
        <v>-0.0008410148597207</v>
      </c>
      <c r="K184" s="163" t="n">
        <v>4.827174218384606e-06</v>
      </c>
      <c r="L184" s="163" t="n">
        <v>0.0005579736439249</v>
      </c>
      <c r="M184" s="163" t="n">
        <v>-0.0027529790992602</v>
      </c>
      <c r="N184" s="163" t="n">
        <v>0.0016698623586703</v>
      </c>
      <c r="O184" s="163" t="n">
        <v>0.0007339694395098</v>
      </c>
      <c r="P184" s="163" t="n">
        <v>0.0128297926631871</v>
      </c>
      <c r="Q184" s="163" t="n">
        <v>-0.0003310507023995</v>
      </c>
      <c r="R184" s="163" t="n">
        <v>3.271985223649506e-05</v>
      </c>
      <c r="S184" s="163" t="n">
        <v>-0.0017557776769579</v>
      </c>
      <c r="T184" s="163" t="n">
        <v>-0.0016538173891359</v>
      </c>
      <c r="U184" s="163" t="n">
        <v>0.0022048426986909</v>
      </c>
      <c r="V184" s="171" t="n">
        <v>1.561254443824667</v>
      </c>
      <c r="W184" s="171" t="n">
        <v>0.0025500894620449</v>
      </c>
      <c r="X184" s="171" t="n">
        <v>-41.72815029874798</v>
      </c>
      <c r="Y184" s="171" t="n">
        <v>-11.62051655386532</v>
      </c>
      <c r="Z184" s="171" t="n">
        <v>48.61554626482937</v>
      </c>
      <c r="AA184" s="171" t="n">
        <v>-0.0057367940648985</v>
      </c>
      <c r="AB184" s="171" t="n">
        <v>3.171478753446155</v>
      </c>
      <c r="AC184" s="171" t="n">
        <v>-0.0010114127848714</v>
      </c>
      <c r="AD184" s="171" t="n">
        <v>0.0011417183656443</v>
      </c>
      <c r="AE184" s="171" t="n">
        <v>0.0014334068928054</v>
      </c>
      <c r="AF184" s="171" t="n">
        <v>-0.0031749310756127</v>
      </c>
      <c r="AG184" s="171" t="n">
        <v>-0.0001540209456311</v>
      </c>
      <c r="AH184" s="171" t="n">
        <v>0.0003510037324842</v>
      </c>
      <c r="AI184" s="171" t="n">
        <v>0.0011032740786217</v>
      </c>
      <c r="AJ184" s="171" t="n">
        <v>0.000177431813768</v>
      </c>
      <c r="AK184" s="171" t="n">
        <v>-0.002830093164591</v>
      </c>
      <c r="AL184" s="171" t="n">
        <v>0.0029601569741604</v>
      </c>
      <c r="AM184" s="171" t="n">
        <v>-0</v>
      </c>
      <c r="AN184" s="1" t="n">
        <v>0.0155428337252386</v>
      </c>
      <c r="AO184" s="1" t="n">
        <v>5.998673779927799e-15</v>
      </c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64" t="inlineStr">
        <is>
          <t>2018-04</t>
        </is>
      </c>
      <c r="B185" s="163" t="n">
        <v>-0.0290873763218906</v>
      </c>
      <c r="C185" s="163" t="n">
        <v>-0.0145317149126038</v>
      </c>
      <c r="D185" s="163" t="n">
        <v>-0.0145556614092868</v>
      </c>
      <c r="E185" s="170" t="n">
        <v>2766.285</v>
      </c>
      <c r="F185" s="170" t="n">
        <v>2806.844577458369</v>
      </c>
      <c r="G185" s="163" t="n">
        <v>0.0056651267225528</v>
      </c>
      <c r="H185" s="163" t="n">
        <v>0.0001779022924052</v>
      </c>
      <c r="I185" s="163" t="n">
        <v>0.0006797271330994</v>
      </c>
      <c r="J185" s="163" t="n">
        <v>-0.0003103745315636</v>
      </c>
      <c r="K185" s="163" t="n">
        <v>-3.466785231471501e-06</v>
      </c>
      <c r="L185" s="163" t="n">
        <v>-7.160922019872883e-06</v>
      </c>
      <c r="M185" s="163" t="n">
        <v>-0.0006716431744596</v>
      </c>
      <c r="N185" s="163" t="n">
        <v>-0.0015626764670504</v>
      </c>
      <c r="O185" s="163" t="n">
        <v>0.0001421479740116</v>
      </c>
      <c r="P185" s="163" t="n">
        <v>-0.0069689349593867</v>
      </c>
      <c r="Q185" s="163" t="n">
        <v>0.00022866309492</v>
      </c>
      <c r="R185" s="163" t="n">
        <v>0.0004087397236732</v>
      </c>
      <c r="S185" s="163" t="n">
        <v>0.0018210108333851</v>
      </c>
      <c r="T185" s="163" t="n">
        <v>-0.0032960752596704</v>
      </c>
      <c r="U185" s="163" t="n">
        <v>-0.0021578480571257</v>
      </c>
      <c r="V185" s="171" t="n">
        <v>2.993904732474334</v>
      </c>
      <c r="W185" s="171" t="n">
        <v>-0.004324293992806</v>
      </c>
      <c r="X185" s="171" t="n">
        <v>-45.10545106458989</v>
      </c>
      <c r="Y185" s="171" t="n">
        <v>18.70363165308309</v>
      </c>
      <c r="Z185" s="171" t="n">
        <v>34.02801573122582</v>
      </c>
      <c r="AA185" s="171" t="n">
        <v>-0.0028689076959764</v>
      </c>
      <c r="AB185" s="171" t="n">
        <v>-10.61159647774696</v>
      </c>
      <c r="AC185" s="171" t="n">
        <v>0.0002982590163175</v>
      </c>
      <c r="AD185" s="171" t="n">
        <v>4.186089773536913e-05</v>
      </c>
      <c r="AE185" s="171" t="n">
        <v>-0.0002482089857671</v>
      </c>
      <c r="AF185" s="171" t="n">
        <v>-0.0001714891503706</v>
      </c>
      <c r="AG185" s="171" t="n">
        <v>-0.0012762507431823</v>
      </c>
      <c r="AH185" s="171" t="n">
        <v>-0.002616698479526</v>
      </c>
      <c r="AI185" s="171" t="n">
        <v>0.0003821288783082</v>
      </c>
      <c r="AJ185" s="171" t="n">
        <v>0.0001346124391457</v>
      </c>
      <c r="AK185" s="171" t="n">
        <v>-0.0063484574432524</v>
      </c>
      <c r="AL185" s="171" t="n">
        <v>-0.000183981717167</v>
      </c>
      <c r="AM185" s="171" t="n">
        <v>-0</v>
      </c>
      <c r="AN185" s="1" t="n">
        <v>-0.0145317149126061</v>
      </c>
      <c r="AO185" s="1" t="n">
        <v>2.300243329145246e-15</v>
      </c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64" t="inlineStr">
        <is>
          <t>2018-05</t>
        </is>
      </c>
      <c r="B186" s="163" t="n">
        <v>0.0339545501982945</v>
      </c>
      <c r="C186" s="163" t="n">
        <v>0.0500435509679109</v>
      </c>
      <c r="D186" s="163" t="n">
        <v>-0.0160890007696163</v>
      </c>
      <c r="E186" s="170" t="n">
        <v>2861.825806451613</v>
      </c>
      <c r="F186" s="170" t="n">
        <v>2908.242118839772</v>
      </c>
      <c r="G186" s="163" t="n">
        <v>0.0056651267225528</v>
      </c>
      <c r="H186" s="163" t="n">
        <v>0.0003810836374292</v>
      </c>
      <c r="I186" s="163" t="n">
        <v>0.0043666495638402</v>
      </c>
      <c r="J186" s="163" t="n">
        <v>-0.0006494874456794</v>
      </c>
      <c r="K186" s="163" t="n">
        <v>-4.105523962201852e-05</v>
      </c>
      <c r="L186" s="163" t="n">
        <v>0.0057393715386079</v>
      </c>
      <c r="M186" s="163" t="n">
        <v>-0.0042591680739754</v>
      </c>
      <c r="N186" s="163" t="n">
        <v>0.0046205576790074</v>
      </c>
      <c r="O186" s="163" t="n">
        <v>0.0005206513749869001</v>
      </c>
      <c r="P186" s="163" t="n">
        <v>0.0052712871971431</v>
      </c>
      <c r="Q186" s="163" t="n">
        <v>-0.0001840687589093</v>
      </c>
      <c r="R186" s="163" t="n">
        <v>0.0004401985674169</v>
      </c>
      <c r="S186" s="163" t="n">
        <v>-0.0012575119641639</v>
      </c>
      <c r="T186" s="163" t="n">
        <v>-0.0017849217248772</v>
      </c>
      <c r="U186" s="163" t="n">
        <v>0.0255093732264279</v>
      </c>
      <c r="V186" s="171" t="n">
        <v>-27.00115684652291</v>
      </c>
      <c r="W186" s="171" t="n">
        <v>-0.0061144146126433</v>
      </c>
      <c r="X186" s="171" t="n">
        <v>-52.97751127525475</v>
      </c>
      <c r="Y186" s="171" t="n">
        <v>76.21712366168195</v>
      </c>
      <c r="Z186" s="171" t="n">
        <v>7.83261315647153</v>
      </c>
      <c r="AA186" s="171" t="n">
        <v>-0.0053415404948227</v>
      </c>
      <c r="AB186" s="171" t="n">
        <v>-4.057207053958246</v>
      </c>
      <c r="AC186" s="171" t="n">
        <v>-0.0001283773391524</v>
      </c>
      <c r="AD186" s="171" t="n">
        <v>-0.0009724792705108</v>
      </c>
      <c r="AE186" s="171" t="n">
        <v>-0.0010362725155779</v>
      </c>
      <c r="AF186" s="171" t="n">
        <v>0.0026914269433176</v>
      </c>
      <c r="AG186" s="171" t="n">
        <v>-0.000945238344582</v>
      </c>
      <c r="AH186" s="171" t="n">
        <v>-0.006109573969765</v>
      </c>
      <c r="AI186" s="171" t="n">
        <v>0.002524517404518</v>
      </c>
      <c r="AJ186" s="171" t="n">
        <v>0.0001980065465528</v>
      </c>
      <c r="AK186" s="171" t="n">
        <v>0.0052440436049023</v>
      </c>
      <c r="AL186" s="171" t="n">
        <v>0.0018337242979075</v>
      </c>
      <c r="AM186" s="171" t="n">
        <v>-0</v>
      </c>
      <c r="AN186" s="1" t="n">
        <v>0.0500435509679123</v>
      </c>
      <c r="AO186" s="1" t="n">
        <v>-1.394717674685353e-15</v>
      </c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64" t="inlineStr">
        <is>
          <t>2018-06</t>
        </is>
      </c>
      <c r="B187" s="163" t="n">
        <v>0.009689068867674899</v>
      </c>
      <c r="C187" s="163" t="n">
        <v>0.0154165740091748</v>
      </c>
      <c r="D187" s="163" t="n">
        <v>-0.0057275051414998</v>
      </c>
      <c r="E187" s="170" t="n">
        <v>2889.688999999999</v>
      </c>
      <c r="F187" s="170" t="n">
        <v>2906.287196357977</v>
      </c>
      <c r="G187" s="163" t="n">
        <v>0.0056651267225528</v>
      </c>
      <c r="H187" s="163" t="n">
        <v>1.050536413310316e-05</v>
      </c>
      <c r="I187" s="163" t="n">
        <v>0.0017019616999896</v>
      </c>
      <c r="J187" s="163" t="n">
        <v>-0.000867899153076</v>
      </c>
      <c r="K187" s="163" t="n">
        <v>-9.379979616394484e-06</v>
      </c>
      <c r="L187" s="163" t="n">
        <v>0.0032508289901268</v>
      </c>
      <c r="M187" s="163" t="n">
        <v>-0.0005318402591752</v>
      </c>
      <c r="N187" s="163" t="n">
        <v>0.0027236608208717</v>
      </c>
      <c r="O187" s="163" t="n">
        <v>-0.0004941609955052</v>
      </c>
      <c r="P187" s="163" t="n">
        <v>3.283057252279147e-05</v>
      </c>
      <c r="Q187" s="163" t="n">
        <v>4.15938495699185e-05</v>
      </c>
      <c r="R187" s="163" t="n">
        <v>-0.0003398707608294</v>
      </c>
      <c r="S187" s="163" t="n">
        <v>-0.0012996319573394</v>
      </c>
      <c r="T187" s="163" t="n">
        <v>-0.0010687942528949</v>
      </c>
      <c r="U187" s="163" t="n">
        <v>0.0105424366450879</v>
      </c>
      <c r="V187" s="171" t="n">
        <v>11.75927816219178</v>
      </c>
      <c r="W187" s="171" t="n">
        <v>0.0006742367795765</v>
      </c>
      <c r="X187" s="171" t="n">
        <v>-8.935515310363932</v>
      </c>
      <c r="Y187" s="171" t="n">
        <v>-45.82985858751299</v>
      </c>
      <c r="Z187" s="171" t="n">
        <v>36.08702123716509</v>
      </c>
      <c r="AA187" s="171" t="n">
        <v>0.0034929385262512</v>
      </c>
      <c r="AB187" s="171" t="n">
        <v>6.914395120125921</v>
      </c>
      <c r="AC187" s="171" t="n">
        <v>0.0001289161152502</v>
      </c>
      <c r="AD187" s="171" t="n">
        <v>-3.32082775335322e-05</v>
      </c>
      <c r="AE187" s="171" t="n">
        <v>0.0002420037611229</v>
      </c>
      <c r="AF187" s="171" t="n">
        <v>-0.0005287582136429</v>
      </c>
      <c r="AG187" s="171" t="n">
        <v>0.0004912765676755</v>
      </c>
      <c r="AH187" s="171" t="n">
        <v>0.0015297684289312</v>
      </c>
      <c r="AI187" s="171" t="n">
        <v>-0.0022804392314322</v>
      </c>
      <c r="AJ187" s="171" t="n">
        <v>0.0002328017692431</v>
      </c>
      <c r="AK187" s="171" t="n">
        <v>-0.0044865649275086</v>
      </c>
      <c r="AL187" s="171" t="n">
        <v>0.0012756137989565</v>
      </c>
      <c r="AM187" s="171" t="n">
        <v>-0</v>
      </c>
      <c r="AN187" s="1" t="n">
        <v>0.0154165740091732</v>
      </c>
      <c r="AO187" s="1" t="n">
        <v>1.601149768326593e-15</v>
      </c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64" t="inlineStr">
        <is>
          <t>2018-07</t>
        </is>
      </c>
      <c r="B188" s="163" t="n">
        <v>-0.0015124007200455</v>
      </c>
      <c r="C188" s="163" t="n">
        <v>-0.0012046945217947</v>
      </c>
      <c r="D188" s="163" t="n">
        <v>-0.0003077061982508</v>
      </c>
      <c r="E188" s="170" t="n">
        <v>2885.32193548387</v>
      </c>
      <c r="F188" s="170" t="n">
        <v>2886.209903536997</v>
      </c>
      <c r="G188" s="163" t="n">
        <v>0.0056651267225528</v>
      </c>
      <c r="H188" s="163" t="n">
        <v>-8.108406685533141e-05</v>
      </c>
      <c r="I188" s="163" t="n">
        <v>0.000377040696588</v>
      </c>
      <c r="J188" s="163" t="n">
        <v>-0.0004138327087514</v>
      </c>
      <c r="K188" s="163" t="n">
        <v>4.094571297190518e-07</v>
      </c>
      <c r="L188" s="163" t="n">
        <v>0.0003855923615064</v>
      </c>
      <c r="M188" s="163" t="n">
        <v>-0.0006549801030004</v>
      </c>
      <c r="N188" s="163" t="n">
        <v>-0.0052636573376284</v>
      </c>
      <c r="O188" s="163" t="n">
        <v>0.0005601367579582</v>
      </c>
      <c r="P188" s="163" t="n">
        <v>0.0013172808045449</v>
      </c>
      <c r="Q188" s="163" t="n">
        <v>2.567236082663826e-06</v>
      </c>
      <c r="R188" s="163" t="n">
        <v>-0.0001749549940193</v>
      </c>
      <c r="S188" s="163" t="n">
        <v>0.0005146071855224</v>
      </c>
      <c r="T188" s="163" t="n">
        <v>0.0009261949750876</v>
      </c>
      <c r="U188" s="163" t="n">
        <v>-0.0049496539675658</v>
      </c>
      <c r="V188" s="171" t="n">
        <v>5.715740230000621</v>
      </c>
      <c r="W188" s="171" t="n">
        <v>-0.0026503705876966</v>
      </c>
      <c r="X188" s="171" t="n">
        <v>-30.46632695779171</v>
      </c>
      <c r="Y188" s="171" t="n">
        <v>-16.36129458066842</v>
      </c>
      <c r="Z188" s="171" t="n">
        <v>40.16099379391254</v>
      </c>
      <c r="AA188" s="171" t="n">
        <v>0.0025778294854555</v>
      </c>
      <c r="AB188" s="171" t="n">
        <v>0.9514436260338718</v>
      </c>
      <c r="AC188" s="171" t="n">
        <v>-0.0011483548061295</v>
      </c>
      <c r="AD188" s="171" t="n">
        <v>-0.0006916624148693001</v>
      </c>
      <c r="AE188" s="171" t="n">
        <v>-4.964179715343621e-05</v>
      </c>
      <c r="AF188" s="171" t="n">
        <v>0.0005763940887459</v>
      </c>
      <c r="AG188" s="171" t="n">
        <v>2.932746882917376e-05</v>
      </c>
      <c r="AH188" s="171" t="n">
        <v>0.0023186455039557</v>
      </c>
      <c r="AI188" s="171" t="n">
        <v>0.0020531081930782</v>
      </c>
      <c r="AJ188" s="171" t="n">
        <v>0.0001407967358208</v>
      </c>
      <c r="AK188" s="171" t="n">
        <v>-0.0009368840881885</v>
      </c>
      <c r="AL188" s="171" t="n">
        <v>-0.0021907868096944</v>
      </c>
      <c r="AM188" s="171" t="n">
        <v>-0</v>
      </c>
      <c r="AN188" s="1" t="n">
        <v>-0.0012046945217884</v>
      </c>
      <c r="AO188" s="1" t="n">
        <v>-6.299865143444272e-15</v>
      </c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64" t="inlineStr">
        <is>
          <t>2018-08</t>
        </is>
      </c>
      <c r="B189" s="163" t="n">
        <v>0.0251022695883449</v>
      </c>
      <c r="C189" s="163" t="n">
        <v>0.0064512025015264</v>
      </c>
      <c r="D189" s="163" t="n">
        <v>0.0186510670868184</v>
      </c>
      <c r="E189" s="170" t="n">
        <v>2958.666774193548</v>
      </c>
      <c r="F189" s="170" t="n">
        <v>2903.995901575754</v>
      </c>
      <c r="G189" s="163" t="n">
        <v>0.0056651267225528</v>
      </c>
      <c r="H189" s="163" t="n">
        <v>1.793987916693744e-05</v>
      </c>
      <c r="I189" s="163" t="n">
        <v>0.0013987236619463</v>
      </c>
      <c r="J189" s="163" t="n">
        <v>-0.0003103745315636</v>
      </c>
      <c r="K189" s="163" t="n">
        <v>-1.924558660424817e-05</v>
      </c>
      <c r="L189" s="163" t="n">
        <v>0.001377967209407</v>
      </c>
      <c r="M189" s="163" t="n">
        <v>-0.0007743282546183999</v>
      </c>
      <c r="N189" s="163" t="n">
        <v>0.0004497853291294</v>
      </c>
      <c r="O189" s="163" t="n">
        <v>-0.0001356888066264</v>
      </c>
      <c r="P189" s="163" t="n">
        <v>-0.0072405316347274</v>
      </c>
      <c r="Q189" s="163" t="n">
        <v>0.0001063862799318</v>
      </c>
      <c r="R189" s="163" t="n">
        <v>-8.361992448869327e-05</v>
      </c>
      <c r="S189" s="163" t="n">
        <v>-0.0029514154310827</v>
      </c>
      <c r="T189" s="163" t="n">
        <v>-0.0008549922645282</v>
      </c>
      <c r="U189" s="163" t="n">
        <v>0.0029622121259543</v>
      </c>
      <c r="V189" s="171" t="n">
        <v>-4.354822481237493</v>
      </c>
      <c r="W189" s="171" t="n">
        <v>-0.004880185373853</v>
      </c>
      <c r="X189" s="171" t="n">
        <v>-12.03864405831485</v>
      </c>
      <c r="Y189" s="171" t="n">
        <v>0.0561038819740582</v>
      </c>
      <c r="Z189" s="171" t="n">
        <v>12.00795725144521</v>
      </c>
      <c r="AA189" s="171" t="n">
        <v>0.0061044718045039</v>
      </c>
      <c r="AB189" s="171" t="n">
        <v>4.331497108310241</v>
      </c>
      <c r="AC189" s="171" t="n">
        <v>0.0010120816103721</v>
      </c>
      <c r="AD189" s="171" t="n">
        <v>-0.0005010995699498</v>
      </c>
      <c r="AE189" s="171" t="n">
        <v>-0.0008736956299004</v>
      </c>
      <c r="AF189" s="171" t="n">
        <v>0.0028248073936059</v>
      </c>
      <c r="AG189" s="171" t="n">
        <v>0.0003401641876715</v>
      </c>
      <c r="AH189" s="171" t="n">
        <v>0.003009488769994</v>
      </c>
      <c r="AI189" s="171" t="n">
        <v>0.0004484384793413</v>
      </c>
      <c r="AJ189" s="171" t="n">
        <v>8.43714501699494e-05</v>
      </c>
      <c r="AK189" s="171" t="n">
        <v>-0.0037324605821835</v>
      </c>
      <c r="AL189" s="171" t="n">
        <v>0.0009151730107378</v>
      </c>
      <c r="AM189" s="171" t="n">
        <v>-0</v>
      </c>
      <c r="AN189" s="1" t="n">
        <v>0.0064512025015251</v>
      </c>
      <c r="AO189" s="1" t="n">
        <v>1.300175245244617e-15</v>
      </c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64" t="inlineStr">
        <is>
          <t>2018-09</t>
        </is>
      </c>
      <c r="B190" s="163" t="n">
        <v>0.0250666585467422</v>
      </c>
      <c r="C190" s="163" t="n">
        <v>0.0229095347434503</v>
      </c>
      <c r="D190" s="163" t="n">
        <v>0.0021571238032918</v>
      </c>
      <c r="E190" s="170" t="n">
        <v>3033.767999999999</v>
      </c>
      <c r="F190" s="170" t="n">
        <v>3027.23084010003</v>
      </c>
      <c r="G190" s="163" t="n">
        <v>0.0056651267225528</v>
      </c>
      <c r="H190" s="163" t="n">
        <v>0.0008683933879953</v>
      </c>
      <c r="I190" s="163" t="n">
        <v>0.0032336865569034</v>
      </c>
      <c r="J190" s="163" t="n">
        <v>0</v>
      </c>
      <c r="K190" s="163" t="n">
        <v>-5.89989453707408e-05</v>
      </c>
      <c r="L190" s="163" t="n">
        <v>0.0004389080866584</v>
      </c>
      <c r="M190" s="163" t="n">
        <v>0.0004729973958296</v>
      </c>
      <c r="N190" s="163" t="n">
        <v>-0.0014842915861271</v>
      </c>
      <c r="O190" s="163" t="n">
        <v>-9.497118348671814e-05</v>
      </c>
      <c r="P190" s="163" t="n">
        <v>0.0033739697826132</v>
      </c>
      <c r="Q190" s="163" t="n">
        <v>-0.0001865565589456</v>
      </c>
      <c r="R190" s="163" t="n">
        <v>7.969288018937998e-05</v>
      </c>
      <c r="S190" s="163" t="n">
        <v>0.0007835300606858</v>
      </c>
      <c r="T190" s="163" t="n">
        <v>-0.0012094720242708</v>
      </c>
      <c r="U190" s="163" t="n">
        <v>0.0124557561545721</v>
      </c>
      <c r="V190" s="171" t="n">
        <v>-26.02176475811228</v>
      </c>
      <c r="W190" s="171" t="n">
        <v>-0.0097689634829128</v>
      </c>
      <c r="X190" s="171" t="n">
        <v>-54.93410249384205</v>
      </c>
      <c r="Y190" s="171" t="n">
        <v>80.70543421960194</v>
      </c>
      <c r="Z190" s="171" t="n">
        <v>7.130075159993858</v>
      </c>
      <c r="AA190" s="171" t="n">
        <v>-0.0026360451275597</v>
      </c>
      <c r="AB190" s="171" t="n">
        <v>-6.865822923001004</v>
      </c>
      <c r="AC190" s="171" t="n">
        <v>-0.0003859494708471</v>
      </c>
      <c r="AD190" s="171" t="n">
        <v>-0.0005875744718484</v>
      </c>
      <c r="AE190" s="171" t="n">
        <v>-0.0002804761539169</v>
      </c>
      <c r="AF190" s="171" t="n">
        <v>0.0010336984897343</v>
      </c>
      <c r="AG190" s="171" t="n">
        <v>-0.00121637676994</v>
      </c>
      <c r="AH190" s="171" t="n">
        <v>-0.0054195545247312</v>
      </c>
      <c r="AI190" s="171" t="n">
        <v>0.000965336529715</v>
      </c>
      <c r="AJ190" s="171" t="n">
        <v>0.0001544739494867</v>
      </c>
      <c r="AK190" s="171" t="n">
        <v>-0.0003730402583938</v>
      </c>
      <c r="AL190" s="171" t="n">
        <v>0.003267030664402</v>
      </c>
      <c r="AM190" s="171" t="n">
        <v>-0</v>
      </c>
      <c r="AN190" s="1" t="n">
        <v>0.0229095347434532</v>
      </c>
      <c r="AO190" s="1" t="n">
        <v>-2.900457651833221e-15</v>
      </c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64" t="inlineStr">
        <is>
          <t>2018-10</t>
        </is>
      </c>
      <c r="B191" s="163" t="n">
        <v>0.0166914529084589</v>
      </c>
      <c r="C191" s="163" t="n">
        <v>0.0020020019772414</v>
      </c>
      <c r="D191" s="163" t="n">
        <v>0.0146894509312175</v>
      </c>
      <c r="E191" s="170" t="n">
        <v>3084.830967741932</v>
      </c>
      <c r="F191" s="170" t="n">
        <v>3039.847693282851</v>
      </c>
      <c r="G191" s="163" t="n">
        <v>0.0056651267225528</v>
      </c>
      <c r="H191" s="163" t="n">
        <v>1.391816312950928e-05</v>
      </c>
      <c r="I191" s="163" t="n">
        <v>0.0028277052784176</v>
      </c>
      <c r="J191" s="163" t="n">
        <v>-0.0001379442362504</v>
      </c>
      <c r="K191" s="163" t="n">
        <v>-1.100859175494388e-05</v>
      </c>
      <c r="L191" s="163" t="n">
        <v>0.0013313176243565</v>
      </c>
      <c r="M191" s="163" t="n">
        <v>0.0067023390918425</v>
      </c>
      <c r="N191" s="163" t="n">
        <v>0.0005660485210423</v>
      </c>
      <c r="O191" s="163" t="n">
        <v>0.0001272710244989</v>
      </c>
      <c r="P191" s="163" t="n">
        <v>-0.0041915614437189</v>
      </c>
      <c r="Q191" s="163" t="n">
        <v>0.0001189982837871</v>
      </c>
      <c r="R191" s="163" t="n">
        <v>-0.0002837072027753</v>
      </c>
      <c r="S191" s="163" t="n">
        <v>-0.0003140105707234</v>
      </c>
      <c r="T191" s="163" t="n">
        <v>-0.000852501077782</v>
      </c>
      <c r="U191" s="163" t="n">
        <v>-0.0081450697890308</v>
      </c>
      <c r="V191" s="171" t="n">
        <v>-45.68505429736042</v>
      </c>
      <c r="W191" s="171" t="n">
        <v>-0.0124904194255019</v>
      </c>
      <c r="X191" s="171" t="n">
        <v>-38.64163803673016</v>
      </c>
      <c r="Y191" s="171" t="n">
        <v>103.8342595633845</v>
      </c>
      <c r="Z191" s="171" t="n">
        <v>-22.87008375523496</v>
      </c>
      <c r="AA191" s="171" t="n">
        <v>0.0021601067201816</v>
      </c>
      <c r="AB191" s="171" t="n">
        <v>3.371481918077937</v>
      </c>
      <c r="AC191" s="171" t="n">
        <v>-0.0003776448875474</v>
      </c>
      <c r="AD191" s="171" t="n">
        <v>0.0008023338732612</v>
      </c>
      <c r="AE191" s="171" t="n">
        <v>0.0006701642615713</v>
      </c>
      <c r="AF191" s="171" t="n">
        <v>-0.0012504417214528</v>
      </c>
      <c r="AG191" s="171" t="n">
        <v>-0.0003873680632239</v>
      </c>
      <c r="AH191" s="171" t="n">
        <v>-0.0014068825866371</v>
      </c>
      <c r="AI191" s="171" t="n">
        <v>-0.0008578380297467999</v>
      </c>
      <c r="AJ191" s="171" t="n">
        <v>0.0001472031810789</v>
      </c>
      <c r="AK191" s="171" t="n">
        <v>0.0006348686215716</v>
      </c>
      <c r="AL191" s="171" t="n">
        <v>0.0019756060992415</v>
      </c>
      <c r="AM191" s="171" t="n">
        <v>-0</v>
      </c>
      <c r="AN191" s="1" t="n">
        <v>0.0020020019772617</v>
      </c>
      <c r="AO191" s="1" t="n">
        <v>-2.030016779674959e-14</v>
      </c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64" t="inlineStr">
        <is>
          <t>2018-11</t>
        </is>
      </c>
      <c r="B192" s="163" t="n">
        <v>0.0347879348562347</v>
      </c>
      <c r="C192" s="163" t="n">
        <v>0.0506193420773033</v>
      </c>
      <c r="D192" s="163" t="n">
        <v>-0.0158314072210685</v>
      </c>
      <c r="E192" s="170" t="n">
        <v>3194.034333333336</v>
      </c>
      <c r="F192" s="170" t="n">
        <v>3245.00277811613</v>
      </c>
      <c r="G192" s="163" t="n">
        <v>0.0056651267225528</v>
      </c>
      <c r="H192" s="163" t="n">
        <v>-0.0010712382006432</v>
      </c>
      <c r="I192" s="163" t="n">
        <v>0.0027222867129783</v>
      </c>
      <c r="J192" s="163" t="n">
        <v>-0.0008276654175029</v>
      </c>
      <c r="K192" s="163" t="n">
        <v>-5.609594276690914e-06</v>
      </c>
      <c r="L192" s="163" t="n">
        <v>0.0023451022764224</v>
      </c>
      <c r="M192" s="163" t="n">
        <v>3.152103694660182e-05</v>
      </c>
      <c r="N192" s="163" t="n">
        <v>0.0063041340574809</v>
      </c>
      <c r="O192" s="163" t="n">
        <v>7.81887741066035e-05</v>
      </c>
      <c r="P192" s="163" t="n">
        <v>0.0101449652022279</v>
      </c>
      <c r="Q192" s="163" t="n">
        <v>-0.0003183010357993</v>
      </c>
      <c r="R192" s="163" t="n">
        <v>-0.0001714480186942</v>
      </c>
      <c r="S192" s="163" t="n">
        <v>-0.0006304830288915</v>
      </c>
      <c r="T192" s="163" t="n">
        <v>-0.0007805574261206</v>
      </c>
      <c r="U192" s="163" t="n">
        <v>0.0110302998387857</v>
      </c>
      <c r="V192" s="171" t="n">
        <v>-20.60238565903721</v>
      </c>
      <c r="W192" s="171" t="n">
        <v>-0.0087216262348697</v>
      </c>
      <c r="X192" s="171" t="n">
        <v>0.7934372032913088</v>
      </c>
      <c r="Y192" s="171" t="n">
        <v>-24.73479896528828</v>
      </c>
      <c r="Z192" s="171" t="n">
        <v>13.86131148106487</v>
      </c>
      <c r="AA192" s="171" t="n">
        <v>0.0145814863565171</v>
      </c>
      <c r="AB192" s="171" t="n">
        <v>30.67477107837679</v>
      </c>
      <c r="AC192" s="171" t="n">
        <v>-0.0006308510750017</v>
      </c>
      <c r="AD192" s="171" t="n">
        <v>0.0011152133037612</v>
      </c>
      <c r="AE192" s="171" t="n">
        <v>0.0017101599119358</v>
      </c>
      <c r="AF192" s="171" t="n">
        <v>-0.0026509364494801</v>
      </c>
      <c r="AG192" s="171" t="n">
        <v>0.0032451156695438</v>
      </c>
      <c r="AH192" s="171" t="n">
        <v>0.01496318988524</v>
      </c>
      <c r="AI192" s="171" t="n">
        <v>0.0003640238677872</v>
      </c>
      <c r="AJ192" s="171" t="n">
        <v>7.001143125731155e-05</v>
      </c>
      <c r="AK192" s="171" t="n">
        <v>-0.0004567301007788</v>
      </c>
      <c r="AL192" s="171" t="n">
        <v>0.0001788252043419</v>
      </c>
      <c r="AM192" s="171" t="n">
        <v>-0</v>
      </c>
      <c r="AN192" s="1" t="n">
        <v>0.0506193420772957</v>
      </c>
      <c r="AO192" s="1" t="n">
        <v>7.598088824778415e-15</v>
      </c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64" t="inlineStr">
        <is>
          <t>2018-12</t>
        </is>
      </c>
      <c r="B193" s="163" t="n">
        <v>0.0076464491966969</v>
      </c>
      <c r="C193" s="163" t="n">
        <v>-0.0065785213503776</v>
      </c>
      <c r="D193" s="163" t="n">
        <v>0.0142249705470746</v>
      </c>
      <c r="E193" s="170" t="n">
        <v>3218.550967741938</v>
      </c>
      <c r="F193" s="170" t="n">
        <v>3173.091272991713</v>
      </c>
      <c r="G193" s="163" t="n">
        <v>0.0056651267225528</v>
      </c>
      <c r="H193" s="163" t="n">
        <v>-0.0009403736488734</v>
      </c>
      <c r="I193" s="163" t="n">
        <v>0.001813193377731</v>
      </c>
      <c r="J193" s="163" t="n">
        <v>-3.448605906262459e-05</v>
      </c>
      <c r="K193" s="163" t="n">
        <v>3.492393209804117e-05</v>
      </c>
      <c r="L193" s="163" t="n">
        <v>7.451143116509244e-05</v>
      </c>
      <c r="M193" s="163" t="n">
        <v>0.0041776343519633</v>
      </c>
      <c r="N193" s="163" t="n">
        <v>0.0027891188520835</v>
      </c>
      <c r="O193" s="163" t="n">
        <v>-0.0012859687550859</v>
      </c>
      <c r="P193" s="163" t="n">
        <v>-0.0064550429820982</v>
      </c>
      <c r="Q193" s="163" t="n">
        <v>0.0002682197038644</v>
      </c>
      <c r="R193" s="163" t="n">
        <v>-0.0007277363350032</v>
      </c>
      <c r="S193" s="163" t="n">
        <v>0.0006714266251795</v>
      </c>
      <c r="T193" s="163" t="n">
        <v>-0.0021244237812167</v>
      </c>
      <c r="U193" s="163" t="n">
        <v>0.0010222630681675</v>
      </c>
      <c r="V193" s="171" t="n">
        <v>27.629888271823</v>
      </c>
      <c r="W193" s="171" t="n">
        <v>0.0021970061608214</v>
      </c>
      <c r="X193" s="171" t="n">
        <v>75.88749125510488</v>
      </c>
      <c r="Y193" s="171" t="n">
        <v>-199.4282614618373</v>
      </c>
      <c r="Z193" s="171" t="n">
        <v>42.24534218440836</v>
      </c>
      <c r="AA193" s="171" t="n">
        <v>0.0248100768069281</v>
      </c>
      <c r="AB193" s="171" t="n">
        <v>53.62370562583609</v>
      </c>
      <c r="AC193" s="171" t="n">
        <v>0.0005189714315319</v>
      </c>
      <c r="AD193" s="171" t="n">
        <v>0.0020034919776834</v>
      </c>
      <c r="AE193" s="171" t="n">
        <v>0.0016965084177186</v>
      </c>
      <c r="AF193" s="171" t="n">
        <v>-0.0044587179096377</v>
      </c>
      <c r="AG193" s="171" t="n">
        <v>0.0017519702185621</v>
      </c>
      <c r="AH193" s="171" t="n">
        <v>0.0078374427586892</v>
      </c>
      <c r="AI193" s="171" t="n">
        <v>-0.0024434974824367</v>
      </c>
      <c r="AJ193" s="171" t="n">
        <v>0.0001398581641427</v>
      </c>
      <c r="AK193" s="171" t="n">
        <v>-0.0001447417196287</v>
      </c>
      <c r="AL193" s="171" t="n">
        <v>-0.0036011520132613</v>
      </c>
      <c r="AM193" s="171" t="n">
        <v>-0</v>
      </c>
      <c r="AN193" s="1" t="n">
        <v>-0.0065785213503742</v>
      </c>
      <c r="AO193" s="1" t="n">
        <v>-3.400058012914542e-15</v>
      </c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64" t="inlineStr">
        <is>
          <t>2019-01</t>
        </is>
      </c>
      <c r="B194" s="163" t="n">
        <v>-0.0167187743542651</v>
      </c>
      <c r="C194" s="163" t="n">
        <v>-0.0193672096997843</v>
      </c>
      <c r="D194" s="163" t="n">
        <v>0.0026484353455192</v>
      </c>
      <c r="E194" s="170" t="n">
        <v>3165.188064516129</v>
      </c>
      <c r="F194" s="170" t="n">
        <v>3156.816359424093</v>
      </c>
      <c r="G194" s="163" t="n">
        <v>0.0056651267225528</v>
      </c>
      <c r="H194" s="163" t="n">
        <v>0.0001877405680068</v>
      </c>
      <c r="I194" s="163" t="n">
        <v>0.0021048112314361</v>
      </c>
      <c r="J194" s="163" t="n">
        <v>-0.0002414024134383</v>
      </c>
      <c r="K194" s="163" t="n">
        <v>8.23359302402949e-05</v>
      </c>
      <c r="L194" s="163" t="n">
        <v>-0.0031062403960153</v>
      </c>
      <c r="M194" s="163" t="n">
        <v>-0.004021798760378</v>
      </c>
      <c r="N194" s="163" t="n">
        <v>-0.002883030074649</v>
      </c>
      <c r="O194" s="163" t="n">
        <v>-0.0031649029487654</v>
      </c>
      <c r="P194" s="163" t="n">
        <v>-0.001112209726231</v>
      </c>
      <c r="Q194" s="163" t="n">
        <v>0.0002002083297535</v>
      </c>
      <c r="R194" s="163" t="n">
        <v>-0.0001546436474157</v>
      </c>
      <c r="S194" s="163" t="n">
        <v>-0.001394783878472</v>
      </c>
      <c r="T194" s="163" t="n">
        <v>-0.0042297943680185</v>
      </c>
      <c r="U194" s="163" t="n">
        <v>-0.0156801966810861</v>
      </c>
      <c r="V194" s="171" t="n">
        <v>27.52700494768292</v>
      </c>
      <c r="W194" s="171" t="n">
        <v>0.0167856152922669</v>
      </c>
      <c r="X194" s="171" t="n">
        <v>55.24566160508208</v>
      </c>
      <c r="Y194" s="171" t="n">
        <v>-83.32829070188659</v>
      </c>
      <c r="Z194" s="171" t="n">
        <v>-5.882872874112165</v>
      </c>
      <c r="AA194" s="171" t="n">
        <v>-0.0027085593484263</v>
      </c>
      <c r="AB194" s="171" t="n">
        <v>6.431530336943582</v>
      </c>
      <c r="AC194" s="171" t="n">
        <v>-0.0004388238423707</v>
      </c>
      <c r="AD194" s="171" t="n">
        <v>-0.0015624306479087</v>
      </c>
      <c r="AE194" s="171" t="n">
        <v>-0.0010486829648663</v>
      </c>
      <c r="AF194" s="171" t="n">
        <v>0.0026437910682146</v>
      </c>
      <c r="AG194" s="171" t="n">
        <v>-0.0005072210905284</v>
      </c>
      <c r="AH194" s="171" t="n">
        <v>-0.0016137302360406</v>
      </c>
      <c r="AI194" s="171" t="n">
        <v>-0.0008123491908128</v>
      </c>
      <c r="AJ194" s="171" t="n">
        <v>0.0002024054779957</v>
      </c>
      <c r="AK194" s="171" t="n">
        <v>0.0038647357563784</v>
      </c>
      <c r="AL194" s="171" t="n">
        <v>0.000543506428962</v>
      </c>
      <c r="AM194" s="171" t="n">
        <v>-0</v>
      </c>
      <c r="AN194" s="1" t="n">
        <v>-0.0193672096997816</v>
      </c>
      <c r="AO194" s="1" t="n">
        <v>-2.699229728619912e-15</v>
      </c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64" t="inlineStr">
        <is>
          <t>2019-02</t>
        </is>
      </c>
      <c r="B195" s="163" t="n">
        <v>-0.0157141535777487</v>
      </c>
      <c r="C195" s="163" t="n">
        <v>-0.013533774814621</v>
      </c>
      <c r="D195" s="163" t="n">
        <v>-0.0021803787631276</v>
      </c>
      <c r="E195" s="170" t="n">
        <v>3115.838571428572</v>
      </c>
      <c r="F195" s="170" t="n">
        <v>3122.639691493523</v>
      </c>
      <c r="G195" s="163" t="n">
        <v>0.0056651267225528</v>
      </c>
      <c r="H195" s="163" t="n">
        <v>0.0010225459629663</v>
      </c>
      <c r="I195" s="163" t="n">
        <v>0.0012216097336093</v>
      </c>
      <c r="J195" s="163" t="n">
        <v>-0.0004483187678141</v>
      </c>
      <c r="K195" s="163" t="n">
        <v>1.25559961075586e-05</v>
      </c>
      <c r="L195" s="163" t="n">
        <v>-5.216923557055369e-05</v>
      </c>
      <c r="M195" s="163" t="n">
        <v>-0.0041486444319437</v>
      </c>
      <c r="N195" s="163" t="n">
        <v>-0.002899714942373</v>
      </c>
      <c r="O195" s="163" t="n">
        <v>-0.0039773158377964</v>
      </c>
      <c r="P195" s="163" t="n">
        <v>-0.005914084607982</v>
      </c>
      <c r="Q195" s="163" t="n">
        <v>0.0002716964365346</v>
      </c>
      <c r="R195" s="163" t="n">
        <v>0.0001837899298801</v>
      </c>
      <c r="S195" s="163" t="n">
        <v>-0.0017527091844724</v>
      </c>
      <c r="T195" s="163" t="n">
        <v>-0.0040648891774044</v>
      </c>
      <c r="U195" s="163" t="n">
        <v>-0.008368860595917699</v>
      </c>
      <c r="V195" s="171" t="n">
        <v>34.44476534805271</v>
      </c>
      <c r="W195" s="171" t="n">
        <v>0.0173386749764843</v>
      </c>
      <c r="X195" s="171" t="n">
        <v>16.25092324227998</v>
      </c>
      <c r="Y195" s="171" t="n">
        <v>-26.29168169006676</v>
      </c>
      <c r="Z195" s="171" t="n">
        <v>-0.6767796547972349</v>
      </c>
      <c r="AA195" s="171" t="n">
        <v>-0.0132026948329969</v>
      </c>
      <c r="AB195" s="171" t="n">
        <v>-23.72323251339076</v>
      </c>
      <c r="AC195" s="171" t="n">
        <v>0.0012788129357284</v>
      </c>
      <c r="AD195" s="171" t="n">
        <v>-0.0010049693463675</v>
      </c>
      <c r="AE195" s="171" t="n">
        <v>-0.0020911607050884</v>
      </c>
      <c r="AF195" s="171" t="n">
        <v>0.0040371404149764</v>
      </c>
      <c r="AG195" s="171" t="n">
        <v>-0.0010676932050716</v>
      </c>
      <c r="AH195" s="171" t="n">
        <v>-0.0024663960845881</v>
      </c>
      <c r="AI195" s="171" t="n">
        <v>0.0019614515773158</v>
      </c>
      <c r="AJ195" s="171" t="n">
        <v>-5.579011867808999e-05</v>
      </c>
      <c r="AK195" s="171" t="n">
        <v>0.0031746844865053</v>
      </c>
      <c r="AL195" s="171" t="n">
        <v>-0.0021811849911704</v>
      </c>
      <c r="AM195" s="171" t="n">
        <v>-0</v>
      </c>
      <c r="AN195" s="1" t="n">
        <v>-0.0135337748146277</v>
      </c>
      <c r="AO195" s="1" t="n">
        <v>6.701236787698406e-15</v>
      </c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64" t="inlineStr">
        <is>
          <t>2019-03</t>
        </is>
      </c>
      <c r="B196" s="163" t="n">
        <v>0.0041142103961515</v>
      </c>
      <c r="C196" s="163" t="n">
        <v>0.0107214146834654</v>
      </c>
      <c r="D196" s="163" t="n">
        <v>-0.0066072042873139</v>
      </c>
      <c r="E196" s="170" t="n">
        <v>3128.684193548385</v>
      </c>
      <c r="F196" s="170" t="n">
        <v>3149.424491406434</v>
      </c>
      <c r="G196" s="163" t="n">
        <v>0.0056651267225528</v>
      </c>
      <c r="H196" s="163" t="n">
        <v>-4.832814188928999e-05</v>
      </c>
      <c r="I196" s="163" t="n">
        <v>0.0011560055814945</v>
      </c>
      <c r="J196" s="163" t="n">
        <v>0</v>
      </c>
      <c r="K196" s="163" t="n">
        <v>-1.77600908784547e-05</v>
      </c>
      <c r="L196" s="163" t="n">
        <v>0.0006546048894906</v>
      </c>
      <c r="M196" s="163" t="n">
        <v>-0.0008353557219612</v>
      </c>
      <c r="N196" s="163" t="n">
        <v>-0.0007939695675545</v>
      </c>
      <c r="O196" s="163" t="n">
        <v>-0.0061555717440888</v>
      </c>
      <c r="P196" s="163" t="n">
        <v>0.009997874814197</v>
      </c>
      <c r="Q196" s="163" t="n">
        <v>0.0001220296737591</v>
      </c>
      <c r="R196" s="163" t="n">
        <v>0.0005520481636199</v>
      </c>
      <c r="S196" s="163" t="n">
        <v>0.0025446906764406</v>
      </c>
      <c r="T196" s="163" t="n">
        <v>-0.0030681956161457</v>
      </c>
      <c r="U196" s="163" t="n">
        <v>0.0039092603254376</v>
      </c>
      <c r="V196" s="171" t="n">
        <v>40.40428189886286</v>
      </c>
      <c r="W196" s="171" t="n">
        <v>0.0169764130717444</v>
      </c>
      <c r="X196" s="171" t="n">
        <v>39.33537632442456</v>
      </c>
      <c r="Y196" s="171" t="n">
        <v>-73.89582554500767</v>
      </c>
      <c r="Z196" s="171" t="n">
        <v>4.435420254521305</v>
      </c>
      <c r="AA196" s="171" t="n">
        <v>-0.0060074457343302</v>
      </c>
      <c r="AB196" s="171" t="n">
        <v>-10.29159141433617</v>
      </c>
      <c r="AC196" s="171" t="n">
        <v>-0.001220495067769</v>
      </c>
      <c r="AD196" s="171" t="n">
        <v>-0.0005975266950845</v>
      </c>
      <c r="AE196" s="171" t="n">
        <v>-0.0009940769879975</v>
      </c>
      <c r="AF196" s="171" t="n">
        <v>0.0024746837115991</v>
      </c>
      <c r="AG196" s="171" t="n">
        <v>-0.0004843911496712</v>
      </c>
      <c r="AH196" s="171" t="n">
        <v>-0.0008650091217396</v>
      </c>
      <c r="AI196" s="171" t="n">
        <v>9.063820892061796e-05</v>
      </c>
      <c r="AJ196" s="171" t="n">
        <v>4.184586119899808e-05</v>
      </c>
      <c r="AK196" s="171" t="n">
        <v>-0.0002196972921911</v>
      </c>
      <c r="AL196" s="171" t="n">
        <v>0.0001824974494214</v>
      </c>
      <c r="AM196" s="171" t="n">
        <v>-0</v>
      </c>
      <c r="AN196" s="1" t="n">
        <v>0.0107214146834493</v>
      </c>
      <c r="AO196" s="1" t="n">
        <v>1.609996858054075e-14</v>
      </c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64" t="inlineStr">
        <is>
          <t>2019-04</t>
        </is>
      </c>
      <c r="B197" s="163" t="n">
        <v>0.0086184081502445</v>
      </c>
      <c r="C197" s="163" t="n">
        <v>-0.0027329778418586</v>
      </c>
      <c r="D197" s="163" t="n">
        <v>0.0113513859921031</v>
      </c>
      <c r="E197" s="170" t="n">
        <v>3155.765000000001</v>
      </c>
      <c r="F197" s="170" t="n">
        <v>3120.14524266992</v>
      </c>
      <c r="G197" s="163" t="n">
        <v>0.0056651267225528</v>
      </c>
      <c r="H197" s="163" t="n">
        <v>0.0002896966426249</v>
      </c>
      <c r="I197" s="163" t="n">
        <v>0.0017631177262329</v>
      </c>
      <c r="J197" s="163" t="n">
        <v>-3.448605906262459e-05</v>
      </c>
      <c r="K197" s="163" t="n">
        <v>1.80681930054712e-05</v>
      </c>
      <c r="L197" s="163" t="n">
        <v>0.0002119720891972</v>
      </c>
      <c r="M197" s="163" t="n">
        <v>-0.0018563626473481</v>
      </c>
      <c r="N197" s="163" t="n">
        <v>-0.0031091126474918</v>
      </c>
      <c r="O197" s="163" t="n">
        <v>-0.0035669762975303</v>
      </c>
      <c r="P197" s="163" t="n">
        <v>0.0019592378356526</v>
      </c>
      <c r="Q197" s="163" t="n">
        <v>-0.000289425680596</v>
      </c>
      <c r="R197" s="163" t="n">
        <v>0.0004585344653396</v>
      </c>
      <c r="S197" s="163" t="n">
        <v>-0.0027432115442082</v>
      </c>
      <c r="T197" s="163" t="n">
        <v>-0.0034705013061282</v>
      </c>
      <c r="U197" s="163" t="n">
        <v>-0.0021248747770709</v>
      </c>
      <c r="V197" s="171" t="n">
        <v>17.82767956438342</v>
      </c>
      <c r="W197" s="171" t="n">
        <v>0.0060446962838066</v>
      </c>
      <c r="X197" s="171" t="n">
        <v>26.90209072520585</v>
      </c>
      <c r="Y197" s="171" t="n">
        <v>-27.04908409671577</v>
      </c>
      <c r="Z197" s="171" t="n">
        <v>-10.88082207436426</v>
      </c>
      <c r="AA197" s="171" t="n">
        <v>-0.0022857299478801</v>
      </c>
      <c r="AB197" s="171" t="n">
        <v>-6.802964785545346</v>
      </c>
      <c r="AC197" s="171" t="n">
        <v>0.0009183717263366</v>
      </c>
      <c r="AD197" s="171" t="n">
        <v>-0.0006236726561292</v>
      </c>
      <c r="AE197" s="171" t="n">
        <v>-0.0003586619844335</v>
      </c>
      <c r="AF197" s="171" t="n">
        <v>0.0009670082645902</v>
      </c>
      <c r="AG197" s="171" t="n">
        <v>-0.0010734258272536</v>
      </c>
      <c r="AH197" s="171" t="n">
        <v>-0.0046968773243875</v>
      </c>
      <c r="AI197" s="171" t="n">
        <v>0.0027459643144527</v>
      </c>
      <c r="AJ197" s="171" t="n">
        <v>-2.092047581681356e-05</v>
      </c>
      <c r="AK197" s="171" t="n">
        <v>0.0034005412408206</v>
      </c>
      <c r="AL197" s="171" t="n">
        <v>0.0021795928649712</v>
      </c>
      <c r="AM197" s="171" t="n">
        <v>-0</v>
      </c>
      <c r="AN197" s="1" t="n">
        <v>-0.0027329778418584</v>
      </c>
      <c r="AO197" s="1" t="n">
        <v>-1.99926880606327e-16</v>
      </c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64" t="inlineStr">
        <is>
          <t>2019-05</t>
        </is>
      </c>
      <c r="B198" s="163" t="n">
        <v>0.0460525775431168</v>
      </c>
      <c r="C198" s="163" t="n">
        <v>0.0237441398953634</v>
      </c>
      <c r="D198" s="163" t="n">
        <v>0.0223084376477534</v>
      </c>
      <c r="E198" s="170" t="n">
        <v>3304.494516129032</v>
      </c>
      <c r="F198" s="170" t="n">
        <v>3231.592593632803</v>
      </c>
      <c r="G198" s="163" t="n">
        <v>0.0056651267225528</v>
      </c>
      <c r="H198" s="163" t="n">
        <v>-0.0002833840265441</v>
      </c>
      <c r="I198" s="163" t="n">
        <v>0.0017630426831822</v>
      </c>
      <c r="J198" s="163" t="n">
        <v>-3.448605906262306e-05</v>
      </c>
      <c r="K198" s="163" t="n">
        <v>3.187228624939582e-05</v>
      </c>
      <c r="L198" s="163" t="n">
        <v>0.0018480854901673</v>
      </c>
      <c r="M198" s="163" t="n">
        <v>0.0042339351753319</v>
      </c>
      <c r="N198" s="163" t="n">
        <v>0.0037943429047073</v>
      </c>
      <c r="O198" s="163" t="n">
        <v>-0.0012069511321176</v>
      </c>
      <c r="P198" s="163" t="n">
        <v>0.000870032154536</v>
      </c>
      <c r="Q198" s="163" t="n">
        <v>-0.0003656016502117</v>
      </c>
      <c r="R198" s="163" t="n">
        <v>-2.818976157908892e-05</v>
      </c>
      <c r="S198" s="163" t="n">
        <v>-0.0020457475476448</v>
      </c>
      <c r="T198" s="163" t="n">
        <v>-0.0022122146058176</v>
      </c>
      <c r="U198" s="163" t="n">
        <v>0.0114014020993918</v>
      </c>
      <c r="V198" s="171" t="n">
        <v>7.738540697397815</v>
      </c>
      <c r="W198" s="171" t="n">
        <v>0.001485859677743</v>
      </c>
      <c r="X198" s="171" t="n">
        <v>57.49304132749347</v>
      </c>
      <c r="Y198" s="171" t="n">
        <v>-96.34439131985502</v>
      </c>
      <c r="Z198" s="171" t="n">
        <v>-0.4225198949838999</v>
      </c>
      <c r="AA198" s="171" t="n">
        <v>0.0133170834630963</v>
      </c>
      <c r="AB198" s="171" t="n">
        <v>31.51764155789627</v>
      </c>
      <c r="AC198" s="171" t="n">
        <v>-0.0005965551896073</v>
      </c>
      <c r="AD198" s="171" t="n">
        <v>0.0009331833787641</v>
      </c>
      <c r="AE198" s="171" t="n">
        <v>0.0004480172193097</v>
      </c>
      <c r="AF198" s="171" t="n">
        <v>-0.0005001766885811</v>
      </c>
      <c r="AG198" s="171" t="n">
        <v>-1.712869691725486e-05</v>
      </c>
      <c r="AH198" s="171" t="n">
        <v>0.0043163449580802</v>
      </c>
      <c r="AI198" s="171" t="n">
        <v>-0.0003072193972777</v>
      </c>
      <c r="AJ198" s="171" t="n">
        <v>-4.883354031073934e-05</v>
      </c>
      <c r="AK198" s="171" t="n">
        <v>-0.0006681257088912</v>
      </c>
      <c r="AL198" s="171" t="n">
        <v>-0.0003619422618243</v>
      </c>
      <c r="AM198" s="171" t="n">
        <v>-0</v>
      </c>
      <c r="AN198" s="1" t="n">
        <v>0.0237441398953441</v>
      </c>
      <c r="AO198" s="1" t="n">
        <v>1.930053339371796e-14</v>
      </c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64" t="inlineStr">
        <is>
          <t>2019-06</t>
        </is>
      </c>
      <c r="B199" s="163" t="n">
        <v>-0.0133977446491169</v>
      </c>
      <c r="C199" s="163" t="n">
        <v>-0.011622867349162</v>
      </c>
      <c r="D199" s="163" t="n">
        <v>-0.0017748772999549</v>
      </c>
      <c r="E199" s="170" t="n">
        <v>3260.516999999999</v>
      </c>
      <c r="F199" s="170" t="n">
        <v>3266.309156272225</v>
      </c>
      <c r="G199" s="163" t="n">
        <v>0.0056651267225528</v>
      </c>
      <c r="H199" s="163" t="n">
        <v>-0.0004550149837685</v>
      </c>
      <c r="I199" s="163" t="n">
        <v>0.0028641346997344</v>
      </c>
      <c r="J199" s="163" t="n">
        <v>0.0001034581771878</v>
      </c>
      <c r="K199" s="163" t="n">
        <v>8.340416143533002e-06</v>
      </c>
      <c r="L199" s="163" t="n">
        <v>-0.0009280700566457</v>
      </c>
      <c r="M199" s="163" t="n">
        <v>-0.0009012668130067</v>
      </c>
      <c r="N199" s="163" t="n">
        <v>-0.0002803057777627</v>
      </c>
      <c r="O199" s="163" t="n">
        <v>-0.0020855042585517</v>
      </c>
      <c r="P199" s="163" t="n">
        <v>-0.004103149910886</v>
      </c>
      <c r="Q199" s="163" t="n">
        <v>2.072105458918609e-05</v>
      </c>
      <c r="R199" s="163" t="n">
        <v>-0.0004415025828091</v>
      </c>
      <c r="S199" s="163" t="n">
        <v>0.0021944269141389</v>
      </c>
      <c r="T199" s="163" t="n">
        <v>-0.0018611875185346</v>
      </c>
      <c r="U199" s="163" t="n">
        <v>-0.0053914611593489</v>
      </c>
      <c r="V199" s="171" t="n">
        <v>55.62444077031999</v>
      </c>
      <c r="W199" s="171" t="n">
        <v>0.0198750941779731</v>
      </c>
      <c r="X199" s="171" t="n">
        <v>162.9911105148509</v>
      </c>
      <c r="Y199" s="171" t="n">
        <v>-225.1168264206836</v>
      </c>
      <c r="Z199" s="171" t="n">
        <v>-29.64868218842805</v>
      </c>
      <c r="AA199" s="171" t="n">
        <v>0.016257484052885</v>
      </c>
      <c r="AB199" s="171" t="n">
        <v>36.10342840409552</v>
      </c>
      <c r="AC199" s="171" t="n">
        <v>-0.0017908545919342</v>
      </c>
      <c r="AD199" s="171" t="n">
        <v>0.0002908374790372</v>
      </c>
      <c r="AE199" s="171" t="n">
        <v>0.0005448187237589</v>
      </c>
      <c r="AF199" s="171" t="n">
        <v>-0.0010956251273682</v>
      </c>
      <c r="AG199" s="171" t="n">
        <v>0.0015162640147702</v>
      </c>
      <c r="AH199" s="171" t="n">
        <v>0.0068313446595042</v>
      </c>
      <c r="AI199" s="171" t="n">
        <v>-0.0002815329136011</v>
      </c>
      <c r="AJ199" s="171" t="n">
        <v>6.278106955371321e-05</v>
      </c>
      <c r="AK199" s="171" t="n">
        <v>-0.0002602472227997</v>
      </c>
      <c r="AL199" s="171" t="n">
        <v>-0.0014530567487157</v>
      </c>
      <c r="AM199" s="171" t="n">
        <v>-0</v>
      </c>
      <c r="AN199" s="1" t="n">
        <v>-0.0116228673491762</v>
      </c>
      <c r="AO199" s="1" t="n">
        <v>1.420044637434614e-14</v>
      </c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64" t="inlineStr">
        <is>
          <t>2019-07</t>
        </is>
      </c>
      <c r="B200" s="163" t="n">
        <v>-0.0166744853902098</v>
      </c>
      <c r="C200" s="163" t="n">
        <v>-0.0184826677159355</v>
      </c>
      <c r="D200" s="163" t="n">
        <v>0.0018081823257256</v>
      </c>
      <c r="E200" s="170" t="n">
        <v>3206.600322580648</v>
      </c>
      <c r="F200" s="170" t="n">
        <v>3200.807443420874</v>
      </c>
      <c r="G200" s="163" t="n">
        <v>0.0056651267225528</v>
      </c>
      <c r="H200" s="163" t="n">
        <v>0.000112379280491</v>
      </c>
      <c r="I200" s="163" t="n">
        <v>0.0004127889762921</v>
      </c>
      <c r="J200" s="163" t="n">
        <v>3.448605906262459e-05</v>
      </c>
      <c r="K200" s="163" t="n">
        <v>4.331290413715038e-05</v>
      </c>
      <c r="L200" s="163" t="n">
        <v>-0.0006139382415714</v>
      </c>
      <c r="M200" s="163" t="n">
        <v>-0.0028825030894877</v>
      </c>
      <c r="N200" s="163" t="n">
        <v>-0.0047579489346103</v>
      </c>
      <c r="O200" s="163" t="n">
        <v>-0.0021386259464591</v>
      </c>
      <c r="P200" s="163" t="n">
        <v>-0.0050766150365951</v>
      </c>
      <c r="Q200" s="163" t="n">
        <v>0.000199578994447</v>
      </c>
      <c r="R200" s="163" t="n">
        <v>5.971609411205054e-05</v>
      </c>
      <c r="S200" s="163" t="n">
        <v>-0.0030754101097745</v>
      </c>
      <c r="T200" s="163" t="n">
        <v>-0.001581601036977</v>
      </c>
      <c r="U200" s="163" t="n">
        <v>-0.0093461897878469</v>
      </c>
      <c r="V200" s="171" t="n">
        <v>19.32949030981608</v>
      </c>
      <c r="W200" s="171" t="n">
        <v>0.0026719500704318</v>
      </c>
      <c r="X200" s="171" t="n">
        <v>-8.723655114720801</v>
      </c>
      <c r="Y200" s="171" t="n">
        <v>-10.45636100290463</v>
      </c>
      <c r="Z200" s="171" t="n">
        <v>14.91864986133432</v>
      </c>
      <c r="AA200" s="171" t="n">
        <v>-0.0031201541513735</v>
      </c>
      <c r="AB200" s="171" t="n">
        <v>-15.06595267290246</v>
      </c>
      <c r="AC200" s="171" t="n">
        <v>0.0013036709501693</v>
      </c>
      <c r="AD200" s="171" t="n">
        <v>-0.0004480210460239</v>
      </c>
      <c r="AE200" s="171" t="n">
        <v>-0.0001489253914603</v>
      </c>
      <c r="AF200" s="171" t="n">
        <v>-8.33627814301942e-05</v>
      </c>
      <c r="AG200" s="171" t="n">
        <v>6.80475950081868e-05</v>
      </c>
      <c r="AH200" s="171" t="n">
        <v>-0.0036415305906485</v>
      </c>
      <c r="AI200" s="171" t="n">
        <v>-0.0009455341744577</v>
      </c>
      <c r="AJ200" s="171" t="n">
        <v>2.091720405293161e-05</v>
      </c>
      <c r="AK200" s="171" t="n">
        <v>0.0028180117824649</v>
      </c>
      <c r="AL200" s="171" t="n">
        <v>0.0037963253470447</v>
      </c>
      <c r="AM200" s="171" t="n">
        <v>-0</v>
      </c>
      <c r="AN200" s="1" t="n">
        <v>-0.0184826677159358</v>
      </c>
      <c r="AO200" s="1" t="n">
        <v>3.018418848199644e-16</v>
      </c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64" t="inlineStr">
        <is>
          <t>2019-08</t>
        </is>
      </c>
      <c r="B201" s="163" t="n">
        <v>0.0617147745245603</v>
      </c>
      <c r="C201" s="163" t="n">
        <v>0.0430823613386953</v>
      </c>
      <c r="D201" s="163" t="n">
        <v>0.0186324131858649</v>
      </c>
      <c r="E201" s="170" t="n">
        <v>3410.729032258067</v>
      </c>
      <c r="F201" s="170" t="n">
        <v>3347.767305624776</v>
      </c>
      <c r="G201" s="163" t="n">
        <v>0.0056651267225528</v>
      </c>
      <c r="H201" s="163" t="n">
        <v>-0.0003893754953297</v>
      </c>
      <c r="I201" s="163" t="n">
        <v>0.0015056414077498</v>
      </c>
      <c r="J201" s="163" t="n">
        <v>-6.897211812524765e-05</v>
      </c>
      <c r="K201" s="163" t="n">
        <v>3.048806997111971e-05</v>
      </c>
      <c r="L201" s="163" t="n">
        <v>0.0035279693348317</v>
      </c>
      <c r="M201" s="163" t="n">
        <v>0.0058804944318893</v>
      </c>
      <c r="N201" s="163" t="n">
        <v>0.0041364873003699</v>
      </c>
      <c r="O201" s="163" t="n">
        <v>0.0003575136867303</v>
      </c>
      <c r="P201" s="163" t="n">
        <v>0.0009741127884242</v>
      </c>
      <c r="Q201" s="163" t="n">
        <v>-0.0003526629519608</v>
      </c>
      <c r="R201" s="163" t="n">
        <v>-0.0001236303147377</v>
      </c>
      <c r="S201" s="163" t="n">
        <v>0.0001656146887359</v>
      </c>
      <c r="T201" s="163" t="n">
        <v>-0.0006179256255286</v>
      </c>
      <c r="U201" s="163" t="n">
        <v>0.0249040469649051</v>
      </c>
      <c r="V201" s="171" t="n">
        <v>76.12337153119421</v>
      </c>
      <c r="W201" s="171" t="n">
        <v>0.0138921093561059</v>
      </c>
      <c r="X201" s="171" t="n">
        <v>109.5192587830953</v>
      </c>
      <c r="Y201" s="171" t="n">
        <v>-303.4729105826241</v>
      </c>
      <c r="Z201" s="171" t="n">
        <v>70.25006053365125</v>
      </c>
      <c r="AA201" s="171" t="n">
        <v>0.020334621654287</v>
      </c>
      <c r="AB201" s="171" t="n">
        <v>47.5350378568326</v>
      </c>
      <c r="AC201" s="171" t="n">
        <v>-0.0007622752858794</v>
      </c>
      <c r="AD201" s="171" t="n">
        <v>0.0016031629430091</v>
      </c>
      <c r="AE201" s="171" t="n">
        <v>0.0008054381588145</v>
      </c>
      <c r="AF201" s="171" t="n">
        <v>-0.0025175559991918</v>
      </c>
      <c r="AG201" s="171" t="n">
        <v>0.0011481336694677</v>
      </c>
      <c r="AH201" s="171" t="n">
        <v>0.0078053149640278</v>
      </c>
      <c r="AI201" s="171" t="n">
        <v>0.0009355764186712</v>
      </c>
      <c r="AJ201" s="171" t="n">
        <v>-6.971856156519611e-06</v>
      </c>
      <c r="AK201" s="171" t="n">
        <v>-0.0039538097063698</v>
      </c>
      <c r="AL201" s="171" t="n">
        <v>0.0033855659821761</v>
      </c>
      <c r="AM201" s="171" t="n">
        <v>-0</v>
      </c>
      <c r="AN201" s="1" t="n">
        <v>0.043082361338697</v>
      </c>
      <c r="AO201" s="1" t="n">
        <v>-1.700029006457271e-15</v>
      </c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64" t="inlineStr">
        <is>
          <t>2019-09</t>
        </is>
      </c>
      <c r="B202" s="163" t="n">
        <v>-0.0033103479107019</v>
      </c>
      <c r="C202" s="163" t="n">
        <v>-0.0012784762198006</v>
      </c>
      <c r="D202" s="163" t="n">
        <v>-0.0020318716909013</v>
      </c>
      <c r="E202" s="170" t="n">
        <v>3399.457</v>
      </c>
      <c r="F202" s="170" t="n">
        <v>3406.371282531404</v>
      </c>
      <c r="G202" s="163" t="n">
        <v>0.0056651267225528</v>
      </c>
      <c r="H202" s="163" t="n">
        <v>0.0002780808527916</v>
      </c>
      <c r="I202" s="163" t="n">
        <v>0.0020600340093067</v>
      </c>
      <c r="J202" s="163" t="n">
        <v>0.0009311235946908</v>
      </c>
      <c r="K202" s="163" t="n">
        <v>3.268485737439713e-06</v>
      </c>
      <c r="L202" s="163" t="n">
        <v>0.0003861208400876</v>
      </c>
      <c r="M202" s="163" t="n">
        <v>-0.0032901962043308</v>
      </c>
      <c r="N202" s="163" t="n">
        <v>-0.0031842991595709</v>
      </c>
      <c r="O202" s="163" t="n">
        <v>-0.0028360661493388</v>
      </c>
      <c r="P202" s="163" t="n">
        <v>0.0057517622836354</v>
      </c>
      <c r="Q202" s="163" t="n">
        <v>6.428566738489654e-05</v>
      </c>
      <c r="R202" s="163" t="n">
        <v>-0.000551012535239</v>
      </c>
      <c r="S202" s="163" t="n">
        <v>0.0017324483115677</v>
      </c>
      <c r="T202" s="163" t="n">
        <v>-0.0015766942285819</v>
      </c>
      <c r="U202" s="163" t="n">
        <v>-0.0004473022034042</v>
      </c>
      <c r="V202" s="171" t="n">
        <v>-20.71955833375223</v>
      </c>
      <c r="W202" s="171" t="n">
        <v>-0.0063601863685006</v>
      </c>
      <c r="X202" s="171" t="n">
        <v>-31.83718704724778</v>
      </c>
      <c r="Y202" s="171" t="n">
        <v>51.29297409473142</v>
      </c>
      <c r="Z202" s="171" t="n">
        <v>1.454099933572926</v>
      </c>
      <c r="AA202" s="171" t="n">
        <v>-0.0013328318060695</v>
      </c>
      <c r="AB202" s="171" t="n">
        <v>-0.1828600362347276</v>
      </c>
      <c r="AC202" s="171" t="n">
        <v>0.0009758349839341</v>
      </c>
      <c r="AD202" s="171" t="n">
        <v>-0.0004637017826348</v>
      </c>
      <c r="AE202" s="171" t="n">
        <v>0.0008451515965372</v>
      </c>
      <c r="AF202" s="171" t="n">
        <v>-0.0007693193829129</v>
      </c>
      <c r="AG202" s="171" t="n">
        <v>-0.0008987827555582</v>
      </c>
      <c r="AH202" s="171" t="n">
        <v>-0.0030156676439141</v>
      </c>
      <c r="AI202" s="171" t="n">
        <v>0.0016102143732089</v>
      </c>
      <c r="AJ202" s="171" t="n">
        <v>-1.3945347896412e-05</v>
      </c>
      <c r="AK202" s="171" t="n">
        <v>0.0019622035642938</v>
      </c>
      <c r="AL202" s="171" t="n">
        <v>-0.0062727370071803</v>
      </c>
      <c r="AM202" s="171" t="n">
        <v>-0</v>
      </c>
      <c r="AN202" s="1" t="n">
        <v>-0.0012784762198024</v>
      </c>
      <c r="AO202" s="1" t="n">
        <v>1.799992446760434e-15</v>
      </c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64" t="inlineStr">
        <is>
          <t>2019-10</t>
        </is>
      </c>
      <c r="B203" s="163" t="n">
        <v>0.0099095672231825</v>
      </c>
      <c r="C203" s="163" t="n">
        <v>0.003279151517497</v>
      </c>
      <c r="D203" s="163" t="n">
        <v>0.0066304157056855</v>
      </c>
      <c r="E203" s="170" t="n">
        <v>3433.311612903226</v>
      </c>
      <c r="F203" s="170" t="n">
        <v>3410.622631473728</v>
      </c>
      <c r="G203" s="163" t="n">
        <v>0.0056651267225528</v>
      </c>
      <c r="H203" s="163" t="n">
        <v>-7.720725502257276e-05</v>
      </c>
      <c r="I203" s="163" t="n">
        <v>0.0008930645577206</v>
      </c>
      <c r="J203" s="163" t="n">
        <v>0.0003103745315636</v>
      </c>
      <c r="K203" s="163" t="n">
        <v>3.026448328563206e-05</v>
      </c>
      <c r="L203" s="163" t="n">
        <v>-0.0009993339481422</v>
      </c>
      <c r="M203" s="163" t="n">
        <v>-9.871399602474477e-05</v>
      </c>
      <c r="N203" s="163" t="n">
        <v>0.000751394387845</v>
      </c>
      <c r="O203" s="163" t="n">
        <v>0.0005614189509737</v>
      </c>
      <c r="P203" s="163" t="n">
        <v>-0.0051782343469245</v>
      </c>
      <c r="Q203" s="163" t="n">
        <v>-0.0002462320488894</v>
      </c>
      <c r="R203" s="163" t="n">
        <v>0.0001055561003186</v>
      </c>
      <c r="S203" s="163" t="n">
        <v>-0.0019862255767136</v>
      </c>
      <c r="T203" s="163" t="n">
        <v>-0.0011631271462491</v>
      </c>
      <c r="U203" s="163" t="n">
        <v>-0.0029086270522551</v>
      </c>
      <c r="V203" s="171" t="n">
        <v>-9.54785826720453</v>
      </c>
      <c r="W203" s="171" t="n">
        <v>0.004762425843633</v>
      </c>
      <c r="X203" s="171" t="n">
        <v>40.14543001364859</v>
      </c>
      <c r="Y203" s="171" t="n">
        <v>5.133505200621189</v>
      </c>
      <c r="Z203" s="171" t="n">
        <v>-43.18884531273525</v>
      </c>
      <c r="AA203" s="171" t="n">
        <v>-0.0008957038267608999</v>
      </c>
      <c r="AB203" s="171" t="n">
        <v>7.454403664631608</v>
      </c>
      <c r="AC203" s="171" t="n">
        <v>0.0006470515149063</v>
      </c>
      <c r="AD203" s="171" t="n">
        <v>0.0006284264672282</v>
      </c>
      <c r="AE203" s="171" t="n">
        <v>-0.0004405709497367</v>
      </c>
      <c r="AF203" s="171" t="n">
        <v>-0.0003334511257207</v>
      </c>
      <c r="AG203" s="171" t="n">
        <v>0.0007352677944096</v>
      </c>
      <c r="AH203" s="171" t="n">
        <v>0.0021166719400536</v>
      </c>
      <c r="AI203" s="171" t="n">
        <v>-0.0007731971055612</v>
      </c>
      <c r="AJ203" s="171" t="n">
        <v>-0.0003773511846976</v>
      </c>
      <c r="AK203" s="171" t="n">
        <v>0.0049147848240966</v>
      </c>
      <c r="AL203" s="171" t="n">
        <v>0</v>
      </c>
      <c r="AM203" s="171" t="n">
        <v>-0</v>
      </c>
      <c r="AN203" s="1" t="n">
        <v>0.0032791515174902</v>
      </c>
      <c r="AO203" s="1" t="n">
        <v>6.79968234496009e-15</v>
      </c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64" t="inlineStr">
        <is>
          <t>2019-11</t>
        </is>
      </c>
      <c r="B204" s="163" t="n">
        <v>-0.009316707111683</v>
      </c>
      <c r="C204" s="163" t="n">
        <v>0.005177468717203</v>
      </c>
      <c r="D204" s="163" t="n">
        <v>-0.0144941758288861</v>
      </c>
      <c r="E204" s="170" t="n">
        <v>3401.473000000001</v>
      </c>
      <c r="F204" s="170" t="n">
        <v>3451.133572884043</v>
      </c>
      <c r="G204" s="163" t="n">
        <v>0.0056651267225528</v>
      </c>
      <c r="H204" s="163" t="n">
        <v>0.0001389007570821</v>
      </c>
      <c r="I204" s="163" t="n">
        <v>-0.0005421317872853001</v>
      </c>
      <c r="J204" s="163" t="n">
        <v>0.000724207240315</v>
      </c>
      <c r="K204" s="163" t="n">
        <v>-3.459455094127177e-05</v>
      </c>
      <c r="L204" s="163" t="n">
        <v>-0.0003241997973733</v>
      </c>
      <c r="M204" s="163" t="n">
        <v>-0.0034950653104132</v>
      </c>
      <c r="N204" s="163" t="n">
        <v>0.0009027088778935</v>
      </c>
      <c r="O204" s="163" t="n">
        <v>-0.0009654458889048</v>
      </c>
      <c r="P204" s="163" t="n">
        <v>-0.0033169328405906</v>
      </c>
      <c r="Q204" s="163" t="n">
        <v>0.0002720450218099</v>
      </c>
      <c r="R204" s="163" t="n">
        <v>-0.0004469078807333</v>
      </c>
      <c r="S204" s="163" t="n">
        <v>0.0008918603819079</v>
      </c>
      <c r="T204" s="163" t="n">
        <v>-0.0007515934111275</v>
      </c>
      <c r="U204" s="163" t="n">
        <v>0.0132720169377367</v>
      </c>
      <c r="V204" s="171" t="n">
        <v>-7.336152585205789</v>
      </c>
      <c r="W204" s="171" t="n">
        <v>0.0030928378640143</v>
      </c>
      <c r="X204" s="171" t="n">
        <v>-25.45230232756882</v>
      </c>
      <c r="Y204" s="171" t="n">
        <v>73.83972166303361</v>
      </c>
      <c r="Z204" s="171" t="n">
        <v>-18.28800713598473</v>
      </c>
      <c r="AA204" s="171" t="n">
        <v>-0.0149266949009243</v>
      </c>
      <c r="AB204" s="171" t="n">
        <v>-22.74893138282752</v>
      </c>
      <c r="AC204" s="171" t="n">
        <v>-0.0007398510531215</v>
      </c>
      <c r="AD204" s="171" t="n">
        <v>-0.0005580940030184</v>
      </c>
      <c r="AE204" s="171" t="n">
        <v>-0.001005246392357</v>
      </c>
      <c r="AF204" s="171" t="n">
        <v>0.0025794826368256</v>
      </c>
      <c r="AG204" s="171" t="n">
        <v>-0.000823684871908</v>
      </c>
      <c r="AH204" s="171" t="n">
        <v>-0.0055534331019723</v>
      </c>
      <c r="AI204" s="171" t="n">
        <v>0.0001138352536506</v>
      </c>
      <c r="AJ204" s="171" t="n">
        <v>0.0003075917113628</v>
      </c>
      <c r="AK204" s="171" t="n">
        <v>-0.002900442818349</v>
      </c>
      <c r="AL204" s="171" t="n">
        <v>-0.0007270575256721</v>
      </c>
      <c r="AM204" s="171" t="n">
        <v>-0</v>
      </c>
      <c r="AN204" s="1" t="n">
        <v>0.0051774687172184</v>
      </c>
      <c r="AO204" s="1" t="n">
        <v>-1.54000076579841e-14</v>
      </c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64" t="inlineStr">
        <is>
          <t>2019-12</t>
        </is>
      </c>
      <c r="B205" s="163" t="n">
        <v>-0.0069097621767824</v>
      </c>
      <c r="C205" s="163" t="n">
        <v>-0.0071699137678694</v>
      </c>
      <c r="D205" s="163" t="n">
        <v>0.000260151591087</v>
      </c>
      <c r="E205" s="170" t="n">
        <v>3378.050645161288</v>
      </c>
      <c r="F205" s="170" t="n">
        <v>3377.171954212556</v>
      </c>
      <c r="G205" s="163" t="n">
        <v>0.0056651267225528</v>
      </c>
      <c r="H205" s="163" t="n">
        <v>0.0002070052220427</v>
      </c>
      <c r="I205" s="163" t="n">
        <v>-0.0012670767501963</v>
      </c>
      <c r="J205" s="163" t="n">
        <v>0.0009656096537534</v>
      </c>
      <c r="K205" s="163" t="n">
        <v>-9.14625808004256e-06</v>
      </c>
      <c r="L205" s="163" t="n">
        <v>-0.0011319768773245</v>
      </c>
      <c r="M205" s="163" t="n">
        <v>0.0015551403964053</v>
      </c>
      <c r="N205" s="163" t="n">
        <v>-0.0030044530226778</v>
      </c>
      <c r="O205" s="163" t="n">
        <v>0.0005919630877417</v>
      </c>
      <c r="P205" s="163" t="n">
        <v>0.0062649008300912</v>
      </c>
      <c r="Q205" s="163" t="n">
        <v>-0.0002165963591661</v>
      </c>
      <c r="R205" s="163" t="n">
        <v>-1.206244834916028e-05</v>
      </c>
      <c r="S205" s="163" t="n">
        <v>-0.0007129197671149</v>
      </c>
      <c r="T205" s="163" t="n">
        <v>-0.0017733241118896</v>
      </c>
      <c r="U205" s="163" t="n">
        <v>-0.008581582670251201</v>
      </c>
      <c r="V205" s="171" t="n">
        <v>7.663950287396327</v>
      </c>
      <c r="W205" s="171" t="n">
        <v>0.0029391255485314</v>
      </c>
      <c r="X205" s="171" t="n">
        <v>-0.2907885038239959</v>
      </c>
      <c r="Y205" s="171" t="n">
        <v>35.59090012725748</v>
      </c>
      <c r="Z205" s="171" t="n">
        <v>-20.79362905009281</v>
      </c>
      <c r="AA205" s="171" t="n">
        <v>-0.0074567088246082</v>
      </c>
      <c r="AB205" s="171" t="n">
        <v>-22.1632078292631</v>
      </c>
      <c r="AC205" s="171" t="n">
        <v>0.0001820134286073</v>
      </c>
      <c r="AD205" s="171" t="n">
        <v>-0.0004331098112097</v>
      </c>
      <c r="AE205" s="171" t="n">
        <v>0.0003971343772274</v>
      </c>
      <c r="AF205" s="171" t="n">
        <v>-0.0022341225423291</v>
      </c>
      <c r="AG205" s="171" t="n">
        <v>-0.0008886662854302</v>
      </c>
      <c r="AH205" s="171" t="n">
        <v>-0.0040500815519985</v>
      </c>
      <c r="AI205" s="171" t="n">
        <v>-0.0002433992351913</v>
      </c>
      <c r="AJ205" s="171" t="n">
        <v>-0.0001187165012712</v>
      </c>
      <c r="AK205" s="171" t="n">
        <v>0.0013486947950296</v>
      </c>
      <c r="AL205" s="171" t="n">
        <v>-0.0023777162866642</v>
      </c>
      <c r="AM205" s="171" t="n">
        <v>-0</v>
      </c>
      <c r="AN205" s="1" t="n">
        <v>-0.0071699137678711</v>
      </c>
      <c r="AO205" s="1" t="n">
        <v>1.700029006457271e-15</v>
      </c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64" t="inlineStr">
        <is>
          <t>2020-01</t>
        </is>
      </c>
      <c r="B206" s="163" t="n">
        <v>-0.0199913643682112</v>
      </c>
      <c r="C206" s="163" t="n">
        <v>-0.0120148455308438</v>
      </c>
      <c r="D206" s="163" t="n">
        <v>-0.007976518837367301</v>
      </c>
      <c r="E206" s="170" t="n">
        <v>3311.18935483871</v>
      </c>
      <c r="F206" s="170" t="n">
        <v>3337.706736702755</v>
      </c>
      <c r="G206" s="163" t="n">
        <v>0.0056651267225528</v>
      </c>
      <c r="H206" s="163" t="n">
        <v>-0.0007078980668141</v>
      </c>
      <c r="I206" s="163" t="n">
        <v>0.0011072601653741</v>
      </c>
      <c r="J206" s="163" t="n">
        <v>0</v>
      </c>
      <c r="K206" s="163" t="n">
        <v>-4.154202645362644e-05</v>
      </c>
      <c r="L206" s="163" t="n">
        <v>-0.0011038547210356</v>
      </c>
      <c r="M206" s="163" t="n">
        <v>0.0002203497324892</v>
      </c>
      <c r="N206" s="163" t="n">
        <v>-0.0002663563914869</v>
      </c>
      <c r="O206" s="163" t="n">
        <v>-0.0009659039023325</v>
      </c>
      <c r="P206" s="163" t="n">
        <v>-0.0137238962242767</v>
      </c>
      <c r="Q206" s="163" t="n">
        <v>0.0001148285293467</v>
      </c>
      <c r="R206" s="163" t="n">
        <v>-3.60665575163316e-05</v>
      </c>
      <c r="S206" s="163" t="n">
        <v>-0.0021756676479871</v>
      </c>
      <c r="T206" s="163" t="n">
        <v>-0.0029909153162409</v>
      </c>
      <c r="U206" s="163" t="n">
        <v>-0.0034403269803974</v>
      </c>
      <c r="V206" s="171" t="n">
        <v>30.89223274419928</v>
      </c>
      <c r="W206" s="171" t="n">
        <v>0.014739704568479</v>
      </c>
      <c r="X206" s="171" t="n">
        <v>39.16505734361333</v>
      </c>
      <c r="Y206" s="171" t="n">
        <v>-73.80465673679979</v>
      </c>
      <c r="Z206" s="171" t="n">
        <v>4.550501877835494</v>
      </c>
      <c r="AA206" s="171" t="n">
        <v>-0.0031610072335519</v>
      </c>
      <c r="AB206" s="171" t="n">
        <v>-0.8142985988578102</v>
      </c>
      <c r="AC206" s="171" t="n">
        <v>0.0007491217177</v>
      </c>
      <c r="AD206" s="171" t="n">
        <v>-0.000335092382362</v>
      </c>
      <c r="AE206" s="171" t="n">
        <v>-0.0011963673113978</v>
      </c>
      <c r="AF206" s="171" t="n">
        <v>0.0025961551931117</v>
      </c>
      <c r="AG206" s="171" t="n">
        <v>0.0007897820057186</v>
      </c>
      <c r="AH206" s="171" t="n">
        <v>0.0006628431234337</v>
      </c>
      <c r="AI206" s="171" t="n">
        <v>-0.0012374774691084</v>
      </c>
      <c r="AJ206" s="171" t="n">
        <v>-0.0001048812756898</v>
      </c>
      <c r="AK206" s="171" t="n">
        <v>0.0038068961699162</v>
      </c>
      <c r="AL206" s="171" t="n">
        <v>0.0001837100571686</v>
      </c>
      <c r="AM206" s="171" t="n">
        <v>-0</v>
      </c>
      <c r="AN206" s="1" t="n">
        <v>-0.0120148455308458</v>
      </c>
      <c r="AO206" s="1" t="n">
        <v>2.000136167801259e-15</v>
      </c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64" t="inlineStr">
        <is>
          <t>2020-02</t>
        </is>
      </c>
      <c r="B207" s="163" t="n">
        <v>0.0297135239654036</v>
      </c>
      <c r="C207" s="163" t="n">
        <v>0.0450639912312704</v>
      </c>
      <c r="D207" s="163" t="n">
        <v>-0.0153504672658668</v>
      </c>
      <c r="E207" s="170" t="n">
        <v>3411.052758620691</v>
      </c>
      <c r="F207" s="170" t="n">
        <v>3463.817961478908</v>
      </c>
      <c r="G207" s="163" t="n">
        <v>0.0056651267225528</v>
      </c>
      <c r="H207" s="163" t="n">
        <v>-0.0008353294937829</v>
      </c>
      <c r="I207" s="163" t="n">
        <v>-0.0009635870977446</v>
      </c>
      <c r="J207" s="163" t="n">
        <v>0</v>
      </c>
      <c r="K207" s="163" t="n">
        <v>-3.34881609826916e-05</v>
      </c>
      <c r="L207" s="163" t="n">
        <v>0.0024980799937036</v>
      </c>
      <c r="M207" s="163" t="n">
        <v>0.0056659760616906</v>
      </c>
      <c r="N207" s="163" t="n">
        <v>0.0007261369501525</v>
      </c>
      <c r="O207" s="163" t="n">
        <v>-0.001313597684462</v>
      </c>
      <c r="P207" s="163" t="n">
        <v>0.0125662781278167</v>
      </c>
      <c r="Q207" s="163" t="n">
        <v>0.0001768090845068</v>
      </c>
      <c r="R207" s="163" t="n">
        <v>0.0002935974022923</v>
      </c>
      <c r="S207" s="163" t="n">
        <v>-0.0001061198360512</v>
      </c>
      <c r="T207" s="163" t="n">
        <v>-0.0047323530854466</v>
      </c>
      <c r="U207" s="163" t="n">
        <v>0.014897630204865</v>
      </c>
      <c r="V207" s="171" t="n">
        <v>42.36669557073011</v>
      </c>
      <c r="W207" s="171" t="n">
        <v>0.016342601205527</v>
      </c>
      <c r="X207" s="171" t="n">
        <v>78.09748388416749</v>
      </c>
      <c r="Y207" s="171" t="n">
        <v>-177.7160591378984</v>
      </c>
      <c r="Z207" s="171" t="n">
        <v>27.1762968442302</v>
      </c>
      <c r="AA207" s="171" t="n">
        <v>0.007285125879459</v>
      </c>
      <c r="AB207" s="171" t="n">
        <v>30.04618970381989</v>
      </c>
      <c r="AC207" s="171" t="n">
        <v>-8.200543777411414e-05</v>
      </c>
      <c r="AD207" s="171" t="n">
        <v>0.0004296556031449</v>
      </c>
      <c r="AE207" s="171" t="n">
        <v>0.0034985056543884</v>
      </c>
      <c r="AF207" s="171" t="n">
        <v>-0.0008574457518534</v>
      </c>
      <c r="AG207" s="171" t="n">
        <v>0.0019400732593809</v>
      </c>
      <c r="AH207" s="171" t="n">
        <v>0.0126616214567214</v>
      </c>
      <c r="AI207" s="171" t="n">
        <v>0.0014300695185252</v>
      </c>
      <c r="AJ207" s="171" t="n">
        <v>-1.399349567670499e-05</v>
      </c>
      <c r="AK207" s="171" t="n">
        <v>-0.0019465854891535</v>
      </c>
      <c r="AL207" s="171" t="n">
        <v>-0.0007356554098242</v>
      </c>
      <c r="AM207" s="171" t="n">
        <v>-0</v>
      </c>
      <c r="AN207" s="1" t="n">
        <v>0.0450639912312787</v>
      </c>
      <c r="AO207" s="1" t="n">
        <v>-8.298917109073045e-15</v>
      </c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64" t="inlineStr">
        <is>
          <t>2020-03</t>
        </is>
      </c>
      <c r="B208" s="163" t="n">
        <v>0.1280531686447226</v>
      </c>
      <c r="C208" s="163" t="n">
        <v>0.1461736168605088</v>
      </c>
      <c r="D208" s="163" t="n">
        <v>-0.0181204482157862</v>
      </c>
      <c r="E208" s="170" t="n">
        <v>3877.048387096777</v>
      </c>
      <c r="F208" s="170" t="n">
        <v>3947.942619421461</v>
      </c>
      <c r="G208" s="163" t="n">
        <v>0.0056651267225528</v>
      </c>
      <c r="H208" s="163" t="n">
        <v>-0.0033253627609389</v>
      </c>
      <c r="I208" s="163" t="n">
        <v>0.0006730840220163</v>
      </c>
      <c r="J208" s="163" t="n">
        <v>-0.0001034581771878</v>
      </c>
      <c r="K208" s="163" t="n">
        <v>4.342782978339926e-05</v>
      </c>
      <c r="L208" s="163" t="n">
        <v>0.0073458032332696</v>
      </c>
      <c r="M208" s="163" t="n">
        <v>0.0178650374519604</v>
      </c>
      <c r="N208" s="163" t="n">
        <v>0.0479308601074919</v>
      </c>
      <c r="O208" s="163" t="n">
        <v>-0.0009528565270673</v>
      </c>
      <c r="P208" s="163" t="n">
        <v>0.0080736299385338</v>
      </c>
      <c r="Q208" s="163" t="n">
        <v>-0.000320899869241</v>
      </c>
      <c r="R208" s="163" t="n">
        <v>8.66653611811599e-05</v>
      </c>
      <c r="S208" s="163" t="n">
        <v>0.0215402367013297</v>
      </c>
      <c r="T208" s="163" t="n">
        <v>-0.0039642459025844</v>
      </c>
      <c r="U208" s="163" t="n">
        <v>0.0527185519520891</v>
      </c>
      <c r="V208" s="171" t="n">
        <v>1.497238153248663</v>
      </c>
      <c r="W208" s="171" t="n">
        <v>-0.0170527419480073</v>
      </c>
      <c r="X208" s="171" t="n">
        <v>366.754092563017</v>
      </c>
      <c r="Y208" s="171" t="n">
        <v>-444.7705373341486</v>
      </c>
      <c r="Z208" s="171" t="n">
        <v>-103.3075684234981</v>
      </c>
      <c r="AA208" s="171" t="n">
        <v>0.09258380815027351</v>
      </c>
      <c r="AB208" s="171" t="n">
        <v>179.7091292353653</v>
      </c>
      <c r="AC208" s="171" t="n">
        <v>-0.002231257605626</v>
      </c>
      <c r="AD208" s="171" t="n">
        <v>0.0142802433410158</v>
      </c>
      <c r="AE208" s="171" t="n">
        <v>0.0138376509565203</v>
      </c>
      <c r="AF208" s="171" t="n">
        <v>-0.0343931018243424</v>
      </c>
      <c r="AG208" s="171" t="n">
        <v>0.0080008870289762</v>
      </c>
      <c r="AH208" s="171" t="n">
        <v>0.0279894021866898</v>
      </c>
      <c r="AI208" s="171" t="n">
        <v>-0.0102921326995939</v>
      </c>
      <c r="AJ208" s="171" t="n">
        <v>-0.000413799201124</v>
      </c>
      <c r="AK208" s="171" t="n">
        <v>0.0231247721520534</v>
      </c>
      <c r="AL208" s="171" t="n">
        <v>-0.0022201062760843</v>
      </c>
      <c r="AM208" s="171" t="n">
        <v>-0.0026698014677354</v>
      </c>
      <c r="AN208" s="1" t="n">
        <v>0.1461736168605693</v>
      </c>
      <c r="AO208" s="1" t="n">
        <v>-6.04793992664554e-14</v>
      </c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64" t="inlineStr">
        <is>
          <t>2020-04</t>
        </is>
      </c>
      <c r="B209" s="163" t="n">
        <v>0.0255525241929674</v>
      </c>
      <c r="C209" s="163" t="n">
        <v>0.0187765665315137</v>
      </c>
      <c r="D209" s="163" t="n">
        <v>0.0067759576614537</v>
      </c>
      <c r="E209" s="170" t="n">
        <v>3977.393333333336</v>
      </c>
      <c r="F209" s="170" t="n">
        <v>3950.533786846754</v>
      </c>
      <c r="G209" s="163" t="n">
        <v>0.0056651267225528</v>
      </c>
      <c r="H209" s="163" t="n">
        <v>-0.0005163155992081</v>
      </c>
      <c r="I209" s="163" t="n">
        <v>0.0043695926192712</v>
      </c>
      <c r="J209" s="163" t="n">
        <v>0.003095958141009</v>
      </c>
      <c r="K209" s="163" t="n">
        <v>1.847238101567234e-05</v>
      </c>
      <c r="L209" s="163" t="n">
        <v>0.0037420893017176</v>
      </c>
      <c r="M209" s="163" t="n">
        <v>-0.0054861586203305</v>
      </c>
      <c r="N209" s="163" t="n">
        <v>0.0121387120021345</v>
      </c>
      <c r="O209" s="163" t="n">
        <v>0.0015099809086899</v>
      </c>
      <c r="P209" s="163" t="n">
        <v>0.0089272010082064</v>
      </c>
      <c r="Q209" s="163" t="n">
        <v>-0.0004045563544439</v>
      </c>
      <c r="R209" s="163" t="n">
        <v>-0.0022627030534493</v>
      </c>
      <c r="S209" s="163" t="n">
        <v>0.0311779912003669</v>
      </c>
      <c r="T209" s="163" t="n">
        <v>-0.0011381278585094</v>
      </c>
      <c r="U209" s="163" t="n">
        <v>0.0135616961371765</v>
      </c>
      <c r="V209" s="171" t="n">
        <v>93.99420493431413</v>
      </c>
      <c r="W209" s="171" t="n">
        <v>0.0280971407408157</v>
      </c>
      <c r="X209" s="171" t="n">
        <v>92.81138217766332</v>
      </c>
      <c r="Y209" s="171" t="n">
        <v>-148.9424819690068</v>
      </c>
      <c r="Z209" s="171" t="n">
        <v>-4.58623119048899</v>
      </c>
      <c r="AA209" s="171" t="n">
        <v>-0.008581802707800699</v>
      </c>
      <c r="AB209" s="171" t="n">
        <v>-33.28966959653351</v>
      </c>
      <c r="AC209" s="171" t="n">
        <v>-0.0001914512995609</v>
      </c>
      <c r="AD209" s="171" t="n">
        <v>-0.0049356871236707</v>
      </c>
      <c r="AE209" s="171" t="n">
        <v>0.0040333960187166</v>
      </c>
      <c r="AF209" s="171" t="n">
        <v>-0.0102298041783622</v>
      </c>
      <c r="AG209" s="171" t="n">
        <v>0.0080268493132608</v>
      </c>
      <c r="AH209" s="171" t="n">
        <v>0.0152487418218222</v>
      </c>
      <c r="AI209" s="171" t="n">
        <v>-0.124394435255391</v>
      </c>
      <c r="AJ209" s="171" t="n">
        <v>-0.0096574686805095</v>
      </c>
      <c r="AK209" s="171" t="n">
        <v>0.0819427018921043</v>
      </c>
      <c r="AL209" s="171" t="n">
        <v>-0.0195151274264986</v>
      </c>
      <c r="AM209" s="171" t="n">
        <v>-0.0026698014677354</v>
      </c>
      <c r="AN209" s="1" t="n">
        <v>0.0187765665315151</v>
      </c>
      <c r="AO209" s="1" t="n">
        <v>-1.40165656858926e-15</v>
      </c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64" t="inlineStr">
        <is>
          <t>2020-05</t>
        </is>
      </c>
      <c r="B210" s="163" t="n">
        <v>-0.0304280837224357</v>
      </c>
      <c r="C210" s="163" t="n">
        <v>-0.0417725742800443</v>
      </c>
      <c r="D210" s="163" t="n">
        <v>0.0113444905576085</v>
      </c>
      <c r="E210" s="170" t="n">
        <v>3858.191612903225</v>
      </c>
      <c r="F210" s="170" t="n">
        <v>3814.669728148549</v>
      </c>
      <c r="G210" s="163" t="n">
        <v>0.0056651267225528</v>
      </c>
      <c r="H210" s="163" t="n">
        <v>0.0005163155992081</v>
      </c>
      <c r="I210" s="163" t="n">
        <v>-0.0068450357300828</v>
      </c>
      <c r="J210" s="163" t="n">
        <v>0.0004561059424411</v>
      </c>
      <c r="K210" s="163" t="n">
        <v>-0.0001170394991458</v>
      </c>
      <c r="L210" s="163" t="n">
        <v>-0.0010956561184337</v>
      </c>
      <c r="M210" s="163" t="n">
        <v>-0.0048669518777064</v>
      </c>
      <c r="N210" s="163" t="n">
        <v>-0.014875501041811</v>
      </c>
      <c r="O210" s="163" t="n">
        <v>-0.0023359070170762</v>
      </c>
      <c r="P210" s="163" t="n">
        <v>-0.0121024232076941</v>
      </c>
      <c r="Q210" s="163" t="n">
        <v>0.0009317703490937</v>
      </c>
      <c r="R210" s="163" t="n">
        <v>0.0009286575181417</v>
      </c>
      <c r="S210" s="163" t="n">
        <v>-0.0095737059290246</v>
      </c>
      <c r="T210" s="163" t="n">
        <v>0.0022780906245032</v>
      </c>
      <c r="U210" s="163" t="n">
        <v>-0.0030054417308975</v>
      </c>
      <c r="V210" s="171" t="n">
        <v>-1.204306466461128</v>
      </c>
      <c r="W210" s="171" t="n">
        <v>0.0053728029774683</v>
      </c>
      <c r="X210" s="171" t="n">
        <v>22.541093992142</v>
      </c>
      <c r="Y210" s="171" t="n">
        <v>11.48797113270167</v>
      </c>
      <c r="Z210" s="171" t="n">
        <v>-29.34913760211201</v>
      </c>
      <c r="AA210" s="171" t="n">
        <v>-0.0006566111633119</v>
      </c>
      <c r="AB210" s="171" t="n">
        <v>-3.477197876526139</v>
      </c>
      <c r="AC210" s="171" t="n">
        <v>-0.0015823296636205</v>
      </c>
      <c r="AD210" s="171" t="n">
        <v>-0.0060685647686741</v>
      </c>
      <c r="AE210" s="171" t="n">
        <v>-0.009182491428456801</v>
      </c>
      <c r="AF210" s="171" t="n">
        <v>0.0220149196788363</v>
      </c>
      <c r="AG210" s="171" t="n">
        <v>-0.0067855196673909</v>
      </c>
      <c r="AH210" s="171" t="n">
        <v>-0.0126272968843982</v>
      </c>
      <c r="AI210" s="171" t="n">
        <v>0.020372663088724</v>
      </c>
      <c r="AJ210" s="171" t="n">
        <v>0.0017684969387264</v>
      </c>
      <c r="AK210" s="171" t="n">
        <v>-0.009504140676393</v>
      </c>
      <c r="AL210" s="171" t="n">
        <v>0.003393714407719</v>
      </c>
      <c r="AM210" s="171" t="n">
        <v>-0.0026698014677354</v>
      </c>
      <c r="AN210" s="1" t="n">
        <v>-0.0417725742800435</v>
      </c>
      <c r="AO210" s="1" t="n">
        <v>-7.979727989493313e-16</v>
      </c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64" t="inlineStr">
        <is>
          <t>2020-06</t>
        </is>
      </c>
      <c r="B211" s="163" t="n">
        <v>-0.041432250357678</v>
      </c>
      <c r="C211" s="163" t="n">
        <v>-0.0478321568396876</v>
      </c>
      <c r="D211" s="163" t="n">
        <v>0.0063999064820095</v>
      </c>
      <c r="E211" s="170" t="n">
        <v>3701.604333333336</v>
      </c>
      <c r="F211" s="170" t="n">
        <v>3677.990056947842</v>
      </c>
      <c r="G211" s="163" t="n">
        <v>0.0056651267225528</v>
      </c>
      <c r="H211" s="163" t="n">
        <v>0.0011194204546271</v>
      </c>
      <c r="I211" s="163" t="n">
        <v>-0.0058282636932019</v>
      </c>
      <c r="J211" s="163" t="n">
        <v>-0.0015574349254088</v>
      </c>
      <c r="K211" s="163" t="n">
        <v>-8.974365422592961e-05</v>
      </c>
      <c r="L211" s="163" t="n">
        <v>-0.0049110855322544</v>
      </c>
      <c r="M211" s="163" t="n">
        <v>0.0001188419879702</v>
      </c>
      <c r="N211" s="163" t="n">
        <v>-0.0133428991795922</v>
      </c>
      <c r="O211" s="163" t="n">
        <v>-0.010791057192674</v>
      </c>
      <c r="P211" s="163" t="n">
        <v>-0.0057975429849065</v>
      </c>
      <c r="Q211" s="163" t="n">
        <v>0.0008251549401589</v>
      </c>
      <c r="R211" s="163" t="n">
        <v>0.0019757917987765</v>
      </c>
      <c r="S211" s="163" t="n">
        <v>-0.0104726824440522</v>
      </c>
      <c r="T211" s="163" t="n">
        <v>0.002622174083732</v>
      </c>
      <c r="U211" s="163" t="n">
        <v>-0.0176322497919481</v>
      </c>
      <c r="V211" s="171" t="n">
        <v>29.44892260002065</v>
      </c>
      <c r="W211" s="171" t="n">
        <v>0.0238297052674516</v>
      </c>
      <c r="X211" s="171" t="n">
        <v>-6.023476150640573</v>
      </c>
      <c r="Y211" s="171" t="n">
        <v>38.31614619414468</v>
      </c>
      <c r="Z211" s="171" t="n">
        <v>-16.67478712396657</v>
      </c>
      <c r="AA211" s="171" t="n">
        <v>-0.0254402355995296</v>
      </c>
      <c r="AB211" s="171" t="n">
        <v>-45.05214142733287</v>
      </c>
      <c r="AC211" s="171" t="n">
        <v>0.0019316237813349</v>
      </c>
      <c r="AD211" s="171" t="n">
        <v>-0.0015556419320587</v>
      </c>
      <c r="AE211" s="171" t="n">
        <v>-0.0059272305801202</v>
      </c>
      <c r="AF211" s="171" t="n">
        <v>0.0158675099967984</v>
      </c>
      <c r="AG211" s="171" t="n">
        <v>-0.0045601380695316</v>
      </c>
      <c r="AH211" s="171" t="n">
        <v>-0.0142305813455167</v>
      </c>
      <c r="AI211" s="171" t="n">
        <v>0.0340102622636463</v>
      </c>
      <c r="AJ211" s="171" t="n">
        <v>0.0025737464602232</v>
      </c>
      <c r="AK211" s="171" t="n">
        <v>-0.0367770915420718</v>
      </c>
      <c r="AL211" s="171" t="n">
        <v>0.0058782716448131</v>
      </c>
      <c r="AM211" s="171" t="n">
        <v>-0</v>
      </c>
      <c r="AN211" s="1" t="n">
        <v>-0.0478321568396881</v>
      </c>
      <c r="AO211" s="1" t="n">
        <v>4.996003610813204e-16</v>
      </c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64" t="inlineStr">
        <is>
          <t>2020-07</t>
        </is>
      </c>
      <c r="B212" s="163" t="n">
        <v>-0.0118862003648931</v>
      </c>
      <c r="C212" s="163" t="n">
        <v>-0.0064669064050919</v>
      </c>
      <c r="D212" s="163" t="n">
        <v>-0.0054192939598012</v>
      </c>
      <c r="E212" s="170" t="n">
        <v>3657.866774193545</v>
      </c>
      <c r="F212" s="170" t="n">
        <v>3677.743640151969</v>
      </c>
      <c r="G212" s="163" t="n">
        <v>0.0056651267225528</v>
      </c>
      <c r="H212" s="163" t="n">
        <v>0.001304377163932</v>
      </c>
      <c r="I212" s="163" t="n">
        <v>1.945922419804674e-05</v>
      </c>
      <c r="J212" s="163" t="n">
        <v>-0.0019946291580414</v>
      </c>
      <c r="K212" s="163" t="n">
        <v>-0.0001554968303529</v>
      </c>
      <c r="L212" s="163" t="n">
        <v>-0.001675949575354</v>
      </c>
      <c r="M212" s="163" t="n">
        <v>-0.0024494633817142</v>
      </c>
      <c r="N212" s="163" t="n">
        <v>-0.0042084309854932</v>
      </c>
      <c r="O212" s="163" t="n">
        <v>-0.0011027230699253</v>
      </c>
      <c r="P212" s="163" t="n">
        <v>0.0020458250680799</v>
      </c>
      <c r="Q212" s="163" t="n">
        <v>-0.001210890251652</v>
      </c>
      <c r="R212" s="163" t="n">
        <v>0.0008376761295226</v>
      </c>
      <c r="S212" s="163" t="n">
        <v>-0.0071666702702249</v>
      </c>
      <c r="T212" s="163" t="n">
        <v>-0</v>
      </c>
      <c r="U212" s="163" t="n">
        <v>0.0033326794341529</v>
      </c>
      <c r="V212" s="171" t="n">
        <v>82.35867254810188</v>
      </c>
      <c r="W212" s="171" t="n">
        <v>0.0356408103880276</v>
      </c>
      <c r="X212" s="171" t="n">
        <v>15.29464447684723</v>
      </c>
      <c r="Y212" s="171" t="n">
        <v>-73.63634509087777</v>
      </c>
      <c r="Z212" s="171" t="n">
        <v>28.32628216312444</v>
      </c>
      <c r="AA212" s="171" t="n">
        <v>-0.0305468708718267</v>
      </c>
      <c r="AB212" s="171" t="n">
        <v>-52.33797099606062</v>
      </c>
      <c r="AC212" s="171" t="n">
        <v>-4.722651174032515e-05</v>
      </c>
      <c r="AD212" s="171" t="n">
        <v>-0.0007867899369697</v>
      </c>
      <c r="AE212" s="171" t="n">
        <v>-0.0021296330978824</v>
      </c>
      <c r="AF212" s="171" t="n">
        <v>0.0023579758175968</v>
      </c>
      <c r="AG212" s="171" t="n">
        <v>-0.0010312122126873</v>
      </c>
      <c r="AH212" s="171" t="n">
        <v>-0.0049306331748203</v>
      </c>
      <c r="AI212" s="171" t="n">
        <v>0.009998605216522599</v>
      </c>
      <c r="AJ212" s="171" t="n">
        <v>0.0001714526923925</v>
      </c>
      <c r="AK212" s="171" t="n">
        <v>-0.0213151077376205</v>
      </c>
      <c r="AL212" s="171" t="n">
        <v>0.0076277316690643</v>
      </c>
      <c r="AM212" s="171" t="n">
        <v>-0</v>
      </c>
      <c r="AN212" s="1" t="n">
        <v>-0.0064669064050929</v>
      </c>
      <c r="AO212" s="1" t="n">
        <v>1.000068083900629e-15</v>
      </c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64" t="inlineStr">
        <is>
          <t>2020-08</t>
        </is>
      </c>
      <c r="B213" s="163" t="n">
        <v>0.0336440384071732</v>
      </c>
      <c r="C213" s="163" t="n">
        <v>0.012107029839806</v>
      </c>
      <c r="D213" s="163" t="n">
        <v>0.0215370085673671</v>
      </c>
      <c r="E213" s="170" t="n">
        <v>3783.025806451612</v>
      </c>
      <c r="F213" s="170" t="n">
        <v>3702.421846936828</v>
      </c>
      <c r="G213" s="163" t="n">
        <v>0.0056651267225528</v>
      </c>
      <c r="H213" s="163" t="n">
        <v>0.0005789355770782</v>
      </c>
      <c r="I213" s="163" t="n">
        <v>-0.0006469591004216</v>
      </c>
      <c r="J213" s="163" t="n">
        <v>-0.0008966375356282</v>
      </c>
      <c r="K213" s="163" t="n">
        <v>-7.551671427435951e-05</v>
      </c>
      <c r="L213" s="163" t="n">
        <v>-0.0029982761218995</v>
      </c>
      <c r="M213" s="163" t="n">
        <v>-0.002636660948226</v>
      </c>
      <c r="N213" s="163" t="n">
        <v>-0.008649665564213401</v>
      </c>
      <c r="O213" s="163" t="n">
        <v>-0.0014597196066362</v>
      </c>
      <c r="P213" s="163" t="n">
        <v>0.0015118298692506</v>
      </c>
      <c r="Q213" s="163" t="n">
        <v>-4.775051753138526e-05</v>
      </c>
      <c r="R213" s="163" t="n">
        <v>0.0006301568644061</v>
      </c>
      <c r="S213" s="163" t="n">
        <v>-0.0007655497554974</v>
      </c>
      <c r="T213" s="163" t="n">
        <v>6.736326557919039e-05</v>
      </c>
      <c r="U213" s="163" t="n">
        <v>0.0064108815462372</v>
      </c>
      <c r="V213" s="171" t="n">
        <v>51.07099631609001</v>
      </c>
      <c r="W213" s="171" t="n">
        <v>0.0243389224731709</v>
      </c>
      <c r="X213" s="171" t="n">
        <v>3.596638380154905</v>
      </c>
      <c r="Y213" s="171" t="n">
        <v>18.48903430453244</v>
      </c>
      <c r="Z213" s="171" t="n">
        <v>-14.54972393533069</v>
      </c>
      <c r="AA213" s="171" t="n">
        <v>-0.024236091002322</v>
      </c>
      <c r="AB213" s="171" t="n">
        <v>-58.59235567290172</v>
      </c>
      <c r="AC213" s="171" t="n">
        <v>0.00042836415468</v>
      </c>
      <c r="AD213" s="171" t="n">
        <v>-0.0009021810063808</v>
      </c>
      <c r="AE213" s="171" t="n">
        <v>-0.0015624755654044</v>
      </c>
      <c r="AF213" s="171" t="n">
        <v>0.002858152506178</v>
      </c>
      <c r="AG213" s="171" t="n">
        <v>-0.0004912597903376</v>
      </c>
      <c r="AH213" s="171" t="n">
        <v>-0.009180346248414101</v>
      </c>
      <c r="AI213" s="171" t="n">
        <v>0.0182357060656704</v>
      </c>
      <c r="AJ213" s="171" t="n">
        <v>0.0001934199332588</v>
      </c>
      <c r="AK213" s="171" t="n">
        <v>-0.0056388711186191</v>
      </c>
      <c r="AL213" s="171" t="n">
        <v>-0.0032132610873913</v>
      </c>
      <c r="AM213" s="171" t="n">
        <v>-0</v>
      </c>
      <c r="AN213" s="1" t="n">
        <v>0.0121070298398066</v>
      </c>
      <c r="AO213" s="1" t="n">
        <v>-5.984795992119984e-16</v>
      </c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64" t="inlineStr">
        <is>
          <t>2020-09</t>
        </is>
      </c>
      <c r="B214" s="163" t="n">
        <v>-0.0087109067612374</v>
      </c>
      <c r="C214" s="163" t="n">
        <v>0.0049005107194366</v>
      </c>
      <c r="D214" s="163" t="n">
        <v>-0.0136114174806741</v>
      </c>
      <c r="E214" s="170" t="n">
        <v>3750.215333333332</v>
      </c>
      <c r="F214" s="170" t="n">
        <v>3801.610063952846</v>
      </c>
      <c r="G214" s="163" t="n">
        <v>0.0056651267225528</v>
      </c>
      <c r="H214" s="163" t="n">
        <v>-9.81746647282122e-05</v>
      </c>
      <c r="I214" s="163" t="n">
        <v>-0.0012985659756991</v>
      </c>
      <c r="J214" s="163" t="n">
        <v>-0.0008410148597207</v>
      </c>
      <c r="K214" s="163" t="n">
        <v>-6.551739820390739e-05</v>
      </c>
      <c r="L214" s="163" t="n">
        <v>-0.0010453015403871</v>
      </c>
      <c r="M214" s="163" t="n">
        <v>0.0031272854771882</v>
      </c>
      <c r="N214" s="163" t="n">
        <v>0.0035740660381885</v>
      </c>
      <c r="O214" s="163" t="n">
        <v>-0.0008879305300424</v>
      </c>
      <c r="P214" s="163" t="n">
        <v>0.005138785692105</v>
      </c>
      <c r="Q214" s="163" t="n">
        <v>-1.157045789752906e-05</v>
      </c>
      <c r="R214" s="163" t="n">
        <v>-0.0002568933257013</v>
      </c>
      <c r="S214" s="163" t="n">
        <v>-0.0073287879560431</v>
      </c>
      <c r="T214" s="163" t="n">
        <v>-0.0022196062030057</v>
      </c>
      <c r="U214" s="163" t="n">
        <v>-0.009639397556510399</v>
      </c>
      <c r="V214" s="171" t="n">
        <v>-9.934813880775598</v>
      </c>
      <c r="W214" s="171" t="n">
        <v>-0.0020456568475203</v>
      </c>
      <c r="X214" s="171" t="n">
        <v>1.978192650300037</v>
      </c>
      <c r="Y214" s="171" t="n">
        <v>20.70513764250548</v>
      </c>
      <c r="Z214" s="171" t="n">
        <v>-14.24436294928034</v>
      </c>
      <c r="AA214" s="171" t="n">
        <v>0.0018486019685715</v>
      </c>
      <c r="AB214" s="171" t="n">
        <v>1.497166546671868</v>
      </c>
      <c r="AC214" s="171" t="n">
        <v>-0.0003655317145912</v>
      </c>
      <c r="AD214" s="171" t="n">
        <v>0.0007421417327267</v>
      </c>
      <c r="AE214" s="171" t="n">
        <v>3.10261232208997e-05</v>
      </c>
      <c r="AF214" s="171" t="n">
        <v>0.0043110466968185</v>
      </c>
      <c r="AG214" s="171" t="n">
        <v>0.001293416770112</v>
      </c>
      <c r="AH214" s="171" t="n">
        <v>0.0005054096656385</v>
      </c>
      <c r="AI214" s="171" t="n">
        <v>0.0023302280103648</v>
      </c>
      <c r="AJ214" s="171" t="n">
        <v>0.0004299692524746</v>
      </c>
      <c r="AK214" s="171" t="n">
        <v>-7.245673632296651e-05</v>
      </c>
      <c r="AL214" s="171" t="n">
        <v>0.0007598029144016</v>
      </c>
      <c r="AM214" s="171" t="n">
        <v>-0</v>
      </c>
      <c r="AN214" s="1" t="n">
        <v>0.0049005107194355</v>
      </c>
      <c r="AO214" s="1" t="n">
        <v>1.099814683769296e-15</v>
      </c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64" t="inlineStr">
        <is>
          <t>2020-10</t>
        </is>
      </c>
      <c r="B215" s="163" t="n">
        <v>0.0220401887771295</v>
      </c>
      <c r="C215" s="163" t="n">
        <v>0.0107873008806889</v>
      </c>
      <c r="D215" s="163" t="n">
        <v>0.0112528878964405</v>
      </c>
      <c r="E215" s="170" t="n">
        <v>3833.788387096776</v>
      </c>
      <c r="F215" s="170" t="n">
        <v>3790.88901972964</v>
      </c>
      <c r="G215" s="163" t="n">
        <v>0.0056651267225528</v>
      </c>
      <c r="H215" s="163" t="n">
        <v>-8.292342982220842e-05</v>
      </c>
      <c r="I215" s="163" t="n">
        <v>0.0020619498326339</v>
      </c>
      <c r="J215" s="163" t="n">
        <v>-0.0009695032410669</v>
      </c>
      <c r="K215" s="163" t="n">
        <v>-0.0001276241584481</v>
      </c>
      <c r="L215" s="163" t="n">
        <v>-0.0009826980164718</v>
      </c>
      <c r="M215" s="163" t="n">
        <v>0.001039364000671</v>
      </c>
      <c r="N215" s="163" t="n">
        <v>-0.003751506206695</v>
      </c>
      <c r="O215" s="163" t="n">
        <v>0.0008605761860393</v>
      </c>
      <c r="P215" s="163" t="n">
        <v>0.0024888587333077</v>
      </c>
      <c r="Q215" s="163" t="n">
        <v>-0.0002072651911294</v>
      </c>
      <c r="R215" s="163" t="n">
        <v>-0.0003792881446348</v>
      </c>
      <c r="S215" s="163" t="n">
        <v>-0.0052385598887749</v>
      </c>
      <c r="T215" s="163" t="n">
        <v>0.0004030468567868</v>
      </c>
      <c r="U215" s="163" t="n">
        <v>0.0075216817809525</v>
      </c>
      <c r="V215" s="171" t="n">
        <v>-17.14722069000183</v>
      </c>
      <c r="W215" s="171" t="n">
        <v>-0.0036733943008934</v>
      </c>
      <c r="X215" s="171" t="n">
        <v>-6.132314133500429</v>
      </c>
      <c r="Y215" s="171" t="n">
        <v>75.47304592700168</v>
      </c>
      <c r="Z215" s="171" t="n">
        <v>-38.57810215193747</v>
      </c>
      <c r="AA215" s="171" t="n">
        <v>-0.0029179313945905</v>
      </c>
      <c r="AB215" s="171" t="n">
        <v>-13.60592957109076</v>
      </c>
      <c r="AC215" s="171" t="n">
        <v>5.289295000971919e-05</v>
      </c>
      <c r="AD215" s="171" t="n">
        <v>-5.357442508370566e-05</v>
      </c>
      <c r="AE215" s="171" t="n">
        <v>0.0001116940435952</v>
      </c>
      <c r="AF215" s="171" t="n">
        <v>-0.0040442857962419</v>
      </c>
      <c r="AG215" s="171" t="n">
        <v>0.0002568505521735</v>
      </c>
      <c r="AH215" s="171" t="n">
        <v>-0.0044149709869882</v>
      </c>
      <c r="AI215" s="171" t="n">
        <v>0.0106079519768691</v>
      </c>
      <c r="AJ215" s="171" t="n">
        <v>0.0002142096108537</v>
      </c>
      <c r="AK215" s="171" t="n">
        <v>-0.0046454386739603</v>
      </c>
      <c r="AL215" s="171" t="n">
        <v>0.0015126810178524</v>
      </c>
      <c r="AM215" s="171" t="n">
        <v>-0</v>
      </c>
      <c r="AN215" s="1" t="n">
        <v>0.0107873008806906</v>
      </c>
      <c r="AO215" s="1" t="n">
        <v>-1.700029006457271e-15</v>
      </c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64" t="inlineStr">
        <is>
          <t>2020-11</t>
        </is>
      </c>
      <c r="B216" s="163" t="n">
        <v>-0.0394128793532111</v>
      </c>
      <c r="C216" s="163" t="n">
        <v>-0.0335859587851603</v>
      </c>
      <c r="D216" s="163" t="n">
        <v>-0.0058269205680507</v>
      </c>
      <c r="E216" s="170" t="n">
        <v>3685.626666666669</v>
      </c>
      <c r="F216" s="170" t="n">
        <v>3707.165211249556</v>
      </c>
      <c r="G216" s="163" t="n">
        <v>0.0056651267225528</v>
      </c>
      <c r="H216" s="163" t="n">
        <v>0.0002738254446874</v>
      </c>
      <c r="I216" s="163" t="n">
        <v>0.0014246106203344</v>
      </c>
      <c r="J216" s="163" t="n">
        <v>-0.000775936328909</v>
      </c>
      <c r="K216" s="163" t="n">
        <v>0.0001084933895975</v>
      </c>
      <c r="L216" s="163" t="n">
        <v>-0.002961880486765</v>
      </c>
      <c r="M216" s="163" t="n">
        <v>-0.0027092088274676</v>
      </c>
      <c r="N216" s="163" t="n">
        <v>-0.0063066446331886</v>
      </c>
      <c r="O216" s="163" t="n">
        <v>0.000248559763536</v>
      </c>
      <c r="P216" s="163" t="n">
        <v>-0.0009011535744487</v>
      </c>
      <c r="Q216" s="163" t="n">
        <v>5.303535868042369e-05</v>
      </c>
      <c r="R216" s="163" t="n">
        <v>-0.0006982655457099</v>
      </c>
      <c r="S216" s="163" t="n">
        <v>-0.0014887763216159</v>
      </c>
      <c r="T216" s="163" t="n">
        <v>0.001008623417585</v>
      </c>
      <c r="U216" s="163" t="n">
        <v>-0.0147038539510717</v>
      </c>
      <c r="V216" s="171" t="n">
        <v>-21.30885115146529</v>
      </c>
      <c r="W216" s="171" t="n">
        <v>0.0011844304324783</v>
      </c>
      <c r="X216" s="171" t="n">
        <v>-6.75667859242545</v>
      </c>
      <c r="Y216" s="171" t="n">
        <v>58.10749185899864</v>
      </c>
      <c r="Z216" s="171" t="n">
        <v>-27.66612079328233</v>
      </c>
      <c r="AA216" s="171" t="n">
        <v>-0.0065681542872285</v>
      </c>
      <c r="AB216" s="171" t="n">
        <v>-2.371466094919213</v>
      </c>
      <c r="AC216" s="171" t="n">
        <v>-0.0016613068081556</v>
      </c>
      <c r="AD216" s="171" t="n">
        <v>-0.0009493429164928</v>
      </c>
      <c r="AE216" s="171" t="n">
        <v>-0.0012534553781242</v>
      </c>
      <c r="AF216" s="171" t="n">
        <v>-0.000433486463437</v>
      </c>
      <c r="AG216" s="171" t="n">
        <v>-0.0008739125277148</v>
      </c>
      <c r="AH216" s="171" t="n">
        <v>-0.0058614417214135</v>
      </c>
      <c r="AI216" s="171" t="n">
        <v>0.0014642427258836</v>
      </c>
      <c r="AJ216" s="171" t="n">
        <v>0.0002357735414867</v>
      </c>
      <c r="AK216" s="171" t="n">
        <v>-0.0020459803399809</v>
      </c>
      <c r="AL216" s="171" t="n">
        <v>0.0005648930034014001</v>
      </c>
      <c r="AM216" s="171" t="n">
        <v>-0</v>
      </c>
      <c r="AN216" s="1" t="n">
        <v>-0.0335859587851603</v>
      </c>
      <c r="AO216" s="1" t="n">
        <v>0</v>
      </c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64" t="inlineStr">
        <is>
          <t>2020-12</t>
        </is>
      </c>
      <c r="B217" s="163" t="n">
        <v>-0.0614027097759048</v>
      </c>
      <c r="C217" s="163" t="n">
        <v>-0.0371590522094184</v>
      </c>
      <c r="D217" s="163" t="n">
        <v>-0.0242436575664864</v>
      </c>
      <c r="E217" s="170" t="n">
        <v>3466.127096774195</v>
      </c>
      <c r="F217" s="170" t="n">
        <v>3551.185593637401</v>
      </c>
      <c r="G217" s="163" t="n">
        <v>0.0056651267225528</v>
      </c>
      <c r="H217" s="163" t="n">
        <v>0.0006918837850463</v>
      </c>
      <c r="I217" s="163" t="n">
        <v>0.0017114169356403</v>
      </c>
      <c r="J217" s="163" t="n">
        <v>0</v>
      </c>
      <c r="K217" s="163" t="n">
        <v>-5.093015515810112e-05</v>
      </c>
      <c r="L217" s="163" t="n">
        <v>-0.0039405298995964</v>
      </c>
      <c r="M217" s="163" t="n">
        <v>-0.0018345771468909</v>
      </c>
      <c r="N217" s="163" t="n">
        <v>-0.0021557999779904</v>
      </c>
      <c r="O217" s="163" t="n">
        <v>-0.0013570807370015</v>
      </c>
      <c r="P217" s="163" t="n">
        <v>-0.008545352500593399</v>
      </c>
      <c r="Q217" s="163" t="n">
        <v>0.0003918484929508</v>
      </c>
      <c r="R217" s="163" t="n">
        <v>0.000169195093343</v>
      </c>
      <c r="S217" s="163" t="n">
        <v>-0.0039305972191615</v>
      </c>
      <c r="T217" s="163" t="n">
        <v>-0.0026864717598457</v>
      </c>
      <c r="U217" s="163" t="n">
        <v>-0.017523752739825</v>
      </c>
      <c r="V217" s="171" t="n">
        <v>40.0581938279363</v>
      </c>
      <c r="W217" s="171" t="n">
        <v>0.0236475978678991</v>
      </c>
      <c r="X217" s="171" t="n">
        <v>12.41251499180279</v>
      </c>
      <c r="Y217" s="171" t="n">
        <v>44.62783291622</v>
      </c>
      <c r="Z217" s="171" t="n">
        <v>-38.851888396573</v>
      </c>
      <c r="AA217" s="171" t="n">
        <v>-0.0245312545210607</v>
      </c>
      <c r="AB217" s="171" t="n">
        <v>-58.22949278849845</v>
      </c>
      <c r="AC217" s="171" t="n">
        <v>0.0017337443255732</v>
      </c>
      <c r="AD217" s="171" t="n">
        <v>-0.0004695670963289</v>
      </c>
      <c r="AE217" s="171" t="n">
        <v>-0.0012224292549033</v>
      </c>
      <c r="AF217" s="171" t="n">
        <v>0.0007502650328717</v>
      </c>
      <c r="AG217" s="171" t="n">
        <v>-0.0022836678059896</v>
      </c>
      <c r="AH217" s="171" t="n">
        <v>-0.0139539852912663</v>
      </c>
      <c r="AI217" s="171" t="n">
        <v>-0.0002453228925591</v>
      </c>
      <c r="AJ217" s="171" t="n">
        <v>0.0002571654701218</v>
      </c>
      <c r="AK217" s="171" t="n">
        <v>-0.0075978216815247</v>
      </c>
      <c r="AL217" s="171" t="n">
        <v>0.0029912938566378</v>
      </c>
      <c r="AM217" s="171" t="n">
        <v>-0</v>
      </c>
      <c r="AN217" s="1" t="n">
        <v>-0.0371590522094162</v>
      </c>
      <c r="AO217" s="1" t="n">
        <v>-2.199629367538591e-15</v>
      </c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64" t="inlineStr">
        <is>
          <t>2021-01</t>
        </is>
      </c>
      <c r="B218" s="163" t="n">
        <v>0.0072424899726843</v>
      </c>
      <c r="C218" s="163" t="n">
        <v>0.006713689781444</v>
      </c>
      <c r="D218" s="163" t="n">
        <v>0.0005288001912403</v>
      </c>
      <c r="E218" s="170" t="n">
        <v>3491.321612903226</v>
      </c>
      <c r="F218" s="170" t="n">
        <v>3489.475889419116</v>
      </c>
      <c r="G218" s="163" t="n">
        <v>0.0056651267225528</v>
      </c>
      <c r="H218" s="163" t="n">
        <v>0.0005234108582312</v>
      </c>
      <c r="I218" s="163" t="n">
        <v>0.0003185472227594</v>
      </c>
      <c r="J218" s="163" t="n">
        <v>0</v>
      </c>
      <c r="K218" s="163" t="n">
        <v>-0.0001096713226572</v>
      </c>
      <c r="L218" s="163" t="n">
        <v>-0.0007467282853159</v>
      </c>
      <c r="M218" s="163" t="n">
        <v>0.0017778390173078</v>
      </c>
      <c r="N218" s="163" t="n">
        <v>0.0017985136725908</v>
      </c>
      <c r="O218" s="163" t="n">
        <v>-0.0073111762856159</v>
      </c>
      <c r="P218" s="163" t="n">
        <v>-0.0003243960862103</v>
      </c>
      <c r="Q218" s="163" t="n">
        <v>0.0006907435699231</v>
      </c>
      <c r="R218" s="163" t="n">
        <v>0.0002314369361888</v>
      </c>
      <c r="S218" s="163" t="n">
        <v>0.000867373896453</v>
      </c>
      <c r="T218" s="163" t="n">
        <v>-0.0028766183972716</v>
      </c>
      <c r="U218" s="163" t="n">
        <v>0.0032424044771835</v>
      </c>
      <c r="V218" s="171" t="n">
        <v>5.217613468956053</v>
      </c>
      <c r="W218" s="171" t="n">
        <v>0.0174139590542618</v>
      </c>
      <c r="X218" s="171" t="n">
        <v>2.017241392242114</v>
      </c>
      <c r="Y218" s="171" t="n">
        <v>103.3812207164444</v>
      </c>
      <c r="Z218" s="171" t="n">
        <v>-63.2629026242714</v>
      </c>
      <c r="AA218" s="171" t="n">
        <v>-0.0242779654115548</v>
      </c>
      <c r="AB218" s="171" t="n">
        <v>-47.33503469220094</v>
      </c>
      <c r="AC218" s="171" t="n">
        <v>0.0005486784308524</v>
      </c>
      <c r="AD218" s="171" t="n">
        <v>-0.0001369884198358</v>
      </c>
      <c r="AE218" s="171" t="n">
        <v>-0.0005473008136166</v>
      </c>
      <c r="AF218" s="171" t="n">
        <v>0.0008741183081394</v>
      </c>
      <c r="AG218" s="171" t="n">
        <v>-0.0013209640743378</v>
      </c>
      <c r="AH218" s="171" t="n">
        <v>-0.0149618716774074</v>
      </c>
      <c r="AI218" s="171" t="n">
        <v>0.0063128776997157</v>
      </c>
      <c r="AJ218" s="171" t="n">
        <v>-8.074354097354639e-05</v>
      </c>
      <c r="AK218" s="171" t="n">
        <v>-0.003050359830423</v>
      </c>
      <c r="AL218" s="171" t="n">
        <v>0.0040551828902995</v>
      </c>
      <c r="AM218" s="171" t="n">
        <v>-0</v>
      </c>
      <c r="AN218" s="1" t="n">
        <v>0.0067136897814463</v>
      </c>
      <c r="AO218" s="1" t="n">
        <v>-2.300243329145246e-15</v>
      </c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64" t="inlineStr">
        <is>
          <t>2021-02</t>
        </is>
      </c>
      <c r="B219" s="163" t="n">
        <v>0.0179352619251176</v>
      </c>
      <c r="C219" s="163" t="n">
        <v>0.0217597506936018</v>
      </c>
      <c r="D219" s="163" t="n">
        <v>-0.0038244887684842</v>
      </c>
      <c r="E219" s="170" t="n">
        <v>3554.504285714289</v>
      </c>
      <c r="F219" s="170" t="n">
        <v>3568.124475963302</v>
      </c>
      <c r="G219" s="163" t="n">
        <v>0.0056651267225528</v>
      </c>
      <c r="H219" s="163" t="n">
        <v>-8.540517513072822e-05</v>
      </c>
      <c r="I219" s="163" t="n">
        <v>0.0002767405815695</v>
      </c>
      <c r="J219" s="163" t="n">
        <v>0</v>
      </c>
      <c r="K219" s="163" t="n">
        <v>8.560472084834334e-05</v>
      </c>
      <c r="L219" s="163" t="n">
        <v>0.0009598285062161</v>
      </c>
      <c r="M219" s="163" t="n">
        <v>-0.0012201108146256</v>
      </c>
      <c r="N219" s="163" t="n">
        <v>-0.0007304520021501</v>
      </c>
      <c r="O219" s="163" t="n">
        <v>0.0001206324030624</v>
      </c>
      <c r="P219" s="163" t="n">
        <v>0.0053582433055473</v>
      </c>
      <c r="Q219" s="163" t="n">
        <v>-0.0009496948780274</v>
      </c>
      <c r="R219" s="163" t="n">
        <v>5.894410359510875e-05</v>
      </c>
      <c r="S219" s="163" t="n">
        <v>-0.0043281881127523</v>
      </c>
      <c r="T219" s="163" t="n">
        <v>-0.0044589785506838</v>
      </c>
      <c r="U219" s="163" t="n">
        <v>0.0045166319477104</v>
      </c>
      <c r="V219" s="171" t="n">
        <v>-22.4128463768899</v>
      </c>
      <c r="W219" s="171" t="n">
        <v>0.0108444224098145</v>
      </c>
      <c r="X219" s="171" t="n">
        <v>6.55935782197343</v>
      </c>
      <c r="Y219" s="171" t="n">
        <v>124.0176311035316</v>
      </c>
      <c r="Z219" s="171" t="n">
        <v>-80.02950577261501</v>
      </c>
      <c r="AA219" s="171" t="n">
        <v>-0.0212864984690432</v>
      </c>
      <c r="AB219" s="171" t="n">
        <v>-28.12044494722284</v>
      </c>
      <c r="AC219" s="171" t="n">
        <v>0.0014195449681568</v>
      </c>
      <c r="AD219" s="171" t="n">
        <v>-0.0005344446478027</v>
      </c>
      <c r="AE219" s="171" t="n">
        <v>-0.0002097365929732</v>
      </c>
      <c r="AF219" s="171" t="n">
        <v>0.0021864866672261</v>
      </c>
      <c r="AG219" s="171" t="n">
        <v>-0.0018568662812712</v>
      </c>
      <c r="AH219" s="171" t="n">
        <v>-0.0012320585287672</v>
      </c>
      <c r="AI219" s="171" t="n">
        <v>0.0014568875653594</v>
      </c>
      <c r="AJ219" s="171" t="n">
        <v>0.0002200376725779</v>
      </c>
      <c r="AK219" s="171" t="n">
        <v>0.0194687724584825</v>
      </c>
      <c r="AL219" s="171" t="n">
        <v>-0.008177548063160499</v>
      </c>
      <c r="AM219" s="171" t="n">
        <v>-0</v>
      </c>
      <c r="AN219" s="1" t="n">
        <v>0.0217597506936038</v>
      </c>
      <c r="AO219" s="1" t="n">
        <v>-2.001870891277235e-15</v>
      </c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64" t="inlineStr">
        <is>
          <t>2021-03</t>
        </is>
      </c>
      <c r="B220" s="163" t="n">
        <v>0.0162587325831502</v>
      </c>
      <c r="C220" s="163" t="n">
        <v>0.0032534547460163</v>
      </c>
      <c r="D220" s="163" t="n">
        <v>0.0130052778371339</v>
      </c>
      <c r="E220" s="170" t="n">
        <v>3612.768387096772</v>
      </c>
      <c r="F220" s="170" t="n">
        <v>3566.087537127161</v>
      </c>
      <c r="G220" s="163" t="n">
        <v>0.0056651267225528</v>
      </c>
      <c r="H220" s="163" t="n">
        <v>0.0004696801761613</v>
      </c>
      <c r="I220" s="163" t="n">
        <v>0.0019734713129659</v>
      </c>
      <c r="J220" s="163" t="n">
        <v>3.448605906262383e-05</v>
      </c>
      <c r="K220" s="163" t="n">
        <v>-7.329824528729655e-05</v>
      </c>
      <c r="L220" s="163" t="n">
        <v>0.0023711686265524</v>
      </c>
      <c r="M220" s="163" t="n">
        <v>-0.0009554876349363</v>
      </c>
      <c r="N220" s="163" t="n">
        <v>0.002641157026678</v>
      </c>
      <c r="O220" s="163" t="n">
        <v>0.0001036669238185</v>
      </c>
      <c r="P220" s="163" t="n">
        <v>-0.0032051383175391</v>
      </c>
      <c r="Q220" s="163" t="n">
        <v>-0.0001127072864345</v>
      </c>
      <c r="R220" s="163" t="n">
        <v>0.0002119421035674</v>
      </c>
      <c r="S220" s="163" t="n">
        <v>-0.0038068508058836</v>
      </c>
      <c r="T220" s="163" t="n">
        <v>-0.0035734507407684</v>
      </c>
      <c r="U220" s="163" t="n">
        <v>0.012976724663812</v>
      </c>
      <c r="V220" s="171" t="n">
        <v>-73.6636027232134</v>
      </c>
      <c r="W220" s="171" t="n">
        <v>-0.0092801540233096</v>
      </c>
      <c r="X220" s="171" t="n">
        <v>-13.16607262885535</v>
      </c>
      <c r="Y220" s="171" t="n">
        <v>247.5443532397909</v>
      </c>
      <c r="Z220" s="171" t="n">
        <v>-133.4780647595169</v>
      </c>
      <c r="AA220" s="171" t="n">
        <v>-0.0189333609355686</v>
      </c>
      <c r="AB220" s="171" t="n">
        <v>-27.20614476604914</v>
      </c>
      <c r="AC220" s="171" t="n">
        <v>-0.0003167817669883</v>
      </c>
      <c r="AD220" s="171" t="n">
        <v>0.0003150682356103</v>
      </c>
      <c r="AE220" s="171" t="n">
        <v>-0.0003723134786507</v>
      </c>
      <c r="AF220" s="171" t="n">
        <v>0.0004406318447024</v>
      </c>
      <c r="AG220" s="171" t="n">
        <v>-0.0007101073664345</v>
      </c>
      <c r="AH220" s="171" t="n">
        <v>-0.0036449917131277</v>
      </c>
      <c r="AI220" s="171" t="n">
        <v>0.001281721588569</v>
      </c>
      <c r="AJ220" s="171" t="n">
        <v>0.0004165815202636</v>
      </c>
      <c r="AK220" s="171" t="n">
        <v>-0.0165515250606194</v>
      </c>
      <c r="AL220" s="171" t="n">
        <v>0.005419833161165</v>
      </c>
      <c r="AM220" s="171" t="n">
        <v>-0</v>
      </c>
      <c r="AN220" s="1" t="n">
        <v>0.0032534547460388</v>
      </c>
      <c r="AO220" s="1" t="n">
        <v>-2.249979716428818e-14</v>
      </c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64" t="inlineStr">
        <is>
          <t>2021-04</t>
        </is>
      </c>
      <c r="B221" s="163" t="n">
        <v>0.0104654030524518</v>
      </c>
      <c r="C221" s="163" t="n">
        <v>-0.0083366685585217</v>
      </c>
      <c r="D221" s="163" t="n">
        <v>0.0188020716109735</v>
      </c>
      <c r="E221" s="170" t="n">
        <v>3650.776</v>
      </c>
      <c r="F221" s="170" t="n">
        <v>3582.775130106949</v>
      </c>
      <c r="G221" s="163" t="n">
        <v>0.0056651267225528</v>
      </c>
      <c r="H221" s="163" t="n">
        <v>-0.0008470862686702</v>
      </c>
      <c r="I221" s="163" t="n">
        <v>0.0021517451287662</v>
      </c>
      <c r="J221" s="163" t="n">
        <v>3.448605906262383e-05</v>
      </c>
      <c r="K221" s="163" t="n">
        <v>1.572201790262087e-05</v>
      </c>
      <c r="L221" s="163" t="n">
        <v>-0.0012622007989157</v>
      </c>
      <c r="M221" s="163" t="n">
        <v>-0.0037502570018486</v>
      </c>
      <c r="N221" s="163" t="n">
        <v>-0.0008803490629969</v>
      </c>
      <c r="O221" s="163" t="n">
        <v>0.0003014149077959</v>
      </c>
      <c r="P221" s="163" t="n">
        <v>0.0060716360434745</v>
      </c>
      <c r="Q221" s="163" t="n">
        <v>-0.0001434313680387</v>
      </c>
      <c r="R221" s="163" t="n">
        <v>-7.166689701745084e-05</v>
      </c>
      <c r="S221" s="163" t="n">
        <v>0.0061661517213224</v>
      </c>
      <c r="T221" s="163" t="n">
        <v>-0.0042119470286267</v>
      </c>
      <c r="U221" s="163" t="n">
        <v>-0.0121547002936928</v>
      </c>
      <c r="V221" s="171" t="n">
        <v>14.34565061626703</v>
      </c>
      <c r="W221" s="171" t="n">
        <v>-0.0006034443588389</v>
      </c>
      <c r="X221" s="171" t="n">
        <v>-6.740062106492643</v>
      </c>
      <c r="Y221" s="171" t="n">
        <v>16.92233340040838</v>
      </c>
      <c r="Z221" s="171" t="n">
        <v>-3.286265849874752</v>
      </c>
      <c r="AA221" s="171" t="n">
        <v>-0.0033285048704832</v>
      </c>
      <c r="AB221" s="171" t="n">
        <v>-21.23747889582472</v>
      </c>
      <c r="AC221" s="171" t="n">
        <v>0.0003337810817964</v>
      </c>
      <c r="AD221" s="171" t="n">
        <v>-0.0008385688578614</v>
      </c>
      <c r="AE221" s="171" t="n">
        <v>-0.0007582784515187</v>
      </c>
      <c r="AF221" s="171" t="n">
        <v>0.0005740122949907</v>
      </c>
      <c r="AG221" s="171" t="n">
        <v>0.0001340807595676</v>
      </c>
      <c r="AH221" s="171" t="n">
        <v>-0.0049104465411005</v>
      </c>
      <c r="AI221" s="171" t="n">
        <v>-0.0018601766747141</v>
      </c>
      <c r="AJ221" s="171" t="n">
        <v>-0.0002628775922269</v>
      </c>
      <c r="AK221" s="171" t="n">
        <v>-0.0010185341468539</v>
      </c>
      <c r="AL221" s="171" t="n">
        <v>0.0029404804343633</v>
      </c>
      <c r="AM221" s="171" t="n">
        <v>-0</v>
      </c>
      <c r="AN221" s="1" t="n">
        <v>-0.0083366685585218</v>
      </c>
      <c r="AO221" s="1" t="n">
        <v>1.006139616066548e-16</v>
      </c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64" t="inlineStr">
        <is>
          <t>2021-05</t>
        </is>
      </c>
      <c r="B222" s="163" t="n">
        <v>0.022986402745138</v>
      </c>
      <c r="C222" s="163" t="n">
        <v>0.0219026523133584</v>
      </c>
      <c r="D222" s="163" t="n">
        <v>0.0010837504317796</v>
      </c>
      <c r="E222" s="170" t="n">
        <v>3735.66612903226</v>
      </c>
      <c r="F222" s="170" t="n">
        <v>3731.619792257589</v>
      </c>
      <c r="G222" s="163" t="n">
        <v>0.0056651267225528</v>
      </c>
      <c r="H222" s="163" t="n">
        <v>0.0002343355249246</v>
      </c>
      <c r="I222" s="163" t="n">
        <v>0.009783588066016501</v>
      </c>
      <c r="J222" s="163" t="n">
        <v>0</v>
      </c>
      <c r="K222" s="163" t="n">
        <v>2.883736004525969e-05</v>
      </c>
      <c r="L222" s="163" t="n">
        <v>-0.0025688308308729</v>
      </c>
      <c r="M222" s="163" t="n">
        <v>0.0020911141828688</v>
      </c>
      <c r="N222" s="163" t="n">
        <v>0.0046465264464838</v>
      </c>
      <c r="O222" s="163" t="n">
        <v>-0.0007450101250463</v>
      </c>
      <c r="P222" s="163" t="n">
        <v>-0.0018738619495246</v>
      </c>
      <c r="Q222" s="163" t="n">
        <v>0.0002389690689613</v>
      </c>
      <c r="R222" s="163" t="n">
        <v>0.0003226269445617</v>
      </c>
      <c r="S222" s="163" t="n">
        <v>0.0116197506662591</v>
      </c>
      <c r="T222" s="163" t="n">
        <v>-0.0070512569393661</v>
      </c>
      <c r="U222" s="163" t="n">
        <v>0.0001644923531382</v>
      </c>
      <c r="V222" s="171" t="n">
        <v>37.85391860823657</v>
      </c>
      <c r="W222" s="171" t="n">
        <v>0.015844808431844</v>
      </c>
      <c r="X222" s="171" t="n">
        <v>3.398902197554565</v>
      </c>
      <c r="Y222" s="171" t="n">
        <v>-9.818179345450378</v>
      </c>
      <c r="Z222" s="171" t="n">
        <v>2.417960460969808</v>
      </c>
      <c r="AA222" s="171" t="n">
        <v>-0.0122508180182407</v>
      </c>
      <c r="AB222" s="171" t="n">
        <v>-33.84339264375688</v>
      </c>
      <c r="AC222" s="171" t="n">
        <v>0.0003742450245858</v>
      </c>
      <c r="AD222" s="171" t="n">
        <v>-1.916914475545322e-05</v>
      </c>
      <c r="AE222" s="171" t="n">
        <v>-0.0005199978251822</v>
      </c>
      <c r="AF222" s="171" t="n">
        <v>8.098098767504609e-05</v>
      </c>
      <c r="AG222" s="171" t="n">
        <v>-0.0008089906418935</v>
      </c>
      <c r="AH222" s="171" t="n">
        <v>-0.0110986423126053</v>
      </c>
      <c r="AI222" s="171" t="n">
        <v>0.0053192520910616</v>
      </c>
      <c r="AJ222" s="171" t="n">
        <v>0.0001680389491695</v>
      </c>
      <c r="AK222" s="171" t="n">
        <v>-0.0051190159750785</v>
      </c>
      <c r="AL222" s="171" t="n">
        <v>-0.0018337242979075</v>
      </c>
      <c r="AM222" s="171" t="n">
        <v>-0</v>
      </c>
      <c r="AN222" s="1" t="n">
        <v>0.0219026523133574</v>
      </c>
      <c r="AO222" s="1" t="n">
        <v>9.992007221626409e-16</v>
      </c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64" t="inlineStr">
        <is>
          <t>2021-06</t>
        </is>
      </c>
      <c r="B223" s="163" t="n">
        <v>-0.0136440464369549</v>
      </c>
      <c r="C223" s="163" t="n">
        <v>-0.0183089560184343</v>
      </c>
      <c r="D223" s="163" t="n">
        <v>0.0046649095814794</v>
      </c>
      <c r="E223" s="170" t="n">
        <v>3685.042666666665</v>
      </c>
      <c r="F223" s="170" t="n">
        <v>3667.892309357121</v>
      </c>
      <c r="G223" s="163" t="n">
        <v>0.0056651267225528</v>
      </c>
      <c r="H223" s="163" t="n">
        <v>0.0006847784544642</v>
      </c>
      <c r="I223" s="163" t="n">
        <v>0.008075414288257501</v>
      </c>
      <c r="J223" s="163" t="n">
        <v>3.448605906262383e-05</v>
      </c>
      <c r="K223" s="163" t="n">
        <v>3.335908199496821e-05</v>
      </c>
      <c r="L223" s="163" t="n">
        <v>0.0006641809675145</v>
      </c>
      <c r="M223" s="163" t="n">
        <v>-0.0025337331242645</v>
      </c>
      <c r="N223" s="163" t="n">
        <v>0.0018586105785935</v>
      </c>
      <c r="O223" s="163" t="n">
        <v>-0.0002364341451629</v>
      </c>
      <c r="P223" s="163" t="n">
        <v>-0.0034809927648344</v>
      </c>
      <c r="Q223" s="163" t="n">
        <v>-3.001930585953613e-05</v>
      </c>
      <c r="R223" s="163" t="n">
        <v>-0.0003874868975021</v>
      </c>
      <c r="S223" s="163" t="n">
        <v>-0.015340551728206</v>
      </c>
      <c r="T223" s="163" t="n">
        <v>0.0003898971792263</v>
      </c>
      <c r="U223" s="163" t="n">
        <v>0.008323727627010899</v>
      </c>
      <c r="V223" s="171" t="n">
        <v>-6.677127736686701</v>
      </c>
      <c r="W223" s="171" t="n">
        <v>-0.0199283105494241</v>
      </c>
      <c r="X223" s="171" t="n">
        <v>-19.82637560287054</v>
      </c>
      <c r="Y223" s="171" t="n">
        <v>-71.46933264963191</v>
      </c>
      <c r="Z223" s="171" t="n">
        <v>62.16900401710069</v>
      </c>
      <c r="AA223" s="171" t="n">
        <v>0.0188894438722269</v>
      </c>
      <c r="AB223" s="171" t="n">
        <v>35.79199490488323</v>
      </c>
      <c r="AC223" s="171" t="n">
        <v>5.084931653551182e-05</v>
      </c>
      <c r="AD223" s="171" t="n">
        <v>-0.0001195292790728</v>
      </c>
      <c r="AE223" s="171" t="n">
        <v>-3.102612322089694e-05</v>
      </c>
      <c r="AF223" s="171" t="n">
        <v>0.0013218955341073</v>
      </c>
      <c r="AG223" s="171" t="n">
        <v>-0.0009456135595188</v>
      </c>
      <c r="AH223" s="171" t="n">
        <v>-0.0059208029885567</v>
      </c>
      <c r="AI223" s="171" t="n">
        <v>0.0006086678224519</v>
      </c>
      <c r="AJ223" s="171" t="n">
        <v>0.0002259873819181</v>
      </c>
      <c r="AK223" s="171" t="n">
        <v>-0.0021253563895701</v>
      </c>
      <c r="AL223" s="171" t="n">
        <v>-0.0022184568439169</v>
      </c>
      <c r="AM223" s="171" t="n">
        <v>-0</v>
      </c>
      <c r="AN223" s="1" t="n">
        <v>-0.0183089560184331</v>
      </c>
      <c r="AO223" s="1" t="n">
        <v>-1.200428645375951e-15</v>
      </c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64" t="inlineStr">
        <is>
          <t>2021-07</t>
        </is>
      </c>
      <c r="B224" s="163" t="n">
        <v>0.0384307462231436</v>
      </c>
      <c r="C224" s="163" t="n">
        <v>0.0197200893424891</v>
      </c>
      <c r="D224" s="163" t="n">
        <v>0.0187106568806545</v>
      </c>
      <c r="E224" s="170" t="n">
        <v>3829.418064516129</v>
      </c>
      <c r="F224" s="170" t="n">
        <v>3758.433293804301</v>
      </c>
      <c r="G224" s="163" t="n">
        <v>0.0056651267225528</v>
      </c>
      <c r="H224" s="163" t="n">
        <v>-0.0001584920565255</v>
      </c>
      <c r="I224" s="163" t="n">
        <v>0.0043481995366328</v>
      </c>
      <c r="J224" s="163" t="n">
        <v>-6.897211812524765e-05</v>
      </c>
      <c r="K224" s="163" t="n">
        <v>1.860390653780937e-05</v>
      </c>
      <c r="L224" s="163" t="n">
        <v>0.0026779899009361</v>
      </c>
      <c r="M224" s="163" t="n">
        <v>0.0006195988799033</v>
      </c>
      <c r="N224" s="163" t="n">
        <v>0.0066061876973115</v>
      </c>
      <c r="O224" s="163" t="n">
        <v>0.0009135865604414</v>
      </c>
      <c r="P224" s="163" t="n">
        <v>0.0042532022576286</v>
      </c>
      <c r="Q224" s="163" t="n">
        <v>-4.442346354674624e-05</v>
      </c>
      <c r="R224" s="163" t="n">
        <v>-0.0003434603498013</v>
      </c>
      <c r="S224" s="163" t="n">
        <v>-0.0025265760031657</v>
      </c>
      <c r="T224" s="163" t="n">
        <v>-0.0023361646249832</v>
      </c>
      <c r="U224" s="163" t="n">
        <v>0.0085581322639263</v>
      </c>
      <c r="V224" s="171" t="n">
        <v>52.98891295026669</v>
      </c>
      <c r="W224" s="171" t="n">
        <v>0.0103962331530069</v>
      </c>
      <c r="X224" s="171" t="n">
        <v>-6.977677855331714</v>
      </c>
      <c r="Y224" s="171" t="n">
        <v>-140.6243801678363</v>
      </c>
      <c r="Z224" s="171" t="n">
        <v>90.28298758992344</v>
      </c>
      <c r="AA224" s="171" t="n">
        <v>-0.0032805024989236</v>
      </c>
      <c r="AB224" s="171" t="n">
        <v>4.317211167979436</v>
      </c>
      <c r="AC224" s="171" t="n">
        <v>-0.0003349886833948</v>
      </c>
      <c r="AD224" s="171" t="n">
        <v>0.0002272082304778</v>
      </c>
      <c r="AE224" s="171" t="n">
        <v>0.0005857732064105</v>
      </c>
      <c r="AF224" s="171" t="n">
        <v>0.000226270406739</v>
      </c>
      <c r="AG224" s="171" t="n">
        <v>-0.0003904542479602</v>
      </c>
      <c r="AH224" s="171" t="n">
        <v>-0.0041594202813701</v>
      </c>
      <c r="AI224" s="171" t="n">
        <v>0.0054694105220699</v>
      </c>
      <c r="AJ224" s="171" t="n">
        <v>0.0004212829723001</v>
      </c>
      <c r="AK224" s="171" t="n">
        <v>-0.002625839739611</v>
      </c>
      <c r="AL224" s="171" t="n">
        <v>-0.0020511078085189</v>
      </c>
      <c r="AM224" s="171" t="n">
        <v>-0</v>
      </c>
      <c r="AN224" s="1" t="n">
        <v>0.0197200893424692</v>
      </c>
      <c r="AO224" s="1" t="n">
        <v>1.990074771640593e-14</v>
      </c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64" t="inlineStr">
        <is>
          <t>2021-08</t>
        </is>
      </c>
      <c r="B225" s="163" t="n">
        <v>0.0134272950958802</v>
      </c>
      <c r="C225" s="163" t="n">
        <v>0.035860101259541</v>
      </c>
      <c r="D225" s="163" t="n">
        <v>-0.0224328061636608</v>
      </c>
      <c r="E225" s="170" t="n">
        <v>3881.183548387098</v>
      </c>
      <c r="F225" s="170" t="n">
        <v>3969.233295655903</v>
      </c>
      <c r="G225" s="163" t="n">
        <v>0.0056651267225528</v>
      </c>
      <c r="H225" s="163" t="n">
        <v>3.25153397367539e-06</v>
      </c>
      <c r="I225" s="163" t="n">
        <v>0.0038727986775282</v>
      </c>
      <c r="J225" s="163" t="n">
        <v>-6.897211812524765e-05</v>
      </c>
      <c r="K225" s="163" t="n">
        <v>3.373265480183959e-05</v>
      </c>
      <c r="L225" s="163" t="n">
        <v>0.0006065386406742</v>
      </c>
      <c r="M225" s="163" t="n">
        <v>-0.0001233137235799</v>
      </c>
      <c r="N225" s="163" t="n">
        <v>0.0028041561544993</v>
      </c>
      <c r="O225" s="163" t="n">
        <v>0.0001572332190924</v>
      </c>
      <c r="P225" s="163" t="n">
        <v>0.0044558733936597</v>
      </c>
      <c r="Q225" s="163" t="n">
        <v>-6.830626222934858e-05</v>
      </c>
      <c r="R225" s="163" t="n">
        <v>0.0006822934175827</v>
      </c>
      <c r="S225" s="163" t="n">
        <v>0.0019766400013265</v>
      </c>
      <c r="T225" s="163" t="n">
        <v>-0.0031029277074947</v>
      </c>
      <c r="U225" s="163" t="n">
        <v>0.018886315603952</v>
      </c>
      <c r="V225" s="171" t="n">
        <v>16.11838744860174</v>
      </c>
      <c r="W225" s="171" t="n">
        <v>-0.0010760447952112</v>
      </c>
      <c r="X225" s="171" t="n">
        <v>0.9350927458684112</v>
      </c>
      <c r="Y225" s="171" t="n">
        <v>-24.81895478824921</v>
      </c>
      <c r="Z225" s="171" t="n">
        <v>13.76824908531627</v>
      </c>
      <c r="AA225" s="171" t="n">
        <v>0.0003094620975011</v>
      </c>
      <c r="AB225" s="171" t="n">
        <v>-6.005809315084592</v>
      </c>
      <c r="AC225" s="171" t="n">
        <v>-0.0002162535785434</v>
      </c>
      <c r="AD225" s="171" t="n">
        <v>1.663833884661529e-05</v>
      </c>
      <c r="AE225" s="171" t="n">
        <v>0.0004939358816766</v>
      </c>
      <c r="AF225" s="171" t="n">
        <v>-0.0005478125636841</v>
      </c>
      <c r="AG225" s="171" t="n">
        <v>0.0008763856790226</v>
      </c>
      <c r="AH225" s="171" t="n">
        <v>0.0016728859059206</v>
      </c>
      <c r="AI225" s="171" t="n">
        <v>0.0022917548630078</v>
      </c>
      <c r="AJ225" s="171" t="n">
        <v>0.0003471489991937</v>
      </c>
      <c r="AK225" s="171" t="n">
        <v>0.0012034084161611</v>
      </c>
      <c r="AL225" s="171" t="n">
        <v>-0.002257024645185</v>
      </c>
      <c r="AM225" s="171" t="n">
        <v>-0</v>
      </c>
      <c r="AN225" s="1" t="n">
        <v>0.0358601012595412</v>
      </c>
      <c r="AO225" s="1" t="n">
        <v>-2.012279232133096e-16</v>
      </c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64" t="inlineStr">
        <is>
          <t>2021-09</t>
        </is>
      </c>
      <c r="B226" s="163" t="n">
        <v>-0.0154872731987616</v>
      </c>
      <c r="C226" s="163" t="n">
        <v>-0.0135368174279088</v>
      </c>
      <c r="D226" s="163" t="n">
        <v>-0.0019504557708527</v>
      </c>
      <c r="E226" s="170" t="n">
        <v>3821.537666666666</v>
      </c>
      <c r="F226" s="170" t="n">
        <v>3828.998680685759</v>
      </c>
      <c r="G226" s="163" t="n">
        <v>0.0056651267225528</v>
      </c>
      <c r="H226" s="163" t="n">
        <v>0.0010590529227126</v>
      </c>
      <c r="I226" s="163" t="n">
        <v>0.0026345007270651</v>
      </c>
      <c r="J226" s="163" t="n">
        <v>3.448605906262383e-05</v>
      </c>
      <c r="K226" s="163" t="n">
        <v>0.0001654254659203</v>
      </c>
      <c r="L226" s="163" t="n">
        <v>7.356428991659822e-05</v>
      </c>
      <c r="M226" s="163" t="n">
        <v>0.0020912102059647</v>
      </c>
      <c r="N226" s="163" t="n">
        <v>0.0012126080668105</v>
      </c>
      <c r="O226" s="163" t="n">
        <v>0.0001288697212192</v>
      </c>
      <c r="P226" s="163" t="n">
        <v>-0.0179422322085818</v>
      </c>
      <c r="Q226" s="163" t="n">
        <v>0.0001229021537888</v>
      </c>
      <c r="R226" s="163" t="n">
        <v>-0.0002223076212604</v>
      </c>
      <c r="S226" s="163" t="n">
        <v>-0.0106934704612426</v>
      </c>
      <c r="T226" s="163" t="n">
        <v>-0.002703936437042</v>
      </c>
      <c r="U226" s="163" t="n">
        <v>0.0016602323065311</v>
      </c>
      <c r="V226" s="171" t="n">
        <v>-27.41440486515194</v>
      </c>
      <c r="W226" s="171" t="n">
        <v>-0.0086415575658975</v>
      </c>
      <c r="X226" s="171" t="n">
        <v>-9.836544260070228</v>
      </c>
      <c r="Y226" s="171" t="n">
        <v>64.22491888973892</v>
      </c>
      <c r="Z226" s="171" t="n">
        <v>-28.20953871131476</v>
      </c>
      <c r="AA226" s="171" t="n">
        <v>-0.0003094620975011</v>
      </c>
      <c r="AB226" s="171" t="n">
        <v>1.242876808782987</v>
      </c>
      <c r="AC226" s="171" t="n">
        <v>-0.0001939593951884</v>
      </c>
      <c r="AD226" s="171" t="n">
        <v>0.0001962229581345</v>
      </c>
      <c r="AE226" s="171" t="n">
        <v>-8.066792037433591e-05</v>
      </c>
      <c r="AF226" s="171" t="n">
        <v>0.0016791645973795</v>
      </c>
      <c r="AG226" s="171" t="n">
        <v>-0.0007454535118877</v>
      </c>
      <c r="AH226" s="171" t="n">
        <v>-0.008383253107901299</v>
      </c>
      <c r="AI226" s="171" t="n">
        <v>0.0030797754459331</v>
      </c>
      <c r="AJ226" s="171" t="n">
        <v>0.000288261963719</v>
      </c>
      <c r="AK226" s="171" t="n">
        <v>0.0069104980989694</v>
      </c>
      <c r="AL226" s="171" t="n">
        <v>0.0020697192083153</v>
      </c>
      <c r="AM226" s="171" t="n">
        <v>-0</v>
      </c>
      <c r="AN226" s="1" t="n">
        <v>-0.0135368174279058</v>
      </c>
      <c r="AO226" s="1" t="n">
        <v>-2.999336889963899e-15</v>
      </c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64" t="inlineStr">
        <is>
          <t>2021-10</t>
        </is>
      </c>
      <c r="B227" s="163" t="n">
        <v>-0.0126806092941436</v>
      </c>
      <c r="C227" s="163" t="n">
        <v>0.0118266321634842</v>
      </c>
      <c r="D227" s="163" t="n">
        <v>-0.0245072414576279</v>
      </c>
      <c r="E227" s="170" t="n">
        <v>3773.384193548388</v>
      </c>
      <c r="F227" s="170" t="n">
        <v>3867.001901420358</v>
      </c>
      <c r="G227" s="163" t="n">
        <v>0.0056651267225528</v>
      </c>
      <c r="H227" s="163" t="n">
        <v>0.0002996435451582</v>
      </c>
      <c r="I227" s="163" t="n">
        <v>0.000718084715546</v>
      </c>
      <c r="J227" s="163" t="n">
        <v>3.448605906262383e-05</v>
      </c>
      <c r="K227" s="163" t="n">
        <v>5.393533722023634e-05</v>
      </c>
      <c r="L227" s="163" t="n">
        <v>0.0011030531171427</v>
      </c>
      <c r="M227" s="163" t="n">
        <v>-0.0017176115152433</v>
      </c>
      <c r="N227" s="163" t="n">
        <v>0.0024582981989358</v>
      </c>
      <c r="O227" s="163" t="n">
        <v>0.0005077495266632</v>
      </c>
      <c r="P227" s="163" t="n">
        <v>0.0094356395874998</v>
      </c>
      <c r="Q227" s="163" t="n">
        <v>-7.652672503936252e-05</v>
      </c>
      <c r="R227" s="163" t="n">
        <v>-0.0005876475406095</v>
      </c>
      <c r="S227" s="163" t="n">
        <v>0.001643804332644</v>
      </c>
      <c r="T227" s="163" t="n">
        <v>-0.0001285013209556</v>
      </c>
      <c r="U227" s="163" t="n">
        <v>0.0053075208957106</v>
      </c>
      <c r="V227" s="171" t="n">
        <v>-4.865238083776535</v>
      </c>
      <c r="W227" s="171" t="n">
        <v>0.0005995385701086</v>
      </c>
      <c r="X227" s="171" t="n">
        <v>-62.95488025360542</v>
      </c>
      <c r="Y227" s="171" t="n">
        <v>145.68775551599</v>
      </c>
      <c r="Z227" s="171" t="n">
        <v>-23.34453579070359</v>
      </c>
      <c r="AA227" s="171" t="n">
        <v>-0.0253626147433907</v>
      </c>
      <c r="AB227" s="171" t="n">
        <v>-54.48943360988493</v>
      </c>
      <c r="AC227" s="171" t="n">
        <v>0.0004402915427749</v>
      </c>
      <c r="AD227" s="171" t="n">
        <v>-0.0002431625677275</v>
      </c>
      <c r="AE227" s="171" t="n">
        <v>0.0002469679408383</v>
      </c>
      <c r="AF227" s="171" t="n">
        <v>-0.0015696020846427</v>
      </c>
      <c r="AG227" s="171" t="n">
        <v>-0.001658523463942</v>
      </c>
      <c r="AH227" s="171" t="n">
        <v>-0.0183626411883069</v>
      </c>
      <c r="AI227" s="171" t="n">
        <v>0.003488043433181</v>
      </c>
      <c r="AJ227" s="171" t="n">
        <v>0.0004306531156615</v>
      </c>
      <c r="AK227" s="171" t="n">
        <v>-0.0077323264126582</v>
      </c>
      <c r="AL227" s="171" t="n">
        <v>0.0031651750657545</v>
      </c>
      <c r="AM227" s="171" t="n">
        <v>-0</v>
      </c>
      <c r="AN227" s="1" t="n">
        <v>0.0118266321634701</v>
      </c>
      <c r="AO227" s="1" t="n">
        <v>1.409983241273949e-14</v>
      </c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64" t="inlineStr">
        <is>
          <t>2021-11</t>
        </is>
      </c>
      <c r="B228" s="163" t="n">
        <v>0.0337478599013429</v>
      </c>
      <c r="C228" s="163" t="n">
        <v>0.0144982858816816</v>
      </c>
      <c r="D228" s="163" t="n">
        <v>0.0192495740196613</v>
      </c>
      <c r="E228" s="170" t="n">
        <v>3902.900999999997</v>
      </c>
      <c r="F228" s="170" t="n">
        <v>3828.490303119752</v>
      </c>
      <c r="G228" s="163" t="n">
        <v>0.0056651267225528</v>
      </c>
      <c r="H228" s="163" t="n">
        <v>0.0001328878620815</v>
      </c>
      <c r="I228" s="163" t="n">
        <v>0.0004182367180132</v>
      </c>
      <c r="J228" s="163" t="n">
        <v>0.0008621514765655</v>
      </c>
      <c r="K228" s="163" t="n">
        <v>-0.0001732966717941</v>
      </c>
      <c r="L228" s="163" t="n">
        <v>0.001637589602655</v>
      </c>
      <c r="M228" s="163" t="n">
        <v>0.0005728193373898</v>
      </c>
      <c r="N228" s="163" t="n">
        <v>0.0076594003585145</v>
      </c>
      <c r="O228" s="163" t="n">
        <v>-0.0002872398797392</v>
      </c>
      <c r="P228" s="163" t="n">
        <v>-0.0027446958967622</v>
      </c>
      <c r="Q228" s="163" t="n">
        <v>0.0002005464831321</v>
      </c>
      <c r="R228" s="163" t="n">
        <v>-0.000210448967761</v>
      </c>
      <c r="S228" s="163" t="n">
        <v>-0.0025006416858594</v>
      </c>
      <c r="T228" s="163" t="n">
        <v>-0.0034607374349012</v>
      </c>
      <c r="U228" s="163" t="n">
        <v>0.0019462249636201</v>
      </c>
      <c r="V228" s="171" t="n">
        <v>29.72184919600319</v>
      </c>
      <c r="W228" s="171" t="n">
        <v>0.0137679052744808</v>
      </c>
      <c r="X228" s="171" t="n">
        <v>-47.98010313096461</v>
      </c>
      <c r="Y228" s="171" t="n">
        <v>-16.12986606752554</v>
      </c>
      <c r="Z228" s="171" t="n">
        <v>57.54081165709994</v>
      </c>
      <c r="AA228" s="171" t="n">
        <v>-0.0242565175434111</v>
      </c>
      <c r="AB228" s="171" t="n">
        <v>-23.14322333595865</v>
      </c>
      <c r="AC228" s="171" t="n">
        <v>-0.0007716388428885</v>
      </c>
      <c r="AD228" s="171" t="n">
        <v>0.0002795001525672</v>
      </c>
      <c r="AE228" s="171" t="n">
        <v>0.0016394203509922</v>
      </c>
      <c r="AF228" s="171" t="n">
        <v>-0.0049088769293607</v>
      </c>
      <c r="AG228" s="171" t="n">
        <v>0.0004373756301567</v>
      </c>
      <c r="AH228" s="171" t="n">
        <v>0.0074932768084562</v>
      </c>
      <c r="AI228" s="171" t="n">
        <v>0.003380431776897</v>
      </c>
      <c r="AJ228" s="171" t="n">
        <v>0.000321630338874</v>
      </c>
      <c r="AK228" s="171" t="n">
        <v>-0.0039136953618288</v>
      </c>
      <c r="AL228" s="171" t="n">
        <v>0.0018432325846996</v>
      </c>
      <c r="AM228" s="171" t="n">
        <v>-0</v>
      </c>
      <c r="AN228" s="1" t="n">
        <v>0.0144982858816818</v>
      </c>
      <c r="AO228" s="1" t="n">
        <v>-1.994931997373328e-16</v>
      </c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64" t="inlineStr">
        <is>
          <t>2021-12</t>
        </is>
      </c>
      <c r="B229" s="163" t="n">
        <v>0.0153148896782688</v>
      </c>
      <c r="C229" s="163" t="n">
        <v>0.0281667065726757</v>
      </c>
      <c r="D229" s="163" t="n">
        <v>-0.0128518168944068</v>
      </c>
      <c r="E229" s="170" t="n">
        <v>3963.133548387098</v>
      </c>
      <c r="F229" s="170" t="n">
        <v>4014.395715496059</v>
      </c>
      <c r="G229" s="163" t="n">
        <v>0.0056651267225528</v>
      </c>
      <c r="H229" s="163" t="n">
        <v>-0.000117075799467</v>
      </c>
      <c r="I229" s="163" t="n">
        <v>0.005077917787463</v>
      </c>
      <c r="J229" s="163" t="n">
        <v>0.0016668261880268</v>
      </c>
      <c r="K229" s="163" t="n">
        <v>-4.8150483230388e-05</v>
      </c>
      <c r="L229" s="163" t="n">
        <v>0.0014294870291826</v>
      </c>
      <c r="M229" s="163" t="n">
        <v>0.0023756495775562</v>
      </c>
      <c r="N229" s="163" t="n">
        <v>0.007875362173035701</v>
      </c>
      <c r="O229" s="163" t="n">
        <v>0.0010542349290033</v>
      </c>
      <c r="P229" s="163" t="n">
        <v>0.0110670367153458</v>
      </c>
      <c r="Q229" s="163" t="n">
        <v>-0.0004048191770656</v>
      </c>
      <c r="R229" s="163" t="n">
        <v>-7.96803250591049e-06</v>
      </c>
      <c r="S229" s="163" t="n">
        <v>-0.0033218477324168</v>
      </c>
      <c r="T229" s="163" t="n">
        <v>-0.0051595526307597</v>
      </c>
      <c r="U229" s="163" t="n">
        <v>0.008844967141677601</v>
      </c>
      <c r="V229" s="171" t="n">
        <v>-18.09546199415895</v>
      </c>
      <c r="W229" s="171" t="n">
        <v>-0.0254315668704861</v>
      </c>
      <c r="X229" s="171" t="n">
        <v>-71.45088951104688</v>
      </c>
      <c r="Y229" s="171" t="n">
        <v>-66.27271058179002</v>
      </c>
      <c r="Z229" s="171" t="n">
        <v>110.7193235134813</v>
      </c>
      <c r="AA229" s="171" t="n">
        <v>0.0238387947781372</v>
      </c>
      <c r="AB229" s="171" t="n">
        <v>45.09214206025923</v>
      </c>
      <c r="AC229" s="171" t="n">
        <v>-0.0005195845215742</v>
      </c>
      <c r="AD229" s="171" t="n">
        <v>0.0004012182367503</v>
      </c>
      <c r="AE229" s="171" t="n">
        <v>0.0008079202486721</v>
      </c>
      <c r="AF229" s="171" t="n">
        <v>-0.0027128630871139</v>
      </c>
      <c r="AG229" s="171" t="n">
        <v>0.0012830527198262</v>
      </c>
      <c r="AH229" s="171" t="n">
        <v>-0.0032445511372491</v>
      </c>
      <c r="AI229" s="171" t="n">
        <v>0.002286549672483</v>
      </c>
      <c r="AJ229" s="171" t="n">
        <v>0.0002778109390483</v>
      </c>
      <c r="AK229" s="171" t="n">
        <v>0.001679823236736</v>
      </c>
      <c r="AL229" s="171" t="n">
        <v>0.0010994212043909</v>
      </c>
      <c r="AM229" s="171" t="n">
        <v>-0</v>
      </c>
      <c r="AN229" s="1" t="n">
        <v>0.0281667065726772</v>
      </c>
      <c r="AO229" s="1" t="n">
        <v>-1.498801083243961e-15</v>
      </c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64" t="inlineStr">
        <is>
          <t>2022-01</t>
        </is>
      </c>
      <c r="B230" s="163" t="n">
        <v>0.009163376321476201</v>
      </c>
      <c r="C230" s="163" t="n">
        <v>-0.0345792538418699</v>
      </c>
      <c r="D230" s="163" t="n">
        <v>0.0437426301633461</v>
      </c>
      <c r="E230" s="170" t="n">
        <v>3999.616129032256</v>
      </c>
      <c r="F230" s="170" t="n">
        <v>3828.433679615833</v>
      </c>
      <c r="G230" s="163" t="n">
        <v>0.0056651267225528</v>
      </c>
      <c r="H230" s="163" t="n">
        <v>0.0010687467179597</v>
      </c>
      <c r="I230" s="163" t="n">
        <v>0.0037509527855495</v>
      </c>
      <c r="J230" s="163" t="n">
        <v>0.0007249488759938</v>
      </c>
      <c r="K230" s="163" t="n">
        <v>-4.022617601308994e-05</v>
      </c>
      <c r="L230" s="163" t="n">
        <v>-0.0013458958678727</v>
      </c>
      <c r="M230" s="163" t="n">
        <v>0.0013589473744523</v>
      </c>
      <c r="N230" s="163" t="n">
        <v>0.0023824840429298</v>
      </c>
      <c r="O230" s="163" t="n">
        <v>-0.0001914323182647</v>
      </c>
      <c r="P230" s="163" t="n">
        <v>-0.0137906099890193</v>
      </c>
      <c r="Q230" s="163" t="n">
        <v>0.0002231723570102</v>
      </c>
      <c r="R230" s="163" t="n">
        <v>-0.0007303684273018</v>
      </c>
      <c r="S230" s="163" t="n">
        <v>0.0057003941554778</v>
      </c>
      <c r="T230" s="163" t="n">
        <v>-0.0116448553121585</v>
      </c>
      <c r="U230" s="163" t="n">
        <v>-0.0237764361260379</v>
      </c>
      <c r="V230" s="171" t="n">
        <v>-87.93151927235246</v>
      </c>
      <c r="W230" s="171" t="n">
        <v>-0.0254901537014414</v>
      </c>
      <c r="X230" s="171" t="n">
        <v>-124.831350570172</v>
      </c>
      <c r="Y230" s="171" t="n">
        <v>209.6882588778329</v>
      </c>
      <c r="Z230" s="171" t="n">
        <v>0.6231856858169912</v>
      </c>
      <c r="AA230" s="171" t="n">
        <v>-0.0048931779179151</v>
      </c>
      <c r="AB230" s="171" t="n">
        <v>2.480039241433601</v>
      </c>
      <c r="AC230" s="171" t="n">
        <v>0.0006627317571994</v>
      </c>
      <c r="AD230" s="171" t="n">
        <v>0.0001892461418453</v>
      </c>
      <c r="AE230" s="171" t="n">
        <v>-0.0002432448060518</v>
      </c>
      <c r="AF230" s="171" t="n">
        <v>0.0012123330213705</v>
      </c>
      <c r="AG230" s="171" t="n">
        <v>-0.0022252858786797</v>
      </c>
      <c r="AH230" s="171" t="n">
        <v>-0.0048996549435892</v>
      </c>
      <c r="AI230" s="171" t="n">
        <v>-0.0014710321048289</v>
      </c>
      <c r="AJ230" s="171" t="n">
        <v>0.0001918248590707</v>
      </c>
      <c r="AK230" s="171" t="n">
        <v>0.0022338721250928</v>
      </c>
      <c r="AL230" s="171" t="n">
        <v>0.0021843762318209</v>
      </c>
      <c r="AM230" s="171" t="n">
        <v>-0</v>
      </c>
      <c r="AN230" s="1" t="n">
        <v>-0.0345792538418778</v>
      </c>
      <c r="AO230" s="1" t="n">
        <v>7.903400156550333e-15</v>
      </c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64" t="inlineStr">
        <is>
          <t>2022-02</t>
        </is>
      </c>
      <c r="B231" s="163" t="n">
        <v>-0.0160751497105344</v>
      </c>
      <c r="C231" s="163" t="n">
        <v>-0.0198704924998409</v>
      </c>
      <c r="D231" s="163" t="n">
        <v>0.0037953427893064</v>
      </c>
      <c r="E231" s="170" t="n">
        <v>3935.835714285713</v>
      </c>
      <c r="F231" s="170" t="n">
        <v>3920.926179881737</v>
      </c>
      <c r="G231" s="163" t="n">
        <v>0.0056651267225528</v>
      </c>
      <c r="H231" s="163" t="n">
        <v>-0.0001412782300441</v>
      </c>
      <c r="I231" s="163" t="n">
        <v>0.0026596518868677</v>
      </c>
      <c r="J231" s="163" t="n">
        <v>0.0011680761940566</v>
      </c>
      <c r="K231" s="163" t="n">
        <v>0.00021567492787</v>
      </c>
      <c r="L231" s="163" t="n">
        <v>-6.959891213430627e-05</v>
      </c>
      <c r="M231" s="163" t="n">
        <v>0.0017393339142653</v>
      </c>
      <c r="N231" s="163" t="n">
        <v>0.0045448141329432</v>
      </c>
      <c r="O231" s="163" t="n">
        <v>0.0012831908501652</v>
      </c>
      <c r="P231" s="163" t="n">
        <v>0.0043996606316727</v>
      </c>
      <c r="Q231" s="163" t="n">
        <v>-1.940560623181183e-05</v>
      </c>
      <c r="R231" s="163" t="n">
        <v>-0.0010362355941006</v>
      </c>
      <c r="S231" s="163" t="n">
        <v>-0.0028185712945939</v>
      </c>
      <c r="T231" s="163" t="n">
        <v>-0.011456179631116</v>
      </c>
      <c r="U231" s="163" t="n">
        <v>-0.019111329685082</v>
      </c>
      <c r="V231" s="171" t="n">
        <v>-46.24491105288897</v>
      </c>
      <c r="W231" s="171" t="n">
        <v>-0.0194850035285295</v>
      </c>
      <c r="X231" s="171" t="n">
        <v>-188.9128285700213</v>
      </c>
      <c r="Y231" s="171" t="n">
        <v>119.3680218849362</v>
      </c>
      <c r="Z231" s="171" t="n">
        <v>118.2195709708504</v>
      </c>
      <c r="AA231" s="171" t="n">
        <v>-0.00750981783144</v>
      </c>
      <c r="AB231" s="171" t="n">
        <v>-2.397180787514701</v>
      </c>
      <c r="AC231" s="171" t="n">
        <v>0.0008351958439364</v>
      </c>
      <c r="AD231" s="171" t="n">
        <v>0.0005773828480533999</v>
      </c>
      <c r="AE231" s="171" t="n">
        <v>0.0018863882918305</v>
      </c>
      <c r="AF231" s="171" t="n">
        <v>-0.0037394161955829</v>
      </c>
      <c r="AG231" s="171" t="n">
        <v>-0.0016755741175599</v>
      </c>
      <c r="AH231" s="171" t="n">
        <v>-0.0095060507054002</v>
      </c>
      <c r="AI231" s="171" t="n">
        <v>0.0023634959671971</v>
      </c>
      <c r="AJ231" s="171" t="n">
        <v>0.0002622026533106</v>
      </c>
      <c r="AK231" s="171" t="n">
        <v>-0.0035746713943628</v>
      </c>
      <c r="AL231" s="171" t="n">
        <v>0</v>
      </c>
      <c r="AM231" s="171" t="n">
        <v>-0</v>
      </c>
      <c r="AN231" s="1" t="n">
        <v>-0.0198704924998459</v>
      </c>
      <c r="AO231" s="1" t="n">
        <v>4.999473057765158e-15</v>
      </c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64" t="inlineStr">
        <is>
          <t>2022-03</t>
        </is>
      </c>
      <c r="B232" s="163" t="n">
        <v>-0.0332368538859029</v>
      </c>
      <c r="C232" s="163" t="n">
        <v>-0.0182996024950395</v>
      </c>
      <c r="D232" s="163" t="n">
        <v>-0.0149372513908633</v>
      </c>
      <c r="E232" s="170" t="n">
        <v>3807.170967741936</v>
      </c>
      <c r="F232" s="170" t="n">
        <v>3864.466491075029</v>
      </c>
      <c r="G232" s="163" t="n">
        <v>0.0056651267225528</v>
      </c>
      <c r="H232" s="163" t="n">
        <v>0.0008299001815316</v>
      </c>
      <c r="I232" s="163" t="n">
        <v>0.0009303272281076</v>
      </c>
      <c r="J232" s="163" t="n">
        <v>0.0033373605544474</v>
      </c>
      <c r="K232" s="163" t="n">
        <v>1.170092576512779e-05</v>
      </c>
      <c r="L232" s="163" t="n">
        <v>0.0022639368726617</v>
      </c>
      <c r="M232" s="163" t="n">
        <v>0.0007667263577761</v>
      </c>
      <c r="N232" s="163" t="n">
        <v>-0.0019373720458729</v>
      </c>
      <c r="O232" s="163" t="n">
        <v>-8.28876738168452e-05</v>
      </c>
      <c r="P232" s="163" t="n">
        <v>0.0018747775155407</v>
      </c>
      <c r="Q232" s="163" t="n">
        <v>0.0001349085209463</v>
      </c>
      <c r="R232" s="163" t="n">
        <v>-0.0006824246508683</v>
      </c>
      <c r="S232" s="163" t="n">
        <v>-0.0037114593229842</v>
      </c>
      <c r="T232" s="163" t="n">
        <v>-0.0070289751511558</v>
      </c>
      <c r="U232" s="163" t="n">
        <v>-0.0114546214357461</v>
      </c>
      <c r="V232" s="171" t="n">
        <v>55.73189668664399</v>
      </c>
      <c r="W232" s="171" t="n">
        <v>0.0237071611460369</v>
      </c>
      <c r="X232" s="171" t="n">
        <v>-197.0341360696781</v>
      </c>
      <c r="Y232" s="171" t="n">
        <v>135.7854203475786</v>
      </c>
      <c r="Z232" s="171" t="n">
        <v>116.6129982728142</v>
      </c>
      <c r="AA232" s="171" t="n">
        <v>-0.0551863860606602</v>
      </c>
      <c r="AB232" s="171" t="n">
        <v>-111.0388998154767</v>
      </c>
      <c r="AC232" s="171" t="n">
        <v>-0.0022304958876947</v>
      </c>
      <c r="AD232" s="171" t="n">
        <v>0.0006784440840076</v>
      </c>
      <c r="AE232" s="171" t="n">
        <v>0.0023579853647882</v>
      </c>
      <c r="AF232" s="171" t="n">
        <v>-0.008133825673831601</v>
      </c>
      <c r="AG232" s="171" t="n">
        <v>-0.0027227087302665</v>
      </c>
      <c r="AH232" s="171" t="n">
        <v>-0.0275014092623058</v>
      </c>
      <c r="AI232" s="171" t="n">
        <v>0.0021318649888444</v>
      </c>
      <c r="AJ232" s="171" t="n">
        <v>0.0005150683727959</v>
      </c>
      <c r="AK232" s="171" t="n">
        <v>-0.0033527733817505</v>
      </c>
      <c r="AL232" s="171" t="n">
        <v>0.0032410260641904</v>
      </c>
      <c r="AM232" s="171" t="n">
        <v>-0</v>
      </c>
      <c r="AN232" s="1" t="n">
        <v>-0.0182996024950263</v>
      </c>
      <c r="AO232" s="1" t="n">
        <v>-1.32012456521835e-14</v>
      </c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64" t="inlineStr">
        <is>
          <t>2022-04</t>
        </is>
      </c>
      <c r="B233" s="163" t="n">
        <v>-0.0037338680647884</v>
      </c>
      <c r="C233" s="163" t="n">
        <v>-0.0047628375267705</v>
      </c>
      <c r="D233" s="163" t="n">
        <v>0.0010289694619821</v>
      </c>
      <c r="E233" s="170" t="n">
        <v>3792.981999999997</v>
      </c>
      <c r="F233" s="170" t="n">
        <v>3789.081144626854</v>
      </c>
      <c r="G233" s="163" t="n">
        <v>0.0056651267225528</v>
      </c>
      <c r="H233" s="163" t="n">
        <v>0.000480756664934</v>
      </c>
      <c r="I233" s="163" t="n">
        <v>-0.0013871705034644</v>
      </c>
      <c r="J233" s="163" t="n">
        <v>-0.0004138327087514</v>
      </c>
      <c r="K233" s="163" t="n">
        <v>-8.178201588530055e-05</v>
      </c>
      <c r="L233" s="163" t="n">
        <v>0.0015228106942058</v>
      </c>
      <c r="M233" s="163" t="n">
        <v>-0.0016754166942749</v>
      </c>
      <c r="N233" s="163" t="n">
        <v>-0.0055583623131479</v>
      </c>
      <c r="O233" s="163" t="n">
        <v>0.0011479667857536</v>
      </c>
      <c r="P233" s="163" t="n">
        <v>0.001594588301274</v>
      </c>
      <c r="Q233" s="163" t="n">
        <v>-0.000170982378897</v>
      </c>
      <c r="R233" s="163" t="n">
        <v>0.0002491560458372</v>
      </c>
      <c r="S233" s="163" t="n">
        <v>-0.0002380540699547</v>
      </c>
      <c r="T233" s="163" t="n">
        <v>-0.0087641746832218</v>
      </c>
      <c r="U233" s="163" t="n">
        <v>-0.0057056327527169</v>
      </c>
      <c r="V233" s="171" t="n">
        <v>-166.3840549472719</v>
      </c>
      <c r="W233" s="171" t="n">
        <v>-0.07457517712292221</v>
      </c>
      <c r="X233" s="171" t="n">
        <v>-261.0574563687626</v>
      </c>
      <c r="Y233" s="171" t="n">
        <v>434.5736567853738</v>
      </c>
      <c r="Z233" s="171" t="n">
        <v>3.639819862294976</v>
      </c>
      <c r="AA233" s="171" t="n">
        <v>0.0097403961183794</v>
      </c>
      <c r="AB233" s="171" t="n">
        <v>-10.70874087199666</v>
      </c>
      <c r="AC233" s="171" t="n">
        <v>0.0005168534841132</v>
      </c>
      <c r="AD233" s="171" t="n">
        <v>-0.0005025188732636</v>
      </c>
      <c r="AE233" s="171" t="n">
        <v>0.0007992329341703</v>
      </c>
      <c r="AF233" s="171" t="n">
        <v>-0.0002286522004942</v>
      </c>
      <c r="AG233" s="171" t="n">
        <v>0.0016542493602371</v>
      </c>
      <c r="AH233" s="171" t="n">
        <v>0.0082771184133898</v>
      </c>
      <c r="AI233" s="171" t="n">
        <v>0.0008364514860689</v>
      </c>
      <c r="AJ233" s="171" t="n">
        <v>0.0003650919133633</v>
      </c>
      <c r="AK233" s="171" t="n">
        <v>-0.0002799520076532</v>
      </c>
      <c r="AL233" s="171" t="n">
        <v>-0.0012553877639404</v>
      </c>
      <c r="AM233" s="171" t="n">
        <v>-0</v>
      </c>
      <c r="AN233" s="1" t="n">
        <v>-0.0047628375267515</v>
      </c>
      <c r="AO233" s="1" t="n">
        <v>-1.900042623237397e-14</v>
      </c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64" t="inlineStr">
        <is>
          <t>2022-05</t>
        </is>
      </c>
      <c r="B234" s="163" t="n">
        <v>0.057900343081906</v>
      </c>
      <c r="C234" s="163" t="n">
        <v>0.0393097206151446</v>
      </c>
      <c r="D234" s="163" t="n">
        <v>0.0185906224667614</v>
      </c>
      <c r="E234" s="170" t="n">
        <v>4019.079354838708</v>
      </c>
      <c r="F234" s="170" t="n">
        <v>3945.052403474809</v>
      </c>
      <c r="G234" s="163" t="n">
        <v>0.0056651267225528</v>
      </c>
      <c r="H234" s="163" t="n">
        <v>-0.0008953098741378</v>
      </c>
      <c r="I234" s="163" t="n">
        <v>0.0010326122189114</v>
      </c>
      <c r="J234" s="163" t="n">
        <v>0.0030002871384482</v>
      </c>
      <c r="K234" s="163" t="n">
        <v>4.893968599198852e-05</v>
      </c>
      <c r="L234" s="163" t="n">
        <v>0.0043208744418428</v>
      </c>
      <c r="M234" s="163" t="n">
        <v>0.0030560175959653</v>
      </c>
      <c r="N234" s="163" t="n">
        <v>0.0107179876698892</v>
      </c>
      <c r="O234" s="163" t="n">
        <v>0.0021849300737407</v>
      </c>
      <c r="P234" s="163" t="n">
        <v>0.0157241530437309</v>
      </c>
      <c r="Q234" s="163" t="n">
        <v>-0.0002113108107751</v>
      </c>
      <c r="R234" s="163" t="n">
        <v>0.0002411285641166</v>
      </c>
      <c r="S234" s="163" t="n">
        <v>-0.0003112974228771</v>
      </c>
      <c r="T234" s="163" t="n">
        <v>-0.0059220153406633</v>
      </c>
      <c r="U234" s="163" t="n">
        <v>0.0098898321102354</v>
      </c>
      <c r="V234" s="171" t="n">
        <v>-98.88916486728664</v>
      </c>
      <c r="W234" s="171" t="n">
        <v>-0.0376071797243219</v>
      </c>
      <c r="X234" s="171" t="n">
        <v>-32.68047370833764</v>
      </c>
      <c r="Y234" s="171" t="n">
        <v>105.6155578160589</v>
      </c>
      <c r="Z234" s="171" t="n">
        <v>-29.88341546341911</v>
      </c>
      <c r="AA234" s="171" t="n">
        <v>0.0294509869423917</v>
      </c>
      <c r="AB234" s="171" t="n">
        <v>55.83802637711606</v>
      </c>
      <c r="AC234" s="171" t="n">
        <v>-9.935774381874988e-05</v>
      </c>
      <c r="AD234" s="171" t="n">
        <v>0.0020791425543097</v>
      </c>
      <c r="AE234" s="171" t="n">
        <v>0.0017387039452991</v>
      </c>
      <c r="AF234" s="171" t="n">
        <v>-0.0063808254700424</v>
      </c>
      <c r="AG234" s="171" t="n">
        <v>-0.001164008180497</v>
      </c>
      <c r="AH234" s="171" t="n">
        <v>0.0014401968744723</v>
      </c>
      <c r="AI234" s="171" t="n">
        <v>0.0006511014408604</v>
      </c>
      <c r="AJ234" s="171" t="n">
        <v>6.303751006167072e-05</v>
      </c>
      <c r="AK234" s="171" t="n">
        <v>0.000605780746715</v>
      </c>
      <c r="AL234" s="171" t="n">
        <v>-0.0005399682288084</v>
      </c>
      <c r="AM234" s="171" t="n">
        <v>-0</v>
      </c>
      <c r="AN234" s="1" t="n">
        <v>0.039309720615138</v>
      </c>
      <c r="AO234" s="1" t="n">
        <v>6.598888102615774e-15</v>
      </c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64" t="inlineStr">
        <is>
          <t>2022-06</t>
        </is>
      </c>
      <c r="B235" s="163" t="n">
        <v>-0.0222183727612481</v>
      </c>
      <c r="C235" s="163" t="n">
        <v>-0.0187968925347321</v>
      </c>
      <c r="D235" s="163" t="n">
        <v>-0.0034214802265159</v>
      </c>
      <c r="E235" s="170" t="n">
        <v>3930.766666666666</v>
      </c>
      <c r="F235" s="170" t="n">
        <v>3944.238741167373</v>
      </c>
      <c r="G235" s="163" t="n">
        <v>0.0056651267225528</v>
      </c>
      <c r="H235" s="163" t="n">
        <v>0.0024766624077571</v>
      </c>
      <c r="I235" s="163" t="n">
        <v>0.0018383835589489</v>
      </c>
      <c r="J235" s="163" t="n">
        <v>0.001819973955692</v>
      </c>
      <c r="K235" s="163" t="n">
        <v>1.101245494123966e-05</v>
      </c>
      <c r="L235" s="163" t="n">
        <v>0.000556616342692</v>
      </c>
      <c r="M235" s="163" t="n">
        <v>-0.0006218606978215</v>
      </c>
      <c r="N235" s="163" t="n">
        <v>0.0015789167536595</v>
      </c>
      <c r="O235" s="163" t="n">
        <v>-0.0006402599487281</v>
      </c>
      <c r="P235" s="163" t="n">
        <v>-0.0130281823154593</v>
      </c>
      <c r="Q235" s="163" t="n">
        <v>0.0002414416031852</v>
      </c>
      <c r="R235" s="163" t="n">
        <v>-0.0017171296635226</v>
      </c>
      <c r="S235" s="163" t="n">
        <v>0.0006675878161159</v>
      </c>
      <c r="T235" s="163" t="n">
        <v>-0.0036243757784413</v>
      </c>
      <c r="U235" s="163" t="n">
        <v>0.0033611908942426</v>
      </c>
      <c r="V235" s="171" t="n">
        <v>-90.36299516619474</v>
      </c>
      <c r="W235" s="171" t="n">
        <v>-0.0438936443305372</v>
      </c>
      <c r="X235" s="171" t="n">
        <v>-158.4506557337128</v>
      </c>
      <c r="Y235" s="171" t="n">
        <v>171.9794372060569</v>
      </c>
      <c r="Z235" s="171" t="n">
        <v>56.58152115806575</v>
      </c>
      <c r="AA235" s="171" t="n">
        <v>0.0136663773157214</v>
      </c>
      <c r="AB235" s="171" t="n">
        <v>20.27174932946004</v>
      </c>
      <c r="AC235" s="171" t="n">
        <v>0.0005145683303193</v>
      </c>
      <c r="AD235" s="171" t="n">
        <v>-0.0009983003307969</v>
      </c>
      <c r="AE235" s="171" t="n">
        <v>0.0022400860965488</v>
      </c>
      <c r="AF235" s="171" t="n">
        <v>-0.0048112233853996</v>
      </c>
      <c r="AG235" s="171" t="n">
        <v>-0.0011493623233158</v>
      </c>
      <c r="AH235" s="171" t="n">
        <v>-0.0038578165481114</v>
      </c>
      <c r="AI235" s="171" t="n">
        <v>-0.0005430371593134</v>
      </c>
      <c r="AJ235" s="171" t="n">
        <v>0.000223773134197</v>
      </c>
      <c r="AK235" s="171" t="n">
        <v>0.0018096799058487</v>
      </c>
      <c r="AL235" s="171" t="n">
        <v>0.000360108979104</v>
      </c>
      <c r="AM235" s="171" t="n">
        <v>-0</v>
      </c>
      <c r="AN235" s="1" t="n">
        <v>-0.0187968925347305</v>
      </c>
      <c r="AO235" s="1" t="n">
        <v>-1.60288449180257e-15</v>
      </c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64" t="inlineStr">
        <is>
          <t>2022-07</t>
        </is>
      </c>
      <c r="B236" s="163" t="n">
        <v>0.1054262917921775</v>
      </c>
      <c r="C236" s="163" t="n">
        <v>0.0620724695771053</v>
      </c>
      <c r="D236" s="163" t="n">
        <v>0.0433538222150722</v>
      </c>
      <c r="E236" s="170" t="n">
        <v>4367.805806451614</v>
      </c>
      <c r="F236" s="170" t="n">
        <v>4182.490811603205</v>
      </c>
      <c r="G236" s="163" t="n">
        <v>0.0056651267225528</v>
      </c>
      <c r="H236" s="163" t="n">
        <v>-0.0003584761307108</v>
      </c>
      <c r="I236" s="163" t="n">
        <v>0.0027192013528364</v>
      </c>
      <c r="J236" s="163" t="n">
        <v>-0.0014061412469405</v>
      </c>
      <c r="K236" s="163" t="n">
        <v>-2.689853242860249e-05</v>
      </c>
      <c r="L236" s="163" t="n">
        <v>0.004546093913522</v>
      </c>
      <c r="M236" s="163" t="n">
        <v>-0.0020170615944598</v>
      </c>
      <c r="N236" s="163" t="n">
        <v>0.0136526676093577</v>
      </c>
      <c r="O236" s="163" t="n">
        <v>0.0019240985319208</v>
      </c>
      <c r="P236" s="163" t="n">
        <v>0.0032407897618948</v>
      </c>
      <c r="Q236" s="163" t="n">
        <v>-0.0001123987220863</v>
      </c>
      <c r="R236" s="163" t="n">
        <v>0.0004320600698649</v>
      </c>
      <c r="S236" s="163" t="n">
        <v>0.0016272331813049</v>
      </c>
      <c r="T236" s="163" t="n">
        <v>-0.0056665749138276</v>
      </c>
      <c r="U236" s="163" t="n">
        <v>0.0362974470970787</v>
      </c>
      <c r="V236" s="171" t="n">
        <v>-2.368031177289259</v>
      </c>
      <c r="W236" s="171" t="n">
        <v>-0.0081370273066547</v>
      </c>
      <c r="X236" s="171" t="n">
        <v>-15.74412042132953</v>
      </c>
      <c r="Y236" s="171" t="n">
        <v>-173.4521641078745</v>
      </c>
      <c r="Z236" s="171" t="n">
        <v>118.5041591007068</v>
      </c>
      <c r="AA236" s="171" t="n">
        <v>0.0316437761283161</v>
      </c>
      <c r="AB236" s="171" t="n">
        <v>73.03544134737965</v>
      </c>
      <c r="AC236" s="171" t="n">
        <v>-0.0008307555857515</v>
      </c>
      <c r="AD236" s="171" t="n">
        <v>0.0002811417564</v>
      </c>
      <c r="AE236" s="171" t="n">
        <v>0.0003499746699317</v>
      </c>
      <c r="AF236" s="171" t="n">
        <v>0.0015981836097045</v>
      </c>
      <c r="AG236" s="171" t="n">
        <v>0.0013307052785137</v>
      </c>
      <c r="AH236" s="171" t="n">
        <v>0.0015527155878154</v>
      </c>
      <c r="AI236" s="171" t="n">
        <v>0.0015948251142661</v>
      </c>
      <c r="AJ236" s="171" t="n">
        <v>0.0002301793659719</v>
      </c>
      <c r="AK236" s="171" t="n">
        <v>-0.0011746450028952</v>
      </c>
      <c r="AL236" s="171" t="n">
        <v>-0.0021685127315897</v>
      </c>
      <c r="AM236" s="171" t="n">
        <v>-0</v>
      </c>
      <c r="AN236" s="1" t="n">
        <v>0.062072469577101</v>
      </c>
      <c r="AO236" s="1" t="n">
        <v>4.302114220422482e-15</v>
      </c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64" t="inlineStr">
        <is>
          <t>2022-08</t>
        </is>
      </c>
      <c r="B237" s="163" t="n">
        <v>-0.0104339303586975</v>
      </c>
      <c r="C237" s="163" t="n">
        <v>-0.0213363631823427</v>
      </c>
      <c r="D237" s="163" t="n">
        <v>0.0109024328236452</v>
      </c>
      <c r="E237" s="170" t="n">
        <v>4322.469354838713</v>
      </c>
      <c r="F237" s="170" t="n">
        <v>4275.599882952756</v>
      </c>
      <c r="G237" s="163" t="n">
        <v>0.0056651267225528</v>
      </c>
      <c r="H237" s="163" t="n">
        <v>-0.0023564573138548</v>
      </c>
      <c r="I237" s="163" t="n">
        <v>0.0032306122206526</v>
      </c>
      <c r="J237" s="163" t="n">
        <v>0.0035520640834502</v>
      </c>
      <c r="K237" s="163" t="n">
        <v>1.235899935848286e-05</v>
      </c>
      <c r="L237" s="163" t="n">
        <v>-0.000716195941122</v>
      </c>
      <c r="M237" s="163" t="n">
        <v>-0.0019864660798263</v>
      </c>
      <c r="N237" s="163" t="n">
        <v>-0.0104476038965379</v>
      </c>
      <c r="O237" s="163" t="n">
        <v>-0.0007685949333856</v>
      </c>
      <c r="P237" s="163" t="n">
        <v>6.557938032150998e-05</v>
      </c>
      <c r="Q237" s="163" t="n">
        <v>5.505876427769323e-05</v>
      </c>
      <c r="R237" s="163" t="n">
        <v>-0.0010812972380928</v>
      </c>
      <c r="S237" s="163" t="n">
        <v>-0.0032288493335667</v>
      </c>
      <c r="T237" s="163" t="n">
        <v>-0.0071945574631007</v>
      </c>
      <c r="U237" s="163" t="n">
        <v>-0.0192403335381546</v>
      </c>
      <c r="V237" s="171" t="n">
        <v>41.27764700600695</v>
      </c>
      <c r="W237" s="171" t="n">
        <v>0.0035661804002453</v>
      </c>
      <c r="X237" s="171" t="n">
        <v>-88.89819974048854</v>
      </c>
      <c r="Y237" s="171" t="n">
        <v>1.283376300155297</v>
      </c>
      <c r="Z237" s="171" t="n">
        <v>88.14919980168618</v>
      </c>
      <c r="AA237" s="171" t="n">
        <v>-0.010255144953827</v>
      </c>
      <c r="AB237" s="171" t="n">
        <v>-41.78923265576925</v>
      </c>
      <c r="AC237" s="171" t="n">
        <v>0.0010336140757958</v>
      </c>
      <c r="AD237" s="171" t="n">
        <v>-0.0017021550741325</v>
      </c>
      <c r="AE237" s="171" t="n">
        <v>-0.0012000904461843</v>
      </c>
      <c r="AF237" s="171" t="n">
        <v>0.0052137465300197</v>
      </c>
      <c r="AG237" s="171" t="n">
        <v>0.0015653817813626</v>
      </c>
      <c r="AH237" s="171" t="n">
        <v>-0.008842618771994999</v>
      </c>
      <c r="AI237" s="171" t="n">
        <v>-0.0012837584022526</v>
      </c>
      <c r="AJ237" s="171" t="n">
        <v>0.0002226382037293</v>
      </c>
      <c r="AK237" s="171" t="n">
        <v>0.0007274261979555</v>
      </c>
      <c r="AL237" s="171" t="n">
        <v>0.001267261253317</v>
      </c>
      <c r="AM237" s="171" t="n">
        <v>-0</v>
      </c>
      <c r="AN237" s="1" t="n">
        <v>-0.0213363631823479</v>
      </c>
      <c r="AO237" s="1" t="n">
        <v>5.200700980978468e-15</v>
      </c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64" t="inlineStr">
        <is>
          <t>2022-09</t>
        </is>
      </c>
      <c r="B238" s="163" t="n">
        <v>0.0253965492622327</v>
      </c>
      <c r="C238" s="163" t="n">
        <v>0.0234153532610028</v>
      </c>
      <c r="D238" s="163" t="n">
        <v>0.0019811960012299</v>
      </c>
      <c r="E238" s="170" t="n">
        <v>4433.650999999996</v>
      </c>
      <c r="F238" s="170" t="n">
        <v>4424.875763969547</v>
      </c>
      <c r="G238" s="163" t="n">
        <v>0.0056651267225528</v>
      </c>
      <c r="H238" s="163" t="n">
        <v>0.0009085232134889</v>
      </c>
      <c r="I238" s="163" t="n">
        <v>0.0005412840210881</v>
      </c>
      <c r="J238" s="163" t="n">
        <v>0.002931315020323</v>
      </c>
      <c r="K238" s="163" t="n">
        <v>-0.0001211832109843</v>
      </c>
      <c r="L238" s="163" t="n">
        <v>0.0053526182276042</v>
      </c>
      <c r="M238" s="163" t="n">
        <v>0.0034723136007966</v>
      </c>
      <c r="N238" s="163" t="n">
        <v>0.0065463261577814</v>
      </c>
      <c r="O238" s="163" t="n">
        <v>0.0015266938564897</v>
      </c>
      <c r="P238" s="163" t="n">
        <v>-0.0039198285329428</v>
      </c>
      <c r="Q238" s="163" t="n">
        <v>-0.0001339431086716</v>
      </c>
      <c r="R238" s="163" t="n">
        <v>0.0007681573549781</v>
      </c>
      <c r="S238" s="163" t="n">
        <v>-0.0021989668805417</v>
      </c>
      <c r="T238" s="163" t="n">
        <v>-0.0065457291602333</v>
      </c>
      <c r="U238" s="163" t="n">
        <v>0.0061613624477982</v>
      </c>
      <c r="V238" s="171" t="n">
        <v>-213.5129052267305</v>
      </c>
      <c r="W238" s="171" t="n">
        <v>-0.0881450589087744</v>
      </c>
      <c r="X238" s="171" t="n">
        <v>-252.0180880213186</v>
      </c>
      <c r="Y238" s="171" t="n">
        <v>435.66066949862</v>
      </c>
      <c r="Z238" s="171" t="n">
        <v>-6.046978438043969</v>
      </c>
      <c r="AA238" s="171" t="n">
        <v>0.0238408374322461</v>
      </c>
      <c r="AB238" s="171" t="n">
        <v>35.96628337691946</v>
      </c>
      <c r="AC238" s="171" t="n">
        <v>-0.0002437868949868</v>
      </c>
      <c r="AD238" s="171" t="n">
        <v>0.0010846384323761</v>
      </c>
      <c r="AE238" s="171" t="n">
        <v>0.0020638577166541</v>
      </c>
      <c r="AF238" s="171" t="n">
        <v>-0.0038799420271366</v>
      </c>
      <c r="AG238" s="171" t="n">
        <v>0.0016262753796953</v>
      </c>
      <c r="AH238" s="171" t="n">
        <v>0.0158745070140548</v>
      </c>
      <c r="AI238" s="171" t="n">
        <v>0.0013617231038086</v>
      </c>
      <c r="AJ238" s="171" t="n">
        <v>0.0001180508269909</v>
      </c>
      <c r="AK238" s="171" t="n">
        <v>-0.0011222594681771</v>
      </c>
      <c r="AL238" s="171" t="n">
        <v>0.0009012514782726</v>
      </c>
      <c r="AM238" s="171" t="n">
        <v>-0</v>
      </c>
      <c r="AN238" s="1" t="n">
        <v>0.0234153532609396</v>
      </c>
      <c r="AO238" s="1" t="n">
        <v>6.319944567678704e-14</v>
      </c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64" t="inlineStr">
        <is>
          <t>2022-10</t>
        </is>
      </c>
      <c r="B239" s="163" t="n">
        <v>0.0608530379339402</v>
      </c>
      <c r="C239" s="163" t="n">
        <v>0.0482252811828322</v>
      </c>
      <c r="D239" s="163" t="n">
        <v>0.0126277567511079</v>
      </c>
      <c r="E239" s="170" t="n">
        <v>4711.830322580648</v>
      </c>
      <c r="F239" s="170" t="n">
        <v>4652.704573882502</v>
      </c>
      <c r="G239" s="163" t="n">
        <v>0.0056651267225528</v>
      </c>
      <c r="H239" s="163" t="n">
        <v>-0.0002355354527504</v>
      </c>
      <c r="I239" s="163" t="n">
        <v>0.0014665902932873</v>
      </c>
      <c r="J239" s="163" t="n">
        <v>-0.0006782258282316</v>
      </c>
      <c r="K239" s="163" t="n">
        <v>1.652315426684996e-05</v>
      </c>
      <c r="L239" s="163" t="n">
        <v>0.0030177561929818</v>
      </c>
      <c r="M239" s="163" t="n">
        <v>0.0015394730645484</v>
      </c>
      <c r="N239" s="163" t="n">
        <v>0.013071626244011</v>
      </c>
      <c r="O239" s="163" t="n">
        <v>0.0027563265495928</v>
      </c>
      <c r="P239" s="163" t="n">
        <v>-0.001967635510821</v>
      </c>
      <c r="Q239" s="163" t="n">
        <v>-4.201536213583437e-05</v>
      </c>
      <c r="R239" s="163" t="n">
        <v>-0.0022469117480802</v>
      </c>
      <c r="S239" s="163" t="n">
        <v>0.0023584625815328</v>
      </c>
      <c r="T239" s="163" t="n">
        <v>-0.0050559173296624</v>
      </c>
      <c r="U239" s="163" t="n">
        <v>0.009839293486871899</v>
      </c>
      <c r="V239" s="171" t="n">
        <v>-129.555825923309</v>
      </c>
      <c r="W239" s="171" t="n">
        <v>-0.0450444849799346</v>
      </c>
      <c r="X239" s="171" t="n">
        <v>-215.3205788387264</v>
      </c>
      <c r="Y239" s="171" t="n">
        <v>325.7180997853159</v>
      </c>
      <c r="Z239" s="171" t="n">
        <v>22.38524529166936</v>
      </c>
      <c r="AA239" s="171" t="n">
        <v>-0.0020446967630277</v>
      </c>
      <c r="AB239" s="171" t="n">
        <v>-3.177193129578527</v>
      </c>
      <c r="AC239" s="171" t="n">
        <v>-0.0002865917270284</v>
      </c>
      <c r="AD239" s="171" t="n">
        <v>0.0001758910106642</v>
      </c>
      <c r="AE239" s="171" t="n">
        <v>0.0011256277504541</v>
      </c>
      <c r="AF239" s="171" t="n">
        <v>-0.0043729733344523</v>
      </c>
      <c r="AG239" s="171" t="n">
        <v>-0.0005636919306332</v>
      </c>
      <c r="AH239" s="171" t="n">
        <v>0.0233330690578795</v>
      </c>
      <c r="AI239" s="171" t="n">
        <v>-0.0014576796595697</v>
      </c>
      <c r="AJ239" s="171" t="n">
        <v>0.0002356338107742</v>
      </c>
      <c r="AK239" s="171" t="n">
        <v>0.0002231335707405</v>
      </c>
      <c r="AL239" s="171" t="n">
        <v>-0.0023500780524013</v>
      </c>
      <c r="AM239" s="171" t="n">
        <v>-0</v>
      </c>
      <c r="AN239" s="1" t="n">
        <v>0.0482252811828079</v>
      </c>
      <c r="AO239" s="1" t="n">
        <v>2.430000645148311e-14</v>
      </c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64" t="inlineStr">
        <is>
          <t>2022-11</t>
        </is>
      </c>
      <c r="B240" s="163" t="n">
        <v>0.044584972927387</v>
      </c>
      <c r="C240" s="163" t="n">
        <v>-0.0131851356767947</v>
      </c>
      <c r="D240" s="163" t="n">
        <v>0.0577701086041818</v>
      </c>
      <c r="E240" s="170" t="n">
        <v>4926.660666666665</v>
      </c>
      <c r="F240" s="170" t="n">
        <v>4650.111977002129</v>
      </c>
      <c r="G240" s="163" t="n">
        <v>0.0056651267225528</v>
      </c>
      <c r="H240" s="163" t="n">
        <v>-9.139340281554056e-05</v>
      </c>
      <c r="I240" s="163" t="n">
        <v>0.0048800618483149</v>
      </c>
      <c r="J240" s="163" t="n">
        <v>0.0016516226566121</v>
      </c>
      <c r="K240" s="163" t="n">
        <v>5.704404618012437e-05</v>
      </c>
      <c r="L240" s="163" t="n">
        <v>-0.0042172593964783</v>
      </c>
      <c r="M240" s="163" t="n">
        <v>-0.0041889185350374</v>
      </c>
      <c r="N240" s="163" t="n">
        <v>-0.0150421143525781</v>
      </c>
      <c r="O240" s="163" t="n">
        <v>-0.0002269080668284</v>
      </c>
      <c r="P240" s="163" t="n">
        <v>0.0073979764771195</v>
      </c>
      <c r="Q240" s="163" t="n">
        <v>0.0001679257310056</v>
      </c>
      <c r="R240" s="163" t="n">
        <v>-0.0009486413076643</v>
      </c>
      <c r="S240" s="163" t="n">
        <v>0.005320269938437</v>
      </c>
      <c r="T240" s="163" t="n">
        <v>-0.0054178156809106</v>
      </c>
      <c r="U240" s="163" t="n">
        <v>-0.0192450185079055</v>
      </c>
      <c r="V240" s="171" t="n">
        <v>20.00509080500217</v>
      </c>
      <c r="W240" s="171" t="n">
        <v>0.0094227153119674</v>
      </c>
      <c r="X240" s="171" t="n">
        <v>-53.38046105912506</v>
      </c>
      <c r="Y240" s="171" t="n">
        <v>-64.8701135324398</v>
      </c>
      <c r="Z240" s="171" t="n">
        <v>91.81602437703324</v>
      </c>
      <c r="AA240" s="171" t="n">
        <v>0.0026554503415944</v>
      </c>
      <c r="AB240" s="171" t="n">
        <v>6.428673148877396</v>
      </c>
      <c r="AC240" s="171" t="n">
        <v>-0.0008353258933393</v>
      </c>
      <c r="AD240" s="171" t="n">
        <v>-0.000989664810635</v>
      </c>
      <c r="AE240" s="171" t="n">
        <v>-0.0014582277913821</v>
      </c>
      <c r="AF240" s="171" t="n">
        <v>0.0052994911052051</v>
      </c>
      <c r="AG240" s="171" t="n">
        <v>0.0003001065679764</v>
      </c>
      <c r="AH240" s="171" t="n">
        <v>-0.0005895873485</v>
      </c>
      <c r="AI240" s="171" t="n">
        <v>0.0004494568861831</v>
      </c>
      <c r="AJ240" s="171" t="n">
        <v>8.993097511541124e-05</v>
      </c>
      <c r="AK240" s="171" t="n">
        <v>0.0017078120538196</v>
      </c>
      <c r="AL240" s="171" t="n">
        <v>-0.0042129905927332</v>
      </c>
      <c r="AM240" s="171" t="n">
        <v>-0</v>
      </c>
      <c r="AN240" s="1" t="n">
        <v>-0.0131851356767758</v>
      </c>
      <c r="AO240" s="1" t="n">
        <v>-1.890154699424329e-14</v>
      </c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64" t="inlineStr">
        <is>
          <t>2022-12</t>
        </is>
      </c>
      <c r="B241" s="163" t="n">
        <v>-0.0284461526168442</v>
      </c>
      <c r="C241" s="163" t="n">
        <v>-0.0324601099423352</v>
      </c>
      <c r="D241" s="163" t="n">
        <v>0.0040139573254909</v>
      </c>
      <c r="E241" s="170" t="n">
        <v>4788.490645161287</v>
      </c>
      <c r="F241" s="170" t="n">
        <v>4769.308372225741</v>
      </c>
      <c r="G241" s="163" t="n">
        <v>0.0056651267225528</v>
      </c>
      <c r="H241" s="163" t="n">
        <v>-0.0005669330992197</v>
      </c>
      <c r="I241" s="163" t="n">
        <v>-9.629212655277238e-05</v>
      </c>
      <c r="J241" s="163" t="n">
        <v>0.0009233364200637</v>
      </c>
      <c r="K241" s="163" t="n">
        <v>6.556599169949241e-05</v>
      </c>
      <c r="L241" s="163" t="n">
        <v>-0.0042912489839966</v>
      </c>
      <c r="M241" s="163" t="n">
        <v>-0.0011131680955568</v>
      </c>
      <c r="N241" s="163" t="n">
        <v>-0.0097134958685135</v>
      </c>
      <c r="O241" s="163" t="n">
        <v>-0.0025251174808458</v>
      </c>
      <c r="P241" s="163" t="n">
        <v>-0.0056383956415719</v>
      </c>
      <c r="Q241" s="163" t="n">
        <v>0.0002158662260143</v>
      </c>
      <c r="R241" s="163" t="n">
        <v>0.0004830821685047</v>
      </c>
      <c r="S241" s="163" t="n">
        <v>-0.0040554825560272</v>
      </c>
      <c r="T241" s="163" t="n">
        <v>-0.008863649711197401</v>
      </c>
      <c r="U241" s="163" t="n">
        <v>-0.0122069843516065</v>
      </c>
      <c r="V241" s="171" t="n">
        <v>46.67759258830002</v>
      </c>
      <c r="W241" s="171" t="n">
        <v>0.0159531940691112</v>
      </c>
      <c r="X241" s="171" t="n">
        <v>89.28453303842612</v>
      </c>
      <c r="Y241" s="171" t="n">
        <v>-192.723847565944</v>
      </c>
      <c r="Z241" s="171" t="n">
        <v>24.87798803493721</v>
      </c>
      <c r="AA241" s="171" t="n">
        <v>0.0130556237371547</v>
      </c>
      <c r="AB241" s="171" t="n">
        <v>31.85193256163786</v>
      </c>
      <c r="AC241" s="171" t="n">
        <v>0.0013057331621296</v>
      </c>
      <c r="AD241" s="171" t="n">
        <v>0.000983748196821</v>
      </c>
      <c r="AE241" s="171" t="n">
        <v>-0.0009134090676232</v>
      </c>
      <c r="AF241" s="171" t="n">
        <v>0.0018649445102811</v>
      </c>
      <c r="AG241" s="171" t="n">
        <v>0.0017633649906259</v>
      </c>
      <c r="AH241" s="171" t="n">
        <v>-0.0019879820561053</v>
      </c>
      <c r="AI241" s="171" t="n">
        <v>0.001072495560736</v>
      </c>
      <c r="AJ241" s="171" t="n">
        <v>-6.914548044852365e-06</v>
      </c>
      <c r="AK241" s="171" t="n">
        <v>0.0068622882172445</v>
      </c>
      <c r="AL241" s="171" t="n">
        <v>0.0011059363143954</v>
      </c>
      <c r="AM241" s="171" t="n">
        <v>-0</v>
      </c>
      <c r="AN241" s="1" t="n">
        <v>-0.032460109942348</v>
      </c>
      <c r="AO241" s="1" t="n">
        <v>1.280225925270884e-14</v>
      </c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64" t="inlineStr">
        <is>
          <t>2023-01</t>
        </is>
      </c>
      <c r="B242" s="163" t="n">
        <v>-0.0154231024162747</v>
      </c>
      <c r="C242" s="163" t="n">
        <v>-0.0260457008215099</v>
      </c>
      <c r="D242" s="163" t="n">
        <v>0.0106225984052352</v>
      </c>
      <c r="E242" s="170" t="n">
        <v>4715.203870967738</v>
      </c>
      <c r="F242" s="170" t="n">
        <v>4665.38124521627</v>
      </c>
      <c r="G242" s="163" t="n">
        <v>0.0056651267225528</v>
      </c>
      <c r="H242" s="163" t="n">
        <v>-0.0001509699992527</v>
      </c>
      <c r="I242" s="163" t="n">
        <v>0.0003779902510113</v>
      </c>
      <c r="J242" s="163" t="n">
        <v>0.0003426356835899</v>
      </c>
      <c r="K242" s="163" t="n">
        <v>-4.175390708445173e-07</v>
      </c>
      <c r="L242" s="163" t="n">
        <v>-0.0040558529254404</v>
      </c>
      <c r="M242" s="163" t="n">
        <v>-0.0012756798254789</v>
      </c>
      <c r="N242" s="163" t="n">
        <v>-0.0032209901774654</v>
      </c>
      <c r="O242" s="163" t="n">
        <v>-0.0011978055768023</v>
      </c>
      <c r="P242" s="163" t="n">
        <v>-0.0070892780652948</v>
      </c>
      <c r="Q242" s="163" t="n">
        <v>1.214929056340047e-05</v>
      </c>
      <c r="R242" s="163" t="n">
        <v>0.0002745594480007</v>
      </c>
      <c r="S242" s="163" t="n">
        <v>-0.0016972056877417</v>
      </c>
      <c r="T242" s="163" t="n">
        <v>-0.0124569157898369</v>
      </c>
      <c r="U242" s="163" t="n">
        <v>-0.0146346398079399</v>
      </c>
      <c r="V242" s="171" t="n">
        <v>17.76737850495693</v>
      </c>
      <c r="W242" s="171" t="n">
        <v>0.0037710390191521</v>
      </c>
      <c r="X242" s="171" t="n">
        <v>33.67746286430581</v>
      </c>
      <c r="Y242" s="171" t="n">
        <v>-59.3929720547281</v>
      </c>
      <c r="Z242" s="171" t="n">
        <v>1.50353933131442</v>
      </c>
      <c r="AA242" s="171" t="n">
        <v>0.008443310759215899</v>
      </c>
      <c r="AB242" s="171" t="n">
        <v>6.434387525009768</v>
      </c>
      <c r="AC242" s="171" t="n">
        <v>0.0003872871218484</v>
      </c>
      <c r="AD242" s="171" t="n">
        <v>-0.0012656423549777</v>
      </c>
      <c r="AE242" s="171" t="n">
        <v>-0.0019782256165644</v>
      </c>
      <c r="AF242" s="171" t="n">
        <v>0.0046135345037223</v>
      </c>
      <c r="AG242" s="171" t="n">
        <v>-0.0002792465799832</v>
      </c>
      <c r="AH242" s="171" t="n">
        <v>0.0103918474424121</v>
      </c>
      <c r="AI242" s="171" t="n">
        <v>-0.0013363760890792</v>
      </c>
      <c r="AJ242" s="171" t="n">
        <v>5.530137661943996e-05</v>
      </c>
      <c r="AK242" s="171" t="n">
        <v>-0.0042737997393771</v>
      </c>
      <c r="AL242" s="171" t="n">
        <v>0.0047363924752772</v>
      </c>
      <c r="AM242" s="171" t="n">
        <v>-0</v>
      </c>
      <c r="AN242" s="1" t="n">
        <v>-0.0260457008215038</v>
      </c>
      <c r="AO242" s="1" t="n">
        <v>-6.099287741534454e-15</v>
      </c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64" t="inlineStr">
        <is>
          <t>2023-02</t>
        </is>
      </c>
      <c r="B243" s="163" t="n">
        <v>0.0184719913129782</v>
      </c>
      <c r="C243" s="163" t="n">
        <v>0.0078382426766785</v>
      </c>
      <c r="D243" s="163" t="n">
        <v>0.0106337486362997</v>
      </c>
      <c r="E243" s="170" t="n">
        <v>4803.112499999996</v>
      </c>
      <c r="F243" s="170" t="n">
        <v>4752.308008829876</v>
      </c>
      <c r="G243" s="163" t="n">
        <v>0.0056651267225528</v>
      </c>
      <c r="H243" s="163" t="n">
        <v>0.0002003449301889</v>
      </c>
      <c r="I243" s="163" t="n">
        <v>0.0025037050110024</v>
      </c>
      <c r="J243" s="163" t="n">
        <v>0.0013761050019505</v>
      </c>
      <c r="K243" s="163" t="n">
        <v>5.347131499613457e-05</v>
      </c>
      <c r="L243" s="163" t="n">
        <v>0.000840342707945</v>
      </c>
      <c r="M243" s="163" t="n">
        <v>-3.990548935209463e-05</v>
      </c>
      <c r="N243" s="163" t="n">
        <v>0.0039371868169254</v>
      </c>
      <c r="O243" s="163" t="n">
        <v>-0.0020811105618282</v>
      </c>
      <c r="P243" s="163" t="n">
        <v>0.0048296620925403</v>
      </c>
      <c r="Q243" s="163" t="n">
        <v>-5.265006308758699e-05</v>
      </c>
      <c r="R243" s="163" t="n">
        <v>-0.0005694991440735</v>
      </c>
      <c r="S243" s="163" t="n">
        <v>-0.000152586134118</v>
      </c>
      <c r="T243" s="163" t="n">
        <v>-0.0116450402601121</v>
      </c>
      <c r="U243" s="163" t="n">
        <v>-0.0085155985578559</v>
      </c>
      <c r="V243" s="171" t="n">
        <v>-33.91148678459365</v>
      </c>
      <c r="W243" s="171" t="n">
        <v>-0.008422833396998</v>
      </c>
      <c r="X243" s="171" t="n">
        <v>-135.499134539031</v>
      </c>
      <c r="Y243" s="171" t="n">
        <v>151.0176243035204</v>
      </c>
      <c r="Z243" s="171" t="n">
        <v>46.05009852488288</v>
      </c>
      <c r="AA243" s="171" t="n">
        <v>-0.0217379250271142</v>
      </c>
      <c r="AB243" s="171" t="n">
        <v>-27.6232942237097</v>
      </c>
      <c r="AC243" s="171" t="n">
        <v>-0.0004236452192032</v>
      </c>
      <c r="AD243" s="171" t="n">
        <v>-0.0003414022970942</v>
      </c>
      <c r="AE243" s="171" t="n">
        <v>-0.0005088284208227001</v>
      </c>
      <c r="AF243" s="171" t="n">
        <v>0.001333804502883</v>
      </c>
      <c r="AG243" s="171" t="n">
        <v>-1.465032007801064e-05</v>
      </c>
      <c r="AH243" s="171" t="n">
        <v>0.0075315141459888</v>
      </c>
      <c r="AI243" s="171" t="n">
        <v>-0.0008878244534221001</v>
      </c>
      <c r="AJ243" s="171" t="n">
        <v>-3.455934087241474e-05</v>
      </c>
      <c r="AK243" s="171" t="n">
        <v>-0.0007892760130426</v>
      </c>
      <c r="AL243" s="171" t="n">
        <v>0.0019770330597883</v>
      </c>
      <c r="AM243" s="171" t="n">
        <v>-0</v>
      </c>
      <c r="AN243" s="1" t="n">
        <v>0.0078382426766912</v>
      </c>
      <c r="AO243" s="1" t="n">
        <v>-1.26999105676262e-14</v>
      </c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64" t="inlineStr">
        <is>
          <t>2023-03</t>
        </is>
      </c>
      <c r="B244" s="163" t="n">
        <v>-0.0076926044773202</v>
      </c>
      <c r="C244" s="163" t="n">
        <v>0.008952631773150701</v>
      </c>
      <c r="D244" s="163" t="n">
        <v>-0.0166452362504709</v>
      </c>
      <c r="E244" s="170" t="n">
        <v>4766.305806451614</v>
      </c>
      <c r="F244" s="170" t="n">
        <v>4846.306057088103</v>
      </c>
      <c r="G244" s="163" t="n">
        <v>0.0056651267225528</v>
      </c>
      <c r="H244" s="163" t="n">
        <v>-0.0007863635251992999</v>
      </c>
      <c r="I244" s="163" t="n">
        <v>0.0037897279782944</v>
      </c>
      <c r="J244" s="163" t="n">
        <v>0.0015919209844714</v>
      </c>
      <c r="K244" s="163" t="n">
        <v>-3.533169360419898e-06</v>
      </c>
      <c r="L244" s="163" t="n">
        <v>0.0007334879538586</v>
      </c>
      <c r="M244" s="163" t="n">
        <v>0.0012088722629707</v>
      </c>
      <c r="N244" s="163" t="n">
        <v>0.0075749011796698</v>
      </c>
      <c r="O244" s="163" t="n">
        <v>0.0016440533502483</v>
      </c>
      <c r="P244" s="163" t="n">
        <v>0.0113736213971103</v>
      </c>
      <c r="Q244" s="163" t="n">
        <v>-0.0004587359642274</v>
      </c>
      <c r="R244" s="163" t="n">
        <v>0.0005107035223228</v>
      </c>
      <c r="S244" s="163" t="n">
        <v>-0.0007602061628802</v>
      </c>
      <c r="T244" s="163" t="n">
        <v>-0.0073899102516131</v>
      </c>
      <c r="U244" s="163" t="n">
        <v>-0.0063543006805137</v>
      </c>
      <c r="V244" s="171" t="n">
        <v>14.94380283133659</v>
      </c>
      <c r="W244" s="171" t="n">
        <v>0.0048441544728155</v>
      </c>
      <c r="X244" s="171" t="n">
        <v>95.98928511231196</v>
      </c>
      <c r="Y244" s="171" t="n">
        <v>-58.76881636776729</v>
      </c>
      <c r="Z244" s="171" t="n">
        <v>-61.18727883337702</v>
      </c>
      <c r="AA244" s="171" t="n">
        <v>0.0070481780028244</v>
      </c>
      <c r="AB244" s="171" t="n">
        <v>9.002999596494641</v>
      </c>
      <c r="AC244" s="171" t="n">
        <v>-0.0013181807478361</v>
      </c>
      <c r="AD244" s="171" t="n">
        <v>0.0019981567652269</v>
      </c>
      <c r="AE244" s="171" t="n">
        <v>0.0028295824377458</v>
      </c>
      <c r="AF244" s="171" t="n">
        <v>-0.0079385185859095</v>
      </c>
      <c r="AG244" s="171" t="n">
        <v>0.0007459191012513</v>
      </c>
      <c r="AH244" s="171" t="n">
        <v>0.0061311452485962</v>
      </c>
      <c r="AI244" s="171" t="n">
        <v>0.0008599879997461</v>
      </c>
      <c r="AJ244" s="171" t="n">
        <v>-6.915889144373861e-05</v>
      </c>
      <c r="AK244" s="171" t="n">
        <v>-0.0021721512781048</v>
      </c>
      <c r="AL244" s="171" t="n">
        <v>-0.0023381873483417</v>
      </c>
      <c r="AM244" s="171" t="n">
        <v>-0</v>
      </c>
      <c r="AN244" s="1" t="n">
        <v>0.0089526317731504</v>
      </c>
      <c r="AO244" s="1" t="n">
        <v>3.001071613439876e-16</v>
      </c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64" t="inlineStr">
        <is>
          <t>2023-04</t>
        </is>
      </c>
      <c r="B245" s="163" t="n">
        <v>-0.04805564196079</v>
      </c>
      <c r="C245" s="163" t="n">
        <v>-0.0122665631881406</v>
      </c>
      <c r="D245" s="163" t="n">
        <v>-0.0357890787726493</v>
      </c>
      <c r="E245" s="170" t="n">
        <v>4542.674333333336</v>
      </c>
      <c r="F245" s="170" t="n">
        <v>4708.196742982691</v>
      </c>
      <c r="G245" s="163" t="n">
        <v>0.0056651267225528</v>
      </c>
      <c r="H245" s="163" t="n">
        <v>0.0001713072142041</v>
      </c>
      <c r="I245" s="163" t="n">
        <v>0.0025002461747585</v>
      </c>
      <c r="J245" s="163" t="n">
        <v>-0.0002480771345472</v>
      </c>
      <c r="K245" s="163" t="n">
        <v>2.0926391311787e-05</v>
      </c>
      <c r="L245" s="163" t="n">
        <v>-0.0025307435699765</v>
      </c>
      <c r="M245" s="163" t="n">
        <v>-0.0032213521462891</v>
      </c>
      <c r="N245" s="163" t="n">
        <v>-0.0026284707738052</v>
      </c>
      <c r="O245" s="163" t="n">
        <v>-0.0024393871172448</v>
      </c>
      <c r="P245" s="163" t="n">
        <v>-0.0023228800802753</v>
      </c>
      <c r="Q245" s="163" t="n">
        <v>0.0003223881289249</v>
      </c>
      <c r="R245" s="163" t="n">
        <v>0.0003258515191999</v>
      </c>
      <c r="S245" s="163" t="n">
        <v>0.004436282011397</v>
      </c>
      <c r="T245" s="163" t="n">
        <v>-0.0055054960996434</v>
      </c>
      <c r="U245" s="163" t="n">
        <v>-0.0090435063858597</v>
      </c>
      <c r="V245" s="171" t="n">
        <v>47.83217211476016</v>
      </c>
      <c r="W245" s="171" t="n">
        <v>0.0211547282107537</v>
      </c>
      <c r="X245" s="171" t="n">
        <v>119.0612758300065</v>
      </c>
      <c r="Y245" s="171" t="n">
        <v>-142.3916524500174</v>
      </c>
      <c r="Z245" s="171" t="n">
        <v>-34.71767455686327</v>
      </c>
      <c r="AA245" s="171" t="n">
        <v>0.0071319268212901</v>
      </c>
      <c r="AB245" s="171" t="n">
        <v>10.19158983202021</v>
      </c>
      <c r="AC245" s="171" t="n">
        <v>0.0010573945380411</v>
      </c>
      <c r="AD245" s="171" t="n">
        <v>-0.0016992480673453</v>
      </c>
      <c r="AE245" s="171" t="n">
        <v>0.0003164664568531</v>
      </c>
      <c r="AF245" s="171" t="n">
        <v>0.0028176620123405</v>
      </c>
      <c r="AG245" s="171" t="n">
        <v>-0.0011011653827604</v>
      </c>
      <c r="AH245" s="171" t="n">
        <v>-0.0024262450351941</v>
      </c>
      <c r="AI245" s="171" t="n">
        <v>0.001899668228913</v>
      </c>
      <c r="AJ245" s="171" t="n">
        <v>-2.767858295345399e-05</v>
      </c>
      <c r="AK245" s="171" t="n">
        <v>-0.0013348732405394</v>
      </c>
      <c r="AL245" s="171" t="n">
        <v>-0.001268183908386</v>
      </c>
      <c r="AM245" s="171" t="n">
        <v>-0</v>
      </c>
      <c r="AN245" s="1" t="n">
        <v>-0.0122665631881257</v>
      </c>
      <c r="AO245" s="1" t="n">
        <v>-1.48995399351648e-14</v>
      </c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64" t="inlineStr">
        <is>
          <t>2023-05</t>
        </is>
      </c>
      <c r="B246" s="163" t="n">
        <v>-0.0005692763404763</v>
      </c>
      <c r="C246" s="163" t="n">
        <v>0.0116700874018684</v>
      </c>
      <c r="D246" s="163" t="n">
        <v>-0.0122393637423447</v>
      </c>
      <c r="E246" s="170" t="n">
        <v>4540.089032258067</v>
      </c>
      <c r="F246" s="170" t="n">
        <v>4595.99828222848</v>
      </c>
      <c r="G246" s="163" t="n">
        <v>0.0056651267225528</v>
      </c>
      <c r="H246" s="163" t="n">
        <v>-0.0002872689355854</v>
      </c>
      <c r="I246" s="163" t="n">
        <v>-0.0003620777368423</v>
      </c>
      <c r="J246" s="163" t="n">
        <v>0.0002135910754846</v>
      </c>
      <c r="K246" s="163" t="n">
        <v>4.66616595531279e-05</v>
      </c>
      <c r="L246" s="163" t="n">
        <v>0.0006511315409068</v>
      </c>
      <c r="M246" s="163" t="n">
        <v>-0.0001698275489248</v>
      </c>
      <c r="N246" s="163" t="n">
        <v>0.0029426065592289</v>
      </c>
      <c r="O246" s="163" t="n">
        <v>-0.000233657883552</v>
      </c>
      <c r="P246" s="163" t="n">
        <v>-0.0006350868047365</v>
      </c>
      <c r="Q246" s="163" t="n">
        <v>-2.236494621597095e-05</v>
      </c>
      <c r="R246" s="163" t="n">
        <v>0.0006488441718199</v>
      </c>
      <c r="S246" s="163" t="n">
        <v>-0.0027050096941595</v>
      </c>
      <c r="T246" s="163" t="n">
        <v>-0.0030814200066724</v>
      </c>
      <c r="U246" s="163" t="n">
        <v>-0.0127105838222886</v>
      </c>
      <c r="V246" s="171" t="n">
        <v>-47.58353741475515</v>
      </c>
      <c r="W246" s="171" t="n">
        <v>-0.0202036686549137</v>
      </c>
      <c r="X246" s="171" t="n">
        <v>-48.11303501842713</v>
      </c>
      <c r="Y246" s="171" t="n">
        <v>79.69556434407014</v>
      </c>
      <c r="Z246" s="171" t="n">
        <v>0.90652744430171</v>
      </c>
      <c r="AA246" s="171" t="n">
        <v>0.0155803442157784</v>
      </c>
      <c r="AB246" s="171" t="n">
        <v>15.10309611776275</v>
      </c>
      <c r="AC246" s="171" t="n">
        <v>0.0008227668367159</v>
      </c>
      <c r="AD246" s="171" t="n">
        <v>-8.233669223684741e-05</v>
      </c>
      <c r="AE246" s="171" t="n">
        <v>-0.0009183732473385</v>
      </c>
      <c r="AF246" s="171" t="n">
        <v>0.0029296063188324</v>
      </c>
      <c r="AG246" s="171" t="n">
        <v>0.0016592168852996</v>
      </c>
      <c r="AH246" s="171" t="n">
        <v>0.0138884997951352</v>
      </c>
      <c r="AI246" s="171" t="n">
        <v>-0.0021535910014696</v>
      </c>
      <c r="AJ246" s="171" t="n">
        <v>-0.0001038712744362</v>
      </c>
      <c r="AK246" s="171" t="n">
        <v>0.0018570548162535</v>
      </c>
      <c r="AL246" s="171" t="n">
        <v>-0.0001816978986407</v>
      </c>
      <c r="AM246" s="171" t="n">
        <v>-0</v>
      </c>
      <c r="AN246" s="1" t="n">
        <v>0.011670087401854</v>
      </c>
      <c r="AO246" s="1" t="n">
        <v>1.439993957408348e-14</v>
      </c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64" t="inlineStr">
        <is>
          <t>2023-06</t>
        </is>
      </c>
      <c r="B247" s="163" t="n">
        <v>-0.07565786164762039</v>
      </c>
      <c r="C247" s="163" t="n">
        <v>-0.0225254594354454</v>
      </c>
      <c r="D247" s="163" t="n">
        <v>-0.053132402212175</v>
      </c>
      <c r="E247" s="170" t="n">
        <v>4209.267999999998</v>
      </c>
      <c r="F247" s="170" t="n">
        <v>4438.964653285542</v>
      </c>
      <c r="G247" s="163" t="n">
        <v>0.0056651267225528</v>
      </c>
      <c r="H247" s="163" t="n">
        <v>-0.0003683420626142</v>
      </c>
      <c r="I247" s="163" t="n">
        <v>0.0007212969240821</v>
      </c>
      <c r="J247" s="163" t="n">
        <v>4.116078017152417e-05</v>
      </c>
      <c r="K247" s="163" t="n">
        <v>2.463401487034128e-05</v>
      </c>
      <c r="L247" s="163" t="n">
        <v>-0.0005631868800639</v>
      </c>
      <c r="M247" s="163" t="n">
        <v>-0.0038194788924281</v>
      </c>
      <c r="N247" s="163" t="n">
        <v>-0.0128240991703318</v>
      </c>
      <c r="O247" s="163" t="n">
        <v>0.0013030375673528</v>
      </c>
      <c r="P247" s="163" t="n">
        <v>-0.0010701551372997</v>
      </c>
      <c r="Q247" s="163" t="n">
        <v>-0.0002340218338469</v>
      </c>
      <c r="R247" s="163" t="n">
        <v>0.0002248987965225</v>
      </c>
      <c r="S247" s="163" t="n">
        <v>-0.0047109670515699</v>
      </c>
      <c r="T247" s="163" t="n">
        <v>-0.0021173200927193</v>
      </c>
      <c r="U247" s="163" t="n">
        <v>-0.0116140200453816</v>
      </c>
      <c r="V247" s="171" t="n">
        <v>-53.61935909763574</v>
      </c>
      <c r="W247" s="171" t="n">
        <v>-0.0365279126534082</v>
      </c>
      <c r="X247" s="171" t="n">
        <v>-210.9047477020842</v>
      </c>
      <c r="Y247" s="171" t="n">
        <v>122.348540614805</v>
      </c>
      <c r="Z247" s="171" t="n">
        <v>138.4498401609647</v>
      </c>
      <c r="AA247" s="171" t="n">
        <v>0.0016269739977538</v>
      </c>
      <c r="AB247" s="171" t="n">
        <v>3.760059495076631</v>
      </c>
      <c r="AC247" s="171" t="n">
        <v>-0.0002043261904485</v>
      </c>
      <c r="AD247" s="171" t="n">
        <v>-0.0007113274607826</v>
      </c>
      <c r="AE247" s="171" t="n">
        <v>-0.0003412873554298</v>
      </c>
      <c r="AF247" s="171" t="n">
        <v>-5.954484387870788e-05</v>
      </c>
      <c r="AG247" s="171" t="n">
        <v>0.0001206644025837</v>
      </c>
      <c r="AH247" s="171" t="n">
        <v>0.003317155270223</v>
      </c>
      <c r="AI247" s="171" t="n">
        <v>0.0003757921246259</v>
      </c>
      <c r="AJ247" s="171" t="n">
        <v>4.156303102055472e-05</v>
      </c>
      <c r="AK247" s="171" t="n">
        <v>0.0046630575779524</v>
      </c>
      <c r="AL247" s="171" t="n">
        <v>0.0001816978986407</v>
      </c>
      <c r="AM247" s="171" t="n">
        <v>-0</v>
      </c>
      <c r="AN247" s="1" t="n">
        <v>-0.0225254594354177</v>
      </c>
      <c r="AO247" s="1" t="n">
        <v>-2.770006446439766e-14</v>
      </c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64" t="inlineStr">
        <is>
          <t>2023-07</t>
        </is>
      </c>
      <c r="B248" s="163" t="n">
        <v>-0.0338340964719225</v>
      </c>
      <c r="C248" s="163" t="n">
        <v>-0.0159432267720075</v>
      </c>
      <c r="D248" s="163" t="n">
        <v>-0.017890869699915</v>
      </c>
      <c r="E248" s="170" t="n">
        <v>4069.233548387099</v>
      </c>
      <c r="F248" s="170" t="n">
        <v>4142.69082348886</v>
      </c>
      <c r="G248" s="163" t="n">
        <v>0.0056651267225528</v>
      </c>
      <c r="H248" s="163" t="n">
        <v>-6.963519221807332e-06</v>
      </c>
      <c r="I248" s="163" t="n">
        <v>-0.0007617469003993</v>
      </c>
      <c r="J248" s="163" t="n">
        <v>-4.116078017152417e-05</v>
      </c>
      <c r="K248" s="163" t="n">
        <v>5.785053816185098e-05</v>
      </c>
      <c r="L248" s="163" t="n">
        <v>-0.0021288512946669</v>
      </c>
      <c r="M248" s="163" t="n">
        <v>-8.393420088422158e-05</v>
      </c>
      <c r="N248" s="163" t="n">
        <v>-0.0073893304071266</v>
      </c>
      <c r="O248" s="163" t="n">
        <v>-0.0005478588461534</v>
      </c>
      <c r="P248" s="163" t="n">
        <v>-0.000570712884647</v>
      </c>
      <c r="Q248" s="163" t="n">
        <v>0.0001486987278121</v>
      </c>
      <c r="R248" s="163" t="n">
        <v>0.0008612600795727</v>
      </c>
      <c r="S248" s="163" t="n">
        <v>0.0061842005385242</v>
      </c>
      <c r="T248" s="163" t="n">
        <v>-0.0035323684256402</v>
      </c>
      <c r="U248" s="163" t="n">
        <v>-0.0068129315145159</v>
      </c>
      <c r="V248" s="171" t="n">
        <v>-15.8268846968717</v>
      </c>
      <c r="W248" s="171" t="n">
        <v>-0.0121079450640824</v>
      </c>
      <c r="X248" s="171" t="n">
        <v>-78.50458778952111</v>
      </c>
      <c r="Y248" s="171" t="n">
        <v>106.1765966357991</v>
      </c>
      <c r="Z248" s="171" t="n">
        <v>15.60913960121954</v>
      </c>
      <c r="AA248" s="171" t="n">
        <v>-0.0069429813162151</v>
      </c>
      <c r="AB248" s="171" t="n">
        <v>-27.43471981134253</v>
      </c>
      <c r="AC248" s="171" t="n">
        <v>0.0005540476133438</v>
      </c>
      <c r="AD248" s="171" t="n">
        <v>-0.0004198401802282</v>
      </c>
      <c r="AE248" s="171" t="n">
        <v>-0.0009493993705594</v>
      </c>
      <c r="AF248" s="171" t="n">
        <v>0.0014409852218647</v>
      </c>
      <c r="AG248" s="171" t="n">
        <v>-0.0009841562259203999</v>
      </c>
      <c r="AH248" s="171" t="n">
        <v>-0.0041100553930963</v>
      </c>
      <c r="AI248" s="171" t="n">
        <v>0.0003495398593705</v>
      </c>
      <c r="AJ248" s="171" t="n">
        <v>-9.007773276390429e-05</v>
      </c>
      <c r="AK248" s="171" t="n">
        <v>-0.0045367452086392</v>
      </c>
      <c r="AL248" s="171" t="n">
        <v>0.001268183908386</v>
      </c>
      <c r="AM248" s="171" t="n">
        <v>-0</v>
      </c>
      <c r="AN248" s="1" t="n">
        <v>-0.0159432267720059</v>
      </c>
      <c r="AO248" s="1" t="n">
        <v>-1.599415044850616e-15</v>
      </c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64" t="inlineStr">
        <is>
          <t>2023-08</t>
        </is>
      </c>
      <c r="B249" s="163" t="n">
        <v>0.0003664915199497</v>
      </c>
      <c r="C249" s="163" t="n">
        <v>0.009042887702798</v>
      </c>
      <c r="D249" s="163" t="n">
        <v>-0.0086763961828483</v>
      </c>
      <c r="E249" s="170" t="n">
        <v>4070.725161290321</v>
      </c>
      <c r="F249" s="170" t="n">
        <v>4106.198051432934</v>
      </c>
      <c r="G249" s="163" t="n">
        <v>0.0056651267225528</v>
      </c>
      <c r="H249" s="163" t="n">
        <v>0.0008948173444919</v>
      </c>
      <c r="I249" s="163" t="n">
        <v>-0.0025770038266096</v>
      </c>
      <c r="J249" s="163" t="n">
        <v>-0.0001379442362504</v>
      </c>
      <c r="K249" s="163" t="n">
        <v>4.484958517411528e-05</v>
      </c>
      <c r="L249" s="163" t="n">
        <v>0.0030760175277808</v>
      </c>
      <c r="M249" s="163" t="n">
        <v>0.0021393980804237</v>
      </c>
      <c r="N249" s="163" t="n">
        <v>-0.0045066403062713</v>
      </c>
      <c r="O249" s="163" t="n">
        <v>-0.0011211027775254</v>
      </c>
      <c r="P249" s="163" t="n">
        <v>-0.0035152856841039</v>
      </c>
      <c r="Q249" s="163" t="n">
        <v>2.785427142241353e-05</v>
      </c>
      <c r="R249" s="163" t="n">
        <v>0.000544663231421</v>
      </c>
      <c r="S249" s="163" t="n">
        <v>-0.0031660963960187</v>
      </c>
      <c r="T249" s="163" t="n">
        <v>-0.004926300727679</v>
      </c>
      <c r="U249" s="163" t="n">
        <v>0.0178659267294405</v>
      </c>
      <c r="V249" s="171" t="n">
        <v>-65.61955571052209</v>
      </c>
      <c r="W249" s="171" t="n">
        <v>-0.0129828417396807</v>
      </c>
      <c r="X249" s="171" t="n">
        <v>-30.42478574295981</v>
      </c>
      <c r="Y249" s="171" t="n">
        <v>188.17943312605</v>
      </c>
      <c r="Z249" s="171" t="n">
        <v>-81.05028392598318</v>
      </c>
      <c r="AA249" s="171" t="n">
        <v>-0.0032753958636513</v>
      </c>
      <c r="AB249" s="171" t="n">
        <v>-11.0630321922015</v>
      </c>
      <c r="AC249" s="171" t="n">
        <v>0.0003084771836885</v>
      </c>
      <c r="AD249" s="171" t="n">
        <v>0.0002193935122323</v>
      </c>
      <c r="AE249" s="171" t="n">
        <v>-0.0014830486899589</v>
      </c>
      <c r="AF249" s="171" t="n">
        <v>0.0013695314092103</v>
      </c>
      <c r="AG249" s="171" t="n">
        <v>-0.001051416085866</v>
      </c>
      <c r="AH249" s="171" t="n">
        <v>-0.0035486783495193</v>
      </c>
      <c r="AI249" s="171" t="n">
        <v>-0.0018940104131252</v>
      </c>
      <c r="AJ249" s="171" t="n">
        <v>-6.932826988515691e-06</v>
      </c>
      <c r="AK249" s="171" t="n">
        <v>0.0003905942323796</v>
      </c>
      <c r="AL249" s="171" t="n">
        <v>-0.0010866185875744</v>
      </c>
      <c r="AM249" s="171" t="n">
        <v>-0</v>
      </c>
      <c r="AN249" s="1" t="n">
        <v>0.009042887702766801</v>
      </c>
      <c r="AO249" s="1" t="n">
        <v>3.119900171544288e-14</v>
      </c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64" t="inlineStr">
        <is>
          <t>2023-09</t>
        </is>
      </c>
      <c r="B250" s="163" t="n">
        <v>-0.0163972662619258</v>
      </c>
      <c r="C250" s="163" t="n">
        <v>0.0057943579298261</v>
      </c>
      <c r="D250" s="163" t="n">
        <v>-0.022191624191752</v>
      </c>
      <c r="E250" s="170" t="n">
        <v>4004.52066666667</v>
      </c>
      <c r="F250" s="170" t="n">
        <v>4094.380868540392</v>
      </c>
      <c r="G250" s="163" t="n">
        <v>0.0056651267225528</v>
      </c>
      <c r="H250" s="163" t="n">
        <v>6.356026457540504e-05</v>
      </c>
      <c r="I250" s="163" t="n">
        <v>0.0023862564300343</v>
      </c>
      <c r="J250" s="163" t="n">
        <v>-0.000724207240315</v>
      </c>
      <c r="K250" s="163" t="n">
        <v>3.61999109677699e-05</v>
      </c>
      <c r="L250" s="163" t="n">
        <v>0.0030000249301975</v>
      </c>
      <c r="M250" s="163" t="n">
        <v>-0.0007265446618306</v>
      </c>
      <c r="N250" s="163" t="n">
        <v>0.0016880483414528</v>
      </c>
      <c r="O250" s="163" t="n">
        <v>0.0006862105758094</v>
      </c>
      <c r="P250" s="163" t="n">
        <v>0.0001341553338466</v>
      </c>
      <c r="Q250" s="163" t="n">
        <v>-0.0002073636840195</v>
      </c>
      <c r="R250" s="163" t="n">
        <v>2.767921203306264e-05</v>
      </c>
      <c r="S250" s="163" t="n">
        <v>-0.0002022332256345</v>
      </c>
      <c r="T250" s="163" t="n">
        <v>-0.0037502594874009</v>
      </c>
      <c r="U250" s="163" t="n">
        <v>0.0104253263191098</v>
      </c>
      <c r="V250" s="171" t="n">
        <v>-58.41200728049125</v>
      </c>
      <c r="W250" s="171" t="n">
        <v>-0.0162617513788088</v>
      </c>
      <c r="X250" s="171" t="n">
        <v>-49.95746495696802</v>
      </c>
      <c r="Y250" s="171" t="n">
        <v>148.0932094556248</v>
      </c>
      <c r="Z250" s="171" t="n">
        <v>-37.77045350311866</v>
      </c>
      <c r="AA250" s="171" t="n">
        <v>-0.0014227085868619</v>
      </c>
      <c r="AB250" s="171" t="n">
        <v>-1.937173508861727</v>
      </c>
      <c r="AC250" s="171" t="n">
        <v>-0.0004652052926741</v>
      </c>
      <c r="AD250" s="171" t="n">
        <v>1.008902355550157e-05</v>
      </c>
      <c r="AE250" s="171" t="n">
        <v>-0.0002879224234899</v>
      </c>
      <c r="AF250" s="171" t="n">
        <v>-0.0008383914018122</v>
      </c>
      <c r="AG250" s="171" t="n">
        <v>-0.0012190330600032</v>
      </c>
      <c r="AH250" s="171" t="n">
        <v>-0.0074432424780065</v>
      </c>
      <c r="AI250" s="171" t="n">
        <v>-0.0006460094066514</v>
      </c>
      <c r="AJ250" s="171" t="n">
        <v>7.623146595392529e-05</v>
      </c>
      <c r="AK250" s="171" t="n">
        <v>-0.0010448238231583</v>
      </c>
      <c r="AL250" s="171" t="n">
        <v>0.0007249393652772001</v>
      </c>
      <c r="AM250" s="171" t="n">
        <v>-0</v>
      </c>
      <c r="AN250" s="1" t="n">
        <v>0.0057943579298192</v>
      </c>
      <c r="AO250" s="1" t="n">
        <v>6.89986262569775e-15</v>
      </c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64" t="inlineStr">
        <is>
          <t>2023-10</t>
        </is>
      </c>
      <c r="B251" s="163" t="n">
        <v>0.0529876660456061</v>
      </c>
      <c r="C251" s="163" t="n">
        <v>0.0520649999688565</v>
      </c>
      <c r="D251" s="163" t="n">
        <v>0.0009226660767496</v>
      </c>
      <c r="E251" s="170" t="n">
        <v>4222.433225806451</v>
      </c>
      <c r="F251" s="170" t="n">
        <v>4218.539126660506</v>
      </c>
      <c r="G251" s="163" t="n">
        <v>0.0056651267225528</v>
      </c>
      <c r="H251" s="163" t="n">
        <v>-0.0001518743157507</v>
      </c>
      <c r="I251" s="163" t="n">
        <v>0.0025992103237795</v>
      </c>
      <c r="J251" s="163" t="n">
        <v>0</v>
      </c>
      <c r="K251" s="163" t="n">
        <v>-4.031522998190927e-05</v>
      </c>
      <c r="L251" s="163" t="n">
        <v>0.0030586057858794</v>
      </c>
      <c r="M251" s="163" t="n">
        <v>0.0036259113354648</v>
      </c>
      <c r="N251" s="163" t="n">
        <v>0.0045111907247415</v>
      </c>
      <c r="O251" s="163" t="n">
        <v>0.0015589048955775</v>
      </c>
      <c r="P251" s="163" t="n">
        <v>-0.0019711182233096</v>
      </c>
      <c r="Q251" s="163" t="n">
        <v>2.338775008055567e-05</v>
      </c>
      <c r="R251" s="163" t="n">
        <v>-0.0006239661766941</v>
      </c>
      <c r="S251" s="163" t="n">
        <v>0.0030680359957143</v>
      </c>
      <c r="T251" s="163" t="n">
        <v>-0.001764065309257</v>
      </c>
      <c r="U251" s="163" t="n">
        <v>0.0238688038751809</v>
      </c>
      <c r="V251" s="171" t="n">
        <v>-107.1415506113616</v>
      </c>
      <c r="W251" s="171" t="n">
        <v>-0.022348923115058</v>
      </c>
      <c r="X251" s="171" t="n">
        <v>-18.95110220636004</v>
      </c>
      <c r="Y251" s="171" t="n">
        <v>293.9142116913038</v>
      </c>
      <c r="Z251" s="171" t="n">
        <v>-155.1632647974519</v>
      </c>
      <c r="AA251" s="171" t="n">
        <v>-0.0057704978576957</v>
      </c>
      <c r="AB251" s="171" t="n">
        <v>-12.62591406439521</v>
      </c>
      <c r="AC251" s="171" t="n">
        <v>0.0001807315130644</v>
      </c>
      <c r="AD251" s="171" t="n">
        <v>0.0008793695531214</v>
      </c>
      <c r="AE251" s="171" t="n">
        <v>0.000982907583638</v>
      </c>
      <c r="AF251" s="171" t="n">
        <v>-0.0015910382284391</v>
      </c>
      <c r="AG251" s="171" t="n">
        <v>0.0004907764675905</v>
      </c>
      <c r="AH251" s="171" t="n">
        <v>0.0007144520387342</v>
      </c>
      <c r="AI251" s="171" t="n">
        <v>-0.000574268302462</v>
      </c>
      <c r="AJ251" s="171" t="n">
        <v>-0.0002427812304977</v>
      </c>
      <c r="AK251" s="171" t="n">
        <v>0.0031747424355583</v>
      </c>
      <c r="AL251" s="171" t="n">
        <v>0.0003616792222971</v>
      </c>
      <c r="AM251" s="171" t="n">
        <v>-0</v>
      </c>
      <c r="AN251" s="1" t="n">
        <v>0.0520649999688722</v>
      </c>
      <c r="AO251" s="1" t="n">
        <v>-1.569577801063815e-14</v>
      </c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64" t="inlineStr">
        <is>
          <t>2023-11</t>
        </is>
      </c>
      <c r="B252" s="163" t="n">
        <v>-0.0444627820685088</v>
      </c>
      <c r="C252" s="163" t="n">
        <v>-0.036209947269808</v>
      </c>
      <c r="D252" s="163" t="n">
        <v>-0.008252834798700801</v>
      </c>
      <c r="E252" s="170" t="n">
        <v>4038.804666666669</v>
      </c>
      <c r="F252" s="170" t="n">
        <v>4072.274173555336</v>
      </c>
      <c r="G252" s="163" t="n">
        <v>0.0056651267225528</v>
      </c>
      <c r="H252" s="163" t="n">
        <v>-0.0014065475757506</v>
      </c>
      <c r="I252" s="163" t="n">
        <v>-0.0001700135857773</v>
      </c>
      <c r="J252" s="163" t="n">
        <v>0</v>
      </c>
      <c r="K252" s="163" t="n">
        <v>-4.426249283205887e-05</v>
      </c>
      <c r="L252" s="163" t="n">
        <v>-0.0037645570944917</v>
      </c>
      <c r="M252" s="163" t="n">
        <v>-0.0049360287742873</v>
      </c>
      <c r="N252" s="163" t="n">
        <v>-0.0093471871816644</v>
      </c>
      <c r="O252" s="163" t="n">
        <v>0.000492503397946</v>
      </c>
      <c r="P252" s="163" t="n">
        <v>0.0103626755373447</v>
      </c>
      <c r="Q252" s="163" t="n">
        <v>-9.203676301357157e-05</v>
      </c>
      <c r="R252" s="163" t="n">
        <v>-0.0008383581745962</v>
      </c>
      <c r="S252" s="163" t="n">
        <v>-0.0042929688011725</v>
      </c>
      <c r="T252" s="163" t="n">
        <v>-0.0033087012968927</v>
      </c>
      <c r="U252" s="163" t="n">
        <v>-0.0240731490522539</v>
      </c>
      <c r="V252" s="171" t="n">
        <v>60.96694316330156</v>
      </c>
      <c r="W252" s="171" t="n">
        <v>0.021806994928722</v>
      </c>
      <c r="X252" s="171" t="n">
        <v>76.95094635480395</v>
      </c>
      <c r="Y252" s="171" t="n">
        <v>-207.0513764250546</v>
      </c>
      <c r="Z252" s="171" t="n">
        <v>45.70028362657762</v>
      </c>
      <c r="AA252" s="171" t="n">
        <v>0.0064200618643319</v>
      </c>
      <c r="AB252" s="171" t="n">
        <v>23.40037026191378</v>
      </c>
      <c r="AC252" s="171" t="n">
        <v>-0.0003223924697993</v>
      </c>
      <c r="AD252" s="171" t="n">
        <v>-0.0008824475603078</v>
      </c>
      <c r="AE252" s="171" t="n">
        <v>-0.0003536978047182</v>
      </c>
      <c r="AF252" s="171" t="n">
        <v>0.0026676090057661</v>
      </c>
      <c r="AG252" s="171" t="n">
        <v>0.0012771473649922</v>
      </c>
      <c r="AH252" s="171" t="n">
        <v>0.0028026389470007</v>
      </c>
      <c r="AI252" s="171" t="n">
        <v>0.0016242457563627</v>
      </c>
      <c r="AJ252" s="171" t="n">
        <v>0.0001526824932454</v>
      </c>
      <c r="AK252" s="171" t="n">
        <v>-0.0022735500419265</v>
      </c>
      <c r="AL252" s="171" t="n">
        <v>-0.0005427161608992</v>
      </c>
      <c r="AM252" s="171" t="n">
        <v>-0</v>
      </c>
      <c r="AN252" s="1" t="n">
        <v>-0.0362099472698486</v>
      </c>
      <c r="AO252" s="1" t="n">
        <v>4.059946823176119e-14</v>
      </c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64" t="inlineStr">
        <is>
          <t>2023-12</t>
        </is>
      </c>
      <c r="B253" s="163" t="n">
        <v>-0.0226872789905439</v>
      </c>
      <c r="C253" s="163" t="n">
        <v>-0.0152471284130636</v>
      </c>
      <c r="D253" s="163" t="n">
        <v>-0.0074401505774802</v>
      </c>
      <c r="E253" s="170" t="n">
        <v>3948.206774193547</v>
      </c>
      <c r="F253" s="170" t="n">
        <v>3977.691576777181</v>
      </c>
      <c r="G253" s="163" t="n">
        <v>0.0056651267225528</v>
      </c>
      <c r="H253" s="163" t="n">
        <v>0.0005811267903978</v>
      </c>
      <c r="I253" s="163" t="n">
        <v>0.0014659144452373</v>
      </c>
      <c r="J253" s="163" t="n">
        <v>0</v>
      </c>
      <c r="K253" s="163" t="n">
        <v>-5.844573534306555e-05</v>
      </c>
      <c r="L253" s="163" t="n">
        <v>-0.0023332810485933</v>
      </c>
      <c r="M253" s="163" t="n">
        <v>-0.0016121973720625</v>
      </c>
      <c r="N253" s="163" t="n">
        <v>-0.006451604228477</v>
      </c>
      <c r="O253" s="163" t="n">
        <v>-0.004696308463702</v>
      </c>
      <c r="P253" s="163" t="n">
        <v>-0.0044753906973525</v>
      </c>
      <c r="Q253" s="163" t="n">
        <v>0.0007225713233656</v>
      </c>
      <c r="R253" s="163" t="n">
        <v>0.0010795008210847</v>
      </c>
      <c r="S253" s="163" t="n">
        <v>0.0020601931510226</v>
      </c>
      <c r="T253" s="163" t="n">
        <v>-0.0032419507721076</v>
      </c>
      <c r="U253" s="163" t="n">
        <v>-0.0070326792924281</v>
      </c>
      <c r="V253" s="171" t="n">
        <v>103.7606902653162</v>
      </c>
      <c r="W253" s="171" t="n">
        <v>0.0353522702455731</v>
      </c>
      <c r="X253" s="171" t="n">
        <v>176.7080196523788</v>
      </c>
      <c r="Y253" s="171" t="n">
        <v>-338.6290056245836</v>
      </c>
      <c r="Z253" s="171" t="n">
        <v>23.8788136520107</v>
      </c>
      <c r="AA253" s="171" t="n">
        <v>0.0122191568795524</v>
      </c>
      <c r="AB253" s="171" t="n">
        <v>34.22625584462332</v>
      </c>
      <c r="AC253" s="171" t="n">
        <v>-0.0002639445524369</v>
      </c>
      <c r="AD253" s="171" t="n">
        <v>0.0005970649940065</v>
      </c>
      <c r="AE253" s="171" t="n">
        <v>-0.0011405202896001</v>
      </c>
      <c r="AF253" s="171" t="n">
        <v>0.0025723372555602</v>
      </c>
      <c r="AG253" s="171" t="n">
        <v>0.0009568581951375</v>
      </c>
      <c r="AH253" s="171" t="n">
        <v>0.0057439928502737</v>
      </c>
      <c r="AI253" s="171" t="n">
        <v>-0.0013062765090881</v>
      </c>
      <c r="AJ253" s="171" t="n">
        <v>9.009873725225101e-05</v>
      </c>
      <c r="AK253" s="171" t="n">
        <v>0.0015012694965236</v>
      </c>
      <c r="AL253" s="171" t="n">
        <v>0.0019841988951391</v>
      </c>
      <c r="AM253" s="171" t="n">
        <v>-0</v>
      </c>
      <c r="AN253" s="1" t="n">
        <v>-0.01524712841305</v>
      </c>
      <c r="AO253" s="1" t="n">
        <v>-1.360023205165817e-14</v>
      </c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64" t="inlineStr">
        <is>
          <t>2024-01</t>
        </is>
      </c>
      <c r="B254" s="163" t="n">
        <v>-0.0083954104767958</v>
      </c>
      <c r="C254" s="163" t="n">
        <v>0.0079283312865848</v>
      </c>
      <c r="D254" s="163" t="n">
        <v>-0.0163237417633806</v>
      </c>
      <c r="E254" s="170" t="n">
        <v>3915.198709677416</v>
      </c>
      <c r="F254" s="170" t="n">
        <v>3979.633883131407</v>
      </c>
      <c r="G254" s="163" t="n">
        <v>0.0056651267225528</v>
      </c>
      <c r="H254" s="163" t="n">
        <v>0.0003076282260823</v>
      </c>
      <c r="I254" s="163" t="n">
        <v>0.0012798185460414</v>
      </c>
      <c r="J254" s="163" t="n">
        <v>-0.0003337360554447</v>
      </c>
      <c r="K254" s="163" t="n">
        <v>-8.162885884564831e-06</v>
      </c>
      <c r="L254" s="163" t="n">
        <v>0.0006649638906494</v>
      </c>
      <c r="M254" s="163" t="n">
        <v>0.0008502688008282</v>
      </c>
      <c r="N254" s="163" t="n">
        <v>0.003739711731235</v>
      </c>
      <c r="O254" s="163" t="n">
        <v>-0.0040907885233986</v>
      </c>
      <c r="P254" s="163" t="n">
        <v>-0.0041839592048938</v>
      </c>
      <c r="Q254" s="163" t="n">
        <v>-0.0001685409021118</v>
      </c>
      <c r="R254" s="163" t="n">
        <v>0.0001104344334848</v>
      </c>
      <c r="S254" s="163" t="n">
        <v>-0.003224196692057</v>
      </c>
      <c r="T254" s="163" t="n">
        <v>-0.0064396464691462</v>
      </c>
      <c r="U254" s="163" t="n">
        <v>0.0047421514497632</v>
      </c>
      <c r="V254" s="171" t="n">
        <v>12.4603137014013</v>
      </c>
      <c r="W254" s="171" t="n">
        <v>0.0115171945186171</v>
      </c>
      <c r="X254" s="171" t="n">
        <v>55.72338557564994</v>
      </c>
      <c r="Y254" s="171" t="n">
        <v>26.71947379011852</v>
      </c>
      <c r="Z254" s="171" t="n">
        <v>-71.55750410249524</v>
      </c>
      <c r="AA254" s="171" t="n">
        <v>-0.0099334269316722</v>
      </c>
      <c r="AB254" s="171" t="n">
        <v>-23.34036931252425</v>
      </c>
      <c r="AC254" s="171" t="n">
        <v>-0.0003058761956304</v>
      </c>
      <c r="AD254" s="171" t="n">
        <v>-0.0008002134683105</v>
      </c>
      <c r="AE254" s="171" t="n">
        <v>-0.0009134090676232</v>
      </c>
      <c r="AF254" s="171" t="n">
        <v>0.002072160566979</v>
      </c>
      <c r="AG254" s="171" t="n">
        <v>-0.0004572217138376</v>
      </c>
      <c r="AH254" s="171" t="n">
        <v>0.0002149837506623</v>
      </c>
      <c r="AI254" s="171" t="n">
        <v>0.0006645670424354001</v>
      </c>
      <c r="AJ254" s="171" t="n">
        <v>2.07790937984947e-05</v>
      </c>
      <c r="AK254" s="171" t="n">
        <v>0.0080071431417687</v>
      </c>
      <c r="AL254" s="171" t="n">
        <v>-0.0063690746685922</v>
      </c>
      <c r="AM254" s="171" t="n">
        <v>-0</v>
      </c>
      <c r="AN254" s="1" t="n">
        <v>0.0079283312865843</v>
      </c>
      <c r="AO254" s="1" t="n">
        <v>4.996003610813204e-16</v>
      </c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64" t="inlineStr">
        <is>
          <t>2024-02</t>
        </is>
      </c>
      <c r="B255" s="163" t="n">
        <v>0.004139336002547</v>
      </c>
      <c r="C255" s="163" t="n">
        <v>0.0202199053641934</v>
      </c>
      <c r="D255" s="163" t="n">
        <v>-0.0160805693616464</v>
      </c>
      <c r="E255" s="170" t="n">
        <v>3931.438620689657</v>
      </c>
      <c r="F255" s="170" t="n">
        <v>3995.169432680174</v>
      </c>
      <c r="G255" s="163" t="n">
        <v>0.0056651267225528</v>
      </c>
      <c r="H255" s="163" t="n">
        <v>-7.729132604658215e-05</v>
      </c>
      <c r="I255" s="163" t="n">
        <v>0.0024792479218542</v>
      </c>
      <c r="J255" s="163" t="n">
        <v>-0.0005284154211208</v>
      </c>
      <c r="K255" s="163" t="n">
        <v>4.976293954228662e-06</v>
      </c>
      <c r="L255" s="163" t="n">
        <v>0.001407295626489</v>
      </c>
      <c r="M255" s="163" t="n">
        <v>0.0007162556574207</v>
      </c>
      <c r="N255" s="163" t="n">
        <v>0.0017783767632688</v>
      </c>
      <c r="O255" s="163" t="n">
        <v>-0.000181196643536</v>
      </c>
      <c r="P255" s="163" t="n">
        <v>0.0070912851373512</v>
      </c>
      <c r="Q255" s="163" t="n">
        <v>-0.000497080570147</v>
      </c>
      <c r="R255" s="163" t="n">
        <v>0.0008132509941536</v>
      </c>
      <c r="S255" s="163" t="n">
        <v>0.0006902343881517999</v>
      </c>
      <c r="T255" s="163" t="n">
        <v>-0.0076408841740136</v>
      </c>
      <c r="U255" s="163" t="n">
        <v>0.0166972638125637</v>
      </c>
      <c r="V255" s="171" t="n">
        <v>-38.03825123065409</v>
      </c>
      <c r="W255" s="171" t="n">
        <v>-0.0109313262090647</v>
      </c>
      <c r="X255" s="171" t="n">
        <v>-91.86424247949331</v>
      </c>
      <c r="Y255" s="171" t="n">
        <v>104.7739995864489</v>
      </c>
      <c r="Z255" s="171" t="n">
        <v>29.80406315275842</v>
      </c>
      <c r="AA255" s="171" t="n">
        <v>-0.0094207207503337</v>
      </c>
      <c r="AB255" s="171" t="n">
        <v>-4.660073735919654</v>
      </c>
      <c r="AC255" s="171" t="n">
        <v>0.0013235685088136</v>
      </c>
      <c r="AD255" s="171" t="n">
        <v>0.0002036614755017</v>
      </c>
      <c r="AE255" s="171" t="n">
        <v>-0.000726011283369</v>
      </c>
      <c r="AF255" s="171" t="n">
        <v>0.001059898221041</v>
      </c>
      <c r="AG255" s="171" t="n">
        <v>-0.0005931805039718</v>
      </c>
      <c r="AH255" s="171" t="n">
        <v>0.000727749551841</v>
      </c>
      <c r="AI255" s="171" t="n">
        <v>-0.0019371229694282</v>
      </c>
      <c r="AJ255" s="171" t="n">
        <v>-0.0001594302712748</v>
      </c>
      <c r="AK255" s="171" t="n">
        <v>-0.0061727377534903</v>
      </c>
      <c r="AL255" s="171" t="n">
        <v>0.0029318190247374</v>
      </c>
      <c r="AM255" s="171" t="n">
        <v>-0</v>
      </c>
      <c r="AN255" s="1" t="n">
        <v>0.0202199053641961</v>
      </c>
      <c r="AO255" s="1" t="n">
        <v>-2.699229728619912e-15</v>
      </c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64" t="inlineStr">
        <is>
          <t>2024-03</t>
        </is>
      </c>
      <c r="B256" s="163" t="n">
        <v>-0.0081977811881692</v>
      </c>
      <c r="C256" s="163" t="n">
        <v>-0.0136347903230657</v>
      </c>
      <c r="D256" s="163" t="n">
        <v>0.0054370091348964</v>
      </c>
      <c r="E256" s="170" t="n">
        <v>3899.341290322584</v>
      </c>
      <c r="F256" s="170" t="n">
        <v>3878.19806614319</v>
      </c>
      <c r="G256" s="163" t="n">
        <v>0.0056651267225528</v>
      </c>
      <c r="H256" s="163" t="n">
        <v>0.0001366973680497</v>
      </c>
      <c r="I256" s="163" t="n">
        <v>0.0015601191665622</v>
      </c>
      <c r="J256" s="163" t="n">
        <v>-0.0008621514765655</v>
      </c>
      <c r="K256" s="163" t="n">
        <v>-1.898061191693301e-05</v>
      </c>
      <c r="L256" s="163" t="n">
        <v>-0.000681977946094</v>
      </c>
      <c r="M256" s="163" t="n">
        <v>-0.0002301565710439</v>
      </c>
      <c r="N256" s="163" t="n">
        <v>-0.003758122619758</v>
      </c>
      <c r="O256" s="163" t="n">
        <v>0.0007597460783083</v>
      </c>
      <c r="P256" s="163" t="n">
        <v>0.0014068146163775</v>
      </c>
      <c r="Q256" s="163" t="n">
        <v>-0.0001186163523419</v>
      </c>
      <c r="R256" s="163" t="n">
        <v>0.0004828404192288</v>
      </c>
      <c r="S256" s="163" t="n">
        <v>0.0031528736774447</v>
      </c>
      <c r="T256" s="163" t="n">
        <v>-0.0049651424466799</v>
      </c>
      <c r="U256" s="163" t="n">
        <v>-0.0133517910307251</v>
      </c>
      <c r="V256" s="171" t="n">
        <v>8.002036322000869</v>
      </c>
      <c r="W256" s="171" t="n">
        <v>0.0049798806311952</v>
      </c>
      <c r="X256" s="171" t="n">
        <v>-18.27813452608196</v>
      </c>
      <c r="Y256" s="171" t="n">
        <v>0.7012985246752607</v>
      </c>
      <c r="Z256" s="171" t="n">
        <v>17.86465632675306</v>
      </c>
      <c r="AA256" s="171" t="n">
        <v>-0.0065364931485402</v>
      </c>
      <c r="AB256" s="171" t="n">
        <v>-8.28584539188641</v>
      </c>
      <c r="AC256" s="171" t="n">
        <v>-0.0002073173267153</v>
      </c>
      <c r="AD256" s="171" t="n">
        <v>-0.0007068130502425</v>
      </c>
      <c r="AE256" s="171" t="n">
        <v>-0.0005299261846129</v>
      </c>
      <c r="AF256" s="171" t="n">
        <v>0.002136468998368</v>
      </c>
      <c r="AG256" s="171" t="n">
        <v>-0.000330691571783</v>
      </c>
      <c r="AH256" s="171" t="n">
        <v>-0.0046091108037909</v>
      </c>
      <c r="AI256" s="171" t="n">
        <v>-9.742758786598181e-05</v>
      </c>
      <c r="AJ256" s="171" t="n">
        <v>-0.0001110763821852</v>
      </c>
      <c r="AK256" s="171" t="n">
        <v>-0.0009929151474870001</v>
      </c>
      <c r="AL256" s="171" t="n">
        <v>0.0001820967963683</v>
      </c>
      <c r="AM256" s="171" t="n">
        <v>-0</v>
      </c>
      <c r="AN256" s="1" t="n">
        <v>-0.0136347903230642</v>
      </c>
      <c r="AO256" s="1" t="n">
        <v>-1.500535806719938e-15</v>
      </c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64" t="inlineStr">
        <is>
          <t>2024-04</t>
        </is>
      </c>
      <c r="B257" s="163" t="n">
        <v>-0.008076438493743499</v>
      </c>
      <c r="C257" s="163" t="n">
        <v>-0.0125090511891129</v>
      </c>
      <c r="D257" s="163" t="n">
        <v>0.0044326126953694</v>
      </c>
      <c r="E257" s="170" t="n">
        <v>3867.975333333336</v>
      </c>
      <c r="F257" s="170" t="n">
        <v>3850.868039779134</v>
      </c>
      <c r="G257" s="163" t="n">
        <v>0.0056651267225528</v>
      </c>
      <c r="H257" s="163" t="n">
        <v>0.0003581628341007</v>
      </c>
      <c r="I257" s="163" t="n">
        <v>0.000683488838946</v>
      </c>
      <c r="J257" s="163" t="n">
        <v>-0.0003337360554447</v>
      </c>
      <c r="K257" s="163" t="n">
        <v>3.390218544386964e-05</v>
      </c>
      <c r="L257" s="163" t="n">
        <v>0.0024749406189482</v>
      </c>
      <c r="M257" s="163" t="n">
        <v>0.0026063011552827</v>
      </c>
      <c r="N257" s="163" t="n">
        <v>-0.0011566693018237</v>
      </c>
      <c r="O257" s="163" t="n">
        <v>-0.0021156294108294</v>
      </c>
      <c r="P257" s="163" t="n">
        <v>-0.0070955591108065</v>
      </c>
      <c r="Q257" s="163" t="n">
        <v>0.0003565259465431</v>
      </c>
      <c r="R257" s="163" t="n">
        <v>0.0003688790345575</v>
      </c>
      <c r="S257" s="163" t="n">
        <v>-0.0048318073168287</v>
      </c>
      <c r="T257" s="163" t="n">
        <v>-0.0041856778604843</v>
      </c>
      <c r="U257" s="163" t="n">
        <v>0.0010594915955211</v>
      </c>
      <c r="V257" s="171" t="n">
        <v>-70.87517885200762</v>
      </c>
      <c r="W257" s="171" t="n">
        <v>-0.0278726848269543</v>
      </c>
      <c r="X257" s="171" t="n">
        <v>-118.4672364579088</v>
      </c>
      <c r="Y257" s="171" t="n">
        <v>231.8422792723169</v>
      </c>
      <c r="Z257" s="171" t="n">
        <v>-18.86549253817511</v>
      </c>
      <c r="AA257" s="171" t="n">
        <v>-0.0071860571551765</v>
      </c>
      <c r="AB257" s="171" t="n">
        <v>-23.59751623847925</v>
      </c>
      <c r="AC257" s="171" t="n">
        <v>0.0001414751718735</v>
      </c>
      <c r="AD257" s="171" t="n">
        <v>0.0005091365887144</v>
      </c>
      <c r="AE257" s="171" t="n">
        <v>0.0004120269163735</v>
      </c>
      <c r="AF257" s="171" t="n">
        <v>-0.0004573044009884</v>
      </c>
      <c r="AG257" s="171" t="n">
        <v>-0.0007475000548297</v>
      </c>
      <c r="AH257" s="171" t="n">
        <v>-0.0073484602817527</v>
      </c>
      <c r="AI257" s="171" t="n">
        <v>0.0004603198924957</v>
      </c>
      <c r="AJ257" s="171" t="n">
        <v>-2.084223491561677e-05</v>
      </c>
      <c r="AK257" s="171" t="n">
        <v>0.0012356298608864</v>
      </c>
      <c r="AL257" s="171" t="n">
        <v>-0.0023777162866642</v>
      </c>
      <c r="AM257" s="171" t="n">
        <v>-0</v>
      </c>
      <c r="AN257" s="1" t="n">
        <v>-0.0125090511890933</v>
      </c>
      <c r="AO257" s="1" t="n">
        <v>-1.959890583158597e-14</v>
      </c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64" t="inlineStr">
        <is>
          <t>2024-05</t>
        </is>
      </c>
      <c r="B258" s="163" t="n">
        <v>0.0002908881440522</v>
      </c>
      <c r="C258" s="163" t="n">
        <v>0.0101159721437703</v>
      </c>
      <c r="D258" s="163" t="n">
        <v>-0.0098250839997181</v>
      </c>
      <c r="E258" s="170" t="n">
        <v>3869.100645161288</v>
      </c>
      <c r="F258" s="170" t="n">
        <v>3907.302243653643</v>
      </c>
      <c r="G258" s="163" t="n">
        <v>0.0056651267225528</v>
      </c>
      <c r="H258" s="163" t="n">
        <v>-0.0006199645437549</v>
      </c>
      <c r="I258" s="163" t="n">
        <v>0.0036388941611791</v>
      </c>
      <c r="J258" s="163" t="n">
        <v>-0.0013905668976864</v>
      </c>
      <c r="K258" s="163" t="n">
        <v>-0.000178285740067</v>
      </c>
      <c r="L258" s="163" t="n">
        <v>-0.0004720976289054</v>
      </c>
      <c r="M258" s="163" t="n">
        <v>-0.0035055746915846</v>
      </c>
      <c r="N258" s="163" t="n">
        <v>0.0016503112503467</v>
      </c>
      <c r="O258" s="163" t="n">
        <v>0.0007491360008399001</v>
      </c>
      <c r="P258" s="163" t="n">
        <v>0.0115152884071932</v>
      </c>
      <c r="Q258" s="163" t="n">
        <v>-0.0003835111014916</v>
      </c>
      <c r="R258" s="163" t="n">
        <v>-6.400360102756178e-05</v>
      </c>
      <c r="S258" s="163" t="n">
        <v>0.0008100312712103</v>
      </c>
      <c r="T258" s="163" t="n">
        <v>-0.0029746721055041</v>
      </c>
      <c r="U258" s="163" t="n">
        <v>-0.0062626895581276</v>
      </c>
      <c r="V258" s="171" t="n">
        <v>-0.9088026965700866</v>
      </c>
      <c r="W258" s="171" t="n">
        <v>-0.0059035996659227</v>
      </c>
      <c r="X258" s="171" t="n">
        <v>6.987232334743095</v>
      </c>
      <c r="Y258" s="171" t="n">
        <v>-39.84778217203507</v>
      </c>
      <c r="Z258" s="171" t="n">
        <v>16.61828495511913</v>
      </c>
      <c r="AA258" s="171" t="n">
        <v>0.0120700431296014</v>
      </c>
      <c r="AB258" s="171" t="n">
        <v>17.1431283970063</v>
      </c>
      <c r="AC258" s="171" t="n">
        <v>-0.0002289241060835</v>
      </c>
      <c r="AD258" s="171" t="n">
        <v>-0.0005698075303668</v>
      </c>
      <c r="AE258" s="171" t="n">
        <v>0.0001787104697523</v>
      </c>
      <c r="AF258" s="171" t="n">
        <v>4.763587510296736e-05</v>
      </c>
      <c r="AG258" s="171" t="n">
        <v>0.0013814528580052</v>
      </c>
      <c r="AH258" s="171" t="n">
        <v>0.0016972448881108</v>
      </c>
      <c r="AI258" s="171" t="n">
        <v>-0.0011587206733422</v>
      </c>
      <c r="AJ258" s="171" t="n">
        <v>-5.560312239950833e-05</v>
      </c>
      <c r="AK258" s="171" t="n">
        <v>-0.0035726450245782</v>
      </c>
      <c r="AL258" s="171" t="n">
        <v>0.0059919448373407</v>
      </c>
      <c r="AM258" s="171" t="n">
        <v>-0</v>
      </c>
      <c r="AN258" s="1" t="n">
        <v>0.0101159721437644</v>
      </c>
      <c r="AO258" s="1" t="n">
        <v>5.899794541797121e-15</v>
      </c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64" t="inlineStr">
        <is>
          <t>2024-06</t>
        </is>
      </c>
      <c r="B259" s="163" t="n">
        <v>0.0439146905547112</v>
      </c>
      <c r="C259" s="163" t="n">
        <v>0.0236819479655862</v>
      </c>
      <c r="D259" s="163" t="n">
        <v>0.0202327425891249</v>
      </c>
      <c r="E259" s="170" t="n">
        <v>4042.797000000001</v>
      </c>
      <c r="F259" s="170" t="n">
        <v>3961.822063811232</v>
      </c>
      <c r="G259" s="163" t="n">
        <v>0.0056651267225528</v>
      </c>
      <c r="H259" s="163" t="n">
        <v>0.0007107620666739</v>
      </c>
      <c r="I259" s="163" t="n">
        <v>0.0015456065386062</v>
      </c>
      <c r="J259" s="163" t="n">
        <v>-0.0016686802772237</v>
      </c>
      <c r="K259" s="163" t="n">
        <v>-3.463400180126007e-05</v>
      </c>
      <c r="L259" s="163" t="n">
        <v>0.0030525194801804</v>
      </c>
      <c r="M259" s="163" t="n">
        <v>-0.0005042803824218</v>
      </c>
      <c r="N259" s="163" t="n">
        <v>0.0043634668809917</v>
      </c>
      <c r="O259" s="163" t="n">
        <v>-0.0030691929042778</v>
      </c>
      <c r="P259" s="163" t="n">
        <v>-0.0051063927086909</v>
      </c>
      <c r="Q259" s="163" t="n">
        <v>0.000564289105522</v>
      </c>
      <c r="R259" s="163" t="n">
        <v>0.0004915584567744</v>
      </c>
      <c r="S259" s="163" t="n">
        <v>0.0035202002621222</v>
      </c>
      <c r="T259" s="163" t="n">
        <v>-0.0022721369020242</v>
      </c>
      <c r="U259" s="163" t="n">
        <v>0.0219299174932194</v>
      </c>
      <c r="V259" s="171" t="n">
        <v>28.05856878907306</v>
      </c>
      <c r="W259" s="171" t="n">
        <v>0.0061789577714123</v>
      </c>
      <c r="X259" s="171" t="n">
        <v>49.65005996721101</v>
      </c>
      <c r="Y259" s="171" t="n">
        <v>-124.1368518527265</v>
      </c>
      <c r="Z259" s="171" t="n">
        <v>23.88379913749722</v>
      </c>
      <c r="AA259" s="171" t="n">
        <v>0.0121507279669037</v>
      </c>
      <c r="AB259" s="171" t="n">
        <v>22.52321352560038</v>
      </c>
      <c r="AC259" s="171" t="n">
        <v>0.0001720553600421</v>
      </c>
      <c r="AD259" s="171" t="n">
        <v>0.0001737706057135</v>
      </c>
      <c r="AE259" s="171" t="n">
        <v>0.0005162746903957</v>
      </c>
      <c r="AF259" s="171" t="n">
        <v>-0.0021555233484092</v>
      </c>
      <c r="AG259" s="171" t="n">
        <v>-8.817114894755913e-05</v>
      </c>
      <c r="AH259" s="171" t="n">
        <v>0.0019230797508713</v>
      </c>
      <c r="AI259" s="171" t="n">
        <v>-0.0014729557621968</v>
      </c>
      <c r="AJ259" s="171" t="n">
        <v>-7.651095262167685e-05</v>
      </c>
      <c r="AK259" s="171" t="n">
        <v>-0.0001780553040725</v>
      </c>
      <c r="AL259" s="171" t="n">
        <v>-0.0014393981488764</v>
      </c>
      <c r="AM259" s="171" t="n">
        <v>-0</v>
      </c>
      <c r="AN259" s="1" t="n">
        <v>0.0236819479655868</v>
      </c>
      <c r="AO259" s="1" t="n">
        <v>-6.002143226879753e-16</v>
      </c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64" t="inlineStr">
        <is>
          <t>2024-07</t>
        </is>
      </c>
      <c r="B260" s="163" t="n">
        <v>-0.0014542747336836</v>
      </c>
      <c r="C260" s="163" t="n">
        <v>0.0194027979951526</v>
      </c>
      <c r="D260" s="163" t="n">
        <v>-0.0208570727288362</v>
      </c>
      <c r="E260" s="170" t="n">
        <v>4036.92193548387</v>
      </c>
      <c r="F260" s="170" t="n">
        <v>4122.00451229413</v>
      </c>
      <c r="G260" s="163" t="n">
        <v>0.0056651267225528</v>
      </c>
      <c r="H260" s="163" t="n">
        <v>-8.131344833893237e-05</v>
      </c>
      <c r="I260" s="163" t="n">
        <v>0.0042943094486276</v>
      </c>
      <c r="J260" s="163" t="n">
        <v>-5.562267590745616e-05</v>
      </c>
      <c r="K260" s="163" t="n">
        <v>-6.684303481747392e-05</v>
      </c>
      <c r="L260" s="163" t="n">
        <v>-0.0005359556953368</v>
      </c>
      <c r="M260" s="163" t="n">
        <v>0.0020932676125194</v>
      </c>
      <c r="N260" s="163" t="n">
        <v>-0.0012462733179407</v>
      </c>
      <c r="O260" s="163" t="n">
        <v>-0.0012494123956762</v>
      </c>
      <c r="P260" s="163" t="n">
        <v>0.0094661000655855</v>
      </c>
      <c r="Q260" s="163" t="n">
        <v>-0.0003809153269808</v>
      </c>
      <c r="R260" s="163" t="n">
        <v>-0.0001684130931439</v>
      </c>
      <c r="S260" s="163" t="n">
        <v>-0.0038071901753972</v>
      </c>
      <c r="T260" s="163" t="n">
        <v>-0.0014286907478152</v>
      </c>
      <c r="U260" s="163" t="n">
        <v>0.0006677324968036</v>
      </c>
      <c r="V260" s="171" t="n">
        <v>21.69409204296732</v>
      </c>
      <c r="W260" s="171" t="n">
        <v>0.0122407418809143</v>
      </c>
      <c r="X260" s="171" t="n">
        <v>100.0852488947471</v>
      </c>
      <c r="Y260" s="171" t="n">
        <v>-39.70752246709976</v>
      </c>
      <c r="Z260" s="171" t="n">
        <v>-76.57124067345468</v>
      </c>
      <c r="AA260" s="171" t="n">
        <v>0.0030292560435266</v>
      </c>
      <c r="AB260" s="171" t="n">
        <v>-5.511515779637634</v>
      </c>
      <c r="AC260" s="171" t="n">
        <v>-0.0009757235130173</v>
      </c>
      <c r="AD260" s="171" t="n">
        <v>0.0003667103561825</v>
      </c>
      <c r="AE260" s="171" t="n">
        <v>0.0006143172397737</v>
      </c>
      <c r="AF260" s="171" t="n">
        <v>-0.0014528941906405</v>
      </c>
      <c r="AG260" s="171" t="n">
        <v>-0.0005024443075415</v>
      </c>
      <c r="AH260" s="171" t="n">
        <v>0.00062684989971</v>
      </c>
      <c r="AI260" s="171" t="n">
        <v>-0.0011101766138828</v>
      </c>
      <c r="AJ260" s="171" t="n">
        <v>-5.568559385894734e-05</v>
      </c>
      <c r="AK260" s="171" t="n">
        <v>0.0052977932864065</v>
      </c>
      <c r="AL260" s="171" t="n">
        <v>-0.0009038704494526</v>
      </c>
      <c r="AM260" s="171" t="n">
        <v>-0</v>
      </c>
      <c r="AN260" s="1" t="n">
        <v>0.0194027979951583</v>
      </c>
      <c r="AO260" s="1" t="n">
        <v>-5.700301342059788e-15</v>
      </c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64" t="inlineStr">
        <is>
          <t>2024-08</t>
        </is>
      </c>
      <c r="B261" s="163" t="n">
        <v>0.0070656579816859</v>
      </c>
      <c r="C261" s="163" t="n">
        <v>0.0001256984432402</v>
      </c>
      <c r="D261" s="163" t="n">
        <v>0.0069399595384456</v>
      </c>
      <c r="E261" s="170" t="n">
        <v>4065.546451612903</v>
      </c>
      <c r="F261" s="170" t="n">
        <v>4037.42940217986</v>
      </c>
      <c r="G261" s="163" t="n">
        <v>0.0056651267225528</v>
      </c>
      <c r="H261" s="163" t="n">
        <v>8.602727795069781e-05</v>
      </c>
      <c r="I261" s="163" t="n">
        <v>0.0043987881646413</v>
      </c>
      <c r="J261" s="163" t="n">
        <v>-0.0016686802772237</v>
      </c>
      <c r="K261" s="163" t="n">
        <v>-1.368958433033956e-05</v>
      </c>
      <c r="L261" s="163" t="n">
        <v>-0.0012653487359831</v>
      </c>
      <c r="M261" s="163" t="n">
        <v>0.004890218954891</v>
      </c>
      <c r="N261" s="163" t="n">
        <v>0.003771276990393</v>
      </c>
      <c r="O261" s="163" t="n">
        <v>-0.003748542896</v>
      </c>
      <c r="P261" s="163" t="n">
        <v>-0.0110893362317512</v>
      </c>
      <c r="Q261" s="163" t="n">
        <v>0.0002689721452664</v>
      </c>
      <c r="R261" s="163" t="n">
        <v>0.0002712483031133</v>
      </c>
      <c r="S261" s="163" t="n">
        <v>0.0005801455833823001</v>
      </c>
      <c r="T261" s="163" t="n">
        <v>-0</v>
      </c>
      <c r="U261" s="163" t="n">
        <v>0.0036240839523402</v>
      </c>
      <c r="V261" s="171" t="n">
        <v>60.92407511157653</v>
      </c>
      <c r="W261" s="171" t="n">
        <v>0.0232570189948642</v>
      </c>
      <c r="X261" s="171" t="n">
        <v>220.3595281978484</v>
      </c>
      <c r="Y261" s="171" t="n">
        <v>-264.9014917254978</v>
      </c>
      <c r="Z261" s="171" t="n">
        <v>-63.45172788707394</v>
      </c>
      <c r="AA261" s="171" t="n">
        <v>0.0215877899501087</v>
      </c>
      <c r="AB261" s="171" t="n">
        <v>47.01502962879015</v>
      </c>
      <c r="AC261" s="171" t="n">
        <v>0.0006507672121321999</v>
      </c>
      <c r="AD261" s="171" t="n">
        <v>0.0007917489485479001</v>
      </c>
      <c r="AE261" s="171" t="n">
        <v>-0.000112935088524</v>
      </c>
      <c r="AF261" s="171" t="n">
        <v>0.0003024878069038</v>
      </c>
      <c r="AG261" s="171" t="n">
        <v>0.0008388733808618</v>
      </c>
      <c r="AH261" s="171" t="n">
        <v>0.0019935431876921</v>
      </c>
      <c r="AI261" s="171" t="n">
        <v>-2.002866788882105e-05</v>
      </c>
      <c r="AJ261" s="171" t="n">
        <v>-0.000237052516282</v>
      </c>
      <c r="AK261" s="171" t="n">
        <v>-0.0026327401125924</v>
      </c>
      <c r="AL261" s="171" t="n">
        <v>0.0025226093348361</v>
      </c>
      <c r="AM261" s="171" t="n">
        <v>-0</v>
      </c>
      <c r="AN261" s="1" t="n">
        <v>0.0001256984432518</v>
      </c>
      <c r="AO261" s="1" t="n">
        <v>-1.159998746363966e-14</v>
      </c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64" t="inlineStr">
        <is>
          <t>2024-09</t>
        </is>
      </c>
      <c r="B262" s="163" t="n">
        <v>0.0283639402629347</v>
      </c>
      <c r="C262" s="163" t="n">
        <v>0.0065771383455686</v>
      </c>
      <c r="D262" s="163" t="n">
        <v>0.0217868019173661</v>
      </c>
      <c r="E262" s="170" t="n">
        <v>4182.512333333329</v>
      </c>
      <c r="F262" s="170" t="n">
        <v>4092.374241406669</v>
      </c>
      <c r="G262" s="163" t="n">
        <v>0.0056651267225528</v>
      </c>
      <c r="H262" s="163" t="n">
        <v>-0.0003606623651984</v>
      </c>
      <c r="I262" s="163" t="n">
        <v>0.0021414049527904</v>
      </c>
      <c r="J262" s="163" t="n">
        <v>-0.0017799256290386</v>
      </c>
      <c r="K262" s="163" t="n">
        <v>-4.2585816983788e-05</v>
      </c>
      <c r="L262" s="163" t="n">
        <v>-0.001207166956078</v>
      </c>
      <c r="M262" s="163" t="n">
        <v>-0.0014778638544404</v>
      </c>
      <c r="N262" s="163" t="n">
        <v>0.000412022086193</v>
      </c>
      <c r="O262" s="163" t="n">
        <v>-0.0034744227952816</v>
      </c>
      <c r="P262" s="163" t="n">
        <v>-0.0005258059434196</v>
      </c>
      <c r="Q262" s="163" t="n">
        <v>-0.0001026396278541</v>
      </c>
      <c r="R262" s="163" t="n">
        <v>-1.876024718654311e-05</v>
      </c>
      <c r="S262" s="163" t="n">
        <v>0.0006687159390948</v>
      </c>
      <c r="T262" s="163" t="n">
        <v>-0.0017204463339687</v>
      </c>
      <c r="U262" s="163" t="n">
        <v>0.0040363164802328</v>
      </c>
      <c r="V262" s="171" t="n">
        <v>41.41339583646942</v>
      </c>
      <c r="W262" s="171" t="n">
        <v>0.0204165341407178</v>
      </c>
      <c r="X262" s="171" t="n">
        <v>142.4655962663577</v>
      </c>
      <c r="Y262" s="171" t="n">
        <v>-103.3784155223455</v>
      </c>
      <c r="Z262" s="171" t="n">
        <v>-81.24077101728123</v>
      </c>
      <c r="AA262" s="171" t="n">
        <v>0.0006311801196558999</v>
      </c>
      <c r="AB262" s="171" t="n">
        <v>0.7142970165419187</v>
      </c>
      <c r="AC262" s="171" t="n">
        <v>-0.0002013350541817</v>
      </c>
      <c r="AD262" s="171" t="n">
        <v>0.0005163186054827</v>
      </c>
      <c r="AE262" s="171" t="n">
        <v>-0.0011032889417351</v>
      </c>
      <c r="AF262" s="171" t="n">
        <v>0.0033892925135761</v>
      </c>
      <c r="AG262" s="171" t="n">
        <v>0.001188542131016</v>
      </c>
      <c r="AH262" s="171" t="n">
        <v>0.0029324364311428</v>
      </c>
      <c r="AI262" s="171" t="n">
        <v>0.001689989575817</v>
      </c>
      <c r="AJ262" s="171" t="n">
        <v>-9.779333214960688e-05</v>
      </c>
      <c r="AK262" s="171" t="n">
        <v>0.0036031538829714</v>
      </c>
      <c r="AL262" s="171" t="n">
        <v>-0.0027037780804671</v>
      </c>
      <c r="AM262" s="171" t="n">
        <v>-0</v>
      </c>
      <c r="AN262" s="1" t="n">
        <v>0.0065771383455661</v>
      </c>
      <c r="AO262" s="1" t="n">
        <v>2.500603890620567e-15</v>
      </c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64" t="inlineStr">
        <is>
          <t>2024-10</t>
        </is>
      </c>
      <c r="B263" s="163" t="n">
        <v>0.015882166608474</v>
      </c>
      <c r="C263" s="163" t="n">
        <v>0.0157599099166521</v>
      </c>
      <c r="D263" s="163" t="n">
        <v>0.0001222566918219</v>
      </c>
      <c r="E263" s="170" t="n">
        <v>4249.470000000003</v>
      </c>
      <c r="F263" s="170" t="n">
        <v>4248.950505612283</v>
      </c>
      <c r="G263" s="163" t="n">
        <v>0.0056651267225528</v>
      </c>
      <c r="H263" s="163" t="n">
        <v>0.0003832678983822</v>
      </c>
      <c r="I263" s="163" t="n">
        <v>0.0027202927758968</v>
      </c>
      <c r="J263" s="163" t="n">
        <v>0.0006897211812524</v>
      </c>
      <c r="K263" s="163" t="n">
        <v>1.773247379123605e-05</v>
      </c>
      <c r="L263" s="163" t="n">
        <v>0.0028215017794832</v>
      </c>
      <c r="M263" s="163" t="n">
        <v>0.0020248490234004</v>
      </c>
      <c r="N263" s="163" t="n">
        <v>-0.0032046452835352</v>
      </c>
      <c r="O263" s="163" t="n">
        <v>-0.0030257498718458</v>
      </c>
      <c r="P263" s="163" t="n">
        <v>0.0070146228839885</v>
      </c>
      <c r="Q263" s="163" t="n">
        <v>-7.091172024301432e-05</v>
      </c>
      <c r="R263" s="163" t="n">
        <v>0.0002346661141934</v>
      </c>
      <c r="S263" s="163" t="n">
        <v>-0.0028246748920848</v>
      </c>
      <c r="T263" s="163" t="n">
        <v>0.000933437121187</v>
      </c>
      <c r="U263" s="163" t="n">
        <v>0.0020676446368802</v>
      </c>
      <c r="V263" s="171" t="n">
        <v>-55.31407607583092</v>
      </c>
      <c r="W263" s="171" t="n">
        <v>-0.014557851045194</v>
      </c>
      <c r="X263" s="171" t="n">
        <v>-145.2987071179003</v>
      </c>
      <c r="Y263" s="171" t="n">
        <v>260.8479862528758</v>
      </c>
      <c r="Z263" s="171" t="n">
        <v>-9.215669921861316</v>
      </c>
      <c r="AA263" s="171" t="n">
        <v>-0.0269998020116891</v>
      </c>
      <c r="AB263" s="171" t="n">
        <v>-50.97509228849856</v>
      </c>
      <c r="AC263" s="171" t="n">
        <v>-4.445831730708077e-05</v>
      </c>
      <c r="AD263" s="171" t="n">
        <v>-0.0006106424257067</v>
      </c>
      <c r="AE263" s="171" t="n">
        <v>-0.0005584702179761</v>
      </c>
      <c r="AF263" s="171" t="n">
        <v>0.0017268004724825</v>
      </c>
      <c r="AG263" s="171" t="n">
        <v>-0.0003123983753478</v>
      </c>
      <c r="AH263" s="171" t="n">
        <v>-0.0053270727478985</v>
      </c>
      <c r="AI263" s="171" t="n">
        <v>-0.0007931126171343</v>
      </c>
      <c r="AJ263" s="171" t="n">
        <v>-0.0004273557432465</v>
      </c>
      <c r="AK263" s="171" t="n">
        <v>0.0019707642671832</v>
      </c>
      <c r="AL263" s="171" t="n">
        <v>0.0018057790505455</v>
      </c>
      <c r="AM263" s="171" t="n">
        <v>-0</v>
      </c>
      <c r="AN263" s="1" t="n">
        <v>0.0157599099166625</v>
      </c>
      <c r="AO263" s="1" t="n">
        <v>-1.039793251500498e-14</v>
      </c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64" t="inlineStr">
        <is>
          <t>2024-11</t>
        </is>
      </c>
      <c r="B264" s="163" t="n">
        <v>0.0367747801295941</v>
      </c>
      <c r="C264" s="163" t="n">
        <v>0.03053845576681</v>
      </c>
      <c r="D264" s="163" t="n">
        <v>0.006236324362784</v>
      </c>
      <c r="E264" s="170" t="n">
        <v>4408.652333333335</v>
      </c>
      <c r="F264" s="170" t="n">
        <v>4381.244099527477</v>
      </c>
      <c r="G264" s="163" t="n">
        <v>0.0056651267225528</v>
      </c>
      <c r="H264" s="163" t="n">
        <v>-9.414781781447875e-06</v>
      </c>
      <c r="I264" s="163" t="n">
        <v>0.0025943076672417</v>
      </c>
      <c r="J264" s="163" t="n">
        <v>-0.0006897211812524</v>
      </c>
      <c r="K264" s="163" t="n">
        <v>-7.373346217613425e-07</v>
      </c>
      <c r="L264" s="163" t="n">
        <v>0.0044010804139425</v>
      </c>
      <c r="M264" s="163" t="n">
        <v>-0.003646780727198</v>
      </c>
      <c r="N264" s="163" t="n">
        <v>0.0032972750664165</v>
      </c>
      <c r="O264" s="163" t="n">
        <v>0.0030519793751228</v>
      </c>
      <c r="P264" s="163" t="n">
        <v>0.0033692754471823</v>
      </c>
      <c r="Q264" s="163" t="n">
        <v>-0.0004005402273867</v>
      </c>
      <c r="R264" s="163" t="n">
        <v>0.0001679381460634</v>
      </c>
      <c r="S264" s="163" t="n">
        <v>0.0020371456556967</v>
      </c>
      <c r="T264" s="163" t="n">
        <v>-0.0019146730774528</v>
      </c>
      <c r="U264" s="163" t="n">
        <v>0.0141018202814333</v>
      </c>
      <c r="V264" s="171" t="n">
        <v>-64.35637711969198</v>
      </c>
      <c r="W264" s="171" t="n">
        <v>-0.0157637633156893</v>
      </c>
      <c r="X264" s="171" t="n">
        <v>-118.4340034860434</v>
      </c>
      <c r="Y264" s="171" t="n">
        <v>182.5760579138966</v>
      </c>
      <c r="Z264" s="171" t="n">
        <v>10.28709229863024</v>
      </c>
      <c r="AA264" s="171" t="n">
        <v>-0.0159868323834532</v>
      </c>
      <c r="AB264" s="171" t="n">
        <v>-10.04015886451347</v>
      </c>
      <c r="AC264" s="171" t="n">
        <v>-0.0014241152757446</v>
      </c>
      <c r="AD264" s="171" t="n">
        <v>-0.0001547895613972</v>
      </c>
      <c r="AE264" s="171" t="n">
        <v>-0.0006763694862155</v>
      </c>
      <c r="AF264" s="171" t="n">
        <v>0.0017053643286862</v>
      </c>
      <c r="AG264" s="171" t="n">
        <v>0.0002483414937181</v>
      </c>
      <c r="AH264" s="171" t="n">
        <v>0.0003004781420906</v>
      </c>
      <c r="AI264" s="171" t="n">
        <v>-0.0013063896654039</v>
      </c>
      <c r="AJ264" s="171" t="n">
        <v>9.826290035369124e-05</v>
      </c>
      <c r="AK264" s="171" t="n">
        <v>0.0010319575975089</v>
      </c>
      <c r="AL264" s="171" t="n">
        <v>-0.0021685127315897</v>
      </c>
      <c r="AM264" s="171" t="n">
        <v>-0</v>
      </c>
      <c r="AN264" s="1" t="n">
        <v>0.0305384557668225</v>
      </c>
      <c r="AO264" s="1" t="n">
        <v>-1.250041736788887e-14</v>
      </c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64" t="inlineStr">
        <is>
          <t>2024-12</t>
        </is>
      </c>
      <c r="B265" s="163" t="n">
        <v>-0.0053455108906668</v>
      </c>
      <c r="C265" s="163" t="n">
        <v>-0.0120257950176261</v>
      </c>
      <c r="D265" s="163" t="n">
        <v>0.0066802841269593</v>
      </c>
      <c r="E265" s="170" t="n">
        <v>4385.148709677422</v>
      </c>
      <c r="F265" s="170" t="n">
        <v>4355.95229909388</v>
      </c>
      <c r="G265" s="163" t="n">
        <v>0.0056651267225528</v>
      </c>
      <c r="H265" s="163" t="n">
        <v>0.0003765938032199</v>
      </c>
      <c r="I265" s="163" t="n">
        <v>0.0024869529703844</v>
      </c>
      <c r="J265" s="163" t="n">
        <v>-0.0010690678309413</v>
      </c>
      <c r="K265" s="163" t="n">
        <v>-3.701599807996937e-05</v>
      </c>
      <c r="L265" s="163" t="n">
        <v>0.0020167191887099</v>
      </c>
      <c r="M265" s="163" t="n">
        <v>-0.0001548272213774</v>
      </c>
      <c r="N265" s="163" t="n">
        <v>-0.0002646565225181</v>
      </c>
      <c r="O265" s="163" t="n">
        <v>-0.0007046137046747</v>
      </c>
      <c r="P265" s="163" t="n">
        <v>-0.009056749066102101</v>
      </c>
      <c r="Q265" s="163" t="n">
        <v>0.000353995047479</v>
      </c>
      <c r="R265" s="163" t="n">
        <v>-0.0001427356589849</v>
      </c>
      <c r="S265" s="163" t="n">
        <v>-0.0043326781953039</v>
      </c>
      <c r="T265" s="163" t="n">
        <v>-0.0032284512743428</v>
      </c>
      <c r="U265" s="163" t="n">
        <v>0.0020904000096844</v>
      </c>
      <c r="V265" s="171" t="n">
        <v>-15.24959493364154</v>
      </c>
      <c r="W265" s="171" t="n">
        <v>-0.0045980897828035</v>
      </c>
      <c r="X265" s="171" t="n">
        <v>13.15194861581229</v>
      </c>
      <c r="Y265" s="171" t="n">
        <v>24.99427941941787</v>
      </c>
      <c r="Z265" s="171" t="n">
        <v>-27.95731469140841</v>
      </c>
      <c r="AA265" s="171" t="n">
        <v>0.0024593555471382</v>
      </c>
      <c r="AB265" s="171" t="n">
        <v>5.062937253249279</v>
      </c>
      <c r="AC265" s="171" t="n">
        <v>-0.0008162272095985</v>
      </c>
      <c r="AD265" s="171" t="n">
        <v>6.492885159362615e-05</v>
      </c>
      <c r="AE265" s="171" t="n">
        <v>-0.0003971343772274</v>
      </c>
      <c r="AF265" s="171" t="n">
        <v>-0.0003596508570274</v>
      </c>
      <c r="AG265" s="171" t="n">
        <v>9.48112292614802e-05</v>
      </c>
      <c r="AH265" s="171" t="n">
        <v>-0.0004740870920798</v>
      </c>
      <c r="AI265" s="171" t="n">
        <v>0.0015148235990265</v>
      </c>
      <c r="AJ265" s="171" t="n">
        <v>-0.0001263579157159</v>
      </c>
      <c r="AK265" s="171" t="n">
        <v>-0.0060055563904287</v>
      </c>
      <c r="AL265" s="171" t="n">
        <v>0.0003627336810441</v>
      </c>
      <c r="AM265" s="171" t="n">
        <v>-0</v>
      </c>
      <c r="AN265" s="1" t="n">
        <v>-0.0120257950176218</v>
      </c>
      <c r="AO265" s="1" t="n">
        <v>-4.300379496946505e-15</v>
      </c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64" t="inlineStr">
        <is>
          <t>2025-01</t>
        </is>
      </c>
      <c r="B266" s="163" t="n">
        <v>-0.0178501975986211</v>
      </c>
      <c r="C266" s="163" t="n">
        <v>-0.0008991375288161</v>
      </c>
      <c r="D266" s="163" t="n">
        <v>-0.016951060069805</v>
      </c>
      <c r="E266" s="170" t="n">
        <v>4307.567419354838</v>
      </c>
      <c r="F266" s="170" t="n">
        <v>4381.207629954969</v>
      </c>
      <c r="G266" s="163" t="n">
        <v>0.0056651267225528</v>
      </c>
      <c r="H266" s="163" t="n">
        <v>0.000388740596822</v>
      </c>
      <c r="I266" s="163" t="n">
        <v>0.0030872692088842</v>
      </c>
      <c r="J266" s="163" t="n">
        <v>0.0003014749034184</v>
      </c>
      <c r="K266" s="163" t="n">
        <v>3.315022698111586e-05</v>
      </c>
      <c r="L266" s="163" t="n">
        <v>0.0019916861559877</v>
      </c>
      <c r="M266" s="163" t="n">
        <v>0.0009110871763834</v>
      </c>
      <c r="N266" s="163" t="n">
        <v>-0.0003020536398305</v>
      </c>
      <c r="O266" s="163" t="n">
        <v>0.0018079199102941</v>
      </c>
      <c r="P266" s="163" t="n">
        <v>-0.008446369477056299</v>
      </c>
      <c r="Q266" s="163" t="n">
        <v>-0.0002634084738718</v>
      </c>
      <c r="R266" s="163" t="n">
        <v>-0.0007853187815263</v>
      </c>
      <c r="S266" s="163" t="n">
        <v>0.0001824113381515</v>
      </c>
      <c r="T266" s="163" t="n">
        <v>-0.0066064425541803</v>
      </c>
      <c r="U266" s="163" t="n">
        <v>0.0029280108645326</v>
      </c>
      <c r="V266" s="171" t="n">
        <v>-40.14450150540935</v>
      </c>
      <c r="W266" s="171" t="n">
        <v>-0.0049749983952822</v>
      </c>
      <c r="X266" s="171" t="n">
        <v>-19.18788713090235</v>
      </c>
      <c r="Y266" s="171" t="n">
        <v>166.6425554332802</v>
      </c>
      <c r="Z266" s="171" t="n">
        <v>-79.53054176683753</v>
      </c>
      <c r="AA266" s="171" t="n">
        <v>-0.0129371497988374</v>
      </c>
      <c r="AB266" s="171" t="n">
        <v>-27.75758206281957</v>
      </c>
      <c r="AC266" s="171" t="n">
        <v>0.000304947271324</v>
      </c>
      <c r="AD266" s="171" t="n">
        <v>-0.0008098065907082</v>
      </c>
      <c r="AE266" s="171" t="n">
        <v>-0.0004567045338116</v>
      </c>
      <c r="AF266" s="171" t="n">
        <v>0.0001405258315537</v>
      </c>
      <c r="AG266" s="171" t="n">
        <v>-0.001022704585061</v>
      </c>
      <c r="AH266" s="171" t="n">
        <v>-0.0060951004765165</v>
      </c>
      <c r="AI266" s="171" t="n">
        <v>9.799336944477091e-05</v>
      </c>
      <c r="AJ266" s="171" t="n">
        <v>-0.0001406080150528</v>
      </c>
      <c r="AK266" s="171" t="n">
        <v>0.0015151058977056</v>
      </c>
      <c r="AL266" s="171" t="n">
        <v>0.0005431110074553</v>
      </c>
      <c r="AM266" s="171" t="n">
        <v>-0</v>
      </c>
      <c r="AN266" s="1" t="n">
        <v>-0.000899137528809</v>
      </c>
      <c r="AO266" s="1" t="n">
        <v>-7.100006346738574e-15</v>
      </c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64" t="inlineStr">
        <is>
          <t>2025-02</t>
        </is>
      </c>
      <c r="B267" s="163" t="n">
        <v>-0.0425914735151593</v>
      </c>
      <c r="C267" s="163" t="n">
        <v>-0.0350430741303033</v>
      </c>
      <c r="D267" s="163" t="n">
        <v>-0.0075483993848559</v>
      </c>
      <c r="E267" s="170" t="n">
        <v>4127.95392857143</v>
      </c>
      <c r="F267" s="170" t="n">
        <v>4159.231271895358</v>
      </c>
      <c r="G267" s="163" t="n">
        <v>0.0056651267225528</v>
      </c>
      <c r="H267" s="163" t="n">
        <v>-0.0001032114878694</v>
      </c>
      <c r="I267" s="163" t="n">
        <v>0.0016044662884474</v>
      </c>
      <c r="J267" s="163" t="n">
        <v>-9.455854904267792e-05</v>
      </c>
      <c r="K267" s="163" t="n">
        <v>-1.129680818257543e-05</v>
      </c>
      <c r="L267" s="163" t="n">
        <v>-0.0015160564659828</v>
      </c>
      <c r="M267" s="163" t="n">
        <v>0.0002006450324352</v>
      </c>
      <c r="N267" s="163" t="n">
        <v>0.0009550936091441</v>
      </c>
      <c r="O267" s="163" t="n">
        <v>-0.0012063124028094</v>
      </c>
      <c r="P267" s="163" t="n">
        <v>-0.0039341805261728</v>
      </c>
      <c r="Q267" s="163" t="n">
        <v>0.0003948390597023</v>
      </c>
      <c r="R267" s="163" t="n">
        <v>-0.0003411848260534</v>
      </c>
      <c r="S267" s="163" t="n">
        <v>-0.0005651313737699</v>
      </c>
      <c r="T267" s="163" t="n">
        <v>-0.0079809804792727</v>
      </c>
      <c r="U267" s="163" t="n">
        <v>-0.0180981603902861</v>
      </c>
      <c r="V267" s="171" t="n">
        <v>57.6518138299012</v>
      </c>
      <c r="W267" s="171" t="n">
        <v>0.0259158846730494</v>
      </c>
      <c r="X267" s="171" t="n">
        <v>25.71401198101032</v>
      </c>
      <c r="Y267" s="171" t="n">
        <v>-124.8311373921547</v>
      </c>
      <c r="Z267" s="171" t="n">
        <v>48.23041751099451</v>
      </c>
      <c r="AA267" s="171" t="n">
        <v>-0.0119382919395761</v>
      </c>
      <c r="AB267" s="171" t="n">
        <v>-6.780107281016045</v>
      </c>
      <c r="AC267" s="171" t="n">
        <v>-0.0004126467554147</v>
      </c>
      <c r="AD267" s="171" t="n">
        <v>0.0003117679279049</v>
      </c>
      <c r="AE267" s="171" t="n">
        <v>9.680150444919952e-05</v>
      </c>
      <c r="AF267" s="171" t="n">
        <v>-0.0021769594922056</v>
      </c>
      <c r="AG267" s="171" t="n">
        <v>0.0007168180712943</v>
      </c>
      <c r="AH267" s="171" t="n">
        <v>0.0005851470325998</v>
      </c>
      <c r="AI267" s="171" t="n">
        <v>-0.0006877640871654</v>
      </c>
      <c r="AJ267" s="171" t="n">
        <v>-1.407300417509577e-05</v>
      </c>
      <c r="AK267" s="171" t="n">
        <v>-0.0059565656210353</v>
      </c>
      <c r="AL267" s="171" t="n">
        <v>-0.0014509385781782</v>
      </c>
      <c r="AM267" s="171" t="n">
        <v>-0</v>
      </c>
      <c r="AN267" s="1" t="n">
        <v>-0.0350430741303024</v>
      </c>
      <c r="AO267" s="1" t="n">
        <v>-9.020562075079397e-16</v>
      </c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64" t="inlineStr">
        <is>
          <t>2025-03</t>
        </is>
      </c>
      <c r="B268" s="163" t="n">
        <v>0.0023544683493827</v>
      </c>
      <c r="C268" s="163" t="n">
        <v>0.0153869085089536</v>
      </c>
      <c r="D268" s="163" t="n">
        <v>-0.0130324401595708</v>
      </c>
      <c r="E268" s="170" t="n">
        <v>4137.684516129031</v>
      </c>
      <c r="F268" s="170" t="n">
        <v>4191.961554895358</v>
      </c>
      <c r="G268" s="163" t="n">
        <v>0.0056651267225528</v>
      </c>
      <c r="H268" s="163" t="n">
        <v>-6.046499200359491e-05</v>
      </c>
      <c r="I268" s="163" t="n">
        <v>0.0019320568040084</v>
      </c>
      <c r="J268" s="163" t="n">
        <v>0</v>
      </c>
      <c r="K268" s="163" t="n">
        <v>-3.015827194393848e-05</v>
      </c>
      <c r="L268" s="163" t="n">
        <v>-0.0026018479481081</v>
      </c>
      <c r="M268" s="163" t="n">
        <v>0.0041807359678418</v>
      </c>
      <c r="N268" s="163" t="n">
        <v>0.0030918498243185</v>
      </c>
      <c r="O268" s="163" t="n">
        <v>-0.0024571400026347</v>
      </c>
      <c r="P268" s="163" t="n">
        <v>0.0130502422809189</v>
      </c>
      <c r="Q268" s="163" t="n">
        <v>-0.0001064961244236</v>
      </c>
      <c r="R268" s="163" t="n">
        <v>0.0002826535883999</v>
      </c>
      <c r="S268" s="163" t="n">
        <v>0.0029304761103651</v>
      </c>
      <c r="T268" s="163" t="n">
        <v>-0.0037192158240593</v>
      </c>
      <c r="U268" s="163" t="n">
        <v>-0.0105751665885684</v>
      </c>
      <c r="V268" s="171" t="n">
        <v>23.04872247747745</v>
      </c>
      <c r="W268" s="171" t="n">
        <v>0.0158389497487485</v>
      </c>
      <c r="X268" s="171" t="n">
        <v>99.69891559680948</v>
      </c>
      <c r="Y268" s="171" t="n">
        <v>-119.6204893538196</v>
      </c>
      <c r="Z268" s="171" t="n">
        <v>-28.84227991098089</v>
      </c>
      <c r="AA268" s="171" t="n">
        <v>0.0076589315813911</v>
      </c>
      <c r="AB268" s="171" t="n">
        <v>25.69183509098022</v>
      </c>
      <c r="AC268" s="171" t="n">
        <v>-0.0026122280421905</v>
      </c>
      <c r="AD268" s="171" t="n">
        <v>0.0008439724704775</v>
      </c>
      <c r="AE268" s="171" t="n">
        <v>0.0015078695885356</v>
      </c>
      <c r="AF268" s="171" t="n">
        <v>-0.0021436143796335</v>
      </c>
      <c r="AG268" s="171" t="n">
        <v>0.0005282271980653999</v>
      </c>
      <c r="AH268" s="171" t="n">
        <v>0.0045598091724785</v>
      </c>
      <c r="AI268" s="171" t="n">
        <v>-0.0008355462355428001</v>
      </c>
      <c r="AJ268" s="171" t="n">
        <v>-3.519223089786821e-05</v>
      </c>
      <c r="AK268" s="171" t="n">
        <v>0.0003382390460714</v>
      </c>
      <c r="AL268" s="171" t="n">
        <v>0.0014509385781782</v>
      </c>
      <c r="AM268" s="171" t="n">
        <v>-0</v>
      </c>
      <c r="AN268" s="1" t="n">
        <v>0.0153869085089534</v>
      </c>
      <c r="AO268" s="1" t="n">
        <v>1.994931997373328e-16</v>
      </c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64" t="inlineStr">
        <is>
          <t>2025-04</t>
        </is>
      </c>
      <c r="B269" s="163" t="n">
        <v>0.0338769523986712</v>
      </c>
      <c r="C269" s="163" t="n">
        <v>0.0238313816596957</v>
      </c>
      <c r="D269" s="163" t="n">
        <v>0.0100455707389754</v>
      </c>
      <c r="E269" s="170" t="n">
        <v>4280.258000000003</v>
      </c>
      <c r="F269" s="170" t="n">
        <v>4237.475612008484</v>
      </c>
      <c r="G269" s="163" t="n">
        <v>0.0056651267225528</v>
      </c>
      <c r="H269" s="163" t="n">
        <v>-0.0001344453635472</v>
      </c>
      <c r="I269" s="163" t="n">
        <v>0.0031643311908006</v>
      </c>
      <c r="J269" s="163" t="n">
        <v>0</v>
      </c>
      <c r="K269" s="163" t="n">
        <v>-3.63497651045077e-05</v>
      </c>
      <c r="L269" s="163" t="n">
        <v>-0.0034009060777861</v>
      </c>
      <c r="M269" s="163" t="n">
        <v>0.0063067254738642</v>
      </c>
      <c r="N269" s="163" t="n">
        <v>0.0135726691605057</v>
      </c>
      <c r="O269" s="163" t="n">
        <v>-0.0015079375173565</v>
      </c>
      <c r="P269" s="163" t="n">
        <v>-0.0008711481531638</v>
      </c>
      <c r="Q269" s="163" t="n">
        <v>-0.0001468997638378</v>
      </c>
      <c r="R269" s="163" t="n">
        <v>-0.0001097657795658</v>
      </c>
      <c r="S269" s="163" t="n">
        <v>-0.0020280539128408</v>
      </c>
      <c r="T269" s="163" t="n">
        <v>-0.004645300252076</v>
      </c>
      <c r="U269" s="163" t="n">
        <v>0.0070097477698893</v>
      </c>
      <c r="V269" s="171" t="n">
        <v>-26.26668422696781</v>
      </c>
      <c r="W269" s="171" t="n">
        <v>-0.0053011317542664</v>
      </c>
      <c r="X269" s="171" t="n">
        <v>79.91698909380928</v>
      </c>
      <c r="Y269" s="171" t="n">
        <v>-1.002856890285317</v>
      </c>
      <c r="Z269" s="171" t="n">
        <v>-79.33278417587162</v>
      </c>
      <c r="AA269" s="171" t="n">
        <v>0.0188210149595781</v>
      </c>
      <c r="AB269" s="171" t="n">
        <v>26.66899340960964</v>
      </c>
      <c r="AC269" s="171" t="n">
        <v>-0.0028147149625123</v>
      </c>
      <c r="AD269" s="171" t="n">
        <v>0.0017595941082391</v>
      </c>
      <c r="AE269" s="171" t="n">
        <v>0.001210018805615</v>
      </c>
      <c r="AF269" s="171" t="n">
        <v>-0.0018577991290157</v>
      </c>
      <c r="AG269" s="171" t="n">
        <v>0.0009447190554113</v>
      </c>
      <c r="AH269" s="171" t="n">
        <v>0.0049545489932186</v>
      </c>
      <c r="AI269" s="171" t="n">
        <v>-2.806276630749982e-05</v>
      </c>
      <c r="AJ269" s="171" t="n">
        <v>-2.816378869557158e-05</v>
      </c>
      <c r="AK269" s="171" t="n">
        <v>-0.0005044197871439</v>
      </c>
      <c r="AL269" s="171" t="n">
        <v>0.0001807738990749</v>
      </c>
      <c r="AM269" s="171" t="n">
        <v>-0</v>
      </c>
      <c r="AN269" s="1" t="n">
        <v>0.0238313816597006</v>
      </c>
      <c r="AO269" s="1" t="n">
        <v>-4.898859096158503e-15</v>
      </c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64" t="inlineStr">
        <is>
          <t>2025-05</t>
        </is>
      </c>
      <c r="B270" s="163" t="n">
        <v>-0.0181250152925365</v>
      </c>
      <c r="C270" s="163" t="n">
        <v>-0.022605828698842</v>
      </c>
      <c r="D270" s="163" t="n">
        <v>0.0044808134063054</v>
      </c>
      <c r="E270" s="170" t="n">
        <v>4203.377096774196</v>
      </c>
      <c r="F270" s="170" t="n">
        <v>4184.584682420644</v>
      </c>
      <c r="G270" s="163" t="n">
        <v>0.0056651267225528</v>
      </c>
      <c r="H270" s="163" t="n">
        <v>-0.0004136282457893</v>
      </c>
      <c r="I270" s="163" t="n">
        <v>0.00268252078215</v>
      </c>
      <c r="J270" s="163" t="n">
        <v>0</v>
      </c>
      <c r="K270" s="163" t="n">
        <v>3.329825389629028e-05</v>
      </c>
      <c r="L270" s="163" t="n">
        <v>-0.0029539532176982</v>
      </c>
      <c r="M270" s="163" t="n">
        <v>-0.0073867802876749</v>
      </c>
      <c r="N270" s="163" t="n">
        <v>-0.007970371772473299</v>
      </c>
      <c r="O270" s="163" t="n">
        <v>-0.0028763476560673</v>
      </c>
      <c r="P270" s="163" t="n">
        <v>-0.0038593384072456</v>
      </c>
      <c r="Q270" s="163" t="n">
        <v>0.0002147292555585</v>
      </c>
      <c r="R270" s="163" t="n">
        <v>6.06786808977594e-05</v>
      </c>
      <c r="S270" s="163" t="n">
        <v>-0.0004178520644118</v>
      </c>
      <c r="T270" s="163" t="n">
        <v>-0.002264162628282</v>
      </c>
      <c r="U270" s="163" t="n">
        <v>-0.0148100404371033</v>
      </c>
      <c r="V270" s="171" t="n">
        <v>-20.68526389237219</v>
      </c>
      <c r="W270" s="171" t="n">
        <v>-0.0072530496722584</v>
      </c>
      <c r="X270" s="171" t="n">
        <v>-59.14638167780717</v>
      </c>
      <c r="Y270" s="171" t="n">
        <v>101.5199744319567</v>
      </c>
      <c r="Z270" s="171" t="n">
        <v>-0.9892034119534526</v>
      </c>
      <c r="AA270" s="171" t="n">
        <v>-0.0036471589114745</v>
      </c>
      <c r="AB270" s="171" t="n">
        <v>-20.68032722292204</v>
      </c>
      <c r="AC270" s="171" t="n">
        <v>0.0021498095224357</v>
      </c>
      <c r="AD270" s="171" t="n">
        <v>-0.0020679933282789</v>
      </c>
      <c r="AE270" s="171" t="n">
        <v>-0.0012311165694052</v>
      </c>
      <c r="AF270" s="171" t="n">
        <v>0.0031963672194091</v>
      </c>
      <c r="AG270" s="171" t="n">
        <v>0.0008035001591083</v>
      </c>
      <c r="AH270" s="171" t="n">
        <v>0.0016072242459264</v>
      </c>
      <c r="AI270" s="171" t="n">
        <v>-0.0004303334688203</v>
      </c>
      <c r="AJ270" s="171" t="n">
        <v>-7.749631878425719e-05</v>
      </c>
      <c r="AK270" s="171" t="n">
        <v>0.0009289311307524</v>
      </c>
      <c r="AL270" s="171" t="n">
        <v>-0.0010866185875744</v>
      </c>
      <c r="AM270" s="171" t="n">
        <v>-0</v>
      </c>
      <c r="AN270" s="1" t="n">
        <v>-0.0226058286988441</v>
      </c>
      <c r="AO270" s="1" t="n">
        <v>2.099015405931937e-15</v>
      </c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64" t="inlineStr">
        <is>
          <t>2025-06</t>
        </is>
      </c>
      <c r="B271" s="163" t="n">
        <v>-0.0216176717677321</v>
      </c>
      <c r="C271" s="163" t="n">
        <v>-0.022969222839446</v>
      </c>
      <c r="D271" s="163" t="n">
        <v>0.0013515510717139</v>
      </c>
      <c r="E271" s="170" t="n">
        <v>4113.485000000001</v>
      </c>
      <c r="F271" s="170" t="n">
        <v>4107.92917027931</v>
      </c>
      <c r="G271" s="163" t="n">
        <v>0.0056651267225528</v>
      </c>
      <c r="H271" s="163" t="n">
        <v>0.0006139413598707</v>
      </c>
      <c r="I271" s="163" t="n">
        <v>0.0021420532653857</v>
      </c>
      <c r="J271" s="163" t="n">
        <v>-0.0008343401386118</v>
      </c>
      <c r="K271" s="163" t="n">
        <v>-9.953107233786579e-06</v>
      </c>
      <c r="L271" s="163" t="n">
        <v>-0.0029141531908769</v>
      </c>
      <c r="M271" s="163" t="n">
        <v>-0.0017560698001242</v>
      </c>
      <c r="N271" s="163" t="n">
        <v>-0.0026646099880806</v>
      </c>
      <c r="O271" s="163" t="n">
        <v>0.0001417089330879</v>
      </c>
      <c r="P271" s="163" t="n">
        <v>-0.0061257436293412</v>
      </c>
      <c r="Q271" s="163" t="n">
        <v>-0.0001754249038858</v>
      </c>
      <c r="R271" s="163" t="n">
        <v>0.0001088518004702</v>
      </c>
      <c r="S271" s="163" t="n">
        <v>0.0006006870081567</v>
      </c>
      <c r="T271" s="163" t="n">
        <v>-0.0007531125905536</v>
      </c>
      <c r="U271" s="163" t="n">
        <v>-0.0123784482136199</v>
      </c>
      <c r="V271" s="171" t="n">
        <v>6.853172535770706</v>
      </c>
      <c r="W271" s="171" t="n">
        <v>0.0001972423308826</v>
      </c>
      <c r="X271" s="171" t="n">
        <v>12.8777765979213</v>
      </c>
      <c r="Y271" s="171" t="n">
        <v>-28.26934352965021</v>
      </c>
      <c r="Z271" s="171" t="n">
        <v>3.867905823303973</v>
      </c>
      <c r="AA271" s="171" t="n">
        <v>0.0059553580545528</v>
      </c>
      <c r="AB271" s="171" t="n">
        <v>4.6657881120519</v>
      </c>
      <c r="AC271" s="171" t="n">
        <v>0.0025924791114352</v>
      </c>
      <c r="AD271" s="171" t="n">
        <v>-0.0006388574915822</v>
      </c>
      <c r="AE271" s="171" t="n">
        <v>-0.0012447680636224</v>
      </c>
      <c r="AF271" s="171" t="n">
        <v>0.0017458548225237</v>
      </c>
      <c r="AG271" s="171" t="n">
        <v>-0.0014897462415735</v>
      </c>
      <c r="AH271" s="171" t="n">
        <v>-0.005097303146347</v>
      </c>
      <c r="AI271" s="171" t="n">
        <v>0.0014503244990456</v>
      </c>
      <c r="AJ271" s="171" t="n">
        <v>-0.0001057854605848</v>
      </c>
      <c r="AK271" s="171" t="n">
        <v>-0.0029308109595871</v>
      </c>
      <c r="AL271" s="171" t="n">
        <v>-0.0003632632194523</v>
      </c>
      <c r="AM271" s="171" t="n">
        <v>-0</v>
      </c>
      <c r="AN271" s="1" t="n">
        <v>-0.0229692228394456</v>
      </c>
      <c r="AO271" s="1" t="n">
        <v>-3.989863994746656e-16</v>
      </c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64" t="inlineStr">
        <is>
          <t>2025-07</t>
        </is>
      </c>
      <c r="B272" s="163" t="n">
        <v>-0.0178159343575323</v>
      </c>
      <c r="C272" s="163" t="n">
        <v>-0.0083614953062594</v>
      </c>
      <c r="D272" s="163" t="n">
        <v>-0.009454439051272899</v>
      </c>
      <c r="E272" s="170" t="n">
        <v>4040.848387096774</v>
      </c>
      <c r="F272" s="170" t="n">
        <v>4079.233510869309</v>
      </c>
      <c r="G272" s="163" t="n">
        <v>0.0056651267225528</v>
      </c>
      <c r="H272" s="163" t="n">
        <v>3.05784805271929e-05</v>
      </c>
      <c r="I272" s="163" t="n">
        <v>0.0010461309237472</v>
      </c>
      <c r="J272" s="163" t="n">
        <v>-2.781133795372808e-05</v>
      </c>
      <c r="K272" s="163" t="n">
        <v>2.762681125412618e-05</v>
      </c>
      <c r="L272" s="163" t="n">
        <v>-0.0008094728094280999</v>
      </c>
      <c r="M272" s="163" t="n">
        <v>-0.0019272882348802</v>
      </c>
      <c r="N272" s="163" t="n">
        <v>-0.007854545316126201</v>
      </c>
      <c r="O272" s="163" t="n">
        <v>-0.0020944770778285</v>
      </c>
      <c r="P272" s="163" t="n">
        <v>0.0032902705966202</v>
      </c>
      <c r="Q272" s="163" t="n">
        <v>0.0001632186582243</v>
      </c>
      <c r="R272" s="163" t="n">
        <v>-0.0005057915372717</v>
      </c>
      <c r="S272" s="163" t="n">
        <v>-0.0061495215818961</v>
      </c>
      <c r="T272" s="163" t="n">
        <v>-0.0019261976086666</v>
      </c>
      <c r="U272" s="163" t="n">
        <v>-0.0055080842203276</v>
      </c>
      <c r="V272" s="171" t="n">
        <v>22.38283874068245</v>
      </c>
      <c r="W272" s="171" t="n">
        <v>0.0128490684756662</v>
      </c>
      <c r="X272" s="171" t="n">
        <v>2.795723758193736</v>
      </c>
      <c r="Y272" s="171" t="n">
        <v>5.83480372529645</v>
      </c>
      <c r="Z272" s="171" t="n">
        <v>-6.250552428744197</v>
      </c>
      <c r="AA272" s="171" t="n">
        <v>-0.0119730170594277</v>
      </c>
      <c r="AB272" s="171" t="n">
        <v>-24.75467740527728</v>
      </c>
      <c r="AC272" s="171" t="n">
        <v>-0.0006669304950645</v>
      </c>
      <c r="AD272" s="171" t="n">
        <v>-0.0001821154251967</v>
      </c>
      <c r="AE272" s="171" t="n">
        <v>-0.0006205224644178999</v>
      </c>
      <c r="AF272" s="171" t="n">
        <v>0.0015362569720706</v>
      </c>
      <c r="AG272" s="171" t="n">
        <v>8.192648010106088e-05</v>
      </c>
      <c r="AH272" s="171" t="n">
        <v>0.0004261183199627</v>
      </c>
      <c r="AI272" s="171" t="n">
        <v>-0.0019913248446754</v>
      </c>
      <c r="AJ272" s="171" t="n">
        <v>-7.765584568689969e-05</v>
      </c>
      <c r="AK272" s="171" t="n">
        <v>-0.0023704161994359</v>
      </c>
      <c r="AL272" s="171" t="n">
        <v>0.0030709641601296</v>
      </c>
      <c r="AM272" s="171" t="n">
        <v>-0</v>
      </c>
      <c r="AN272" s="1" t="n">
        <v>-0.008361495306259899</v>
      </c>
      <c r="AO272" s="1" t="n">
        <v>4.996003610813204e-16</v>
      </c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64" t="inlineStr">
        <is>
          <t>2025-08</t>
        </is>
      </c>
      <c r="B273" s="163" t="n">
        <v>0.0016229021438416</v>
      </c>
      <c r="C273" s="163" t="n">
        <v>0.0077028337256869</v>
      </c>
      <c r="D273" s="163" t="n">
        <v>-0.0060799315818453</v>
      </c>
      <c r="E273" s="170" t="n">
        <v>4047.411612903224</v>
      </c>
      <c r="F273" s="170" t="n">
        <v>4072.094557866676</v>
      </c>
      <c r="G273" s="163" t="n">
        <v>0.0056651267225528</v>
      </c>
      <c r="H273" s="163" t="n">
        <v>0.0002459175616331</v>
      </c>
      <c r="I273" s="163" t="n">
        <v>0.0023562323238103</v>
      </c>
      <c r="J273" s="163" t="n">
        <v>0</v>
      </c>
      <c r="K273" s="163" t="n">
        <v>5.572973720307502e-06</v>
      </c>
      <c r="L273" s="163" t="n">
        <v>0.0007792045810466</v>
      </c>
      <c r="M273" s="163" t="n">
        <v>-0.0006507635262289</v>
      </c>
      <c r="N273" s="163" t="n">
        <v>-0.0060531549422036</v>
      </c>
      <c r="O273" s="163" t="n">
        <v>0.0010313644318271</v>
      </c>
      <c r="P273" s="163" t="n">
        <v>-0.0022290637590498</v>
      </c>
      <c r="Q273" s="163" t="n">
        <v>-0.0002894659210412</v>
      </c>
      <c r="R273" s="163" t="n">
        <v>0.0005224829548317</v>
      </c>
      <c r="S273" s="163" t="n">
        <v>0.0044075806707282</v>
      </c>
      <c r="T273" s="163" t="n">
        <v>-0.0013124430990593</v>
      </c>
      <c r="U273" s="163" t="n">
        <v>-0.0023210519315495</v>
      </c>
      <c r="V273" s="171" t="n">
        <v>35.81482828118382</v>
      </c>
      <c r="W273" s="171" t="n">
        <v>0.0154561824531743</v>
      </c>
      <c r="X273" s="171" t="n">
        <v>74.13445198919445</v>
      </c>
      <c r="Y273" s="171" t="n">
        <v>-89.10699054520899</v>
      </c>
      <c r="Z273" s="171" t="n">
        <v>-21.35740436719522</v>
      </c>
      <c r="AA273" s="171" t="n">
        <v>0.0004248720546551</v>
      </c>
      <c r="AB273" s="171" t="n">
        <v>0.4971507235132708</v>
      </c>
      <c r="AC273" s="171" t="n">
        <v>0.0011707604604012</v>
      </c>
      <c r="AD273" s="171" t="n">
        <v>0.000344155403522</v>
      </c>
      <c r="AE273" s="171" t="n">
        <v>-0.0003388052655722</v>
      </c>
      <c r="AF273" s="171" t="n">
        <v>0.0007859919391989</v>
      </c>
      <c r="AG273" s="171" t="n">
        <v>0.000660582881672</v>
      </c>
      <c r="AH273" s="171" t="n">
        <v>0.0024507542157775</v>
      </c>
      <c r="AI273" s="171" t="n">
        <v>0.0003765842188362</v>
      </c>
      <c r="AJ273" s="171" t="n">
        <v>-7.06549595357621e-05</v>
      </c>
      <c r="AK273" s="171" t="n">
        <v>0.0015316847999761</v>
      </c>
      <c r="AL273" s="171" t="n">
        <v>0.0007171049952388</v>
      </c>
      <c r="AM273" s="171" t="n">
        <v>-0</v>
      </c>
      <c r="AN273" s="1" t="n">
        <v>0.0077028337256814</v>
      </c>
      <c r="AO273" s="1" t="n">
        <v>5.500808142322455e-15</v>
      </c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64" t="inlineStr">
        <is>
          <t>2025-09</t>
        </is>
      </c>
      <c r="B274" s="163" t="n">
        <v>-0.0314217885094496</v>
      </c>
      <c r="C274" s="163" t="n">
        <v>-0.0339235760180681</v>
      </c>
      <c r="D274" s="163" t="n">
        <v>0.0025017875086184</v>
      </c>
      <c r="E274" s="170" t="n">
        <v>3922.211999999997</v>
      </c>
      <c r="F274" s="170" t="n">
        <v>3912.411723228857</v>
      </c>
      <c r="G274" s="163" t="n">
        <v>0.0056651267225528</v>
      </c>
      <c r="H274" s="163" t="n">
        <v>0.0001774314918287</v>
      </c>
      <c r="I274" s="163" t="n">
        <v>0.0013281874339433</v>
      </c>
      <c r="J274" s="163" t="n">
        <v>0</v>
      </c>
      <c r="K274" s="163" t="n">
        <v>3.380211884316801e-05</v>
      </c>
      <c r="L274" s="163" t="n">
        <v>-0.0009202217965086</v>
      </c>
      <c r="M274" s="163" t="n">
        <v>4.10472161366873e-05</v>
      </c>
      <c r="N274" s="163" t="n">
        <v>-0.0110776799436753</v>
      </c>
      <c r="O274" s="163" t="n">
        <v>-0.0021381417532542</v>
      </c>
      <c r="P274" s="163" t="n">
        <v>-0.0081311973020696</v>
      </c>
      <c r="Q274" s="163" t="n">
        <v>0.0003436263386555</v>
      </c>
      <c r="R274" s="163" t="n">
        <v>0.0002335350302421</v>
      </c>
      <c r="S274" s="163" t="n">
        <v>-0.0018131199970276</v>
      </c>
      <c r="T274" s="163" t="n">
        <v>-0.0022909298524058</v>
      </c>
      <c r="U274" s="163" t="n">
        <v>-0.009092344687078801</v>
      </c>
      <c r="V274" s="171" t="n">
        <v>38.24116000881911</v>
      </c>
      <c r="W274" s="171" t="n">
        <v>0.010833681490806</v>
      </c>
      <c r="X274" s="171" t="n">
        <v>56.18033893880221</v>
      </c>
      <c r="Y274" s="171" t="n">
        <v>-101.183351140113</v>
      </c>
      <c r="Z274" s="171" t="n">
        <v>3.758640599724082</v>
      </c>
      <c r="AA274" s="171" t="n">
        <v>0.0013134265920347</v>
      </c>
      <c r="AB274" s="171" t="n">
        <v>2.99147590527755</v>
      </c>
      <c r="AC274" s="171" t="n">
        <v>0.0006227880120217</v>
      </c>
      <c r="AD274" s="171" t="n">
        <v>0.0005347011484016</v>
      </c>
      <c r="AE274" s="171" t="n">
        <v>-6.453433629946817e-05</v>
      </c>
      <c r="AF274" s="171" t="n">
        <v>0.0002619973130663</v>
      </c>
      <c r="AG274" s="171" t="n">
        <v>-2.459557383158378e-05</v>
      </c>
      <c r="AH274" s="171" t="n">
        <v>-0.0041607310270221</v>
      </c>
      <c r="AI274" s="171" t="n">
        <v>-0.0018007696089421</v>
      </c>
      <c r="AJ274" s="171" t="n">
        <v>-2.120740984384733e-05</v>
      </c>
      <c r="AK274" s="171" t="n">
        <v>-0.0002451138587321</v>
      </c>
      <c r="AL274" s="171" t="n">
        <v>-0.0017966522899231</v>
      </c>
      <c r="AM274" s="171" t="n">
        <v>-0</v>
      </c>
      <c r="AN274" s="1" t="n">
        <v>-0.0339235760180697</v>
      </c>
      <c r="AO274" s="1" t="n">
        <v>1.60288449180257e-15</v>
      </c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64" t="inlineStr">
        <is>
          <t>2025-10</t>
        </is>
      </c>
      <c r="B275" s="163" t="n">
        <v>-0.0113762349946515</v>
      </c>
      <c r="C275" s="163" t="n">
        <v>-0.0136805854454001</v>
      </c>
      <c r="D275" s="163" t="n">
        <v>0.0023043504507486</v>
      </c>
      <c r="E275" s="170" t="n">
        <v>3877.844838709677</v>
      </c>
      <c r="F275" s="170" t="n">
        <v>3868.919213042042</v>
      </c>
      <c r="G275" s="163" t="n">
        <v>0.0056651267225528</v>
      </c>
      <c r="H275" s="163" t="n">
        <v>-0.000598679513032</v>
      </c>
      <c r="I275" s="163" t="n">
        <v>0.0009614981504483</v>
      </c>
      <c r="J275" s="163" t="n">
        <v>0.0003793466496888</v>
      </c>
      <c r="K275" s="163" t="n">
        <v>2.339307397101344e-05</v>
      </c>
      <c r="L275" s="163" t="n">
        <v>0.0012322334043226</v>
      </c>
      <c r="M275" s="163" t="n">
        <v>0.0022494655651865</v>
      </c>
      <c r="N275" s="163" t="n">
        <v>0.0014119634690986</v>
      </c>
      <c r="O275" s="163" t="n">
        <v>-0.0012909304101595</v>
      </c>
      <c r="P275" s="163" t="n">
        <v>-0.0019084919021998</v>
      </c>
      <c r="Q275" s="163" t="n">
        <v>-7.24927052011248e-05</v>
      </c>
      <c r="R275" s="163" t="n">
        <v>0.0001119960211349</v>
      </c>
      <c r="S275" s="163" t="n">
        <v>-0.0008306073559064</v>
      </c>
      <c r="T275" s="163" t="n">
        <v>-0.0013057778717661</v>
      </c>
      <c r="U275" s="163" t="n">
        <v>-0.0107568391572942</v>
      </c>
      <c r="V275" s="171" t="n">
        <v>-2.220565079355254</v>
      </c>
      <c r="W275" s="171" t="n">
        <v>-0.0052513329479545</v>
      </c>
      <c r="X275" s="171" t="n">
        <v>19.61160752218898</v>
      </c>
      <c r="Y275" s="171" t="n">
        <v>-41.13817145743685</v>
      </c>
      <c r="Z275" s="171" t="n">
        <v>4.756984068402836</v>
      </c>
      <c r="AA275" s="171" t="n">
        <v>0.0068970215987644</v>
      </c>
      <c r="AB275" s="171" t="n">
        <v>18.98030032355226</v>
      </c>
      <c r="AC275" s="171" t="n">
        <v>-0.0017206464928521</v>
      </c>
      <c r="AD275" s="171" t="n">
        <v>0.0002236514221735</v>
      </c>
      <c r="AE275" s="171" t="n">
        <v>0.0001787104697523</v>
      </c>
      <c r="AF275" s="171" t="n">
        <v>0.000338214713231</v>
      </c>
      <c r="AG275" s="171" t="n">
        <v>0.0007515358757670001</v>
      </c>
      <c r="AH275" s="171" t="n">
        <v>-0.0003470803699634</v>
      </c>
      <c r="AI275" s="171" t="n">
        <v>-0.0003229481251678</v>
      </c>
      <c r="AJ275" s="171" t="n">
        <v>-6.365251021188085e-05</v>
      </c>
      <c r="AK275" s="171" t="n">
        <v>0.0025645705999031</v>
      </c>
      <c r="AL275" s="171" t="n">
        <v>-0.0023552111716652</v>
      </c>
      <c r="AM275" s="171" t="n">
        <v>-0</v>
      </c>
      <c r="AN275" s="1" t="n">
        <v>-0.0136805854453984</v>
      </c>
      <c r="AO275" s="1" t="n">
        <v>-1.700029006457271e-15</v>
      </c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64" t="inlineStr">
        <is>
          <t>2025-11</t>
        </is>
      </c>
      <c r="B276" s="163" t="n">
        <v>-0.0239210697396483</v>
      </c>
      <c r="C276" s="163" t="n">
        <v>-0.01435192250181</v>
      </c>
      <c r="D276" s="163" t="n">
        <v>-0.009569147237838299</v>
      </c>
      <c r="E276" s="170" t="n">
        <v>3786.183333333337</v>
      </c>
      <c r="F276" s="170" t="n">
        <v>3822.587781088256</v>
      </c>
      <c r="G276" s="163" t="n">
        <v>0.0056651267225528</v>
      </c>
      <c r="H276" s="163" t="n">
        <v>-9.027859290121776e-05</v>
      </c>
      <c r="I276" s="163" t="n">
        <v>0.0008470011479493</v>
      </c>
      <c r="J276" s="163" t="n">
        <v>0.0004483187678141</v>
      </c>
      <c r="K276" s="163" t="n">
        <v>2.575374505422774e-05</v>
      </c>
      <c r="L276" s="163" t="n">
        <v>0.0010967185455604</v>
      </c>
      <c r="M276" s="163" t="n">
        <v>0.00147328506649</v>
      </c>
      <c r="N276" s="163" t="n">
        <v>-0.0020751085056356</v>
      </c>
      <c r="O276" s="163" t="n">
        <v>-0.0003664820141888</v>
      </c>
      <c r="P276" s="163" t="n">
        <v>-0.0109392742278279</v>
      </c>
      <c r="Q276" s="163" t="n">
        <v>4.267250184001539e-05</v>
      </c>
      <c r="R276" s="163" t="n">
        <v>-0.0009413427819243</v>
      </c>
      <c r="S276" s="163" t="n">
        <v>0.0030161544296818</v>
      </c>
      <c r="T276" s="163" t="n">
        <v>-0.000512325134077</v>
      </c>
      <c r="U276" s="163" t="n">
        <v>-0.008941406653123001</v>
      </c>
      <c r="V276" s="171" t="n">
        <v>-20.27944633604216</v>
      </c>
      <c r="W276" s="171" t="n">
        <v>-0.0031568537413047</v>
      </c>
      <c r="X276" s="171" t="n">
        <v>-11.89740392788585</v>
      </c>
      <c r="Y276" s="171" t="n">
        <v>22.49064368632813</v>
      </c>
      <c r="Z276" s="171" t="n">
        <v>-1.426679763396952</v>
      </c>
      <c r="AA276" s="171" t="n">
        <v>0.000778251215498</v>
      </c>
      <c r="AB276" s="171" t="n">
        <v>11.11160438932641</v>
      </c>
      <c r="AC276" s="171" t="n">
        <v>0.0006061231099638</v>
      </c>
      <c r="AD276" s="171" t="n">
        <v>0.0004370941205121</v>
      </c>
      <c r="AE276" s="171" t="n">
        <v>0.0002556552553401</v>
      </c>
      <c r="AF276" s="171" t="n">
        <v>-0.000802664495485</v>
      </c>
      <c r="AG276" s="171" t="n">
        <v>0.0001682763481705</v>
      </c>
      <c r="AH276" s="171" t="n">
        <v>-0.000826892499103</v>
      </c>
      <c r="AI276" s="171" t="n">
        <v>-0.0011754678080741</v>
      </c>
      <c r="AJ276" s="171" t="n">
        <v>-7.077834493603325e-05</v>
      </c>
      <c r="AK276" s="171" t="n">
        <v>0.001059982528776</v>
      </c>
      <c r="AL276" s="171" t="n">
        <v>0.0009084904619874</v>
      </c>
      <c r="AM276" s="171" t="n">
        <v>-0</v>
      </c>
      <c r="AN276" s="1" t="n">
        <v>-0.0143519225018112</v>
      </c>
      <c r="AO276" s="1" t="n">
        <v>1.200428645375951e-15</v>
      </c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64" t="inlineStr">
        <is>
          <t>2025-12</t>
        </is>
      </c>
      <c r="B277" s="163" t="n">
        <v>0.0013958415424308</v>
      </c>
      <c r="C277" s="163" t="n">
        <v>0.0007243277323636</v>
      </c>
      <c r="D277" s="163" t="n">
        <v>0.0006715138100672001</v>
      </c>
      <c r="E277" s="170" t="n">
        <v>3791.471935483873</v>
      </c>
      <c r="F277" s="170" t="n">
        <v>3788.92676437313</v>
      </c>
      <c r="G277" s="163" t="n">
        <v>0.0056651267225528</v>
      </c>
      <c r="H277" s="163" t="n">
        <v>0.0001592121128419</v>
      </c>
      <c r="I277" s="163" t="n">
        <v>0.0005681992712182001</v>
      </c>
      <c r="J277" s="163" t="n">
        <v>0.000724207240315</v>
      </c>
      <c r="K277" s="163" t="n">
        <v>-5.051132231891118e-05</v>
      </c>
      <c r="L277" s="163" t="n">
        <v>-0.0020604870879744</v>
      </c>
      <c r="M277" s="163" t="n">
        <v>-0.0039773500655212</v>
      </c>
      <c r="N277" s="163" t="n">
        <v>0.0052647949422459</v>
      </c>
      <c r="O277" s="163" t="n">
        <v>-0.0007173494286857</v>
      </c>
      <c r="P277" s="163" t="n">
        <v>0.0134320392837065</v>
      </c>
      <c r="Q277" s="163" t="n">
        <v>0.0001539319666622</v>
      </c>
      <c r="R277" s="163" t="n">
        <v>-0.000882689962811</v>
      </c>
      <c r="S277" s="163" t="n">
        <v>-0.0007218067893265</v>
      </c>
      <c r="T277" s="163" t="n">
        <v>-0.0018598774887646</v>
      </c>
      <c r="U277" s="163" t="n">
        <v>-0.0055381945848882</v>
      </c>
      <c r="V277" s="171" t="n">
        <v>-20.37947179006719</v>
      </c>
      <c r="W277" s="171" t="n">
        <v>-0.009536959632330101</v>
      </c>
      <c r="X277" s="171" t="n">
        <v>20.39258236103061</v>
      </c>
      <c r="Y277" s="171" t="n">
        <v>34.56700428123209</v>
      </c>
      <c r="Z277" s="171" t="n">
        <v>-40.87433367561104</v>
      </c>
      <c r="AA277" s="171" t="n">
        <v>0.0070675832168592</v>
      </c>
      <c r="AB277" s="171" t="n">
        <v>6.291528121701334</v>
      </c>
      <c r="AC277" s="171" t="n">
        <v>0.0006047297235041</v>
      </c>
      <c r="AD277" s="171" t="n">
        <v>-0.0003032692080624</v>
      </c>
      <c r="AE277" s="171" t="n">
        <v>-0.0003661082540065</v>
      </c>
      <c r="AF277" s="171" t="n">
        <v>-0.00064308431389</v>
      </c>
      <c r="AG277" s="171" t="n">
        <v>0.0002868587254553</v>
      </c>
      <c r="AH277" s="171" t="n">
        <v>-0.0021014109077659</v>
      </c>
      <c r="AI277" s="171" t="n">
        <v>0.0015162946311314</v>
      </c>
      <c r="AJ277" s="171" t="n">
        <v>-9.209592091038818e-05</v>
      </c>
      <c r="AK277" s="171" t="n">
        <v>-0.0026320572669095</v>
      </c>
      <c r="AL277" s="171" t="n">
        <v>-0.0005446961557675</v>
      </c>
      <c r="AM277" s="171" t="n">
        <v>-0</v>
      </c>
      <c r="AN277" s="1" t="n">
        <v>0.0007243277323682</v>
      </c>
      <c r="AO277" s="1" t="n">
        <v>-4.600052977421498e-15</v>
      </c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64" t="inlineStr">
        <is>
          <t>2026-01</t>
        </is>
      </c>
      <c r="B278" s="163" t="n">
        <v>-0.0236112765840061</v>
      </c>
      <c r="C278" s="163" t="n">
        <v>-0.0111429431307502</v>
      </c>
      <c r="D278" s="163" t="n">
        <v>-0.0124683334532559</v>
      </c>
      <c r="E278" s="170" t="n">
        <v>3702.999032258066</v>
      </c>
      <c r="F278" s="170" t="n">
        <v>3749.458291864135</v>
      </c>
      <c r="G278" s="163" t="n">
        <v>0.0056651267225528</v>
      </c>
      <c r="H278" s="163" t="n">
        <v>2.983210272963301e-05</v>
      </c>
      <c r="I278" s="163" t="n">
        <v>0.0011313562057149</v>
      </c>
      <c r="J278" s="163" t="n">
        <v>0.0005517769450019</v>
      </c>
      <c r="K278" s="163" t="n">
        <v>2.924478439673877e-05</v>
      </c>
      <c r="L278" s="163" t="n">
        <v>-0.0016211605697944</v>
      </c>
      <c r="M278" s="163" t="n">
        <v>0.0006585958175229</v>
      </c>
      <c r="N278" s="163" t="n">
        <v>-0.0015574984046533</v>
      </c>
      <c r="O278" s="163" t="n">
        <v>-0.0008213636714408</v>
      </c>
      <c r="P278" s="163" t="n">
        <v>0.0146231854904522</v>
      </c>
      <c r="Q278" s="163" t="n">
        <v>-0.0004135481309373</v>
      </c>
      <c r="R278" s="163" t="n">
        <v>-0.0003778121616974</v>
      </c>
      <c r="S278" s="163" t="n">
        <v>-0.0004116234657566</v>
      </c>
      <c r="T278" s="163" t="n">
        <v>-0.008309433815145401</v>
      </c>
      <c r="U278" s="163" t="n">
        <v>-0.0131467108302305</v>
      </c>
      <c r="V278" s="171" t="n">
        <v>-2.260575260965267</v>
      </c>
      <c r="W278" s="171" t="n">
        <v>0.0029244593118489</v>
      </c>
      <c r="X278" s="171" t="n">
        <v>-14.99222443287013</v>
      </c>
      <c r="Y278" s="171" t="n">
        <v>49.31531225514766</v>
      </c>
      <c r="Z278" s="171" t="n">
        <v>-14.21985097897157</v>
      </c>
      <c r="AA278" s="171" t="n">
        <v>-0.01114676347237</v>
      </c>
      <c r="AB278" s="171" t="n">
        <v>-17.83171072095292</v>
      </c>
      <c r="AC278" s="171" t="n">
        <v>-0.0008026834932103</v>
      </c>
      <c r="AD278" s="171" t="n">
        <v>-0.0007735716061081</v>
      </c>
      <c r="AE278" s="171" t="n">
        <v>-0.0009618098198478</v>
      </c>
      <c r="AF278" s="171" t="n">
        <v>0.0013314227091279</v>
      </c>
      <c r="AG278" s="171" t="n">
        <v>-0.0009093572305298</v>
      </c>
      <c r="AH278" s="171" t="n">
        <v>-0.009175485864589199</v>
      </c>
      <c r="AI278" s="171" t="n">
        <v>0.0002308388841423</v>
      </c>
      <c r="AJ278" s="171" t="n">
        <v>1.41747960347682e-05</v>
      </c>
      <c r="AK278" s="171" t="n">
        <v>0.002603383579591</v>
      </c>
      <c r="AL278" s="171" t="n">
        <v>-0.0014583793313244</v>
      </c>
      <c r="AM278" s="171" t="n">
        <v>-0</v>
      </c>
      <c r="AN278" s="1" t="n">
        <v>-0.0111429431307492</v>
      </c>
      <c r="AO278" s="1" t="n">
        <v>-9.992007221626409e-16</v>
      </c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64" t="inlineStr">
        <is>
          <t>2026-02</t>
        </is>
      </c>
      <c r="B279" s="163" t="n">
        <v>-0.0074153847699331</v>
      </c>
      <c r="C279" s="163" t="n">
        <v>-0.0274931746915383</v>
      </c>
      <c r="D279" s="163" t="n">
        <v>0.0200777899216051</v>
      </c>
      <c r="E279" s="170" t="n">
        <v>3675.64142857143</v>
      </c>
      <c r="F279" s="170" t="n">
        <v>3602.578596630077</v>
      </c>
      <c r="G279" s="163" t="n">
        <v>0.0056651267225528</v>
      </c>
      <c r="H279" s="163" t="n">
        <v>8.644438066278453e-05</v>
      </c>
      <c r="I279" s="163" t="n">
        <v>0.0001571422368001</v>
      </c>
      <c r="J279" s="163" t="n">
        <v>0.0002758884725009</v>
      </c>
      <c r="K279" s="163" t="n">
        <v>0.0001054046964034</v>
      </c>
      <c r="L279" s="163" t="n">
        <v>-0.0022605230977024</v>
      </c>
      <c r="M279" s="163" t="n">
        <v>0.0028407775452823</v>
      </c>
      <c r="N279" s="163" t="n">
        <v>-0.0015536540856009</v>
      </c>
      <c r="O279" s="163" t="n">
        <v>-0.0020620479059377</v>
      </c>
      <c r="P279" s="163" t="n">
        <v>-0.0050135763917232</v>
      </c>
      <c r="Q279" s="163" t="n">
        <v>0.0002005839674127</v>
      </c>
      <c r="R279" s="163" t="n">
        <v>-0.0008215693587466</v>
      </c>
      <c r="S279" s="163" t="n">
        <v>-0.0013211834835579</v>
      </c>
      <c r="T279" s="163" t="n">
        <v>-0.0075775440353736</v>
      </c>
      <c r="U279" s="163" t="n">
        <v>-0.0112265925532476</v>
      </c>
      <c r="V279" s="171" t="n">
        <v>23.50883956599253</v>
      </c>
      <c r="W279" s="171" t="n">
        <v>0.0157745042346977</v>
      </c>
      <c r="X279" s="171" t="n">
        <v>27.17626274309703</v>
      </c>
      <c r="Y279" s="171" t="n">
        <v>-61.51089359924622</v>
      </c>
      <c r="Z279" s="171" t="n">
        <v>9.260123834116262</v>
      </c>
      <c r="AA279" s="171" t="n">
        <v>-0.0063455049893563</v>
      </c>
      <c r="AB279" s="171" t="n">
        <v>1.557167496061466</v>
      </c>
      <c r="AC279" s="171" t="n">
        <v>0.0004593344910573</v>
      </c>
      <c r="AD279" s="171" t="n">
        <v>0.0003539366263589</v>
      </c>
      <c r="AE279" s="171" t="n">
        <v>0.0007136008340806</v>
      </c>
      <c r="AF279" s="171" t="n">
        <v>-0.0019506890854665</v>
      </c>
      <c r="AG279" s="171" t="n">
        <v>-0.0009018489597134</v>
      </c>
      <c r="AH279" s="171" t="n">
        <v>-0.0035286149047382</v>
      </c>
      <c r="AI279" s="171" t="n">
        <v>-0.0001148536604924</v>
      </c>
      <c r="AJ279" s="171" t="n">
        <v>7.086553094797374e-06</v>
      </c>
      <c r="AK279" s="171" t="n">
        <v>-0.0049449982442144</v>
      </c>
      <c r="AL279" s="171" t="n">
        <v>0.0039901552823665</v>
      </c>
      <c r="AM279" s="171" t="n">
        <v>-0</v>
      </c>
      <c r="AN279" s="1" t="n">
        <v>-0.0274931746915361</v>
      </c>
      <c r="AO279" s="1" t="n">
        <v>-2.199629367538591e-15</v>
      </c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64" t="inlineStr">
        <is>
          <t>2026-03</t>
        </is>
      </c>
      <c r="B280" s="163" t="n">
        <v>0.0113391891019674</v>
      </c>
      <c r="C280" s="163" t="n">
        <v>0.0237422146675359</v>
      </c>
      <c r="D280" s="163" t="n">
        <v>-0.0124030255655685</v>
      </c>
      <c r="E280" s="170" t="n">
        <v>3717.557419354841</v>
      </c>
      <c r="F280" s="170" t="n">
        <v>3763.95351024208</v>
      </c>
      <c r="G280" s="163" t="n">
        <v>0.0056651267225528</v>
      </c>
      <c r="H280" s="163" t="n">
        <v>0.0012882127685915</v>
      </c>
      <c r="I280" s="163" t="n">
        <v>0.0010423809669748</v>
      </c>
      <c r="J280" s="163" t="n">
        <v>0.0033254414096101</v>
      </c>
      <c r="K280" s="163" t="n">
        <v>-6.450568682580255e-05</v>
      </c>
      <c r="L280" s="163" t="n">
        <v>0.0034289227628715</v>
      </c>
      <c r="M280" s="163" t="n">
        <v>0.0047555541494722</v>
      </c>
      <c r="N280" s="163" t="n">
        <v>0.0049514829394763</v>
      </c>
      <c r="O280" s="163" t="n">
        <v>-0.0017507909985776</v>
      </c>
      <c r="P280" s="163" t="n">
        <v>0.0193342251538128</v>
      </c>
      <c r="Q280" s="163" t="n">
        <v>-0.0002475624969063</v>
      </c>
      <c r="R280" s="163" t="n">
        <v>-0.000459296817115</v>
      </c>
      <c r="S280" s="163" t="n">
        <v>-0.0024482133670661</v>
      </c>
      <c r="T280" s="163" t="n">
        <v>-0.0054726662368768</v>
      </c>
      <c r="U280" s="163" t="n">
        <v>0.0208494210532118</v>
      </c>
      <c r="V280" s="171" t="n">
        <v>-24.10613442002757</v>
      </c>
      <c r="W280" s="171" t="n">
        <v>-0.0059612100496954</v>
      </c>
      <c r="X280" s="171" t="n">
        <v>-100.9326896773202</v>
      </c>
      <c r="Y280" s="171" t="n">
        <v>84.23997878396418</v>
      </c>
      <c r="Z280" s="171" t="n">
        <v>51.03766129703803</v>
      </c>
      <c r="AA280" s="171" t="n">
        <v>-0.0107801070598191</v>
      </c>
      <c r="AB280" s="171" t="n">
        <v>-10.22016171268195</v>
      </c>
      <c r="AC280" s="171" t="n">
        <v>-0.0017639901009915</v>
      </c>
      <c r="AD280" s="171" t="n">
        <v>0.0007795908201614999</v>
      </c>
      <c r="AE280" s="171" t="n">
        <v>0.0015761270596215</v>
      </c>
      <c r="AF280" s="171" t="n">
        <v>-0.0037155982580314</v>
      </c>
      <c r="AG280" s="171" t="n">
        <v>-0.0054237227941193</v>
      </c>
      <c r="AH280" s="171" t="n">
        <v>-0.0287030240024226</v>
      </c>
      <c r="AI280" s="171" t="n">
        <v>0.0021239440467415</v>
      </c>
      <c r="AJ280" s="171" t="n">
        <v>0.0001062307670249</v>
      </c>
      <c r="AK280" s="171" t="n">
        <v>0.0008592019412671</v>
      </c>
      <c r="AL280" s="171" t="n">
        <v>0.0017927690020632</v>
      </c>
      <c r="AM280" s="171" t="n">
        <v>-0</v>
      </c>
      <c r="AN280" s="1" t="n">
        <v>0.0237422146675343</v>
      </c>
      <c r="AO280" s="1" t="n">
        <v>1.599415044850616e-15</v>
      </c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64" t="inlineStr">
        <is>
          <t>2026-04</t>
        </is>
      </c>
      <c r="B281" s="163" t="n">
        <v>-0.0272785053119513</v>
      </c>
      <c r="C281" s="163" t="n">
        <v>-0.0315103573850802</v>
      </c>
      <c r="D281" s="163" t="n">
        <v>0.0042318520731289</v>
      </c>
      <c r="E281" s="170" t="n">
        <v>3617.518666666665</v>
      </c>
      <c r="F281" s="170" t="n">
        <v>3602.242209449409</v>
      </c>
      <c r="G281" s="163" t="n">
        <v>0.0056651267225528</v>
      </c>
      <c r="H281" s="163" t="n">
        <v>0.0004059327450393</v>
      </c>
      <c r="I281" s="163" t="n">
        <v>0.0020284100024238</v>
      </c>
      <c r="J281" s="163" t="n">
        <v>0.0001231644966522</v>
      </c>
      <c r="K281" s="163" t="n">
        <v>3.184650888001127e-05</v>
      </c>
      <c r="L281" s="163" t="n">
        <v>-0.0014972386211841</v>
      </c>
      <c r="M281" s="163" t="n">
        <v>-0.0042420977027144</v>
      </c>
      <c r="N281" s="163" t="n">
        <v>-0.009877703210894</v>
      </c>
      <c r="O281" s="163" t="n">
        <v>0.0028868274703484</v>
      </c>
      <c r="P281" s="163" t="n">
        <v>-0.0111375674329868</v>
      </c>
      <c r="Q281" s="163" t="n">
        <v>-0.0001835492272896</v>
      </c>
      <c r="R281" s="163" t="n">
        <v>0.0007350928132483</v>
      </c>
      <c r="S281" s="163" t="n">
        <v>-0.000534541238597</v>
      </c>
      <c r="T281" s="163" t="n">
        <v>-0.0055200469205845</v>
      </c>
      <c r="U281" s="163" t="n">
        <v>-0.010449885606368</v>
      </c>
      <c r="V281" s="171" t="n">
        <v>-7.924873828895862</v>
      </c>
      <c r="W281" s="171" t="n">
        <v>-0.0045717257088737</v>
      </c>
      <c r="X281" s="171" t="n">
        <v>-35.1189430189762</v>
      </c>
      <c r="Y281" s="171" t="n">
        <v>51.3210260357183</v>
      </c>
      <c r="Z281" s="171" t="n">
        <v>4.721254755749317</v>
      </c>
      <c r="AA281" s="171" t="n">
        <v>-0.0041322892623428</v>
      </c>
      <c r="AB281" s="171" t="n">
        <v>-12.98591976073242</v>
      </c>
      <c r="AC281" s="171" t="n">
        <v>0.0019214056139638</v>
      </c>
      <c r="AD281" s="171" t="n">
        <v>-0.0008817635587109</v>
      </c>
      <c r="AE281" s="171" t="n">
        <v>-0.0002357985364788</v>
      </c>
      <c r="AF281" s="171" t="n">
        <v>0.0011789879087984</v>
      </c>
      <c r="AG281" s="171" t="n">
        <v>-0.0018599993423343</v>
      </c>
      <c r="AH281" s="171" t="n">
        <v>0.0034578377831282</v>
      </c>
      <c r="AI281" s="171" t="n">
        <v>-0.0015792095426918</v>
      </c>
      <c r="AJ281" s="171" t="n">
        <v>-7.078115047893783e-06</v>
      </c>
      <c r="AK281" s="171" t="n">
        <v>-0.0043454978743092</v>
      </c>
      <c r="AL281" s="171" t="n">
        <v>-0.0014331804118386</v>
      </c>
      <c r="AM281" s="171" t="n">
        <v>-0</v>
      </c>
      <c r="AN281" s="1" t="n">
        <v>-0.0315103573850788</v>
      </c>
      <c r="AO281" s="1" t="n">
        <v>-1.40165656858926e-15</v>
      </c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W1"/>
    <mergeCell ref="A2:W3"/>
    <mergeCell ref="I12:L12"/>
  </mergeCells>
  <conditionalFormatting sqref="E6:E19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6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4" t="inlineStr">
        <is>
          <t>Peso explicativo de cada factor: descomposición Shapley del R²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descomposición reparte el R² incremental entre factores promediando todos los órdenes de entrada. El bloque de condiciones financieras, commodities y actividad internacional permanece como un solo jugador para controlar colinealidad y conservar 14 factores.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Control de suma Shapley</t>
        </is>
      </c>
      <c r="C5" s="1" t="n"/>
      <c r="D5" s="55" t="inlineStr">
        <is>
          <t>Reconciliación del R²</t>
        </is>
      </c>
      <c r="F5" s="1" t="n"/>
      <c r="G5" s="55" t="inlineStr">
        <is>
          <t>Control de participaciones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7" t="inlineStr">
        <is>
          <t>Suma Shapley</t>
        </is>
      </c>
      <c r="B6" s="172" t="n">
        <v>0.6675229148571582</v>
      </c>
      <c r="C6" s="1" t="n"/>
      <c r="D6" s="67" t="inlineStr">
        <is>
          <t>R² base + incremental</t>
        </is>
      </c>
      <c r="E6" s="172" t="n">
        <v>0.6853635128647185</v>
      </c>
      <c r="F6" s="1" t="n"/>
      <c r="G6" s="67" t="inlineStr">
        <is>
          <t>Suma peso entre factores</t>
        </is>
      </c>
      <c r="H6" s="172" t="n">
        <v>1.000000000000001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7" t="inlineStr">
        <is>
          <t>R² incremental</t>
        </is>
      </c>
      <c r="B7" s="172" t="n">
        <v>0.6675229148571583</v>
      </c>
      <c r="C7" s="1" t="n"/>
      <c r="D7" s="67" t="inlineStr">
        <is>
          <t>R² completo</t>
        </is>
      </c>
      <c r="E7" s="172" t="n">
        <v>0.6853635128647185</v>
      </c>
      <c r="F7" s="1" t="n"/>
      <c r="G7" s="67" t="inlineStr">
        <is>
          <t>Porción del R² total</t>
        </is>
      </c>
      <c r="H7" s="172" t="n">
        <v>0.9739691453182434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7" t="inlineStr">
        <is>
          <t>Diferencia</t>
        </is>
      </c>
      <c r="B8" s="172" t="n">
        <v>-1.110223024625157e-16</v>
      </c>
      <c r="C8" s="1" t="n"/>
      <c r="D8" s="67" t="inlineStr">
        <is>
          <t>Diferencia</t>
        </is>
      </c>
      <c r="E8" s="172" t="n">
        <v>0</v>
      </c>
      <c r="F8" s="1" t="n"/>
      <c r="G8" s="67" t="inlineStr">
        <is>
          <t>Diferencia frente a 100%</t>
        </is>
      </c>
      <c r="H8" s="172" t="n">
        <v>6.661338147750939e-16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2" t="inlineStr">
        <is>
          <t>Factor</t>
        </is>
      </c>
      <c r="B10" s="62" t="inlineStr">
        <is>
          <t>Grupo</t>
        </is>
      </c>
      <c r="C10" s="62" t="inlineStr">
        <is>
          <t>Shapley R²</t>
        </is>
      </c>
      <c r="D10" s="62" t="inlineStr">
        <is>
          <t>Peso entre factores</t>
        </is>
      </c>
      <c r="E10" s="62" t="inlineStr">
        <is>
          <t>Peso del R² total</t>
        </is>
      </c>
      <c r="F10" s="62" t="inlineStr">
        <is>
          <t>R² base</t>
        </is>
      </c>
      <c r="G10" s="62" t="inlineStr">
        <is>
          <t>R² completo</t>
        </is>
      </c>
      <c r="H10" s="62" t="inlineStr">
        <is>
          <t>R² incremental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64" t="inlineStr">
        <is>
          <t>Monedas regionales</t>
        </is>
      </c>
      <c r="B11" s="64" t="inlineStr">
        <is>
          <t>Regional</t>
        </is>
      </c>
      <c r="C11" s="173" t="n">
        <v>0.1572057248111356</v>
      </c>
      <c r="D11" s="173" t="n">
        <v>0.2355061096962877</v>
      </c>
      <c r="E11" s="173" t="n">
        <v>0.2293756843781176</v>
      </c>
      <c r="F11" s="173" t="n">
        <v>0.0178405980075602</v>
      </c>
      <c r="G11" s="173" t="n">
        <v>0.6853635128647185</v>
      </c>
      <c r="H11" s="173" t="n">
        <v>0.6675229148571583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0" customHeight="1">
      <c r="A12" s="64" t="inlineStr">
        <is>
          <t>Condiciones financieras, commodities y actividad internacional</t>
        </is>
      </c>
      <c r="B12" s="64" t="inlineStr">
        <is>
          <t>Condiciones financieras y actividad internacional</t>
        </is>
      </c>
      <c r="C12" s="173" t="n">
        <v>0.1443526925996188</v>
      </c>
      <c r="D12" s="173" t="n">
        <v>0.2162512917335707</v>
      </c>
      <c r="E12" s="173" t="n">
        <v>0.2106220857837118</v>
      </c>
      <c r="F12" s="173" t="n">
        <v>0.0178405980075602</v>
      </c>
      <c r="G12" s="173" t="n">
        <v>0.6853635128647185</v>
      </c>
      <c r="H12" s="173" t="n">
        <v>0.6675229148571583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0" customHeight="1">
      <c r="A13" s="64" t="inlineStr">
        <is>
          <t>Dólar amplio</t>
        </is>
      </c>
      <c r="B13" s="64" t="inlineStr">
        <is>
          <t>Mercados financieros globales</t>
        </is>
      </c>
      <c r="C13" s="173" t="n">
        <v>0.1008634901475787</v>
      </c>
      <c r="D13" s="173" t="n">
        <v>0.1511011650726062</v>
      </c>
      <c r="E13" s="173" t="n">
        <v>0.147167872602357</v>
      </c>
      <c r="F13" s="173" t="n">
        <v>0.0178405980075602</v>
      </c>
      <c r="G13" s="173" t="n">
        <v>0.6853635128647185</v>
      </c>
      <c r="H13" s="173" t="n">
        <v>0.6675229148571583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0" customHeight="1">
      <c r="A14" s="64" t="inlineStr">
        <is>
          <t>Riesgo soberano EMBIG Colombia</t>
        </is>
      </c>
      <c r="B14" s="64" t="inlineStr">
        <is>
          <t>Riesgo local</t>
        </is>
      </c>
      <c r="C14" s="173" t="n">
        <v>0.0942538634265839</v>
      </c>
      <c r="D14" s="173" t="n">
        <v>0.1411994424891813</v>
      </c>
      <c r="E14" s="173" t="n">
        <v>0.1375239003206003</v>
      </c>
      <c r="F14" s="173" t="n">
        <v>0.0178405980075602</v>
      </c>
      <c r="G14" s="173" t="n">
        <v>0.6853635128647185</v>
      </c>
      <c r="H14" s="173" t="n">
        <v>0.6675229148571583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0" customHeight="1">
      <c r="A15" s="64" t="inlineStr">
        <is>
          <t>Balanza comercial cambiaria</t>
        </is>
      </c>
      <c r="B15" s="64" t="inlineStr">
        <is>
          <t>Sector externo Colombia</t>
        </is>
      </c>
      <c r="C15" s="173" t="n">
        <v>0.0424558091269483</v>
      </c>
      <c r="D15" s="173" t="n">
        <v>0.06360202501218004</v>
      </c>
      <c r="E15" s="173" t="n">
        <v>0.06194640994162249</v>
      </c>
      <c r="F15" s="173" t="n">
        <v>0.0178405980075602</v>
      </c>
      <c r="G15" s="173" t="n">
        <v>0.6853635128647185</v>
      </c>
      <c r="H15" s="173" t="n">
        <v>0.6675229148571583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0" customHeight="1">
      <c r="A16" s="64" t="inlineStr">
        <is>
          <t>VIX</t>
        </is>
      </c>
      <c r="B16" s="64" t="inlineStr">
        <is>
          <t>Mercados financieros globales</t>
        </is>
      </c>
      <c r="C16" s="173" t="n">
        <v>0.04071978979721</v>
      </c>
      <c r="D16" s="173" t="n">
        <v>0.06100133627011673</v>
      </c>
      <c r="E16" s="173" t="n">
        <v>0.05941341935027632</v>
      </c>
      <c r="F16" s="173" t="n">
        <v>0.0178405980075602</v>
      </c>
      <c r="G16" s="173" t="n">
        <v>0.6853635128647185</v>
      </c>
      <c r="H16" s="173" t="n">
        <v>0.6675229148571583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0" customHeight="1">
      <c r="A17" s="64" t="inlineStr">
        <is>
          <t>Términos de intercambio</t>
        </is>
      </c>
      <c r="B17" s="64" t="inlineStr">
        <is>
          <t>Sector externo Colombia</t>
        </is>
      </c>
      <c r="C17" s="173" t="n">
        <v>0.0276751447974696</v>
      </c>
      <c r="D17" s="173" t="n">
        <v>0.04145946780477457</v>
      </c>
      <c r="E17" s="173" t="n">
        <v>0.04038024242316546</v>
      </c>
      <c r="F17" s="173" t="n">
        <v>0.0178405980075602</v>
      </c>
      <c r="G17" s="173" t="n">
        <v>0.6853635128647185</v>
      </c>
      <c r="H17" s="173" t="n">
        <v>0.6675229148571583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0" customHeight="1">
      <c r="A18" s="64" t="inlineStr">
        <is>
          <t>Flujos netos de capital</t>
        </is>
      </c>
      <c r="B18" s="64" t="inlineStr">
        <is>
          <t>Sector externo Colombia</t>
        </is>
      </c>
      <c r="C18" s="173" t="n">
        <v>0.021951830118811</v>
      </c>
      <c r="D18" s="173" t="n">
        <v>0.03288550794321194</v>
      </c>
      <c r="E18" s="173" t="n">
        <v>0.03202947006480641</v>
      </c>
      <c r="F18" s="173" t="n">
        <v>0.0178405980075602</v>
      </c>
      <c r="G18" s="173" t="n">
        <v>0.6853635128647185</v>
      </c>
      <c r="H18" s="173" t="n">
        <v>0.6675229148571583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0" customHeight="1">
      <c r="A19" s="64" t="inlineStr">
        <is>
          <t>Actividad y precios domésticos</t>
        </is>
      </c>
      <c r="B19" s="64" t="inlineStr">
        <is>
          <t>Condiciones internas</t>
        </is>
      </c>
      <c r="C19" s="173" t="n">
        <v>0.0134584517162933</v>
      </c>
      <c r="D19" s="173" t="n">
        <v>0.02016178233997143</v>
      </c>
      <c r="E19" s="173" t="n">
        <v>0.01963695391375441</v>
      </c>
      <c r="F19" s="173" t="n">
        <v>0.0178405980075602</v>
      </c>
      <c r="G19" s="173" t="n">
        <v>0.6853635128647185</v>
      </c>
      <c r="H19" s="173" t="n">
        <v>0.6675229148571583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0" customHeight="1">
      <c r="A20" s="64" t="inlineStr">
        <is>
          <t>Reservas internacionales</t>
        </is>
      </c>
      <c r="B20" s="64" t="inlineStr">
        <is>
          <t>Sector externo Colombia</t>
        </is>
      </c>
      <c r="C20" s="173" t="n">
        <v>0.012972831905386</v>
      </c>
      <c r="D20" s="173" t="n">
        <v>0.01943428699846519</v>
      </c>
      <c r="E20" s="173" t="n">
        <v>0.01892839589776458</v>
      </c>
      <c r="F20" s="173" t="n">
        <v>0.0178405980075602</v>
      </c>
      <c r="G20" s="173" t="n">
        <v>0.6853635128647185</v>
      </c>
      <c r="H20" s="173" t="n">
        <v>0.6675229148571583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0" customHeight="1">
      <c r="A21" s="64" t="inlineStr">
        <is>
          <t>Remesas</t>
        </is>
      </c>
      <c r="B21" s="64" t="inlineStr">
        <is>
          <t>Sector externo Colombia</t>
        </is>
      </c>
      <c r="C21" s="173" t="n">
        <v>0.0078196489350051</v>
      </c>
      <c r="D21" s="173" t="n">
        <v>0.01171442771620573</v>
      </c>
      <c r="E21" s="173" t="n">
        <v>0.01140949115064523</v>
      </c>
      <c r="F21" s="173" t="n">
        <v>0.0178405980075602</v>
      </c>
      <c r="G21" s="173" t="n">
        <v>0.6853635128647185</v>
      </c>
      <c r="H21" s="173" t="n">
        <v>0.6675229148571583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0" customHeight="1">
      <c r="A22" s="64" t="inlineStr">
        <is>
          <t>Diferencial de compensación inflacionaria 5 años</t>
        </is>
      </c>
      <c r="B22" s="64" t="inlineStr">
        <is>
          <t>Política doméstica</t>
        </is>
      </c>
      <c r="C22" s="173" t="n">
        <v>0.0020010688524809</v>
      </c>
      <c r="D22" s="173" t="n">
        <v>0.002997753047787427</v>
      </c>
      <c r="E22" s="173" t="n">
        <v>0.002919718973828678</v>
      </c>
      <c r="F22" s="173" t="n">
        <v>0.0178405980075602</v>
      </c>
      <c r="G22" s="173" t="n">
        <v>0.6853635128647185</v>
      </c>
      <c r="H22" s="173" t="n">
        <v>0.6675229148571583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Diferencial de tasas</t>
        </is>
      </c>
      <c r="B23" s="64" t="inlineStr">
        <is>
          <t>Política doméstica</t>
        </is>
      </c>
      <c r="C23" s="173" t="n">
        <v>0.0012240556680626</v>
      </c>
      <c r="D23" s="173" t="n">
        <v>0.001833728312270081</v>
      </c>
      <c r="E23" s="173" t="n">
        <v>0.001785994797047554</v>
      </c>
      <c r="F23" s="173" t="n">
        <v>0.0178405980075602</v>
      </c>
      <c r="G23" s="173" t="n">
        <v>0.6853635128647185</v>
      </c>
      <c r="H23" s="173" t="n">
        <v>0.6675229148571583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6" customHeight="1">
      <c r="A24" s="64" t="inlineStr">
        <is>
          <t>Déficit fiscal</t>
        </is>
      </c>
      <c r="B24" s="64" t="inlineStr">
        <is>
          <t>Política doméstica</t>
        </is>
      </c>
      <c r="C24" s="173" t="n">
        <v>0.0005685129545744</v>
      </c>
      <c r="D24" s="173" t="n">
        <v>0.000851675563371715</v>
      </c>
      <c r="E24" s="173" t="n">
        <v>0.0008295057205455821</v>
      </c>
      <c r="F24" s="173" t="n">
        <v>0.0178405980075602</v>
      </c>
      <c r="G24" s="173" t="n">
        <v>0.6853635128647185</v>
      </c>
      <c r="H24" s="173" t="n">
        <v>0.6675229148571583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5">
    <mergeCell ref="A2:R3"/>
    <mergeCell ref="D5:E5"/>
    <mergeCell ref="A5:B5"/>
    <mergeCell ref="G5:H5"/>
    <mergeCell ref="A1:R1"/>
  </mergeCells>
  <conditionalFormatting sqref="B8">
    <cfRule type="cellIs" priority="1" operator="between" dxfId="0">
      <formula>-1e-8</formula>
      <formula>1e-8</formula>
    </cfRule>
  </conditionalFormatting>
  <conditionalFormatting sqref="E8">
    <cfRule type="cellIs" priority="2" operator="between" dxfId="0">
      <formula>-1e-8</formula>
      <formula>1e-8</formula>
    </cfRule>
  </conditionalFormatting>
  <conditionalFormatting sqref="H8">
    <cfRule type="cellIs" priority="3" operator="between" dxfId="0">
      <formula>-1e-8</formula>
      <formula>1e-8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8" customWidth="1" min="15" max="15"/>
    <col width="42" customWidth="1" min="16" max="16"/>
  </cols>
  <sheetData>
    <row r="1" ht="30" customHeight="1">
      <c r="A1" s="4" t="inlineStr">
        <is>
          <t>Robustez de los pesos y cobertura de datos en tiempo real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Los intervalos Shapley usan 200 réplicas de bloques circulares de 12 meses. Las submuestras revelan cuánto cambian pesos, rangos y signos. La cobertura de vintages sigue incompleta: el ejercicio de pronóstico continúa siendo pseudo-tiempo-real y las series candidatas globales no se imputan.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Incertidumbre de los pesos Shapley</t>
        </is>
      </c>
      <c r="I5" s="1" t="n"/>
      <c r="J5" s="55" t="inlineStr">
        <is>
          <t>Estabilidad por submuestras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Factor</t>
        </is>
      </c>
      <c r="B6" s="62" t="inlineStr">
        <is>
          <t>Peso puntual</t>
        </is>
      </c>
      <c r="C6" s="62" t="inlineStr">
        <is>
          <t>Mediana bootstrap</t>
        </is>
      </c>
      <c r="D6" s="62" t="inlineStr">
        <is>
          <t>IC 95% inferior</t>
        </is>
      </c>
      <c r="E6" s="62" t="inlineStr">
        <is>
          <t>IC 95% superior</t>
        </is>
      </c>
      <c r="F6" s="62" t="inlineStr">
        <is>
          <t>Ancho IC</t>
        </is>
      </c>
      <c r="G6" s="62" t="inlineStr">
        <is>
          <t>Prob. top 3</t>
        </is>
      </c>
      <c r="H6" s="62" t="inlineStr">
        <is>
          <t>Réplicas</t>
        </is>
      </c>
      <c r="I6" s="64" t="n"/>
      <c r="J6" s="62" t="inlineStr">
        <is>
          <t>Submuestra</t>
        </is>
      </c>
      <c r="K6" s="62" t="inlineStr">
        <is>
          <t>Obs.</t>
        </is>
      </c>
      <c r="L6" s="62" t="inlineStr">
        <is>
          <t>R² ajustado</t>
        </is>
      </c>
      <c r="M6" s="62" t="inlineStr">
        <is>
          <t>Spearman rangos</t>
        </is>
      </c>
      <c r="N6" s="62" t="inlineStr">
        <is>
          <t>Mediana |Δ peso|</t>
        </is>
      </c>
      <c r="O6" s="62" t="inlineStr">
        <is>
          <t>Máx. |Δ peso|</t>
        </is>
      </c>
      <c r="P6" s="62" t="inlineStr">
        <is>
          <t>Mismo signo / 14</t>
        </is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1" customHeight="1">
      <c r="A7" s="64" t="inlineStr">
        <is>
          <t>Monedas regionales</t>
        </is>
      </c>
      <c r="B7" s="173" t="n">
        <v>0.2355061096962877</v>
      </c>
      <c r="C7" s="173" t="n">
        <v>0.2130713892649408</v>
      </c>
      <c r="D7" s="173" t="n">
        <v>0.1663352561006881</v>
      </c>
      <c r="E7" s="173" t="n">
        <v>0.2729972675982282</v>
      </c>
      <c r="F7" s="173" t="n">
        <v>0.1066620114975401</v>
      </c>
      <c r="G7" s="173" t="n">
        <v>1</v>
      </c>
      <c r="H7" s="64" t="n">
        <v>200</v>
      </c>
      <c r="I7" s="64" t="n"/>
      <c r="J7" s="64" t="inlineStr">
        <is>
          <t>Muestra completa</t>
        </is>
      </c>
      <c r="K7" s="64" t="n">
        <v>240</v>
      </c>
      <c r="L7" s="173" t="n">
        <v>0.6367240559162006</v>
      </c>
      <c r="M7" s="173" t="n">
        <v>1</v>
      </c>
      <c r="N7" s="173" t="n">
        <v>0</v>
      </c>
      <c r="O7" s="173" t="n">
        <v>0</v>
      </c>
      <c r="P7" s="64" t="n">
        <v>14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1" customHeight="1">
      <c r="A8" s="64" t="inlineStr">
        <is>
          <t>Condiciones financieras, commodities y actividad internacional</t>
        </is>
      </c>
      <c r="B8" s="173" t="n">
        <v>0.2162512917335707</v>
      </c>
      <c r="C8" s="173" t="n">
        <v>0.24620102277602</v>
      </c>
      <c r="D8" s="173" t="n">
        <v>0.1755546097549493</v>
      </c>
      <c r="E8" s="173" t="n">
        <v>0.3173394805278136</v>
      </c>
      <c r="F8" s="173" t="n">
        <v>0.1417848707728643</v>
      </c>
      <c r="G8" s="173" t="n">
        <v>1</v>
      </c>
      <c r="H8" s="64" t="n">
        <v>200</v>
      </c>
      <c r="I8" s="64" t="n"/>
      <c r="J8" s="64" t="inlineStr">
        <is>
          <t>Primera mitad</t>
        </is>
      </c>
      <c r="K8" s="64" t="n">
        <v>120</v>
      </c>
      <c r="L8" s="173" t="n">
        <v>0.608063185760585</v>
      </c>
      <c r="M8" s="173" t="n">
        <v>0.978021978021978</v>
      </c>
      <c r="N8" s="173" t="n">
        <v>0.008029309731674801</v>
      </c>
      <c r="O8" s="173" t="n">
        <v>0.04176978804292151</v>
      </c>
      <c r="P8" s="64" t="n">
        <v>10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1" customHeight="1">
      <c r="A9" s="64" t="inlineStr">
        <is>
          <t>Dólar amplio</t>
        </is>
      </c>
      <c r="B9" s="173" t="n">
        <v>0.1511011650726062</v>
      </c>
      <c r="C9" s="173" t="n">
        <v>0.1418487526174402</v>
      </c>
      <c r="D9" s="173" t="n">
        <v>0.08735503486927124</v>
      </c>
      <c r="E9" s="173" t="n">
        <v>0.2085182178993268</v>
      </c>
      <c r="F9" s="173" t="n">
        <v>0.1211631830300555</v>
      </c>
      <c r="G9" s="173" t="n">
        <v>0.58</v>
      </c>
      <c r="H9" s="64" t="n">
        <v>200</v>
      </c>
      <c r="I9" s="64" t="n"/>
      <c r="J9" s="64" t="inlineStr">
        <is>
          <t>Segunda mitad</t>
        </is>
      </c>
      <c r="K9" s="64" t="n">
        <v>120</v>
      </c>
      <c r="L9" s="173" t="n">
        <v>0.7474450632790988</v>
      </c>
      <c r="M9" s="173" t="n">
        <v>0.9252747252747252</v>
      </c>
      <c r="N9" s="173" t="n">
        <v>0.01270655985229056</v>
      </c>
      <c r="O9" s="173" t="n">
        <v>0.06586100198906308</v>
      </c>
      <c r="P9" s="64" t="n">
        <v>12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1" customHeight="1">
      <c r="A10" s="64" t="inlineStr">
        <is>
          <t>Riesgo soberano EMBIG Colombia</t>
        </is>
      </c>
      <c r="B10" s="173" t="n">
        <v>0.1411994424891813</v>
      </c>
      <c r="C10" s="173" t="n">
        <v>0.1344352574285141</v>
      </c>
      <c r="D10" s="173" t="n">
        <v>0.0831911309357479</v>
      </c>
      <c r="E10" s="173" t="n">
        <v>0.2068617979367865</v>
      </c>
      <c r="F10" s="173" t="n">
        <v>0.1236706670010386</v>
      </c>
      <c r="G10" s="173" t="n">
        <v>0.42</v>
      </c>
      <c r="H10" s="64" t="n">
        <v>200</v>
      </c>
      <c r="I10" s="64" t="n"/>
      <c r="J10" s="64" t="inlineStr">
        <is>
          <t>Prepandemia</t>
        </is>
      </c>
      <c r="K10" s="64" t="n">
        <v>164</v>
      </c>
      <c r="L10" s="173" t="n">
        <v>0.6254659203018711</v>
      </c>
      <c r="M10" s="173" t="n">
        <v>0.956043956043956</v>
      </c>
      <c r="N10" s="173" t="n">
        <v>0.005182168427660639</v>
      </c>
      <c r="O10" s="173" t="n">
        <v>0.0344126387191459</v>
      </c>
      <c r="P10" s="64" t="n">
        <v>11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1" customHeight="1">
      <c r="A11" s="64" t="inlineStr">
        <is>
          <t>Balanza comercial cambiaria</t>
        </is>
      </c>
      <c r="B11" s="173" t="n">
        <v>0.06360202501218004</v>
      </c>
      <c r="C11" s="173" t="n">
        <v>0.05880451430576396</v>
      </c>
      <c r="D11" s="173" t="n">
        <v>0.03063497839313154</v>
      </c>
      <c r="E11" s="173" t="n">
        <v>0.09504775427390283</v>
      </c>
      <c r="F11" s="173" t="n">
        <v>0.06441277588077129</v>
      </c>
      <c r="G11" s="173" t="n">
        <v>0</v>
      </c>
      <c r="H11" s="64" t="n">
        <v>200</v>
      </c>
      <c r="I11" s="64" t="n"/>
      <c r="J11" s="64" t="inlineStr">
        <is>
          <t>2020 en adelante</t>
        </is>
      </c>
      <c r="K11" s="64" t="n">
        <v>76</v>
      </c>
      <c r="L11" s="173" t="n">
        <v>0.7498330173085617</v>
      </c>
      <c r="M11" s="173" t="n">
        <v>0.8505494505494505</v>
      </c>
      <c r="N11" s="173" t="n">
        <v>0.01794373825887588</v>
      </c>
      <c r="O11" s="173" t="n">
        <v>0.08175466249329855</v>
      </c>
      <c r="P11" s="64" t="n">
        <v>10</v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8" customHeight="1">
      <c r="A12" s="64" t="inlineStr">
        <is>
          <t>VIX</t>
        </is>
      </c>
      <c r="B12" s="173" t="n">
        <v>0.06100133627011673</v>
      </c>
      <c r="C12" s="173" t="n">
        <v>0.05299368448566535</v>
      </c>
      <c r="D12" s="173" t="n">
        <v>0.02426362901904193</v>
      </c>
      <c r="E12" s="173" t="n">
        <v>0.09265681139128717</v>
      </c>
      <c r="F12" s="173" t="n">
        <v>0.06839318237224525</v>
      </c>
      <c r="G12" s="173" t="n">
        <v>0</v>
      </c>
      <c r="H12" s="64" t="n">
        <v>200</v>
      </c>
      <c r="I12" s="64" t="n"/>
      <c r="J12" s="64" t="n"/>
      <c r="K12" s="64" t="n"/>
      <c r="L12" s="64" t="n"/>
      <c r="M12" s="64" t="n"/>
      <c r="N12" s="64" t="n"/>
      <c r="O12" s="64" t="n"/>
      <c r="P12" s="64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8" customHeight="1">
      <c r="A13" s="64" t="inlineStr">
        <is>
          <t>Términos de intercambio</t>
        </is>
      </c>
      <c r="B13" s="173" t="n">
        <v>0.04145946780477457</v>
      </c>
      <c r="C13" s="173" t="n">
        <v>0.03997328858215186</v>
      </c>
      <c r="D13" s="173" t="n">
        <v>0.01727954339403905</v>
      </c>
      <c r="E13" s="173" t="n">
        <v>0.06775792841943867</v>
      </c>
      <c r="F13" s="173" t="n">
        <v>0.05047838502539961</v>
      </c>
      <c r="G13" s="173" t="n">
        <v>0</v>
      </c>
      <c r="H13" s="64" t="n">
        <v>200</v>
      </c>
      <c r="I13" s="64" t="n"/>
      <c r="J13" s="64" t="n"/>
      <c r="K13" s="64" t="n"/>
      <c r="L13" s="64" t="n"/>
      <c r="M13" s="64" t="n"/>
      <c r="N13" s="64" t="n"/>
      <c r="O13" s="64" t="n"/>
      <c r="P13" s="6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8" customHeight="1">
      <c r="A14" s="64" t="inlineStr">
        <is>
          <t>Flujos netos de capital</t>
        </is>
      </c>
      <c r="B14" s="173" t="n">
        <v>0.03288550794321194</v>
      </c>
      <c r="C14" s="173" t="n">
        <v>0.03057184949872936</v>
      </c>
      <c r="D14" s="173" t="n">
        <v>0.01386128164179461</v>
      </c>
      <c r="E14" s="173" t="n">
        <v>0.06017419307551325</v>
      </c>
      <c r="F14" s="173" t="n">
        <v>0.04631291143371865</v>
      </c>
      <c r="G14" s="173" t="n">
        <v>0</v>
      </c>
      <c r="H14" s="64" t="n">
        <v>200</v>
      </c>
      <c r="I14" s="64" t="n"/>
      <c r="J14" s="64" t="n"/>
      <c r="K14" s="64" t="n"/>
      <c r="L14" s="64" t="n"/>
      <c r="M14" s="64" t="n"/>
      <c r="N14" s="64" t="n"/>
      <c r="O14" s="64" t="n"/>
      <c r="P14" s="64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8" customHeight="1">
      <c r="A15" s="64" t="inlineStr">
        <is>
          <t>Actividad y precios domésticos</t>
        </is>
      </c>
      <c r="B15" s="173" t="n">
        <v>0.02016178233997143</v>
      </c>
      <c r="C15" s="173" t="n">
        <v>0.02335497963351854</v>
      </c>
      <c r="D15" s="173" t="n">
        <v>0.006074780453756014</v>
      </c>
      <c r="E15" s="173" t="n">
        <v>0.05581902935417229</v>
      </c>
      <c r="F15" s="173" t="n">
        <v>0.04974424890041627</v>
      </c>
      <c r="G15" s="173" t="n">
        <v>0</v>
      </c>
      <c r="H15" s="64" t="n">
        <v>200</v>
      </c>
      <c r="I15" s="64" t="n"/>
      <c r="J15" s="64" t="n"/>
      <c r="K15" s="64" t="n"/>
      <c r="L15" s="64" t="n"/>
      <c r="M15" s="64" t="n"/>
      <c r="N15" s="64" t="n"/>
      <c r="O15" s="64" t="n"/>
      <c r="P15" s="64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28" customHeight="1">
      <c r="A16" s="64" t="inlineStr">
        <is>
          <t>Reservas internacionales</t>
        </is>
      </c>
      <c r="B16" s="173" t="n">
        <v>0.01943428699846519</v>
      </c>
      <c r="C16" s="173" t="n">
        <v>0.01824201109648624</v>
      </c>
      <c r="D16" s="173" t="n">
        <v>0.004089488304376498</v>
      </c>
      <c r="E16" s="173" t="n">
        <v>0.05402356604767862</v>
      </c>
      <c r="F16" s="173" t="n">
        <v>0.04993407774330212</v>
      </c>
      <c r="G16" s="173" t="n">
        <v>0</v>
      </c>
      <c r="H16" s="64" t="n">
        <v>200</v>
      </c>
      <c r="I16" s="64" t="n"/>
      <c r="J16" s="64" t="n"/>
      <c r="K16" s="64" t="n"/>
      <c r="L16" s="64" t="n"/>
      <c r="M16" s="64" t="n"/>
      <c r="N16" s="64" t="n"/>
      <c r="O16" s="64" t="n"/>
      <c r="P16" s="64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8" customHeight="1">
      <c r="A17" s="64" t="inlineStr">
        <is>
          <t>Remesas</t>
        </is>
      </c>
      <c r="B17" s="173" t="n">
        <v>0.01171442771620573</v>
      </c>
      <c r="C17" s="173" t="n">
        <v>0.01072957762732973</v>
      </c>
      <c r="D17" s="173" t="n">
        <v>0.002072440600300353</v>
      </c>
      <c r="E17" s="173" t="n">
        <v>0.02896495080963693</v>
      </c>
      <c r="F17" s="173" t="n">
        <v>0.02689251020933657</v>
      </c>
      <c r="G17" s="173" t="n">
        <v>0</v>
      </c>
      <c r="H17" s="64" t="n">
        <v>200</v>
      </c>
      <c r="I17" s="64" t="n"/>
      <c r="J17" s="64" t="n"/>
      <c r="K17" s="64" t="n"/>
      <c r="L17" s="64" t="n"/>
      <c r="M17" s="64" t="n"/>
      <c r="N17" s="64" t="n"/>
      <c r="O17" s="64" t="n"/>
      <c r="P17" s="64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8" customHeight="1">
      <c r="A18" s="64" t="inlineStr">
        <is>
          <t>Diferencial de compensación inflacionaria 5 años</t>
        </is>
      </c>
      <c r="B18" s="173" t="n">
        <v>0.002997753047787427</v>
      </c>
      <c r="C18" s="173" t="n">
        <v>0.004309236086809964</v>
      </c>
      <c r="D18" s="173" t="n">
        <v>0.001088275442383465</v>
      </c>
      <c r="E18" s="173" t="n">
        <v>0.01936938149981212</v>
      </c>
      <c r="F18" s="173" t="n">
        <v>0.01828110605742865</v>
      </c>
      <c r="G18" s="173" t="n">
        <v>0</v>
      </c>
      <c r="H18" s="64" t="n">
        <v>200</v>
      </c>
      <c r="I18" s="64" t="n"/>
      <c r="J18" s="64" t="n"/>
      <c r="K18" s="64" t="n"/>
      <c r="L18" s="64" t="n"/>
      <c r="M18" s="64" t="n"/>
      <c r="N18" s="64" t="n"/>
      <c r="O18" s="64" t="n"/>
      <c r="P18" s="64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Diferencial de tasas</t>
        </is>
      </c>
      <c r="B19" s="173" t="n">
        <v>0.001833728312270081</v>
      </c>
      <c r="C19" s="173" t="n">
        <v>0.003961975932785582</v>
      </c>
      <c r="D19" s="173" t="n">
        <v>0.001317703411051576</v>
      </c>
      <c r="E19" s="173" t="n">
        <v>0.01764994116571865</v>
      </c>
      <c r="F19" s="173" t="n">
        <v>0.01633223775466707</v>
      </c>
      <c r="G19" s="173" t="n">
        <v>0</v>
      </c>
      <c r="H19" s="64" t="n">
        <v>200</v>
      </c>
      <c r="I19" s="64" t="n"/>
      <c r="J19" s="64" t="n"/>
      <c r="K19" s="64" t="n"/>
      <c r="L19" s="64" t="n"/>
      <c r="M19" s="64" t="n"/>
      <c r="N19" s="64" t="n"/>
      <c r="O19" s="64" t="n"/>
      <c r="P19" s="64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Déficit fiscal</t>
        </is>
      </c>
      <c r="B20" s="173" t="n">
        <v>0.000851675563371715</v>
      </c>
      <c r="C20" s="173" t="n">
        <v>0.002575725749034607</v>
      </c>
      <c r="D20" s="173" t="n">
        <v>0.000439020595593573</v>
      </c>
      <c r="E20" s="173" t="n">
        <v>0.01246706823261036</v>
      </c>
      <c r="F20" s="173" t="n">
        <v>0.01202804763701679</v>
      </c>
      <c r="G20" s="173" t="n">
        <v>0</v>
      </c>
      <c r="H20" s="64" t="n">
        <v>200</v>
      </c>
      <c r="I20" s="64" t="n"/>
      <c r="J20" s="64" t="n"/>
      <c r="K20" s="64" t="n"/>
      <c r="L20" s="64" t="n"/>
      <c r="M20" s="64" t="n"/>
      <c r="N20" s="64" t="n"/>
      <c r="O20" s="64" t="n"/>
      <c r="P20" s="64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22" customHeight="1">
      <c r="A21" s="111" t="inlineStr">
        <is>
          <t>Peso de cada factor por submuestra</t>
        </is>
      </c>
      <c r="H21" s="64" t="n"/>
      <c r="I21" s="111" t="inlineStr">
        <is>
          <t>Cobertura de vintages en los 48 orígenes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2" t="inlineStr">
        <is>
          <t>Factor</t>
        </is>
      </c>
      <c r="B22" s="62" t="inlineStr">
        <is>
          <t>Grupo</t>
        </is>
      </c>
      <c r="C22" s="62" t="inlineStr">
        <is>
          <t>Muestra completa</t>
        </is>
      </c>
      <c r="D22" s="62" t="inlineStr">
        <is>
          <t>Primera mitad</t>
        </is>
      </c>
      <c r="E22" s="62" t="inlineStr">
        <is>
          <t>Segunda mitad</t>
        </is>
      </c>
      <c r="F22" s="62" t="inlineStr">
        <is>
          <t>Prepandemia</t>
        </is>
      </c>
      <c r="G22" s="62" t="inlineStr">
        <is>
          <t>2020 en adelante</t>
        </is>
      </c>
      <c r="H22" s="64" t="n"/>
      <c r="I22" s="62" t="inlineStr">
        <is>
          <t>Factor</t>
        </is>
      </c>
      <c r="J22" s="62" t="inlineStr">
        <is>
          <t>Estado</t>
        </is>
      </c>
      <c r="K22" s="62" t="inlineStr">
        <is>
          <t>Orígenes</t>
        </is>
      </c>
      <c r="L22" s="62" t="inlineStr">
        <is>
          <t>Cobertura</t>
        </is>
      </c>
      <c r="M22" s="62" t="inlineStr">
        <is>
          <t>Apto</t>
        </is>
      </c>
      <c r="N22" s="62" t="inlineStr">
        <is>
          <t>Archivo desde</t>
        </is>
      </c>
      <c r="O22" s="62" t="inlineStr">
        <is>
          <t>Fuentes</t>
        </is>
      </c>
      <c r="P22" s="62" t="inlineStr">
        <is>
          <t>Detalle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Monedas regionales</t>
        </is>
      </c>
      <c r="B23" s="64" t="inlineStr">
        <is>
          <t>Regional</t>
        </is>
      </c>
      <c r="C23" s="173" t="n">
        <v>0.2355061096962877</v>
      </c>
      <c r="D23" s="173" t="n">
        <v>0.1937363216533662</v>
      </c>
      <c r="E23" s="173" t="n">
        <v>0.2230295989884436</v>
      </c>
      <c r="F23" s="173" t="n">
        <v>0.2010934709771418</v>
      </c>
      <c r="G23" s="173" t="n">
        <v>0.2172642959997023</v>
      </c>
      <c r="H23" s="64" t="n"/>
      <c r="I23" s="64" t="inlineStr">
        <is>
          <t>Términos de intercambio</t>
        </is>
      </c>
      <c r="J23" s="114" t="inlineStr">
        <is>
          <t>No disponible</t>
        </is>
      </c>
      <c r="K23" s="114" t="n">
        <v>0</v>
      </c>
      <c r="L23" s="174" t="n">
        <v>0</v>
      </c>
      <c r="M23" s="114" t="inlineStr">
        <is>
          <t>No</t>
        </is>
      </c>
      <c r="N23" s="64" t="inlineStr">
        <is>
          <t>2026-08-23</t>
        </is>
      </c>
      <c r="O23" s="64" t="inlineStr">
        <is>
          <t>BanRep 15360</t>
        </is>
      </c>
      <c r="P23" s="64" t="inlineStr">
        <is>
          <t>BanRep no publica vintages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Condiciones financieras, commodities y actividad internacional</t>
        </is>
      </c>
      <c r="B24" s="64" t="inlineStr">
        <is>
          <t>Condiciones financieras y actividad internacional</t>
        </is>
      </c>
      <c r="C24" s="173" t="n">
        <v>0.2162512917335707</v>
      </c>
      <c r="D24" s="173" t="n">
        <v>0.2524375288958287</v>
      </c>
      <c r="E24" s="173" t="n">
        <v>0.2821122937226338</v>
      </c>
      <c r="F24" s="173" t="n">
        <v>0.237018891952524</v>
      </c>
      <c r="G24" s="173" t="n">
        <v>0.2980059542268693</v>
      </c>
      <c r="H24" s="64" t="n"/>
      <c r="I24" s="64" t="inlineStr">
        <is>
          <t>Remesas</t>
        </is>
      </c>
      <c r="J24" s="114" t="inlineStr">
        <is>
          <t>No disponible</t>
        </is>
      </c>
      <c r="K24" s="114" t="n">
        <v>0</v>
      </c>
      <c r="L24" s="174" t="n">
        <v>0</v>
      </c>
      <c r="M24" s="114" t="inlineStr">
        <is>
          <t>No</t>
        </is>
      </c>
      <c r="N24" s="64" t="inlineStr">
        <is>
          <t>2026-08-23</t>
        </is>
      </c>
      <c r="O24" s="64" t="inlineStr">
        <is>
          <t>BanRep 15363</t>
        </is>
      </c>
      <c r="P24" s="64" t="inlineStr">
        <is>
          <t>BanRep no publica vintages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Dólar amplio</t>
        </is>
      </c>
      <c r="B25" s="64" t="inlineStr">
        <is>
          <t>Mercados financieros globales</t>
        </is>
      </c>
      <c r="C25" s="173" t="n">
        <v>0.1511011650726062</v>
      </c>
      <c r="D25" s="173" t="n">
        <v>0.1667801329019815</v>
      </c>
      <c r="E25" s="173" t="n">
        <v>0.1040171230488527</v>
      </c>
      <c r="F25" s="173" t="n">
        <v>0.1588278727275438</v>
      </c>
      <c r="G25" s="173" t="n">
        <v>0.0955843913948756</v>
      </c>
      <c r="H25" s="64" t="n"/>
      <c r="I25" s="64" t="inlineStr">
        <is>
          <t>Diferencial de tasas</t>
        </is>
      </c>
      <c r="J25" s="114" t="inlineStr">
        <is>
          <t>Parcial (FEDFUNDS completo, BanRep sin vintages)</t>
        </is>
      </c>
      <c r="K25" s="114" t="n">
        <v>0</v>
      </c>
      <c r="L25" s="174" t="n">
        <v>0</v>
      </c>
      <c r="M25" s="114" t="inlineStr">
        <is>
          <t>No</t>
        </is>
      </c>
      <c r="N25" s="64" t="inlineStr">
        <is>
          <t>2026-08-23</t>
        </is>
      </c>
      <c r="O25" s="64" t="inlineStr">
        <is>
          <t>BanRep 59 + FRED FEDFUNDS</t>
        </is>
      </c>
      <c r="P25" s="64" t="inlineStr">
        <is>
          <t>FEDFUNDS descargado via API FRED; BanRep 59 sin histórico</t>
        </is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Riesgo soberano EMBIG Colombia</t>
        </is>
      </c>
      <c r="B26" s="64" t="inlineStr">
        <is>
          <t>Riesgo local</t>
        </is>
      </c>
      <c r="C26" s="173" t="n">
        <v>0.1411994424891813</v>
      </c>
      <c r="D26" s="173" t="n">
        <v>0.1057858289982306</v>
      </c>
      <c r="E26" s="173" t="n">
        <v>0.1580033526670779</v>
      </c>
      <c r="F26" s="173" t="n">
        <v>0.1145622219957704</v>
      </c>
      <c r="G26" s="173" t="n">
        <v>0.1494428199319603</v>
      </c>
      <c r="H26" s="64" t="n"/>
      <c r="I26" s="64" t="inlineStr">
        <is>
          <t>Déficit fiscal</t>
        </is>
      </c>
      <c r="J26" s="114" t="inlineStr">
        <is>
          <t>Catalogado, descarga bloqueada</t>
        </is>
      </c>
      <c r="K26" s="114" t="n">
        <v>0</v>
      </c>
      <c r="L26" s="174" t="n">
        <v>0</v>
      </c>
      <c r="M26" s="114" t="inlineStr">
        <is>
          <t>No</t>
        </is>
      </c>
      <c r="N26" s="64" t="inlineStr">
        <is>
          <t>2026-08-23</t>
        </is>
      </c>
      <c r="O26" s="64" t="inlineStr">
        <is>
          <t>MinHacienda</t>
        </is>
      </c>
      <c r="P26" s="64" t="inlineStr">
        <is>
          <t>8 versiones identificadas; portal impide descarga automatizada</t>
        </is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Balanza comercial cambiaria</t>
        </is>
      </c>
      <c r="B27" s="64" t="inlineStr">
        <is>
          <t>Sector externo Colombia</t>
        </is>
      </c>
      <c r="C27" s="173" t="n">
        <v>0.06360202501218004</v>
      </c>
      <c r="D27" s="173" t="n">
        <v>0.05506295884100378</v>
      </c>
      <c r="E27" s="173" t="n">
        <v>0.04075195937716417</v>
      </c>
      <c r="F27" s="173" t="n">
        <v>0.06169295971309881</v>
      </c>
      <c r="G27" s="173" t="n">
        <v>0.03075030020541136</v>
      </c>
      <c r="H27" s="64" t="n"/>
      <c r="I27" s="64" t="inlineStr">
        <is>
          <t>Dólar amplio</t>
        </is>
      </c>
      <c r="J27" s="114" t="inlineStr">
        <is>
          <t>Completo</t>
        </is>
      </c>
      <c r="K27" s="114" t="n">
        <v>48</v>
      </c>
      <c r="L27" s="174" t="n">
        <v>1</v>
      </c>
      <c r="M27" s="114" t="inlineStr">
        <is>
          <t>Sí</t>
        </is>
      </c>
      <c r="N27" s="64" t="inlineStr">
        <is>
          <t>2026-08-23</t>
        </is>
      </c>
      <c r="O27" s="64" t="inlineStr">
        <is>
          <t>FRED DTWEXBGS</t>
        </is>
      </c>
      <c r="P27" s="64" t="inlineStr">
        <is>
          <t>API FRED con realtime vintage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42" customHeight="1">
      <c r="A28" s="64" t="inlineStr">
        <is>
          <t>VIX</t>
        </is>
      </c>
      <c r="B28" s="64" t="inlineStr">
        <is>
          <t>Mercados financieros globales</t>
        </is>
      </c>
      <c r="C28" s="173" t="n">
        <v>0.06100133627011673</v>
      </c>
      <c r="D28" s="173" t="n">
        <v>0.07184652127147018</v>
      </c>
      <c r="E28" s="173" t="n">
        <v>0.04122418722428181</v>
      </c>
      <c r="F28" s="173" t="n">
        <v>0.05850689280555338</v>
      </c>
      <c r="G28" s="173" t="n">
        <v>0.04847884891672076</v>
      </c>
      <c r="H28" s="64" t="n"/>
      <c r="I28" s="64" t="inlineStr">
        <is>
          <t>VIX</t>
        </is>
      </c>
      <c r="J28" s="114" t="inlineStr">
        <is>
          <t>Completo</t>
        </is>
      </c>
      <c r="K28" s="114" t="n">
        <v>48</v>
      </c>
      <c r="L28" s="174" t="n">
        <v>1</v>
      </c>
      <c r="M28" s="114" t="inlineStr">
        <is>
          <t>Sí</t>
        </is>
      </c>
      <c r="N28" s="64" t="inlineStr">
        <is>
          <t>2026-08-23</t>
        </is>
      </c>
      <c r="O28" s="64" t="inlineStr">
        <is>
          <t>FRED VIXCLS</t>
        </is>
      </c>
      <c r="P28" s="64" t="inlineStr">
        <is>
          <t>API FRED con realtime vintage</t>
        </is>
      </c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42" customHeight="1">
      <c r="A29" s="64" t="inlineStr">
        <is>
          <t>Términos de intercambio</t>
        </is>
      </c>
      <c r="B29" s="64" t="inlineStr">
        <is>
          <t>Sector externo Colombia</t>
        </is>
      </c>
      <c r="C29" s="173" t="n">
        <v>0.04145946780477457</v>
      </c>
      <c r="D29" s="173" t="n">
        <v>0.04863763170214905</v>
      </c>
      <c r="E29" s="173" t="n">
        <v>0.02852285880803754</v>
      </c>
      <c r="F29" s="173" t="n">
        <v>0.0508328034410794</v>
      </c>
      <c r="G29" s="173" t="n">
        <v>0.02226135026499489</v>
      </c>
      <c r="H29" s="64" t="n"/>
      <c r="I29" s="64" t="inlineStr">
        <is>
          <t>Riesgo soberano EMBIG Colombia</t>
        </is>
      </c>
      <c r="J29" s="114" t="inlineStr">
        <is>
          <t>No disponible</t>
        </is>
      </c>
      <c r="K29" s="114" t="n">
        <v>0</v>
      </c>
      <c r="L29" s="174" t="n">
        <v>0</v>
      </c>
      <c r="M29" s="114" t="inlineStr">
        <is>
          <t>No</t>
        </is>
      </c>
      <c r="N29" s="64" t="inlineStr">
        <is>
          <t>2026-08-23</t>
        </is>
      </c>
      <c r="O29" s="64" t="inlineStr">
        <is>
          <t>BCRPData PD04715XD</t>
        </is>
      </c>
      <c r="P29" s="64" t="inlineStr">
        <is>
          <t>BCRPData no publica vintages</t>
        </is>
      </c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42" customHeight="1">
      <c r="A30" s="64" t="inlineStr">
        <is>
          <t>Flujos netos de capital</t>
        </is>
      </c>
      <c r="B30" s="64" t="inlineStr">
        <is>
          <t>Sector externo Colombia</t>
        </is>
      </c>
      <c r="C30" s="173" t="n">
        <v>0.03288550794321194</v>
      </c>
      <c r="D30" s="173" t="n">
        <v>0.04876216901091921</v>
      </c>
      <c r="E30" s="173" t="n">
        <v>0.02086484998395491</v>
      </c>
      <c r="F30" s="173" t="n">
        <v>0.06315472429305694</v>
      </c>
      <c r="G30" s="173" t="n">
        <v>0.01214033002188564</v>
      </c>
      <c r="H30" s="64" t="n"/>
      <c r="I30" s="64" t="inlineStr">
        <is>
          <t>Reservas internacionales</t>
        </is>
      </c>
      <c r="J30" s="114" t="inlineStr">
        <is>
          <t>No disponible</t>
        </is>
      </c>
      <c r="K30" s="114" t="n">
        <v>0</v>
      </c>
      <c r="L30" s="174" t="n">
        <v>0</v>
      </c>
      <c r="M30" s="114" t="inlineStr">
        <is>
          <t>No</t>
        </is>
      </c>
      <c r="N30" s="64" t="inlineStr">
        <is>
          <t>2026-08-23</t>
        </is>
      </c>
      <c r="O30" s="64" t="inlineStr">
        <is>
          <t>BanRep 15053</t>
        </is>
      </c>
      <c r="P30" s="64" t="inlineStr">
        <is>
          <t>BanRep no publica vintages</t>
        </is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42" customHeight="1">
      <c r="A31" s="64" t="inlineStr">
        <is>
          <t>Actividad y precios domésticos</t>
        </is>
      </c>
      <c r="B31" s="64" t="inlineStr">
        <is>
          <t>Condiciones internas</t>
        </is>
      </c>
      <c r="C31" s="173" t="n">
        <v>0.02016178233997143</v>
      </c>
      <c r="D31" s="173" t="n">
        <v>0.01264222904779809</v>
      </c>
      <c r="E31" s="173" t="n">
        <v>0.04629492580902655</v>
      </c>
      <c r="F31" s="173" t="n">
        <v>0.01518734223769094</v>
      </c>
      <c r="G31" s="173" t="n">
        <v>0.05187293338810536</v>
      </c>
      <c r="H31" s="64" t="n"/>
      <c r="I31" s="64" t="inlineStr">
        <is>
          <t>Balanza comercial cambiaria</t>
        </is>
      </c>
      <c r="J31" s="114" t="inlineStr">
        <is>
          <t>No disponible</t>
        </is>
      </c>
      <c r="K31" s="114" t="n">
        <v>0</v>
      </c>
      <c r="L31" s="174" t="n">
        <v>0</v>
      </c>
      <c r="M31" s="114" t="inlineStr">
        <is>
          <t>No</t>
        </is>
      </c>
      <c r="N31" s="64" t="inlineStr">
        <is>
          <t>2026-08-23</t>
        </is>
      </c>
      <c r="O31" s="64" t="inlineStr">
        <is>
          <t>BanRep 16702</t>
        </is>
      </c>
      <c r="P31" s="64" t="inlineStr">
        <is>
          <t>BanRep no publica vintages</t>
        </is>
      </c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42" customHeight="1">
      <c r="A32" s="64" t="inlineStr">
        <is>
          <t>Reservas internacionales</t>
        </is>
      </c>
      <c r="B32" s="64" t="inlineStr">
        <is>
          <t>Sector externo Colombia</t>
        </is>
      </c>
      <c r="C32" s="173" t="n">
        <v>0.01943428699846519</v>
      </c>
      <c r="D32" s="173" t="n">
        <v>0.02373458924813339</v>
      </c>
      <c r="E32" s="173" t="n">
        <v>0.01073707753803666</v>
      </c>
      <c r="F32" s="173" t="n">
        <v>0.02126946329410127</v>
      </c>
      <c r="G32" s="173" t="n">
        <v>0.01189102071976112</v>
      </c>
      <c r="H32" s="64" t="n"/>
      <c r="I32" s="64" t="inlineStr">
        <is>
          <t>Flujos netos de capital</t>
        </is>
      </c>
      <c r="J32" s="114" t="inlineStr">
        <is>
          <t>No disponible</t>
        </is>
      </c>
      <c r="K32" s="114" t="n">
        <v>0</v>
      </c>
      <c r="L32" s="174" t="n">
        <v>0</v>
      </c>
      <c r="M32" s="114" t="inlineStr">
        <is>
          <t>No</t>
        </is>
      </c>
      <c r="N32" s="64" t="inlineStr">
        <is>
          <t>2026-08-23</t>
        </is>
      </c>
      <c r="O32" s="64" t="inlineStr">
        <is>
          <t>BanRep 16706</t>
        </is>
      </c>
      <c r="P32" s="64" t="inlineStr">
        <is>
          <t>BanRep no publica vintages</t>
        </is>
      </c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42" customHeight="1">
      <c r="A33" s="64" t="inlineStr">
        <is>
          <t>Remesas</t>
        </is>
      </c>
      <c r="B33" s="64" t="inlineStr">
        <is>
          <t>Sector externo Colombia</t>
        </is>
      </c>
      <c r="C33" s="173" t="n">
        <v>0.01171442771620573</v>
      </c>
      <c r="D33" s="173" t="n">
        <v>0.006391362901009052</v>
      </c>
      <c r="E33" s="173" t="n">
        <v>0.01956880309271376</v>
      </c>
      <c r="F33" s="173" t="n">
        <v>0.006324530963164948</v>
      </c>
      <c r="G33" s="173" t="n">
        <v>0.0293600905373721</v>
      </c>
      <c r="H33" s="64" t="n"/>
      <c r="I33" s="64" t="inlineStr">
        <is>
          <t>Diferencial de compensación inflacionaria 5 años</t>
        </is>
      </c>
      <c r="J33" s="114" t="inlineStr">
        <is>
          <t>No disponible</t>
        </is>
      </c>
      <c r="K33" s="114" t="n">
        <v>0</v>
      </c>
      <c r="L33" s="174" t="n">
        <v>0</v>
      </c>
      <c r="M33" s="114" t="inlineStr">
        <is>
          <t>No</t>
        </is>
      </c>
      <c r="N33" s="64" t="inlineStr">
        <is>
          <t>2026-08-23</t>
        </is>
      </c>
      <c r="O33" s="64" t="inlineStr">
        <is>
          <t>BanRep 15273/15276 + Fed GSW</t>
        </is>
      </c>
      <c r="P33" s="64" t="inlineStr">
        <is>
          <t>Ningún componente tiene vintages completos</t>
        </is>
      </c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42" customHeight="1">
      <c r="A34" s="64" t="inlineStr">
        <is>
          <t>Diferencial de compensación inflacionaria 5 años</t>
        </is>
      </c>
      <c r="B34" s="64" t="inlineStr">
        <is>
          <t>Política doméstica</t>
        </is>
      </c>
      <c r="C34" s="173" t="n">
        <v>0.002997753047787427</v>
      </c>
      <c r="D34" s="173" t="n">
        <v>0.008809147213828002</v>
      </c>
      <c r="E34" s="173" t="n">
        <v>0.01155859059886535</v>
      </c>
      <c r="F34" s="173" t="n">
        <v>0.00722963255771997</v>
      </c>
      <c r="G34" s="173" t="n">
        <v>0.01109257928806522</v>
      </c>
      <c r="H34" s="64" t="n"/>
      <c r="I34" s="64" t="inlineStr">
        <is>
          <t>Monedas regionales</t>
        </is>
      </c>
      <c r="J34" s="114" t="inlineStr">
        <is>
          <t>Completo</t>
        </is>
      </c>
      <c r="K34" s="114" t="n">
        <v>48</v>
      </c>
      <c r="L34" s="174" t="n">
        <v>1</v>
      </c>
      <c r="M34" s="114" t="inlineStr">
        <is>
          <t>Sí</t>
        </is>
      </c>
      <c r="N34" s="64" t="inlineStr">
        <is>
          <t>2026-08-23</t>
        </is>
      </c>
      <c r="O34" s="64" t="inlineStr">
        <is>
          <t>FRED BRL/CLP/MXN</t>
        </is>
      </c>
      <c r="P34" s="64" t="inlineStr">
        <is>
          <t>Factor de 3 monedas; API FRED con realtime vintage</t>
        </is>
      </c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Diferencial de tasas</t>
        </is>
      </c>
      <c r="B35" s="64" t="inlineStr">
        <is>
          <t>Política doméstica</t>
        </is>
      </c>
      <c r="C35" s="173" t="n">
        <v>0.001833728312270081</v>
      </c>
      <c r="D35" s="173" t="n">
        <v>0.002855239435580276</v>
      </c>
      <c r="E35" s="173" t="n">
        <v>0.005529175100881641</v>
      </c>
      <c r="F35" s="173" t="n">
        <v>0.002100933435872156</v>
      </c>
      <c r="G35" s="173" t="n">
        <v>0.008093149674687909</v>
      </c>
      <c r="H35" s="64" t="n"/>
      <c r="I35" s="64" t="inlineStr">
        <is>
          <t>Variables globales nuevas</t>
        </is>
      </c>
      <c r="J35" s="114" t="inlineStr">
        <is>
          <t>No disponible</t>
        </is>
      </c>
      <c r="K35" s="114" t="n">
        <v>0</v>
      </c>
      <c r="L35" s="174" t="n">
        <v>0</v>
      </c>
      <c r="M35" s="114" t="inlineStr">
        <is>
          <t>No</t>
        </is>
      </c>
      <c r="N35" s="64" t="inlineStr">
        <is>
          <t>2026-08-23</t>
        </is>
      </c>
      <c r="O35" s="64" t="inlineStr">
        <is>
          <t>FRED: TIPS, Treasury, Brent, commodities, EPU, STLFSI, empleo y producción industrial</t>
        </is>
      </c>
      <c r="P35" s="64" t="inlineStr">
        <is>
          <t>Base global mensual sin vintages históricos consolidados</t>
        </is>
      </c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Déficit fiscal</t>
        </is>
      </c>
      <c r="B36" s="64" t="inlineStr">
        <is>
          <t>Política doméstica</t>
        </is>
      </c>
      <c r="C36" s="173" t="n">
        <v>0.000851675563371715</v>
      </c>
      <c r="D36" s="173" t="n">
        <v>0.0025183388787015</v>
      </c>
      <c r="E36" s="173" t="n">
        <v>0.007785204040030832</v>
      </c>
      <c r="F36" s="173" t="n">
        <v>0.002198259605679404</v>
      </c>
      <c r="G36" s="173" t="n">
        <v>0.01376193542958769</v>
      </c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6" customHeight="1">
      <c r="A37" s="58" t="inlineStr">
        <is>
          <t>Lectura: intervalos amplios o cambios de signo entre cortes indican incertidumbre de asignación, aunque el peso puntual sea alto. Tener 48 vintages en un factor no basta para un backtest genuino: todos los factores utilizados en cada origen deben estar completos.</t>
        </is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6" customHeight="1"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6" customHeight="1"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:P3"/>
    <mergeCell ref="A37:P39"/>
    <mergeCell ref="I21:P21"/>
    <mergeCell ref="A1:P1"/>
    <mergeCell ref="A21:G21"/>
    <mergeCell ref="A5:H5"/>
    <mergeCell ref="J5:P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9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21" t="inlineStr">
        <is>
          <t>Robustez del diferencial de compensación inflacionaria a cinco años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Se adopta Δ diferencial BEI con promedios mensuales separados y rezago de un mes: BIC -1052.25 frente a -1053.44 en nivel. La primera diferencia es la especificación vigente; nivel, tendencia, quiebre y fechas comunes quedan como robustez.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11" t="inlineStr">
        <is>
          <t>Comparación dentro del modelo ampliado — misma muestra de 240 meses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Especificación</t>
        </is>
      </c>
      <c r="B6" s="62" t="inlineStr">
        <is>
          <t>Agregación</t>
        </is>
      </c>
      <c r="C6" s="62" t="inlineStr">
        <is>
          <t>Transformación</t>
        </is>
      </c>
      <c r="D6" s="62" t="inlineStr">
        <is>
          <t>Extensión</t>
        </is>
      </c>
      <c r="E6" s="62" t="inlineStr">
        <is>
          <t>R² ajustado</t>
        </is>
      </c>
      <c r="F6" s="62" t="inlineStr">
        <is>
          <t>BIC</t>
        </is>
      </c>
      <c r="G6" s="62" t="inlineStr">
        <is>
          <t>Coef. BEI</t>
        </is>
      </c>
      <c r="H6" s="62" t="inlineStr">
        <is>
          <t>p HAC</t>
        </is>
      </c>
      <c r="I6" s="62" t="inlineStr">
        <is>
          <t>MAPE cond.</t>
        </is>
      </c>
      <c r="J6" s="62" t="inlineStr">
        <is>
          <t>R² validación</t>
        </is>
      </c>
      <c r="K6" s="62" t="inlineStr">
        <is>
          <t>Quiebre</t>
        </is>
      </c>
      <c r="L6" s="62" t="inlineStr">
        <is>
          <t>Cautela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64" t="inlineStr">
        <is>
          <t>Nivel — medias separadas (referencia)</t>
        </is>
      </c>
      <c r="B7" s="64" t="inlineStr">
        <is>
          <t>Medias mensuales separadas</t>
        </is>
      </c>
      <c r="C7" s="64" t="inlineStr">
        <is>
          <t>nivel</t>
        </is>
      </c>
      <c r="D7" s="64" t="inlineStr">
        <is>
          <t>ninguno</t>
        </is>
      </c>
      <c r="E7" s="175" t="n">
        <v>0.6385078415</v>
      </c>
      <c r="F7" s="169" t="n">
        <v>-1053.436022</v>
      </c>
      <c r="G7" s="169" t="n">
        <v>-0.001668669986</v>
      </c>
      <c r="H7" s="169" t="n">
        <v>0.3960117822</v>
      </c>
      <c r="I7" s="176" t="n">
        <v>0.01480753241</v>
      </c>
      <c r="J7" s="176" t="n">
        <v>0.5669449782</v>
      </c>
      <c r="K7" s="64" t="inlineStr">
        <is>
          <t>—</t>
        </is>
      </c>
      <c r="L7" s="64" t="inlineStr">
        <is>
          <t>Comparación regular</t>
        </is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64" t="inlineStr">
        <is>
          <t>Primera diferencia — medias separadas (vigente)</t>
        </is>
      </c>
      <c r="B8" s="64" t="inlineStr">
        <is>
          <t>Medias mensuales separadas</t>
        </is>
      </c>
      <c r="C8" s="64" t="inlineStr">
        <is>
          <t>primera_diferencia</t>
        </is>
      </c>
      <c r="D8" s="64" t="inlineStr">
        <is>
          <t>ninguno</t>
        </is>
      </c>
      <c r="E8" s="175" t="n">
        <v>0.6367240559</v>
      </c>
      <c r="F8" s="169" t="n">
        <v>-1052.254653</v>
      </c>
      <c r="G8" s="169" t="n">
        <v>-0.001715399372</v>
      </c>
      <c r="H8" s="169" t="n">
        <v>0.6793067734</v>
      </c>
      <c r="I8" s="176" t="n">
        <v>0.01488057561</v>
      </c>
      <c r="J8" s="176" t="n">
        <v>0.5687002869</v>
      </c>
      <c r="K8" s="64" t="inlineStr">
        <is>
          <t>—</t>
        </is>
      </c>
      <c r="L8" s="64" t="inlineStr">
        <is>
          <t>Comparación regular</t>
        </is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64" t="inlineStr">
        <is>
          <t>Nivel — fechas diarias comunes</t>
        </is>
      </c>
      <c r="B9" s="64" t="inlineStr">
        <is>
          <t>Fechas diarias comunes</t>
        </is>
      </c>
      <c r="C9" s="64" t="inlineStr">
        <is>
          <t>nivel</t>
        </is>
      </c>
      <c r="D9" s="64" t="inlineStr">
        <is>
          <t>ninguno</t>
        </is>
      </c>
      <c r="E9" s="175" t="n">
        <v>0.6383490003</v>
      </c>
      <c r="F9" s="169" t="n">
        <v>-1053.330588</v>
      </c>
      <c r="G9" s="169" t="n">
        <v>-0.001599739718</v>
      </c>
      <c r="H9" s="169" t="n">
        <v>0.4144211324</v>
      </c>
      <c r="I9" s="176" t="n">
        <v>0.01480065924</v>
      </c>
      <c r="J9" s="176" t="n">
        <v>0.5672188912</v>
      </c>
      <c r="K9" s="64" t="inlineStr">
        <is>
          <t>—</t>
        </is>
      </c>
      <c r="L9" s="64" t="inlineStr">
        <is>
          <t>Comparación regular</t>
        </is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64" t="inlineStr">
        <is>
          <t>Primera diferencia — fechas diarias comunes</t>
        </is>
      </c>
      <c r="B10" s="64" t="inlineStr">
        <is>
          <t>Fechas diarias comunes</t>
        </is>
      </c>
      <c r="C10" s="64" t="inlineStr">
        <is>
          <t>primera_diferencia</t>
        </is>
      </c>
      <c r="D10" s="64" t="inlineStr">
        <is>
          <t>ninguno</t>
        </is>
      </c>
      <c r="E10" s="175" t="n">
        <v>0.6366312602</v>
      </c>
      <c r="F10" s="169" t="n">
        <v>-1052.193355</v>
      </c>
      <c r="G10" s="169" t="n">
        <v>-0.001383505392</v>
      </c>
      <c r="H10" s="169" t="n">
        <v>0.7345273036</v>
      </c>
      <c r="I10" s="176" t="n">
        <v>0.01488725043</v>
      </c>
      <c r="J10" s="176" t="n">
        <v>0.5695968186</v>
      </c>
      <c r="K10" s="64" t="inlineStr">
        <is>
          <t>—</t>
        </is>
      </c>
      <c r="L10" s="64" t="inlineStr">
        <is>
          <t>Comparación regular</t>
        </is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64" t="inlineStr">
        <is>
          <t>Nivel separado + tendencia lineal</t>
        </is>
      </c>
      <c r="B11" s="64" t="inlineStr">
        <is>
          <t>Medias mensuales separadas</t>
        </is>
      </c>
      <c r="C11" s="64" t="inlineStr">
        <is>
          <t>nivel</t>
        </is>
      </c>
      <c r="D11" s="64" t="inlineStr">
        <is>
          <t>tendencia</t>
        </is>
      </c>
      <c r="E11" s="175" t="n">
        <v>0.6368402522</v>
      </c>
      <c r="F11" s="169" t="n">
        <v>-1048.013022</v>
      </c>
      <c r="G11" s="169" t="n">
        <v>-0.001589711443</v>
      </c>
      <c r="H11" s="169" t="n">
        <v>0.4121740467</v>
      </c>
      <c r="I11" s="176" t="n">
        <v>0.01482166114</v>
      </c>
      <c r="J11" s="176" t="n">
        <v>0.5603950659</v>
      </c>
      <c r="K11" s="64" t="inlineStr">
        <is>
          <t>—</t>
        </is>
      </c>
      <c r="L11" s="64" t="inlineStr">
        <is>
          <t>Comparación regular</t>
        </is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4" customHeight="1">
      <c r="A12" s="64" t="inlineStr">
        <is>
          <t>Nivel separado + quiebre de coeficiente ZA</t>
        </is>
      </c>
      <c r="B12" s="64" t="inlineStr">
        <is>
          <t>Medias mensuales separadas</t>
        </is>
      </c>
      <c r="C12" s="64" t="inlineStr">
        <is>
          <t>nivel</t>
        </is>
      </c>
      <c r="D12" s="64" t="inlineStr">
        <is>
          <t>quiebre_coeficiente</t>
        </is>
      </c>
      <c r="E12" s="175" t="n">
        <v>0.638860787</v>
      </c>
      <c r="F12" s="169" t="n">
        <v>-1045.0393</v>
      </c>
      <c r="G12" s="169" t="n">
        <v>-0.00716535501</v>
      </c>
      <c r="H12" s="169" t="n">
        <v>0.08823779884999999</v>
      </c>
      <c r="I12" s="176" t="n">
        <v>0.01485558132</v>
      </c>
      <c r="J12" s="176" t="n">
        <v>0.5685167819</v>
      </c>
      <c r="K12" s="64" t="inlineStr">
        <is>
          <t>2009-01-01</t>
        </is>
      </c>
      <c r="L12" s="64" t="inlineStr">
        <is>
          <t>Quiebre elegido ex post</t>
        </is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n"/>
      <c r="B13" s="64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2" customHeight="1">
      <c r="A15" s="111" t="inlineStr">
        <is>
          <t>Comparación de agregación mensual</t>
        </is>
      </c>
      <c r="G15" s="64" t="n"/>
      <c r="H15" s="64" t="n"/>
      <c r="I15" s="64" t="n"/>
      <c r="J15" s="64" t="n"/>
      <c r="K15" s="64" t="n"/>
      <c r="L15" s="6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2" t="inlineStr">
        <is>
          <t>Métrica</t>
        </is>
      </c>
      <c r="B16" s="62" t="inlineStr">
        <is>
          <t>Valor</t>
        </is>
      </c>
      <c r="C16" s="62" t="inlineStr">
        <is>
          <t>Lectura</t>
        </is>
      </c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Correlación entre agregaciones</t>
        </is>
      </c>
      <c r="B17" s="176" t="n">
        <v>0.9997467536401311</v>
      </c>
      <c r="C17" s="64" t="inlineStr">
        <is>
          <t>Prácticamente idénticas en el conjunto de la muestra</t>
        </is>
      </c>
      <c r="D17" s="64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Diferencia media común − separada</t>
        </is>
      </c>
      <c r="B18" s="176" t="n">
        <v>4.139130794455774e-05</v>
      </c>
      <c r="C18" s="64" t="inlineStr">
        <is>
          <t>Puntos porcentuales</t>
        </is>
      </c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Máxima diferencia absoluta</t>
        </is>
      </c>
      <c r="B19" s="176" t="n">
        <v>0.156017644862938</v>
      </c>
      <c r="C19" s="64" t="inlineStr">
        <is>
          <t>Puntos porcentuales; ocurre en un mes con pocos cruces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Mínimo de días comunes</t>
        </is>
      </c>
      <c r="B20" s="176" t="n">
        <v>4</v>
      </c>
      <c r="C20" s="64" t="inlineStr">
        <is>
          <t>La intersección puede perder gran parte del mes</t>
        </is>
      </c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Mediana de días comunes</t>
        </is>
      </c>
      <c r="B21" s="176" t="n">
        <v>19</v>
      </c>
      <c r="C21" s="64" t="inlineStr">
        <is>
          <t>Días con las tres curvas observadas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n"/>
      <c r="B23" s="64" t="n"/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22" customHeight="1">
      <c r="A24" s="111" t="inlineStr">
        <is>
          <t>Estacionariedad con constante, tendencia y quiebre endógeno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2" t="inlineStr">
        <is>
          <t>Agregación</t>
        </is>
      </c>
      <c r="B25" s="62" t="inlineStr">
        <is>
          <t>Transformación</t>
        </is>
      </c>
      <c r="C25" s="62" t="inlineStr">
        <is>
          <t>Prueba</t>
        </is>
      </c>
      <c r="D25" s="62" t="inlineStr">
        <is>
          <t>Determinístico</t>
        </is>
      </c>
      <c r="E25" s="62" t="inlineStr">
        <is>
          <t>H₀</t>
        </is>
      </c>
      <c r="F25" s="62" t="inlineStr">
        <is>
          <t>N</t>
        </is>
      </c>
      <c r="G25" s="62" t="inlineStr">
        <is>
          <t>Estadístico</t>
        </is>
      </c>
      <c r="H25" s="62" t="inlineStr">
        <is>
          <t>p-valor</t>
        </is>
      </c>
      <c r="I25" s="62" t="inlineStr">
        <is>
          <t>Rezagos</t>
        </is>
      </c>
      <c r="J25" s="62" t="inlineStr">
        <is>
          <t>Fecha quiebre</t>
        </is>
      </c>
      <c r="K25" s="62" t="inlineStr">
        <is>
          <t>Crítico 5%</t>
        </is>
      </c>
      <c r="L25" s="6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1" customHeight="1">
      <c r="A26" s="64" t="inlineStr">
        <is>
          <t>Medias mensuales separadas</t>
        </is>
      </c>
      <c r="B26" s="64" t="inlineStr">
        <is>
          <t>nivel</t>
        </is>
      </c>
      <c r="C26" s="64" t="inlineStr">
        <is>
          <t>ADF</t>
        </is>
      </c>
      <c r="D26" s="64" t="inlineStr">
        <is>
          <t>constante</t>
        </is>
      </c>
      <c r="E26" s="64" t="inlineStr">
        <is>
          <t>raiz_unitaria</t>
        </is>
      </c>
      <c r="F26" s="64" t="n">
        <v>244</v>
      </c>
      <c r="G26" s="169" t="n">
        <v>-3.341150215</v>
      </c>
      <c r="H26" s="169" t="n">
        <v>0.0131363167</v>
      </c>
      <c r="I26" s="64" t="n">
        <v>1</v>
      </c>
      <c r="J26" s="64" t="inlineStr">
        <is>
          <t>—</t>
        </is>
      </c>
      <c r="K26" s="169" t="n">
        <v>-2.873558511</v>
      </c>
      <c r="L26" s="6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1" customHeight="1">
      <c r="A27" s="64" t="inlineStr">
        <is>
          <t>Medias mensuales separadas</t>
        </is>
      </c>
      <c r="B27" s="64" t="inlineStr">
        <is>
          <t>nivel</t>
        </is>
      </c>
      <c r="C27" s="64" t="inlineStr">
        <is>
          <t>ADF</t>
        </is>
      </c>
      <c r="D27" s="64" t="inlineStr">
        <is>
          <t>constante_tendencia</t>
        </is>
      </c>
      <c r="E27" s="64" t="inlineStr">
        <is>
          <t>raiz_unitaria</t>
        </is>
      </c>
      <c r="F27" s="64" t="n">
        <v>244</v>
      </c>
      <c r="G27" s="169" t="n">
        <v>-3.377747252</v>
      </c>
      <c r="H27" s="169" t="n">
        <v>0.05443280921</v>
      </c>
      <c r="I27" s="64" t="n">
        <v>1</v>
      </c>
      <c r="J27" s="64" t="inlineStr">
        <is>
          <t>—</t>
        </is>
      </c>
      <c r="K27" s="169" t="n">
        <v>-3.428789643</v>
      </c>
      <c r="L27" s="6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1" customHeight="1">
      <c r="A28" s="64" t="inlineStr">
        <is>
          <t>Medias mensuales separadas</t>
        </is>
      </c>
      <c r="B28" s="64" t="inlineStr">
        <is>
          <t>nivel</t>
        </is>
      </c>
      <c r="C28" s="64" t="inlineStr">
        <is>
          <t>KPSS</t>
        </is>
      </c>
      <c r="D28" s="64" t="inlineStr">
        <is>
          <t>constante_tendencia</t>
        </is>
      </c>
      <c r="E28" s="64" t="inlineStr">
        <is>
          <t>estacionariedad</t>
        </is>
      </c>
      <c r="F28" s="64" t="n">
        <v>244</v>
      </c>
      <c r="G28" s="169" t="n">
        <v>0.2771566599</v>
      </c>
      <c r="H28" s="169" t="n">
        <v>0.01</v>
      </c>
      <c r="I28" s="64" t="n">
        <v>9</v>
      </c>
      <c r="J28" s="64" t="inlineStr">
        <is>
          <t>—</t>
        </is>
      </c>
      <c r="K28" s="169" t="n">
        <v>0.146</v>
      </c>
      <c r="L28" s="6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1" customHeight="1">
      <c r="A29" s="64" t="inlineStr">
        <is>
          <t>Medias mensuales separadas</t>
        </is>
      </c>
      <c r="B29" s="64" t="inlineStr">
        <is>
          <t>nivel</t>
        </is>
      </c>
      <c r="C29" s="64" t="inlineStr">
        <is>
          <t>Zivot-Andrews</t>
        </is>
      </c>
      <c r="D29" s="64" t="inlineStr">
        <is>
          <t>constante_tendencia_con_quiebre</t>
        </is>
      </c>
      <c r="E29" s="64" t="inlineStr">
        <is>
          <t>raiz_unitaria_con_quiebre</t>
        </is>
      </c>
      <c r="F29" s="64" t="n">
        <v>244</v>
      </c>
      <c r="G29" s="169" t="n">
        <v>-4.872944391</v>
      </c>
      <c r="H29" s="169" t="n">
        <v>0.08880880721999999</v>
      </c>
      <c r="I29" s="64" t="n">
        <v>1</v>
      </c>
      <c r="J29" s="64" t="inlineStr">
        <is>
          <t>2009-01-01</t>
        </is>
      </c>
      <c r="K29" s="169" t="n">
        <v>-5.07332</v>
      </c>
      <c r="L29" s="6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1" customHeight="1">
      <c r="A30" s="64" t="inlineStr">
        <is>
          <t>Medias mensuales separadas</t>
        </is>
      </c>
      <c r="B30" s="64" t="inlineStr">
        <is>
          <t>primera_diferencia</t>
        </is>
      </c>
      <c r="C30" s="64" t="inlineStr">
        <is>
          <t>ADF</t>
        </is>
      </c>
      <c r="D30" s="64" t="inlineStr">
        <is>
          <t>constante</t>
        </is>
      </c>
      <c r="E30" s="64" t="inlineStr">
        <is>
          <t>raiz_unitaria</t>
        </is>
      </c>
      <c r="F30" s="64" t="n">
        <v>243</v>
      </c>
      <c r="G30" s="169" t="n">
        <v>-11.27020455</v>
      </c>
      <c r="H30" s="169" t="n">
        <v>1.543594924e-20</v>
      </c>
      <c r="I30" s="64" t="n">
        <v>1</v>
      </c>
      <c r="J30" s="64" t="inlineStr">
        <is>
          <t>—</t>
        </is>
      </c>
      <c r="K30" s="169" t="n">
        <v>-2.873608705</v>
      </c>
      <c r="L30" s="6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1" customHeight="1">
      <c r="A31" s="64" t="inlineStr">
        <is>
          <t>Medias mensuales separadas</t>
        </is>
      </c>
      <c r="B31" s="64" t="inlineStr">
        <is>
          <t>primera_diferencia</t>
        </is>
      </c>
      <c r="C31" s="64" t="inlineStr">
        <is>
          <t>ADF</t>
        </is>
      </c>
      <c r="D31" s="64" t="inlineStr">
        <is>
          <t>constante_tendencia</t>
        </is>
      </c>
      <c r="E31" s="64" t="inlineStr">
        <is>
          <t>raiz_unitaria</t>
        </is>
      </c>
      <c r="F31" s="64" t="n">
        <v>243</v>
      </c>
      <c r="G31" s="169" t="n">
        <v>-11.24178725</v>
      </c>
      <c r="H31" s="169" t="n">
        <v>7.863134327e-18</v>
      </c>
      <c r="I31" s="64" t="n">
        <v>1</v>
      </c>
      <c r="J31" s="64" t="inlineStr">
        <is>
          <t>—</t>
        </is>
      </c>
      <c r="K31" s="169" t="n">
        <v>-3.428866245</v>
      </c>
      <c r="L31" s="6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1" customHeight="1">
      <c r="A32" s="64" t="inlineStr">
        <is>
          <t>Medias mensuales separadas</t>
        </is>
      </c>
      <c r="B32" s="64" t="inlineStr">
        <is>
          <t>primera_diferencia</t>
        </is>
      </c>
      <c r="C32" s="64" t="inlineStr">
        <is>
          <t>KPSS</t>
        </is>
      </c>
      <c r="D32" s="64" t="inlineStr">
        <is>
          <t>constante_tendencia</t>
        </is>
      </c>
      <c r="E32" s="64" t="inlineStr">
        <is>
          <t>estacionariedad</t>
        </is>
      </c>
      <c r="F32" s="64" t="n">
        <v>243</v>
      </c>
      <c r="G32" s="169" t="n">
        <v>0.02785936073</v>
      </c>
      <c r="H32" s="169" t="n">
        <v>0.1</v>
      </c>
      <c r="I32" s="64" t="n">
        <v>6</v>
      </c>
      <c r="J32" s="64" t="inlineStr">
        <is>
          <t>—</t>
        </is>
      </c>
      <c r="K32" s="169" t="n">
        <v>0.146</v>
      </c>
      <c r="L32" s="6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31" customHeight="1">
      <c r="A33" s="64" t="inlineStr">
        <is>
          <t>Medias mensuales separadas</t>
        </is>
      </c>
      <c r="B33" s="64" t="inlineStr">
        <is>
          <t>primera_diferencia</t>
        </is>
      </c>
      <c r="C33" s="64" t="inlineStr">
        <is>
          <t>Zivot-Andrews</t>
        </is>
      </c>
      <c r="D33" s="64" t="inlineStr">
        <is>
          <t>constante_tendencia_con_quiebre</t>
        </is>
      </c>
      <c r="E33" s="64" t="inlineStr">
        <is>
          <t>raiz_unitaria_con_quiebre</t>
        </is>
      </c>
      <c r="F33" s="64" t="n">
        <v>243</v>
      </c>
      <c r="G33" s="169" t="n">
        <v>-11.50895789</v>
      </c>
      <c r="H33" s="169" t="n">
        <v>0.0008416505466</v>
      </c>
      <c r="I33" s="64" t="n">
        <v>1</v>
      </c>
      <c r="J33" s="64" t="inlineStr">
        <is>
          <t>2023-01-01</t>
        </is>
      </c>
      <c r="K33" s="169" t="n">
        <v>-5.07332</v>
      </c>
      <c r="L33" s="6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31" customHeight="1">
      <c r="A34" s="64" t="inlineStr">
        <is>
          <t>Fechas diarias comunes</t>
        </is>
      </c>
      <c r="B34" s="64" t="inlineStr">
        <is>
          <t>nivel</t>
        </is>
      </c>
      <c r="C34" s="64" t="inlineStr">
        <is>
          <t>ADF</t>
        </is>
      </c>
      <c r="D34" s="64" t="inlineStr">
        <is>
          <t>constante</t>
        </is>
      </c>
      <c r="E34" s="64" t="inlineStr">
        <is>
          <t>raiz_unitaria</t>
        </is>
      </c>
      <c r="F34" s="64" t="n">
        <v>244</v>
      </c>
      <c r="G34" s="169" t="n">
        <v>-3.299255736</v>
      </c>
      <c r="H34" s="169" t="n">
        <v>0.01491177592</v>
      </c>
      <c r="I34" s="64" t="n">
        <v>1</v>
      </c>
      <c r="J34" s="64" t="inlineStr">
        <is>
          <t>—</t>
        </is>
      </c>
      <c r="K34" s="169" t="n">
        <v>-2.873558511</v>
      </c>
      <c r="L34" s="6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 ht="31" customHeight="1">
      <c r="A35" s="64" t="inlineStr">
        <is>
          <t>Fechas diarias comunes</t>
        </is>
      </c>
      <c r="B35" s="64" t="inlineStr">
        <is>
          <t>nivel</t>
        </is>
      </c>
      <c r="C35" s="64" t="inlineStr">
        <is>
          <t>ADF</t>
        </is>
      </c>
      <c r="D35" s="64" t="inlineStr">
        <is>
          <t>constante_tendencia</t>
        </is>
      </c>
      <c r="E35" s="64" t="inlineStr">
        <is>
          <t>raiz_unitaria</t>
        </is>
      </c>
      <c r="F35" s="64" t="n">
        <v>244</v>
      </c>
      <c r="G35" s="169" t="n">
        <v>-3.336021358</v>
      </c>
      <c r="H35" s="169" t="n">
        <v>0.06054115607</v>
      </c>
      <c r="I35" s="64" t="n">
        <v>1</v>
      </c>
      <c r="J35" s="64" t="inlineStr">
        <is>
          <t>—</t>
        </is>
      </c>
      <c r="K35" s="169" t="n">
        <v>-3.428789643</v>
      </c>
      <c r="L35" s="6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 ht="31" customHeight="1">
      <c r="A36" s="64" t="inlineStr">
        <is>
          <t>Fechas diarias comunes</t>
        </is>
      </c>
      <c r="B36" s="64" t="inlineStr">
        <is>
          <t>nivel</t>
        </is>
      </c>
      <c r="C36" s="64" t="inlineStr">
        <is>
          <t>KPSS</t>
        </is>
      </c>
      <c r="D36" s="64" t="inlineStr">
        <is>
          <t>constante_tendencia</t>
        </is>
      </c>
      <c r="E36" s="64" t="inlineStr">
        <is>
          <t>estacionariedad</t>
        </is>
      </c>
      <c r="F36" s="64" t="n">
        <v>244</v>
      </c>
      <c r="G36" s="169" t="n">
        <v>0.2774597411</v>
      </c>
      <c r="H36" s="169" t="n">
        <v>0.01</v>
      </c>
      <c r="I36" s="64" t="n">
        <v>9</v>
      </c>
      <c r="J36" s="64" t="inlineStr">
        <is>
          <t>—</t>
        </is>
      </c>
      <c r="K36" s="169" t="n">
        <v>0.146</v>
      </c>
      <c r="L36" s="6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1" customHeight="1">
      <c r="A37" s="64" t="inlineStr">
        <is>
          <t>Fechas diarias comunes</t>
        </is>
      </c>
      <c r="B37" s="64" t="inlineStr">
        <is>
          <t>nivel</t>
        </is>
      </c>
      <c r="C37" s="64" t="inlineStr">
        <is>
          <t>Zivot-Andrews</t>
        </is>
      </c>
      <c r="D37" s="64" t="inlineStr">
        <is>
          <t>constante_tendencia_con_quiebre</t>
        </is>
      </c>
      <c r="E37" s="64" t="inlineStr">
        <is>
          <t>raiz_unitaria_con_quiebre</t>
        </is>
      </c>
      <c r="F37" s="64" t="n">
        <v>244</v>
      </c>
      <c r="G37" s="169" t="n">
        <v>-4.910080617</v>
      </c>
      <c r="H37" s="169" t="n">
        <v>0.07982568522</v>
      </c>
      <c r="I37" s="64" t="n">
        <v>1</v>
      </c>
      <c r="J37" s="64" t="inlineStr">
        <is>
          <t>2009-01-01</t>
        </is>
      </c>
      <c r="K37" s="169" t="n">
        <v>-5.07332</v>
      </c>
      <c r="L37" s="6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1" customHeight="1">
      <c r="A38" s="64" t="inlineStr">
        <is>
          <t>Fechas diarias comunes</t>
        </is>
      </c>
      <c r="B38" s="64" t="inlineStr">
        <is>
          <t>primera_diferencia</t>
        </is>
      </c>
      <c r="C38" s="64" t="inlineStr">
        <is>
          <t>ADF</t>
        </is>
      </c>
      <c r="D38" s="64" t="inlineStr">
        <is>
          <t>constante</t>
        </is>
      </c>
      <c r="E38" s="64" t="inlineStr">
        <is>
          <t>raiz_unitaria</t>
        </is>
      </c>
      <c r="F38" s="64" t="n">
        <v>243</v>
      </c>
      <c r="G38" s="169" t="n">
        <v>-11.76929838</v>
      </c>
      <c r="H38" s="169" t="n">
        <v>1.099691157e-21</v>
      </c>
      <c r="I38" s="64" t="n">
        <v>0</v>
      </c>
      <c r="J38" s="64" t="inlineStr">
        <is>
          <t>—</t>
        </is>
      </c>
      <c r="K38" s="169" t="n">
        <v>-2.873558511</v>
      </c>
      <c r="L38" s="6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1" customHeight="1">
      <c r="A39" s="64" t="inlineStr">
        <is>
          <t>Fechas diarias comunes</t>
        </is>
      </c>
      <c r="B39" s="64" t="inlineStr">
        <is>
          <t>primera_diferencia</t>
        </is>
      </c>
      <c r="C39" s="64" t="inlineStr">
        <is>
          <t>ADF</t>
        </is>
      </c>
      <c r="D39" s="64" t="inlineStr">
        <is>
          <t>constante_tendencia</t>
        </is>
      </c>
      <c r="E39" s="64" t="inlineStr">
        <is>
          <t>raiz_unitaria</t>
        </is>
      </c>
      <c r="F39" s="64" t="n">
        <v>243</v>
      </c>
      <c r="G39" s="169" t="n">
        <v>-11.7486477</v>
      </c>
      <c r="H39" s="169" t="n">
        <v>1.000912704e-18</v>
      </c>
      <c r="I39" s="64" t="n">
        <v>0</v>
      </c>
      <c r="J39" s="64" t="inlineStr">
        <is>
          <t>—</t>
        </is>
      </c>
      <c r="K39" s="169" t="n">
        <v>-3.428789643</v>
      </c>
      <c r="L39" s="6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1" customHeight="1">
      <c r="A40" s="64" t="inlineStr">
        <is>
          <t>Fechas diarias comunes</t>
        </is>
      </c>
      <c r="B40" s="64" t="inlineStr">
        <is>
          <t>primera_diferencia</t>
        </is>
      </c>
      <c r="C40" s="64" t="inlineStr">
        <is>
          <t>KPSS</t>
        </is>
      </c>
      <c r="D40" s="64" t="inlineStr">
        <is>
          <t>constante_tendencia</t>
        </is>
      </c>
      <c r="E40" s="64" t="inlineStr">
        <is>
          <t>estacionariedad</t>
        </is>
      </c>
      <c r="F40" s="64" t="n">
        <v>243</v>
      </c>
      <c r="G40" s="169" t="n">
        <v>0.02861198233</v>
      </c>
      <c r="H40" s="169" t="n">
        <v>0.1</v>
      </c>
      <c r="I40" s="64" t="n">
        <v>6</v>
      </c>
      <c r="J40" s="64" t="inlineStr">
        <is>
          <t>—</t>
        </is>
      </c>
      <c r="K40" s="169" t="n">
        <v>0.146</v>
      </c>
      <c r="L40" s="6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1" customHeight="1">
      <c r="A41" s="64" t="inlineStr">
        <is>
          <t>Fechas diarias comunes</t>
        </is>
      </c>
      <c r="B41" s="64" t="inlineStr">
        <is>
          <t>primera_diferencia</t>
        </is>
      </c>
      <c r="C41" s="64" t="inlineStr">
        <is>
          <t>Zivot-Andrews</t>
        </is>
      </c>
      <c r="D41" s="64" t="inlineStr">
        <is>
          <t>constante_tendencia_con_quiebre</t>
        </is>
      </c>
      <c r="E41" s="64" t="inlineStr">
        <is>
          <t>raiz_unitaria_con_quiebre</t>
        </is>
      </c>
      <c r="F41" s="64" t="n">
        <v>243</v>
      </c>
      <c r="G41" s="169" t="n">
        <v>-11.91424722</v>
      </c>
      <c r="H41" s="169" t="n">
        <v>0.0008290119565</v>
      </c>
      <c r="I41" s="64" t="n">
        <v>0</v>
      </c>
      <c r="J41" s="64" t="inlineStr">
        <is>
          <t>2023-01-01</t>
        </is>
      </c>
      <c r="K41" s="169" t="n">
        <v>-5.07332</v>
      </c>
      <c r="L41" s="6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22" customHeight="1">
      <c r="A43" s="111" t="inlineStr">
        <is>
          <t>Tendencias determinísticas del propio diferencial BEI</t>
        </is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2" t="inlineStr">
        <is>
          <t>Agregación</t>
        </is>
      </c>
      <c r="B44" s="62" t="inlineStr">
        <is>
          <t>Modelo</t>
        </is>
      </c>
      <c r="C44" s="62" t="inlineStr">
        <is>
          <t>Quiebre ZA</t>
        </is>
      </c>
      <c r="D44" s="62" t="inlineStr">
        <is>
          <t>N</t>
        </is>
      </c>
      <c r="E44" s="62" t="inlineStr">
        <is>
          <t>R² ajustado</t>
        </is>
      </c>
      <c r="F44" s="62" t="inlineStr">
        <is>
          <t>BIC</t>
        </is>
      </c>
      <c r="G44" s="62" t="inlineStr">
        <is>
          <t>Tendencia pp/año</t>
        </is>
      </c>
      <c r="H44" s="62" t="inlineStr">
        <is>
          <t>p tendencia</t>
        </is>
      </c>
      <c r="I44" s="62" t="inlineStr">
        <is>
          <t>Cambio nivel</t>
        </is>
      </c>
      <c r="J44" s="62" t="inlineStr">
        <is>
          <t>p nivel</t>
        </is>
      </c>
      <c r="K44" s="62" t="inlineStr">
        <is>
          <t>Cambio pendiente</t>
        </is>
      </c>
      <c r="L44" s="62" t="inlineStr">
        <is>
          <t>p pendiente</t>
        </is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2" customHeight="1">
      <c r="A45" s="64" t="inlineStr">
        <is>
          <t>Medias mensuales separadas</t>
        </is>
      </c>
      <c r="B45" s="64" t="inlineStr">
        <is>
          <t>Sin tendencia</t>
        </is>
      </c>
      <c r="C45" s="64" t="inlineStr">
        <is>
          <t>2009-01-01</t>
        </is>
      </c>
      <c r="D45" s="64" t="n">
        <v>244</v>
      </c>
      <c r="E45" s="169" t="n">
        <v>-2.220446049e-16</v>
      </c>
      <c r="F45" s="169" t="n">
        <v>781.3877275</v>
      </c>
      <c r="G45" s="169" t="n"/>
      <c r="H45" s="169" t="n"/>
      <c r="I45" s="169" t="n"/>
      <c r="J45" s="169" t="n"/>
      <c r="K45" s="169" t="n"/>
      <c r="L45" s="169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2" customHeight="1">
      <c r="A46" s="64" t="inlineStr">
        <is>
          <t>Medias mensuales separadas</t>
        </is>
      </c>
      <c r="B46" s="64" t="inlineStr">
        <is>
          <t>Tendencia lineal</t>
        </is>
      </c>
      <c r="C46" s="64" t="inlineStr">
        <is>
          <t>2009-01-01</t>
        </is>
      </c>
      <c r="D46" s="64" t="n">
        <v>244</v>
      </c>
      <c r="E46" s="169" t="n">
        <v>0.007327105698</v>
      </c>
      <c r="F46" s="169" t="n">
        <v>784.084313</v>
      </c>
      <c r="G46" s="169" t="n">
        <v>0.02159408638</v>
      </c>
      <c r="H46" s="169" t="n">
        <v>0.5086989687</v>
      </c>
      <c r="I46" s="169" t="n"/>
      <c r="J46" s="169" t="n"/>
      <c r="K46" s="169" t="n"/>
      <c r="L46" s="169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2" customHeight="1">
      <c r="A47" s="64" t="inlineStr">
        <is>
          <t>Medias mensuales separadas</t>
        </is>
      </c>
      <c r="B47" s="64" t="inlineStr">
        <is>
          <t>Tendencia segmentada con quiebre ZA</t>
        </is>
      </c>
      <c r="C47" s="64" t="inlineStr">
        <is>
          <t>2009-01-01</t>
        </is>
      </c>
      <c r="D47" s="64" t="n">
        <v>244</v>
      </c>
      <c r="E47" s="169" t="n">
        <v>0.2501841377</v>
      </c>
      <c r="F47" s="169" t="n">
        <v>724.5937981</v>
      </c>
      <c r="G47" s="169" t="n">
        <v>1.180297632</v>
      </c>
      <c r="H47" s="169" t="n">
        <v>0.0002535002603</v>
      </c>
      <c r="I47" s="169" t="n">
        <v>-3.300772484</v>
      </c>
      <c r="J47" s="169" t="n">
        <v>6.386469637e-07</v>
      </c>
      <c r="K47" s="169" t="n">
        <v>-1.102839888</v>
      </c>
      <c r="L47" s="169" t="n">
        <v>0.0009624730542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 ht="32" customHeight="1">
      <c r="A48" s="64" t="inlineStr">
        <is>
          <t>Fechas diarias comunes</t>
        </is>
      </c>
      <c r="B48" s="64" t="inlineStr">
        <is>
          <t>Sin tendencia</t>
        </is>
      </c>
      <c r="C48" s="64" t="inlineStr">
        <is>
          <t>2009-01-01</t>
        </is>
      </c>
      <c r="D48" s="64" t="n">
        <v>244</v>
      </c>
      <c r="E48" s="169" t="n">
        <v>0</v>
      </c>
      <c r="F48" s="169" t="n">
        <v>782.3853886000001</v>
      </c>
      <c r="G48" s="169" t="n"/>
      <c r="H48" s="169" t="n"/>
      <c r="I48" s="169" t="n"/>
      <c r="J48" s="169" t="n"/>
      <c r="K48" s="169" t="n"/>
      <c r="L48" s="169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 ht="32" customHeight="1">
      <c r="A49" s="64" t="inlineStr">
        <is>
          <t>Fechas diarias comunes</t>
        </is>
      </c>
      <c r="B49" s="64" t="inlineStr">
        <is>
          <t>Tendencia lineal</t>
        </is>
      </c>
      <c r="C49" s="64" t="inlineStr">
        <is>
          <t>2009-01-01</t>
        </is>
      </c>
      <c r="D49" s="64" t="n">
        <v>244</v>
      </c>
      <c r="E49" s="169" t="n">
        <v>0.007062663142</v>
      </c>
      <c r="F49" s="169" t="n">
        <v>785.1469657</v>
      </c>
      <c r="G49" s="169" t="n">
        <v>0.02138715202</v>
      </c>
      <c r="H49" s="169" t="n">
        <v>0.5139101619000001</v>
      </c>
      <c r="I49" s="169" t="n"/>
      <c r="J49" s="169" t="n"/>
      <c r="K49" s="169" t="n"/>
      <c r="L49" s="169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 ht="32" customHeight="1">
      <c r="A50" s="64" t="inlineStr">
        <is>
          <t>Fechas diarias comunes</t>
        </is>
      </c>
      <c r="B50" s="64" t="inlineStr">
        <is>
          <t>Tendencia segmentada con quiebre ZA</t>
        </is>
      </c>
      <c r="C50" s="64" t="inlineStr">
        <is>
          <t>2009-01-01</t>
        </is>
      </c>
      <c r="D50" s="64" t="n">
        <v>244</v>
      </c>
      <c r="E50" s="169" t="n">
        <v>0.2505399115</v>
      </c>
      <c r="F50" s="169" t="n">
        <v>725.4756583</v>
      </c>
      <c r="G50" s="169" t="n">
        <v>1.178994287</v>
      </c>
      <c r="H50" s="169" t="n">
        <v>0.0002735804938</v>
      </c>
      <c r="I50" s="169" t="n">
        <v>-3.308769799</v>
      </c>
      <c r="J50" s="169" t="n">
        <v>7.135381707e-07</v>
      </c>
      <c r="K50" s="169" t="n">
        <v>-1.101357064</v>
      </c>
      <c r="L50" s="169" t="n">
        <v>0.001029278347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n"/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 ht="36" customHeight="1">
      <c r="A52" s="58" t="inlineStr">
        <is>
          <t>Lectura conjunta: el nivel parece estacionario con constante, pero deja de ser concluyente al incluir tendencia; Zivot–Andrews tampoco rechaza raíz unitaria al 5%. El quiebre de 2009 se seleccionó con toda la muestra y no mejora el BIC del modelo de TRM. La primera diferencia separada ofrece el mejor BIC, conserva casi el mismo desempeño condicional y evita depender de una fecha de quiebre estimada ex post.</t>
        </is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 ht="36" customHeight="1"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 ht="36" customHeight="1"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4:L24"/>
    <mergeCell ref="A2:L3"/>
    <mergeCell ref="A43:L43"/>
    <mergeCell ref="A5:L5"/>
    <mergeCell ref="A1:L1"/>
    <mergeCell ref="A52:L54"/>
    <mergeCell ref="A15:F1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12" customWidth="1" min="11" max="11"/>
    <col width="17" customWidth="1" min="12" max="12"/>
    <col width="17" customWidth="1" min="13" max="13"/>
    <col width="17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4" t="inlineStr">
        <is>
          <t>Validación condicional pseudo-fuera de muestra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Ventana expansiva de 48 meses (mayo de 2022–abril de 2026). La evaluación usa valores contemporáneos ya realizados de términos de intercambio, dólar amplio, VIX, EMBIG y monedas regionales. Es una prueba explicativa condicional, no un pronóstico genuinamente disponible en tiempo real.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Modelo</t>
        </is>
      </c>
      <c r="B5" s="62" t="inlineStr">
        <is>
          <t>Observaciones</t>
        </is>
      </c>
      <c r="C5" s="62" t="inlineStr">
        <is>
          <t>MAE (log)</t>
        </is>
      </c>
      <c r="D5" s="62" t="inlineStr">
        <is>
          <t>RMSE (log)</t>
        </is>
      </c>
      <c r="E5" s="62" t="inlineStr">
        <is>
          <t>MAPE</t>
        </is>
      </c>
      <c r="F5" s="62" t="inlineStr">
        <is>
          <t>Acierto dirección</t>
        </is>
      </c>
      <c r="G5" s="1" t="n"/>
      <c r="H5" s="66" t="inlineStr">
        <is>
          <t>Comparación</t>
        </is>
      </c>
      <c r="I5" s="66" t="inlineStr">
        <is>
          <t>Resultado</t>
        </is>
      </c>
      <c r="J5" s="66" t="inlineStr">
        <is>
          <t>Lectura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5" t="inlineStr">
        <is>
          <t>Modelo principal</t>
        </is>
      </c>
      <c r="B6" s="5" t="n">
        <v>48</v>
      </c>
      <c r="C6" s="178" t="n">
        <v>0.02008326628513109</v>
      </c>
      <c r="D6" s="178" t="n">
        <v>0.02658059381984105</v>
      </c>
      <c r="E6" s="179" t="n">
        <v>0.02006609126430155</v>
      </c>
      <c r="F6" s="179" t="n">
        <v>0.6875</v>
      </c>
      <c r="G6" s="1" t="n"/>
      <c r="H6" s="67" t="inlineStr">
        <is>
          <t>Reducción de MAE ampliado</t>
        </is>
      </c>
      <c r="I6" s="164" t="n">
        <v>0.2929527821378937</v>
      </c>
      <c r="J6" s="67" t="inlineStr">
        <is>
          <t>Mejora frente a la caminata aleatoria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29" t="inlineStr">
        <is>
          <t>Modelo ampliado</t>
        </is>
      </c>
      <c r="B7" s="29" t="n">
        <v>48</v>
      </c>
      <c r="C7" s="180" t="n">
        <v>0.01698946807891481</v>
      </c>
      <c r="D7" s="180" t="n">
        <v>0.02335908924688954</v>
      </c>
      <c r="E7" s="181" t="n">
        <v>0.01700257399880555</v>
      </c>
      <c r="F7" s="181" t="n">
        <v>0.8125</v>
      </c>
      <c r="G7" s="1" t="n"/>
      <c r="H7" s="67" t="inlineStr">
        <is>
          <t>Reducción de RMSE ampliado</t>
        </is>
      </c>
      <c r="I7" s="164" t="n">
        <v>0.2749104683957783</v>
      </c>
      <c r="J7" s="67" t="inlineStr">
        <is>
          <t>Mejora frente a la caminata aleatoria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Caminata aleatoria</t>
        </is>
      </c>
      <c r="B8" s="1" t="n">
        <v>48</v>
      </c>
      <c r="C8" s="161" t="n">
        <v>0.0240287602436026</v>
      </c>
      <c r="D8" s="161" t="n">
        <v>0.03221545509726062</v>
      </c>
      <c r="E8" s="182" t="n">
        <v>0.02394031003568149</v>
      </c>
      <c r="F8" s="182" t="n"/>
      <c r="G8" s="1" t="n"/>
      <c r="H8" s="67" t="inlineStr">
        <is>
          <t>Dirección correcta ampliado</t>
        </is>
      </c>
      <c r="I8" s="164" t="n">
        <v>0.8125</v>
      </c>
      <c r="J8" s="67" t="inlineStr">
        <is>
          <t>Signo mensual acertado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Mejora de MAPE vs. principal (p.p.)</t>
        </is>
      </c>
      <c r="I9" s="183" t="n">
        <v>0.3063517265496001</v>
      </c>
      <c r="J9" s="67" t="inlineStr">
        <is>
          <t>Diferencia en puntos porcentuales; positivo indica mejora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6" customHeight="1">
      <c r="A11" s="62" t="inlineStr">
        <is>
          <t>Mes</t>
        </is>
      </c>
      <c r="B11" s="62" t="inlineStr">
        <is>
          <t>ln TRM observada</t>
        </is>
      </c>
      <c r="C11" s="62" t="inlineStr">
        <is>
          <t>ln TRM modelo principal</t>
        </is>
      </c>
      <c r="D11" s="62" t="inlineStr">
        <is>
          <t>ln TRM caminata</t>
        </is>
      </c>
      <c r="E11" s="62" t="inlineStr">
        <is>
          <t>Δln observado</t>
        </is>
      </c>
      <c r="F11" s="62" t="inlineStr">
        <is>
          <t>Δln modelo principal</t>
        </is>
      </c>
      <c r="G11" s="62" t="inlineStr">
        <is>
          <t>TRM observada</t>
        </is>
      </c>
      <c r="H11" s="62" t="inlineStr">
        <is>
          <t>TRM modelo principal</t>
        </is>
      </c>
      <c r="I11" s="62" t="inlineStr">
        <is>
          <t>TRM caminata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2022-05</t>
        </is>
      </c>
      <c r="B12" s="160" t="n">
        <v>8.298808139175573</v>
      </c>
      <c r="C12" s="160" t="n">
        <v>8.272751079490853</v>
      </c>
      <c r="D12" s="160" t="n">
        <v>8.240907796093667</v>
      </c>
      <c r="E12" s="160" t="n">
        <v>0.05790034308190606</v>
      </c>
      <c r="F12" s="160" t="n">
        <v>0.03184328339718555</v>
      </c>
      <c r="G12" s="167" t="n">
        <v>4019.079354838708</v>
      </c>
      <c r="H12" s="167" t="n">
        <v>3915.706607982421</v>
      </c>
      <c r="I12" s="167" t="n">
        <v>3792.981999999997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2022-06</t>
        </is>
      </c>
      <c r="B13" s="160" t="n">
        <v>8.276589766414325</v>
      </c>
      <c r="C13" s="160" t="n">
        <v>8.28329698451912</v>
      </c>
      <c r="D13" s="160" t="n">
        <v>8.298808139175573</v>
      </c>
      <c r="E13" s="160" t="n">
        <v>-0.02221837276124816</v>
      </c>
      <c r="F13" s="160" t="n">
        <v>-0.01551115465645379</v>
      </c>
      <c r="G13" s="167" t="n">
        <v>3930.766666666666</v>
      </c>
      <c r="H13" s="167" t="n">
        <v>3957.2197902839</v>
      </c>
      <c r="I13" s="167" t="n">
        <v>4019.079354838708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 t="inlineStr">
        <is>
          <t>2022-07</t>
        </is>
      </c>
      <c r="B14" s="160" t="n">
        <v>8.382016058206503</v>
      </c>
      <c r="C14" s="160" t="n">
        <v>8.31067945351437</v>
      </c>
      <c r="D14" s="160" t="n">
        <v>8.276589766414325</v>
      </c>
      <c r="E14" s="160" t="n">
        <v>0.1054262917921776</v>
      </c>
      <c r="F14" s="160" t="n">
        <v>0.03408968710004485</v>
      </c>
      <c r="G14" s="167" t="n">
        <v>4367.805806451614</v>
      </c>
      <c r="H14" s="167" t="n">
        <v>4067.075433817815</v>
      </c>
      <c r="I14" s="167" t="n">
        <v>3930.766666666666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inlineStr">
        <is>
          <t>2022-08</t>
        </is>
      </c>
      <c r="B15" s="160" t="n">
        <v>8.371582127847805</v>
      </c>
      <c r="C15" s="160" t="n">
        <v>8.380565763346263</v>
      </c>
      <c r="D15" s="160" t="n">
        <v>8.382016058206503</v>
      </c>
      <c r="E15" s="160" t="n">
        <v>-0.01043393035869755</v>
      </c>
      <c r="F15" s="160" t="n">
        <v>-0.001450294860239183</v>
      </c>
      <c r="G15" s="167" t="n">
        <v>4322.469354838713</v>
      </c>
      <c r="H15" s="167" t="n">
        <v>4361.475791443631</v>
      </c>
      <c r="I15" s="167" t="n">
        <v>4367.805806451614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inlineStr">
        <is>
          <t>2022-09</t>
        </is>
      </c>
      <c r="B16" s="160" t="n">
        <v>8.396978677110038</v>
      </c>
      <c r="C16" s="160" t="n">
        <v>8.405774525364944</v>
      </c>
      <c r="D16" s="160" t="n">
        <v>8.371582127847805</v>
      </c>
      <c r="E16" s="160" t="n">
        <v>0.02539654926223278</v>
      </c>
      <c r="F16" s="160" t="n">
        <v>0.03419239751713843</v>
      </c>
      <c r="G16" s="167" t="n">
        <v>4433.650999999996</v>
      </c>
      <c r="H16" s="167" t="n">
        <v>4472.820734394597</v>
      </c>
      <c r="I16" s="167" t="n">
        <v>4322.469354838713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inlineStr">
        <is>
          <t>2022-10</t>
        </is>
      </c>
      <c r="B17" s="160" t="n">
        <v>8.457831715043978</v>
      </c>
      <c r="C17" s="160" t="n">
        <v>8.426391756436736</v>
      </c>
      <c r="D17" s="160" t="n">
        <v>8.396978677110038</v>
      </c>
      <c r="E17" s="160" t="n">
        <v>0.06085303793394026</v>
      </c>
      <c r="F17" s="160" t="n">
        <v>0.02941307932669759</v>
      </c>
      <c r="G17" s="167" t="n">
        <v>4711.830322580648</v>
      </c>
      <c r="H17" s="167" t="n">
        <v>4565.995111400997</v>
      </c>
      <c r="I17" s="167" t="n">
        <v>4433.650999999996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inlineStr">
        <is>
          <t>2022-11</t>
        </is>
      </c>
      <c r="B18" s="160" t="n">
        <v>8.502416687971365</v>
      </c>
      <c r="C18" s="160" t="n">
        <v>8.418911192395665</v>
      </c>
      <c r="D18" s="160" t="n">
        <v>8.457831715043978</v>
      </c>
      <c r="E18" s="160" t="n">
        <v>0.04458497292738706</v>
      </c>
      <c r="F18" s="160" t="n">
        <v>-0.03892052264831317</v>
      </c>
      <c r="G18" s="167" t="n">
        <v>4926.660666666665</v>
      </c>
      <c r="H18" s="167" t="n">
        <v>4531.966328487972</v>
      </c>
      <c r="I18" s="167" t="n">
        <v>4711.830322580648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2022-12</t>
        </is>
      </c>
      <c r="B19" s="160" t="n">
        <v>8.473970535354521</v>
      </c>
      <c r="C19" s="160" t="n">
        <v>8.472660839275024</v>
      </c>
      <c r="D19" s="160" t="n">
        <v>8.502416687971365</v>
      </c>
      <c r="E19" s="160" t="n">
        <v>-0.02844615261684424</v>
      </c>
      <c r="F19" s="160" t="n">
        <v>-0.02975584869634199</v>
      </c>
      <c r="G19" s="167" t="n">
        <v>4788.490645161287</v>
      </c>
      <c r="H19" s="167" t="n">
        <v>4782.223282802434</v>
      </c>
      <c r="I19" s="167" t="n">
        <v>4926.660666666665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2023-01</t>
        </is>
      </c>
      <c r="B20" s="160" t="n">
        <v>8.458547432938246</v>
      </c>
      <c r="C20" s="160" t="n">
        <v>8.446567815161053</v>
      </c>
      <c r="D20" s="160" t="n">
        <v>8.473970535354521</v>
      </c>
      <c r="E20" s="160" t="n">
        <v>-0.01542310241627476</v>
      </c>
      <c r="F20" s="160" t="n">
        <v>-0.02740272019346804</v>
      </c>
      <c r="G20" s="167" t="n">
        <v>4715.203870967738</v>
      </c>
      <c r="H20" s="167" t="n">
        <v>4659.05452619996</v>
      </c>
      <c r="I20" s="167" t="n">
        <v>4788.490645161287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2023-02</t>
        </is>
      </c>
      <c r="B21" s="160" t="n">
        <v>8.477019424251225</v>
      </c>
      <c r="C21" s="160" t="n">
        <v>8.461603068830314</v>
      </c>
      <c r="D21" s="160" t="n">
        <v>8.458547432938246</v>
      </c>
      <c r="E21" s="160" t="n">
        <v>0.01847199131297828</v>
      </c>
      <c r="F21" s="160" t="n">
        <v>0.003055635892068085</v>
      </c>
      <c r="G21" s="167" t="n">
        <v>4803.112499999996</v>
      </c>
      <c r="H21" s="167" t="n">
        <v>4729.633852311122</v>
      </c>
      <c r="I21" s="167" t="n">
        <v>4715.203870967738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2023-03</t>
        </is>
      </c>
      <c r="B22" s="160" t="n">
        <v>8.469326819773904</v>
      </c>
      <c r="C22" s="160" t="n">
        <v>8.49174326604766</v>
      </c>
      <c r="D22" s="160" t="n">
        <v>8.477019424251225</v>
      </c>
      <c r="E22" s="160" t="n">
        <v>-0.007692604477320231</v>
      </c>
      <c r="F22" s="160" t="n">
        <v>0.01472384179643514</v>
      </c>
      <c r="G22" s="167" t="n">
        <v>4766.305806451614</v>
      </c>
      <c r="H22" s="167" t="n">
        <v>4874.355970296295</v>
      </c>
      <c r="I22" s="167" t="n">
        <v>4803.112499999996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2023-04</t>
        </is>
      </c>
      <c r="B23" s="160" t="n">
        <v>8.421271177813114</v>
      </c>
      <c r="C23" s="160" t="n">
        <v>8.44967194854569</v>
      </c>
      <c r="D23" s="160" t="n">
        <v>8.469326819773904</v>
      </c>
      <c r="E23" s="160" t="n">
        <v>-0.04805564196079004</v>
      </c>
      <c r="F23" s="160" t="n">
        <v>-0.01965487122821465</v>
      </c>
      <c r="G23" s="167" t="n">
        <v>4542.674333333336</v>
      </c>
      <c r="H23" s="167" t="n">
        <v>4673.539322634813</v>
      </c>
      <c r="I23" s="167" t="n">
        <v>4766.305806451614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2023-05</t>
        </is>
      </c>
      <c r="B24" s="160" t="n">
        <v>8.420701901472638</v>
      </c>
      <c r="C24" s="160" t="n">
        <v>8.425814010691314</v>
      </c>
      <c r="D24" s="160" t="n">
        <v>8.421271177813114</v>
      </c>
      <c r="E24" s="160" t="n">
        <v>-0.0005692763404763213</v>
      </c>
      <c r="F24" s="160" t="n">
        <v>0.004542832878199099</v>
      </c>
      <c r="G24" s="167" t="n">
        <v>4540.089032258067</v>
      </c>
      <c r="H24" s="167" t="n">
        <v>4563.357889047119</v>
      </c>
      <c r="I24" s="167" t="n">
        <v>4542.674333333336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2023-06</t>
        </is>
      </c>
      <c r="B25" s="160" t="n">
        <v>8.345044039825018</v>
      </c>
      <c r="C25" s="160" t="n">
        <v>8.412354062206363</v>
      </c>
      <c r="D25" s="160" t="n">
        <v>8.420701901472638</v>
      </c>
      <c r="E25" s="160" t="n">
        <v>-0.07565786164762045</v>
      </c>
      <c r="F25" s="160" t="n">
        <v>-0.008347839266274484</v>
      </c>
      <c r="G25" s="167" t="n">
        <v>4209.267999999998</v>
      </c>
      <c r="H25" s="167" t="n">
        <v>4502.346850770714</v>
      </c>
      <c r="I25" s="167" t="n">
        <v>4540.089032258067</v>
      </c>
      <c r="J25" s="1" t="n"/>
      <c r="K25" s="62" t="inlineStr">
        <is>
          <t>Mes</t>
        </is>
      </c>
      <c r="L25" s="62" t="inlineStr">
        <is>
          <t>TRM observada</t>
        </is>
      </c>
      <c r="M25" s="62" t="inlineStr">
        <is>
          <t>Modelo principal condicional</t>
        </is>
      </c>
      <c r="N25" s="62" t="inlineStr">
        <is>
          <t>Modelo ampliado condicional</t>
        </is>
      </c>
      <c r="O25" s="62" t="inlineStr">
        <is>
          <t>Caminata aleatoria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2023-07</t>
        </is>
      </c>
      <c r="B26" s="160" t="n">
        <v>8.311209943353095</v>
      </c>
      <c r="C26" s="160" t="n">
        <v>8.329131295447224</v>
      </c>
      <c r="D26" s="160" t="n">
        <v>8.345044039825018</v>
      </c>
      <c r="E26" s="160" t="n">
        <v>-0.03383409647192259</v>
      </c>
      <c r="F26" s="160" t="n">
        <v>-0.01591274437779252</v>
      </c>
      <c r="G26" s="167" t="n">
        <v>4069.233548387099</v>
      </c>
      <c r="H26" s="167" t="n">
        <v>4142.817104548313</v>
      </c>
      <c r="I26" s="167" t="n">
        <v>4209.267999999998</v>
      </c>
      <c r="J26" s="1" t="n"/>
      <c r="K26" s="1">
        <f>A12</f>
        <v/>
      </c>
      <c r="L26" s="168">
        <f>G12</f>
        <v/>
      </c>
      <c r="M26" s="168">
        <f>H12</f>
        <v/>
      </c>
      <c r="N26" s="168">
        <f>H63</f>
        <v/>
      </c>
      <c r="O26" s="168">
        <f>I12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inlineStr">
        <is>
          <t>2023-08</t>
        </is>
      </c>
      <c r="B27" s="160" t="n">
        <v>8.311576434873045</v>
      </c>
      <c r="C27" s="160" t="n">
        <v>8.326846437973661</v>
      </c>
      <c r="D27" s="160" t="n">
        <v>8.311209943353095</v>
      </c>
      <c r="E27" s="160" t="n">
        <v>0.0003664915199497187</v>
      </c>
      <c r="F27" s="160" t="n">
        <v>0.01563649462056546</v>
      </c>
      <c r="G27" s="167" t="n">
        <v>4070.725161290322</v>
      </c>
      <c r="H27" s="167" t="n">
        <v>4133.362163634933</v>
      </c>
      <c r="I27" s="167" t="n">
        <v>4069.233548387099</v>
      </c>
      <c r="J27" s="1" t="n"/>
      <c r="K27" s="1">
        <f>A13</f>
        <v/>
      </c>
      <c r="L27" s="168">
        <f>G13</f>
        <v/>
      </c>
      <c r="M27" s="168">
        <f>H13</f>
        <v/>
      </c>
      <c r="N27" s="168">
        <f>H64</f>
        <v/>
      </c>
      <c r="O27" s="168">
        <f>I13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2023-09</t>
        </is>
      </c>
      <c r="B28" s="160" t="n">
        <v>8.295179168611119</v>
      </c>
      <c r="C28" s="160" t="n">
        <v>8.333688880674108</v>
      </c>
      <c r="D28" s="160" t="n">
        <v>8.311576434873045</v>
      </c>
      <c r="E28" s="160" t="n">
        <v>-0.01639726626192584</v>
      </c>
      <c r="F28" s="160" t="n">
        <v>0.02211244580106391</v>
      </c>
      <c r="G28" s="167" t="n">
        <v>4004.52066666667</v>
      </c>
      <c r="H28" s="167" t="n">
        <v>4161.741438456656</v>
      </c>
      <c r="I28" s="167" t="n">
        <v>4070.725161290322</v>
      </c>
      <c r="J28" s="1" t="n"/>
      <c r="K28" s="1">
        <f>A14</f>
        <v/>
      </c>
      <c r="L28" s="168">
        <f>G14</f>
        <v/>
      </c>
      <c r="M28" s="168">
        <f>H14</f>
        <v/>
      </c>
      <c r="N28" s="168">
        <f>H65</f>
        <v/>
      </c>
      <c r="O28" s="168">
        <f>I14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2023-10</t>
        </is>
      </c>
      <c r="B29" s="160" t="n">
        <v>8.348166834656725</v>
      </c>
      <c r="C29" s="160" t="n">
        <v>8.32935750001953</v>
      </c>
      <c r="D29" s="160" t="n">
        <v>8.295179168611119</v>
      </c>
      <c r="E29" s="160" t="n">
        <v>0.05298766604560612</v>
      </c>
      <c r="F29" s="160" t="n">
        <v>0.03417833140841137</v>
      </c>
      <c r="G29" s="167" t="n">
        <v>4222.433225806451</v>
      </c>
      <c r="H29" s="167" t="n">
        <v>4143.754334718466</v>
      </c>
      <c r="I29" s="167" t="n">
        <v>4004.52066666667</v>
      </c>
      <c r="J29" s="1" t="n"/>
      <c r="K29" s="1">
        <f>A15</f>
        <v/>
      </c>
      <c r="L29" s="168">
        <f>G15</f>
        <v/>
      </c>
      <c r="M29" s="168">
        <f>H15</f>
        <v/>
      </c>
      <c r="N29" s="168">
        <f>H66</f>
        <v/>
      </c>
      <c r="O29" s="168">
        <f>I15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2023-11</t>
        </is>
      </c>
      <c r="B30" s="160" t="n">
        <v>8.303704052588216</v>
      </c>
      <c r="C30" s="160" t="n">
        <v>8.322828558887894</v>
      </c>
      <c r="D30" s="160" t="n">
        <v>8.348166834656725</v>
      </c>
      <c r="E30" s="160" t="n">
        <v>-0.04446278206850884</v>
      </c>
      <c r="F30" s="160" t="n">
        <v>-0.02533827576883153</v>
      </c>
      <c r="G30" s="167" t="n">
        <v>4038.804666666669</v>
      </c>
      <c r="H30" s="167" t="n">
        <v>4116.788132766456</v>
      </c>
      <c r="I30" s="167" t="n">
        <v>4222.433225806451</v>
      </c>
      <c r="J30" s="1" t="n"/>
      <c r="K30" s="1">
        <f>A16</f>
        <v/>
      </c>
      <c r="L30" s="168">
        <f>G16</f>
        <v/>
      </c>
      <c r="M30" s="168">
        <f>H16</f>
        <v/>
      </c>
      <c r="N30" s="168">
        <f>H67</f>
        <v/>
      </c>
      <c r="O30" s="168">
        <f>I16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2023-12</t>
        </is>
      </c>
      <c r="B31" s="160" t="n">
        <v>8.281016773597672</v>
      </c>
      <c r="C31" s="160" t="n">
        <v>8.285300368005171</v>
      </c>
      <c r="D31" s="160" t="n">
        <v>8.303704052588216</v>
      </c>
      <c r="E31" s="160" t="n">
        <v>-0.0226872789905439</v>
      </c>
      <c r="F31" s="160" t="n">
        <v>-0.01840368458304466</v>
      </c>
      <c r="G31" s="167" t="n">
        <v>3948.206774193547</v>
      </c>
      <c r="H31" s="167" t="n">
        <v>3965.155565608827</v>
      </c>
      <c r="I31" s="167" t="n">
        <v>4038.804666666669</v>
      </c>
      <c r="J31" s="1" t="n"/>
      <c r="K31" s="1">
        <f>A17</f>
        <v/>
      </c>
      <c r="L31" s="168">
        <f>G17</f>
        <v/>
      </c>
      <c r="M31" s="168">
        <f>H17</f>
        <v/>
      </c>
      <c r="N31" s="168">
        <f>H68</f>
        <v/>
      </c>
      <c r="O31" s="168">
        <f>I17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2024-01</t>
        </is>
      </c>
      <c r="B32" s="160" t="n">
        <v>8.272621363120876</v>
      </c>
      <c r="C32" s="160" t="n">
        <v>8.288664382430355</v>
      </c>
      <c r="D32" s="160" t="n">
        <v>8.281016773597672</v>
      </c>
      <c r="E32" s="160" t="n">
        <v>-0.008395410476795817</v>
      </c>
      <c r="F32" s="160" t="n">
        <v>0.00764760883268332</v>
      </c>
      <c r="G32" s="167" t="n">
        <v>3915.198709677416</v>
      </c>
      <c r="H32" s="167" t="n">
        <v>3978.516867335142</v>
      </c>
      <c r="I32" s="167" t="n">
        <v>3948.206774193547</v>
      </c>
      <c r="J32" s="1" t="n"/>
      <c r="K32" s="1">
        <f>A18</f>
        <v/>
      </c>
      <c r="L32" s="168">
        <f>G18</f>
        <v/>
      </c>
      <c r="M32" s="168">
        <f>H18</f>
        <v/>
      </c>
      <c r="N32" s="168">
        <f>H69</f>
        <v/>
      </c>
      <c r="O32" s="168">
        <f>I18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2024-02</t>
        </is>
      </c>
      <c r="B33" s="160" t="n">
        <v>8.276760699123423</v>
      </c>
      <c r="C33" s="160" t="n">
        <v>8.288761459091475</v>
      </c>
      <c r="D33" s="160" t="n">
        <v>8.272621363120876</v>
      </c>
      <c r="E33" s="160" t="n">
        <v>0.004139336002547012</v>
      </c>
      <c r="F33" s="160" t="n">
        <v>0.01614009597059915</v>
      </c>
      <c r="G33" s="167" t="n">
        <v>3931.438620689657</v>
      </c>
      <c r="H33" s="167" t="n">
        <v>3978.90310721597</v>
      </c>
      <c r="I33" s="167" t="n">
        <v>3915.198709677416</v>
      </c>
      <c r="J33" s="1" t="n"/>
      <c r="K33" s="1">
        <f>A19</f>
        <v/>
      </c>
      <c r="L33" s="168">
        <f>G19</f>
        <v/>
      </c>
      <c r="M33" s="168">
        <f>H19</f>
        <v/>
      </c>
      <c r="N33" s="168">
        <f>H70</f>
        <v/>
      </c>
      <c r="O33" s="168">
        <f>I19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2024-03</t>
        </is>
      </c>
      <c r="B34" s="160" t="n">
        <v>8.268562917935254</v>
      </c>
      <c r="C34" s="160" t="n">
        <v>8.27607327571361</v>
      </c>
      <c r="D34" s="160" t="n">
        <v>8.276760699123423</v>
      </c>
      <c r="E34" s="160" t="n">
        <v>-0.008197781188169273</v>
      </c>
      <c r="F34" s="160" t="n">
        <v>-0.0006874234098126347</v>
      </c>
      <c r="G34" s="167" t="n">
        <v>3899.341290322584</v>
      </c>
      <c r="H34" s="167" t="n">
        <v>3928.736986437254</v>
      </c>
      <c r="I34" s="167" t="n">
        <v>3931.438620689657</v>
      </c>
      <c r="J34" s="1" t="n"/>
      <c r="K34" s="1">
        <f>A20</f>
        <v/>
      </c>
      <c r="L34" s="168">
        <f>G20</f>
        <v/>
      </c>
      <c r="M34" s="168">
        <f>H20</f>
        <v/>
      </c>
      <c r="N34" s="168">
        <f>H71</f>
        <v/>
      </c>
      <c r="O34" s="168">
        <f>I20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2024-04</t>
        </is>
      </c>
      <c r="B35" s="160" t="n">
        <v>8.260486479441511</v>
      </c>
      <c r="C35" s="160" t="n">
        <v>8.289426608025536</v>
      </c>
      <c r="D35" s="160" t="n">
        <v>8.268562917935254</v>
      </c>
      <c r="E35" s="160" t="n">
        <v>-0.00807643849374351</v>
      </c>
      <c r="F35" s="160" t="n">
        <v>0.02086369009028234</v>
      </c>
      <c r="G35" s="167" t="n">
        <v>3867.975333333336</v>
      </c>
      <c r="H35" s="167" t="n">
        <v>3981.550550750982</v>
      </c>
      <c r="I35" s="167" t="n">
        <v>3899.341290322584</v>
      </c>
      <c r="J35" s="1" t="n"/>
      <c r="K35" s="1">
        <f>A21</f>
        <v/>
      </c>
      <c r="L35" s="168">
        <f>G21</f>
        <v/>
      </c>
      <c r="M35" s="168">
        <f>H21</f>
        <v/>
      </c>
      <c r="N35" s="168">
        <f>H72</f>
        <v/>
      </c>
      <c r="O35" s="168">
        <f>I21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2024-05</t>
        </is>
      </c>
      <c r="B36" s="160" t="n">
        <v>8.260777367585563</v>
      </c>
      <c r="C36" s="160" t="n">
        <v>8.267608564819547</v>
      </c>
      <c r="D36" s="160" t="n">
        <v>8.260486479441511</v>
      </c>
      <c r="E36" s="160" t="n">
        <v>0.0002908881440522038</v>
      </c>
      <c r="F36" s="160" t="n">
        <v>0.007122085378035476</v>
      </c>
      <c r="G36" s="167" t="n">
        <v>3869.100645161288</v>
      </c>
      <c r="H36" s="167" t="n">
        <v>3895.62171698847</v>
      </c>
      <c r="I36" s="167" t="n">
        <v>3867.975333333336</v>
      </c>
      <c r="J36" s="1" t="n"/>
      <c r="K36" s="1">
        <f>A22</f>
        <v/>
      </c>
      <c r="L36" s="168">
        <f>G22</f>
        <v/>
      </c>
      <c r="M36" s="168">
        <f>H22</f>
        <v/>
      </c>
      <c r="N36" s="168">
        <f>H73</f>
        <v/>
      </c>
      <c r="O36" s="168">
        <f>I22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2024-06</t>
        </is>
      </c>
      <c r="B37" s="160" t="n">
        <v>8.304692058140274</v>
      </c>
      <c r="C37" s="160" t="n">
        <v>8.282053780063976</v>
      </c>
      <c r="D37" s="160" t="n">
        <v>8.260777367585563</v>
      </c>
      <c r="E37" s="160" t="n">
        <v>0.0439146905547112</v>
      </c>
      <c r="F37" s="160" t="n">
        <v>0.02127641247841283</v>
      </c>
      <c r="G37" s="167" t="n">
        <v>4042.797000000001</v>
      </c>
      <c r="H37" s="167" t="n">
        <v>3952.303213798764</v>
      </c>
      <c r="I37" s="167" t="n">
        <v>3869.100645161288</v>
      </c>
      <c r="J37" s="1" t="n"/>
      <c r="K37" s="1">
        <f>A23</f>
        <v/>
      </c>
      <c r="L37" s="168">
        <f>G23</f>
        <v/>
      </c>
      <c r="M37" s="168">
        <f>H23</f>
        <v/>
      </c>
      <c r="N37" s="168">
        <f>H74</f>
        <v/>
      </c>
      <c r="O37" s="168">
        <f>I23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2024-07</t>
        </is>
      </c>
      <c r="B38" s="160" t="n">
        <v>8.30323778340659</v>
      </c>
      <c r="C38" s="160" t="n">
        <v>8.314992262940725</v>
      </c>
      <c r="D38" s="160" t="n">
        <v>8.304692058140274</v>
      </c>
      <c r="E38" s="160" t="n">
        <v>-0.001454274733683647</v>
      </c>
      <c r="F38" s="160" t="n">
        <v>0.0103002048004506</v>
      </c>
      <c r="G38" s="167" t="n">
        <v>4036.92193548387</v>
      </c>
      <c r="H38" s="167" t="n">
        <v>4084.653833984466</v>
      </c>
      <c r="I38" s="167" t="n">
        <v>4042.797000000001</v>
      </c>
      <c r="J38" s="1" t="n"/>
      <c r="K38" s="1">
        <f>A24</f>
        <v/>
      </c>
      <c r="L38" s="168">
        <f>G24</f>
        <v/>
      </c>
      <c r="M38" s="168">
        <f>H24</f>
        <v/>
      </c>
      <c r="N38" s="168">
        <f>H75</f>
        <v/>
      </c>
      <c r="O38" s="168">
        <f>I24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2024-08</t>
        </is>
      </c>
      <c r="B39" s="160" t="n">
        <v>8.310303441388276</v>
      </c>
      <c r="C39" s="160" t="n">
        <v>8.317046051843066</v>
      </c>
      <c r="D39" s="160" t="n">
        <v>8.30323778340659</v>
      </c>
      <c r="E39" s="160" t="n">
        <v>0.007065657981685902</v>
      </c>
      <c r="F39" s="160" t="n">
        <v>0.01380826843647626</v>
      </c>
      <c r="G39" s="167" t="n">
        <v>4065.546451612903</v>
      </c>
      <c r="H39" s="167" t="n">
        <v>4093.051471233898</v>
      </c>
      <c r="I39" s="167" t="n">
        <v>4036.92193548387</v>
      </c>
      <c r="J39" s="1" t="n"/>
      <c r="K39" s="1">
        <f>A25</f>
        <v/>
      </c>
      <c r="L39" s="168">
        <f>G25</f>
        <v/>
      </c>
      <c r="M39" s="168">
        <f>H25</f>
        <v/>
      </c>
      <c r="N39" s="168">
        <f>H76</f>
        <v/>
      </c>
      <c r="O39" s="168">
        <f>I25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2024-09</t>
        </is>
      </c>
      <c r="B40" s="160" t="n">
        <v>8.338667381651211</v>
      </c>
      <c r="C40" s="160" t="n">
        <v>8.309955809483355</v>
      </c>
      <c r="D40" s="160" t="n">
        <v>8.310303441388276</v>
      </c>
      <c r="E40" s="160" t="n">
        <v>0.02836394026293476</v>
      </c>
      <c r="F40" s="160" t="n">
        <v>-0.0003476319049209387</v>
      </c>
      <c r="G40" s="167" t="n">
        <v>4182.512333333329</v>
      </c>
      <c r="H40" s="167" t="n">
        <v>4064.133383583381</v>
      </c>
      <c r="I40" s="167" t="n">
        <v>4065.546451612903</v>
      </c>
      <c r="J40" s="1" t="n"/>
      <c r="K40" s="1">
        <f>A26</f>
        <v/>
      </c>
      <c r="L40" s="168">
        <f>G26</f>
        <v/>
      </c>
      <c r="M40" s="168">
        <f>H26</f>
        <v/>
      </c>
      <c r="N40" s="168">
        <f>H77</f>
        <v/>
      </c>
      <c r="O40" s="168">
        <f>I26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2024-10</t>
        </is>
      </c>
      <c r="B41" s="160" t="n">
        <v>8.354549548259685</v>
      </c>
      <c r="C41" s="160" t="n">
        <v>8.360503885989838</v>
      </c>
      <c r="D41" s="160" t="n">
        <v>8.338667381651211</v>
      </c>
      <c r="E41" s="160" t="n">
        <v>0.01588216660847408</v>
      </c>
      <c r="F41" s="160" t="n">
        <v>0.02183650433862689</v>
      </c>
      <c r="G41" s="167" t="n">
        <v>4249.470000000003</v>
      </c>
      <c r="H41" s="167" t="n">
        <v>4274.848259939178</v>
      </c>
      <c r="I41" s="167" t="n">
        <v>4182.512333333329</v>
      </c>
      <c r="J41" s="1" t="n"/>
      <c r="K41" s="1">
        <f>A27</f>
        <v/>
      </c>
      <c r="L41" s="168">
        <f>G27</f>
        <v/>
      </c>
      <c r="M41" s="168">
        <f>H27</f>
        <v/>
      </c>
      <c r="N41" s="168">
        <f>H78</f>
        <v/>
      </c>
      <c r="O41" s="168">
        <f>I27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2024-11</t>
        </is>
      </c>
      <c r="B42" s="160" t="n">
        <v>8.391324328389279</v>
      </c>
      <c r="C42" s="160" t="n">
        <v>8.380150156673094</v>
      </c>
      <c r="D42" s="160" t="n">
        <v>8.354549548259685</v>
      </c>
      <c r="E42" s="160" t="n">
        <v>0.03677478012959412</v>
      </c>
      <c r="F42" s="160" t="n">
        <v>0.02560060841340867</v>
      </c>
      <c r="G42" s="167" t="n">
        <v>4408.652333333335</v>
      </c>
      <c r="H42" s="167" t="n">
        <v>4359.663509624138</v>
      </c>
      <c r="I42" s="167" t="n">
        <v>4249.470000000003</v>
      </c>
      <c r="J42" s="1" t="n"/>
      <c r="K42" s="1">
        <f>A28</f>
        <v/>
      </c>
      <c r="L42" s="168">
        <f>G28</f>
        <v/>
      </c>
      <c r="M42" s="168">
        <f>H28</f>
        <v/>
      </c>
      <c r="N42" s="168">
        <f>H79</f>
        <v/>
      </c>
      <c r="O42" s="168">
        <f>I28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2024-12</t>
        </is>
      </c>
      <c r="B43" s="160" t="n">
        <v>8.385978817498613</v>
      </c>
      <c r="C43" s="160" t="n">
        <v>8.40957150919964</v>
      </c>
      <c r="D43" s="160" t="n">
        <v>8.391324328389279</v>
      </c>
      <c r="E43" s="160" t="n">
        <v>-0.005345510890666816</v>
      </c>
      <c r="F43" s="160" t="n">
        <v>0.01824718081036048</v>
      </c>
      <c r="G43" s="167" t="n">
        <v>4385.148709677422</v>
      </c>
      <c r="H43" s="167" t="n">
        <v>4489.836245786601</v>
      </c>
      <c r="I43" s="167" t="n">
        <v>4408.652333333335</v>
      </c>
      <c r="J43" s="1" t="n"/>
      <c r="K43" s="1">
        <f>A29</f>
        <v/>
      </c>
      <c r="L43" s="168">
        <f>G29</f>
        <v/>
      </c>
      <c r="M43" s="168">
        <f>H29</f>
        <v/>
      </c>
      <c r="N43" s="168">
        <f>H80</f>
        <v/>
      </c>
      <c r="O43" s="168">
        <f>I29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2025-01</t>
        </is>
      </c>
      <c r="B44" s="160" t="n">
        <v>8.368128619899991</v>
      </c>
      <c r="C44" s="160" t="n">
        <v>8.400728617601439</v>
      </c>
      <c r="D44" s="160" t="n">
        <v>8.385978817498613</v>
      </c>
      <c r="E44" s="160" t="n">
        <v>-0.01785019759862116</v>
      </c>
      <c r="F44" s="160" t="n">
        <v>0.01474980010282594</v>
      </c>
      <c r="G44" s="167" t="n">
        <v>4307.567419354838</v>
      </c>
      <c r="H44" s="167" t="n">
        <v>4450.308139531176</v>
      </c>
      <c r="I44" s="167" t="n">
        <v>4385.148709677422</v>
      </c>
      <c r="J44" s="1" t="n"/>
      <c r="K44" s="1">
        <f>A30</f>
        <v/>
      </c>
      <c r="L44" s="168">
        <f>G30</f>
        <v/>
      </c>
      <c r="M44" s="168">
        <f>H30</f>
        <v/>
      </c>
      <c r="N44" s="168">
        <f>H81</f>
        <v/>
      </c>
      <c r="O44" s="168">
        <f>I30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inlineStr">
        <is>
          <t>2025-02</t>
        </is>
      </c>
      <c r="B45" s="160" t="n">
        <v>8.325537146384832</v>
      </c>
      <c r="C45" s="160" t="n">
        <v>8.362075685296945</v>
      </c>
      <c r="D45" s="160" t="n">
        <v>8.368128619899991</v>
      </c>
      <c r="E45" s="160" t="n">
        <v>-0.04259147351515935</v>
      </c>
      <c r="F45" s="160" t="n">
        <v>-0.006052934603045792</v>
      </c>
      <c r="G45" s="167" t="n">
        <v>4127.95392857143</v>
      </c>
      <c r="H45" s="167" t="n">
        <v>4281.572746859649</v>
      </c>
      <c r="I45" s="167" t="n">
        <v>4307.567419354838</v>
      </c>
      <c r="J45" s="1" t="n"/>
      <c r="K45" s="1">
        <f>A31</f>
        <v/>
      </c>
      <c r="L45" s="168">
        <f>G31</f>
        <v/>
      </c>
      <c r="M45" s="168">
        <f>H31</f>
        <v/>
      </c>
      <c r="N45" s="168">
        <f>H82</f>
        <v/>
      </c>
      <c r="O45" s="168">
        <f>I31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inlineStr">
        <is>
          <t>2025-03</t>
        </is>
      </c>
      <c r="B46" s="160" t="n">
        <v>8.327891614734215</v>
      </c>
      <c r="C46" s="160" t="n">
        <v>8.321748390029096</v>
      </c>
      <c r="D46" s="160" t="n">
        <v>8.325537146384832</v>
      </c>
      <c r="E46" s="160" t="n">
        <v>0.002354468349382799</v>
      </c>
      <c r="F46" s="160" t="n">
        <v>-0.003788756355735008</v>
      </c>
      <c r="G46" s="167" t="n">
        <v>4137.684516129031</v>
      </c>
      <c r="H46" s="167" t="n">
        <v>4112.343707224342</v>
      </c>
      <c r="I46" s="167" t="n">
        <v>4127.95392857143</v>
      </c>
      <c r="J46" s="1" t="n"/>
      <c r="K46" s="1">
        <f>A32</f>
        <v/>
      </c>
      <c r="L46" s="168">
        <f>G32</f>
        <v/>
      </c>
      <c r="M46" s="168">
        <f>H32</f>
        <v/>
      </c>
      <c r="N46" s="168">
        <f>H83</f>
        <v/>
      </c>
      <c r="O46" s="168">
        <f>I32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inlineStr">
        <is>
          <t>2025-04</t>
        </is>
      </c>
      <c r="B47" s="160" t="n">
        <v>8.361768567132886</v>
      </c>
      <c r="C47" s="160" t="n">
        <v>8.326289168306781</v>
      </c>
      <c r="D47" s="160" t="n">
        <v>8.327891614734215</v>
      </c>
      <c r="E47" s="160" t="n">
        <v>0.03387695239867128</v>
      </c>
      <c r="F47" s="160" t="n">
        <v>-0.001602446427433755</v>
      </c>
      <c r="G47" s="167" t="n">
        <v>4280.258000000003</v>
      </c>
      <c r="H47" s="167" t="n">
        <v>4131.059407966447</v>
      </c>
      <c r="I47" s="167" t="n">
        <v>4137.684516129031</v>
      </c>
      <c r="J47" s="1" t="n"/>
      <c r="K47" s="1">
        <f>A33</f>
        <v/>
      </c>
      <c r="L47" s="168">
        <f>G33</f>
        <v/>
      </c>
      <c r="M47" s="168">
        <f>H33</f>
        <v/>
      </c>
      <c r="N47" s="168">
        <f>H84</f>
        <v/>
      </c>
      <c r="O47" s="168">
        <f>I33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inlineStr">
        <is>
          <t>2025-05</t>
        </is>
      </c>
      <c r="B48" s="160" t="n">
        <v>8.34364355184035</v>
      </c>
      <c r="C48" s="160" t="n">
        <v>8.329967479439325</v>
      </c>
      <c r="D48" s="160" t="n">
        <v>8.361768567132886</v>
      </c>
      <c r="E48" s="160" t="n">
        <v>-0.01812501529253652</v>
      </c>
      <c r="F48" s="160" t="n">
        <v>-0.03180108769356009</v>
      </c>
      <c r="G48" s="167" t="n">
        <v>4203.377096774196</v>
      </c>
      <c r="H48" s="167" t="n">
        <v>4146.282710633574</v>
      </c>
      <c r="I48" s="167" t="n">
        <v>4280.258000000003</v>
      </c>
      <c r="J48" s="1" t="n"/>
      <c r="K48" s="1">
        <f>A34</f>
        <v/>
      </c>
      <c r="L48" s="168">
        <f>G34</f>
        <v/>
      </c>
      <c r="M48" s="168">
        <f>H34</f>
        <v/>
      </c>
      <c r="N48" s="168">
        <f>H85</f>
        <v/>
      </c>
      <c r="O48" s="168">
        <f>I34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inlineStr">
        <is>
          <t>2025-06</t>
        </is>
      </c>
      <c r="B49" s="160" t="n">
        <v>8.322025880072617</v>
      </c>
      <c r="C49" s="160" t="n">
        <v>8.322422609530612</v>
      </c>
      <c r="D49" s="160" t="n">
        <v>8.34364355184035</v>
      </c>
      <c r="E49" s="160" t="n">
        <v>-0.02161767176773211</v>
      </c>
      <c r="F49" s="160" t="n">
        <v>-0.02122094230973714</v>
      </c>
      <c r="G49" s="167" t="n">
        <v>4113.485000000001</v>
      </c>
      <c r="H49" s="167" t="n">
        <v>4115.117264436804</v>
      </c>
      <c r="I49" s="167" t="n">
        <v>4203.377096774196</v>
      </c>
      <c r="J49" s="1" t="n"/>
      <c r="K49" s="1">
        <f>A35</f>
        <v/>
      </c>
      <c r="L49" s="168">
        <f>G35</f>
        <v/>
      </c>
      <c r="M49" s="168">
        <f>H35</f>
        <v/>
      </c>
      <c r="N49" s="168">
        <f>H86</f>
        <v/>
      </c>
      <c r="O49" s="168">
        <f>I35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inlineStr">
        <is>
          <t>2025-07</t>
        </is>
      </c>
      <c r="B50" s="160" t="n">
        <v>8.304209945715085</v>
      </c>
      <c r="C50" s="160" t="n">
        <v>8.312485846718188</v>
      </c>
      <c r="D50" s="160" t="n">
        <v>8.322025880072617</v>
      </c>
      <c r="E50" s="160" t="n">
        <v>-0.01781593435753237</v>
      </c>
      <c r="F50" s="160" t="n">
        <v>-0.009540033354430415</v>
      </c>
      <c r="G50" s="167" t="n">
        <v>4040.848387096774</v>
      </c>
      <c r="H50" s="167" t="n">
        <v>4074.428810786429</v>
      </c>
      <c r="I50" s="167" t="n">
        <v>4113.485000000001</v>
      </c>
      <c r="J50" s="1" t="n"/>
      <c r="K50" s="1">
        <f>A36</f>
        <v/>
      </c>
      <c r="L50" s="168">
        <f>G36</f>
        <v/>
      </c>
      <c r="M50" s="168">
        <f>H36</f>
        <v/>
      </c>
      <c r="N50" s="168">
        <f>H87</f>
        <v/>
      </c>
      <c r="O50" s="168">
        <f>I36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inlineStr">
        <is>
          <t>2025-08</t>
        </is>
      </c>
      <c r="B51" s="160" t="n">
        <v>8.305832847858927</v>
      </c>
      <c r="C51" s="160" t="n">
        <v>8.308795371292433</v>
      </c>
      <c r="D51" s="160" t="n">
        <v>8.304209945715085</v>
      </c>
      <c r="E51" s="160" t="n">
        <v>0.001622902143841642</v>
      </c>
      <c r="F51" s="160" t="n">
        <v>0.004585425577347443</v>
      </c>
      <c r="G51" s="167" t="n">
        <v>4047.411612903224</v>
      </c>
      <c r="H51" s="167" t="n">
        <v>4059.419943349031</v>
      </c>
      <c r="I51" s="167" t="n">
        <v>4040.848387096774</v>
      </c>
      <c r="J51" s="1" t="n"/>
      <c r="K51" s="1">
        <f>A37</f>
        <v/>
      </c>
      <c r="L51" s="168">
        <f>G37</f>
        <v/>
      </c>
      <c r="M51" s="168">
        <f>H37</f>
        <v/>
      </c>
      <c r="N51" s="168">
        <f>H88</f>
        <v/>
      </c>
      <c r="O51" s="168">
        <f>I37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inlineStr">
        <is>
          <t>2025-09</t>
        </is>
      </c>
      <c r="B52" s="160" t="n">
        <v>8.274411059349477</v>
      </c>
      <c r="C52" s="160" t="n">
        <v>8.299355006342036</v>
      </c>
      <c r="D52" s="160" t="n">
        <v>8.305832847858927</v>
      </c>
      <c r="E52" s="160" t="n">
        <v>-0.03142178850944966</v>
      </c>
      <c r="F52" s="160" t="n">
        <v>-0.006477841516889451</v>
      </c>
      <c r="G52" s="167" t="n">
        <v>3922.211999999997</v>
      </c>
      <c r="H52" s="167" t="n">
        <v>4021.277858467212</v>
      </c>
      <c r="I52" s="167" t="n">
        <v>4047.411612903224</v>
      </c>
      <c r="J52" s="1" t="n"/>
      <c r="K52" s="1">
        <f>A38</f>
        <v/>
      </c>
      <c r="L52" s="168">
        <f>G38</f>
        <v/>
      </c>
      <c r="M52" s="168">
        <f>H38</f>
        <v/>
      </c>
      <c r="N52" s="168">
        <f>H89</f>
        <v/>
      </c>
      <c r="O52" s="168">
        <f>I38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2025-10</t>
        </is>
      </c>
      <c r="B53" s="160" t="n">
        <v>8.263034824354826</v>
      </c>
      <c r="C53" s="160" t="n">
        <v>8.29069048448477</v>
      </c>
      <c r="D53" s="160" t="n">
        <v>8.274411059349477</v>
      </c>
      <c r="E53" s="160" t="n">
        <v>-0.01137623499465157</v>
      </c>
      <c r="F53" s="160" t="n">
        <v>0.01627942513529228</v>
      </c>
      <c r="G53" s="167" t="n">
        <v>3877.844838709676</v>
      </c>
      <c r="H53" s="167" t="n">
        <v>3986.585920135456</v>
      </c>
      <c r="I53" s="167" t="n">
        <v>3922.211999999997</v>
      </c>
      <c r="J53" s="1" t="n"/>
      <c r="K53" s="1">
        <f>A39</f>
        <v/>
      </c>
      <c r="L53" s="168">
        <f>G39</f>
        <v/>
      </c>
      <c r="M53" s="168">
        <f>H39</f>
        <v/>
      </c>
      <c r="N53" s="168">
        <f>H90</f>
        <v/>
      </c>
      <c r="O53" s="168">
        <f>I39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2025-11</t>
        </is>
      </c>
      <c r="B54" s="160" t="n">
        <v>8.239113754615177</v>
      </c>
      <c r="C54" s="160" t="n">
        <v>8.272560845133215</v>
      </c>
      <c r="D54" s="160" t="n">
        <v>8.263034824354826</v>
      </c>
      <c r="E54" s="160" t="n">
        <v>-0.02392106973964836</v>
      </c>
      <c r="F54" s="160" t="n">
        <v>0.009526020778389221</v>
      </c>
      <c r="G54" s="167" t="n">
        <v>3786.183333333337</v>
      </c>
      <c r="H54" s="167" t="n">
        <v>3914.961776899633</v>
      </c>
      <c r="I54" s="167" t="n">
        <v>3877.844838709676</v>
      </c>
      <c r="J54" s="1" t="n"/>
      <c r="K54" s="1">
        <f>A40</f>
        <v/>
      </c>
      <c r="L54" s="168">
        <f>G40</f>
        <v/>
      </c>
      <c r="M54" s="168">
        <f>H40</f>
        <v/>
      </c>
      <c r="N54" s="168">
        <f>H91</f>
        <v/>
      </c>
      <c r="O54" s="168">
        <f>I40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2025-12</t>
        </is>
      </c>
      <c r="B55" s="160" t="n">
        <v>8.240509596157608</v>
      </c>
      <c r="C55" s="160" t="n">
        <v>8.215700766513118</v>
      </c>
      <c r="D55" s="160" t="n">
        <v>8.239113754615177</v>
      </c>
      <c r="E55" s="160" t="n">
        <v>0.001395841542430887</v>
      </c>
      <c r="F55" s="160" t="n">
        <v>-0.02341298810205856</v>
      </c>
      <c r="G55" s="167" t="n">
        <v>3791.471935483873</v>
      </c>
      <c r="H55" s="167" t="n">
        <v>3698.567148671552</v>
      </c>
      <c r="I55" s="167" t="n">
        <v>3786.183333333337</v>
      </c>
      <c r="J55" s="1" t="n"/>
      <c r="K55" s="1">
        <f>A41</f>
        <v/>
      </c>
      <c r="L55" s="168">
        <f>G41</f>
        <v/>
      </c>
      <c r="M55" s="168">
        <f>H41</f>
        <v/>
      </c>
      <c r="N55" s="168">
        <f>H92</f>
        <v/>
      </c>
      <c r="O55" s="168">
        <f>I41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2026-01</t>
        </is>
      </c>
      <c r="B56" s="160" t="n">
        <v>8.216898319573602</v>
      </c>
      <c r="C56" s="160" t="n">
        <v>8.229989323260465</v>
      </c>
      <c r="D56" s="160" t="n">
        <v>8.240509596157608</v>
      </c>
      <c r="E56" s="160" t="n">
        <v>-0.02361127658400619</v>
      </c>
      <c r="F56" s="160" t="n">
        <v>-0.01052027289714308</v>
      </c>
      <c r="G56" s="167" t="n">
        <v>3702.999032258066</v>
      </c>
      <c r="H56" s="167" t="n">
        <v>3751.793694952167</v>
      </c>
      <c r="I56" s="167" t="n">
        <v>3791.471935483873</v>
      </c>
      <c r="J56" s="1" t="n"/>
      <c r="K56" s="1">
        <f>A42</f>
        <v/>
      </c>
      <c r="L56" s="168">
        <f>G42</f>
        <v/>
      </c>
      <c r="M56" s="168">
        <f>H42</f>
        <v/>
      </c>
      <c r="N56" s="168">
        <f>H93</f>
        <v/>
      </c>
      <c r="O56" s="168">
        <f>I42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2026-02</t>
        </is>
      </c>
      <c r="B57" s="160" t="n">
        <v>8.209482934803669</v>
      </c>
      <c r="C57" s="160" t="n">
        <v>8.203156119630828</v>
      </c>
      <c r="D57" s="160" t="n">
        <v>8.216898319573602</v>
      </c>
      <c r="E57" s="160" t="n">
        <v>-0.007415384769933198</v>
      </c>
      <c r="F57" s="160" t="n">
        <v>-0.01374219994277375</v>
      </c>
      <c r="G57" s="167" t="n">
        <v>3675.64142857143</v>
      </c>
      <c r="H57" s="167" t="n">
        <v>3652.459735083758</v>
      </c>
      <c r="I57" s="167" t="n">
        <v>3702.999032258066</v>
      </c>
      <c r="J57" s="1" t="n"/>
      <c r="K57" s="1">
        <f>A43</f>
        <v/>
      </c>
      <c r="L57" s="168">
        <f>G43</f>
        <v/>
      </c>
      <c r="M57" s="168">
        <f>H43</f>
        <v/>
      </c>
      <c r="N57" s="168">
        <f>H94</f>
        <v/>
      </c>
      <c r="O57" s="168">
        <f>I43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2026-03</t>
        </is>
      </c>
      <c r="B58" s="160" t="n">
        <v>8.220822123905636</v>
      </c>
      <c r="C58" s="160" t="n">
        <v>8.227873725733454</v>
      </c>
      <c r="D58" s="160" t="n">
        <v>8.209482934803669</v>
      </c>
      <c r="E58" s="160" t="n">
        <v>0.01133918910196741</v>
      </c>
      <c r="F58" s="160" t="n">
        <v>0.01839079092978504</v>
      </c>
      <c r="G58" s="167" t="n">
        <v>3717.55741935484</v>
      </c>
      <c r="H58" s="167" t="n">
        <v>3743.864799622262</v>
      </c>
      <c r="I58" s="167" t="n">
        <v>3675.64142857143</v>
      </c>
      <c r="J58" s="1" t="n"/>
      <c r="K58" s="1">
        <f>A44</f>
        <v/>
      </c>
      <c r="L58" s="168">
        <f>G44</f>
        <v/>
      </c>
      <c r="M58" s="168">
        <f>H44</f>
        <v/>
      </c>
      <c r="N58" s="168">
        <f>H95</f>
        <v/>
      </c>
      <c r="O58" s="168">
        <f>I44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2026-04</t>
        </is>
      </c>
      <c r="B59" s="160" t="n">
        <v>8.193543618593685</v>
      </c>
      <c r="C59" s="160" t="n">
        <v>8.199560120708655</v>
      </c>
      <c r="D59" s="160" t="n">
        <v>8.220822123905636</v>
      </c>
      <c r="E59" s="160" t="n">
        <v>-0.02727850531195131</v>
      </c>
      <c r="F59" s="160" t="n">
        <v>-0.0212620031969813</v>
      </c>
      <c r="G59" s="167" t="n">
        <v>3617.518666666666</v>
      </c>
      <c r="H59" s="167" t="n">
        <v>3639.34908089034</v>
      </c>
      <c r="I59" s="167" t="n">
        <v>3717.55741935484</v>
      </c>
      <c r="J59" s="1" t="n"/>
      <c r="K59" s="1">
        <f>A45</f>
        <v/>
      </c>
      <c r="L59" s="168">
        <f>G45</f>
        <v/>
      </c>
      <c r="M59" s="168">
        <f>H45</f>
        <v/>
      </c>
      <c r="N59" s="168">
        <f>H96</f>
        <v/>
      </c>
      <c r="O59" s="168">
        <f>I45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>
        <f>A46</f>
        <v/>
      </c>
      <c r="L60" s="168">
        <f>G46</f>
        <v/>
      </c>
      <c r="M60" s="168">
        <f>H46</f>
        <v/>
      </c>
      <c r="N60" s="168">
        <f>H97</f>
        <v/>
      </c>
      <c r="O60" s="168">
        <f>I46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 ht="22" customHeight="1">
      <c r="A61" s="55" t="inlineStr">
        <is>
          <t>Predicciones condicionales del modelo ampliado</t>
        </is>
      </c>
      <c r="J61" s="1" t="n"/>
      <c r="K61" s="1">
        <f>A47</f>
        <v/>
      </c>
      <c r="L61" s="168">
        <f>G47</f>
        <v/>
      </c>
      <c r="M61" s="168">
        <f>H47</f>
        <v/>
      </c>
      <c r="N61" s="168">
        <f>H98</f>
        <v/>
      </c>
      <c r="O61" s="168">
        <f>I47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2" t="inlineStr">
        <is>
          <t>Mes</t>
        </is>
      </c>
      <c r="B62" s="62" t="inlineStr">
        <is>
          <t>ln TRM observada</t>
        </is>
      </c>
      <c r="C62" s="62" t="inlineStr">
        <is>
          <t>ln TRM modelo ampliado</t>
        </is>
      </c>
      <c r="D62" s="62" t="inlineStr">
        <is>
          <t>ln TRM caminata</t>
        </is>
      </c>
      <c r="E62" s="62" t="inlineStr">
        <is>
          <t>Δln observado</t>
        </is>
      </c>
      <c r="F62" s="62" t="inlineStr">
        <is>
          <t>Δln modelo ampliado</t>
        </is>
      </c>
      <c r="G62" s="62" t="inlineStr">
        <is>
          <t>TRM observada</t>
        </is>
      </c>
      <c r="H62" s="62" t="inlineStr">
        <is>
          <t>TRM modelo ampliado</t>
        </is>
      </c>
      <c r="I62" s="62" t="inlineStr">
        <is>
          <t>TRM caminata</t>
        </is>
      </c>
      <c r="J62" s="1" t="n"/>
      <c r="K62" s="1">
        <f>A48</f>
        <v/>
      </c>
      <c r="L62" s="168">
        <f>G48</f>
        <v/>
      </c>
      <c r="M62" s="168">
        <f>H48</f>
        <v/>
      </c>
      <c r="N62" s="168">
        <f>H99</f>
        <v/>
      </c>
      <c r="O62" s="168">
        <f>I48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2022-05</t>
        </is>
      </c>
      <c r="B63" s="160" t="n">
        <v>8.298808139175573</v>
      </c>
      <c r="C63" s="160" t="n">
        <v>8.289363795166665</v>
      </c>
      <c r="D63" s="160" t="n">
        <v>8.240907796093667</v>
      </c>
      <c r="E63" s="160" t="n">
        <v>0.05790034308190606</v>
      </c>
      <c r="F63" s="160" t="n">
        <v>0.04845599907299811</v>
      </c>
      <c r="G63" s="167" t="n">
        <v>4019.079354838708</v>
      </c>
      <c r="H63" s="167" t="n">
        <v>3981.300466032498</v>
      </c>
      <c r="I63" s="167" t="n">
        <v>3792.981999999997</v>
      </c>
      <c r="J63" s="1" t="n"/>
      <c r="K63" s="1">
        <f>A49</f>
        <v/>
      </c>
      <c r="L63" s="168">
        <f>G49</f>
        <v/>
      </c>
      <c r="M63" s="168">
        <f>H49</f>
        <v/>
      </c>
      <c r="N63" s="168">
        <f>H100</f>
        <v/>
      </c>
      <c r="O63" s="168">
        <f>I49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2022-06</t>
        </is>
      </c>
      <c r="B64" s="160" t="n">
        <v>8.276589766414325</v>
      </c>
      <c r="C64" s="160" t="n">
        <v>8.265300229816518</v>
      </c>
      <c r="D64" s="160" t="n">
        <v>8.298808139175573</v>
      </c>
      <c r="E64" s="160" t="n">
        <v>-0.02221837276124816</v>
      </c>
      <c r="F64" s="160" t="n">
        <v>-0.03350790935905591</v>
      </c>
      <c r="G64" s="167" t="n">
        <v>3930.766666666666</v>
      </c>
      <c r="H64" s="167" t="n">
        <v>3886.639687775129</v>
      </c>
      <c r="I64" s="167" t="n">
        <v>4019.079354838708</v>
      </c>
      <c r="J64" s="1" t="n"/>
      <c r="K64" s="1">
        <f>A50</f>
        <v/>
      </c>
      <c r="L64" s="168">
        <f>G50</f>
        <v/>
      </c>
      <c r="M64" s="168">
        <f>H50</f>
        <v/>
      </c>
      <c r="N64" s="168">
        <f>H101</f>
        <v/>
      </c>
      <c r="O64" s="168">
        <f>I50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2022-07</t>
        </is>
      </c>
      <c r="B65" s="160" t="n">
        <v>8.382016058206503</v>
      </c>
      <c r="C65" s="160" t="n">
        <v>8.337276043309707</v>
      </c>
      <c r="D65" s="160" t="n">
        <v>8.276589766414325</v>
      </c>
      <c r="E65" s="160" t="n">
        <v>0.1054262917921776</v>
      </c>
      <c r="F65" s="160" t="n">
        <v>0.0606862768953825</v>
      </c>
      <c r="G65" s="167" t="n">
        <v>4367.805806451614</v>
      </c>
      <c r="H65" s="167" t="n">
        <v>4176.697089983775</v>
      </c>
      <c r="I65" s="167" t="n">
        <v>3930.766666666666</v>
      </c>
      <c r="J65" s="1" t="n"/>
      <c r="K65" s="1">
        <f>A51</f>
        <v/>
      </c>
      <c r="L65" s="168">
        <f>G51</f>
        <v/>
      </c>
      <c r="M65" s="168">
        <f>H51</f>
        <v/>
      </c>
      <c r="N65" s="168">
        <f>H102</f>
        <v/>
      </c>
      <c r="O65" s="168">
        <f>I51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2022-08</t>
        </is>
      </c>
      <c r="B66" s="160" t="n">
        <v>8.371582127847805</v>
      </c>
      <c r="C66" s="160" t="n">
        <v>8.363960524051665</v>
      </c>
      <c r="D66" s="160" t="n">
        <v>8.382016058206503</v>
      </c>
      <c r="E66" s="160" t="n">
        <v>-0.01043393035869755</v>
      </c>
      <c r="F66" s="160" t="n">
        <v>-0.01805553415483879</v>
      </c>
      <c r="G66" s="167" t="n">
        <v>4322.469354838713</v>
      </c>
      <c r="H66" s="167" t="n">
        <v>4289.650431278992</v>
      </c>
      <c r="I66" s="167" t="n">
        <v>4367.805806451614</v>
      </c>
      <c r="J66" s="1" t="n"/>
      <c r="K66" s="1">
        <f>A52</f>
        <v/>
      </c>
      <c r="L66" s="168">
        <f>G52</f>
        <v/>
      </c>
      <c r="M66" s="168">
        <f>H52</f>
        <v/>
      </c>
      <c r="N66" s="168">
        <f>H103</f>
        <v/>
      </c>
      <c r="O66" s="168">
        <f>I52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2022-09</t>
        </is>
      </c>
      <c r="B67" s="160" t="n">
        <v>8.396978677110038</v>
      </c>
      <c r="C67" s="160" t="n">
        <v>8.39038980926348</v>
      </c>
      <c r="D67" s="160" t="n">
        <v>8.371582127847805</v>
      </c>
      <c r="E67" s="160" t="n">
        <v>0.02539654926223278</v>
      </c>
      <c r="F67" s="160" t="n">
        <v>0.0188076814156746</v>
      </c>
      <c r="G67" s="167" t="n">
        <v>4433.650999999996</v>
      </c>
      <c r="H67" s="167" t="n">
        <v>4404.534287904643</v>
      </c>
      <c r="I67" s="167" t="n">
        <v>4322.469354838713</v>
      </c>
      <c r="J67" s="1" t="n"/>
      <c r="K67" s="1">
        <f>A53</f>
        <v/>
      </c>
      <c r="L67" s="168">
        <f>G53</f>
        <v/>
      </c>
      <c r="M67" s="168">
        <f>H53</f>
        <v/>
      </c>
      <c r="N67" s="168">
        <f>H104</f>
        <v/>
      </c>
      <c r="O67" s="168">
        <f>I53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2022-10</t>
        </is>
      </c>
      <c r="B68" s="160" t="n">
        <v>8.457831715043978</v>
      </c>
      <c r="C68" s="160" t="n">
        <v>8.414018642457695</v>
      </c>
      <c r="D68" s="160" t="n">
        <v>8.396978677110038</v>
      </c>
      <c r="E68" s="160" t="n">
        <v>0.06085303793394026</v>
      </c>
      <c r="F68" s="160" t="n">
        <v>0.01703996534765699</v>
      </c>
      <c r="G68" s="167" t="n">
        <v>4711.830322580648</v>
      </c>
      <c r="H68" s="167" t="n">
        <v>4509.847609498633</v>
      </c>
      <c r="I68" s="167" t="n">
        <v>4433.650999999996</v>
      </c>
      <c r="J68" s="1" t="n"/>
      <c r="K68" s="1">
        <f>A54</f>
        <v/>
      </c>
      <c r="L68" s="168">
        <f>G54</f>
        <v/>
      </c>
      <c r="M68" s="168">
        <f>H54</f>
        <v/>
      </c>
      <c r="N68" s="168">
        <f>H105</f>
        <v/>
      </c>
      <c r="O68" s="168">
        <f>I54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2022-11</t>
        </is>
      </c>
      <c r="B69" s="160" t="n">
        <v>8.502416687971365</v>
      </c>
      <c r="C69" s="160" t="n">
        <v>8.425692485204754</v>
      </c>
      <c r="D69" s="160" t="n">
        <v>8.457831715043978</v>
      </c>
      <c r="E69" s="160" t="n">
        <v>0.04458497292738706</v>
      </c>
      <c r="F69" s="160" t="n">
        <v>-0.03213922983922458</v>
      </c>
      <c r="G69" s="167" t="n">
        <v>4926.660666666665</v>
      </c>
      <c r="H69" s="167" t="n">
        <v>4562.803358454791</v>
      </c>
      <c r="I69" s="167" t="n">
        <v>4711.830322580648</v>
      </c>
      <c r="J69" s="1" t="n"/>
      <c r="K69" s="1">
        <f>A55</f>
        <v/>
      </c>
      <c r="L69" s="168">
        <f>G55</f>
        <v/>
      </c>
      <c r="M69" s="168">
        <f>H55</f>
        <v/>
      </c>
      <c r="N69" s="168">
        <f>H106</f>
        <v/>
      </c>
      <c r="O69" s="168">
        <f>I55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2022-12</t>
        </is>
      </c>
      <c r="B70" s="160" t="n">
        <v>8.473970535354521</v>
      </c>
      <c r="C70" s="160" t="n">
        <v>8.480318807712873</v>
      </c>
      <c r="D70" s="160" t="n">
        <v>8.502416687971365</v>
      </c>
      <c r="E70" s="160" t="n">
        <v>-0.02844615261684424</v>
      </c>
      <c r="F70" s="160" t="n">
        <v>-0.02209788025849167</v>
      </c>
      <c r="G70" s="167" t="n">
        <v>4788.490645161287</v>
      </c>
      <c r="H70" s="167" t="n">
        <v>4818.985981898961</v>
      </c>
      <c r="I70" s="167" t="n">
        <v>4926.660666666665</v>
      </c>
      <c r="J70" s="1" t="n"/>
      <c r="K70" s="1">
        <f>A56</f>
        <v/>
      </c>
      <c r="L70" s="168">
        <f>G56</f>
        <v/>
      </c>
      <c r="M70" s="168">
        <f>H56</f>
        <v/>
      </c>
      <c r="N70" s="168">
        <f>H107</f>
        <v/>
      </c>
      <c r="O70" s="168">
        <f>I56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2023-01</t>
        </is>
      </c>
      <c r="B71" s="160" t="n">
        <v>8.458547432938246</v>
      </c>
      <c r="C71" s="160" t="n">
        <v>8.45031665906528</v>
      </c>
      <c r="D71" s="160" t="n">
        <v>8.473970535354521</v>
      </c>
      <c r="E71" s="160" t="n">
        <v>-0.01542310241627476</v>
      </c>
      <c r="F71" s="160" t="n">
        <v>-0.02365387628924149</v>
      </c>
      <c r="G71" s="167" t="n">
        <v>4715.203870967738</v>
      </c>
      <c r="H71" s="167" t="n">
        <v>4676.55337409077</v>
      </c>
      <c r="I71" s="167" t="n">
        <v>4788.490645161287</v>
      </c>
      <c r="J71" s="1" t="n"/>
      <c r="K71" s="1">
        <f>A57</f>
        <v/>
      </c>
      <c r="L71" s="168">
        <f>G57</f>
        <v/>
      </c>
      <c r="M71" s="168">
        <f>H57</f>
        <v/>
      </c>
      <c r="N71" s="168">
        <f>H108</f>
        <v/>
      </c>
      <c r="O71" s="168">
        <f>I57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2023-02</t>
        </is>
      </c>
      <c r="B72" s="160" t="n">
        <v>8.477019424251225</v>
      </c>
      <c r="C72" s="160" t="n">
        <v>8.456654301632385</v>
      </c>
      <c r="D72" s="160" t="n">
        <v>8.458547432938246</v>
      </c>
      <c r="E72" s="160" t="n">
        <v>0.01847199131297828</v>
      </c>
      <c r="F72" s="160" t="n">
        <v>-0.001893131305862044</v>
      </c>
      <c r="G72" s="167" t="n">
        <v>4803.112499999996</v>
      </c>
      <c r="H72" s="167" t="n">
        <v>4706.285815094957</v>
      </c>
      <c r="I72" s="167" t="n">
        <v>4715.203870967738</v>
      </c>
      <c r="J72" s="1" t="n"/>
      <c r="K72" s="1">
        <f>A58</f>
        <v/>
      </c>
      <c r="L72" s="168">
        <f>G58</f>
        <v/>
      </c>
      <c r="M72" s="168">
        <f>H58</f>
        <v/>
      </c>
      <c r="N72" s="168">
        <f>H109</f>
        <v/>
      </c>
      <c r="O72" s="168">
        <f>I58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2023-03</t>
        </is>
      </c>
      <c r="B73" s="160" t="n">
        <v>8.469326819773904</v>
      </c>
      <c r="C73" s="160" t="n">
        <v>8.504637697662993</v>
      </c>
      <c r="D73" s="160" t="n">
        <v>8.477019424251225</v>
      </c>
      <c r="E73" s="160" t="n">
        <v>-0.007692604477320231</v>
      </c>
      <c r="F73" s="160" t="n">
        <v>0.02761827341176852</v>
      </c>
      <c r="G73" s="167" t="n">
        <v>4766.305806451614</v>
      </c>
      <c r="H73" s="167" t="n">
        <v>4937.614988078669</v>
      </c>
      <c r="I73" s="167" t="n">
        <v>4803.112499999996</v>
      </c>
      <c r="J73" s="1" t="n"/>
      <c r="K73" s="1">
        <f>A59</f>
        <v/>
      </c>
      <c r="L73" s="168">
        <f>G59</f>
        <v/>
      </c>
      <c r="M73" s="168">
        <f>H59</f>
        <v/>
      </c>
      <c r="N73" s="168">
        <f>H110</f>
        <v/>
      </c>
      <c r="O73" s="168">
        <f>I59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2023-04</t>
        </is>
      </c>
      <c r="B74" s="160" t="n">
        <v>8.421271177813114</v>
      </c>
      <c r="C74" s="160" t="n">
        <v>8.454185451273469</v>
      </c>
      <c r="D74" s="160" t="n">
        <v>8.469326819773904</v>
      </c>
      <c r="E74" s="160" t="n">
        <v>-0.04805564196079004</v>
      </c>
      <c r="F74" s="160" t="n">
        <v>-0.01514136850043598</v>
      </c>
      <c r="G74" s="167" t="n">
        <v>4542.674333333336</v>
      </c>
      <c r="H74" s="167" t="n">
        <v>4694.681030803607</v>
      </c>
      <c r="I74" s="167" t="n">
        <v>4766.305806451614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2023-05</t>
        </is>
      </c>
      <c r="B75" s="160" t="n">
        <v>8.420701901472638</v>
      </c>
      <c r="C75" s="160" t="n">
        <v>8.41940418721636</v>
      </c>
      <c r="D75" s="160" t="n">
        <v>8.421271177813114</v>
      </c>
      <c r="E75" s="160" t="n">
        <v>-0.0005692763404763213</v>
      </c>
      <c r="F75" s="160" t="n">
        <v>-0.00186699059675463</v>
      </c>
      <c r="G75" s="167" t="n">
        <v>4540.089032258067</v>
      </c>
      <c r="H75" s="167" t="n">
        <v>4534.201115239362</v>
      </c>
      <c r="I75" s="167" t="n">
        <v>4542.674333333336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2023-06</t>
        </is>
      </c>
      <c r="B76" s="160" t="n">
        <v>8.345044039825018</v>
      </c>
      <c r="C76" s="160" t="n">
        <v>8.409509747645197</v>
      </c>
      <c r="D76" s="160" t="n">
        <v>8.420701901472638</v>
      </c>
      <c r="E76" s="160" t="n">
        <v>-0.07565786164762045</v>
      </c>
      <c r="F76" s="160" t="n">
        <v>-0.01119215382744166</v>
      </c>
      <c r="G76" s="167" t="n">
        <v>4209.267999999998</v>
      </c>
      <c r="H76" s="167" t="n">
        <v>4489.558955083906</v>
      </c>
      <c r="I76" s="167" t="n">
        <v>4540.089032258067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2023-07</t>
        </is>
      </c>
      <c r="B77" s="160" t="n">
        <v>8.311209943353095</v>
      </c>
      <c r="C77" s="160" t="n">
        <v>8.337261682399268</v>
      </c>
      <c r="D77" s="160" t="n">
        <v>8.345044039825018</v>
      </c>
      <c r="E77" s="160" t="n">
        <v>-0.03383409647192259</v>
      </c>
      <c r="F77" s="160" t="n">
        <v>-0.007782357425749381</v>
      </c>
      <c r="G77" s="167" t="n">
        <v>4069.233548387099</v>
      </c>
      <c r="H77" s="167" t="n">
        <v>4176.637109241623</v>
      </c>
      <c r="I77" s="167" t="n">
        <v>4209.267999999998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2023-08</t>
        </is>
      </c>
      <c r="B78" s="160" t="n">
        <v>8.311576434873045</v>
      </c>
      <c r="C78" s="160" t="n">
        <v>8.326919222174324</v>
      </c>
      <c r="D78" s="160" t="n">
        <v>8.311209943353095</v>
      </c>
      <c r="E78" s="160" t="n">
        <v>0.0003664915199497187</v>
      </c>
      <c r="F78" s="160" t="n">
        <v>0.01570927882122937</v>
      </c>
      <c r="G78" s="167" t="n">
        <v>4070.725161290322</v>
      </c>
      <c r="H78" s="167" t="n">
        <v>4133.663018044655</v>
      </c>
      <c r="I78" s="167" t="n">
        <v>4069.233548387099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2023-09</t>
        </is>
      </c>
      <c r="B79" s="160" t="n">
        <v>8.295179168611119</v>
      </c>
      <c r="C79" s="160" t="n">
        <v>8.333267083010846</v>
      </c>
      <c r="D79" s="160" t="n">
        <v>8.311576434873045</v>
      </c>
      <c r="E79" s="160" t="n">
        <v>-0.01639726626192584</v>
      </c>
      <c r="F79" s="160" t="n">
        <v>0.0216906481378009</v>
      </c>
      <c r="G79" s="167" t="n">
        <v>4004.52066666667</v>
      </c>
      <c r="H79" s="167" t="n">
        <v>4159.986395805277</v>
      </c>
      <c r="I79" s="167" t="n">
        <v>4070.725161290322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2023-10</t>
        </is>
      </c>
      <c r="B80" s="160" t="n">
        <v>8.348166834656725</v>
      </c>
      <c r="C80" s="160" t="n">
        <v>8.331232713929454</v>
      </c>
      <c r="D80" s="160" t="n">
        <v>8.295179168611119</v>
      </c>
      <c r="E80" s="160" t="n">
        <v>0.05298766604560612</v>
      </c>
      <c r="F80" s="160" t="n">
        <v>0.03605354531833523</v>
      </c>
      <c r="G80" s="167" t="n">
        <v>4222.433225806451</v>
      </c>
      <c r="H80" s="167" t="n">
        <v>4151.532050647641</v>
      </c>
      <c r="I80" s="167" t="n">
        <v>4004.52066666667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2023-11</t>
        </is>
      </c>
      <c r="B81" s="160" t="n">
        <v>8.303704052588216</v>
      </c>
      <c r="C81" s="160" t="n">
        <v>8.33091988492836</v>
      </c>
      <c r="D81" s="160" t="n">
        <v>8.348166834656725</v>
      </c>
      <c r="E81" s="160" t="n">
        <v>-0.04446278206850884</v>
      </c>
      <c r="F81" s="160" t="n">
        <v>-0.01724694972836567</v>
      </c>
      <c r="G81" s="167" t="n">
        <v>4038.804666666669</v>
      </c>
      <c r="H81" s="167" t="n">
        <v>4150.233534140625</v>
      </c>
      <c r="I81" s="167" t="n">
        <v>4222.433225806451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2023-12</t>
        </is>
      </c>
      <c r="B82" s="160" t="n">
        <v>8.281016773597672</v>
      </c>
      <c r="C82" s="160" t="n">
        <v>8.282712853530088</v>
      </c>
      <c r="D82" s="160" t="n">
        <v>8.303704052588216</v>
      </c>
      <c r="E82" s="160" t="n">
        <v>-0.0226872789905439</v>
      </c>
      <c r="F82" s="160" t="n">
        <v>-0.02099119905812936</v>
      </c>
      <c r="G82" s="167" t="n">
        <v>3948.206774193547</v>
      </c>
      <c r="H82" s="167" t="n">
        <v>3954.908930562076</v>
      </c>
      <c r="I82" s="167" t="n">
        <v>4038.804666666669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2024-01</t>
        </is>
      </c>
      <c r="B83" s="160" t="n">
        <v>8.272621363120876</v>
      </c>
      <c r="C83" s="160" t="n">
        <v>8.283767820772956</v>
      </c>
      <c r="D83" s="160" t="n">
        <v>8.281016773597672</v>
      </c>
      <c r="E83" s="160" t="n">
        <v>-0.008395410476795817</v>
      </c>
      <c r="F83" s="160" t="n">
        <v>0.002751047175284461</v>
      </c>
      <c r="G83" s="167" t="n">
        <v>3915.198709677416</v>
      </c>
      <c r="H83" s="167" t="n">
        <v>3959.083431526064</v>
      </c>
      <c r="I83" s="167" t="n">
        <v>3948.206774193547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2024-02</t>
        </is>
      </c>
      <c r="B84" s="160" t="n">
        <v>8.276760699123423</v>
      </c>
      <c r="C84" s="160" t="n">
        <v>8.307496204241382</v>
      </c>
      <c r="D84" s="160" t="n">
        <v>8.272621363120876</v>
      </c>
      <c r="E84" s="160" t="n">
        <v>0.004139336002547012</v>
      </c>
      <c r="F84" s="160" t="n">
        <v>0.03487484112050493</v>
      </c>
      <c r="G84" s="167" t="n">
        <v>3931.438620689657</v>
      </c>
      <c r="H84" s="167" t="n">
        <v>4054.149503044747</v>
      </c>
      <c r="I84" s="167" t="n">
        <v>3915.198709677416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2024-03</t>
        </is>
      </c>
      <c r="B85" s="160" t="n">
        <v>8.268562917935254</v>
      </c>
      <c r="C85" s="160" t="n">
        <v>8.26917785710628</v>
      </c>
      <c r="D85" s="160" t="n">
        <v>8.276760699123423</v>
      </c>
      <c r="E85" s="160" t="n">
        <v>-0.008197781188169273</v>
      </c>
      <c r="F85" s="160" t="n">
        <v>-0.007582842017143304</v>
      </c>
      <c r="G85" s="167" t="n">
        <v>3899.341290322584</v>
      </c>
      <c r="H85" s="167" t="n">
        <v>3901.739885442663</v>
      </c>
      <c r="I85" s="167" t="n">
        <v>3931.438620689657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2024-04</t>
        </is>
      </c>
      <c r="B86" s="160" t="n">
        <v>8.260486479441511</v>
      </c>
      <c r="C86" s="160" t="n">
        <v>8.269534084566324</v>
      </c>
      <c r="D86" s="160" t="n">
        <v>8.268562917935254</v>
      </c>
      <c r="E86" s="160" t="n">
        <v>-0.00807643849374351</v>
      </c>
      <c r="F86" s="160" t="n">
        <v>0.000971166631070137</v>
      </c>
      <c r="G86" s="167" t="n">
        <v>3867.975333333336</v>
      </c>
      <c r="H86" s="167" t="n">
        <v>3903.130039922705</v>
      </c>
      <c r="I86" s="167" t="n">
        <v>3899.341290322584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2024-05</t>
        </is>
      </c>
      <c r="B87" s="160" t="n">
        <v>8.260777367585563</v>
      </c>
      <c r="C87" s="160" t="n">
        <v>8.273430664560937</v>
      </c>
      <c r="D87" s="160" t="n">
        <v>8.260486479441511</v>
      </c>
      <c r="E87" s="160" t="n">
        <v>0.0002908881440522038</v>
      </c>
      <c r="F87" s="160" t="n">
        <v>0.01294418511942681</v>
      </c>
      <c r="G87" s="167" t="n">
        <v>3869.100645161288</v>
      </c>
      <c r="H87" s="167" t="n">
        <v>3918.36856814378</v>
      </c>
      <c r="I87" s="167" t="n">
        <v>3867.975333333336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2024-06</t>
        </is>
      </c>
      <c r="B88" s="160" t="n">
        <v>8.304692058140274</v>
      </c>
      <c r="C88" s="160" t="n">
        <v>8.282741892652043</v>
      </c>
      <c r="D88" s="160" t="n">
        <v>8.260777367585563</v>
      </c>
      <c r="E88" s="160" t="n">
        <v>0.0439146905547112</v>
      </c>
      <c r="F88" s="160" t="n">
        <v>0.02196452506647919</v>
      </c>
      <c r="G88" s="167" t="n">
        <v>4042.797000000001</v>
      </c>
      <c r="H88" s="167" t="n">
        <v>3955.023779312377</v>
      </c>
      <c r="I88" s="167" t="n">
        <v>3869.100645161288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2024-07</t>
        </is>
      </c>
      <c r="B89" s="160" t="n">
        <v>8.30323778340659</v>
      </c>
      <c r="C89" s="160" t="n">
        <v>8.317856185366608</v>
      </c>
      <c r="D89" s="160" t="n">
        <v>8.304692058140274</v>
      </c>
      <c r="E89" s="160" t="n">
        <v>-0.001454274733683647</v>
      </c>
      <c r="F89" s="160" t="n">
        <v>0.01316412722633496</v>
      </c>
      <c r="G89" s="167" t="n">
        <v>4036.92193548387</v>
      </c>
      <c r="H89" s="167" t="n">
        <v>4096.368732975368</v>
      </c>
      <c r="I89" s="167" t="n">
        <v>4042.797000000001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2024-08</t>
        </is>
      </c>
      <c r="B90" s="160" t="n">
        <v>8.310303441388276</v>
      </c>
      <c r="C90" s="160" t="n">
        <v>8.304193953400095</v>
      </c>
      <c r="D90" s="160" t="n">
        <v>8.30323778340659</v>
      </c>
      <c r="E90" s="160" t="n">
        <v>0.007065657981685902</v>
      </c>
      <c r="F90" s="160" t="n">
        <v>0.0009561699935033835</v>
      </c>
      <c r="G90" s="167" t="n">
        <v>4065.546451612903</v>
      </c>
      <c r="H90" s="167" t="n">
        <v>4040.783765093268</v>
      </c>
      <c r="I90" s="167" t="n">
        <v>4036.92193548387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2024-09</t>
        </is>
      </c>
      <c r="B91" s="160" t="n">
        <v>8.338667381651211</v>
      </c>
      <c r="C91" s="160" t="n">
        <v>8.313928256682756</v>
      </c>
      <c r="D91" s="160" t="n">
        <v>8.310303441388276</v>
      </c>
      <c r="E91" s="160" t="n">
        <v>0.02836394026293476</v>
      </c>
      <c r="F91" s="160" t="n">
        <v>0.003624815294479744</v>
      </c>
      <c r="G91" s="167" t="n">
        <v>4182.512333333329</v>
      </c>
      <c r="H91" s="167" t="n">
        <v>4080.310048060973</v>
      </c>
      <c r="I91" s="167" t="n">
        <v>4065.546451612903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2024-10</t>
        </is>
      </c>
      <c r="B92" s="160" t="n">
        <v>8.354549548259685</v>
      </c>
      <c r="C92" s="160" t="n">
        <v>8.350144802275041</v>
      </c>
      <c r="D92" s="160" t="n">
        <v>8.338667381651211</v>
      </c>
      <c r="E92" s="160" t="n">
        <v>0.01588216660847408</v>
      </c>
      <c r="F92" s="160" t="n">
        <v>0.01147742062382969</v>
      </c>
      <c r="G92" s="167" t="n">
        <v>4249.470000000003</v>
      </c>
      <c r="H92" s="167" t="n">
        <v>4230.793327276956</v>
      </c>
      <c r="I92" s="167" t="n">
        <v>4182.512333333329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2024-11</t>
        </is>
      </c>
      <c r="B93" s="160" t="n">
        <v>8.391324328389279</v>
      </c>
      <c r="C93" s="160" t="n">
        <v>8.386066942183632</v>
      </c>
      <c r="D93" s="160" t="n">
        <v>8.354549548259685</v>
      </c>
      <c r="E93" s="160" t="n">
        <v>0.03677478012959412</v>
      </c>
      <c r="F93" s="160" t="n">
        <v>0.03151739392394751</v>
      </c>
      <c r="G93" s="167" t="n">
        <v>4408.652333333335</v>
      </c>
      <c r="H93" s="167" t="n">
        <v>4385.535166554171</v>
      </c>
      <c r="I93" s="167" t="n">
        <v>4249.470000000003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2024-12</t>
        </is>
      </c>
      <c r="B94" s="160" t="n">
        <v>8.385978817498613</v>
      </c>
      <c r="C94" s="160" t="n">
        <v>8.391239156541884</v>
      </c>
      <c r="D94" s="160" t="n">
        <v>8.391324328389279</v>
      </c>
      <c r="E94" s="160" t="n">
        <v>-0.005345510890666816</v>
      </c>
      <c r="F94" s="160" t="n">
        <v>-8.517184739460304e-05</v>
      </c>
      <c r="G94" s="167" t="n">
        <v>4385.148709677422</v>
      </c>
      <c r="H94" s="167" t="n">
        <v>4408.276856259847</v>
      </c>
      <c r="I94" s="167" t="n">
        <v>4408.652333333335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2025-01</t>
        </is>
      </c>
      <c r="B95" s="160" t="n">
        <v>8.368128619899991</v>
      </c>
      <c r="C95" s="160" t="n">
        <v>8.386936449499158</v>
      </c>
      <c r="D95" s="160" t="n">
        <v>8.385978817498613</v>
      </c>
      <c r="E95" s="160" t="n">
        <v>-0.01785019759862116</v>
      </c>
      <c r="F95" s="160" t="n">
        <v>0.0009576320005455241</v>
      </c>
      <c r="G95" s="167" t="n">
        <v>4307.567419354838</v>
      </c>
      <c r="H95" s="167" t="n">
        <v>4389.350079771109</v>
      </c>
      <c r="I95" s="167" t="n">
        <v>4385.148709677422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2025-02</t>
        </is>
      </c>
      <c r="B96" s="160" t="n">
        <v>8.325537146384832</v>
      </c>
      <c r="C96" s="160" t="n">
        <v>8.348313753231302</v>
      </c>
      <c r="D96" s="160" t="n">
        <v>8.368128619899991</v>
      </c>
      <c r="E96" s="160" t="n">
        <v>-0.04259147351515935</v>
      </c>
      <c r="F96" s="160" t="n">
        <v>-0.01981486666868926</v>
      </c>
      <c r="G96" s="167" t="n">
        <v>4127.95392857143</v>
      </c>
      <c r="H96" s="167" t="n">
        <v>4223.05362525022</v>
      </c>
      <c r="I96" s="167" t="n">
        <v>4307.567419354838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2025-03</t>
        </is>
      </c>
      <c r="B97" s="160" t="n">
        <v>8.327891614734215</v>
      </c>
      <c r="C97" s="160" t="n">
        <v>8.330856691363168</v>
      </c>
      <c r="D97" s="160" t="n">
        <v>8.325537146384832</v>
      </c>
      <c r="E97" s="160" t="n">
        <v>0.002354468349382799</v>
      </c>
      <c r="F97" s="160" t="n">
        <v>0.005319544978336328</v>
      </c>
      <c r="G97" s="167" t="n">
        <v>4137.684516129031</v>
      </c>
      <c r="H97" s="167" t="n">
        <v>4149.971274373878</v>
      </c>
      <c r="I97" s="167" t="n">
        <v>4127.95392857143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2025-04</t>
        </is>
      </c>
      <c r="B98" s="160" t="n">
        <v>8.361768567132886</v>
      </c>
      <c r="C98" s="160" t="n">
        <v>8.344899702611126</v>
      </c>
      <c r="D98" s="160" t="n">
        <v>8.327891614734215</v>
      </c>
      <c r="E98" s="160" t="n">
        <v>0.03387695239867128</v>
      </c>
      <c r="F98" s="160" t="n">
        <v>0.01700808787691208</v>
      </c>
      <c r="G98" s="167" t="n">
        <v>4280.258000000003</v>
      </c>
      <c r="H98" s="167" t="n">
        <v>4208.660489828574</v>
      </c>
      <c r="I98" s="167" t="n">
        <v>4137.684516129031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2025-05</t>
        </is>
      </c>
      <c r="B99" s="160" t="n">
        <v>8.34364355184035</v>
      </c>
      <c r="C99" s="160" t="n">
        <v>8.33237405773505</v>
      </c>
      <c r="D99" s="160" t="n">
        <v>8.361768567132886</v>
      </c>
      <c r="E99" s="160" t="n">
        <v>-0.01812501529253652</v>
      </c>
      <c r="F99" s="160" t="n">
        <v>-0.02939450939783666</v>
      </c>
      <c r="G99" s="167" t="n">
        <v>4203.377096774196</v>
      </c>
      <c r="H99" s="167" t="n">
        <v>4156.273081095584</v>
      </c>
      <c r="I99" s="167" t="n">
        <v>4280.258000000003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2025-06</t>
        </is>
      </c>
      <c r="B100" s="160" t="n">
        <v>8.322025880072617</v>
      </c>
      <c r="C100" s="160" t="n">
        <v>8.321022413289089</v>
      </c>
      <c r="D100" s="160" t="n">
        <v>8.34364355184035</v>
      </c>
      <c r="E100" s="160" t="n">
        <v>-0.02161767176773211</v>
      </c>
      <c r="F100" s="160" t="n">
        <v>-0.02262113855125939</v>
      </c>
      <c r="G100" s="167" t="n">
        <v>4113.485000000001</v>
      </c>
      <c r="H100" s="167" t="n">
        <v>4109.359324773179</v>
      </c>
      <c r="I100" s="167" t="n">
        <v>4203.377096774196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2025-07</t>
        </is>
      </c>
      <c r="B101" s="160" t="n">
        <v>8.304209945715085</v>
      </c>
      <c r="C101" s="160" t="n">
        <v>8.31205025244785</v>
      </c>
      <c r="D101" s="160" t="n">
        <v>8.322025880072617</v>
      </c>
      <c r="E101" s="160" t="n">
        <v>-0.01781593435753237</v>
      </c>
      <c r="F101" s="160" t="n">
        <v>-0.009975627624767659</v>
      </c>
      <c r="G101" s="167" t="n">
        <v>4040.848387096774</v>
      </c>
      <c r="H101" s="167" t="n">
        <v>4072.65439943132</v>
      </c>
      <c r="I101" s="167" t="n">
        <v>4113.485000000001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2025-08</t>
        </is>
      </c>
      <c r="B102" s="160" t="n">
        <v>8.305832847858927</v>
      </c>
      <c r="C102" s="160" t="n">
        <v>8.302850463572677</v>
      </c>
      <c r="D102" s="160" t="n">
        <v>8.304209945715085</v>
      </c>
      <c r="E102" s="160" t="n">
        <v>0.001622902143841642</v>
      </c>
      <c r="F102" s="160" t="n">
        <v>-0.001359482142407875</v>
      </c>
      <c r="G102" s="167" t="n">
        <v>4047.411612903224</v>
      </c>
      <c r="H102" s="167" t="n">
        <v>4035.358658313965</v>
      </c>
      <c r="I102" s="167" t="n">
        <v>4040.848387096774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2025-09</t>
        </is>
      </c>
      <c r="B103" s="160" t="n">
        <v>8.274411059349477</v>
      </c>
      <c r="C103" s="160" t="n">
        <v>8.283270810457479</v>
      </c>
      <c r="D103" s="160" t="n">
        <v>8.305832847858927</v>
      </c>
      <c r="E103" s="160" t="n">
        <v>-0.03142178850944966</v>
      </c>
      <c r="F103" s="160" t="n">
        <v>-0.02256203740144841</v>
      </c>
      <c r="G103" s="167" t="n">
        <v>3922.211999999997</v>
      </c>
      <c r="H103" s="167" t="n">
        <v>3957.116215124677</v>
      </c>
      <c r="I103" s="167" t="n">
        <v>4047.411612903224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2025-10</t>
        </is>
      </c>
      <c r="B104" s="160" t="n">
        <v>8.263034824354826</v>
      </c>
      <c r="C104" s="160" t="n">
        <v>8.271572161311628</v>
      </c>
      <c r="D104" s="160" t="n">
        <v>8.274411059349477</v>
      </c>
      <c r="E104" s="160" t="n">
        <v>-0.01137623499465157</v>
      </c>
      <c r="F104" s="160" t="n">
        <v>-0.002838898037849683</v>
      </c>
      <c r="G104" s="167" t="n">
        <v>3877.844838709676</v>
      </c>
      <c r="H104" s="167" t="n">
        <v>3911.093030327393</v>
      </c>
      <c r="I104" s="167" t="n">
        <v>3922.211999999997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inlineStr">
        <is>
          <t>2025-11</t>
        </is>
      </c>
      <c r="B105" s="160" t="n">
        <v>8.239113754615177</v>
      </c>
      <c r="C105" s="160" t="n">
        <v>8.245171881545554</v>
      </c>
      <c r="D105" s="160" t="n">
        <v>8.263034824354826</v>
      </c>
      <c r="E105" s="160" t="n">
        <v>-0.02392106973964836</v>
      </c>
      <c r="F105" s="160" t="n">
        <v>-0.01786294280927211</v>
      </c>
      <c r="G105" s="167" t="n">
        <v>3786.183333333337</v>
      </c>
      <c r="H105" s="167" t="n">
        <v>3809.190131235179</v>
      </c>
      <c r="I105" s="167" t="n">
        <v>3877.844838709676</v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inlineStr">
        <is>
          <t>2025-12</t>
        </is>
      </c>
      <c r="B106" s="160" t="n">
        <v>8.240509596157608</v>
      </c>
      <c r="C106" s="160" t="n">
        <v>8.241297576708272</v>
      </c>
      <c r="D106" s="160" t="n">
        <v>8.239113754615177</v>
      </c>
      <c r="E106" s="160" t="n">
        <v>0.001395841542430887</v>
      </c>
      <c r="F106" s="160" t="n">
        <v>0.002183822093093763</v>
      </c>
      <c r="G106" s="167" t="n">
        <v>3791.471935483873</v>
      </c>
      <c r="H106" s="167" t="n">
        <v>3794.460719024424</v>
      </c>
      <c r="I106" s="167" t="n">
        <v>3786.183333333337</v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inlineStr">
        <is>
          <t>2026-01</t>
        </is>
      </c>
      <c r="B107" s="160" t="n">
        <v>8.216898319573602</v>
      </c>
      <c r="C107" s="160" t="n">
        <v>8.238560663351326</v>
      </c>
      <c r="D107" s="160" t="n">
        <v>8.240509596157608</v>
      </c>
      <c r="E107" s="160" t="n">
        <v>-0.02361127658400619</v>
      </c>
      <c r="F107" s="160" t="n">
        <v>-0.001948932806283333</v>
      </c>
      <c r="G107" s="167" t="n">
        <v>3702.999032258066</v>
      </c>
      <c r="H107" s="167" t="n">
        <v>3784.089807417146</v>
      </c>
      <c r="I107" s="167" t="n">
        <v>3791.471935483873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inlineStr">
        <is>
          <t>2026-02</t>
        </is>
      </c>
      <c r="B108" s="160" t="n">
        <v>8.209482934803669</v>
      </c>
      <c r="C108" s="160" t="n">
        <v>8.1964278931673</v>
      </c>
      <c r="D108" s="160" t="n">
        <v>8.216898319573602</v>
      </c>
      <c r="E108" s="160" t="n">
        <v>-0.007415384769933198</v>
      </c>
      <c r="F108" s="160" t="n">
        <v>-0.02047042640630141</v>
      </c>
      <c r="G108" s="167" t="n">
        <v>3675.64142857143</v>
      </c>
      <c r="H108" s="167" t="n">
        <v>3627.967645394556</v>
      </c>
      <c r="I108" s="167" t="n">
        <v>3702.999032258066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inlineStr">
        <is>
          <t>2026-03</t>
        </is>
      </c>
      <c r="B109" s="160" t="n">
        <v>8.220822123905636</v>
      </c>
      <c r="C109" s="160" t="n">
        <v>8.247624087590864</v>
      </c>
      <c r="D109" s="160" t="n">
        <v>8.209482934803669</v>
      </c>
      <c r="E109" s="160" t="n">
        <v>0.01133918910196741</v>
      </c>
      <c r="F109" s="160" t="n">
        <v>0.03814115278719601</v>
      </c>
      <c r="G109" s="167" t="n">
        <v>3717.55741935484</v>
      </c>
      <c r="H109" s="167" t="n">
        <v>3818.542512599224</v>
      </c>
      <c r="I109" s="167" t="n">
        <v>3675.64142857143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inlineStr">
        <is>
          <t>2026-04</t>
        </is>
      </c>
      <c r="B110" s="160" t="n">
        <v>8.193543618593685</v>
      </c>
      <c r="C110" s="160" t="n">
        <v>8.197741198030364</v>
      </c>
      <c r="D110" s="160" t="n">
        <v>8.220822123905636</v>
      </c>
      <c r="E110" s="160" t="n">
        <v>-0.02727850531195131</v>
      </c>
      <c r="F110" s="160" t="n">
        <v>-0.02308092587527101</v>
      </c>
      <c r="G110" s="167" t="n">
        <v>3617.518666666666</v>
      </c>
      <c r="H110" s="167" t="n">
        <v>3632.735403020657</v>
      </c>
      <c r="I110" s="167" t="n">
        <v>3717.55741935484</v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R1"/>
    <mergeCell ref="A61:I61"/>
    <mergeCell ref="A2:R3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5" customWidth="1" min="3" max="3"/>
    <col width="25" customWidth="1" min="4" max="4"/>
    <col width="16" customWidth="1" min="5" max="5"/>
    <col width="3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25" customWidth="1" min="14" max="14"/>
    <col width="16" customWidth="1" min="15" max="15"/>
    <col width="16" customWidth="1" min="16" max="16"/>
  </cols>
  <sheetData>
    <row r="1" ht="30" customHeight="1">
      <c r="A1" s="4" t="inlineStr">
        <is>
          <t>Pronóstico mensual con rezagos de publicación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Objetivo: pronosticar la TRM promedio del mes t al inicio de t. Ningún factor económico del mes objetivo entra contemporáneamente. El backtest respeta un calendario conservador, pero usa el último vintage disponible; por eso es pseudo-tiempo-real.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Desempeño en la ventana expansiva de 48 meses</t>
        </is>
      </c>
      <c r="G5" s="1" t="n"/>
      <c r="H5" s="55" t="inlineStr">
        <is>
          <t>Lectura de desempeño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Modelo</t>
        </is>
      </c>
      <c r="B6" s="62" t="inlineStr">
        <is>
          <t>Observaciones</t>
        </is>
      </c>
      <c r="C6" s="62" t="inlineStr">
        <is>
          <t>MAE (log)</t>
        </is>
      </c>
      <c r="D6" s="62" t="inlineStr">
        <is>
          <t>RMSE (log)</t>
        </is>
      </c>
      <c r="E6" s="62" t="inlineStr">
        <is>
          <t>MAPE</t>
        </is>
      </c>
      <c r="F6" s="62" t="inlineStr">
        <is>
          <t>Acierto dirección</t>
        </is>
      </c>
      <c r="G6" s="1" t="n"/>
      <c r="H6" s="62" t="inlineStr">
        <is>
          <t>Indicador</t>
        </is>
      </c>
      <c r="I6" s="184" t="n"/>
      <c r="J6" s="62" t="inlineStr">
        <is>
          <t>Valor</t>
        </is>
      </c>
      <c r="K6" s="184" t="n"/>
      <c r="L6" s="62" t="inlineStr">
        <is>
          <t>Lectura</t>
        </is>
      </c>
      <c r="M6" s="185" t="n"/>
      <c r="N6" s="185" t="n"/>
      <c r="O6" s="185" t="n"/>
      <c r="P6" s="184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37" t="inlineStr">
        <is>
          <t>Pronóstico con rezagos de publicación</t>
        </is>
      </c>
      <c r="B7" s="37" t="n">
        <v>48</v>
      </c>
      <c r="C7" s="186" t="n">
        <v>0.0248849108928665</v>
      </c>
      <c r="D7" s="186" t="n">
        <v>0.0324499730429235</v>
      </c>
      <c r="E7" s="187" t="n">
        <v>0.02486180196049922</v>
      </c>
      <c r="F7" s="187" t="n">
        <v>0.5208333333333334</v>
      </c>
      <c r="G7" s="1" t="n"/>
      <c r="H7" s="67" t="inlineStr">
        <is>
          <t>Composición regional</t>
        </is>
      </c>
      <c r="I7" s="188" t="n"/>
      <c r="J7" s="67" t="inlineStr">
        <is>
          <t>BRL, CLP y MXN</t>
        </is>
      </c>
      <c r="K7" s="188" t="n"/>
      <c r="L7" s="67" t="inlineStr">
        <is>
          <t>Seleccionada por menor BIC; PEN no mejora BIC ni MAPE del pronóstico.</t>
        </is>
      </c>
      <c r="M7" s="189" t="n"/>
      <c r="N7" s="189" t="n"/>
      <c r="O7" s="189" t="n"/>
      <c r="P7" s="18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37" t="inlineStr">
        <is>
          <t>Caminata aleatoria</t>
        </is>
      </c>
      <c r="B8" s="37" t="n">
        <v>48</v>
      </c>
      <c r="C8" s="186" t="n">
        <v>0.0240287602436026</v>
      </c>
      <c r="D8" s="186" t="n">
        <v>0.0322154550972606</v>
      </c>
      <c r="E8" s="187" t="n">
        <v>0.02394031003568149</v>
      </c>
      <c r="F8" s="187" t="n"/>
      <c r="G8" s="1" t="n"/>
      <c r="H8" s="67" t="inlineStr">
        <is>
          <t>MAPE</t>
        </is>
      </c>
      <c r="I8" s="188" t="n"/>
      <c r="J8" s="164" t="n">
        <v>0.02486180196049922</v>
      </c>
      <c r="K8" s="188" t="n"/>
      <c r="L8" s="67" t="inlineStr">
        <is>
          <t>La caminata obtiene 2.39%; el pronóstico no la mejora.</t>
        </is>
      </c>
      <c r="M8" s="189" t="n"/>
      <c r="N8" s="189" t="n"/>
      <c r="O8" s="189" t="n"/>
      <c r="P8" s="18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R² frente a caminata</t>
        </is>
      </c>
      <c r="I9" s="188" t="n"/>
      <c r="J9" s="164" t="n">
        <v>-0.014612337575907</v>
      </c>
      <c r="K9" s="188" t="n"/>
      <c r="L9" s="67" t="inlineStr">
        <is>
          <t>Un valor negativo indica mayor error cuadrático que la caminata aleatoria.</t>
        </is>
      </c>
      <c r="M9" s="189" t="n"/>
      <c r="N9" s="189" t="n"/>
      <c r="O9" s="189" t="n"/>
      <c r="P9" s="188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1" t="n"/>
      <c r="B10" s="1" t="n"/>
      <c r="C10" s="1" t="n"/>
      <c r="D10" s="1" t="n"/>
      <c r="E10" s="1" t="n"/>
      <c r="F10" s="1" t="n"/>
      <c r="G10" s="1" t="n"/>
      <c r="H10" s="67" t="inlineStr">
        <is>
          <t>Estado del backtest</t>
        </is>
      </c>
      <c r="I10" s="188" t="n"/>
      <c r="J10" s="67" t="inlineStr">
        <is>
          <t>Pseudo-tiempo-real</t>
        </is>
      </c>
      <c r="K10" s="188" t="n"/>
      <c r="L10" s="67" t="inlineStr">
        <is>
          <t>Respeta rezagos de publicación, pero usa el último vintage disponible.</t>
        </is>
      </c>
      <c r="M10" s="189" t="n"/>
      <c r="N10" s="189" t="n"/>
      <c r="O10" s="189" t="n"/>
      <c r="P10" s="188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1" t="n"/>
      <c r="B11" s="1" t="n"/>
      <c r="C11" s="1" t="n"/>
      <c r="D11" s="1" t="n"/>
      <c r="E11" s="1" t="n"/>
      <c r="F11" s="1" t="n"/>
      <c r="G11" s="1" t="n"/>
      <c r="H11" s="67" t="inlineStr">
        <is>
          <t>Conclusión</t>
        </is>
      </c>
      <c r="I11" s="188" t="n"/>
      <c r="J11" s="67" t="inlineStr">
        <is>
          <t>Benchmark honesto</t>
        </is>
      </c>
      <c r="K11" s="188" t="n"/>
      <c r="L11" s="67" t="inlineStr">
        <is>
          <t>La explicación histórica mejora con PEN; la precisión ex ante sigue siendo limitada.</t>
        </is>
      </c>
      <c r="M11" s="189" t="n"/>
      <c r="N11" s="189" t="n"/>
      <c r="O11" s="189" t="n"/>
      <c r="P11" s="18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55" t="inlineStr">
        <is>
          <t>Comparación del factor regional: tres frente a cuatro monedas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2" t="inlineStr">
        <is>
          <t>Uso</t>
        </is>
      </c>
      <c r="B13" s="62" t="inlineStr">
        <is>
          <t>Monedas</t>
        </is>
      </c>
      <c r="C13" s="62" t="inlineStr">
        <is>
          <t>R² ajustado</t>
        </is>
      </c>
      <c r="D13" s="62" t="inlineStr">
        <is>
          <t>BIC</t>
        </is>
      </c>
      <c r="E13" s="62" t="inlineStr">
        <is>
          <t>MAPE</t>
        </is>
      </c>
      <c r="F13" s="62" t="inlineStr">
        <is>
          <t>Dirección</t>
        </is>
      </c>
      <c r="G13" s="62" t="inlineStr">
        <is>
          <t>R² vs. caminata</t>
        </is>
      </c>
      <c r="H13" s="62" t="inlineStr">
        <is>
          <t>Coef. regional</t>
        </is>
      </c>
      <c r="I13" s="62" t="inlineStr">
        <is>
          <t>p-valor HAC</t>
        </is>
      </c>
      <c r="J13" s="62" t="inlineStr">
        <is>
          <t>Correlación 3–4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4" customHeight="1">
      <c r="A14" s="1" t="inlineStr">
        <is>
          <t>Explicación histórica</t>
        </is>
      </c>
      <c r="B14" s="1" t="inlineStr">
        <is>
          <t>BRL, CLP y MXN</t>
        </is>
      </c>
      <c r="C14" s="182" t="n">
        <v>0.6194738386674976</v>
      </c>
      <c r="D14" s="190" t="n">
        <v>-1041.120522835453</v>
      </c>
      <c r="E14" s="182" t="n">
        <v>0.01574637944652912</v>
      </c>
      <c r="F14" s="182" t="n">
        <v>0.8541666666666665</v>
      </c>
      <c r="G14" s="182" t="n">
        <v>0.5155283450619257</v>
      </c>
      <c r="H14" s="161" t="n">
        <v>0.0125967527372073</v>
      </c>
      <c r="I14" s="161" t="n">
        <v>0.0026149591950695</v>
      </c>
      <c r="J14" s="161" t="n">
        <v>0.9581117028398654</v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4" customHeight="1">
      <c r="A15" s="1" t="inlineStr">
        <is>
          <t>Explicación histórica</t>
        </is>
      </c>
      <c r="B15" s="1" t="inlineStr">
        <is>
          <t>BRL, CLP, MXN y PEN</t>
        </is>
      </c>
      <c r="C15" s="182" t="n">
        <v>0.6367240559162006</v>
      </c>
      <c r="D15" s="190" t="n">
        <v>-1052.254652771381</v>
      </c>
      <c r="E15" s="182" t="n">
        <v>0.01488057561067444</v>
      </c>
      <c r="F15" s="182" t="n">
        <v>0.8333333333333335</v>
      </c>
      <c r="G15" s="182" t="n">
        <v>0.5687002869013504</v>
      </c>
      <c r="H15" s="161" t="n">
        <v>0.0161355260845612</v>
      </c>
      <c r="I15" s="161" t="n">
        <v>1.451331079429912e-05</v>
      </c>
      <c r="J15" s="161" t="n">
        <v>0.9581117028398654</v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4" customHeight="1">
      <c r="A16" s="1" t="inlineStr">
        <is>
          <t>Pronóstico con rezagos de publicación</t>
        </is>
      </c>
      <c r="B16" s="1" t="inlineStr">
        <is>
          <t>BRL, CLP y MXN</t>
        </is>
      </c>
      <c r="C16" s="182" t="n">
        <v>0.1734119967927914</v>
      </c>
      <c r="D16" s="190" t="n">
        <v>-850.6217637535572</v>
      </c>
      <c r="E16" s="182" t="n">
        <v>0.02486180196049922</v>
      </c>
      <c r="F16" s="182" t="n">
        <v>0.5208333333333334</v>
      </c>
      <c r="G16" s="182" t="n">
        <v>-0.0146123375759072</v>
      </c>
      <c r="H16" s="161" t="n">
        <v>-0.0053986174858926</v>
      </c>
      <c r="I16" s="161" t="n">
        <v>0.3521742567110898</v>
      </c>
      <c r="J16" s="161" t="n">
        <v>0.9581117028398654</v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4" customHeight="1">
      <c r="A17" s="1" t="inlineStr">
        <is>
          <t>Pronóstico con rezagos de publicación</t>
        </is>
      </c>
      <c r="B17" s="1" t="inlineStr">
        <is>
          <t>BRL, CLP, MXN y PEN</t>
        </is>
      </c>
      <c r="C17" s="182" t="n">
        <v>0.1690260884109173</v>
      </c>
      <c r="D17" s="190" t="n">
        <v>-849.3516809182388</v>
      </c>
      <c r="E17" s="182" t="n">
        <v>0.02545134447485997</v>
      </c>
      <c r="F17" s="182" t="n">
        <v>0.4583333333333333</v>
      </c>
      <c r="G17" s="182" t="n">
        <v>-0.0484896068889502</v>
      </c>
      <c r="H17" s="161" t="n">
        <v>0.0002381820427698</v>
      </c>
      <c r="I17" s="161" t="n">
        <v>0.9652329223421404</v>
      </c>
      <c r="J17" s="161" t="n">
        <v>0.9581117028398654</v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22" customHeight="1">
      <c r="A19" s="55" t="inlineStr">
        <is>
          <t>Calendario conservador de disponibilidad al inicio del mes t</t>
        </is>
      </c>
      <c r="E19" s="1" t="n"/>
      <c r="F19" s="55" t="inlineStr">
        <is>
          <t>Coeficientes del modelo de pronóstico seleccionado</t>
        </is>
      </c>
      <c r="M19" s="1" t="n"/>
      <c r="N19" s="55" t="inlineStr">
        <is>
          <t>Diagnósticos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2" t="inlineStr">
        <is>
          <t>Factor</t>
        </is>
      </c>
      <c r="B20" s="62" t="inlineStr">
        <is>
          <t>Rezago (meses)</t>
        </is>
      </c>
      <c r="C20" s="62" t="inlineStr">
        <is>
          <t>Frecuencia/publicación</t>
        </is>
      </c>
      <c r="D20" s="62" t="inlineStr">
        <is>
          <t>Regla utilizada</t>
        </is>
      </c>
      <c r="E20" s="1" t="n"/>
      <c r="F20" s="62" t="inlineStr">
        <is>
          <t>Variable</t>
        </is>
      </c>
      <c r="G20" s="62" t="inlineStr">
        <is>
          <t>Coeficiente</t>
        </is>
      </c>
      <c r="H20" s="62" t="inlineStr">
        <is>
          <t>EE HAC</t>
        </is>
      </c>
      <c r="I20" s="62" t="inlineStr">
        <is>
          <t>t</t>
        </is>
      </c>
      <c r="J20" s="62" t="inlineStr">
        <is>
          <t>p-valor</t>
        </is>
      </c>
      <c r="K20" s="62" t="inlineStr">
        <is>
          <t>IC 95% inferior</t>
        </is>
      </c>
      <c r="L20" s="62" t="inlineStr">
        <is>
          <t>IC 95% superior</t>
        </is>
      </c>
      <c r="M20" s="1" t="n"/>
      <c r="N20" s="62" t="inlineStr">
        <is>
          <t>Prueba</t>
        </is>
      </c>
      <c r="O20" s="62" t="inlineStr">
        <is>
          <t>Estadístico</t>
        </is>
      </c>
      <c r="P20" s="62" t="inlineStr">
        <is>
          <t>p-valor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4" customHeight="1">
      <c r="A21" s="64" t="inlineStr">
        <is>
          <t>Términos de intercambio</t>
        </is>
      </c>
      <c r="B21" s="64" t="n">
        <v>3</v>
      </c>
      <c r="C21" s="64" t="inlineStr">
        <is>
          <t>Mensual; publicación aproximada t+2</t>
        </is>
      </c>
      <c r="D21" s="64" t="inlineStr">
        <is>
          <t>Último cambio utilizable al inicio de t: t-3</t>
        </is>
      </c>
      <c r="E21" s="1" t="n"/>
      <c r="F21" s="1" t="inlineStr">
        <is>
          <t>Intercepto</t>
        </is>
      </c>
      <c r="G21" s="160" t="n">
        <v>0.0040387389341992</v>
      </c>
      <c r="H21" s="160" t="n">
        <v>0.0043175219467672</v>
      </c>
      <c r="I21" s="160" t="n">
        <v>0.9354298562913486</v>
      </c>
      <c r="J21" s="160" t="n">
        <v>0.3506620799516384</v>
      </c>
      <c r="K21" s="160" t="n">
        <v>-0.0044734570802064</v>
      </c>
      <c r="L21" s="160" t="n">
        <v>0.0125509349486048</v>
      </c>
      <c r="M21" s="1" t="n"/>
      <c r="N21" s="1" t="inlineStr">
        <is>
          <t>Ljung-Box (6)</t>
        </is>
      </c>
      <c r="O21" s="161" t="n">
        <v>10.54466065557452</v>
      </c>
      <c r="P21" s="161" t="n">
        <v>0.1035106024881529</v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4" customHeight="1">
      <c r="A22" s="64" t="inlineStr">
        <is>
          <t>Remesas</t>
        </is>
      </c>
      <c r="B22" s="64" t="n">
        <v>2</v>
      </c>
      <c r="C22" s="64" t="inlineStr">
        <is>
          <t>Mensual; publicación posterior al mes de referencia</t>
        </is>
      </c>
      <c r="D22" s="64" t="inlineStr">
        <is>
          <t>Supuesto conservador: t-2</t>
        </is>
      </c>
      <c r="E22" s="1" t="n"/>
      <c r="F22" s="1" t="inlineStr">
        <is>
          <t>Δ ln trm (t−1)</t>
        </is>
      </c>
      <c r="G22" s="160" t="n">
        <v>0.3402340400296167</v>
      </c>
      <c r="H22" s="160" t="n">
        <v>0.1196871254348464</v>
      </c>
      <c r="I22" s="160" t="n">
        <v>2.842695392620391</v>
      </c>
      <c r="J22" s="160" t="n">
        <v>0.004923592121102</v>
      </c>
      <c r="K22" s="160" t="n">
        <v>0.1042652865030722</v>
      </c>
      <c r="L22" s="160" t="n">
        <v>0.5762027935561613</v>
      </c>
      <c r="M22" s="1" t="n"/>
      <c r="N22" s="1" t="inlineStr">
        <is>
          <t>Ljung-Box (12)</t>
        </is>
      </c>
      <c r="O22" s="161" t="n">
        <v>15.94239617765753</v>
      </c>
      <c r="P22" s="161" t="n">
        <v>0.1938886933498905</v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34" customHeight="1">
      <c r="A23" s="64" t="inlineStr">
        <is>
          <t>Diferencial de tasas</t>
        </is>
      </c>
      <c r="B23" s="64" t="n">
        <v>1</v>
      </c>
      <c r="C23" s="64" t="inlineStr">
        <is>
          <t>Tasas observables durante el mes</t>
        </is>
      </c>
      <c r="D23" s="64" t="inlineStr">
        <is>
          <t>Promedios completos conocidos para t-1</t>
        </is>
      </c>
      <c r="E23" s="1" t="n"/>
      <c r="F23" s="1" t="inlineStr">
        <is>
          <t>Δ ln terminos intercambio (t−3)</t>
        </is>
      </c>
      <c r="G23" s="160" t="n">
        <v>0.0251560549128581</v>
      </c>
      <c r="H23" s="160" t="n">
        <v>0.0590208300864199</v>
      </c>
      <c r="I23" s="160" t="n">
        <v>0.4262233329491289</v>
      </c>
      <c r="J23" s="160" t="n">
        <v>0.6703901463510121</v>
      </c>
      <c r="K23" s="160" t="n">
        <v>-0.0912062660719157</v>
      </c>
      <c r="L23" s="160" t="n">
        <v>0.1415183758976321</v>
      </c>
      <c r="M23" s="1" t="n"/>
      <c r="N23" s="1" t="inlineStr">
        <is>
          <t>Breusch-Godfrey (12)</t>
        </is>
      </c>
      <c r="O23" s="161" t="n">
        <v>17.81346737630018</v>
      </c>
      <c r="P23" s="161" t="n">
        <v>0.1214727927136955</v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4" customHeight="1">
      <c r="A24" s="64" t="inlineStr">
        <is>
          <t>Déficit fiscal</t>
        </is>
      </c>
      <c r="B24" s="64" t="n">
        <v>3</v>
      </c>
      <c r="C24" s="64" t="inlineStr">
        <is>
          <t>Mensual con rezago y posibles revisiones</t>
        </is>
      </c>
      <c r="D24" s="64" t="inlineStr">
        <is>
          <t>Supuesto conservador: t-3</t>
        </is>
      </c>
      <c r="E24" s="1" t="n"/>
      <c r="F24" s="1" t="inlineStr">
        <is>
          <t>Δ ln remesas 12m (t−2)</t>
        </is>
      </c>
      <c r="G24" s="160" t="n">
        <v>-0.1431656933363498</v>
      </c>
      <c r="H24" s="160" t="n">
        <v>0.1846829357273716</v>
      </c>
      <c r="I24" s="160" t="n">
        <v>-0.7751971928131497</v>
      </c>
      <c r="J24" s="160" t="n">
        <v>0.4391120890715746</v>
      </c>
      <c r="K24" s="160" t="n">
        <v>-0.5072767201730163</v>
      </c>
      <c r="L24" s="160" t="n">
        <v>0.2209453335003165</v>
      </c>
      <c r="M24" s="1" t="n"/>
      <c r="N24" s="1" t="inlineStr">
        <is>
          <t>ARCH-LM (12)</t>
        </is>
      </c>
      <c r="O24" s="161" t="n">
        <v>20.94836519098164</v>
      </c>
      <c r="P24" s="161" t="n">
        <v>0.051141694329669</v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4" customHeight="1">
      <c r="A25" s="64" t="inlineStr">
        <is>
          <t>Dólar amplio</t>
        </is>
      </c>
      <c r="B25" s="64" t="n">
        <v>1</v>
      </c>
      <c r="C25" s="64" t="inlineStr">
        <is>
          <t>Diaria</t>
        </is>
      </c>
      <c r="D25" s="64" t="inlineStr">
        <is>
          <t>Promedio completo conocido para t-1</t>
        </is>
      </c>
      <c r="E25" s="1" t="n"/>
      <c r="F25" s="1" t="inlineStr">
        <is>
          <t>Δ diferencial tasas (t−1)</t>
        </is>
      </c>
      <c r="G25" s="160" t="n">
        <v>-0.0032542842969915</v>
      </c>
      <c r="H25" s="160" t="n">
        <v>0.0074933459361833</v>
      </c>
      <c r="I25" s="160" t="n">
        <v>-0.4342898786078233</v>
      </c>
      <c r="J25" s="160" t="n">
        <v>0.6645324860207783</v>
      </c>
      <c r="K25" s="160" t="n">
        <v>-0.0180277655204748</v>
      </c>
      <c r="L25" s="160" t="n">
        <v>0.0115191969264917</v>
      </c>
      <c r="M25" s="1" t="n"/>
      <c r="N25" s="1" t="inlineStr">
        <is>
          <t>Jarque-Bera</t>
        </is>
      </c>
      <c r="O25" s="161" t="n">
        <v>5.32832632703108</v>
      </c>
      <c r="P25" s="161" t="n">
        <v>0.0696576211884499</v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4" customHeight="1">
      <c r="A26" s="64" t="inlineStr">
        <is>
          <t>VIX</t>
        </is>
      </c>
      <c r="B26" s="64" t="n">
        <v>1</v>
      </c>
      <c r="C26" s="64" t="inlineStr">
        <is>
          <t>Diaria</t>
        </is>
      </c>
      <c r="D26" s="64" t="inlineStr">
        <is>
          <t>Promedio completo conocido para t-1</t>
        </is>
      </c>
      <c r="E26" s="1" t="n"/>
      <c r="F26" s="1" t="inlineStr">
        <is>
          <t>Δ deficit fiscal 12m pct pib (t−3)</t>
        </is>
      </c>
      <c r="G26" s="160" t="n">
        <v>-0.005012798291608</v>
      </c>
      <c r="H26" s="160" t="n">
        <v>0.0046558812040774</v>
      </c>
      <c r="I26" s="160" t="n">
        <v>-1.076659406004166</v>
      </c>
      <c r="J26" s="160" t="n">
        <v>0.2828917156633779</v>
      </c>
      <c r="K26" s="160" t="n">
        <v>-0.0141920853728395</v>
      </c>
      <c r="L26" s="160" t="n">
        <v>0.0041664887896235</v>
      </c>
      <c r="M26" s="1" t="n"/>
      <c r="N26" s="1" t="inlineStr">
        <is>
          <t>Ramsey RESET</t>
        </is>
      </c>
      <c r="O26" s="161" t="n">
        <v>4.834400167600292</v>
      </c>
      <c r="P26" s="161" t="n">
        <v>0.0290160676669691</v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4" customHeight="1">
      <c r="A27" s="64" t="inlineStr">
        <is>
          <t>Riesgo soberano EMBIG Colombia</t>
        </is>
      </c>
      <c r="B27" s="64" t="n">
        <v>1</v>
      </c>
      <c r="C27" s="64" t="inlineStr">
        <is>
          <t>Diaria</t>
        </is>
      </c>
      <c r="D27" s="64" t="inlineStr">
        <is>
          <t>Promedio completo conocido para t-1</t>
        </is>
      </c>
      <c r="E27" s="1" t="n"/>
      <c r="F27" s="1" t="inlineStr">
        <is>
          <t>Δ ln dolar amplio (t−1)</t>
        </is>
      </c>
      <c r="G27" s="160" t="n">
        <v>0.3483466401883475</v>
      </c>
      <c r="H27" s="160" t="n">
        <v>0.3390934424666163</v>
      </c>
      <c r="I27" s="160" t="n">
        <v>1.027288046782686</v>
      </c>
      <c r="J27" s="160" t="n">
        <v>0.3054895737424457</v>
      </c>
      <c r="K27" s="160" t="n">
        <v>-0.3201919069374263</v>
      </c>
      <c r="L27" s="160" t="n">
        <v>1.016885187314121</v>
      </c>
      <c r="M27" s="1" t="n"/>
      <c r="N27" s="1" t="inlineStr">
        <is>
          <t>CUSUM estabilidad</t>
        </is>
      </c>
      <c r="O27" s="161" t="n">
        <v>0.6399811339598706</v>
      </c>
      <c r="P27" s="161" t="n">
        <v>0.8073512510029297</v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4" customHeight="1">
      <c r="A28" s="64" t="inlineStr">
        <is>
          <t>Reservas internacionales</t>
        </is>
      </c>
      <c r="B28" s="64" t="n">
        <v>2</v>
      </c>
      <c r="C28" s="64" t="inlineStr">
        <is>
          <t>Mensual; publicación posterior al cierre</t>
        </is>
      </c>
      <c r="D28" s="64" t="inlineStr">
        <is>
          <t>Supuesto conservador: t-2</t>
        </is>
      </c>
      <c r="E28" s="1" t="n"/>
      <c r="F28" s="1" t="inlineStr">
        <is>
          <t>Δ ln vix (t−1)</t>
        </is>
      </c>
      <c r="G28" s="160" t="n">
        <v>0.0014307352570494</v>
      </c>
      <c r="H28" s="160" t="n">
        <v>0.0139726090587925</v>
      </c>
      <c r="I28" s="160" t="n">
        <v>0.1023957122846057</v>
      </c>
      <c r="J28" s="160" t="n">
        <v>0.9185421917614364</v>
      </c>
      <c r="K28" s="160" t="n">
        <v>-0.0261169155962733</v>
      </c>
      <c r="L28" s="160" t="n">
        <v>0.0289783861103721</v>
      </c>
      <c r="M28" s="1" t="n"/>
      <c r="N28" s="1" t="inlineStr">
        <is>
          <t>Durbin-Watson</t>
        </is>
      </c>
      <c r="O28" s="161" t="n">
        <v>1.878459025608119</v>
      </c>
      <c r="P28" s="16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4" customHeight="1">
      <c r="A29" s="64" t="inlineStr">
        <is>
          <t>Balanza comercial cambiaria</t>
        </is>
      </c>
      <c r="B29" s="64" t="n">
        <v>2</v>
      </c>
      <c r="C29" s="64" t="inlineStr">
        <is>
          <t>Mensual; publicación posterior al cierre</t>
        </is>
      </c>
      <c r="D29" s="64" t="inlineStr">
        <is>
          <t>Supuesto conservador: t-2</t>
        </is>
      </c>
      <c r="E29" s="1" t="n"/>
      <c r="F29" s="1" t="inlineStr">
        <is>
          <t>Δ embig colombia pp (t−1)</t>
        </is>
      </c>
      <c r="G29" s="160" t="n">
        <v>0.0094220581083978</v>
      </c>
      <c r="H29" s="160" t="n">
        <v>0.0121222472784678</v>
      </c>
      <c r="I29" s="160" t="n">
        <v>0.7772534161329765</v>
      </c>
      <c r="J29" s="160" t="n">
        <v>0.4379009243153288</v>
      </c>
      <c r="K29" s="160" t="n">
        <v>-0.0144775181396569</v>
      </c>
      <c r="L29" s="160" t="n">
        <v>0.0333216343564526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4" customHeight="1">
      <c r="A30" s="64" t="inlineStr">
        <is>
          <t>Flujos netos de capital</t>
        </is>
      </c>
      <c r="B30" s="64" t="n">
        <v>2</v>
      </c>
      <c r="C30" s="64" t="inlineStr">
        <is>
          <t>Mensual; publicación posterior al cierre</t>
        </is>
      </c>
      <c r="D30" s="64" t="inlineStr">
        <is>
          <t>Supuesto conservador: t-2</t>
        </is>
      </c>
      <c r="E30" s="1" t="n"/>
      <c r="F30" s="1" t="inlineStr">
        <is>
          <t>Δ ln reservas netas sin flar (t−2)</t>
        </is>
      </c>
      <c r="G30" s="160" t="n">
        <v>0.2351189653168731</v>
      </c>
      <c r="H30" s="160" t="n">
        <v>0.363009081461902</v>
      </c>
      <c r="I30" s="160" t="n">
        <v>0.6476944443648831</v>
      </c>
      <c r="J30" s="160" t="n">
        <v>0.5179037831745931</v>
      </c>
      <c r="K30" s="160" t="n">
        <v>-0.4805703802177106</v>
      </c>
      <c r="L30" s="160" t="n">
        <v>0.9508083108514568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4" customHeight="1">
      <c r="A31" s="64" t="inlineStr">
        <is>
          <t>Diferencial de compensación inflacionaria 5 años</t>
        </is>
      </c>
      <c r="B31" s="64" t="n">
        <v>1</v>
      </c>
      <c r="C31" s="64" t="inlineStr">
        <is>
          <t>Curvas diarias</t>
        </is>
      </c>
      <c r="D31" s="64" t="inlineStr">
        <is>
          <t>Promedios completos conocidos para t-1</t>
        </is>
      </c>
      <c r="E31" s="1" t="n"/>
      <c r="F31" s="1" t="inlineStr">
        <is>
          <t>Δ asinh balanza comercial (t−2)</t>
        </is>
      </c>
      <c r="G31" s="160" t="n">
        <v>-0.0490319934086819</v>
      </c>
      <c r="H31" s="160" t="n">
        <v>0.0244570541691418</v>
      </c>
      <c r="I31" s="160" t="n">
        <v>-2.004820084609662</v>
      </c>
      <c r="J31" s="160" t="n">
        <v>0.0462913396371069</v>
      </c>
      <c r="K31" s="160" t="n">
        <v>-0.09725021710029499</v>
      </c>
      <c r="L31" s="160" t="n">
        <v>-0.0008137697170689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4" customHeight="1">
      <c r="A32" s="64" t="inlineStr">
        <is>
          <t>Actividad y precios domésticos</t>
        </is>
      </c>
      <c r="B32" s="64" t="n">
        <v>2</v>
      </c>
      <c r="C32" s="64" t="inlineStr">
        <is>
          <t>DANE; ISE mensual e IPC mensual</t>
        </is>
      </c>
      <c r="D32" s="64" t="inlineStr">
        <is>
          <t>Supuesto conservador: últimas observaciones completas conocidas para t-2</t>
        </is>
      </c>
      <c r="E32" s="1" t="n"/>
      <c r="F32" s="1" t="inlineStr">
        <is>
          <t>Δ asinh flujos capital (t−2)</t>
        </is>
      </c>
      <c r="G32" s="160" t="n">
        <v>0.0049681671173758</v>
      </c>
      <c r="H32" s="160" t="n">
        <v>0.0072250167830039</v>
      </c>
      <c r="I32" s="160" t="n">
        <v>0.6876339898701547</v>
      </c>
      <c r="J32" s="160" t="n">
        <v>0.4924567874683038</v>
      </c>
      <c r="K32" s="160" t="n">
        <v>-0.009276290657841401</v>
      </c>
      <c r="L32" s="160" t="n">
        <v>0.019212624892593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Monedas regionales</t>
        </is>
      </c>
      <c r="B33" s="64" t="n">
        <v>1</v>
      </c>
      <c r="C33" s="64" t="inlineStr">
        <is>
          <t>Tipos de cambio mensuales</t>
        </is>
      </c>
      <c r="D33" s="64" t="inlineStr">
        <is>
          <t>Promedios completos conocidos para t-1</t>
        </is>
      </c>
      <c r="E33" s="1" t="n"/>
      <c r="F33" s="1" t="inlineStr">
        <is>
          <t>Δ diferencial BEI 5 años (t−1)</t>
        </is>
      </c>
      <c r="G33" s="160" t="n">
        <v>-0.0135340126529541</v>
      </c>
      <c r="H33" s="160" t="n">
        <v>0.008257916799049501</v>
      </c>
      <c r="I33" s="160" t="n">
        <v>-1.638913660950402</v>
      </c>
      <c r="J33" s="160" t="n">
        <v>0.1027575751350268</v>
      </c>
      <c r="K33" s="160" t="n">
        <v>-0.0298148810146761</v>
      </c>
      <c r="L33" s="160" t="n">
        <v>0.0027468557087678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Condiciones financieras, commodities y actividad internacional</t>
        </is>
      </c>
      <c r="B34" s="64" t="n">
        <v>2</v>
      </c>
      <c r="C34" s="64" t="inlineStr">
        <is>
          <t>FRED; mercados diarios/semanales e indicadores mensuales</t>
        </is>
      </c>
      <c r="D34" s="64" t="inlineStr">
        <is>
          <t>Rendimientos, expectativas, riesgo y commodities t-1; empleo, desempleo, fletes y China t-2</t>
        </is>
      </c>
      <c r="E34" s="1" t="n"/>
      <c r="F34" s="1" t="inlineStr">
        <is>
          <t>Δ ln ISE total DANE (t−2)</t>
        </is>
      </c>
      <c r="G34" s="160" t="n">
        <v>0.302018100457246</v>
      </c>
      <c r="H34" s="160" t="n">
        <v>0.1882330944741129</v>
      </c>
      <c r="I34" s="160" t="n">
        <v>1.604489908116458</v>
      </c>
      <c r="J34" s="160" t="n">
        <v>0.110138092332356</v>
      </c>
      <c r="K34" s="160" t="n">
        <v>-0.0690922300325599</v>
      </c>
      <c r="L34" s="160" t="n">
        <v>0.673128430947052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inlineStr">
        <is>
          <t>Δ ln IPC Colombia (t−2)</t>
        </is>
      </c>
      <c r="G35" s="160" t="n">
        <v>-0.9054884974289276</v>
      </c>
      <c r="H35" s="160" t="n">
        <v>0.5465815081189572</v>
      </c>
      <c r="I35" s="160" t="n">
        <v>-1.65663946543881</v>
      </c>
      <c r="J35" s="160" t="n">
        <v>0.09911468705491271</v>
      </c>
      <c r="K35" s="160" t="n">
        <v>-1.983099449341206</v>
      </c>
      <c r="L35" s="160" t="n">
        <v>0.1721224544833516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inlineStr">
        <is>
          <t>Factor regional BRL, CLP y MXN (t−1)</t>
        </is>
      </c>
      <c r="G36" s="160" t="n">
        <v>-0.0053986174858926</v>
      </c>
      <c r="H36" s="160" t="n">
        <v>0.0057894555947604</v>
      </c>
      <c r="I36" s="160" t="n">
        <v>-0.9324913884439274</v>
      </c>
      <c r="J36" s="160" t="n">
        <v>0.3521742567110898</v>
      </c>
      <c r="K36" s="160" t="n">
        <v>-0.0168127993816435</v>
      </c>
      <c r="L36" s="160" t="n">
        <v>0.0060155644098583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22" customHeight="1">
      <c r="A37" s="55" t="inlineStr">
        <is>
          <t>Predicciones de un mes con información disponible al origen</t>
        </is>
      </c>
      <c r="F37" s="1" t="inlineStr">
        <is>
          <t>Δ rendimiento real TIPS 10 años (t−1)</t>
        </is>
      </c>
      <c r="G37" s="160" t="n">
        <v>513.6319122264224</v>
      </c>
      <c r="H37" s="160" t="n">
        <v>367.7684479645466</v>
      </c>
      <c r="I37" s="160" t="n">
        <v>1.396617668179999</v>
      </c>
      <c r="J37" s="160" t="n">
        <v>0.1640314619145231</v>
      </c>
      <c r="K37" s="160" t="n">
        <v>-211.4407464851194</v>
      </c>
      <c r="L37" s="160" t="n">
        <v>1238.704570937964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2" t="n"/>
      <c r="B38" s="62" t="n"/>
      <c r="C38" s="62" t="n"/>
      <c r="D38" s="62" t="n"/>
      <c r="E38" s="62" t="n"/>
      <c r="F38" s="1" t="inlineStr">
        <is>
          <t>Δ rendimiento real EE. UU. 5 años (t−1)</t>
        </is>
      </c>
      <c r="G38" s="160" t="n">
        <v>0.0702791759912109</v>
      </c>
      <c r="H38" s="160" t="n">
        <v>0.0619280694313001</v>
      </c>
      <c r="I38" s="160" t="n">
        <v>1.134851718075518</v>
      </c>
      <c r="J38" s="160" t="n">
        <v>0.2577562029193303</v>
      </c>
      <c r="K38" s="160" t="n">
        <v>-0.0518149030412416</v>
      </c>
      <c r="L38" s="160" t="n">
        <v>0.1923732550236636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60" t="n"/>
      <c r="C39" s="160" t="n"/>
      <c r="D39" s="160" t="n"/>
      <c r="E39" s="160" t="n"/>
      <c r="F39" s="1" t="inlineStr">
        <is>
          <t>Δ Treasury EE. UU. 2 años (t−1)</t>
        </is>
      </c>
      <c r="G39" s="160" t="n">
        <v>-150.4723368110966</v>
      </c>
      <c r="H39" s="160" t="n">
        <v>385.9958605450215</v>
      </c>
      <c r="I39" s="160" t="n">
        <v>-0.3898288872803751</v>
      </c>
      <c r="J39" s="160" t="n">
        <v>0.6970658242544808</v>
      </c>
      <c r="K39" s="160" t="n">
        <v>-911.4811900882778</v>
      </c>
      <c r="L39" s="160" t="n">
        <v>610.5365164660845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60" t="n"/>
      <c r="C40" s="160" t="n"/>
      <c r="D40" s="160" t="n"/>
      <c r="E40" s="160" t="n"/>
      <c r="F40" s="1" t="inlineStr">
        <is>
          <t>Δ Treasury EE. UU. 10 años (t−1)</t>
        </is>
      </c>
      <c r="G40" s="160" t="n">
        <v>-363.2088025916938</v>
      </c>
      <c r="H40" s="160" t="n">
        <v>530.0032678014931</v>
      </c>
      <c r="I40" s="160" t="n">
        <v>-0.6852954022308589</v>
      </c>
      <c r="J40" s="160" t="n">
        <v>0.4939279484044958</v>
      </c>
      <c r="K40" s="160" t="n">
        <v>-1408.134980020814</v>
      </c>
      <c r="L40" s="160" t="n">
        <v>681.7173748374263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60" t="n"/>
      <c r="C41" s="160" t="n"/>
      <c r="D41" s="160" t="n"/>
      <c r="E41" s="160" t="n"/>
      <c r="F41" s="1" t="inlineStr">
        <is>
          <t>Δ pendiente Treasury 10Y−2Y (t−1)</t>
        </is>
      </c>
      <c r="G41" s="160" t="n">
        <v>-150.4785201602285</v>
      </c>
      <c r="H41" s="160" t="n">
        <v>386.0052245062708</v>
      </c>
      <c r="I41" s="160" t="n">
        <v>-0.3898354493846597</v>
      </c>
      <c r="J41" s="160" t="n">
        <v>0.6970609790903585</v>
      </c>
      <c r="K41" s="160" t="n">
        <v>-911.5058349240236</v>
      </c>
      <c r="L41" s="160" t="n">
        <v>610.5487946035665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60" t="n"/>
      <c r="C42" s="160" t="n"/>
      <c r="D42" s="160" t="n"/>
      <c r="E42" s="160" t="n"/>
      <c r="F42" s="1" t="inlineStr">
        <is>
          <t>Δ BEI EE. UU. 5 años (t−1)</t>
        </is>
      </c>
      <c r="G42" s="160" t="n">
        <v>0.070770032960759</v>
      </c>
      <c r="H42" s="160" t="n">
        <v>0.0597118899235454</v>
      </c>
      <c r="I42" s="160" t="n">
        <v>1.185191643596816</v>
      </c>
      <c r="J42" s="160" t="n">
        <v>0.2373071110460093</v>
      </c>
      <c r="K42" s="160" t="n">
        <v>-0.046954744744287</v>
      </c>
      <c r="L42" s="160" t="n">
        <v>0.188494810665805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60" t="n"/>
      <c r="C43" s="160" t="n"/>
      <c r="D43" s="160" t="n"/>
      <c r="E43" s="160" t="n"/>
      <c r="F43" s="1" t="inlineStr">
        <is>
          <t>Δ BEI EE. UU. 10 años (t−1)</t>
        </is>
      </c>
      <c r="G43" s="160" t="n">
        <v>513.6310407829852</v>
      </c>
      <c r="H43" s="160" t="n">
        <v>367.7638756603822</v>
      </c>
      <c r="I43" s="160" t="n">
        <v>1.396632662358895</v>
      </c>
      <c r="J43" s="160" t="n">
        <v>0.1640269566235004</v>
      </c>
      <c r="K43" s="160" t="n">
        <v>-211.4326034175097</v>
      </c>
      <c r="L43" s="160" t="n">
        <v>1238.69468498348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60" t="n"/>
      <c r="C44" s="160" t="n"/>
      <c r="D44" s="160" t="n"/>
      <c r="E44" s="160" t="n"/>
      <c r="F44" s="1" t="inlineStr">
        <is>
          <t>Δ incertidumbre de política económica global (t−1)</t>
        </is>
      </c>
      <c r="G44" s="160" t="n">
        <v>-4.149599213834211e-05</v>
      </c>
      <c r="H44" s="160" t="n">
        <v>7.2214190070257e-05</v>
      </c>
      <c r="I44" s="160" t="n">
        <v>-0.5746237975939461</v>
      </c>
      <c r="J44" s="160" t="n">
        <v>0.566172741333727</v>
      </c>
      <c r="K44" s="160" t="n">
        <v>-0.000183869638058</v>
      </c>
      <c r="L44" s="160" t="n">
        <v>0.0001008776537813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60" t="n"/>
      <c r="C45" s="160" t="n"/>
      <c r="D45" s="160" t="n"/>
      <c r="E45" s="160" t="n"/>
      <c r="F45" s="1" t="inlineStr">
        <is>
          <t>Δ estrés financiero STLFSI (t−1)</t>
        </is>
      </c>
      <c r="G45" s="160" t="n">
        <v>-0.0061982105655093</v>
      </c>
      <c r="H45" s="160" t="n">
        <v>0.008662753151389899</v>
      </c>
      <c r="I45" s="160" t="n">
        <v>-0.7155012335212232</v>
      </c>
      <c r="J45" s="160" t="n">
        <v>0.4751095639085311</v>
      </c>
      <c r="K45" s="160" t="n">
        <v>-0.0232772326893582</v>
      </c>
      <c r="L45" s="160" t="n">
        <v>0.0108808115583395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60" t="n"/>
      <c r="C46" s="160" t="n"/>
      <c r="D46" s="160" t="n"/>
      <c r="E46" s="160" t="n"/>
      <c r="F46" s="1" t="inlineStr">
        <is>
          <t>Δ NFCI Chicago (t−1)</t>
        </is>
      </c>
      <c r="G46" s="160" t="n">
        <v>0.1620960452635551</v>
      </c>
      <c r="H46" s="160" t="n">
        <v>0.0878572347556681</v>
      </c>
      <c r="I46" s="160" t="n">
        <v>1.844993707283708</v>
      </c>
      <c r="J46" s="160" t="n">
        <v>0.0664740042045413</v>
      </c>
      <c r="K46" s="160" t="n">
        <v>-0.0111185933056497</v>
      </c>
      <c r="L46" s="160" t="n">
        <v>0.3353106838327599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60" t="n"/>
      <c r="C47" s="160" t="n"/>
      <c r="D47" s="160" t="n"/>
      <c r="E47" s="160" t="n"/>
      <c r="F47" s="1" t="inlineStr">
        <is>
          <t>Δ ANFCI Chicago (t−1)</t>
        </is>
      </c>
      <c r="G47" s="160" t="n">
        <v>-0.09302438432878581</v>
      </c>
      <c r="H47" s="160" t="n">
        <v>0.0646786182263345</v>
      </c>
      <c r="I47" s="160" t="n">
        <v>-1.438255591720573</v>
      </c>
      <c r="J47" s="160" t="n">
        <v>0.1518790140967224</v>
      </c>
      <c r="K47" s="160" t="n">
        <v>-0.2205412986772351</v>
      </c>
      <c r="L47" s="160" t="n">
        <v>0.0344925300196633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60" t="n"/>
      <c r="C48" s="160" t="n"/>
      <c r="D48" s="160" t="n"/>
      <c r="E48" s="160" t="n"/>
      <c r="F48" s="1" t="inlineStr">
        <is>
          <t>Δ ln Brent global (t−1)</t>
        </is>
      </c>
      <c r="G48" s="160" t="n">
        <v>0.0561149566455461</v>
      </c>
      <c r="H48" s="160" t="n">
        <v>0.0465909639268955</v>
      </c>
      <c r="I48" s="160" t="n">
        <v>1.204417164100626</v>
      </c>
      <c r="J48" s="160" t="n">
        <v>0.22981035464225</v>
      </c>
      <c r="K48" s="160" t="n">
        <v>-0.0357413031107675</v>
      </c>
      <c r="L48" s="160" t="n">
        <v>0.1479712164018598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60" t="n"/>
      <c r="C49" s="160" t="n"/>
      <c r="D49" s="160" t="n"/>
      <c r="E49" s="160" t="n"/>
      <c r="F49" s="1" t="inlineStr">
        <is>
          <t>Δ ln commodities globales (t−1)</t>
        </is>
      </c>
      <c r="G49" s="160" t="n">
        <v>-0.1141051911714653</v>
      </c>
      <c r="H49" s="160" t="n">
        <v>0.1179238724424295</v>
      </c>
      <c r="I49" s="160" t="n">
        <v>-0.9676174027203146</v>
      </c>
      <c r="J49" s="160" t="n">
        <v>0.3343701227952035</v>
      </c>
      <c r="K49" s="160" t="n">
        <v>-0.3465976091334209</v>
      </c>
      <c r="L49" s="160" t="n">
        <v>0.1183872267904903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60" t="n"/>
      <c r="C50" s="160" t="n"/>
      <c r="D50" s="160" t="n"/>
      <c r="E50" s="160" t="n"/>
      <c r="F50" s="1" t="inlineStr">
        <is>
          <t>Δ desempleo EE. UU. (t−2)</t>
        </is>
      </c>
      <c r="G50" s="160" t="n">
        <v>0.0045347067485327</v>
      </c>
      <c r="H50" s="160" t="n">
        <v>0.0067063246366885</v>
      </c>
      <c r="I50" s="160" t="n">
        <v>0.6761836019277285</v>
      </c>
      <c r="J50" s="160" t="n">
        <v>0.499682534436103</v>
      </c>
      <c r="K50" s="160" t="n">
        <v>-0.008687125253149</v>
      </c>
      <c r="L50" s="160" t="n">
        <v>0.0177565387502145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60" t="n"/>
      <c r="C51" s="160" t="n"/>
      <c r="D51" s="160" t="n"/>
      <c r="E51" s="160" t="n"/>
      <c r="F51" s="1" t="inlineStr">
        <is>
          <t>Δ ln empleo manufacturero EE. UU. (t−2)</t>
        </is>
      </c>
      <c r="G51" s="160" t="n">
        <v>1.013450114672403</v>
      </c>
      <c r="H51" s="160" t="n">
        <v>0.8886983835795348</v>
      </c>
      <c r="I51" s="160" t="n">
        <v>1.140375782602854</v>
      </c>
      <c r="J51" s="160" t="n">
        <v>0.2554538776070276</v>
      </c>
      <c r="K51" s="160" t="n">
        <v>-0.7386602236151847</v>
      </c>
      <c r="L51" s="160" t="n">
        <v>2.765560452959991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60" t="n"/>
      <c r="C52" s="160" t="n"/>
      <c r="D52" s="160" t="n"/>
      <c r="E52" s="160" t="n"/>
      <c r="F52" s="1" t="inlineStr">
        <is>
          <t>Δ ln producción industrial EE. UU. (t−2)</t>
        </is>
      </c>
      <c r="G52" s="160" t="n">
        <v>0.0024951660091518</v>
      </c>
      <c r="H52" s="160" t="n">
        <v>0.4191377289609688</v>
      </c>
      <c r="I52" s="160" t="n">
        <v>0.0059530933073892</v>
      </c>
      <c r="J52" s="160" t="n">
        <v>0.9952559078182448</v>
      </c>
      <c r="K52" s="160" t="n">
        <v>-0.8238544275626821</v>
      </c>
      <c r="L52" s="160" t="n">
        <v>0.8288447595809859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Predicciones de un mes con información disponible al origen</t>
        </is>
      </c>
      <c r="F53" s="1" t="inlineStr">
        <is>
          <t>Δ ln fletes/logística EE. UU. (t−2)</t>
        </is>
      </c>
      <c r="G53" s="160" t="n">
        <v>-0.4405757053713274</v>
      </c>
      <c r="H53" s="160" t="n">
        <v>0.1545757172929302</v>
      </c>
      <c r="I53" s="160" t="n">
        <v>-2.850225851039786</v>
      </c>
      <c r="J53" s="160" t="n">
        <v>0.0048128831910749</v>
      </c>
      <c r="K53" s="160" t="n">
        <v>-0.7453289459773109</v>
      </c>
      <c r="L53" s="160" t="n">
        <v>-0.1358224647653439</v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60" t="n"/>
      <c r="C54" s="160" t="n"/>
      <c r="D54" s="160" t="n"/>
      <c r="E54" s="160" t="n"/>
      <c r="F54" s="1" t="inlineStr">
        <is>
          <t>Dummy pandemia 2020</t>
        </is>
      </c>
      <c r="G54" s="160" t="n">
        <v>0.0531120724238941</v>
      </c>
      <c r="H54" s="160" t="n">
        <v>0.0204576277913339</v>
      </c>
      <c r="I54" s="160" t="n">
        <v>2.596198980919626</v>
      </c>
      <c r="J54" s="160" t="n">
        <v>0.0101049973945034</v>
      </c>
      <c r="K54" s="160" t="n">
        <v>0.0127789044871396</v>
      </c>
      <c r="L54" s="160" t="n">
        <v>0.09344524036064859</v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Predicciones de un mes con información disponible al origen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Mes</t>
        </is>
      </c>
      <c r="B56" s="160" t="inlineStr">
        <is>
          <t>ln TRM observada</t>
        </is>
      </c>
      <c r="C56" s="160" t="inlineStr">
        <is>
          <t>ln TRM pronóstico</t>
        </is>
      </c>
      <c r="D56" s="160" t="inlineStr">
        <is>
          <t>ln TRM caminata</t>
        </is>
      </c>
      <c r="E56" s="160" t="inlineStr">
        <is>
          <t>Δln observado</t>
        </is>
      </c>
      <c r="F56" s="160" t="inlineStr">
        <is>
          <t>Δln pronóstico</t>
        </is>
      </c>
      <c r="G56" s="167" t="inlineStr">
        <is>
          <t>TRM observada</t>
        </is>
      </c>
      <c r="H56" s="167" t="inlineStr">
        <is>
          <t>TRM pronóstico</t>
        </is>
      </c>
      <c r="I56" s="167" t="inlineStr">
        <is>
          <t>TRM caminata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2022-05</t>
        </is>
      </c>
      <c r="B57" s="160" t="n">
        <v>8.298808139175573</v>
      </c>
      <c r="C57" s="160" t="n">
        <v>8.262062834567773</v>
      </c>
      <c r="D57" s="160" t="n">
        <v>8.240907796093667</v>
      </c>
      <c r="E57" s="160" t="n">
        <v>0.057900343081906</v>
      </c>
      <c r="F57" s="160" t="n">
        <v>0.0211550384741059</v>
      </c>
      <c r="G57" s="167" t="n">
        <v>4019.079354838708</v>
      </c>
      <c r="H57" s="167" t="n">
        <v>3874.077444361701</v>
      </c>
      <c r="I57" s="167" t="n">
        <v>3792.981999999997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2022-06</t>
        </is>
      </c>
      <c r="B58" s="160" t="n">
        <v>8.276589766414325</v>
      </c>
      <c r="C58" s="160" t="n">
        <v>8.292733882817966</v>
      </c>
      <c r="D58" s="160" t="n">
        <v>8.298808139175573</v>
      </c>
      <c r="E58" s="160" t="n">
        <v>-0.0222183727612481</v>
      </c>
      <c r="F58" s="160" t="n">
        <v>-0.006074256357607</v>
      </c>
      <c r="G58" s="167" t="n">
        <v>3930.766666666666</v>
      </c>
      <c r="H58" s="167" t="n">
        <v>3994.740431780141</v>
      </c>
      <c r="I58" s="167" t="n">
        <v>4019.079354838708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2022-07</t>
        </is>
      </c>
      <c r="B59" s="160" t="n">
        <v>8.382016058206503</v>
      </c>
      <c r="C59" s="160" t="n">
        <v>8.301850932214315</v>
      </c>
      <c r="D59" s="160" t="n">
        <v>8.276589766414325</v>
      </c>
      <c r="E59" s="160" t="n">
        <v>0.1054262917921775</v>
      </c>
      <c r="F59" s="160" t="n">
        <v>0.0252611657999892</v>
      </c>
      <c r="G59" s="167" t="n">
        <v>4367.805806451614</v>
      </c>
      <c r="H59" s="167" t="n">
        <v>4031.327205909931</v>
      </c>
      <c r="I59" s="167" t="n">
        <v>3930.766666666666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inlineStr">
        <is>
          <t>2022-08</t>
        </is>
      </c>
      <c r="B60" s="160" t="n">
        <v>8.371582127847805</v>
      </c>
      <c r="C60" s="160" t="n">
        <v>8.408599219544953</v>
      </c>
      <c r="D60" s="160" t="n">
        <v>8.382016058206503</v>
      </c>
      <c r="E60" s="160" t="n">
        <v>-0.0104339303586975</v>
      </c>
      <c r="F60" s="160" t="n">
        <v>0.0265831613384506</v>
      </c>
      <c r="G60" s="167" t="n">
        <v>4322.469354838713</v>
      </c>
      <c r="H60" s="167" t="n">
        <v>4485.472945992945</v>
      </c>
      <c r="I60" s="167" t="n">
        <v>4367.805806451614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inlineStr">
        <is>
          <t>2022-09</t>
        </is>
      </c>
      <c r="B61" s="160" t="n">
        <v>8.396978677110038</v>
      </c>
      <c r="C61" s="160" t="n">
        <v>8.383026013748822</v>
      </c>
      <c r="D61" s="160" t="n">
        <v>8.371582127847805</v>
      </c>
      <c r="E61" s="160" t="n">
        <v>0.0253965492622327</v>
      </c>
      <c r="F61" s="160" t="n">
        <v>0.0114438859010164</v>
      </c>
      <c r="G61" s="167" t="n">
        <v>4433.650999999996</v>
      </c>
      <c r="H61" s="167" t="n">
        <v>4372.21932448696</v>
      </c>
      <c r="I61" s="167" t="n">
        <v>4322.469354838713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inlineStr">
        <is>
          <t>2022-10</t>
        </is>
      </c>
      <c r="B62" s="160" t="n">
        <v>8.457831715043978</v>
      </c>
      <c r="C62" s="160" t="n">
        <v>8.424298404326347</v>
      </c>
      <c r="D62" s="160" t="n">
        <v>8.396978677110038</v>
      </c>
      <c r="E62" s="160" t="n">
        <v>0.0608530379339402</v>
      </c>
      <c r="F62" s="160" t="n">
        <v>0.0273197272163088</v>
      </c>
      <c r="G62" s="167" t="n">
        <v>4711.830322580648</v>
      </c>
      <c r="H62" s="167" t="n">
        <v>4556.446873297507</v>
      </c>
      <c r="I62" s="167" t="n">
        <v>4433.650999999996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2022-11</t>
        </is>
      </c>
      <c r="B63" s="160" t="n">
        <v>8.502416687971365</v>
      </c>
      <c r="C63" s="160" t="n">
        <v>8.500301786599364</v>
      </c>
      <c r="D63" s="160" t="n">
        <v>8.457831715043978</v>
      </c>
      <c r="E63" s="160" t="n">
        <v>0.044584972927387</v>
      </c>
      <c r="F63" s="160" t="n">
        <v>0.0424700715553854</v>
      </c>
      <c r="G63" s="167" t="n">
        <v>4926.660666666665</v>
      </c>
      <c r="H63" s="167" t="n">
        <v>4916.252275503281</v>
      </c>
      <c r="I63" s="167" t="n">
        <v>4711.830322580648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2022-12</t>
        </is>
      </c>
      <c r="B64" s="160" t="n">
        <v>8.473970535354521</v>
      </c>
      <c r="C64" s="160" t="n">
        <v>8.506664867909343</v>
      </c>
      <c r="D64" s="160" t="n">
        <v>8.502416687971365</v>
      </c>
      <c r="E64" s="160" t="n">
        <v>-0.0284461526168442</v>
      </c>
      <c r="F64" s="160" t="n">
        <v>0.0042481799379778</v>
      </c>
      <c r="G64" s="167" t="n">
        <v>4788.490645161287</v>
      </c>
      <c r="H64" s="167" t="n">
        <v>4947.634526494308</v>
      </c>
      <c r="I64" s="167" t="n">
        <v>4926.660666666665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2023-01</t>
        </is>
      </c>
      <c r="B65" s="160" t="n">
        <v>8.458547432938246</v>
      </c>
      <c r="C65" s="160" t="n">
        <v>8.455940113727078</v>
      </c>
      <c r="D65" s="160" t="n">
        <v>8.473970535354521</v>
      </c>
      <c r="E65" s="160" t="n">
        <v>-0.0154231024162747</v>
      </c>
      <c r="F65" s="160" t="n">
        <v>-0.0180304216274436</v>
      </c>
      <c r="G65" s="167" t="n">
        <v>4715.203870967738</v>
      </c>
      <c r="H65" s="167" t="n">
        <v>4702.925842655552</v>
      </c>
      <c r="I65" s="167" t="n">
        <v>4788.490645161287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2023-02</t>
        </is>
      </c>
      <c r="B66" s="160" t="n">
        <v>8.477019424251225</v>
      </c>
      <c r="C66" s="160" t="n">
        <v>8.452891181237767</v>
      </c>
      <c r="D66" s="160" t="n">
        <v>8.458547432938246</v>
      </c>
      <c r="E66" s="160" t="n">
        <v>0.0184719913129782</v>
      </c>
      <c r="F66" s="160" t="n">
        <v>-0.0056562517004792</v>
      </c>
      <c r="G66" s="167" t="n">
        <v>4803.112499999996</v>
      </c>
      <c r="H66" s="167" t="n">
        <v>4688.608776234482</v>
      </c>
      <c r="I66" s="167" t="n">
        <v>4715.203870967738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2023-03</t>
        </is>
      </c>
      <c r="B67" s="160" t="n">
        <v>8.469326819773904</v>
      </c>
      <c r="C67" s="160" t="n">
        <v>8.490285596941789</v>
      </c>
      <c r="D67" s="160" t="n">
        <v>8.477019424251225</v>
      </c>
      <c r="E67" s="160" t="n">
        <v>-0.0076926044773202</v>
      </c>
      <c r="F67" s="160" t="n">
        <v>0.0132661726905638</v>
      </c>
      <c r="G67" s="167" t="n">
        <v>4766.305806451614</v>
      </c>
      <c r="H67" s="167" t="n">
        <v>4867.255948185991</v>
      </c>
      <c r="I67" s="167" t="n">
        <v>4803.112499999996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2023-04</t>
        </is>
      </c>
      <c r="B68" s="160" t="n">
        <v>8.421271177813114</v>
      </c>
      <c r="C68" s="160" t="n">
        <v>8.423144825795298</v>
      </c>
      <c r="D68" s="160" t="n">
        <v>8.469326819773904</v>
      </c>
      <c r="E68" s="160" t="n">
        <v>-0.04805564196079</v>
      </c>
      <c r="F68" s="160" t="n">
        <v>-0.0461819939786067</v>
      </c>
      <c r="G68" s="167" t="n">
        <v>4542.674333333336</v>
      </c>
      <c r="H68" s="167" t="n">
        <v>4551.193684572026</v>
      </c>
      <c r="I68" s="167" t="n">
        <v>4766.305806451614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2023-05</t>
        </is>
      </c>
      <c r="B69" s="160" t="n">
        <v>8.420701901472638</v>
      </c>
      <c r="C69" s="160" t="n">
        <v>8.416114569433493</v>
      </c>
      <c r="D69" s="160" t="n">
        <v>8.421271177813114</v>
      </c>
      <c r="E69" s="160" t="n">
        <v>-0.0005692763404763</v>
      </c>
      <c r="F69" s="160" t="n">
        <v>-0.0051566083796217</v>
      </c>
      <c r="G69" s="167" t="n">
        <v>4540.089032258067</v>
      </c>
      <c r="H69" s="167" t="n">
        <v>4519.30983336135</v>
      </c>
      <c r="I69" s="167" t="n">
        <v>4542.674333333336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2023-06</t>
        </is>
      </c>
      <c r="B70" s="160" t="n">
        <v>8.345044039825018</v>
      </c>
      <c r="C70" s="160" t="n">
        <v>8.432136126965046</v>
      </c>
      <c r="D70" s="160" t="n">
        <v>8.420701901472638</v>
      </c>
      <c r="E70" s="160" t="n">
        <v>-0.07565786164762039</v>
      </c>
      <c r="F70" s="160" t="n">
        <v>0.0114342254924082</v>
      </c>
      <c r="G70" s="167" t="n">
        <v>4209.267999999998</v>
      </c>
      <c r="H70" s="167" t="n">
        <v>4592.299357487534</v>
      </c>
      <c r="I70" s="167" t="n">
        <v>4540.089032258067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2023-07</t>
        </is>
      </c>
      <c r="B71" s="160" t="n">
        <v>8.311209943353095</v>
      </c>
      <c r="C71" s="160" t="n">
        <v>8.35317143299091</v>
      </c>
      <c r="D71" s="160" t="n">
        <v>8.345044039825018</v>
      </c>
      <c r="E71" s="160" t="n">
        <v>-0.0338340964719225</v>
      </c>
      <c r="F71" s="160" t="n">
        <v>0.008127393165892701</v>
      </c>
      <c r="G71" s="167" t="n">
        <v>4069.233548387099</v>
      </c>
      <c r="H71" s="167" t="n">
        <v>4243.617773956049</v>
      </c>
      <c r="I71" s="167" t="n">
        <v>4209.267999999998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2023-08</t>
        </is>
      </c>
      <c r="B72" s="160" t="n">
        <v>8.311576434873045</v>
      </c>
      <c r="C72" s="160" t="n">
        <v>8.317578883388155</v>
      </c>
      <c r="D72" s="160" t="n">
        <v>8.311209943353095</v>
      </c>
      <c r="E72" s="160" t="n">
        <v>0.0003664915199497</v>
      </c>
      <c r="F72" s="160" t="n">
        <v>0.0063689400350597</v>
      </c>
      <c r="G72" s="167" t="n">
        <v>4070.725161290321</v>
      </c>
      <c r="H72" s="167" t="n">
        <v>4095.23295930466</v>
      </c>
      <c r="I72" s="167" t="n">
        <v>4069.233548387099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2023-09</t>
        </is>
      </c>
      <c r="B73" s="160" t="n">
        <v>8.295179168611119</v>
      </c>
      <c r="C73" s="160" t="n">
        <v>8.308986006742527</v>
      </c>
      <c r="D73" s="160" t="n">
        <v>8.311576434873045</v>
      </c>
      <c r="E73" s="160" t="n">
        <v>-0.0163972662619258</v>
      </c>
      <c r="F73" s="160" t="n">
        <v>-0.0025904281305173</v>
      </c>
      <c r="G73" s="167" t="n">
        <v>4004.52066666667</v>
      </c>
      <c r="H73" s="167" t="n">
        <v>4060.193886465206</v>
      </c>
      <c r="I73" s="167" t="n">
        <v>4070.725161290321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2023-10</t>
        </is>
      </c>
      <c r="B74" s="160" t="n">
        <v>8.348166834656725</v>
      </c>
      <c r="C74" s="160" t="n">
        <v>8.286728654932082</v>
      </c>
      <c r="D74" s="160" t="n">
        <v>8.295179168611119</v>
      </c>
      <c r="E74" s="160" t="n">
        <v>0.0529876660456061</v>
      </c>
      <c r="F74" s="160" t="n">
        <v>-0.008450513679036899</v>
      </c>
      <c r="G74" s="167" t="n">
        <v>4222.433225806451</v>
      </c>
      <c r="H74" s="167" t="n">
        <v>3970.822991858302</v>
      </c>
      <c r="I74" s="167" t="n">
        <v>4004.52066666667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2023-11</t>
        </is>
      </c>
      <c r="B75" s="160" t="n">
        <v>8.303704052588216</v>
      </c>
      <c r="C75" s="160" t="n">
        <v>8.365082064615281</v>
      </c>
      <c r="D75" s="160" t="n">
        <v>8.348166834656725</v>
      </c>
      <c r="E75" s="160" t="n">
        <v>-0.0444627820685088</v>
      </c>
      <c r="F75" s="160" t="n">
        <v>0.0169152299585562</v>
      </c>
      <c r="G75" s="167" t="n">
        <v>4038.804666666669</v>
      </c>
      <c r="H75" s="167" t="n">
        <v>4294.464147125619</v>
      </c>
      <c r="I75" s="167" t="n">
        <v>4222.433225806451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2023-12</t>
        </is>
      </c>
      <c r="B76" s="160" t="n">
        <v>8.281016773597672</v>
      </c>
      <c r="C76" s="160" t="n">
        <v>8.266487462805259</v>
      </c>
      <c r="D76" s="160" t="n">
        <v>8.303704052588216</v>
      </c>
      <c r="E76" s="160" t="n">
        <v>-0.0226872789905439</v>
      </c>
      <c r="F76" s="160" t="n">
        <v>-0.0372165897829575</v>
      </c>
      <c r="G76" s="167" t="n">
        <v>3948.206774193547</v>
      </c>
      <c r="H76" s="167" t="n">
        <v>3891.256774864534</v>
      </c>
      <c r="I76" s="167" t="n">
        <v>4038.804666666669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2024-01</t>
        </is>
      </c>
      <c r="B77" s="160" t="n">
        <v>8.272621363120876</v>
      </c>
      <c r="C77" s="160" t="n">
        <v>8.268354375714255</v>
      </c>
      <c r="D77" s="160" t="n">
        <v>8.281016773597672</v>
      </c>
      <c r="E77" s="160" t="n">
        <v>-0.0083954104767958</v>
      </c>
      <c r="F77" s="160" t="n">
        <v>-0.0126623978834174</v>
      </c>
      <c r="G77" s="167" t="n">
        <v>3915.198709677416</v>
      </c>
      <c r="H77" s="167" t="n">
        <v>3898.52819781447</v>
      </c>
      <c r="I77" s="167" t="n">
        <v>3948.206774193547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2024-02</t>
        </is>
      </c>
      <c r="B78" s="160" t="n">
        <v>8.276760699123423</v>
      </c>
      <c r="C78" s="160" t="n">
        <v>8.256868107990428</v>
      </c>
      <c r="D78" s="160" t="n">
        <v>8.272621363120876</v>
      </c>
      <c r="E78" s="160" t="n">
        <v>0.004139336002547</v>
      </c>
      <c r="F78" s="160" t="n">
        <v>-0.0157532551304484</v>
      </c>
      <c r="G78" s="167" t="n">
        <v>3931.438620689657</v>
      </c>
      <c r="H78" s="167" t="n">
        <v>3854.004852251167</v>
      </c>
      <c r="I78" s="167" t="n">
        <v>3915.198709677416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2024-03</t>
        </is>
      </c>
      <c r="B79" s="160" t="n">
        <v>8.268562917935254</v>
      </c>
      <c r="C79" s="160" t="n">
        <v>8.302631324657293</v>
      </c>
      <c r="D79" s="160" t="n">
        <v>8.276760699123423</v>
      </c>
      <c r="E79" s="160" t="n">
        <v>-0.0081977811881692</v>
      </c>
      <c r="F79" s="160" t="n">
        <v>0.0258706255338694</v>
      </c>
      <c r="G79" s="167" t="n">
        <v>3899.341290322584</v>
      </c>
      <c r="H79" s="167" t="n">
        <v>4034.474451080044</v>
      </c>
      <c r="I79" s="167" t="n">
        <v>3931.438620689657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2024-04</t>
        </is>
      </c>
      <c r="B80" s="160" t="n">
        <v>8.260486479441511</v>
      </c>
      <c r="C80" s="160" t="n">
        <v>8.249610452936771</v>
      </c>
      <c r="D80" s="160" t="n">
        <v>8.268562917935254</v>
      </c>
      <c r="E80" s="160" t="n">
        <v>-0.008076438493743499</v>
      </c>
      <c r="F80" s="160" t="n">
        <v>-0.0189524649984829</v>
      </c>
      <c r="G80" s="167" t="n">
        <v>3867.975333333336</v>
      </c>
      <c r="H80" s="167" t="n">
        <v>3826.135071419524</v>
      </c>
      <c r="I80" s="167" t="n">
        <v>3899.341290322584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2024-05</t>
        </is>
      </c>
      <c r="B81" s="160" t="n">
        <v>8.260777367585563</v>
      </c>
      <c r="C81" s="160" t="n">
        <v>8.27470802870674</v>
      </c>
      <c r="D81" s="160" t="n">
        <v>8.260486479441511</v>
      </c>
      <c r="E81" s="160" t="n">
        <v>0.0002908881440522</v>
      </c>
      <c r="F81" s="160" t="n">
        <v>0.0142215492652297</v>
      </c>
      <c r="G81" s="167" t="n">
        <v>3869.100645161288</v>
      </c>
      <c r="H81" s="167" t="n">
        <v>3923.376949745315</v>
      </c>
      <c r="I81" s="167" t="n">
        <v>3867.975333333336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2024-06</t>
        </is>
      </c>
      <c r="B82" s="160" t="n">
        <v>8.304692058140274</v>
      </c>
      <c r="C82" s="160" t="n">
        <v>8.253029539466706</v>
      </c>
      <c r="D82" s="160" t="n">
        <v>8.260777367585563</v>
      </c>
      <c r="E82" s="160" t="n">
        <v>0.0439146905547112</v>
      </c>
      <c r="F82" s="160" t="n">
        <v>-0.0077478281188581</v>
      </c>
      <c r="G82" s="167" t="n">
        <v>4042.797000000001</v>
      </c>
      <c r="H82" s="167" t="n">
        <v>3839.239347865551</v>
      </c>
      <c r="I82" s="167" t="n">
        <v>3869.100645161288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2024-07</t>
        </is>
      </c>
      <c r="B83" s="160" t="n">
        <v>8.30323778340659</v>
      </c>
      <c r="C83" s="160" t="n">
        <v>8.306380149355091</v>
      </c>
      <c r="D83" s="160" t="n">
        <v>8.304692058140274</v>
      </c>
      <c r="E83" s="160" t="n">
        <v>-0.0014542747336836</v>
      </c>
      <c r="F83" s="160" t="n">
        <v>0.0016880912148167</v>
      </c>
      <c r="G83" s="167" t="n">
        <v>4036.92193548387</v>
      </c>
      <c r="H83" s="167" t="n">
        <v>4049.627373623828</v>
      </c>
      <c r="I83" s="167" t="n">
        <v>4042.797000000001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2024-08</t>
        </is>
      </c>
      <c r="B84" s="160" t="n">
        <v>8.310303441388276</v>
      </c>
      <c r="C84" s="160" t="n">
        <v>8.267967475760454</v>
      </c>
      <c r="D84" s="160" t="n">
        <v>8.30323778340659</v>
      </c>
      <c r="E84" s="160" t="n">
        <v>0.0070656579816859</v>
      </c>
      <c r="F84" s="160" t="n">
        <v>-0.0352703076461367</v>
      </c>
      <c r="G84" s="167" t="n">
        <v>4065.546451612903</v>
      </c>
      <c r="H84" s="167" t="n">
        <v>3897.020149185628</v>
      </c>
      <c r="I84" s="167" t="n">
        <v>4036.92193548387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2024-09</t>
        </is>
      </c>
      <c r="B85" s="160" t="n">
        <v>8.338667381651211</v>
      </c>
      <c r="C85" s="160" t="n">
        <v>8.313267588572392</v>
      </c>
      <c r="D85" s="160" t="n">
        <v>8.310303441388276</v>
      </c>
      <c r="E85" s="160" t="n">
        <v>0.0283639402629347</v>
      </c>
      <c r="F85" s="160" t="n">
        <v>0.0029641471841159</v>
      </c>
      <c r="G85" s="167" t="n">
        <v>4182.512333333329</v>
      </c>
      <c r="H85" s="167" t="n">
        <v>4077.615207627413</v>
      </c>
      <c r="I85" s="167" t="n">
        <v>4065.546451612903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2024-10</t>
        </is>
      </c>
      <c r="B86" s="160" t="n">
        <v>8.354549548259685</v>
      </c>
      <c r="C86" s="160" t="n">
        <v>8.327068703993239</v>
      </c>
      <c r="D86" s="160" t="n">
        <v>8.338667381651211</v>
      </c>
      <c r="E86" s="160" t="n">
        <v>0.015882166608474</v>
      </c>
      <c r="F86" s="160" t="n">
        <v>-0.0115986776579717</v>
      </c>
      <c r="G86" s="167" t="n">
        <v>4249.470000000003</v>
      </c>
      <c r="H86" s="167" t="n">
        <v>4134.280971696645</v>
      </c>
      <c r="I86" s="167" t="n">
        <v>4182.512333333329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2024-11</t>
        </is>
      </c>
      <c r="B87" s="160" t="n">
        <v>8.391324328389279</v>
      </c>
      <c r="C87" s="160" t="n">
        <v>8.374508121599023</v>
      </c>
      <c r="D87" s="160" t="n">
        <v>8.354549548259685</v>
      </c>
      <c r="E87" s="160" t="n">
        <v>0.0367747801295941</v>
      </c>
      <c r="F87" s="160" t="n">
        <v>0.0199585733393377</v>
      </c>
      <c r="G87" s="167" t="n">
        <v>4408.652333333335</v>
      </c>
      <c r="H87" s="167" t="n">
        <v>4335.135394500626</v>
      </c>
      <c r="I87" s="167" t="n">
        <v>4249.470000000003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2024-12</t>
        </is>
      </c>
      <c r="B88" s="160" t="n">
        <v>8.385978817498613</v>
      </c>
      <c r="C88" s="160" t="n">
        <v>8.400254147057302</v>
      </c>
      <c r="D88" s="160" t="n">
        <v>8.391324328389279</v>
      </c>
      <c r="E88" s="160" t="n">
        <v>-0.0053455108906668</v>
      </c>
      <c r="F88" s="160" t="n">
        <v>0.0089298186680224</v>
      </c>
      <c r="G88" s="167" t="n">
        <v>4385.148709677422</v>
      </c>
      <c r="H88" s="167" t="n">
        <v>4448.197100259213</v>
      </c>
      <c r="I88" s="167" t="n">
        <v>4408.652333333335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2025-01</t>
        </is>
      </c>
      <c r="B89" s="160" t="n">
        <v>8.368128619899991</v>
      </c>
      <c r="C89" s="160" t="n">
        <v>8.387002400100529</v>
      </c>
      <c r="D89" s="160" t="n">
        <v>8.385978817498613</v>
      </c>
      <c r="E89" s="160" t="n">
        <v>-0.0178501975986211</v>
      </c>
      <c r="F89" s="160" t="n">
        <v>0.0010235826019169</v>
      </c>
      <c r="G89" s="167" t="n">
        <v>4307.567419354838</v>
      </c>
      <c r="H89" s="167" t="n">
        <v>4389.639569594408</v>
      </c>
      <c r="I89" s="167" t="n">
        <v>4385.148709677422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2025-02</t>
        </is>
      </c>
      <c r="B90" s="160" t="n">
        <v>8.325537146384832</v>
      </c>
      <c r="C90" s="160" t="n">
        <v>8.369514850488905</v>
      </c>
      <c r="D90" s="160" t="n">
        <v>8.368128619899991</v>
      </c>
      <c r="E90" s="160" t="n">
        <v>-0.0425914735151593</v>
      </c>
      <c r="F90" s="160" t="n">
        <v>0.0013862305889134</v>
      </c>
      <c r="G90" s="167" t="n">
        <v>4127.95392857143</v>
      </c>
      <c r="H90" s="167" t="n">
        <v>4313.542841775144</v>
      </c>
      <c r="I90" s="167" t="n">
        <v>4307.567419354838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2025-03</t>
        </is>
      </c>
      <c r="B91" s="160" t="n">
        <v>8.327891614734215</v>
      </c>
      <c r="C91" s="160" t="n">
        <v>8.306618824960367</v>
      </c>
      <c r="D91" s="160" t="n">
        <v>8.325537146384832</v>
      </c>
      <c r="E91" s="160" t="n">
        <v>0.0023544683493827</v>
      </c>
      <c r="F91" s="160" t="n">
        <v>-0.018918321424465</v>
      </c>
      <c r="G91" s="167" t="n">
        <v>4137.684516129031</v>
      </c>
      <c r="H91" s="167" t="n">
        <v>4050.594036243174</v>
      </c>
      <c r="I91" s="167" t="n">
        <v>4127.95392857143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2025-04</t>
        </is>
      </c>
      <c r="B92" s="160" t="n">
        <v>8.361768567132886</v>
      </c>
      <c r="C92" s="160" t="n">
        <v>8.292279106656062</v>
      </c>
      <c r="D92" s="160" t="n">
        <v>8.327891614734215</v>
      </c>
      <c r="E92" s="160" t="n">
        <v>0.0338769523986712</v>
      </c>
      <c r="F92" s="160" t="n">
        <v>-0.0356125080781524</v>
      </c>
      <c r="G92" s="167" t="n">
        <v>4280.258000000003</v>
      </c>
      <c r="H92" s="167" t="n">
        <v>3992.924132094977</v>
      </c>
      <c r="I92" s="167" t="n">
        <v>4137.684516129031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2025-05</t>
        </is>
      </c>
      <c r="B93" s="160" t="n">
        <v>8.34364355184035</v>
      </c>
      <c r="C93" s="160" t="n">
        <v>8.343148251911474</v>
      </c>
      <c r="D93" s="160" t="n">
        <v>8.361768567132886</v>
      </c>
      <c r="E93" s="160" t="n">
        <v>-0.0181250152925365</v>
      </c>
      <c r="F93" s="160" t="n">
        <v>-0.0186203152214119</v>
      </c>
      <c r="G93" s="167" t="n">
        <v>4203.377096774196</v>
      </c>
      <c r="H93" s="167" t="n">
        <v>4201.295679902492</v>
      </c>
      <c r="I93" s="167" t="n">
        <v>4280.258000000003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2025-06</t>
        </is>
      </c>
      <c r="B94" s="160" t="n">
        <v>8.322025880072617</v>
      </c>
      <c r="C94" s="160" t="n">
        <v>8.348855292427066</v>
      </c>
      <c r="D94" s="160" t="n">
        <v>8.34364355184035</v>
      </c>
      <c r="E94" s="160" t="n">
        <v>-0.0216176717677321</v>
      </c>
      <c r="F94" s="160" t="n">
        <v>0.0052117405867164</v>
      </c>
      <c r="G94" s="167" t="n">
        <v>4113.485000000001</v>
      </c>
      <c r="H94" s="167" t="n">
        <v>4225.341193662179</v>
      </c>
      <c r="I94" s="167" t="n">
        <v>4203.377096774196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2025-07</t>
        </is>
      </c>
      <c r="B95" s="160" t="n">
        <v>8.304209945715085</v>
      </c>
      <c r="C95" s="160" t="n">
        <v>8.317911787919194</v>
      </c>
      <c r="D95" s="160" t="n">
        <v>8.322025880072617</v>
      </c>
      <c r="E95" s="160" t="n">
        <v>-0.0178159343575323</v>
      </c>
      <c r="F95" s="160" t="n">
        <v>-0.0041140921534239</v>
      </c>
      <c r="G95" s="167" t="n">
        <v>4040.848387096774</v>
      </c>
      <c r="H95" s="167" t="n">
        <v>4096.596507865626</v>
      </c>
      <c r="I95" s="167" t="n">
        <v>4113.485000000001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2025-08</t>
        </is>
      </c>
      <c r="B96" s="160" t="n">
        <v>8.305832847858927</v>
      </c>
      <c r="C96" s="160" t="n">
        <v>8.294513983932132</v>
      </c>
      <c r="D96" s="160" t="n">
        <v>8.304209945715085</v>
      </c>
      <c r="E96" s="160" t="n">
        <v>0.0016229021438416</v>
      </c>
      <c r="F96" s="160" t="n">
        <v>-0.0096959617829526</v>
      </c>
      <c r="G96" s="167" t="n">
        <v>4047.411612903224</v>
      </c>
      <c r="H96" s="167" t="n">
        <v>4001.857806617558</v>
      </c>
      <c r="I96" s="167" t="n">
        <v>4040.848387096774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2025-09</t>
        </is>
      </c>
      <c r="B97" s="160" t="n">
        <v>8.274411059349477</v>
      </c>
      <c r="C97" s="160" t="n">
        <v>8.308557965842528</v>
      </c>
      <c r="D97" s="160" t="n">
        <v>8.305832847858927</v>
      </c>
      <c r="E97" s="160" t="n">
        <v>-0.0314217885094496</v>
      </c>
      <c r="F97" s="160" t="n">
        <v>0.0027251179836014</v>
      </c>
      <c r="G97" s="167" t="n">
        <v>3922.211999999997</v>
      </c>
      <c r="H97" s="167" t="n">
        <v>4058.456329319164</v>
      </c>
      <c r="I97" s="167" t="n">
        <v>4047.411612903224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2025-10</t>
        </is>
      </c>
      <c r="B98" s="160" t="n">
        <v>8.263034824354826</v>
      </c>
      <c r="C98" s="160" t="n">
        <v>8.263511406130791</v>
      </c>
      <c r="D98" s="160" t="n">
        <v>8.274411059349477</v>
      </c>
      <c r="E98" s="160" t="n">
        <v>-0.0113762349946515</v>
      </c>
      <c r="F98" s="160" t="n">
        <v>-0.0108996532186864</v>
      </c>
      <c r="G98" s="167" t="n">
        <v>3877.844838709677</v>
      </c>
      <c r="H98" s="167" t="n">
        <v>3879.69338934761</v>
      </c>
      <c r="I98" s="167" t="n">
        <v>3922.211999999997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2025-11</t>
        </is>
      </c>
      <c r="B99" s="160" t="n">
        <v>8.239113754615177</v>
      </c>
      <c r="C99" s="160" t="n">
        <v>8.263025080760176</v>
      </c>
      <c r="D99" s="160" t="n">
        <v>8.263034824354826</v>
      </c>
      <c r="E99" s="160" t="n">
        <v>-0.0239210697396483</v>
      </c>
      <c r="F99" s="160" t="n">
        <v>-9.743594649336274e-06</v>
      </c>
      <c r="G99" s="167" t="n">
        <v>3786.183333333337</v>
      </c>
      <c r="H99" s="167" t="n">
        <v>3877.807054745531</v>
      </c>
      <c r="I99" s="167" t="n">
        <v>3877.844838709677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2025-12</t>
        </is>
      </c>
      <c r="B100" s="160" t="n">
        <v>8.240509596157608</v>
      </c>
      <c r="C100" s="160" t="n">
        <v>8.242540744629979</v>
      </c>
      <c r="D100" s="160" t="n">
        <v>8.239113754615177</v>
      </c>
      <c r="E100" s="160" t="n">
        <v>0.0013958415424308</v>
      </c>
      <c r="F100" s="160" t="n">
        <v>0.0034269900148018</v>
      </c>
      <c r="G100" s="167" t="n">
        <v>3791.471935483873</v>
      </c>
      <c r="H100" s="167" t="n">
        <v>3799.180804191833</v>
      </c>
      <c r="I100" s="167" t="n">
        <v>3786.183333333337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2026-01</t>
        </is>
      </c>
      <c r="B101" s="160" t="n">
        <v>8.216898319573602</v>
      </c>
      <c r="C101" s="160" t="n">
        <v>8.217440328755835</v>
      </c>
      <c r="D101" s="160" t="n">
        <v>8.240509596157608</v>
      </c>
      <c r="E101" s="160" t="n">
        <v>-0.0236112765840061</v>
      </c>
      <c r="F101" s="160" t="n">
        <v>-0.0230692674017731</v>
      </c>
      <c r="G101" s="167" t="n">
        <v>3702.999032258066</v>
      </c>
      <c r="H101" s="167" t="n">
        <v>3705.006635755967</v>
      </c>
      <c r="I101" s="167" t="n">
        <v>3791.471935483873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2026-02</t>
        </is>
      </c>
      <c r="B102" s="160" t="n">
        <v>8.209482934803669</v>
      </c>
      <c r="C102" s="160" t="n">
        <v>8.180498190123437</v>
      </c>
      <c r="D102" s="160" t="n">
        <v>8.216898319573602</v>
      </c>
      <c r="E102" s="160" t="n">
        <v>-0.0074153847699331</v>
      </c>
      <c r="F102" s="160" t="n">
        <v>-0.036400129450164</v>
      </c>
      <c r="G102" s="167" t="n">
        <v>3675.64142857143</v>
      </c>
      <c r="H102" s="167" t="n">
        <v>3570.633071923642</v>
      </c>
      <c r="I102" s="167" t="n">
        <v>3702.999032258066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2026-03</t>
        </is>
      </c>
      <c r="B103" s="160" t="n">
        <v>8.220822123905636</v>
      </c>
      <c r="C103" s="160" t="n">
        <v>8.205860951137845</v>
      </c>
      <c r="D103" s="160" t="n">
        <v>8.209482934803669</v>
      </c>
      <c r="E103" s="160" t="n">
        <v>0.0113391891019674</v>
      </c>
      <c r="F103" s="160" t="n">
        <v>-0.0036219836658233</v>
      </c>
      <c r="G103" s="167" t="n">
        <v>3717.557419354841</v>
      </c>
      <c r="H103" s="167" t="n">
        <v>3662.352396212762</v>
      </c>
      <c r="I103" s="167" t="n">
        <v>3675.64142857143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2026-04</t>
        </is>
      </c>
      <c r="B104" s="160" t="n">
        <v>8.193543618593685</v>
      </c>
      <c r="C104" s="160" t="n">
        <v>8.220128070044682</v>
      </c>
      <c r="D104" s="160" t="n">
        <v>8.220822123905636</v>
      </c>
      <c r="E104" s="160" t="n">
        <v>-0.0272785053119513</v>
      </c>
      <c r="F104" s="160" t="n">
        <v>-0.0006940538609541</v>
      </c>
      <c r="G104" s="167" t="n">
        <v>3617.518666666665</v>
      </c>
      <c r="H104" s="167" t="n">
        <v>3714.978129461212</v>
      </c>
      <c r="I104" s="167" t="n">
        <v>3717.557419354841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7">
    <mergeCell ref="L7:P7"/>
    <mergeCell ref="H10:I10"/>
    <mergeCell ref="J10:K10"/>
    <mergeCell ref="A19:D19"/>
    <mergeCell ref="A55:I55"/>
    <mergeCell ref="H9:I9"/>
    <mergeCell ref="J9:K9"/>
    <mergeCell ref="H6:I6"/>
    <mergeCell ref="N19:P19"/>
    <mergeCell ref="J6:K6"/>
    <mergeCell ref="A5:F5"/>
    <mergeCell ref="F19:L19"/>
    <mergeCell ref="L8:P8"/>
    <mergeCell ref="A2:P3"/>
    <mergeCell ref="H11:I11"/>
    <mergeCell ref="J11:K11"/>
    <mergeCell ref="A1:P1"/>
    <mergeCell ref="H7:I7"/>
    <mergeCell ref="H5:P5"/>
    <mergeCell ref="J7:K7"/>
    <mergeCell ref="L10:P10"/>
    <mergeCell ref="L9:P9"/>
    <mergeCell ref="L6:P6"/>
    <mergeCell ref="A12:J12"/>
    <mergeCell ref="L11:P11"/>
    <mergeCell ref="H8:I8"/>
    <mergeCell ref="J8:K8"/>
  </mergeCells>
  <conditionalFormatting sqref="J21:J35">
    <cfRule type="cellIs" priority="1" operator="lessThan" dxfId="0">
      <formula>0.05</formula>
    </cfRule>
  </conditionalFormatting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4" t="inlineStr">
        <is>
          <t>ARDL–ECM exploratorio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prueba bounds no confirma cointegración al 5%: F = 3.402, límite superior = 3.627 y p-valor I(1) = 7,46%. Los coeficientes de largo plazo son exploratorios.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Prueba bounds</t>
        </is>
      </c>
      <c r="E5" s="1" t="n"/>
      <c r="F5" s="55" t="inlineStr">
        <is>
          <t>Dinámica de ajuste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6" t="inlineStr">
        <is>
          <t>F</t>
        </is>
      </c>
      <c r="B6" s="66" t="inlineStr">
        <is>
          <t>p-valor I(0)</t>
        </is>
      </c>
      <c r="C6" s="66" t="inlineStr">
        <is>
          <t>p-valor I(1)</t>
        </is>
      </c>
      <c r="D6" s="66" t="inlineStr">
        <is>
          <t>Decisión al 5%</t>
        </is>
      </c>
      <c r="E6" s="1" t="n"/>
      <c r="F6" s="66" t="inlineStr">
        <is>
          <t>Parámetro</t>
        </is>
      </c>
      <c r="G6" s="66" t="inlineStr">
        <is>
          <t>Valor</t>
        </is>
      </c>
      <c r="H6" s="66" t="inlineStr">
        <is>
          <t>Lectura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91" t="n">
        <v>3.402337018520937</v>
      </c>
      <c r="B7" s="191" t="n">
        <v>0.005477863835970709</v>
      </c>
      <c r="C7" s="191" t="n">
        <v>0.07457585870273797</v>
      </c>
      <c r="D7" s="133" t="inlineStr">
        <is>
          <t>No concluyente</t>
        </is>
      </c>
      <c r="E7" s="1" t="n"/>
      <c r="F7" s="67" t="inlineStr">
        <is>
          <t>Velocidad de ajuste</t>
        </is>
      </c>
      <c r="G7" s="192" t="n">
        <v>-0.09008642519372144</v>
      </c>
      <c r="H7" s="67" t="inlineStr">
        <is>
          <t>Negativa y significativa en la ecuación auxiliar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 t="n"/>
      <c r="B8" s="1" t="n"/>
      <c r="C8" s="1" t="n"/>
      <c r="D8" s="1" t="n"/>
      <c r="E8" s="1" t="n"/>
      <c r="F8" s="67" t="inlineStr">
        <is>
          <t>ARDL seleccionado</t>
        </is>
      </c>
      <c r="G8" s="67" t="inlineStr">
        <is>
          <t>(1,1)</t>
        </is>
      </c>
      <c r="H8" s="67" t="inlineStr">
        <is>
          <t>Un rezago común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67" t="inlineStr">
        <is>
          <t>Uso recomendado</t>
        </is>
      </c>
      <c r="G9" s="67" t="inlineStr">
        <is>
          <t>Robustez</t>
        </is>
      </c>
      <c r="H9" s="67" t="inlineStr">
        <is>
          <t>No usar sus coeficientes como elasticidades firmes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22" customHeight="1">
      <c r="A10" s="55" t="inlineStr">
        <is>
          <t>Valores críticos bounds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2" t="inlineStr">
        <is>
          <t>Percentil</t>
        </is>
      </c>
      <c r="B11" s="62" t="inlineStr">
        <is>
          <t>Límite inferior I(0)</t>
        </is>
      </c>
      <c r="C11" s="62" t="inlineStr">
        <is>
          <t>Límite superior I(1)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82" t="n">
        <v>0.9</v>
      </c>
      <c r="B12" s="193" t="n">
        <v>2.1343676</v>
      </c>
      <c r="C12" s="193" t="n">
        <v>3.2311014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82" t="n">
        <v>0.95</v>
      </c>
      <c r="B13" s="193" t="n">
        <v>2.4620175</v>
      </c>
      <c r="C13" s="193" t="n">
        <v>3.6271964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82" t="n">
        <v>0.99</v>
      </c>
      <c r="B14" s="193" t="n">
        <v>3.1585901</v>
      </c>
      <c r="C14" s="193" t="n">
        <v>4.4502999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82" t="n">
        <v>0.9990000000000001</v>
      </c>
      <c r="B15" s="193" t="n">
        <v>4.0720179</v>
      </c>
      <c r="C15" s="193" t="n">
        <v>5.5018575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Vector cointegrante normalizado (largo plazo exploratorio; invertir signo para efecto sobre ln TRM)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2" t="inlineStr">
        <is>
          <t>Variable</t>
        </is>
      </c>
      <c r="B19" s="62" t="inlineStr">
        <is>
          <t>Coeficiente</t>
        </is>
      </c>
      <c r="C19" s="62" t="inlineStr">
        <is>
          <t>EE</t>
        </is>
      </c>
      <c r="D19" s="62" t="inlineStr">
        <is>
          <t>t</t>
        </is>
      </c>
      <c r="E19" s="62" t="inlineStr">
        <is>
          <t>p-valor</t>
        </is>
      </c>
      <c r="F19" s="62" t="inlineStr">
        <is>
          <t>IC 95% inferior</t>
        </is>
      </c>
      <c r="G19" s="62" t="inlineStr">
        <is>
          <t>IC 95% superior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Intercepto</t>
        </is>
      </c>
      <c r="B20" s="160" t="n">
        <v>3.279529126045124</v>
      </c>
      <c r="C20" s="160" t="n">
        <v>3.127234173056725</v>
      </c>
      <c r="D20" s="160" t="n">
        <v>1.048699567912286</v>
      </c>
      <c r="E20" s="160" t="n">
        <v>0.2943164131903044</v>
      </c>
      <c r="F20" s="160" t="n">
        <v>-2.882302048187098</v>
      </c>
      <c r="G20" s="160" t="n">
        <v>9.441360300277346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 TRM (normalizado = 1)</t>
        </is>
      </c>
      <c r="B21" s="160" t="n">
        <v>1</v>
      </c>
      <c r="C21" s="160" t="n">
        <v>0</v>
      </c>
      <c r="D21" s="160" t="n"/>
      <c r="E21" s="160" t="n"/>
      <c r="F21" s="160" t="n">
        <v>1</v>
      </c>
      <c r="G21" s="160" t="n">
        <v>1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 términos de intercambio</t>
        </is>
      </c>
      <c r="B22" s="160" t="n">
        <v>-0.05375250528561829</v>
      </c>
      <c r="C22" s="160" t="n">
        <v>0.2921220022812623</v>
      </c>
      <c r="D22" s="160" t="n">
        <v>-0.1840070411192925</v>
      </c>
      <c r="E22" s="160" t="n">
        <v>0.8540079312263997</v>
      </c>
      <c r="F22" s="160" t="n">
        <v>-0.6293430625403684</v>
      </c>
      <c r="G22" s="160" t="n">
        <v>0.5218380519691319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 remesas 12m</t>
        </is>
      </c>
      <c r="B23" s="160" t="n">
        <v>0.05684520855940408</v>
      </c>
      <c r="C23" s="160" t="n">
        <v>0.2450568183406671</v>
      </c>
      <c r="D23" s="160" t="n">
        <v>0.2319674634817971</v>
      </c>
      <c r="E23" s="160" t="n">
        <v>0.8165632849541655</v>
      </c>
      <c r="F23" s="160" t="n">
        <v>-0.4260091794232305</v>
      </c>
      <c r="G23" s="160" t="n">
        <v>0.5396995965420387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Diferencial de tasas (pp)</t>
        </is>
      </c>
      <c r="B24" s="160" t="n">
        <v>-0.003615477585619545</v>
      </c>
      <c r="C24" s="160" t="n">
        <v>0.01226000702316628</v>
      </c>
      <c r="D24" s="160" t="n">
        <v>-0.2949001235307457</v>
      </c>
      <c r="E24" s="160" t="n">
        <v>0.7680701775748289</v>
      </c>
      <c r="F24" s="160" t="n">
        <v>-0.02777231691748549</v>
      </c>
      <c r="G24" s="160" t="n">
        <v>0.0205413617462464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Déficit fiscal 12m/PIB (pp)</t>
        </is>
      </c>
      <c r="B25" s="160" t="n">
        <v>-0.02442787920017356</v>
      </c>
      <c r="C25" s="160" t="n">
        <v>0.01516910461108314</v>
      </c>
      <c r="D25" s="160" t="n">
        <v>-1.610370541075022</v>
      </c>
      <c r="E25" s="160" t="n">
        <v>0.1073169877738034</v>
      </c>
      <c r="F25" s="160" t="n">
        <v>-0.05431673833424979</v>
      </c>
      <c r="G25" s="160" t="n">
        <v>0.005460979933902668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ln índice dólar amplio</t>
        </is>
      </c>
      <c r="B26" s="160" t="n">
        <v>-2.417382311501565</v>
      </c>
      <c r="C26" s="160" t="n">
        <v>0.7910248097559311</v>
      </c>
      <c r="D26" s="160" t="n">
        <v>-3.056013264928369</v>
      </c>
      <c r="E26" s="160" t="n">
        <v>0.002243013323397491</v>
      </c>
      <c r="F26" s="160" t="n">
        <v>-3.975999627192044</v>
      </c>
      <c r="G26" s="160" t="n">
        <v>-0.8587649958110855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10:C10"/>
    <mergeCell ref="A5:D5"/>
    <mergeCell ref="F5:H5"/>
    <mergeCell ref="A18:G18"/>
    <mergeCell ref="A2:H3"/>
    <mergeCell ref="A1:H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4" t="inlineStr">
        <is>
          <t>Diagnósticos y selección del modelo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Las pruebas se interpretan al 5%. No se detecta autocorrelación residual. El ampliado presenta ARCH y residuos no normales, mientras RESET no rechaza la forma funcional. HAC fortalece la inferencia de la media, pero no modela la volatilidad condicional.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Diagnósticos del modelo principal</t>
        </is>
      </c>
      <c r="E5" s="1" t="n"/>
      <c r="F5" s="55" t="inlineStr">
        <is>
          <t>Selección de rezagos de Δln(TRM)</t>
        </is>
      </c>
      <c r="J5" s="55" t="inlineStr">
        <is>
          <t>Criterios de decisión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Prueba</t>
        </is>
      </c>
      <c r="B6" s="62" t="inlineStr">
        <is>
          <t>Estadístico</t>
        </is>
      </c>
      <c r="C6" s="62" t="inlineStr">
        <is>
          <t>p-valor</t>
        </is>
      </c>
      <c r="D6" s="62" t="inlineStr">
        <is>
          <t>Lectura</t>
        </is>
      </c>
      <c r="E6" s="1" t="n"/>
      <c r="F6" s="62" t="inlineStr">
        <is>
          <t>p</t>
        </is>
      </c>
      <c r="G6" s="62" t="inlineStr">
        <is>
          <t>AIC</t>
        </is>
      </c>
      <c r="H6" s="62" t="inlineStr">
        <is>
          <t>BIC</t>
        </is>
      </c>
      <c r="I6" s="62" t="inlineStr">
        <is>
          <t>R² ajustado</t>
        </is>
      </c>
      <c r="J6" s="66" t="inlineStr">
        <is>
          <t>Elemento</t>
        </is>
      </c>
      <c r="K6" s="66" t="inlineStr">
        <is>
          <t>Criterio</t>
        </is>
      </c>
      <c r="L6" s="66" t="inlineStr">
        <is>
          <t>Resultado</t>
        </is>
      </c>
      <c r="M6" s="66" t="inlineStr">
        <is>
          <t>Implicación</t>
        </is>
      </c>
      <c r="N6" s="66" t="inlineStr">
        <is>
          <t>Acción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1" t="inlineStr">
        <is>
          <t>Ljung-Box (6)</t>
        </is>
      </c>
      <c r="B7" s="161" t="n">
        <v>2.577445559636761</v>
      </c>
      <c r="C7" s="161" t="n">
        <v>0.8597015787568743</v>
      </c>
      <c r="D7" s="1" t="inlineStr">
        <is>
          <t>Sin autocorrelación detectada</t>
        </is>
      </c>
      <c r="E7" s="1" t="n"/>
      <c r="F7" s="29" t="n">
        <v>0</v>
      </c>
      <c r="G7" s="194" t="n">
        <v>-1103.307429112625</v>
      </c>
      <c r="H7" s="194" t="n">
        <v>-1075.462317725889</v>
      </c>
      <c r="I7" s="181" t="n">
        <v>0.4792107613916473</v>
      </c>
      <c r="J7" s="67" t="inlineStr">
        <is>
          <t>BIC</t>
        </is>
      </c>
      <c r="K7" s="67" t="inlineStr">
        <is>
          <t>Mínimo</t>
        </is>
      </c>
      <c r="L7" s="67" t="inlineStr">
        <is>
          <t>p=0</t>
        </is>
      </c>
      <c r="M7" s="67" t="inlineStr">
        <is>
          <t>Modelo parsimonioso</t>
        </is>
      </c>
      <c r="N7" s="67" t="inlineStr">
        <is>
          <t>No agregar rezagos de TRM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Ljung-Box (12)</t>
        </is>
      </c>
      <c r="B8" s="161" t="n">
        <v>5.001117093519676</v>
      </c>
      <c r="C8" s="161" t="n">
        <v>0.9579416399340056</v>
      </c>
      <c r="D8" s="1" t="inlineStr">
        <is>
          <t>Sin autocorrelación detectada</t>
        </is>
      </c>
      <c r="E8" s="1" t="n"/>
      <c r="F8" s="1" t="n">
        <v>1</v>
      </c>
      <c r="G8" s="190" t="n">
        <v>-1102.428592188504</v>
      </c>
      <c r="H8" s="190" t="n">
        <v>-1071.102841878426</v>
      </c>
      <c r="I8" s="182" t="n">
        <v>0.4793939697228567</v>
      </c>
      <c r="J8" s="67" t="inlineStr">
        <is>
          <t>Autocorrelación</t>
        </is>
      </c>
      <c r="K8" s="67" t="inlineStr">
        <is>
          <t>p&gt;0,05</t>
        </is>
      </c>
      <c r="L8" s="67" t="inlineStr">
        <is>
          <t>Cumple</t>
        </is>
      </c>
      <c r="M8" s="67" t="inlineStr">
        <is>
          <t>Dinámica adecuada</t>
        </is>
      </c>
      <c r="N8" s="67" t="inlineStr">
        <is>
          <t>Mantener especificación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inlineStr">
        <is>
          <t>Breusch-Godfrey (12)</t>
        </is>
      </c>
      <c r="B9" s="161" t="n">
        <v>5.17056771108324</v>
      </c>
      <c r="C9" s="161" t="n">
        <v>0.9520377178544844</v>
      </c>
      <c r="D9" s="1" t="inlineStr">
        <is>
          <t>Sin autocorrelación detectada</t>
        </is>
      </c>
      <c r="E9" s="1" t="n"/>
      <c r="F9" s="1" t="n">
        <v>2</v>
      </c>
      <c r="G9" s="190" t="n">
        <v>-1100.462948572275</v>
      </c>
      <c r="H9" s="190" t="n">
        <v>-1065.656559338855</v>
      </c>
      <c r="I9" s="182" t="n">
        <v>0.4772053094962182</v>
      </c>
      <c r="J9" s="67" t="inlineStr">
        <is>
          <t>ARCH</t>
        </is>
      </c>
      <c r="K9" s="67" t="inlineStr">
        <is>
          <t>p&gt;0,05</t>
        </is>
      </c>
      <c r="L9" s="67" t="inlineStr">
        <is>
          <t>Cumple</t>
        </is>
      </c>
      <c r="M9" s="67" t="inlineStr">
        <is>
          <t>Sin ARCH detectado</t>
        </is>
      </c>
      <c r="N9" s="67" t="inlineStr">
        <is>
          <t>Mantener HAC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1" t="inlineStr">
        <is>
          <t>ARCH-LM (12)</t>
        </is>
      </c>
      <c r="B10" s="161" t="n">
        <v>19.35556084828727</v>
      </c>
      <c r="C10" s="161" t="n">
        <v>0.0803014353379817</v>
      </c>
      <c r="D10" s="1" t="inlineStr">
        <is>
          <t>Sin ARCH detectado</t>
        </is>
      </c>
      <c r="E10" s="1" t="n"/>
      <c r="F10" s="1" t="n">
        <v>3</v>
      </c>
      <c r="G10" s="190" t="n">
        <v>-1098.505926205641</v>
      </c>
      <c r="H10" s="190" t="n">
        <v>-1060.218898048879</v>
      </c>
      <c r="I10" s="182" t="n">
        <v>0.4750163823067373</v>
      </c>
      <c r="J10" s="136" t="inlineStr">
        <is>
          <t>Normalidad</t>
        </is>
      </c>
      <c r="K10" s="136" t="inlineStr">
        <is>
          <t>p&gt;0,05</t>
        </is>
      </c>
      <c r="L10" s="136" t="inlineStr">
        <is>
          <t>No cumple</t>
        </is>
      </c>
      <c r="M10" s="136" t="inlineStr">
        <is>
          <t>Colas extremas</t>
        </is>
      </c>
      <c r="N10" s="136" t="inlineStr">
        <is>
          <t>No basar conclusiones en normalidad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1" t="inlineStr">
        <is>
          <t>Jarque-Bera</t>
        </is>
      </c>
      <c r="B11" s="161" t="n">
        <v>23.61452710218837</v>
      </c>
      <c r="C11" s="161" t="n">
        <v>7.450245663916035e-06</v>
      </c>
      <c r="D11" s="1" t="inlineStr">
        <is>
          <t>Residuos no normales</t>
        </is>
      </c>
      <c r="E11" s="1" t="n"/>
      <c r="F11" s="1" t="n"/>
      <c r="G11" s="1" t="n"/>
      <c r="H11" s="1" t="n"/>
      <c r="I11" s="1" t="n"/>
      <c r="J11" s="136" t="inlineStr">
        <is>
          <t>Bounds</t>
        </is>
      </c>
      <c r="K11" s="136" t="inlineStr">
        <is>
          <t>p I(1)&lt;0,05</t>
        </is>
      </c>
      <c r="L11" s="136" t="inlineStr">
        <is>
          <t>No cumple</t>
        </is>
      </c>
      <c r="M11" s="136" t="inlineStr">
        <is>
          <t>Sin cointegración firme</t>
        </is>
      </c>
      <c r="N11" s="136" t="inlineStr">
        <is>
          <t>Usar diferencias como modelo principal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Ramsey RESET</t>
        </is>
      </c>
      <c r="B12" s="161" t="n">
        <v>0.0016899055930778</v>
      </c>
      <c r="C12" s="161" t="n">
        <v>0.9672449373713804</v>
      </c>
      <c r="D12" s="1" t="inlineStr">
        <is>
          <t>Sin evidencia de mala forma funcional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CUSUM estabilidad</t>
        </is>
      </c>
      <c r="B13" s="161" t="n">
        <v>0.921025266401354</v>
      </c>
      <c r="C13" s="161" t="n">
        <v>0.3643627357974383</v>
      </c>
      <c r="D13" s="1" t="inlineStr">
        <is>
          <t>Sin inestabilidad detectada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2" customHeight="1">
      <c r="A14" s="1" t="inlineStr">
        <is>
          <t>Durbin-Watson</t>
        </is>
      </c>
      <c r="B14" s="161" t="n">
        <v>1.926470798253057</v>
      </c>
      <c r="C14" s="161" t="n"/>
      <c r="D14" s="1" t="inlineStr">
        <is>
          <t>Cercano a 2</t>
        </is>
      </c>
      <c r="E14" s="1" t="n"/>
      <c r="F14" s="1" t="n"/>
      <c r="G14" s="1" t="n"/>
      <c r="H14" s="1" t="n"/>
      <c r="I14" s="1" t="n"/>
      <c r="J14" s="55" t="inlineStr">
        <is>
          <t>Diagnósticos del marco macroeconómico integral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62" t="inlineStr">
        <is>
          <t>Prueba</t>
        </is>
      </c>
      <c r="K15" s="62" t="inlineStr">
        <is>
          <t>Estadístico</t>
        </is>
      </c>
      <c r="L15" s="62" t="inlineStr">
        <is>
          <t>p-valor</t>
        </is>
      </c>
      <c r="M15" s="62" t="inlineStr">
        <is>
          <t>Lectura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inlineStr">
        <is>
          <t>Ljung-Box (6)</t>
        </is>
      </c>
      <c r="K16" s="161" t="n">
        <v>4.008262823614989</v>
      </c>
      <c r="L16" s="161" t="n">
        <v>0.6755581661977308</v>
      </c>
      <c r="M16" s="1" t="inlineStr">
        <is>
          <t>Sin autocorrelación detectada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2" customHeight="1">
      <c r="A17" s="55" t="inlineStr">
        <is>
          <t>Pruebas de integración</t>
        </is>
      </c>
      <c r="I17" s="1" t="n"/>
      <c r="J17" s="1" t="inlineStr">
        <is>
          <t>Ljung-Box (12)</t>
        </is>
      </c>
      <c r="K17" s="161" t="n">
        <v>7.188651043327701</v>
      </c>
      <c r="L17" s="161" t="n">
        <v>0.8448989334977043</v>
      </c>
      <c r="M17" s="1" t="inlineStr">
        <is>
          <t>Sin autocorrelación detectada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2" t="inlineStr">
        <is>
          <t>Variable</t>
        </is>
      </c>
      <c r="B18" s="62" t="inlineStr">
        <is>
          <t>Transformación</t>
        </is>
      </c>
      <c r="C18" s="62" t="inlineStr">
        <is>
          <t>n</t>
        </is>
      </c>
      <c r="D18" s="62" t="inlineStr">
        <is>
          <t>ADF</t>
        </is>
      </c>
      <c r="E18" s="62" t="inlineStr">
        <is>
          <t>p ADF</t>
        </is>
      </c>
      <c r="F18" s="62" t="inlineStr">
        <is>
          <t>Rezagos ADF</t>
        </is>
      </c>
      <c r="G18" s="62" t="inlineStr">
        <is>
          <t>KPSS</t>
        </is>
      </c>
      <c r="H18" s="62" t="inlineStr">
        <is>
          <t>p KPSS</t>
        </is>
      </c>
      <c r="I18" s="1" t="n"/>
      <c r="J18" s="1" t="inlineStr">
        <is>
          <t>Breusch-Godfrey (12)</t>
        </is>
      </c>
      <c r="K18" s="161" t="n">
        <v>8.38793047541043</v>
      </c>
      <c r="L18" s="161" t="n">
        <v>0.7541278932588411</v>
      </c>
      <c r="M18" s="1" t="inlineStr">
        <is>
          <t>Sin autocorrelación detectada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ln_trm</t>
        </is>
      </c>
      <c r="B19" s="1" t="inlineStr">
        <is>
          <t>nivel</t>
        </is>
      </c>
      <c r="C19" s="1" t="n">
        <v>244</v>
      </c>
      <c r="D19" s="161" t="n">
        <v>-0.9830678205378037</v>
      </c>
      <c r="E19" s="161" t="n">
        <v>0.7593897217357208</v>
      </c>
      <c r="F19" s="161" t="n">
        <v>1</v>
      </c>
      <c r="G19" s="161" t="n">
        <v>1.974229356626593</v>
      </c>
      <c r="H19" s="161" t="n">
        <v>0.01</v>
      </c>
      <c r="I19" s="1" t="n"/>
      <c r="J19" s="1" t="inlineStr">
        <is>
          <t>ARCH-LM (12)</t>
        </is>
      </c>
      <c r="K19" s="161" t="n">
        <v>15.40164838473681</v>
      </c>
      <c r="L19" s="161" t="n">
        <v>0.2202027503497359</v>
      </c>
      <c r="M19" s="1" t="inlineStr">
        <is>
          <t>Sin ARCH detectado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ln_trm</t>
        </is>
      </c>
      <c r="B20" s="1" t="inlineStr">
        <is>
          <t>primera_diferencia</t>
        </is>
      </c>
      <c r="C20" s="1" t="n">
        <v>243</v>
      </c>
      <c r="D20" s="161" t="n">
        <v>-11.74530099877616</v>
      </c>
      <c r="E20" s="161" t="n">
        <v>1.245614971037777e-21</v>
      </c>
      <c r="F20" s="161" t="n">
        <v>0</v>
      </c>
      <c r="G20" s="161" t="n">
        <v>0.129921498750035</v>
      </c>
      <c r="H20" s="161" t="n">
        <v>0.1</v>
      </c>
      <c r="I20" s="1" t="n"/>
      <c r="J20" s="1" t="inlineStr">
        <is>
          <t>Jarque-Bera</t>
        </is>
      </c>
      <c r="K20" s="161" t="n">
        <v>14.14494814442061</v>
      </c>
      <c r="L20" s="161" t="n">
        <v>0.0008481321710669</v>
      </c>
      <c r="M20" s="1" t="inlineStr">
        <is>
          <t>Residuos no normales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ln_terminos_intercambio</t>
        </is>
      </c>
      <c r="B21" s="1" t="inlineStr">
        <is>
          <t>nivel</t>
        </is>
      </c>
      <c r="C21" s="1" t="n">
        <v>244</v>
      </c>
      <c r="D21" s="161" t="n">
        <v>-2.076491445420829</v>
      </c>
      <c r="E21" s="161" t="n">
        <v>0.2540719588424747</v>
      </c>
      <c r="F21" s="161" t="n">
        <v>0</v>
      </c>
      <c r="G21" s="161" t="n">
        <v>0.2107598906252458</v>
      </c>
      <c r="H21" s="161" t="n">
        <v>0.1</v>
      </c>
      <c r="I21" s="1" t="n"/>
      <c r="J21" s="1" t="inlineStr">
        <is>
          <t>Ramsey RESET</t>
        </is>
      </c>
      <c r="K21" s="161" t="n">
        <v>1.968523889822157</v>
      </c>
      <c r="L21" s="161" t="n">
        <v>0.1621100491049683</v>
      </c>
      <c r="M21" s="1" t="inlineStr">
        <is>
          <t>Sin evidencia de mala forma funcional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ln_terminos_intercambio</t>
        </is>
      </c>
      <c r="B22" s="1" t="inlineStr">
        <is>
          <t>primera_diferencia</t>
        </is>
      </c>
      <c r="C22" s="1" t="n">
        <v>243</v>
      </c>
      <c r="D22" s="161" t="n">
        <v>-14.4791831599024</v>
      </c>
      <c r="E22" s="161" t="n">
        <v>6.414520627780299e-27</v>
      </c>
      <c r="F22" s="161" t="n">
        <v>0</v>
      </c>
      <c r="G22" s="161" t="n">
        <v>0.06679702113236356</v>
      </c>
      <c r="H22" s="161" t="n">
        <v>0.1</v>
      </c>
      <c r="I22" s="1" t="n"/>
      <c r="J22" s="1" t="inlineStr">
        <is>
          <t>CUSUM estabilidad</t>
        </is>
      </c>
      <c r="K22" s="161" t="n">
        <v>0.6933061673039969</v>
      </c>
      <c r="L22" s="161" t="n">
        <v>0.7223479053510613</v>
      </c>
      <c r="M22" s="1" t="inlineStr">
        <is>
          <t>Sin inestabilidad detectada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ln_remesas_12m</t>
        </is>
      </c>
      <c r="B23" s="1" t="inlineStr">
        <is>
          <t>nivel</t>
        </is>
      </c>
      <c r="C23" s="1" t="n">
        <v>244</v>
      </c>
      <c r="D23" s="161" t="n">
        <v>1.644898971787</v>
      </c>
      <c r="E23" s="161" t="n">
        <v>0.99798621626656</v>
      </c>
      <c r="F23" s="161" t="n">
        <v>13</v>
      </c>
      <c r="G23" s="161" t="n">
        <v>2.078890294373042</v>
      </c>
      <c r="H23" s="161" t="n">
        <v>0.01</v>
      </c>
      <c r="I23" s="1" t="n"/>
      <c r="J23" s="1" t="inlineStr">
        <is>
          <t>Durbin-Watson</t>
        </is>
      </c>
      <c r="K23" s="161" t="n">
        <v>1.840155922114233</v>
      </c>
      <c r="L23" s="161" t="n"/>
      <c r="M23" s="1" t="inlineStr">
        <is>
          <t>Cercano a 2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ln_remesas_12m</t>
        </is>
      </c>
      <c r="B24" s="1" t="inlineStr">
        <is>
          <t>primera_diferencia</t>
        </is>
      </c>
      <c r="C24" s="1" t="n">
        <v>243</v>
      </c>
      <c r="D24" s="161" t="n">
        <v>-4.631700848954859</v>
      </c>
      <c r="E24" s="161" t="n">
        <v>0.0001128628575445813</v>
      </c>
      <c r="F24" s="161" t="n">
        <v>2</v>
      </c>
      <c r="G24" s="161" t="n">
        <v>0.3213722223498939</v>
      </c>
      <c r="H24" s="161" t="n">
        <v>0.1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A25" s="1" t="inlineStr">
        <is>
          <t>diferencial_tasas_pp</t>
        </is>
      </c>
      <c r="B25" s="1" t="inlineStr">
        <is>
          <t>nivel</t>
        </is>
      </c>
      <c r="C25" s="1" t="n">
        <v>244</v>
      </c>
      <c r="D25" s="161" t="n">
        <v>-2.932782232352109</v>
      </c>
      <c r="E25" s="161" t="n">
        <v>0.04166652507524612</v>
      </c>
      <c r="F25" s="161" t="n">
        <v>4</v>
      </c>
      <c r="G25" s="161" t="n">
        <v>0.1499946175857981</v>
      </c>
      <c r="H25" s="161" t="n">
        <v>0.1</v>
      </c>
      <c r="I25" s="1" t="n"/>
      <c r="J25" s="115" t="inlineStr">
        <is>
          <t>HAC protege la inferencia sobre la ecuación de media frente a heterocedasticidad y autocorrelación moderadas; no modela la dinámica de volatilidad detectada por ARCH-LM.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A26" s="1" t="inlineStr">
        <is>
          <t>diferencial_tasas_pp</t>
        </is>
      </c>
      <c r="B26" s="1" t="inlineStr">
        <is>
          <t>primera_diferencia</t>
        </is>
      </c>
      <c r="C26" s="1" t="n">
        <v>243</v>
      </c>
      <c r="D26" s="161" t="n">
        <v>-4.394716711033061</v>
      </c>
      <c r="E26" s="161" t="n">
        <v>0.0003032888512009237</v>
      </c>
      <c r="F26" s="161" t="n">
        <v>3</v>
      </c>
      <c r="G26" s="161" t="n">
        <v>0.05838852614610807</v>
      </c>
      <c r="H26" s="161" t="n">
        <v>0.1</v>
      </c>
      <c r="I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6" customHeight="1">
      <c r="A27" s="1" t="inlineStr">
        <is>
          <t>deficit_fiscal_12m_pct_pib</t>
        </is>
      </c>
      <c r="B27" s="1" t="inlineStr">
        <is>
          <t>nivel</t>
        </is>
      </c>
      <c r="C27" s="1" t="n">
        <v>244</v>
      </c>
      <c r="D27" s="161" t="n">
        <v>-1.955309330310248</v>
      </c>
      <c r="E27" s="161" t="n">
        <v>0.3065053946526129</v>
      </c>
      <c r="F27" s="161" t="n">
        <v>0</v>
      </c>
      <c r="G27" s="161" t="n">
        <v>1.341892250122795</v>
      </c>
      <c r="H27" s="161" t="n">
        <v>0.01</v>
      </c>
      <c r="I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deficit_fiscal_12m_pct_pib</t>
        </is>
      </c>
      <c r="B28" s="1" t="inlineStr">
        <is>
          <t>primera_diferencia</t>
        </is>
      </c>
      <c r="C28" s="1" t="n">
        <v>243</v>
      </c>
      <c r="D28" s="161" t="n">
        <v>-15.88095545788715</v>
      </c>
      <c r="E28" s="161" t="n">
        <v>8.759313860264154e-29</v>
      </c>
      <c r="F28" s="161" t="n">
        <v>0</v>
      </c>
      <c r="G28" s="161" t="n">
        <v>0.0525732780697349</v>
      </c>
      <c r="H28" s="161" t="n">
        <v>0.1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ln_dolar_amplio</t>
        </is>
      </c>
      <c r="B29" s="1" t="inlineStr">
        <is>
          <t>nivel</t>
        </is>
      </c>
      <c r="C29" s="1" t="n">
        <v>244</v>
      </c>
      <c r="D29" s="161" t="n">
        <v>-1.200063175314611</v>
      </c>
      <c r="E29" s="161" t="n">
        <v>0.6735685349165561</v>
      </c>
      <c r="F29" s="161" t="n">
        <v>1</v>
      </c>
      <c r="G29" s="161" t="n">
        <v>1.969019643962784</v>
      </c>
      <c r="H29" s="161" t="n">
        <v>0.01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ln_dolar_amplio</t>
        </is>
      </c>
      <c r="B30" s="1" t="inlineStr">
        <is>
          <t>primera_diferencia</t>
        </is>
      </c>
      <c r="C30" s="1" t="n">
        <v>243</v>
      </c>
      <c r="D30" s="161" t="n">
        <v>-10.16632284164768</v>
      </c>
      <c r="E30" s="161" t="n">
        <v>7.282951599038886e-18</v>
      </c>
      <c r="F30" s="161" t="n">
        <v>0</v>
      </c>
      <c r="G30" s="161" t="n">
        <v>0.09611315770471171</v>
      </c>
      <c r="H30" s="161" t="n">
        <v>0.1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ln_vix</t>
        </is>
      </c>
      <c r="B31" s="1" t="inlineStr">
        <is>
          <t>nivel</t>
        </is>
      </c>
      <c r="C31" s="1" t="n">
        <v>244</v>
      </c>
      <c r="D31" s="161" t="n">
        <v>-4.478194746429898</v>
      </c>
      <c r="E31" s="161" t="n">
        <v>0.0002152703697225215</v>
      </c>
      <c r="F31" s="161" t="n">
        <v>0</v>
      </c>
      <c r="G31" s="161" t="n">
        <v>0.1720089947470517</v>
      </c>
      <c r="H31" s="161" t="n">
        <v>0.1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ln_vix</t>
        </is>
      </c>
      <c r="B32" s="1" t="inlineStr">
        <is>
          <t>primera_diferencia</t>
        </is>
      </c>
      <c r="C32" s="1" t="n">
        <v>243</v>
      </c>
      <c r="D32" s="161" t="n">
        <v>-12.98983843276525</v>
      </c>
      <c r="E32" s="161" t="n">
        <v>2.827622901866679e-24</v>
      </c>
      <c r="F32" s="161" t="n">
        <v>1</v>
      </c>
      <c r="G32" s="161" t="n">
        <v>0.05050536286365415</v>
      </c>
      <c r="H32" s="161" t="n">
        <v>0.1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embig_colombia_pp</t>
        </is>
      </c>
      <c r="B33" s="1" t="inlineStr">
        <is>
          <t>nivel</t>
        </is>
      </c>
      <c r="C33" s="1" t="n">
        <v>244</v>
      </c>
      <c r="D33" s="161" t="n">
        <v>-3.407023691402668</v>
      </c>
      <c r="E33" s="161" t="n">
        <v>0.01072175211899083</v>
      </c>
      <c r="F33" s="161" t="n">
        <v>1</v>
      </c>
      <c r="G33" s="161" t="n">
        <v>0.6910865472533331</v>
      </c>
      <c r="H33" s="161" t="n">
        <v>0.01435576843151517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embig_colombia_pp</t>
        </is>
      </c>
      <c r="B34" s="1" t="inlineStr">
        <is>
          <t>primera_diferencia</t>
        </is>
      </c>
      <c r="C34" s="1" t="n">
        <v>243</v>
      </c>
      <c r="D34" s="161" t="n">
        <v>-12.79267099379678</v>
      </c>
      <c r="E34" s="161" t="n">
        <v>7.022409543207317e-24</v>
      </c>
      <c r="F34" s="161" t="n">
        <v>0</v>
      </c>
      <c r="G34" s="161" t="n">
        <v>0.02744301407724029</v>
      </c>
      <c r="H34" s="161" t="n">
        <v>0.1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ln_reservas_netas_sin_flar</t>
        </is>
      </c>
      <c r="B35" s="1" t="inlineStr">
        <is>
          <t>nivel</t>
        </is>
      </c>
      <c r="C35" s="1" t="n">
        <v>244</v>
      </c>
      <c r="D35" s="161" t="n">
        <v>-3.275473245529521</v>
      </c>
      <c r="E35" s="161" t="n">
        <v>0.01601105711707531</v>
      </c>
      <c r="F35" s="161" t="n">
        <v>1</v>
      </c>
      <c r="G35" s="161" t="n">
        <v>2.103662394457461</v>
      </c>
      <c r="H35" s="161" t="n">
        <v>0.01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ln_reservas_netas_sin_flar</t>
        </is>
      </c>
      <c r="B36" s="1" t="inlineStr">
        <is>
          <t>primera_diferencia</t>
        </is>
      </c>
      <c r="C36" s="1" t="n">
        <v>243</v>
      </c>
      <c r="D36" s="161" t="n">
        <v>-10.03838957727374</v>
      </c>
      <c r="E36" s="161" t="n">
        <v>1.519081917348034e-17</v>
      </c>
      <c r="F36" s="161" t="n">
        <v>0</v>
      </c>
      <c r="G36" s="161" t="n">
        <v>0.8278384681596641</v>
      </c>
      <c r="H36" s="161" t="n">
        <v>0.01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asinh_balanza_comercial</t>
        </is>
      </c>
      <c r="B37" s="1" t="inlineStr">
        <is>
          <t>nivel</t>
        </is>
      </c>
      <c r="C37" s="1" t="n">
        <v>244</v>
      </c>
      <c r="D37" s="161" t="n">
        <v>-0.826333786735681</v>
      </c>
      <c r="E37" s="161" t="n">
        <v>0.811264081613728</v>
      </c>
      <c r="F37" s="161" t="n">
        <v>4</v>
      </c>
      <c r="G37" s="161" t="n">
        <v>2.029481510290614</v>
      </c>
      <c r="H37" s="161" t="n">
        <v>0.01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asinh_balanza_comercial</t>
        </is>
      </c>
      <c r="B38" s="1" t="inlineStr">
        <is>
          <t>primera_diferencia</t>
        </is>
      </c>
      <c r="C38" s="1" t="n">
        <v>243</v>
      </c>
      <c r="D38" s="161" t="n">
        <v>-12.23667233815718</v>
      </c>
      <c r="E38" s="161" t="n">
        <v>1.024408826545367e-22</v>
      </c>
      <c r="F38" s="161" t="n">
        <v>3</v>
      </c>
      <c r="G38" s="161" t="n">
        <v>0.1383143019076817</v>
      </c>
      <c r="H38" s="161" t="n">
        <v>0.1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asinh_flujos_capital</t>
        </is>
      </c>
      <c r="B39" s="1" t="inlineStr">
        <is>
          <t>nivel</t>
        </is>
      </c>
      <c r="C39" s="1" t="n">
        <v>244</v>
      </c>
      <c r="D39" s="161" t="n">
        <v>-0.5111787624352627</v>
      </c>
      <c r="E39" s="161" t="n">
        <v>0.8898165130942963</v>
      </c>
      <c r="F39" s="161" t="n">
        <v>5</v>
      </c>
      <c r="G39" s="161" t="n">
        <v>2.180823721122012</v>
      </c>
      <c r="H39" s="161" t="n">
        <v>0.01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asinh_flujos_capital</t>
        </is>
      </c>
      <c r="B40" s="1" t="inlineStr">
        <is>
          <t>primera_diferencia</t>
        </is>
      </c>
      <c r="C40" s="1" t="n">
        <v>243</v>
      </c>
      <c r="D40" s="161" t="n">
        <v>-11.98940681234833</v>
      </c>
      <c r="E40" s="161" t="n">
        <v>3.549993086260052e-22</v>
      </c>
      <c r="F40" s="161" t="n">
        <v>4</v>
      </c>
      <c r="G40" s="161" t="n">
        <v>0.5000000000000011</v>
      </c>
      <c r="H40" s="161" t="n">
        <v>0.04166666666666642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diferencial_bei_5y_pp</t>
        </is>
      </c>
      <c r="B41" s="1" t="inlineStr">
        <is>
          <t>nivel</t>
        </is>
      </c>
      <c r="C41" s="1" t="n">
        <v>244</v>
      </c>
      <c r="D41" s="161" t="n">
        <v>-3.341150215276797</v>
      </c>
      <c r="E41" s="161" t="n">
        <v>0.01313631669766349</v>
      </c>
      <c r="F41" s="161" t="n">
        <v>1</v>
      </c>
      <c r="G41" s="161" t="n">
        <v>0.3040335176448475</v>
      </c>
      <c r="H41" s="161" t="n">
        <v>0.1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diferencial_bei_5y_pp</t>
        </is>
      </c>
      <c r="B42" s="1" t="inlineStr">
        <is>
          <t>primera_diferencia</t>
        </is>
      </c>
      <c r="C42" s="1" t="n">
        <v>243</v>
      </c>
      <c r="D42" s="161" t="n">
        <v>-11.27020455269189</v>
      </c>
      <c r="E42" s="161" t="n">
        <v>1.543594923867477e-20</v>
      </c>
      <c r="F42" s="161" t="n">
        <v>1</v>
      </c>
      <c r="G42" s="161" t="n">
        <v>0.05972588778441204</v>
      </c>
      <c r="H42" s="161" t="n">
        <v>0.1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diferencial_bei_5y_comun_pp</t>
        </is>
      </c>
      <c r="B43" s="1" t="inlineStr">
        <is>
          <t>nivel</t>
        </is>
      </c>
      <c r="C43" s="1" t="n">
        <v>244</v>
      </c>
      <c r="D43" s="161" t="n">
        <v>-3.299255735684394</v>
      </c>
      <c r="E43" s="161" t="n">
        <v>0.01491177592434478</v>
      </c>
      <c r="F43" s="161" t="n">
        <v>1</v>
      </c>
      <c r="G43" s="161" t="n">
        <v>0.3038202074951382</v>
      </c>
      <c r="H43" s="161" t="n">
        <v>0.1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diferencial_bei_5y_comun_pp</t>
        </is>
      </c>
      <c r="B44" s="1" t="inlineStr">
        <is>
          <t>primera_diferencia</t>
        </is>
      </c>
      <c r="C44" s="1" t="n">
        <v>243</v>
      </c>
      <c r="D44" s="161" t="n">
        <v>-11.7692983799474</v>
      </c>
      <c r="E44" s="161" t="n">
        <v>1.099691156971934e-21</v>
      </c>
      <c r="F44" s="161" t="n">
        <v>0</v>
      </c>
      <c r="G44" s="161" t="n">
        <v>0.05745705189095292</v>
      </c>
      <c r="H44" s="161" t="n">
        <v>0.1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8">
    <mergeCell ref="A5:D5"/>
    <mergeCell ref="J25:N27"/>
    <mergeCell ref="J5:N5"/>
    <mergeCell ref="A2:N3"/>
    <mergeCell ref="A17:H17"/>
    <mergeCell ref="J14:M14"/>
    <mergeCell ref="F5:I5"/>
    <mergeCell ref="A1:N1"/>
  </mergeCells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1" customWidth="1" min="4" max="4"/>
    <col width="21" customWidth="1" min="5" max="5"/>
    <col width="21" customWidth="1" min="6" max="6"/>
    <col width="21" customWidth="1" min="7" max="7"/>
    <col width="31" customWidth="1" min="8" max="8"/>
    <col width="31" customWidth="1" min="9" max="9"/>
  </cols>
  <sheetData>
    <row r="1" ht="30" customHeight="1">
      <c r="A1" s="4" t="inlineStr">
        <is>
          <t>Mapa de variables: núcleo y extensiones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El modelo principal conserva el núcleo parsimonioso; el ampliado integra seis canales adicionales. La comparación y los pesos Shapley permiten evaluar cuánto añaden sin confundir asociación con causalidad.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0" customHeight="1">
      <c r="A5" s="62" t="inlineStr">
        <is>
          <t>Bloque</t>
        </is>
      </c>
      <c r="B5" s="62" t="inlineStr">
        <is>
          <t>Variable</t>
        </is>
      </c>
      <c r="C5" s="62" t="inlineStr">
        <is>
          <t>Estatus</t>
        </is>
      </c>
      <c r="D5" s="62" t="inlineStr">
        <is>
          <t>Proxy/medición</t>
        </is>
      </c>
      <c r="E5" s="62" t="inlineStr">
        <is>
          <t>Transformación</t>
        </is>
      </c>
      <c r="F5" s="62" t="inlineStr">
        <is>
          <t>Signo sobre COP/USD</t>
        </is>
      </c>
      <c r="G5" s="62" t="inlineStr">
        <is>
          <t>Canal</t>
        </is>
      </c>
      <c r="H5" s="62" t="inlineStr">
        <is>
          <t>Justificación</t>
        </is>
      </c>
      <c r="I5" s="62" t="inlineStr">
        <is>
          <t>Cautela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64" t="inlineStr">
        <is>
          <t>Objetivo</t>
        </is>
      </c>
      <c r="B6" s="64" t="inlineStr">
        <is>
          <t>TRM promedio mensual</t>
        </is>
      </c>
      <c r="C6" s="137" t="inlineStr">
        <is>
          <t>Modelo principal</t>
        </is>
      </c>
      <c r="D6" s="64" t="inlineStr">
        <is>
          <t>COP por USD</t>
        </is>
      </c>
      <c r="E6" s="64" t="inlineStr">
        <is>
          <t>Δln</t>
        </is>
      </c>
      <c r="F6" s="64" t="inlineStr">
        <is>
          <t>+ = depreciación</t>
        </is>
      </c>
      <c r="G6" s="64" t="inlineStr">
        <is>
          <t>Variable dependiente</t>
        </is>
      </c>
      <c r="H6" s="64" t="inlineStr">
        <is>
          <t>Precio del dólar en Colombia</t>
        </is>
      </c>
      <c r="I6" s="64" t="inlineStr">
        <is>
          <t>Promedios mensuales ocultan movimientos diarios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64" t="inlineStr">
        <is>
          <t>Externo</t>
        </is>
      </c>
      <c r="B7" s="64" t="inlineStr">
        <is>
          <t>Términos de intercambio</t>
        </is>
      </c>
      <c r="C7" s="137" t="inlineStr">
        <is>
          <t>Modelo principal</t>
        </is>
      </c>
      <c r="D7" s="64" t="inlineStr">
        <is>
          <t>BanRep 15360</t>
        </is>
      </c>
      <c r="E7" s="64" t="inlineStr">
        <is>
          <t>Δln contemporáneo</t>
        </is>
      </c>
      <c r="F7" s="64" t="inlineStr">
        <is>
          <t>−</t>
        </is>
      </c>
      <c r="G7" s="64" t="inlineStr">
        <is>
          <t>Poder de compra externo</t>
        </is>
      </c>
      <c r="H7" s="64" t="inlineStr">
        <is>
          <t>Precios relativos de exportaciones e importaciones</t>
        </is>
      </c>
      <c r="I7" s="64" t="inlineStr">
        <is>
          <t>Su publicación tiene rezago; el uso contemporáneo es explicativo ex post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64" t="inlineStr">
        <is>
          <t>Divisas</t>
        </is>
      </c>
      <c r="B8" s="64" t="inlineStr">
        <is>
          <t>Remesas recibidas</t>
        </is>
      </c>
      <c r="C8" s="137" t="inlineStr">
        <is>
          <t>Modelo principal</t>
        </is>
      </c>
      <c r="D8" s="64" t="inlineStr">
        <is>
          <t>Acumulado 12m en USD</t>
        </is>
      </c>
      <c r="E8" s="64" t="inlineStr">
        <is>
          <t>Δln, rezago 1</t>
        </is>
      </c>
      <c r="F8" s="64" t="inlineStr">
        <is>
          <t>− esperado</t>
        </is>
      </c>
      <c r="G8" s="64" t="inlineStr">
        <is>
          <t>Oferta de divisas</t>
        </is>
      </c>
      <c r="H8" s="64" t="inlineStr">
        <is>
          <t>Flujo estable de dólares</t>
        </is>
      </c>
      <c r="I8" s="64" t="inlineStr">
        <is>
          <t>Puede responder a la propia depreciación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64" t="inlineStr">
        <is>
          <t>Monetario</t>
        </is>
      </c>
      <c r="B9" s="64" t="inlineStr">
        <is>
          <t>Diferencial tasas CO−EE. UU.</t>
        </is>
      </c>
      <c r="C9" s="137" t="inlineStr">
        <is>
          <t>Modelo principal</t>
        </is>
      </c>
      <c r="D9" s="64" t="inlineStr">
        <is>
          <t>Tasa política − Fed funds</t>
        </is>
      </c>
      <c r="E9" s="64" t="inlineStr">
        <is>
          <t>Δ pp, rezago 1</t>
        </is>
      </c>
      <c r="F9" s="64" t="inlineStr">
        <is>
          <t>−</t>
        </is>
      </c>
      <c r="G9" s="64" t="inlineStr">
        <is>
          <t>Retorno relativo</t>
        </is>
      </c>
      <c r="H9" s="64" t="inlineStr">
        <is>
          <t>Carry e ingreso de capital</t>
        </is>
      </c>
      <c r="I9" s="64" t="inlineStr">
        <is>
          <t>Tasas nominales; endógenas a inflación y TRM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64" t="inlineStr">
        <is>
          <t>Fiscal</t>
        </is>
      </c>
      <c r="B10" s="64" t="inlineStr">
        <is>
          <t>Déficit GNC</t>
        </is>
      </c>
      <c r="C10" s="137" t="inlineStr">
        <is>
          <t>Modelo principal</t>
        </is>
      </c>
      <c r="D10" s="64" t="inlineStr">
        <is>
          <t>Acumulado 12m / PIB</t>
        </is>
      </c>
      <c r="E10" s="64" t="inlineStr">
        <is>
          <t>Δ pp, rezago 1</t>
        </is>
      </c>
      <c r="F10" s="64" t="inlineStr">
        <is>
          <t>+</t>
        </is>
      </c>
      <c r="G10" s="64" t="inlineStr">
        <is>
          <t>Riesgo fiscal</t>
        </is>
      </c>
      <c r="H10" s="64" t="inlineStr">
        <is>
          <t>Financiación y prima de riesgo</t>
        </is>
      </c>
      <c r="I10" s="64" t="inlineStr">
        <is>
          <t>Dato observado no es un shock fiscal exógeno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64" t="inlineStr">
        <is>
          <t>Global</t>
        </is>
      </c>
      <c r="B11" s="64" t="inlineStr">
        <is>
          <t>Índice amplio del dólar</t>
        </is>
      </c>
      <c r="C11" s="137" t="inlineStr">
        <is>
          <t>Modelo principal</t>
        </is>
      </c>
      <c r="D11" s="64" t="inlineStr">
        <is>
          <t>Fed DTWEXBGS</t>
        </is>
      </c>
      <c r="E11" s="64" t="inlineStr">
        <is>
          <t>Δln contemporáneo</t>
        </is>
      </c>
      <c r="F11" s="64" t="inlineStr">
        <is>
          <t>+</t>
        </is>
      </c>
      <c r="G11" s="64" t="inlineStr">
        <is>
          <t>Fortaleza global USD</t>
        </is>
      </c>
      <c r="H11" s="64" t="inlineStr">
        <is>
          <t>Factor global común</t>
        </is>
      </c>
      <c r="I11" s="64" t="inlineStr">
        <is>
          <t>No es el DXY comercial de ICE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8" customHeight="1">
      <c r="A12" s="64" t="inlineStr">
        <is>
          <t>Global</t>
        </is>
      </c>
      <c r="B12" s="64" t="inlineStr">
        <is>
          <t>VIX</t>
        </is>
      </c>
      <c r="C12" s="137" t="inlineStr">
        <is>
          <t>Modelo principal</t>
        </is>
      </c>
      <c r="D12" s="64" t="inlineStr">
        <is>
          <t>Promedio mensual</t>
        </is>
      </c>
      <c r="E12" s="64" t="inlineStr">
        <is>
          <t>Δln contemporáneo</t>
        </is>
      </c>
      <c r="F12" s="64" t="inlineStr">
        <is>
          <t>+</t>
        </is>
      </c>
      <c r="G12" s="64" t="inlineStr">
        <is>
          <t>Aversión al riesgo</t>
        </is>
      </c>
      <c r="H12" s="64" t="inlineStr">
        <is>
          <t>Risk-off y salida de emergentes</t>
        </is>
      </c>
      <c r="I12" s="64" t="inlineStr">
        <is>
          <t>Correlacionado con dólar global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8" customHeight="1">
      <c r="A13" s="64" t="inlineStr">
        <is>
          <t>Riesgo</t>
        </is>
      </c>
      <c r="B13" s="64" t="inlineStr">
        <is>
          <t>EMBIG Colombia</t>
        </is>
      </c>
      <c r="C13" s="6" t="inlineStr">
        <is>
          <t>Modelo ampliado</t>
        </is>
      </c>
      <c r="D13" s="64" t="inlineStr">
        <is>
          <t>BCRPData PD04715XD</t>
        </is>
      </c>
      <c r="E13" s="64" t="inlineStr">
        <is>
          <t>Δ pp, contemporáneo</t>
        </is>
      </c>
      <c r="F13" s="64" t="inlineStr">
        <is>
          <t>+</t>
        </is>
      </c>
      <c r="G13" s="64" t="inlineStr">
        <is>
          <t>Riesgo soberano externo</t>
        </is>
      </c>
      <c r="H13" s="64" t="inlineStr">
        <is>
          <t>Prima de bonos soberanos frente a Treasuries</t>
        </is>
      </c>
      <c r="I13" s="64" t="inlineStr">
        <is>
          <t>Canasta con duración y composición variables; no es CDS a 5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8" customHeight="1">
      <c r="A14" s="64" t="inlineStr">
        <is>
          <t>Reservas</t>
        </is>
      </c>
      <c r="B14" s="64" t="inlineStr">
        <is>
          <t>Reservas internacionales netas sin FLAR</t>
        </is>
      </c>
      <c r="C14" s="6" t="inlineStr">
        <is>
          <t>Modelo ampliado</t>
        </is>
      </c>
      <c r="D14" s="64" t="inlineStr">
        <is>
          <t>BanRep 15053</t>
        </is>
      </c>
      <c r="E14" s="64" t="inlineStr">
        <is>
          <t>Δln, rezago 1</t>
        </is>
      </c>
      <c r="F14" s="64" t="inlineStr">
        <is>
          <t>−</t>
        </is>
      </c>
      <c r="G14" s="64" t="inlineStr">
        <is>
          <t>Colchón externo</t>
        </is>
      </c>
      <c r="H14" s="64" t="inlineStr">
        <is>
          <t>Capacidad de intervención y liquidez</t>
        </is>
      </c>
      <c r="I14" s="64" t="inlineStr">
        <is>
          <t>La acumulación de reservas puede responder a la TRM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8" customHeight="1">
      <c r="A15" s="64" t="inlineStr">
        <is>
          <t>Comercio</t>
        </is>
      </c>
      <c r="B15" s="64" t="inlineStr">
        <is>
          <t>Balanza comercial cambiaria</t>
        </is>
      </c>
      <c r="C15" s="6" t="inlineStr">
        <is>
          <t>Modelo ampliado</t>
        </is>
      </c>
      <c r="D15" s="64" t="inlineStr">
        <is>
          <t>BanRep 16702</t>
        </is>
      </c>
      <c r="E15" s="64" t="inlineStr">
        <is>
          <t>Δ asinh, rezago 1</t>
        </is>
      </c>
      <c r="F15" s="64" t="inlineStr">
        <is>
          <t>−</t>
        </is>
      </c>
      <c r="G15" s="64" t="inlineStr">
        <is>
          <t>Oferta neta de divisas</t>
        </is>
      </c>
      <c r="H15" s="64" t="inlineStr">
        <is>
          <t>Exportaciones menos importaciones canalizadas</t>
        </is>
      </c>
      <c r="I15" s="64" t="inlineStr">
        <is>
          <t>Es simultánea con la depreciación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8" customHeight="1">
      <c r="A16" s="64" t="inlineStr">
        <is>
          <t>Precios</t>
        </is>
      </c>
      <c r="B16" s="64" t="inlineStr">
        <is>
          <t>Diferencial BEI 5 años CO−EE. UU.</t>
        </is>
      </c>
      <c r="C16" s="6" t="inlineStr">
        <is>
          <t>Modelo ampliado</t>
        </is>
      </c>
      <c r="D16" s="64" t="inlineStr">
        <is>
          <t>BanRep 15273−15276 menos Fed BKEVEN05</t>
        </is>
      </c>
      <c r="E16" s="64" t="inlineStr">
        <is>
          <t>Primera diferencia en pp, rezago 1</t>
        </is>
      </c>
      <c r="F16" s="64" t="inlineStr">
        <is>
          <t>+</t>
        </is>
      </c>
      <c r="G16" s="64" t="inlineStr">
        <is>
          <t>Cambio en la compensación inflacionaria relativa</t>
        </is>
      </c>
      <c r="H16" s="64" t="inlineStr">
        <is>
          <t>La diferencia es robustamente estacionaria y mejora BIC</t>
        </is>
      </c>
      <c r="I16" s="64" t="inlineStr">
        <is>
          <t>Incluye primas de riesgo de inflación y liquidez; el nivel es sensible a tendencia y quiebre</t>
        </is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8" customHeight="1">
      <c r="A17" s="64" t="inlineStr">
        <is>
          <t>Mercado</t>
        </is>
      </c>
      <c r="B17" s="64" t="inlineStr">
        <is>
          <t>Monedas regionales</t>
        </is>
      </c>
      <c r="C17" s="6" t="inlineStr">
        <is>
          <t>Modelo ampliado</t>
        </is>
      </c>
      <c r="D17" s="64" t="inlineStr">
        <is>
          <t>BRL, CLP, MXN y PEN por USD</t>
        </is>
      </c>
      <c r="E17" s="64" t="inlineStr">
        <is>
          <t>Promedio igual de z(Δln), base 2006–2019</t>
        </is>
      </c>
      <c r="F17" s="64" t="inlineStr">
        <is>
          <t>+</t>
        </is>
      </c>
      <c r="G17" s="64" t="inlineStr">
        <is>
          <t>Contagio regional</t>
        </is>
      </c>
      <c r="H17" s="64" t="inlineStr">
        <is>
          <t>PEN mejora la explicación histórica frente a tres monedas</t>
        </is>
      </c>
      <c r="I17" s="64" t="inlineStr">
        <is>
          <t>Comparte información con VIX y dólar global</t>
        </is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8" customHeight="1">
      <c r="A18" s="64" t="inlineStr">
        <is>
          <t>Pronóstico</t>
        </is>
      </c>
      <c r="B18" s="64" t="inlineStr">
        <is>
          <t>Modelo de un mes</t>
        </is>
      </c>
      <c r="C18" s="114" t="inlineStr">
        <is>
          <t>Pronóstico publicado</t>
        </is>
      </c>
      <c r="D18" s="64" t="inlineStr">
        <is>
          <t>Variables disponibles al inicio de t</t>
        </is>
      </c>
      <c r="E18" s="64" t="inlineStr">
        <is>
          <t>Rezagos de 1 a 3 meses</t>
        </is>
      </c>
      <c r="F18" s="64" t="inlineStr">
        <is>
          <t>—</t>
        </is>
      </c>
      <c r="G18" s="64" t="inlineStr">
        <is>
          <t>Predicción ex ante</t>
        </is>
      </c>
      <c r="H18" s="64" t="inlineStr">
        <is>
          <t>Composición regional de tres monedas seleccionada por BIC</t>
        </is>
      </c>
      <c r="I18" s="64" t="inlineStr">
        <is>
          <t>Backtest pseudo-tiempo-real: faltan vintages históricos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8" customHeight="1">
      <c r="A19" s="64" t="inlineStr">
        <is>
          <t>Flujos</t>
        </is>
      </c>
      <c r="B19" s="64" t="inlineStr">
        <is>
          <t>Flujo neto total de capital</t>
        </is>
      </c>
      <c r="C19" s="6" t="inlineStr">
        <is>
          <t>Modelo ampliado</t>
        </is>
      </c>
      <c r="D19" s="64" t="inlineStr">
        <is>
          <t>BanRep 16706</t>
        </is>
      </c>
      <c r="E19" s="64" t="inlineStr">
        <is>
          <t>Δ asinh, rezago 1</t>
        </is>
      </c>
      <c r="F19" s="64" t="inlineStr">
        <is>
          <t>−</t>
        </is>
      </c>
      <c r="G19" s="64" t="inlineStr">
        <is>
          <t>Demanda de activos COP</t>
        </is>
      </c>
      <c r="H19" s="64" t="inlineStr">
        <is>
          <t>Resume entradas y salidas de capital</t>
        </is>
      </c>
      <c r="I19" s="64" t="inlineStr">
        <is>
          <t>Altamente endógeno y volátil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8" customHeight="1">
      <c r="A20" s="64" t="inlineStr">
        <is>
          <t>Política</t>
        </is>
      </c>
      <c r="B20" s="64" t="inlineStr">
        <is>
          <t>Intervención cambiaria</t>
        </is>
      </c>
      <c r="C20" s="114" t="inlineStr">
        <is>
          <t>Extensión futura</t>
        </is>
      </c>
      <c r="D20" s="64" t="inlineStr">
        <is>
          <t>Compras/ventas BanRep</t>
        </is>
      </c>
      <c r="E20" s="64" t="inlineStr">
        <is>
          <t>USD, rezago</t>
        </is>
      </c>
      <c r="F20" s="64" t="inlineStr">
        <is>
          <t>+ compras</t>
        </is>
      </c>
      <c r="G20" s="64" t="inlineStr">
        <is>
          <t>Demanda oficial de USD</t>
        </is>
      </c>
      <c r="H20" s="64" t="inlineStr">
        <is>
          <t>Importante en episodios puntuales</t>
        </is>
      </c>
      <c r="I20" s="64" t="inlineStr">
        <is>
          <t>Respuesta de política, no shock puro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I1"/>
    <mergeCell ref="A2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72" customWidth="1" min="7" max="7"/>
  </cols>
  <sheetData>
    <row r="1" ht="30" customHeight="1">
      <c r="A1" s="4" t="inlineStr">
        <is>
          <t>Fuentes y trazabilidad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Enlaces oficiales o distribuidores públicos de las series activas y candidatas. Las candidatas incompletas se documentan para trazabilidad, pero no entran al modelo balanceado ni se rellenan artificialmente.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Organismo</t>
        </is>
      </c>
      <c r="B5" s="62" t="inlineStr">
        <is>
          <t>Serie/código</t>
        </is>
      </c>
      <c r="C5" s="62" t="inlineStr">
        <is>
          <t>Frecuencia</t>
        </is>
      </c>
      <c r="D5" s="62" t="inlineStr">
        <is>
          <t>Cobertura</t>
        </is>
      </c>
      <c r="E5" s="62" t="inlineStr">
        <is>
          <t>Uso</t>
        </is>
      </c>
      <c r="F5" s="62" t="inlineStr">
        <is>
          <t>Tratamiento</t>
        </is>
      </c>
      <c r="G5" s="62" t="inlineStr">
        <is>
          <t>URL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42" customHeight="1">
      <c r="A6" s="64" t="inlineStr">
        <is>
          <t>Banco de la República</t>
        </is>
      </c>
      <c r="B6" s="64" t="inlineStr">
        <is>
          <t>TRM diaria, serie 1</t>
        </is>
      </c>
      <c r="C6" s="64" t="inlineStr">
        <is>
          <t>Diaria → mensual</t>
        </is>
      </c>
      <c r="D6" s="64" t="inlineStr">
        <is>
          <t>1991–2026</t>
        </is>
      </c>
      <c r="E6" s="64" t="inlineStr">
        <is>
          <t>Modelo principal</t>
        </is>
      </c>
      <c r="F6" s="64" t="inlineStr">
        <is>
          <t>Promedio mensual</t>
        </is>
      </c>
      <c r="G6" s="64" t="inlineStr">
        <is>
          <t>https://suameca.banrep.gov.co/graficador-series/rest/graficadorService/consultaSerieParaGraficar?idSerie=1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42" customHeight="1">
      <c r="A7" s="64" t="inlineStr">
        <is>
          <t>Banco de la República</t>
        </is>
      </c>
      <c r="B7" s="64" t="inlineStr">
        <is>
          <t>Tasa de política, serie 59</t>
        </is>
      </c>
      <c r="C7" s="64" t="inlineStr">
        <is>
          <t>Diaria → mensual</t>
        </is>
      </c>
      <c r="D7" s="64" t="inlineStr">
        <is>
          <t>1998–2026</t>
        </is>
      </c>
      <c r="E7" s="64" t="inlineStr">
        <is>
          <t>Modelo principal</t>
        </is>
      </c>
      <c r="F7" s="64" t="inlineStr">
        <is>
          <t>Promedio mensual</t>
        </is>
      </c>
      <c r="G7" s="64" t="inlineStr">
        <is>
          <t>https://suameca.banrep.gov.co/graficador-series/rest/graficadorService/consultaSerieParaGraficar?idSerie=59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42" customHeight="1">
      <c r="A8" s="64" t="inlineStr">
        <is>
          <t>Banco de la República</t>
        </is>
      </c>
      <c r="B8" s="64" t="inlineStr">
        <is>
          <t>Remesas, serie 15363</t>
        </is>
      </c>
      <c r="C8" s="64" t="inlineStr">
        <is>
          <t>Mensual</t>
        </is>
      </c>
      <c r="D8" s="64" t="inlineStr">
        <is>
          <t>2000–2026</t>
        </is>
      </c>
      <c r="E8" s="64" t="inlineStr">
        <is>
          <t>Modelo principal</t>
        </is>
      </c>
      <c r="F8" s="64" t="inlineStr">
        <is>
          <t>Acumulado móvil 12 meses</t>
        </is>
      </c>
      <c r="G8" s="64" t="inlineStr">
        <is>
          <t>https://suameca.banrep.gov.co/graficador-series/rest/graficadorService/consultaSerieParaGraficar?idSerie=15363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42" customHeight="1">
      <c r="A9" s="64" t="inlineStr">
        <is>
          <t>Ministerio de Hacienda</t>
        </is>
      </c>
      <c r="B9" s="64" t="inlineStr">
        <is>
          <t>Balance fiscal GNC</t>
        </is>
      </c>
      <c r="C9" s="64" t="inlineStr">
        <is>
          <t>Mensual</t>
        </is>
      </c>
      <c r="D9" s="64" t="inlineStr">
        <is>
          <t>2004–2026</t>
        </is>
      </c>
      <c r="E9" s="64" t="inlineStr">
        <is>
          <t>Modelo principal</t>
        </is>
      </c>
      <c r="F9" s="64" t="inlineStr">
        <is>
          <t>Balance de caja; déficit positivo tras cambiar signo</t>
        </is>
      </c>
      <c r="G9" s="64" t="inlineStr">
        <is>
          <t>https://www.minhacienda.gov.co/documents/d/portal/balance-fiscal-gnc-mensual-y-trimestral?download=true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42" customHeight="1">
      <c r="A10" s="64" t="inlineStr">
        <is>
          <t>Federal Reserve / FRED</t>
        </is>
      </c>
      <c r="B10" s="64" t="inlineStr">
        <is>
          <t>Federal funds FEDFUNDS</t>
        </is>
      </c>
      <c r="C10" s="64" t="inlineStr">
        <is>
          <t>Mensual</t>
        </is>
      </c>
      <c r="D10" s="64" t="inlineStr">
        <is>
          <t>1954–2026</t>
        </is>
      </c>
      <c r="E10" s="64" t="inlineStr">
        <is>
          <t>Modelo principal</t>
        </is>
      </c>
      <c r="F10" s="64" t="inlineStr">
        <is>
          <t>Promedio mensual</t>
        </is>
      </c>
      <c r="G10" s="64" t="inlineStr">
        <is>
          <t>https://fred.stlouisfed.org/series/FEDFUNDS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42" customHeight="1">
      <c r="A11" s="64" t="inlineStr">
        <is>
          <t>Federal Reserve / FRED</t>
        </is>
      </c>
      <c r="B11" s="64" t="inlineStr">
        <is>
          <t>Índice amplio USD DTWEXBGS</t>
        </is>
      </c>
      <c r="C11" s="64" t="inlineStr">
        <is>
          <t>Diaria → mensual</t>
        </is>
      </c>
      <c r="D11" s="64" t="inlineStr">
        <is>
          <t>2006–2026</t>
        </is>
      </c>
      <c r="E11" s="64" t="inlineStr">
        <is>
          <t>Modelo principal</t>
        </is>
      </c>
      <c r="F11" s="64" t="inlineStr">
        <is>
          <t>Índice nominal amplio</t>
        </is>
      </c>
      <c r="G11" s="64" t="inlineStr">
        <is>
          <t>https://fred.stlouisfed.org/series/DTWEXBGS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42" customHeight="1">
      <c r="A12" s="64" t="inlineStr">
        <is>
          <t>Cboe / FRED</t>
        </is>
      </c>
      <c r="B12" s="64" t="inlineStr">
        <is>
          <t>VIXCLS</t>
        </is>
      </c>
      <c r="C12" s="64" t="inlineStr">
        <is>
          <t>Diaria → mensual</t>
        </is>
      </c>
      <c r="D12" s="64" t="inlineStr">
        <is>
          <t>1990–2026</t>
        </is>
      </c>
      <c r="E12" s="64" t="inlineStr">
        <is>
          <t>Modelo principal</t>
        </is>
      </c>
      <c r="F12" s="64" t="inlineStr">
        <is>
          <t>Promedio mensual</t>
        </is>
      </c>
      <c r="G12" s="64" t="inlineStr">
        <is>
          <t>https://fred.stlouisfed.org/series/VIXCLS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42" customHeight="1">
      <c r="A13" s="64" t="inlineStr">
        <is>
          <t>Banco de la República</t>
        </is>
      </c>
      <c r="B13" s="64" t="inlineStr">
        <is>
          <t>Términos de intercambio 15360</t>
        </is>
      </c>
      <c r="C13" s="64" t="inlineStr">
        <is>
          <t>Mensual</t>
        </is>
      </c>
      <c r="D13" s="64" t="inlineStr">
        <is>
          <t>1995–2026</t>
        </is>
      </c>
      <c r="E13" s="64" t="inlineStr">
        <is>
          <t>Modelo principal</t>
        </is>
      </c>
      <c r="F13" s="64" t="inlineStr">
        <is>
          <t>Índice encadenado; Δln contemporáneo en explicación ex post</t>
        </is>
      </c>
      <c r="G13" s="64" t="inlineStr">
        <is>
          <t>https://suameca.banrep.gov.co/graficador-series/rest/graficadorService/consultaSerieParaGraficar?idSerie=15360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42" customHeight="1">
      <c r="A14" s="64" t="inlineStr">
        <is>
          <t>Banco de la República</t>
        </is>
      </c>
      <c r="B14" s="64" t="inlineStr">
        <is>
          <t>Reservas netas sin FLAR 15053</t>
        </is>
      </c>
      <c r="C14" s="64" t="inlineStr">
        <is>
          <t>Mensual</t>
        </is>
      </c>
      <c r="D14" s="64" t="inlineStr">
        <is>
          <t>1960–2026</t>
        </is>
      </c>
      <c r="E14" s="64" t="inlineStr">
        <is>
          <t>Modelo ampliado</t>
        </is>
      </c>
      <c r="F14" s="64" t="inlineStr">
        <is>
          <t>Log y rezago</t>
        </is>
      </c>
      <c r="G14" s="64" t="inlineStr">
        <is>
          <t>https://suameca.banrep.gov.co/graficador-series/rest/graficadorService/consultaSerieParaGraficar?idSerie=15053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42" customHeight="1">
      <c r="A15" s="64" t="inlineStr">
        <is>
          <t>BCRPData</t>
        </is>
      </c>
      <c r="B15" s="64" t="inlineStr">
        <is>
          <t>EMBIG Colombia PD04715XD</t>
        </is>
      </c>
      <c r="C15" s="64" t="inlineStr">
        <is>
          <t>Diaria → mensual</t>
        </is>
      </c>
      <c r="D15" s="64" t="inlineStr">
        <is>
          <t>2006–2026</t>
        </is>
      </c>
      <c r="E15" s="64" t="inlineStr">
        <is>
          <t>Modelo ampliado</t>
        </is>
      </c>
      <c r="F15" s="64" t="inlineStr">
        <is>
          <t>Promedio mensual; pb/100; fuentes originales Reuters/J.P. Morgan</t>
        </is>
      </c>
      <c r="G15" s="64" t="inlineStr">
        <is>
          <t>https://estadisticas.bcrp.gob.pe/estadisticas/series/diarias/tasas-de-interes-embig-variacion-en-pbs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42" customHeight="1">
      <c r="A16" s="64" t="inlineStr">
        <is>
          <t>Banco de la República</t>
        </is>
      </c>
      <c r="B16" s="64" t="inlineStr">
        <is>
          <t>TES pesos cero cupón 5 años 15273</t>
        </is>
      </c>
      <c r="C16" s="64" t="inlineStr">
        <is>
          <t>Diaria → mensual</t>
        </is>
      </c>
      <c r="D16" s="64" t="inlineStr">
        <is>
          <t>2003–2026</t>
        </is>
      </c>
      <c r="E16" s="64" t="inlineStr">
        <is>
          <t>Modelo ampliado</t>
        </is>
      </c>
      <c r="F16" s="64" t="inlineStr">
        <is>
          <t>Promedio mensual separado; comparación adicional sobre fechas comunes</t>
        </is>
      </c>
      <c r="G16" s="64" t="inlineStr">
        <is>
          <t>https://suameca.banrep.gov.co/graficador-series/rest/graficadorService/consultaSerieParaGraficar?idSerie=15273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4" t="inlineStr">
        <is>
          <t>Banco de la República</t>
        </is>
      </c>
      <c r="B17" s="64" t="inlineStr">
        <is>
          <t>TES UVR cero cupón 5 años 15276</t>
        </is>
      </c>
      <c r="C17" s="64" t="inlineStr">
        <is>
          <t>Diaria → mensual</t>
        </is>
      </c>
      <c r="D17" s="64" t="inlineStr">
        <is>
          <t>2003–2026</t>
        </is>
      </c>
      <c r="E17" s="64" t="inlineStr">
        <is>
          <t>Modelo ampliado</t>
        </is>
      </c>
      <c r="F17" s="64" t="inlineStr">
        <is>
          <t>Promedio mensual separado; comparación adicional sobre fechas comunes</t>
        </is>
      </c>
      <c r="G17" s="64" t="inlineStr">
        <is>
          <t>https://suameca.banrep.gov.co/graficador-series/rest/graficadorService/consultaSerieParaGraficar?idSerie=15276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42" customHeight="1">
      <c r="A18" s="64" t="inlineStr">
        <is>
          <t>Federal Reserve Board</t>
        </is>
      </c>
      <c r="B18" s="64" t="inlineStr">
        <is>
          <t>GSW BKEVEN05</t>
        </is>
      </c>
      <c r="C18" s="64" t="inlineStr">
        <is>
          <t>Diaria → mensual</t>
        </is>
      </c>
      <c r="D18" s="64" t="inlineStr">
        <is>
          <t>2003–2026</t>
        </is>
      </c>
      <c r="E18" s="64" t="inlineStr">
        <is>
          <t>Modelo ampliado</t>
        </is>
      </c>
      <c r="F18" s="64" t="inlineStr">
        <is>
          <t>Promedio separado; robustez con fechas comunes; producto de investigación revisable</t>
        </is>
      </c>
      <c r="G18" s="64" t="inlineStr">
        <is>
          <t>https://www.federalreserve.gov/data/yield-curve-tables/feds200805_1.html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42" customHeight="1">
      <c r="A19" s="64" t="inlineStr">
        <is>
          <t>Banco de la República</t>
        </is>
      </c>
      <c r="B19" s="64" t="inlineStr">
        <is>
          <t>Balanza comercial cambiaria 16702</t>
        </is>
      </c>
      <c r="C19" s="64" t="inlineStr">
        <is>
          <t>Mensual</t>
        </is>
      </c>
      <c r="D19" s="64" t="inlineStr">
        <is>
          <t>2001–2026</t>
        </is>
      </c>
      <c r="E19" s="64" t="inlineStr">
        <is>
          <t>Modelo ampliado</t>
        </is>
      </c>
      <c r="F19" s="64" t="inlineStr">
        <is>
          <t>Δ asinh y rezago</t>
        </is>
      </c>
      <c r="G19" s="64" t="inlineStr">
        <is>
          <t>https://suameca.banrep.gov.co/graficador-series/rest/graficadorService/consultaSerieParaGraficar?idSerie=16702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42" customHeight="1">
      <c r="A20" s="64" t="inlineStr">
        <is>
          <t>Banco de la República</t>
        </is>
      </c>
      <c r="B20" s="64" t="inlineStr">
        <is>
          <t>Flujo neto total de capital 16706</t>
        </is>
      </c>
      <c r="C20" s="64" t="inlineStr">
        <is>
          <t>Mensual</t>
        </is>
      </c>
      <c r="D20" s="64" t="inlineStr">
        <is>
          <t>2001–2026</t>
        </is>
      </c>
      <c r="E20" s="64" t="inlineStr">
        <is>
          <t>Modelo ampliado</t>
        </is>
      </c>
      <c r="F20" s="64" t="inlineStr">
        <is>
          <t>Δ asinh y rezago</t>
        </is>
      </c>
      <c r="G20" s="64" t="inlineStr">
        <is>
          <t>https://suameca.banrep.gov.co/graficador-series/rest/graficadorService/consultaSerieParaGraficar?idSerie=16706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42" customHeight="1">
      <c r="A21" s="64" t="inlineStr">
        <is>
          <t>OECD / FRED</t>
        </is>
      </c>
      <c r="B21" s="64" t="inlineStr">
        <is>
          <t>BRL por USD CCUSMA02BRM618N</t>
        </is>
      </c>
      <c r="C21" s="64" t="inlineStr">
        <is>
          <t>Mensual</t>
        </is>
      </c>
      <c r="D21" s="64" t="inlineStr">
        <is>
          <t>1994–2026</t>
        </is>
      </c>
      <c r="E21" s="64" t="inlineStr">
        <is>
          <t>Modelo ampliado</t>
        </is>
      </c>
      <c r="F21" s="64" t="inlineStr">
        <is>
          <t>Factor regional a partir de Δln</t>
        </is>
      </c>
      <c r="G21" s="64" t="inlineStr">
        <is>
          <t>https://fred.stlouisfed.org/series/CCUSMA02BRM618N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42" customHeight="1">
      <c r="A22" s="64" t="inlineStr">
        <is>
          <t>OECD / FRED</t>
        </is>
      </c>
      <c r="B22" s="64" t="inlineStr">
        <is>
          <t>CLP por USD CCUSMA02CLM618N</t>
        </is>
      </c>
      <c r="C22" s="64" t="inlineStr">
        <is>
          <t>Mensual</t>
        </is>
      </c>
      <c r="D22" s="64" t="inlineStr">
        <is>
          <t>1960–2026</t>
        </is>
      </c>
      <c r="E22" s="64" t="inlineStr">
        <is>
          <t>Modelo ampliado</t>
        </is>
      </c>
      <c r="F22" s="64" t="inlineStr">
        <is>
          <t>Factor regional a partir de Δln</t>
        </is>
      </c>
      <c r="G22" s="64" t="inlineStr">
        <is>
          <t>https://fred.stlouisfed.org/series/CCUSMA02CLM618N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OECD / FRED</t>
        </is>
      </c>
      <c r="B23" s="64" t="inlineStr">
        <is>
          <t>MXN por USD CCUSMA02MXM618N</t>
        </is>
      </c>
      <c r="C23" s="64" t="inlineStr">
        <is>
          <t>Mensual</t>
        </is>
      </c>
      <c r="D23" s="64" t="inlineStr">
        <is>
          <t>1957–2026</t>
        </is>
      </c>
      <c r="E23" s="64" t="inlineStr">
        <is>
          <t>Modelo ampliado</t>
        </is>
      </c>
      <c r="F23" s="64" t="inlineStr">
        <is>
          <t>Factor regional a partir de Δln</t>
        </is>
      </c>
      <c r="G23" s="64" t="inlineStr">
        <is>
          <t>https://fred.stlouisfed.org/series/CCUSMA02MXM618N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BCRPData</t>
        </is>
      </c>
      <c r="B24" s="64" t="inlineStr">
        <is>
          <t>PEN por USD PN01207PM</t>
        </is>
      </c>
      <c r="C24" s="64" t="inlineStr">
        <is>
          <t>Mensual</t>
        </is>
      </c>
      <c r="D24" s="64" t="inlineStr">
        <is>
          <t>1995–2026</t>
        </is>
      </c>
      <c r="E24" s="64" t="inlineStr">
        <is>
          <t>Modelo ampliado y comparación regional</t>
        </is>
      </c>
      <c r="F24" s="64" t="inlineStr">
        <is>
          <t>Interbancario promedio; factor regional a partir de Δln</t>
        </is>
      </c>
      <c r="G24" s="64" t="inlineStr">
        <is>
          <t>https://estadisticas.bcrp.gob.pe/estadisticas/series/mensuales/resultados/PN01207PM/html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Cboe</t>
        </is>
      </c>
      <c r="B25" s="64" t="inlineStr">
        <is>
          <t>VIX histórico</t>
        </is>
      </c>
      <c r="C25" s="64" t="inlineStr">
        <is>
          <t>Diaria</t>
        </is>
      </c>
      <c r="D25" s="64" t="inlineStr">
        <is>
          <t>1990–2026</t>
        </is>
      </c>
      <c r="E25" s="64" t="inlineStr">
        <is>
          <t>Verificación</t>
        </is>
      </c>
      <c r="F25" s="64" t="inlineStr">
        <is>
          <t>Fuente primaria del VIX</t>
        </is>
      </c>
      <c r="G25" s="64" t="inlineStr">
        <is>
          <t>https://www.cboe.com/tradable_products/vix/vix_historical_data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Banco de la República</t>
        </is>
      </c>
      <c r="B26" s="64" t="inlineStr">
        <is>
          <t>Portal de sector externo</t>
        </is>
      </c>
      <c r="C26" s="64" t="inlineStr">
        <is>
          <t>Varias</t>
        </is>
      </c>
      <c r="D26" s="64" t="inlineStr">
        <is>
          <t>Histórico</t>
        </is>
      </c>
      <c r="E26" s="64" t="inlineStr">
        <is>
          <t>Documentación</t>
        </is>
      </c>
      <c r="F26" s="64" t="inlineStr">
        <is>
          <t>Metodologías de TRM, remesas y sector externo</t>
        </is>
      </c>
      <c r="G26" s="64" t="inlineStr">
        <is>
          <t>https://www.banrep.gov.co/es/estadisticas-economicas/series-historicas/tasas-cambio-sector-externo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BCRPData</t>
        </is>
      </c>
      <c r="B27" s="64" t="inlineStr">
        <is>
          <t>Condiciones de uso</t>
        </is>
      </c>
      <c r="C27" s="64" t="inlineStr">
        <is>
          <t>Documentación</t>
        </is>
      </c>
      <c r="D27" s="64" t="inlineStr">
        <is>
          <t>Vigente</t>
        </is>
      </c>
      <c r="E27" s="64" t="inlineStr">
        <is>
          <t>Licencia/atribución</t>
        </is>
      </c>
      <c r="F27" s="64" t="inlineStr">
        <is>
          <t>Permite reproducción con cita de la fuente; revisar derechos del índice subyacente</t>
        </is>
      </c>
      <c r="G27" s="64" t="inlineStr">
        <is>
          <t>https://estadisticas.bcrp.gob.pe/estadisticas/series/ayuda/condiciones-de-uso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DANE</t>
        </is>
      </c>
      <c r="B28" s="64" t="inlineStr">
        <is>
          <t>ISE total; Cuadro 2; 12 agrupaciones</t>
        </is>
      </c>
      <c r="C28" s="64" t="inlineStr">
        <is>
          <t>Mensual</t>
        </is>
      </c>
      <c r="D28" s="64" t="inlineStr">
        <is>
          <t>2005–2026</t>
        </is>
      </c>
      <c r="E28" s="64" t="inlineStr">
        <is>
          <t>Marco macroeconómico integral</t>
        </is>
      </c>
      <c r="F28" s="64" t="inlineStr">
        <is>
          <t>Índice ajustado por efecto estacional y calendario; ln y primera diferencia; rezago 2 en pronóstico; sin imputación</t>
        </is>
      </c>
      <c r="G28" s="64" t="inlineStr">
        <is>
          <t>https://www.dane.gov.co/index.php/en/statistics-by-topic/national-accounts/economic-monitor-index-ise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Banco de la República</t>
        </is>
      </c>
      <c r="B29" s="64" t="inlineStr">
        <is>
          <t>IPC Colombia, serie 15000</t>
        </is>
      </c>
      <c r="C29" s="64" t="inlineStr">
        <is>
          <t>Mensual</t>
        </is>
      </c>
      <c r="D29" s="64" t="inlineStr">
        <is>
          <t>1954–2026</t>
        </is>
      </c>
      <c r="E29" s="64" t="inlineStr">
        <is>
          <t>Marco macroeconómico integral</t>
        </is>
      </c>
      <c r="F29" s="64" t="inlineStr">
        <is>
          <t>Índice oficial; ln y primera diferencia; rezago 2 en pronóstico; sin imputación</t>
        </is>
      </c>
      <c r="G29" s="64" t="inlineStr">
        <is>
          <t>https://suameca.banrep.gov.co/graficador-series/rest/graficadorService/consultaSerieParaGraficar?idSerie=15000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DANE</t>
        </is>
      </c>
      <c r="B30" s="64" t="inlineStr">
        <is>
          <t>ISE sectorial 9 y 12 agrupaciones</t>
        </is>
      </c>
      <c r="C30" s="64" t="inlineStr">
        <is>
          <t>Mensual</t>
        </is>
      </c>
      <c r="D30" s="64" t="inlineStr">
        <is>
          <t>2005–2026</t>
        </is>
      </c>
      <c r="E30" s="64" t="inlineStr">
        <is>
          <t>Candidata auditable</t>
        </is>
      </c>
      <c r="F30" s="64" t="inlineStr">
        <is>
          <t>Se conserva para cobertura y diagnóstico; no se activa junto al total por colinealidad</t>
        </is>
      </c>
      <c r="G30" s="64" t="inlineStr">
        <is>
          <t>https://www.dane.gov.co/index.php/en/statistics-by-topic/national-accounts/economic-monitor-index-ise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DANE</t>
        </is>
      </c>
      <c r="B31" s="64" t="inlineStr">
        <is>
          <t>GEIH nacional y desestacionalizada</t>
        </is>
      </c>
      <c r="C31" s="64" t="inlineStr">
        <is>
          <t>Mensual</t>
        </is>
      </c>
      <c r="D31" s="64" t="inlineStr">
        <is>
          <t>Incompleta</t>
        </is>
      </c>
      <c r="E31" s="64" t="inlineStr">
        <is>
          <t>Candidata documentada</t>
        </is>
      </c>
      <c r="F31" s="64" t="inlineStr">
        <is>
          <t>Cobertura incompleta; se mantienen faltantes y no se empalma ni se imputa</t>
        </is>
      </c>
      <c r="G31" s="64" t="inlineStr">
        <is>
          <t>https://www.dane.gov.co/index.php/estadisticas-por-tema/mercado-laboral/empleo-y-desempleo/mercado-laboral-historicos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DANE</t>
        </is>
      </c>
      <c r="B32" s="64" t="inlineStr">
        <is>
          <t>IPI total e IPP producción nacional</t>
        </is>
      </c>
      <c r="C32" s="64" t="inlineStr">
        <is>
          <t>Mensual</t>
        </is>
      </c>
      <c r="D32" s="64" t="inlineStr">
        <is>
          <t>Desde 2014</t>
        </is>
      </c>
      <c r="E32" s="64" t="inlineStr">
        <is>
          <t>Candidata documentada</t>
        </is>
      </c>
      <c r="F32" s="64" t="inlineStr">
        <is>
          <t>No cubren 2006–2026; no se extrapolan ni se empalman con una base anterior</t>
        </is>
      </c>
      <c r="G32" s="64" t="inlineStr">
        <is>
          <t>https://www.dane.gov.co/index.php/estadisticas-por-tema/industria/indice-de-produccion-industrial-ipi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Federal Reserve Board / FRED</t>
        </is>
      </c>
      <c r="B33" s="64" t="inlineStr">
        <is>
          <t>DFII10, DFII5, DGS2, DGS10</t>
        </is>
      </c>
      <c r="C33" s="64" t="inlineStr">
        <is>
          <t>Diaria → mensual</t>
        </is>
      </c>
      <c r="D33" s="64" t="inlineStr">
        <is>
          <t>2003–2026</t>
        </is>
      </c>
      <c r="E33" s="64" t="inlineStr">
        <is>
          <t>Marco macroeconómico integral</t>
        </is>
      </c>
      <c r="F33" s="64" t="inlineStr">
        <is>
          <t>Rendimientos reales y nominales de EE. UU.; cambios contemporáneos o rezagados</t>
        </is>
      </c>
      <c r="G33" s="64" t="inlineStr">
        <is>
          <t>https://fred.stlouisfed.org/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Federal Reserve Board / FRED</t>
        </is>
      </c>
      <c r="B34" s="64" t="inlineStr">
        <is>
          <t>T5YIE, T10YIE</t>
        </is>
      </c>
      <c r="C34" s="64" t="inlineStr">
        <is>
          <t>Diaria → mensual</t>
        </is>
      </c>
      <c r="D34" s="64" t="inlineStr">
        <is>
          <t>2003–2026</t>
        </is>
      </c>
      <c r="E34" s="64" t="inlineStr">
        <is>
          <t>Marco macroeconómico integral</t>
        </is>
      </c>
      <c r="F34" s="64" t="inlineStr">
        <is>
          <t>Expectativas/compensación de inflación a 5 y 10 años; cambios</t>
        </is>
      </c>
      <c r="G34" s="64" t="inlineStr">
        <is>
          <t>https://fred.stlouisfed.org/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FRED</t>
        </is>
      </c>
      <c r="B35" s="64" t="inlineStr">
        <is>
          <t>DCOILBRENTEU, PALLFNFINDEXM</t>
        </is>
      </c>
      <c r="C35" s="64" t="inlineStr">
        <is>
          <t>Diaria/mensual</t>
        </is>
      </c>
      <c r="D35" s="64" t="inlineStr">
        <is>
          <t>2000–2026</t>
        </is>
      </c>
      <c r="E35" s="64" t="inlineStr">
        <is>
          <t>Marco macroeconómico integral</t>
        </is>
      </c>
      <c r="F35" s="64" t="inlineStr">
        <is>
          <t>Brent y commodities; logs y diferencias</t>
        </is>
      </c>
      <c r="G35" s="64" t="inlineStr">
        <is>
          <t>https://fred.stlouisfed.org/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FRED</t>
        </is>
      </c>
      <c r="B36" s="64" t="inlineStr">
        <is>
          <t>USEPUINDXD, STLFSI4, NFCI, ANFCI</t>
        </is>
      </c>
      <c r="C36" s="64" t="inlineStr">
        <is>
          <t>Semanal/mensual</t>
        </is>
      </c>
      <c r="D36" s="64" t="inlineStr">
        <is>
          <t>2000–2026</t>
        </is>
      </c>
      <c r="E36" s="64" t="inlineStr">
        <is>
          <t>Marco macroeconómico integral</t>
        </is>
      </c>
      <c r="F36" s="64" t="inlineStr">
        <is>
          <t>Incertidumbre y condiciones financieras; diferencias</t>
        </is>
      </c>
      <c r="G36" s="64" t="inlineStr">
        <is>
          <t>https://fred.stlouisfed.org/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FRED</t>
        </is>
      </c>
      <c r="B37" s="64" t="inlineStr">
        <is>
          <t>LRUN64TTUSM156S</t>
        </is>
      </c>
      <c r="C37" s="64" t="inlineStr">
        <is>
          <t>Mensual</t>
        </is>
      </c>
      <c r="D37" s="64" t="inlineStr">
        <is>
          <t>2000–2026</t>
        </is>
      </c>
      <c r="E37" s="64" t="inlineStr">
        <is>
          <t>Marco macroeconómico integral</t>
        </is>
      </c>
      <c r="F37" s="64" t="inlineStr">
        <is>
          <t>Desempleo estadounidense activo; diferencia; serie completa en la muestra</t>
        </is>
      </c>
      <c r="G37" s="64" t="inlineStr">
        <is>
          <t>https://fred.stlouisfed.org/series/LRUN64TTUSM156S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FRED</t>
        </is>
      </c>
      <c r="B38" s="64" t="inlineStr">
        <is>
          <t>MANEMP, INDPRO, TSIFRGHT</t>
        </is>
      </c>
      <c r="C38" s="64" t="inlineStr">
        <is>
          <t>Mensual</t>
        </is>
      </c>
      <c r="D38" s="64" t="inlineStr">
        <is>
          <t>2000–2026</t>
        </is>
      </c>
      <c r="E38" s="64" t="inlineStr">
        <is>
          <t>Marco macroeconómico integral</t>
        </is>
      </c>
      <c r="F38" s="64" t="inlineStr">
        <is>
          <t>Empleo industrial, producción y fletes/logística; empleo/fletes con L2 en pronóstico</t>
        </is>
      </c>
      <c r="G38" s="64" t="inlineStr">
        <is>
          <t>https://fred.stlouisfed.org/</t>
        </is>
      </c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FRED</t>
        </is>
      </c>
      <c r="B39" s="64" t="inlineStr">
        <is>
          <t>BAMLH0A0HYM2</t>
        </is>
      </c>
      <c r="C39" s="64" t="inlineStr">
        <is>
          <t>Diaria</t>
        </is>
      </c>
      <c r="D39" s="64" t="inlineStr">
        <is>
          <t>Incompleta</t>
        </is>
      </c>
      <c r="E39" s="64" t="inlineStr">
        <is>
          <t>Candidato documentado</t>
        </is>
      </c>
      <c r="F39" s="64" t="inlineStr">
        <is>
          <t>High-yield OAS; no cubre la muestra activa y no se imputa</t>
        </is>
      </c>
      <c r="G39" s="64" t="inlineStr">
        <is>
          <t>https://fred.stlouisfed.org/series/BAMLH0A0HYM2</t>
        </is>
      </c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FRED</t>
        </is>
      </c>
      <c r="B40" s="64" t="inlineStr">
        <is>
          <t>TEDRATE</t>
        </is>
      </c>
      <c r="C40" s="64" t="inlineStr">
        <is>
          <t>Diaria</t>
        </is>
      </c>
      <c r="D40" s="64" t="inlineStr">
        <is>
          <t>Hasta 2022-01</t>
        </is>
      </c>
      <c r="E40" s="64" t="inlineStr">
        <is>
          <t>Candidato documentado</t>
        </is>
      </c>
      <c r="F40" s="64" t="inlineStr">
        <is>
          <t>TED spread; cobertura incompleta, fuera del modelo balanceado</t>
        </is>
      </c>
      <c r="G40" s="64" t="inlineStr">
        <is>
          <t>https://fred.stlouisfed.org/series/TEDRATE</t>
        </is>
      </c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BLS / FRED</t>
        </is>
      </c>
      <c r="B41" s="64" t="inlineStr">
        <is>
          <t>UNRATE</t>
        </is>
      </c>
      <c r="C41" s="64" t="inlineStr">
        <is>
          <t>Mensual</t>
        </is>
      </c>
      <c r="D41" s="64" t="inlineStr">
        <is>
          <t>Faltante 2025-10</t>
        </is>
      </c>
      <c r="E41" s="64" t="inlineStr">
        <is>
          <t>Candidato documentado</t>
        </is>
      </c>
      <c r="F41" s="64" t="inlineStr">
        <is>
          <t>Desempleo BLS; se conserva el faltante, sin interpolación</t>
        </is>
      </c>
      <c r="G41" s="64" t="inlineStr">
        <is>
          <t>https://fred.stlouisfed.org/series/UNRATE</t>
        </is>
      </c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OECD / FRED</t>
        </is>
      </c>
      <c r="B42" s="64" t="inlineStr">
        <is>
          <t>CHNTOT, CHNPRINTO01IXPYM, CHNLORSGPRTSTSAM, CHNCPIALLMINMEI</t>
        </is>
      </c>
      <c r="C42" s="64" t="inlineStr">
        <is>
          <t>Mensual</t>
        </is>
      </c>
      <c r="D42" s="64" t="inlineStr">
        <is>
          <t>Incompleta</t>
        </is>
      </c>
      <c r="E42" s="64" t="inlineStr">
        <is>
          <t>Candidato documentado</t>
        </is>
      </c>
      <c r="F42" s="64" t="inlineStr">
        <is>
          <t>Indicadores de China; cobertura y faltantes impiden inclusión activa</t>
        </is>
      </c>
      <c r="G42" s="64" t="inlineStr">
        <is>
          <t>https://fred.stlouisfed.org/</t>
        </is>
      </c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G1"/>
    <mergeCell ref="A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2026-08-25T11:23:43Z</dcterms:created>
  <dcterms:modified xsi:type="dcterms:W3CDTF">2026-08-25T14:46:18Z</dcterms:modified>
</cp:coreProperties>
</file>